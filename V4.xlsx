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SUS\Desktop\gac\outputs\01a04635-3c40-77c1-855e-0270a0089327\"/>
    </mc:Choice>
  </mc:AlternateContent>
  <bookViews>
    <workbookView windowWidth="18350" windowHeight="7590" firstSheet="12" activeTab="13"/>
  </bookViews>
  <sheets>
    <sheet name="Sheet1" sheetId="2" r:id="rId1"/>
    <sheet name="Data Export" sheetId="1" r:id="rId2"/>
    <sheet name="V1_Calc" sheetId="4" r:id="rId3"/>
    <sheet name="CN_Brands" sheetId="6" r:id="rId4"/>
    <sheet name="V2_Calc" sheetId="7" r:id="rId5"/>
    <sheet name="前十整体车型排名" sheetId="17" r:id="rId6"/>
    <sheet name="前十中国车型排名" sheetId="8" r:id="rId7"/>
    <sheet name="轿车前十排名" sheetId="9" r:id="rId8"/>
    <sheet name="MPV前十排名" sheetId="10" r:id="rId9"/>
    <sheet name="SUV前十排名" sheetId="11" r:id="rId10"/>
    <sheet name="中国品牌轿车前十排名" sheetId="12" r:id="rId11"/>
    <sheet name="中国品牌MPV前十排名" sheetId="13" r:id="rId12"/>
    <sheet name="中国品牌SUV前十排名" sheetId="14" r:id="rId13"/>
    <sheet name="中国品牌市占率" sheetId="15" r:id="rId14"/>
    <sheet name="整体月度总销量环比走势图" sheetId="16" r:id="rId15"/>
  </sheets>
  <definedNames>
    <definedName name="V3_Trend_Months">整体月度总销量环比走势图!$A$5:INDEX(整体月度总销量环比走势图!$A$5:$A$102,COUNTA('Data Export'!$G$1:$CZ$1))</definedName>
    <definedName name="V3_Trend_Sales">整体月度总销量环比走势图!$B$5:INDEX(整体月度总销量环比走势图!$B$5:$B$102,COUNTA('Data Export'!$G$1:$CZ$1))</definedName>
    <definedName name="V4_CN_Brand_Names">中国品牌市占率!$B$7:INDEX(中国品牌市占率!$B$7:$B$201,COUNTIF(中国品牌市占率!$C$7:$C$201,"&gt;0"))</definedName>
    <definedName name="V4_CN_Brand_Sales">中国品牌市占率!$C$7:INDEX(中国品牌市占率!$C$7:$C$201,COUNTIF(中国品牌市占率!$C$7:$C$201,"&gt;0"))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<sst xmlns="http://schemas.openxmlformats.org/spreadsheetml/2006/main" count="8571" uniqueCount="1845">
  <si>
    <t>品牌</t>
  </si>
  <si>
    <t>AION</t>
  </si>
  <si>
    <t>2</t>
  </si>
  <si>
    <t>Row Labels</t>
  </si>
  <si>
    <t>求和项:求和</t>
  </si>
  <si>
    <t>求和项:2025 十二月</t>
  </si>
  <si>
    <t>求和项:2026 一月</t>
  </si>
  <si>
    <t>求和项:2026 二月</t>
  </si>
  <si>
    <t>求和项:2026 三月</t>
  </si>
  <si>
    <t>求和项:2026 四月</t>
  </si>
  <si>
    <t>求和项:2026 五月</t>
  </si>
  <si>
    <t>求和项:2026 六月</t>
  </si>
  <si>
    <t>求和项:2026 七月</t>
  </si>
  <si>
    <t>ZS</t>
  </si>
  <si>
    <t>Z4</t>
  </si>
  <si>
    <t>YUKON</t>
  </si>
  <si>
    <t>YARIS CROSS</t>
  </si>
  <si>
    <t>YARIS ATIV</t>
  </si>
  <si>
    <t>YARIS</t>
  </si>
  <si>
    <t>Y PLUS</t>
  </si>
  <si>
    <t>XV</t>
  </si>
  <si>
    <t>X-TRAIL</t>
  </si>
  <si>
    <t>XPANDER</t>
  </si>
  <si>
    <t>XM</t>
  </si>
  <si>
    <t>XL7</t>
  </si>
  <si>
    <t>XFORCE</t>
  </si>
  <si>
    <t>XENON</t>
  </si>
  <si>
    <t>XC90</t>
  </si>
  <si>
    <t>XC60</t>
  </si>
  <si>
    <t>XC40</t>
  </si>
  <si>
    <t>X9</t>
  </si>
  <si>
    <t>X7</t>
  </si>
  <si>
    <t>X6</t>
  </si>
  <si>
    <t>X5</t>
  </si>
  <si>
    <t>X4</t>
  </si>
  <si>
    <t>X3</t>
  </si>
  <si>
    <t>X1</t>
  </si>
  <si>
    <t>X</t>
  </si>
  <si>
    <t>WRX</t>
  </si>
  <si>
    <t>WR-V</t>
  </si>
  <si>
    <t>WRANGLER</t>
  </si>
  <si>
    <t>VS</t>
  </si>
  <si>
    <t>VOXY</t>
  </si>
  <si>
    <t>VITO</t>
  </si>
  <si>
    <t>VIOS</t>
  </si>
  <si>
    <t>V-II</t>
  </si>
  <si>
    <t>VENUS 3</t>
  </si>
  <si>
    <t>VELOZ</t>
  </si>
  <si>
    <t>VELLFIRE</t>
  </si>
  <si>
    <t>V-CLASS</t>
  </si>
  <si>
    <t>VANTAGE</t>
  </si>
  <si>
    <t>VANQUISH</t>
  </si>
  <si>
    <t>V80</t>
  </si>
  <si>
    <t>V60</t>
  </si>
  <si>
    <t>V23</t>
  </si>
  <si>
    <t>V</t>
  </si>
  <si>
    <t>UX</t>
  </si>
  <si>
    <t>UT</t>
  </si>
  <si>
    <t>URVAN</t>
  </si>
  <si>
    <t>URUS</t>
  </si>
  <si>
    <t>TUNLAND</t>
  </si>
  <si>
    <t>TT</t>
  </si>
  <si>
    <t>T-ROC</t>
  </si>
  <si>
    <t>TRITON</t>
  </si>
  <si>
    <t>TR TRANSFORMER II</t>
  </si>
  <si>
    <t>TR TRANSFORMER</t>
  </si>
  <si>
    <t>TOUAREG</t>
  </si>
  <si>
    <t>TIGGO 8</t>
  </si>
  <si>
    <t>TERRA</t>
  </si>
  <si>
    <t>TEMERARIO</t>
  </si>
  <si>
    <t>TEANA</t>
  </si>
  <si>
    <t>T-CROSS</t>
  </si>
  <si>
    <t>TAYCAN</t>
  </si>
  <si>
    <t>TANK 500</t>
  </si>
  <si>
    <t>TANK 300</t>
  </si>
  <si>
    <t>T8</t>
  </si>
  <si>
    <t>T3EV</t>
  </si>
  <si>
    <t>T3</t>
  </si>
  <si>
    <t>SYLPHY</t>
  </si>
  <si>
    <t>SWIFT</t>
  </si>
  <si>
    <t>SV</t>
  </si>
  <si>
    <t>SUPRA</t>
  </si>
  <si>
    <t>SUPER ACE MINT</t>
  </si>
  <si>
    <t>SUPER ACE</t>
  </si>
  <si>
    <t>STEP WGN</t>
  </si>
  <si>
    <t>STARIA</t>
  </si>
  <si>
    <t>STARGAZER</t>
  </si>
  <si>
    <t>SPRINTER</t>
  </si>
  <si>
    <t>SPECTRE</t>
  </si>
  <si>
    <t>SPACIA</t>
  </si>
  <si>
    <t>SORENTO</t>
  </si>
  <si>
    <t>SL</t>
  </si>
  <si>
    <t>SIENTA</t>
  </si>
  <si>
    <t>SHARK 6</t>
  </si>
  <si>
    <t>SF90</t>
  </si>
  <si>
    <t>SERIES 8</t>
  </si>
  <si>
    <t>SERIES 7</t>
  </si>
  <si>
    <t>SERIES 6</t>
  </si>
  <si>
    <t>SERIES 5</t>
  </si>
  <si>
    <t>SERIES 4</t>
  </si>
  <si>
    <t>SERIES 3</t>
  </si>
  <si>
    <t>SERIES 2</t>
  </si>
  <si>
    <t>SERES 3</t>
  </si>
  <si>
    <t>SERENA</t>
  </si>
  <si>
    <t>SEALION 7</t>
  </si>
  <si>
    <t>SEALION 6</t>
  </si>
  <si>
    <t>SEALION 5</t>
  </si>
  <si>
    <t>SEAL 6</t>
  </si>
  <si>
    <t>SEAL 5</t>
  </si>
  <si>
    <t>SEAL</t>
  </si>
  <si>
    <t>S-CLASS</t>
  </si>
  <si>
    <t>SANTA FE</t>
  </si>
  <si>
    <t>SAHAR</t>
  </si>
  <si>
    <t>S90</t>
  </si>
  <si>
    <t>S660</t>
  </si>
  <si>
    <t>S60</t>
  </si>
  <si>
    <t>S5</t>
  </si>
  <si>
    <t>S07</t>
  </si>
  <si>
    <t>S05</t>
  </si>
  <si>
    <t>RZ</t>
  </si>
  <si>
    <t>RX</t>
  </si>
  <si>
    <t>ROOMY</t>
  </si>
  <si>
    <t>ROMA</t>
  </si>
  <si>
    <t>ROADSTER</t>
  </si>
  <si>
    <t>REVUELTO</t>
  </si>
  <si>
    <t>RD6</t>
  </si>
  <si>
    <t>RC</t>
  </si>
  <si>
    <t>RAPIDE</t>
  </si>
  <si>
    <t>RANGER</t>
  </si>
  <si>
    <t>RANGE ROVER VELAR</t>
  </si>
  <si>
    <t>RANGE ROVER SPORT</t>
  </si>
  <si>
    <t>RANGE ROVER EVOQUE</t>
  </si>
  <si>
    <t>RANGE ROVER</t>
  </si>
  <si>
    <t>QUATTROPORTE</t>
  </si>
  <si>
    <t>Q8 SPORTBACK E-TRON</t>
  </si>
  <si>
    <t>Q8 E-TRON</t>
  </si>
  <si>
    <t>Q8</t>
  </si>
  <si>
    <t>Q7</t>
  </si>
  <si>
    <t>Q6 E-TRON</t>
  </si>
  <si>
    <t>Q5 SPORTBACK</t>
  </si>
  <si>
    <t>Q5</t>
  </si>
  <si>
    <t>Q3 SPORTBACK</t>
  </si>
  <si>
    <t>Q3</t>
  </si>
  <si>
    <t>PV5</t>
  </si>
  <si>
    <t>PUROSANGUE</t>
  </si>
  <si>
    <t>PRIUS</t>
  </si>
  <si>
    <t>PREVE</t>
  </si>
  <si>
    <t>PRELUDE</t>
  </si>
  <si>
    <t>PORTOFINO</t>
  </si>
  <si>
    <t>PORTA</t>
  </si>
  <si>
    <t>POER</t>
  </si>
  <si>
    <t>PHANTOM</t>
  </si>
  <si>
    <t>PANAMERA</t>
  </si>
  <si>
    <t>PALISADE</t>
  </si>
  <si>
    <t>PAJERO SPORT</t>
  </si>
  <si>
    <t>PACEMAN</t>
  </si>
  <si>
    <t>OUTLANDER</t>
  </si>
  <si>
    <t>OUTBACK</t>
  </si>
  <si>
    <t>OTHER</t>
  </si>
  <si>
    <t>ORCA</t>
  </si>
  <si>
    <t>ORA 5</t>
  </si>
  <si>
    <t>ONE</t>
  </si>
  <si>
    <t>ODYSSEY</t>
  </si>
  <si>
    <t>NX</t>
  </si>
  <si>
    <t>NV350 URVAN</t>
  </si>
  <si>
    <t>NOTE</t>
  </si>
  <si>
    <t>NOAH</t>
  </si>
  <si>
    <t>NEVO Q05</t>
  </si>
  <si>
    <t>N-BOX</t>
  </si>
  <si>
    <t>NAVARA</t>
  </si>
  <si>
    <t>MX-5</t>
  </si>
  <si>
    <t>MU-X</t>
  </si>
  <si>
    <t>MUSTANG MACH-E</t>
  </si>
  <si>
    <t>MUSTANG</t>
  </si>
  <si>
    <t>MULTIVAN</t>
  </si>
  <si>
    <t>MT30</t>
  </si>
  <si>
    <t>MOVE</t>
  </si>
  <si>
    <t>MODEL Y</t>
  </si>
  <si>
    <t>MODEL X</t>
  </si>
  <si>
    <t>MODEL 3</t>
  </si>
  <si>
    <t>MOBILIO</t>
  </si>
  <si>
    <t>MIRAGE</t>
  </si>
  <si>
    <t>MINITRUCK</t>
  </si>
  <si>
    <t>MINI</t>
  </si>
  <si>
    <t>MINE NPS</t>
  </si>
  <si>
    <t>MIFA 7</t>
  </si>
  <si>
    <t>MG5</t>
  </si>
  <si>
    <t>MG4 URBAN</t>
  </si>
  <si>
    <t>MG4</t>
  </si>
  <si>
    <t>MG3</t>
  </si>
  <si>
    <t>MEIMEI</t>
  </si>
  <si>
    <t>MC20</t>
  </si>
  <si>
    <t>MAZDA6</t>
  </si>
  <si>
    <t>MAZDA3</t>
  </si>
  <si>
    <t>MAZDA2</t>
  </si>
  <si>
    <t>MAXUS 9</t>
  </si>
  <si>
    <t>MAXUS 7</t>
  </si>
  <si>
    <t>MAJESTY</t>
  </si>
  <si>
    <t>MACAN</t>
  </si>
  <si>
    <t>M8</t>
  </si>
  <si>
    <t>M6</t>
  </si>
  <si>
    <t>LX</t>
  </si>
  <si>
    <t>LUMIN</t>
  </si>
  <si>
    <t>LM</t>
  </si>
  <si>
    <t>LEVANTE</t>
  </si>
  <si>
    <t>LEAF</t>
  </si>
  <si>
    <t>LC</t>
  </si>
  <si>
    <t>LBX</t>
  </si>
  <si>
    <t>LANDCRUISER PRADO</t>
  </si>
  <si>
    <t>LANDCRUISER 79</t>
  </si>
  <si>
    <t>LANDCRUISER 76</t>
  </si>
  <si>
    <t>LANDCRUISER 70</t>
  </si>
  <si>
    <t>LANDCRUISER 300</t>
  </si>
  <si>
    <t>LANDCRUISER 250</t>
  </si>
  <si>
    <t>LANDCRUISER</t>
  </si>
  <si>
    <t>LAND CRUISER FJ</t>
  </si>
  <si>
    <t>LAND CRUISER 250</t>
  </si>
  <si>
    <t>LAND CRUISER</t>
  </si>
  <si>
    <t>LANCER EX</t>
  </si>
  <si>
    <t>L07</t>
  </si>
  <si>
    <t>KICKS</t>
  </si>
  <si>
    <t>JY AIR</t>
  </si>
  <si>
    <t>JOLION</t>
  </si>
  <si>
    <t>JIMNY SIERRA</t>
  </si>
  <si>
    <t>JIMNY NOMADE</t>
  </si>
  <si>
    <t>JIMNY</t>
  </si>
  <si>
    <t>JAZZ</t>
  </si>
  <si>
    <t>IX3</t>
  </si>
  <si>
    <t>IX2</t>
  </si>
  <si>
    <t>IX1</t>
  </si>
  <si>
    <t>IX</t>
  </si>
  <si>
    <t>IS</t>
  </si>
  <si>
    <t>IONIQ 6</t>
  </si>
  <si>
    <t>IONIQ 5</t>
  </si>
  <si>
    <t>IONIQ</t>
  </si>
  <si>
    <t>INNOVA ZENIX</t>
  </si>
  <si>
    <t>INNOVA</t>
  </si>
  <si>
    <t>IM6</t>
  </si>
  <si>
    <t>IM5</t>
  </si>
  <si>
    <t>ID. BUZZ</t>
  </si>
  <si>
    <t>I7</t>
  </si>
  <si>
    <t>I5</t>
  </si>
  <si>
    <t>I4</t>
  </si>
  <si>
    <t>HYPTEC SSR</t>
  </si>
  <si>
    <t>HYPTEC HT</t>
  </si>
  <si>
    <t>HUSTLER</t>
  </si>
  <si>
    <t>HURACAN</t>
  </si>
  <si>
    <t>HUNTER K50</t>
  </si>
  <si>
    <t>HUMMER EV</t>
  </si>
  <si>
    <t>HT</t>
  </si>
  <si>
    <t>HS</t>
  </si>
  <si>
    <t>HR-V</t>
  </si>
  <si>
    <t>HONDA E</t>
  </si>
  <si>
    <t>HILUX TRAVO</t>
  </si>
  <si>
    <t>HILUX REVO</t>
  </si>
  <si>
    <t>HILUX CHAMP</t>
  </si>
  <si>
    <t>HILUX</t>
  </si>
  <si>
    <t>HIJET</t>
  </si>
  <si>
    <t>HIACE</t>
  </si>
  <si>
    <t>HFC SERIES</t>
  </si>
  <si>
    <t>HARRIER</t>
  </si>
  <si>
    <t>H6</t>
  </si>
  <si>
    <t>H-1</t>
  </si>
  <si>
    <t>GTS</t>
  </si>
  <si>
    <t>GT-R</t>
  </si>
  <si>
    <t>GRECALE</t>
  </si>
  <si>
    <t>GRANTURISMO</t>
  </si>
  <si>
    <t>GRAND CHEROKEE</t>
  </si>
  <si>
    <t>GRAND CARNIVAL</t>
  </si>
  <si>
    <t>GR86</t>
  </si>
  <si>
    <t>GOOD CAT</t>
  </si>
  <si>
    <t>GOLF</t>
  </si>
  <si>
    <t>GLS</t>
  </si>
  <si>
    <t>GLORY 580</t>
  </si>
  <si>
    <t>GLE</t>
  </si>
  <si>
    <t>GLC-CLASS</t>
  </si>
  <si>
    <t>GLC COUPE</t>
  </si>
  <si>
    <t>GLB</t>
  </si>
  <si>
    <t>GLADIATOR</t>
  </si>
  <si>
    <t>GLA</t>
  </si>
  <si>
    <t>GHOST</t>
  </si>
  <si>
    <t>GHIBLI</t>
  </si>
  <si>
    <t>G-CLASS</t>
  </si>
  <si>
    <t>G9</t>
  </si>
  <si>
    <t>G6</t>
  </si>
  <si>
    <t>G100R</t>
  </si>
  <si>
    <t>FRONX</t>
  </si>
  <si>
    <t>FREED</t>
  </si>
  <si>
    <t>FORTWO</t>
  </si>
  <si>
    <t>FORTUNER</t>
  </si>
  <si>
    <t>FOR-FOUR</t>
  </si>
  <si>
    <t>FORESTER</t>
  </si>
  <si>
    <t>FOCUS</t>
  </si>
  <si>
    <t>FLYING SPUR</t>
  </si>
  <si>
    <t>FIT</t>
  </si>
  <si>
    <t>FIREFLY</t>
  </si>
  <si>
    <t>FAIRLADY Z</t>
  </si>
  <si>
    <t>F8</t>
  </si>
  <si>
    <t>EXTENDER</t>
  </si>
  <si>
    <t>EX90</t>
  </si>
  <si>
    <t>EX5</t>
  </si>
  <si>
    <t>EX40</t>
  </si>
  <si>
    <t>EX30</t>
  </si>
  <si>
    <t>EX2</t>
  </si>
  <si>
    <t>EVEREST</t>
  </si>
  <si>
    <t>EV9</t>
  </si>
  <si>
    <t>EV5</t>
  </si>
  <si>
    <t>E-TRON GT</t>
  </si>
  <si>
    <t>ES90</t>
  </si>
  <si>
    <t>ES</t>
  </si>
  <si>
    <t>ERTIGA</t>
  </si>
  <si>
    <t>EQS</t>
  </si>
  <si>
    <t>EQE</t>
  </si>
  <si>
    <t>EP</t>
  </si>
  <si>
    <t>EN2</t>
  </si>
  <si>
    <t>EN1</t>
  </si>
  <si>
    <t>EMIRA</t>
  </si>
  <si>
    <t>EMEYA</t>
  </si>
  <si>
    <t>ELGRAND</t>
  </si>
  <si>
    <t>ELETRE</t>
  </si>
  <si>
    <t>E-CLASS</t>
  </si>
  <si>
    <t>EC40</t>
  </si>
  <si>
    <t>EC35</t>
  </si>
  <si>
    <t>EC31</t>
  </si>
  <si>
    <t>E6</t>
  </si>
  <si>
    <t>E07</t>
  </si>
  <si>
    <t>E VITARA</t>
  </si>
  <si>
    <t>DUODUO</t>
  </si>
  <si>
    <t>DS 3</t>
  </si>
  <si>
    <t>DRACON</t>
  </si>
  <si>
    <t>DOLPHIN</t>
  </si>
  <si>
    <t>D-MAX</t>
  </si>
  <si>
    <t>DISCOVERY</t>
  </si>
  <si>
    <t>DEFENDER</t>
  </si>
  <si>
    <t>DBX</t>
  </si>
  <si>
    <t>DB12</t>
  </si>
  <si>
    <t>DB11</t>
  </si>
  <si>
    <t>DARION</t>
  </si>
  <si>
    <t>D9</t>
  </si>
  <si>
    <t>D01</t>
  </si>
  <si>
    <t>CYBERSTER</t>
  </si>
  <si>
    <t>CX-8</t>
  </si>
  <si>
    <t>CX-5</t>
  </si>
  <si>
    <t>CX-30</t>
  </si>
  <si>
    <t>CX-3</t>
  </si>
  <si>
    <t>CULLINAN</t>
  </si>
  <si>
    <t>CR-V</t>
  </si>
  <si>
    <t>CROWN</t>
  </si>
  <si>
    <t>CRETA</t>
  </si>
  <si>
    <t>COUNTRYMAN</t>
  </si>
  <si>
    <t>CORVETTE</t>
  </si>
  <si>
    <t>COROLLA CROSS</t>
  </si>
  <si>
    <t>COROLLA ALTIS</t>
  </si>
  <si>
    <t>COROLLA</t>
  </si>
  <si>
    <t>COPEN</t>
  </si>
  <si>
    <t>COOPER</t>
  </si>
  <si>
    <t>CONTINENTAL GT</t>
  </si>
  <si>
    <t>COMMUTER</t>
  </si>
  <si>
    <t>COLORADO</t>
  </si>
  <si>
    <t>CLUBMAN</t>
  </si>
  <si>
    <t>CLS</t>
  </si>
  <si>
    <t>CLE</t>
  </si>
  <si>
    <t>CLA</t>
  </si>
  <si>
    <t>CIVIC</t>
  </si>
  <si>
    <t>CITY</t>
  </si>
  <si>
    <t>CIAZ</t>
  </si>
  <si>
    <t>C-HR</t>
  </si>
  <si>
    <t>CELERIO</t>
  </si>
  <si>
    <t>C-CLASS</t>
  </si>
  <si>
    <t>CAYENNE/CAYENNE COUPE</t>
  </si>
  <si>
    <t>CAYENNE COUPE</t>
  </si>
  <si>
    <t>CAYENNE</t>
  </si>
  <si>
    <t>CARRY</t>
  </si>
  <si>
    <t>CARNIVAL</t>
  </si>
  <si>
    <t>CARAVELLE</t>
  </si>
  <si>
    <t>CAPTIVA</t>
  </si>
  <si>
    <t>CAPTAIN E-STAR</t>
  </si>
  <si>
    <t>CAMRY</t>
  </si>
  <si>
    <t>CADDY</t>
  </si>
  <si>
    <t>C5</t>
  </si>
  <si>
    <t>C40</t>
  </si>
  <si>
    <t>C10</t>
  </si>
  <si>
    <t>BZ4X</t>
  </si>
  <si>
    <t>BT-50</t>
  </si>
  <si>
    <t>BRZ</t>
  </si>
  <si>
    <t>BR-V</t>
  </si>
  <si>
    <t>BOMA</t>
  </si>
  <si>
    <t>BINGUO EV</t>
  </si>
  <si>
    <t>BENTAYGA</t>
  </si>
  <si>
    <t>B10</t>
  </si>
  <si>
    <t>ATTRAGE</t>
  </si>
  <si>
    <t>ATTO 3</t>
  </si>
  <si>
    <t>ATTO 2</t>
  </si>
  <si>
    <t>ATTO 1</t>
  </si>
  <si>
    <t>ARTURA</t>
  </si>
  <si>
    <t>AMG GT</t>
  </si>
  <si>
    <t>AMAZE</t>
  </si>
  <si>
    <t>ALPHARD</t>
  </si>
  <si>
    <t>ALMERA</t>
  </si>
  <si>
    <t>AIR EV</t>
  </si>
  <si>
    <t>ACTY</t>
  </si>
  <si>
    <t>A-CLASS</t>
  </si>
  <si>
    <t>ACEMAN</t>
  </si>
  <si>
    <t>ACCORD</t>
  </si>
  <si>
    <t>A8</t>
  </si>
  <si>
    <t>A7</t>
  </si>
  <si>
    <t>A6 E-TRON</t>
  </si>
  <si>
    <t>A6</t>
  </si>
  <si>
    <t>A5</t>
  </si>
  <si>
    <t>A4</t>
  </si>
  <si>
    <t>A3</t>
  </si>
  <si>
    <t>A1</t>
  </si>
  <si>
    <t>911</t>
  </si>
  <si>
    <t>7X</t>
  </si>
  <si>
    <t>750S</t>
  </si>
  <si>
    <t>718</t>
  </si>
  <si>
    <t>7</t>
  </si>
  <si>
    <t>6</t>
  </si>
  <si>
    <t>5008</t>
  </si>
  <si>
    <t>5</t>
  </si>
  <si>
    <t>488</t>
  </si>
  <si>
    <t>408</t>
  </si>
  <si>
    <t>3008</t>
  </si>
  <si>
    <t>296</t>
  </si>
  <si>
    <t>2008</t>
  </si>
  <si>
    <t>12CILINDRI</t>
  </si>
  <si>
    <t>11</t>
  </si>
  <si>
    <t>07</t>
  </si>
  <si>
    <t>009</t>
  </si>
  <si>
    <t>MARCH</t>
  </si>
  <si>
    <t>Grand Total</t>
  </si>
  <si>
    <t>车辆/销量类型</t>
  </si>
  <si>
    <t>国家</t>
  </si>
  <si>
    <t>车型</t>
  </si>
  <si>
    <t>车款名称</t>
  </si>
  <si>
    <t>车身形式</t>
  </si>
  <si>
    <t>2025 十二月</t>
  </si>
  <si>
    <t>2026 一月</t>
  </si>
  <si>
    <t>2026 二月</t>
  </si>
  <si>
    <t>2026 三月</t>
  </si>
  <si>
    <t>2026 四月</t>
  </si>
  <si>
    <t>2026 五月</t>
  </si>
  <si>
    <t>2026 六月</t>
  </si>
  <si>
    <t>2026 七月</t>
  </si>
  <si>
    <t>乘用车 注册数据</t>
  </si>
  <si>
    <t>泰国</t>
  </si>
  <si>
    <t>BEV 55KWH AUTO</t>
  </si>
  <si>
    <t>三厢轿车</t>
  </si>
  <si>
    <t>BEV 50KWH 420 STANDARD AUTO</t>
  </si>
  <si>
    <t>掀背轿车</t>
  </si>
  <si>
    <t>BEV 60KWH 500 PREMIUM AUTO</t>
  </si>
  <si>
    <t>BEV 65KWH 500 PREMIUM AUTO</t>
  </si>
  <si>
    <t>运动型多功能车</t>
  </si>
  <si>
    <t>BEV 75KWH 602 LUXURY AUTO</t>
  </si>
  <si>
    <t>453</t>
  </si>
  <si>
    <t>BEV 51KWH 410 PREMIUM AUTO</t>
  </si>
  <si>
    <t>BEV 63KWH 490 PREMIUM AUTO</t>
  </si>
  <si>
    <t>ASTON MARTIN</t>
  </si>
  <si>
    <t>V8</t>
  </si>
  <si>
    <t>硬顶跑车</t>
  </si>
  <si>
    <t>4.0 V8 AUTO</t>
  </si>
  <si>
    <t>4.0 V8 707 AUTO 4WD</t>
  </si>
  <si>
    <t>S</t>
  </si>
  <si>
    <t>V8 S</t>
  </si>
  <si>
    <t>AUDI</t>
  </si>
  <si>
    <t>35 TFSI S LINE SPORTBACK</t>
  </si>
  <si>
    <t>2.0 S3 TFSI S TRONIC QUATTRO SPORTBACK</t>
  </si>
  <si>
    <t>2.5 TFSI RS3 S TRONIC QUATTRO SPORTBACK</t>
  </si>
  <si>
    <t>2.0 45 TFSI MHEV S TRON QT S LINE AVT IB</t>
  </si>
  <si>
    <t>旅行车</t>
  </si>
  <si>
    <t>2.9 TFSI RS4 COMPETITION TIPTRONIC QT AV</t>
  </si>
  <si>
    <t>40 TFSI S LINE IB</t>
  </si>
  <si>
    <t>?</t>
  </si>
  <si>
    <t>2.0 45 TFSI MHEV S TRON QT SB S LINE EO</t>
  </si>
  <si>
    <t>2.0 45 TFSI MHEV S TRONIC QT S LINE EO</t>
  </si>
  <si>
    <t>2.0 TFSI E S TRONIC QUATTRO TECH PLUS SB</t>
  </si>
  <si>
    <t>2.0 TFSI E S TRONIC QUATTRO TECH PRO AV</t>
  </si>
  <si>
    <t>2.0 TFSI E S TRONIC QUATTRO TECH PRO SB</t>
  </si>
  <si>
    <t>2.9 TFSI RS5 COMPETITION TIPTRONIC QT</t>
  </si>
  <si>
    <t>40 TFSI S LINE</t>
  </si>
  <si>
    <t>40 TFSI S LINE EO</t>
  </si>
  <si>
    <t>40 TFSI SB S LINE</t>
  </si>
  <si>
    <t>40 TFSI SB S LINE EO</t>
  </si>
  <si>
    <t>45 TFSI QT S LINE EO</t>
  </si>
  <si>
    <t>E-HYBRID QUATTRO TECH PLUS SB</t>
  </si>
  <si>
    <t>E-HYBRID QUATTRO TECH PRO AV</t>
  </si>
  <si>
    <t>E-HYBRID QUATTRO TECH PRO SB</t>
  </si>
  <si>
    <t>2.0 40 TFSI MHEV S TRONIC S LINE</t>
  </si>
  <si>
    <t>4.0 RS6 PERFORMANCE MHEV TIPTRON QT AVT</t>
  </si>
  <si>
    <t>BEV 100KWH S6 SPORTBACK AUTO</t>
  </si>
  <si>
    <t>4.0 RS7 PERFORMANCE MHEV TIPTRON QT SB</t>
  </si>
  <si>
    <t>55 TFSI E QT S LINE BE SB</t>
  </si>
  <si>
    <t>55 TFSI E QT S LINE SB</t>
  </si>
  <si>
    <t>SPORTBACK 40 TDI</t>
  </si>
  <si>
    <t>3.0 60 TFSI E TIP QT PRESTIGE S LINE LWB</t>
  </si>
  <si>
    <t>BEV 93KWH QUATTRO PERFORMANCE AUTO</t>
  </si>
  <si>
    <t>BEV 93KWH RS QUATTRO AUTO</t>
  </si>
  <si>
    <t>1.4 35 TFSI S TRONIC S LINE</t>
  </si>
  <si>
    <t>2.0 TFSI S LINE TECH PRO QUATTRO 4WD</t>
  </si>
  <si>
    <t>40 TFSI BE QUATTRO</t>
  </si>
  <si>
    <t>2.5 TFSI RS Q3 EDITION 10 YEARS QUATTRO</t>
  </si>
  <si>
    <t>2.5 TFSI RS Q3 S TRONIC QUATTRO</t>
  </si>
  <si>
    <t>40 TFSI QUATTRO S LINE</t>
  </si>
  <si>
    <t>55 TFSI E QT S LINE</t>
  </si>
  <si>
    <t>55 TFSI E QT S LINE BE</t>
  </si>
  <si>
    <t>2.0 55 TFSI E S TRONIC QT S LINE BE</t>
  </si>
  <si>
    <t>BEV 100KWH PERFORMANCE AUTO</t>
  </si>
  <si>
    <t>3.0 TFSI E QUATTRO TIPTRONIC S LINE EO</t>
  </si>
  <si>
    <t>45 TDI QUATTRO</t>
  </si>
  <si>
    <t>55 TFSI Q S LINE</t>
  </si>
  <si>
    <t>4.0 RS Q8 PERFORMANCE QUATTRO TIPTRONIC</t>
  </si>
  <si>
    <t>55 TFSI QUATTRO S LINE</t>
  </si>
  <si>
    <t>60 TFSI E QT S LINE BE</t>
  </si>
  <si>
    <t>TFSI E QT S LINE EO</t>
  </si>
  <si>
    <t>BEV 114KWH 55 QUATTRO BLACK EDITION</t>
  </si>
  <si>
    <t>BEV 55 QUATTRO BLACK EDITION</t>
  </si>
  <si>
    <t>BEV 114KWH 55 QUATTRO S LINE BE</t>
  </si>
  <si>
    <t>BEV 55 QUATTRO S LINE BE</t>
  </si>
  <si>
    <t>BEV 95KWH 50 QUATTRO S LINE</t>
  </si>
  <si>
    <t>2.0 45 TFSI FINAL ICON BLK S TRON QT CO</t>
  </si>
  <si>
    <t>2.5 TFSI TT RS HERITAGE ED S TRON QT CO</t>
  </si>
  <si>
    <t>2.5 TFSI TT RS S TRONIC QUATTRO COUPE</t>
  </si>
  <si>
    <t>45 TFSI QUAT S LINE COUPE</t>
  </si>
  <si>
    <t>TTS COUPE Q</t>
  </si>
  <si>
    <t>AVATR</t>
  </si>
  <si>
    <t>BEV 82KWH MAX AUTO</t>
  </si>
  <si>
    <t>BEV 82KWH ULTRA AUTO AWD</t>
  </si>
  <si>
    <t>BEV 117KWH LONG RANGE AUTO</t>
  </si>
  <si>
    <t>BEV 117KWH ROYAL EDITION AUTO AWD</t>
  </si>
  <si>
    <t>BEV 90KWH STANDARD RANGE AUTO</t>
  </si>
  <si>
    <t>BENTLEY</t>
  </si>
  <si>
    <t>3.0 HYBRID ATELIER EDITION AUTO 4WD</t>
  </si>
  <si>
    <t>3.0 HYBRID AZURE AUTO 4WD</t>
  </si>
  <si>
    <t>HYBRID</t>
  </si>
  <si>
    <t>PHEV</t>
  </si>
  <si>
    <t>SPEED</t>
  </si>
  <si>
    <t>敞蓬车</t>
  </si>
  <si>
    <t>V6 HYBRID AZURE</t>
  </si>
  <si>
    <t>BMW</t>
  </si>
  <si>
    <t>BEV 70KWH EDRIVE35 M SPORT AUTO</t>
  </si>
  <si>
    <t>BEV 84KWH M50 AUTO 4WD</t>
  </si>
  <si>
    <t>BEV 84KWH EDRIVE40</t>
  </si>
  <si>
    <t>BEV 84KWH M60 XDRIVE AUTO</t>
  </si>
  <si>
    <t>BEV EDRIVE40 M SPORT</t>
  </si>
  <si>
    <t>EDRIVE40</t>
  </si>
  <si>
    <t>BEV 106KWH EDRIVE50 M SPORT AUTO</t>
  </si>
  <si>
    <t>BEV 106KWH XDRIVE60 M SPORT AUTO</t>
  </si>
  <si>
    <t>BEV 112KWH XDRIVE50</t>
  </si>
  <si>
    <t>BEV 77KWH XDRIVE40</t>
  </si>
  <si>
    <t>XDRIVE40</t>
  </si>
  <si>
    <t>XDRIVE50</t>
  </si>
  <si>
    <t>BEV 67KWH EDRIVE20L M SPORT AUTO</t>
  </si>
  <si>
    <t>BEV 67KWH XDRIVE30 M SPORT AUTO</t>
  </si>
  <si>
    <t>BEV 80KWH M SPORT</t>
  </si>
  <si>
    <t>BEV 80KWH M SPORT (INSPIRING) AUTO</t>
  </si>
  <si>
    <t>2.0 220 GRAN COUPE M SPORT PRO AUTO</t>
  </si>
  <si>
    <t>2.0 220I GRAN COUPE M SPORT</t>
  </si>
  <si>
    <t>3.0 M240I XDRIVE AUTO</t>
  </si>
  <si>
    <t>M2</t>
  </si>
  <si>
    <t>M2 CS</t>
  </si>
  <si>
    <t>2.0 320D MHEV M SPORT AUTO</t>
  </si>
  <si>
    <t>2.0 320D SPORT AUTO</t>
  </si>
  <si>
    <t>2.0 330E PHEV M SPORT AUTO</t>
  </si>
  <si>
    <t>3.0 M3 COMPETITION M XDRIVE TOURING AUTO</t>
  </si>
  <si>
    <t>3.0 M3 CS XDRIVE AUTO</t>
  </si>
  <si>
    <t>3.0 M3 CS XDRIVE TOURING AUTO</t>
  </si>
  <si>
    <t>320LI</t>
  </si>
  <si>
    <t>330E PHEV M SPORT</t>
  </si>
  <si>
    <t>330LI</t>
  </si>
  <si>
    <t>M340I XDRIVE</t>
  </si>
  <si>
    <t>2.0 430I M SPORT AUTO</t>
  </si>
  <si>
    <t>3.0 M4 COMPETITION M XDRIVE AUTO</t>
  </si>
  <si>
    <t>3.0 M4 CS</t>
  </si>
  <si>
    <t>420I</t>
  </si>
  <si>
    <t>430I</t>
  </si>
  <si>
    <t>M440I XDRIVE</t>
  </si>
  <si>
    <t>2.0 520D MHEV M SPORT AUTO</t>
  </si>
  <si>
    <t>2.0 520D MHEV M SPORT PRO AUTO</t>
  </si>
  <si>
    <t>2.0 530E LUXURY AUTO</t>
  </si>
  <si>
    <t>2.0 530E PHEV INSPIRING AUTO</t>
  </si>
  <si>
    <t>2.0 530E PHEV M SPORT AUTO</t>
  </si>
  <si>
    <t>2.0 530E PHEV M SPORT PRO AUTO</t>
  </si>
  <si>
    <t>525D</t>
  </si>
  <si>
    <t>530E PHEV ELITE</t>
  </si>
  <si>
    <t>2.0 630I GRAN TURISMO M SPORT AUTO</t>
  </si>
  <si>
    <t>3.0 740D MHEV M SPORT AUTO</t>
  </si>
  <si>
    <t>3.0 750E PHEV XDRIVE M SPORT AUTO</t>
  </si>
  <si>
    <t>730LD M SPORT</t>
  </si>
  <si>
    <t>740LI</t>
  </si>
  <si>
    <t>M760E PHEV XDRIVE</t>
  </si>
  <si>
    <t>M850I XDRIVE CABRIO</t>
  </si>
  <si>
    <t>1.5 XDRIVE30E PHEV M SPORT AUTO</t>
  </si>
  <si>
    <t>2.0 SDRIVE20I M SPORT AUTO</t>
  </si>
  <si>
    <t>2.0 SDRIVE20I XLINE AUTO</t>
  </si>
  <si>
    <t>SDRIVE18D XLINE</t>
  </si>
  <si>
    <t>SDRIVE18I</t>
  </si>
  <si>
    <t>SDRIVE20D M SPORT</t>
  </si>
  <si>
    <t>SDRIVE20D XLINE</t>
  </si>
  <si>
    <t>XDRIVE30E PHEV M SPORT</t>
  </si>
  <si>
    <t>2.0 XDRIVE20D MHEV M SPORT AUTO</t>
  </si>
  <si>
    <t>2.0 XDRIVE20D MHEV M SPORT PRO AUTO</t>
  </si>
  <si>
    <t>2.0 XDRIVE30E PHEV M SPORT AUTO</t>
  </si>
  <si>
    <t>M50 XDRIVE</t>
  </si>
  <si>
    <t>XDRIVE20D XLINE</t>
  </si>
  <si>
    <t>XDRIVE30E PHEV XLINE</t>
  </si>
  <si>
    <t>M</t>
  </si>
  <si>
    <t>3.0 XDRIVE30D MHEV M SPORT AUTO</t>
  </si>
  <si>
    <t>3.0 XDRIVE50E PHEV M SPORT AUTO</t>
  </si>
  <si>
    <t>XDRIVE30D XLINE</t>
  </si>
  <si>
    <t>3.0 XDRIVE40I MHEV M SPORT AUTO</t>
  </si>
  <si>
    <t>M50D</t>
  </si>
  <si>
    <t>3.0 XDRIVE40D MHEV M SPORT AUTO</t>
  </si>
  <si>
    <t>50E PHEV</t>
  </si>
  <si>
    <t>M40I</t>
  </si>
  <si>
    <t>SDRIVE30I</t>
  </si>
  <si>
    <t>BYD</t>
  </si>
  <si>
    <t>BEV 30KWH DYNAMIC AUTO</t>
  </si>
  <si>
    <t>BEV 39KWH PREMIUM AUTO</t>
  </si>
  <si>
    <t>BEV 51KWH DYNAMIC AUTO</t>
  </si>
  <si>
    <t>BEV 51KWH PREMIUM AUTO</t>
  </si>
  <si>
    <t>(O)BEV 50KWH DYNAMIC AUTO</t>
  </si>
  <si>
    <t>480KM EXT</t>
  </si>
  <si>
    <t>BEV 50KWH PREMIUM AUTO</t>
  </si>
  <si>
    <t>BEV 60KWH EXTENDED</t>
  </si>
  <si>
    <t>BEV EXTENDED</t>
  </si>
  <si>
    <t>BEV 50KWH STANDARD RANGE AUTO</t>
  </si>
  <si>
    <t>BEV 60KWH EXTENDED RANGE AUTO</t>
  </si>
  <si>
    <t>BEV 72KWH AUTO</t>
  </si>
  <si>
    <t>小型MPV</t>
  </si>
  <si>
    <t>BEV 55KWH DYNAMIC AUTO</t>
  </si>
  <si>
    <t>小型厢式车</t>
  </si>
  <si>
    <t>EXTENDED</t>
  </si>
  <si>
    <t>BEV 83KWH AWD PERFORMANCE AUTO</t>
  </si>
  <si>
    <t>BEV RWD</t>
  </si>
  <si>
    <t>RWD</t>
  </si>
  <si>
    <t>1.5 DM-I DYNAMIC AUTO</t>
  </si>
  <si>
    <t>1.5 DM-I PREMIUM AUTO</t>
  </si>
  <si>
    <t>1.5 DM-I STANDARD AUTO</t>
  </si>
  <si>
    <t>BEV 57KWH DYNAMIC AUTO</t>
  </si>
  <si>
    <t>BEV 57KWH PREMIUM AUTO</t>
  </si>
  <si>
    <t>1.5 DM-I PHEV DYNAMIC AUTO</t>
  </si>
  <si>
    <t>1.5 DM-I PHEV PREMIUM AUTO</t>
  </si>
  <si>
    <t>BEV 83KWH PERFORMANCE AUTO AWD</t>
  </si>
  <si>
    <t>BEV 83KWH PREMIUM AUTO</t>
  </si>
  <si>
    <t>CHANGAN</t>
  </si>
  <si>
    <t>BEV 28KWH L DC AUTO</t>
  </si>
  <si>
    <t>CHERY</t>
  </si>
  <si>
    <t>1.5 TGDI CSH ELITE DHT 4WD</t>
  </si>
  <si>
    <t>1.5 TGDI CSH ESTEEM DHT</t>
  </si>
  <si>
    <t>BEV 60KWH PLAY AUTO</t>
  </si>
  <si>
    <t>BEV 60KWH PLUS AUTO</t>
  </si>
  <si>
    <t>BEV 82KWH PEAK AUTO 4WD</t>
  </si>
  <si>
    <t>PEAK 4WD</t>
  </si>
  <si>
    <t>PLUS</t>
  </si>
  <si>
    <t>CHEVROLET</t>
  </si>
  <si>
    <t>STINGRAY CONVERTIBLE</t>
  </si>
  <si>
    <t>STINGRAY COUPE</t>
  </si>
  <si>
    <t>Targa</t>
  </si>
  <si>
    <t>Z06 CONVERTIBLE 3LZ</t>
  </si>
  <si>
    <t>DAIHATSU</t>
  </si>
  <si>
    <t>CERO S</t>
  </si>
  <si>
    <t>CANBUS THEORY G</t>
  </si>
  <si>
    <t>CANBUS THEORY G TURBO</t>
  </si>
  <si>
    <t>DAYUN</t>
  </si>
  <si>
    <t>DYQ1033BEV1R-H</t>
  </si>
  <si>
    <t>DEEPAL</t>
  </si>
  <si>
    <t>BEV 90KWH PERFORMANCE AUTO AWD</t>
  </si>
  <si>
    <t>BEV 90KWH PLUS AUTO</t>
  </si>
  <si>
    <t>BEV 59KWH S AUTO</t>
  </si>
  <si>
    <t>1.5 REEV MAX AUTO</t>
  </si>
  <si>
    <t>BEV 56KWH PLUS AUTO</t>
  </si>
  <si>
    <t>BEV MAX</t>
  </si>
  <si>
    <t>MAX</t>
  </si>
  <si>
    <t>MAX LONG RANGE</t>
  </si>
  <si>
    <t>BEV 80KWH L AUTO</t>
  </si>
  <si>
    <t>DENZA</t>
  </si>
  <si>
    <t>AWD</t>
  </si>
  <si>
    <t>FWD</t>
  </si>
  <si>
    <t>DFSK</t>
  </si>
  <si>
    <t>DS</t>
  </si>
  <si>
    <t>EVEASY</t>
  </si>
  <si>
    <t>GSE</t>
  </si>
  <si>
    <t>FARIZON</t>
  </si>
  <si>
    <t>BEV 83KWH AUTO</t>
  </si>
  <si>
    <t>FERRARI</t>
  </si>
  <si>
    <t>6.5 V12 DCT SPIDER</t>
  </si>
  <si>
    <t>3.0 V6 T PHEV DCT GTS</t>
  </si>
  <si>
    <t>GTB</t>
  </si>
  <si>
    <t>SPIDER</t>
  </si>
  <si>
    <t>TRIBUTO</t>
  </si>
  <si>
    <t>3.9 V8 M T DCT 2+ 4STR</t>
  </si>
  <si>
    <t>6.5 V12 DCT 4WD</t>
  </si>
  <si>
    <t>4.0 V8 T PHEV DCT 4WD SPIDER</t>
  </si>
  <si>
    <t>4.0 V8 T PHEV DCT 4WD STRADALE</t>
  </si>
  <si>
    <t>BEV 42KWH AUTO</t>
  </si>
  <si>
    <t>FOMM</t>
  </si>
  <si>
    <t>FORD</t>
  </si>
  <si>
    <t>2.3 ECOBOOST COUPE PERFORMANCE PACK AUTO</t>
  </si>
  <si>
    <t>2.3 ECOBOOST PREMIUM</t>
  </si>
  <si>
    <t>5.0 GT PREMIUM</t>
  </si>
  <si>
    <t>5.0 V8 GT COUPE PERFORMANCE PACK AUTO</t>
  </si>
  <si>
    <t>BEV AWD</t>
  </si>
  <si>
    <t>FOTON</t>
  </si>
  <si>
    <t>GAC</t>
  </si>
  <si>
    <t>2.0T PHEV DHT</t>
  </si>
  <si>
    <t>PHEV PREMIUM</t>
  </si>
  <si>
    <t>GEELY</t>
  </si>
  <si>
    <t>GMC</t>
  </si>
  <si>
    <t>BEV EDITION 1</t>
  </si>
  <si>
    <t>DENALI</t>
  </si>
  <si>
    <t>GWM</t>
  </si>
  <si>
    <t>HEV</t>
  </si>
  <si>
    <t>HAVAL</t>
  </si>
  <si>
    <t>1.5 HEV PRO DHT</t>
  </si>
  <si>
    <t>1.5 HEV ULTRA DHT</t>
  </si>
  <si>
    <t>1.5 HEV SPORT DHT</t>
  </si>
  <si>
    <t>HONDA</t>
  </si>
  <si>
    <t>HATCHBACK</t>
  </si>
  <si>
    <t>2.0 TURBO TYPE R HATCHBACK</t>
  </si>
  <si>
    <t>TYPE R RACING BLACK PACKAGE</t>
  </si>
  <si>
    <t>BEV 69KWH AUTO</t>
  </si>
  <si>
    <t>RS</t>
  </si>
  <si>
    <t>ADVANCE</t>
  </si>
  <si>
    <t>CUSTOM TURBO</t>
  </si>
  <si>
    <t>JOY TURBO</t>
  </si>
  <si>
    <t>HEV ABSOLUTE EX</t>
  </si>
  <si>
    <t>WAVE125</t>
  </si>
  <si>
    <t>E:HEV</t>
  </si>
  <si>
    <t>MODULO X SPECIAL VER.Z</t>
  </si>
  <si>
    <t>SPOON</t>
  </si>
  <si>
    <t xml:space="preserve"> E:HEV SPADA PREMIUM</t>
  </si>
  <si>
    <t>2.0 E:HEV SPADA E-CVT</t>
  </si>
  <si>
    <t>E:HEV AIR</t>
  </si>
  <si>
    <t>E:HEV SPADA PREMIUM LINE</t>
  </si>
  <si>
    <t>HYPTEC</t>
  </si>
  <si>
    <t>BEV 83KWH 620 LUXURY</t>
  </si>
  <si>
    <t>BEV 83KWH 620 PREMIUM AUTO</t>
  </si>
  <si>
    <t>BEV 83KWH 620 PREMIUM</t>
  </si>
  <si>
    <t>HYUNDAI</t>
  </si>
  <si>
    <t>ELECTRIC</t>
  </si>
  <si>
    <t>BEV 84KWH N AUTO 4WD</t>
  </si>
  <si>
    <t>BEV 77KWH EXCLUSIVE AUTO</t>
  </si>
  <si>
    <t>ISUZU</t>
  </si>
  <si>
    <t>JAC</t>
  </si>
  <si>
    <t>BEV</t>
  </si>
  <si>
    <t>JAECOO</t>
  </si>
  <si>
    <t>BEV 51KWH MAX+ AUTO</t>
  </si>
  <si>
    <t>BEV 59KWH LONG RANGE DYNAMIC AUTO</t>
  </si>
  <si>
    <t>BEV 59KWH LONG RANGE MAX AUTO</t>
  </si>
  <si>
    <t>BEV 66KWH LONG RANGE AUTO</t>
  </si>
  <si>
    <t>BEV 66KWH LONG RANGE PRO AUTO</t>
  </si>
  <si>
    <t>BEV 68KWH MAX AUTO</t>
  </si>
  <si>
    <t>BEV 70KWH LONG RANGE 4WD</t>
  </si>
  <si>
    <t>BEV 70KWH LONG RANGE AUTO 4WD</t>
  </si>
  <si>
    <t>BEV 70KWH T LONG RANGE AUTO 4WD</t>
  </si>
  <si>
    <t>1.5 TGDI SHS MAX AUTO</t>
  </si>
  <si>
    <t>JEEP</t>
  </si>
  <si>
    <t>2.0 PHEV SUMMIT RESERVE 4XE AUTO 4WD</t>
  </si>
  <si>
    <t>2.0 RUBICON AUTO 4WD</t>
  </si>
  <si>
    <t>JIAYUAN</t>
  </si>
  <si>
    <t>JY1320-ZLH</t>
  </si>
  <si>
    <t>JY7222-ZQR</t>
  </si>
  <si>
    <t>JONWAY</t>
  </si>
  <si>
    <t>T21</t>
  </si>
  <si>
    <t>JUNEYAO</t>
  </si>
  <si>
    <t>BEV 51KWH STANDARD AUTO</t>
  </si>
  <si>
    <t>BEV 64KWH PLUS AUTO</t>
  </si>
  <si>
    <t>BEV 64KWH PLUS MAX AUTO</t>
  </si>
  <si>
    <t>KIA</t>
  </si>
  <si>
    <t>1.6T SMARTSTREAM HEV LUXURY AUTO 7-SEAT</t>
  </si>
  <si>
    <t>1.6T SMARTSTREAM HEV PREMIUM AUTO 7-SEAT</t>
  </si>
  <si>
    <t>BEV 100KWH GT-LINE AUTO AWD</t>
  </si>
  <si>
    <t>LAMBORGHINI</t>
  </si>
  <si>
    <t>5.2 V10 EVO</t>
  </si>
  <si>
    <t>5.2 V10 LP 610-4 STERRATO</t>
  </si>
  <si>
    <t>5.2 V10 LP 640-2 STO</t>
  </si>
  <si>
    <t>5.2 V10 LP 640-2 TECNICA</t>
  </si>
  <si>
    <t>EVO</t>
  </si>
  <si>
    <t>EVO SPYDER</t>
  </si>
  <si>
    <t>V10 EVO</t>
  </si>
  <si>
    <t>6.5 V12 PHEV</t>
  </si>
  <si>
    <t>4.0 V8 PHEV</t>
  </si>
  <si>
    <t>4.0 V8 PERFORMANTE</t>
  </si>
  <si>
    <t>4.0 V8 PHEV SE</t>
  </si>
  <si>
    <t>4.0 V8 S</t>
  </si>
  <si>
    <t>LAND ROVER</t>
  </si>
  <si>
    <t>2.0 P400E X-DYNAMIC SE PLUS 110 AUTO 4WD</t>
  </si>
  <si>
    <t>2.0PHEV</t>
  </si>
  <si>
    <t>3.0 D250 X-DNM SE PLUS</t>
  </si>
  <si>
    <t>3.0 MHEV</t>
  </si>
  <si>
    <t>5.0 P425 X 110</t>
  </si>
  <si>
    <t>3.0 4WD</t>
  </si>
  <si>
    <t>P460E PHEV</t>
  </si>
  <si>
    <t>1.5 P300E AUTOBIOGRAPHY PLUS AT 4WD</t>
  </si>
  <si>
    <t>2.0 P400E DYNAMIC SE PLUS AUTO 4WD</t>
  </si>
  <si>
    <t>LEAPMOTOR</t>
  </si>
  <si>
    <t>BEV 56KWH LIFE AUTO</t>
  </si>
  <si>
    <t>BEV 67KWH DESIGN AUTO</t>
  </si>
  <si>
    <t>BEV 67KWH STYLE AUTO</t>
  </si>
  <si>
    <t>LEXUS</t>
  </si>
  <si>
    <t>300H</t>
  </si>
  <si>
    <t>300H HEV</t>
  </si>
  <si>
    <t>500 L PACKAGE</t>
  </si>
  <si>
    <t>2.5 350H HEV</t>
  </si>
  <si>
    <t>350H</t>
  </si>
  <si>
    <t>350H HEV</t>
  </si>
  <si>
    <t>500H</t>
  </si>
  <si>
    <t>500H HEV 4WD</t>
  </si>
  <si>
    <t>500H HEV EXECUTIVE 4-SEATER</t>
  </si>
  <si>
    <t>500D</t>
  </si>
  <si>
    <t>450H+</t>
  </si>
  <si>
    <t>450H+ PHEV</t>
  </si>
  <si>
    <t>F FINAL EDITION</t>
  </si>
  <si>
    <t>450E</t>
  </si>
  <si>
    <t>BEV 71KWH 450E</t>
  </si>
  <si>
    <t>BEV 77KWH 350E</t>
  </si>
  <si>
    <t>BEV 77KWH 500E</t>
  </si>
  <si>
    <t>LOTUS</t>
  </si>
  <si>
    <t>BEV 112KWH 600 GT SE AUTO 4WD</t>
  </si>
  <si>
    <t>BEV 112KWH 600 SPORT SE AUTO 4WD</t>
  </si>
  <si>
    <t>BEV 112KWH R AUTO 4WD</t>
  </si>
  <si>
    <t>BEV 112KWH S AUTO 4WD</t>
  </si>
  <si>
    <t>BEV 102KWH 450KW S AUTO 4WD</t>
  </si>
  <si>
    <t>BEV 102KWH 600</t>
  </si>
  <si>
    <t>BEV 102KWH 675KW 900 SPORT CARBON AT 4WD</t>
  </si>
  <si>
    <t>BEV 102KWH 675KW R AUTO 4WD</t>
  </si>
  <si>
    <t>V6 FIRST EDITION</t>
  </si>
  <si>
    <t>MARUTI SUZUKI</t>
  </si>
  <si>
    <t>ALPHA</t>
  </si>
  <si>
    <t>MASERATI</t>
  </si>
  <si>
    <t>GRANLUSSO</t>
  </si>
  <si>
    <t>3.0 V6 405KW TROFEO AUTO AWD</t>
  </si>
  <si>
    <t>BEV 92KWH 560KW FOLGORE AUTO AWD</t>
  </si>
  <si>
    <t>2.0 MHEV 220KW GT AUTO 4WD</t>
  </si>
  <si>
    <t>BEV 105KWH 410KW FOLGORE AUTO 4WD</t>
  </si>
  <si>
    <t>MHEV MODENA</t>
  </si>
  <si>
    <t>2.0 MHEV GT AUTO 4WD</t>
  </si>
  <si>
    <t>MAXUS</t>
  </si>
  <si>
    <t>MAZDA</t>
  </si>
  <si>
    <t>2.5 SKYACTIV-G 20TH ANNIV ACTIVEMATIC</t>
  </si>
  <si>
    <t>BEV 78KWH</t>
  </si>
  <si>
    <t>30TH ANNIVERSARY</t>
  </si>
  <si>
    <t>RF</t>
  </si>
  <si>
    <t>35TH ANNIVERSARY</t>
  </si>
  <si>
    <t>990S</t>
  </si>
  <si>
    <t>MAZDA SPIRIT RACING</t>
  </si>
  <si>
    <t>RF 35TH ANNIVERSARY</t>
  </si>
  <si>
    <t>RF VS</t>
  </si>
  <si>
    <t>S LEATHER PACKAGE</t>
  </si>
  <si>
    <t>S SPECIAL PACKAGE</t>
  </si>
  <si>
    <t>SPIRIT RACING</t>
  </si>
  <si>
    <t>MCLAREN</t>
  </si>
  <si>
    <t>4.0 V8 DCT</t>
  </si>
  <si>
    <t>4.0 V8 SPIDER DCT</t>
  </si>
  <si>
    <t>3.0 V6 PHEV SPIDER</t>
  </si>
  <si>
    <t>MERCEDES</t>
  </si>
  <si>
    <t>1.3 A 200 AMG DYNAMIC DCT</t>
  </si>
  <si>
    <t>4.0 V8 MERCEDES-AMG 63 AUTO 4MATIC+</t>
  </si>
  <si>
    <t xml:space="preserve"> C 350 E</t>
  </si>
  <si>
    <t>3.0 MERCEDES-AMG C 43 4MATIC SPECIAL ED.</t>
  </si>
  <si>
    <t>C 180 COUPE</t>
  </si>
  <si>
    <t>C 200</t>
  </si>
  <si>
    <t>C 200 COUPE</t>
  </si>
  <si>
    <t>C 220 D</t>
  </si>
  <si>
    <t>C 250 COUPE</t>
  </si>
  <si>
    <t>C 300 E</t>
  </si>
  <si>
    <t>C 350 E</t>
  </si>
  <si>
    <t>MERCEDES-AMG C 43 4MATIC</t>
  </si>
  <si>
    <t>BEV 85KWH CLA 250+ AUTO</t>
  </si>
  <si>
    <t>3.0 MERCEDES-AMG CLE 53 MHEV MCT 4MATIC+</t>
  </si>
  <si>
    <t>CLE 300 4MATIC</t>
  </si>
  <si>
    <t>2.0 CLS 220 D AMG PREMIUM 9G-TRONIC</t>
  </si>
  <si>
    <t>MERCEDES-AMG CLS 53</t>
  </si>
  <si>
    <t>2.0 E 200 COUPE AMG DYNAMIC 9G-TRONIC</t>
  </si>
  <si>
    <t>2.0 E 220 D MHEV AMG LINE 9G-TRONIC</t>
  </si>
  <si>
    <t>E 220 D</t>
  </si>
  <si>
    <t>E 300 E</t>
  </si>
  <si>
    <t>E 350 E</t>
  </si>
  <si>
    <t>350 4MATIC</t>
  </si>
  <si>
    <t>BEV 96KWH EQE 53 MERCEDES-AMG AT 4MATIC+</t>
  </si>
  <si>
    <t>EQE 300</t>
  </si>
  <si>
    <t>EQE 350 4MATIC</t>
  </si>
  <si>
    <t>450 4MATIC</t>
  </si>
  <si>
    <t>450+</t>
  </si>
  <si>
    <t>BEV 108KWH EQS 450+</t>
  </si>
  <si>
    <t>BEV 117KWH EQS 500 4MATIC</t>
  </si>
  <si>
    <t>BEV 118KWH EQS 450 4MATIC</t>
  </si>
  <si>
    <t>BEV 118KWH MERC-MAYBACH EQS 680 AT 4MTC</t>
  </si>
  <si>
    <t>BEV EQS 500 4MATIC</t>
  </si>
  <si>
    <t>EQS 500 4MATIC</t>
  </si>
  <si>
    <t>400D</t>
  </si>
  <si>
    <t>450 D</t>
  </si>
  <si>
    <t>BEV 116KWH G 580 WITH EQ TECH AUTO 4WD</t>
  </si>
  <si>
    <t>G 350 D</t>
  </si>
  <si>
    <t>G 400 D</t>
  </si>
  <si>
    <t>G 400 D PROFESSIONAL</t>
  </si>
  <si>
    <t>G 450 D</t>
  </si>
  <si>
    <t>G 450 D AMG</t>
  </si>
  <si>
    <t>G 580</t>
  </si>
  <si>
    <t>MERCEDES-AMG G 63</t>
  </si>
  <si>
    <t>2.0 MERCEDES-AMG GLA 35 4MATIC DCT</t>
  </si>
  <si>
    <t>GLA 200</t>
  </si>
  <si>
    <t>GLA 250</t>
  </si>
  <si>
    <t>GLB 200</t>
  </si>
  <si>
    <t>2.0 GLC 220 D AMG DYNAMIC 9G 4MATIC</t>
  </si>
  <si>
    <t>2.0 GLC 350 E AMG DYNAMIC 9G 4MATIC</t>
  </si>
  <si>
    <t>3.0 MERCEDES-AMG GLC 43 TCT 9G 4MATIC</t>
  </si>
  <si>
    <t>2.0 GLC 220 D AVANTGARDE 4MATIC 9G-TRNC</t>
  </si>
  <si>
    <t>2.0 GLC 350 E AMG DYNAMIC 9G-TRNC 4MATIC</t>
  </si>
  <si>
    <t>GLC 220 D</t>
  </si>
  <si>
    <t>GLC 220 D 4MATIC</t>
  </si>
  <si>
    <t>GLC 250 D 4MATIC</t>
  </si>
  <si>
    <t>3.0 MERCEDES-AMG GLE 53 HYBRID 4MATIC+</t>
  </si>
  <si>
    <t>GLE 300 D 4MATIC</t>
  </si>
  <si>
    <t>3.0 GLS 450 D MHEV AMG DYNAMIC 9G 4MATIC</t>
  </si>
  <si>
    <t>4.0 MERCEDES-MAYBACH GLS 600 4MATIC PREM</t>
  </si>
  <si>
    <t>GLS 450 D 4MATIC</t>
  </si>
  <si>
    <t>3.0 MERCEDES-MAYBACH S 580 E PM 9G-TRNC</t>
  </si>
  <si>
    <t>3.0 S 350 D EXCLUSIVE 9G-TRONIC</t>
  </si>
  <si>
    <t>MERCEDES-MAYBACH S 580 E</t>
  </si>
  <si>
    <t>S 350 D</t>
  </si>
  <si>
    <t>S 500 E</t>
  </si>
  <si>
    <t>S 560 E</t>
  </si>
  <si>
    <t>S 580 E</t>
  </si>
  <si>
    <t>MERCEDES-AMG SL 43</t>
  </si>
  <si>
    <t>2.0 V 300 D EXCLUSIVE 9G-TRONIC</t>
  </si>
  <si>
    <t>MG</t>
  </si>
  <si>
    <t>BEV 77KWH PERFORMANCE AUTO 4WD</t>
  </si>
  <si>
    <t>BEV 50KWH PLUS AUTO</t>
  </si>
  <si>
    <t>BEV 51KWH X AUTO</t>
  </si>
  <si>
    <t>BEV 100KWH PREMIUM LONG RANGE AUTO</t>
  </si>
  <si>
    <t>BEV 90KWH X</t>
  </si>
  <si>
    <t>BEV 54KWH JOHN COOPER WORKS</t>
  </si>
  <si>
    <t>SE</t>
  </si>
  <si>
    <t>COOPER S</t>
  </si>
  <si>
    <t>JOHN COOPER WORKS</t>
  </si>
  <si>
    <t>JOHN COOPER WORKS CABRIO</t>
  </si>
  <si>
    <t>S CABRIO</t>
  </si>
  <si>
    <t>S ALL4</t>
  </si>
  <si>
    <t>SE ALL4</t>
  </si>
  <si>
    <t>BEV JOHN COOPER WORKS</t>
  </si>
  <si>
    <t>COOPER S ALL4</t>
  </si>
  <si>
    <t>MITSUBISHI</t>
  </si>
  <si>
    <t>CY4ASTXHRU</t>
  </si>
  <si>
    <t>LB2TCLDJCRU</t>
  </si>
  <si>
    <t>1.6 HEV CROSS AUTO</t>
  </si>
  <si>
    <t>MORGAN</t>
  </si>
  <si>
    <t>NETA</t>
  </si>
  <si>
    <t>NISSAN</t>
  </si>
  <si>
    <t>250 HIGHWAY STAR</t>
  </si>
  <si>
    <t>NISMO</t>
  </si>
  <si>
    <t>PROTO</t>
  </si>
  <si>
    <t>VERSION ST</t>
  </si>
  <si>
    <t>3.8 PREMIUM LUXURY DCT 4WD</t>
  </si>
  <si>
    <t>BLACK EDITION</t>
  </si>
  <si>
    <t>NISMO SPECIAL EDITION</t>
  </si>
  <si>
    <t>PREMIUM EDITION</t>
  </si>
  <si>
    <t>PREMIUM EDITION T-SPEC</t>
  </si>
  <si>
    <t>PURE EDITION</t>
  </si>
  <si>
    <t>BEV 40KWH EV AUTO</t>
  </si>
  <si>
    <t>BE-1</t>
  </si>
  <si>
    <t>CVLGRVYD40UHGCAGLC</t>
  </si>
  <si>
    <t>1.4 E-POWER HIGHWAY STAR AUTO</t>
  </si>
  <si>
    <t>1.6 E CVT</t>
  </si>
  <si>
    <t>BDTARCZB172HA-----</t>
  </si>
  <si>
    <t>1.5 E-POWER E-4ORCE</t>
  </si>
  <si>
    <t>OMODA</t>
  </si>
  <si>
    <t>(O)BEV 61KWH LONG RANGE ULTIMATE AUTO</t>
  </si>
  <si>
    <t>BEV 59KWH LONG RANGE DYNAMIC</t>
  </si>
  <si>
    <t>BEV 59KWH LONG RANGE MAX</t>
  </si>
  <si>
    <t>BEV 61KWH LONG RANGE MAX</t>
  </si>
  <si>
    <t>BEV 61KWH LONG RANGE ULTIMATE</t>
  </si>
  <si>
    <t>BEV LONG RANGE DYNAMIC</t>
  </si>
  <si>
    <t>BEV LONG RANGE ULTIMATE</t>
  </si>
  <si>
    <t>ORA</t>
  </si>
  <si>
    <t>AXION T5</t>
  </si>
  <si>
    <t>XEV YOYO PLUS</t>
  </si>
  <si>
    <t>XEV YOYO PRO</t>
  </si>
  <si>
    <t>YUCHAI</t>
  </si>
  <si>
    <t>PEUGEOT</t>
  </si>
  <si>
    <t>1.2 TURBO DE NOUVEAU AUTO</t>
  </si>
  <si>
    <t>1.6 TURBO DE NOUVEAU AUTO</t>
  </si>
  <si>
    <t>POCCO</t>
  </si>
  <si>
    <t>PORSCHE</t>
  </si>
  <si>
    <t>4.0 BOXSTER GTS</t>
  </si>
  <si>
    <t>4.0 SPYDER RS</t>
  </si>
  <si>
    <t>BOXSTER</t>
  </si>
  <si>
    <t>BOXSTER STYLE EDITION</t>
  </si>
  <si>
    <t>CAYMAN</t>
  </si>
  <si>
    <t>CAYMAN GT4</t>
  </si>
  <si>
    <t>CAYMAN GT4 RS</t>
  </si>
  <si>
    <t>CAYMAN PDK</t>
  </si>
  <si>
    <t>CAYMAN STYLE EDITION</t>
  </si>
  <si>
    <t>CAYMAN T</t>
  </si>
  <si>
    <t>SPYDER RS</t>
  </si>
  <si>
    <t>3.0 CARRERA 4S PDK CABRIOLET</t>
  </si>
  <si>
    <t>3.0 CARRERA PDK CABRIOLET</t>
  </si>
  <si>
    <t>3.0 DAKAR DCT</t>
  </si>
  <si>
    <t>3.0 TARGA 4</t>
  </si>
  <si>
    <t>3.0 TARGA 4S PDK</t>
  </si>
  <si>
    <t>3.6 MHEV CARRERA 4 GTS PDK CABRIOLET</t>
  </si>
  <si>
    <t>3.6 MHEV SPIRIT 70 PDK CABRIOLET</t>
  </si>
  <si>
    <t>3.6 MHEV TARGA 4 GTS PDK</t>
  </si>
  <si>
    <t>3.7 TURBO 50 YEARS COUPE</t>
  </si>
  <si>
    <t>4.0 GT3 PDK</t>
  </si>
  <si>
    <t>4.0 GT3 RS PDK</t>
  </si>
  <si>
    <t>4.0 S/T</t>
  </si>
  <si>
    <t>CARRERA</t>
  </si>
  <si>
    <t>CARRERA CABRIOLET</t>
  </si>
  <si>
    <t>CARRERA COUPE</t>
  </si>
  <si>
    <t>CARRERA GTS</t>
  </si>
  <si>
    <t>CARRERA PDK COUPE</t>
  </si>
  <si>
    <t>CARRERA S</t>
  </si>
  <si>
    <t>CARRERA S CABRIOLET</t>
  </si>
  <si>
    <t>CARRERA S PDK CABRIOLET</t>
  </si>
  <si>
    <t>CARRERA S PDK COUPE</t>
  </si>
  <si>
    <t>CARRERA T</t>
  </si>
  <si>
    <t>GT3</t>
  </si>
  <si>
    <t>GT3 TOURING PACK</t>
  </si>
  <si>
    <t>SPEEDSTER</t>
  </si>
  <si>
    <t>SPIRIT 70</t>
  </si>
  <si>
    <t>SPORT CLASSIC</t>
  </si>
  <si>
    <t>TARGA 4 GTS</t>
  </si>
  <si>
    <t>TURBO</t>
  </si>
  <si>
    <t>TURBO S</t>
  </si>
  <si>
    <t>E-HYBRID PLATINUM EDITION</t>
  </si>
  <si>
    <t>3.0 V6 S E-HYBRID AUTO</t>
  </si>
  <si>
    <t>4.0 V8 GTS AUTO</t>
  </si>
  <si>
    <t>4.0 V8 TURBO E-HYBRID AUTO</t>
  </si>
  <si>
    <t>4.0 V8 TURBO GT AUTO</t>
  </si>
  <si>
    <t>PHEV E-HYBRID</t>
  </si>
  <si>
    <t>S E-HYBRID</t>
  </si>
  <si>
    <t>2.0 DCT</t>
  </si>
  <si>
    <t>BEV 100KWH TURBO AUTO 4WD</t>
  </si>
  <si>
    <t>2.9 4 E-HYBRID EXECUTIVE PDK</t>
  </si>
  <si>
    <t>2.9 4S E-HYBRID PDK</t>
  </si>
  <si>
    <t>2.9 PHEV 4 E-HYBRID PLATINUM EDITION DCT</t>
  </si>
  <si>
    <t>4 E-HYBRID</t>
  </si>
  <si>
    <t>4 E-HYBRID EXECUTIVE</t>
  </si>
  <si>
    <t>4 E-HYBRID SPORT</t>
  </si>
  <si>
    <t>4.0 V8 TURBO S E-HYBRID DCT</t>
  </si>
  <si>
    <t>4S E-HYBRID</t>
  </si>
  <si>
    <t>PHEV 4 E-HYBRID PLATINUM EDITION</t>
  </si>
  <si>
    <t>4S</t>
  </si>
  <si>
    <t>BEV 105KWH 4S CROSS TURISMO AUTO 4WD</t>
  </si>
  <si>
    <t>BEV 105KWH GTS AUTO 4WD</t>
  </si>
  <si>
    <t>BEV 105KWH TURBO CROSS TURISMO AUTO 4WD</t>
  </si>
  <si>
    <t>BEV 105KWH TURBO GT AUTO 4WD</t>
  </si>
  <si>
    <t>BEV 105KWH TURBO S AUTO 4WD</t>
  </si>
  <si>
    <t>CROSS TURISMO 4WD</t>
  </si>
  <si>
    <t>PROTON</t>
  </si>
  <si>
    <t>ROLLS-ROYCE</t>
  </si>
  <si>
    <t>6.75 V12 AUTO 4WD</t>
  </si>
  <si>
    <t>EXTENDED WHEELBASE</t>
  </si>
  <si>
    <t>BEV 102KWH BLACK BADGE AUTO</t>
  </si>
  <si>
    <t>SMART</t>
  </si>
  <si>
    <t>92PS BRABUS COUPE</t>
  </si>
  <si>
    <t>微型车</t>
  </si>
  <si>
    <t>SUBARU</t>
  </si>
  <si>
    <t>2.4 EYESIGHT</t>
  </si>
  <si>
    <t>2.4 EYESIGHT 6AT</t>
  </si>
  <si>
    <t>CUP CAR BASIC</t>
  </si>
  <si>
    <t>STI SPORT</t>
  </si>
  <si>
    <t>2.0 I-L ES</t>
  </si>
  <si>
    <t>2.0 I-L EYESIGHT</t>
  </si>
  <si>
    <t>2.0 I-S ES</t>
  </si>
  <si>
    <t>2.0 I-S EYESIGHT</t>
  </si>
  <si>
    <t>2.5 I-S EYESIGHT LINEARTRONIC AWD</t>
  </si>
  <si>
    <t>2.5 I-TOURING EYESIGHT 4WD CVT</t>
  </si>
  <si>
    <t>2.4 EYESIGHT 4WD</t>
  </si>
  <si>
    <t>2.4 EYESIGHT CVT 4WD</t>
  </si>
  <si>
    <t>2.4 WAGON EYESIGHT CVT 4WD</t>
  </si>
  <si>
    <t>2.0 I-P</t>
  </si>
  <si>
    <t>2.0 I-P EYESIGHT</t>
  </si>
  <si>
    <t>SUZUKI</t>
  </si>
  <si>
    <t>1.0 GA</t>
  </si>
  <si>
    <t>1.0 GL</t>
  </si>
  <si>
    <t>1.0 GL CVT</t>
  </si>
  <si>
    <t>1.0 GL UP CVT</t>
  </si>
  <si>
    <t>1.0 GLX</t>
  </si>
  <si>
    <t>1.0 GX CVT</t>
  </si>
  <si>
    <t>1.2 GL CVT</t>
  </si>
  <si>
    <t>1.2 RS CVT</t>
  </si>
  <si>
    <t>BEV 61KWH AUTO 4WD</t>
  </si>
  <si>
    <t>(O)1.5 SMART HYBRID GX AUTO</t>
  </si>
  <si>
    <t>1.5 GX</t>
  </si>
  <si>
    <t>MHEV G</t>
  </si>
  <si>
    <t>1.5 AUTO</t>
  </si>
  <si>
    <t>1.5 AUTO 4WD</t>
  </si>
  <si>
    <t>ALPHA 4WD</t>
  </si>
  <si>
    <t>NOMADE</t>
  </si>
  <si>
    <t>FC</t>
  </si>
  <si>
    <t>FC 4WD</t>
  </si>
  <si>
    <t>1.5 JC</t>
  </si>
  <si>
    <t>1.5 JL 4WD</t>
  </si>
  <si>
    <t>4WD</t>
  </si>
  <si>
    <t>JC</t>
  </si>
  <si>
    <t>JC 4WD</t>
  </si>
  <si>
    <t>MHEV GEAR XZ TURBO</t>
  </si>
  <si>
    <t>1.2 GL NEXT CVT</t>
  </si>
  <si>
    <t>1.2 GL PLUS CVT</t>
  </si>
  <si>
    <t>1.2 GLX CVT</t>
  </si>
  <si>
    <t>1.2 SAI CVT</t>
  </si>
  <si>
    <t>SPORT</t>
  </si>
  <si>
    <t>1.5 SMART HYBRID GLX 4AT</t>
  </si>
  <si>
    <t>TESLA</t>
  </si>
  <si>
    <t>BEV 60KWH REAR-WHEEL DRIVE AUTO</t>
  </si>
  <si>
    <t>BEV 63KWH STANDARD REAR-WHEEL DRIVE AUTO</t>
  </si>
  <si>
    <t>BEV 79KWH LONG RANGE</t>
  </si>
  <si>
    <t>BEV 79KWH LONG RANGE AUTO AWD</t>
  </si>
  <si>
    <t>BEV 79KWH LONG RANGE RWD</t>
  </si>
  <si>
    <t>BEV 79KWH PERFORMANCE AUTO AWD</t>
  </si>
  <si>
    <t>BEV LONG RANGE RWD</t>
  </si>
  <si>
    <t>BEV REAR-WHEEL DRIVE</t>
  </si>
  <si>
    <t>LONG RANGE PLUS</t>
  </si>
  <si>
    <t>(O)BEV 60KWH AUTO REAR-WHEEL DRIVE</t>
  </si>
  <si>
    <t xml:space="preserve">(O)BEV 82KWH LONG RANGE DUAL MOTOR AUTO </t>
  </si>
  <si>
    <t>STANDARD</t>
  </si>
  <si>
    <t>THAIRUNG</t>
  </si>
  <si>
    <t>TOYOTA</t>
  </si>
  <si>
    <t>2.5 HEV</t>
  </si>
  <si>
    <t>2.5 HEV X</t>
  </si>
  <si>
    <t>2.5 HEV Z</t>
  </si>
  <si>
    <t>2.5 HEV Z E-FOUR</t>
  </si>
  <si>
    <t>2.5 HYBRID EXECUTIVE</t>
  </si>
  <si>
    <t>2.5 HYBRID SRC PACKAGE</t>
  </si>
  <si>
    <t>2.5 PHEV EXECUTIVE LOUNGE</t>
  </si>
  <si>
    <t>2.5 S C PACKAGE</t>
  </si>
  <si>
    <t>2.5 Z</t>
  </si>
  <si>
    <t>EXECUTIVE LOUNGE</t>
  </si>
  <si>
    <t>HEV EXECUTIVE LOUNGE</t>
  </si>
  <si>
    <t>HEV SR C PACKAGE</t>
  </si>
  <si>
    <t>HEV X</t>
  </si>
  <si>
    <t>HEV X E-FOUR</t>
  </si>
  <si>
    <t>HEV Z</t>
  </si>
  <si>
    <t>HEV Z E-FOUR</t>
  </si>
  <si>
    <t>HEV Z PREMIER</t>
  </si>
  <si>
    <t>HYBRID G WELCAB E-FOUR</t>
  </si>
  <si>
    <t>HYBRID S TYPE GOLD II</t>
  </si>
  <si>
    <t>PHEV EXECUTIVE LOUNGE</t>
  </si>
  <si>
    <t>S C PACKAGE</t>
  </si>
  <si>
    <t>Z</t>
  </si>
  <si>
    <t>1.6 GR AUTO 4WD</t>
  </si>
  <si>
    <t>GR RZ</t>
  </si>
  <si>
    <t>GR RZ AUTO</t>
  </si>
  <si>
    <t>2.5 SPORT Z</t>
  </si>
  <si>
    <t>CROSSOVER RS ADVANCE</t>
  </si>
  <si>
    <t>CROSSOVER RS ADVANCED</t>
  </si>
  <si>
    <t>HEV CROSSOVER G ADVANCED</t>
  </si>
  <si>
    <t>HEV CROSSOVER Z</t>
  </si>
  <si>
    <t>HEV ESTATE Z E-FOUR</t>
  </si>
  <si>
    <t>HEV SPORT Z E-FOUR</t>
  </si>
  <si>
    <t>SPORT RS THE 70TH</t>
  </si>
  <si>
    <t>SPORT Z</t>
  </si>
  <si>
    <t>SPORT Z THE 70TH</t>
  </si>
  <si>
    <t>2.4 AUTO</t>
  </si>
  <si>
    <t>2.4 RZ</t>
  </si>
  <si>
    <t>RZ 10TH ANNIVERSARY LIMITED</t>
  </si>
  <si>
    <t>RZ ECT</t>
  </si>
  <si>
    <t>RZ YELLOW LIMITED</t>
  </si>
  <si>
    <t>SZ</t>
  </si>
  <si>
    <t>HEV G</t>
  </si>
  <si>
    <t>HEV Z LEATHER PACKAGE</t>
  </si>
  <si>
    <t>2.8 AWD</t>
  </si>
  <si>
    <t>GR SPORT</t>
  </si>
  <si>
    <t>ZX</t>
  </si>
  <si>
    <t>2.8 ZX</t>
  </si>
  <si>
    <t>GX</t>
  </si>
  <si>
    <t>VX</t>
  </si>
  <si>
    <t>2.7 AUTO 4WD</t>
  </si>
  <si>
    <t>4.0 HARDTOP</t>
  </si>
  <si>
    <t>SAHARA</t>
  </si>
  <si>
    <t>ZX FIRST</t>
  </si>
  <si>
    <t>ZX FIRST EDITION</t>
  </si>
  <si>
    <t>3.3 ZX</t>
  </si>
  <si>
    <t>AX</t>
  </si>
  <si>
    <t>2.8 TD</t>
  </si>
  <si>
    <t>1.0 G</t>
  </si>
  <si>
    <t>3.0 GR AUTO</t>
  </si>
  <si>
    <t>3.0 RZ</t>
  </si>
  <si>
    <t>RZ PLASMA ORANGE 100 EDITION</t>
  </si>
  <si>
    <t>SZ-R</t>
  </si>
  <si>
    <t>2.4 Z PREMIER</t>
  </si>
  <si>
    <t>2.5 HEV AUTO</t>
  </si>
  <si>
    <t>2.5 HEV Z PREMIER</t>
  </si>
  <si>
    <t>2.5 HYBRID Z</t>
  </si>
  <si>
    <t>HYBRID V L EDITION</t>
  </si>
  <si>
    <t>HYBRID Z 4WD</t>
  </si>
  <si>
    <t>Z PREMIER</t>
  </si>
  <si>
    <t>Z PREMIER E-FOUR</t>
  </si>
  <si>
    <t>1.8 HEV S-Z</t>
  </si>
  <si>
    <t>HEV S-Z</t>
  </si>
  <si>
    <t>GR RC</t>
  </si>
  <si>
    <t>GR RC + AERO PERFORMANCE PACKAGE</t>
  </si>
  <si>
    <t>GR RC AUTO</t>
  </si>
  <si>
    <t>GR RS 4WD</t>
  </si>
  <si>
    <t>GR RZ HIGH PERFORMANCE</t>
  </si>
  <si>
    <t>GRMN CIRCUIT PACKAGE</t>
  </si>
  <si>
    <t>VIAUTO</t>
  </si>
  <si>
    <t>VOLKSWAGEN</t>
  </si>
  <si>
    <t>1.5TSI MAXI</t>
  </si>
  <si>
    <t>2.0 TDI MAXI</t>
  </si>
  <si>
    <t>2.0 BI TDI T69 COMFORTLINE NGZ DSG</t>
  </si>
  <si>
    <t>2.0 COMFORTLINE</t>
  </si>
  <si>
    <t>2.0 T69</t>
  </si>
  <si>
    <t>1.5 TSI MATCH</t>
  </si>
  <si>
    <t>2.0 TDI LIFE VARIANT</t>
  </si>
  <si>
    <t>STYLE</t>
  </si>
  <si>
    <t>1.0 TSI STYLE</t>
  </si>
  <si>
    <t>3.0 V6 TDI R-LINE</t>
  </si>
  <si>
    <t>1.0 TSI LIFE</t>
  </si>
  <si>
    <t>1.5 TSI STYLE</t>
  </si>
  <si>
    <t>VOLT</t>
  </si>
  <si>
    <t>VOLVO</t>
  </si>
  <si>
    <t>(O)BEV 82KWH RECHARGE ULTIMATE TWIN MOTO</t>
  </si>
  <si>
    <t>BEV 92KWH ULTRA SINGLE MOTOR EXT RANGE</t>
  </si>
  <si>
    <t>2.0 T8 PHEV ULTIMATE DARK RECH AUTO AWD</t>
  </si>
  <si>
    <t>2.0 T8 PHEV ULTIMATE BRIGHT RECH AT AWD</t>
  </si>
  <si>
    <t>(O)BEV 82KWH RECHARGE PURE ELECTRIC AT A</t>
  </si>
  <si>
    <t>2.0 T8 PHEV ULTRA BRIGHT AUTO AWD</t>
  </si>
  <si>
    <t>WEY</t>
  </si>
  <si>
    <t>1.5T PHEV ULTRA DHT HI4</t>
  </si>
  <si>
    <t>WULING</t>
  </si>
  <si>
    <t>BEV 17KWH STANDARD RANGE AUTO</t>
  </si>
  <si>
    <t>BEV 27KWH LONG RANGE AUTO</t>
  </si>
  <si>
    <t>BEV 32KWH SRD (DC) AUTO</t>
  </si>
  <si>
    <t>SRD</t>
  </si>
  <si>
    <t>SRDTH</t>
  </si>
  <si>
    <t>SRDTH CCS2</t>
  </si>
  <si>
    <t>BEV 69.2KWH</t>
  </si>
  <si>
    <t>XPENG</t>
  </si>
  <si>
    <t>BEV 69KWH STANDARD RANGE</t>
  </si>
  <si>
    <t>BEV 69KWH STANDARD RANGE AUTO</t>
  </si>
  <si>
    <t>BEV 81KWH AWD PERFORMANCE BLACK ED AUTO</t>
  </si>
  <si>
    <t>BEV 81KWH LONG RANGE</t>
  </si>
  <si>
    <t>BEV 81KWH LONG RANGE AUTO</t>
  </si>
  <si>
    <t>BEV LONG RANGE</t>
  </si>
  <si>
    <t>LONG RANGE</t>
  </si>
  <si>
    <t>BEV 102KWH EXECUTIVE AT</t>
  </si>
  <si>
    <t>BEV 110KWH LUXURY AT AWD</t>
  </si>
  <si>
    <t>BEV EXECUTIVE</t>
  </si>
  <si>
    <t>BEV FWD LONG RANGE</t>
  </si>
  <si>
    <t>BEV FWD STANDARD RANGE</t>
  </si>
  <si>
    <t>BEV LUXURY</t>
  </si>
  <si>
    <t>BEV STANDARD RANGE</t>
  </si>
  <si>
    <t>LONG RANGE LUXURY</t>
  </si>
  <si>
    <t>ZEEKR</t>
  </si>
  <si>
    <t>ZXAUTO</t>
  </si>
  <si>
    <t>FIREBRIGHT</t>
  </si>
  <si>
    <t>轻型商用车 注册数据</t>
  </si>
  <si>
    <t>BEV 45KWH AUTO</t>
  </si>
  <si>
    <t>厢式货车</t>
  </si>
  <si>
    <t>CARGO</t>
  </si>
  <si>
    <t>CARGO CRUISE TURBO</t>
  </si>
  <si>
    <t>CARGO DELUXE</t>
  </si>
  <si>
    <t>CRUISE</t>
  </si>
  <si>
    <t>JUMBO EXTRA</t>
  </si>
  <si>
    <t>TRUCK</t>
  </si>
  <si>
    <t>VAN</t>
  </si>
  <si>
    <t>皮卡</t>
  </si>
  <si>
    <t>DONGFENG</t>
  </si>
  <si>
    <t>3.0 V6 TURBO SUPER DUTY DBL CAB AUTO 4WD</t>
  </si>
  <si>
    <t>RAPTOR</t>
  </si>
  <si>
    <t>SWB</t>
  </si>
  <si>
    <t>BEV 88KWH AUTO</t>
  </si>
  <si>
    <t>2.4T PRO SINGLE CAB 9AT 4WD</t>
  </si>
  <si>
    <t>侧卸式</t>
  </si>
  <si>
    <t>HINO</t>
  </si>
  <si>
    <t>2.5 ELITE FE AUTO</t>
  </si>
  <si>
    <t>客货两用厢式车</t>
  </si>
  <si>
    <t>SX CAB 4</t>
  </si>
  <si>
    <t>3.6 RUBICON AUTO 4WD</t>
  </si>
  <si>
    <t>BEV 52KWH AUTO</t>
  </si>
  <si>
    <t>KING LONG</t>
  </si>
  <si>
    <t>LINXYS</t>
  </si>
  <si>
    <t>319 CDI</t>
  </si>
  <si>
    <t>388 SINGLE</t>
  </si>
  <si>
    <t>419 CDI</t>
  </si>
  <si>
    <t>HYMER</t>
  </si>
  <si>
    <t>露营车</t>
  </si>
  <si>
    <t>116 CDI</t>
  </si>
  <si>
    <t>119 CDI</t>
  </si>
  <si>
    <t>2.0 CDI 119 TOURER PRO 9G-TRONIC</t>
  </si>
  <si>
    <t>CDI 119</t>
  </si>
  <si>
    <t>CDI 119 TOURER</t>
  </si>
  <si>
    <t>VITO 116</t>
  </si>
  <si>
    <t>MINE MOBILITY</t>
  </si>
  <si>
    <t>BEV 30KWH AUTO</t>
  </si>
  <si>
    <t>NEOMOR</t>
  </si>
  <si>
    <t>NEX</t>
  </si>
  <si>
    <t>BEV 59KWH SINGLE CAB AUTO</t>
  </si>
  <si>
    <t>NEXTEM</t>
  </si>
  <si>
    <t>UVL4RDRE26KWDMERCE</t>
  </si>
  <si>
    <t>UDB4RDRE26EWDDER-C</t>
  </si>
  <si>
    <t>UDB4RGKE26EWB--S-C</t>
  </si>
  <si>
    <t>UVL4RDRE26KWDMER9E</t>
  </si>
  <si>
    <t>RIDDARA</t>
  </si>
  <si>
    <t>2WD</t>
  </si>
  <si>
    <t>BEV 86KWH</t>
  </si>
  <si>
    <t>BEV 86KWH WITH SUNROOF 4WD</t>
  </si>
  <si>
    <t>BEV ECON</t>
  </si>
  <si>
    <t>ECON</t>
  </si>
  <si>
    <t>HORIZON 4WD</t>
  </si>
  <si>
    <t>HORIZON PRO 4WD</t>
  </si>
  <si>
    <t>HORIZON PRO 4WD SUNROOF</t>
  </si>
  <si>
    <t>PRO</t>
  </si>
  <si>
    <t>PRO 2WD</t>
  </si>
  <si>
    <t>SANY</t>
  </si>
  <si>
    <t>SRM</t>
  </si>
  <si>
    <t>TATA</t>
  </si>
  <si>
    <t>1.4 MINT</t>
  </si>
  <si>
    <t>2.1 CLE SINGLE CAB CNG</t>
  </si>
  <si>
    <t>客车</t>
  </si>
  <si>
    <t>KDH222R-LEMDYT A1</t>
  </si>
  <si>
    <t>KDH223R-LEMDYT A2</t>
  </si>
  <si>
    <t>2.8 G DOUBLE CAB AUTO 4WD</t>
  </si>
  <si>
    <t>BEV 56KWH PREMIUM RANGE AUTO</t>
  </si>
  <si>
    <t>组合键</t>
  </si>
  <si>
    <t>最新月份销量</t>
  </si>
  <si>
    <t>整体唯一排名</t>
  </si>
  <si>
    <t>中国品牌标记</t>
  </si>
  <si>
    <t>车身大类</t>
  </si>
  <si>
    <t>原始行组合键</t>
  </si>
  <si>
    <t>原始行最新月销量</t>
  </si>
  <si>
    <t>原始行车身大类</t>
  </si>
  <si>
    <t>中国车型排名</t>
  </si>
  <si>
    <t>轿车排名</t>
  </si>
  <si>
    <t>MPV排名</t>
  </si>
  <si>
    <t>SUV排名</t>
  </si>
  <si>
    <t>中国轿车排名</t>
  </si>
  <si>
    <t>中国MPV排名</t>
  </si>
  <si>
    <t>中国SUV排名</t>
  </si>
  <si>
    <t>V2 计算逻辑说明</t>
  </si>
  <si>
    <t>中国品牌：CN_Brands 中“自主或合资＝自主”的品牌。</t>
  </si>
  <si>
    <t>轿车：三厢/掀背/旅行/微型/跑车/敞篷/Targa；MPV：小型MPV/客车；SUV：运动型多功能车。</t>
  </si>
  <si>
    <t>支持 Data Export 第2至3000行、最多1000个品牌+车型组合。</t>
  </si>
  <si>
    <t>英文品牌（匹配键）</t>
  </si>
  <si>
    <t>品牌名称</t>
  </si>
  <si>
    <t>Sales Group</t>
  </si>
  <si>
    <t>派系</t>
  </si>
  <si>
    <t>自主或合资</t>
  </si>
  <si>
    <t>品牌级别</t>
  </si>
  <si>
    <t>品牌级别2</t>
  </si>
  <si>
    <t>中国品牌口径说明</t>
  </si>
  <si>
    <t>埃安</t>
  </si>
  <si>
    <t>0</t>
  </si>
  <si>
    <t>自主</t>
  </si>
  <si>
    <t>主流</t>
  </si>
  <si>
    <t>来源：副本IHS VLK（总） 20260821v1 - 副本.xlsx / 品牌对应。</t>
  </si>
  <si>
    <t>AISTALAND</t>
  </si>
  <si>
    <t>启境</t>
  </si>
  <si>
    <t>中国</t>
  </si>
  <si>
    <t>中高端</t>
  </si>
  <si>
    <t>筛选条件：自主或合资＝自主；按 VS: Sales Brand 与 Data Export 品牌精确匹配（忽略大小写）。</t>
  </si>
  <si>
    <t>AITO</t>
  </si>
  <si>
    <t>问界</t>
  </si>
  <si>
    <t>Huawei</t>
  </si>
  <si>
    <t>高端</t>
  </si>
  <si>
    <t>ANKAI</t>
  </si>
  <si>
    <t>安凯</t>
  </si>
  <si>
    <t>Jianghuai</t>
  </si>
  <si>
    <t>商用/皮卡</t>
  </si>
  <si>
    <t>ARCFOX</t>
  </si>
  <si>
    <t>极狐</t>
  </si>
  <si>
    <t>BAIC</t>
  </si>
  <si>
    <t>ASIA CAB</t>
  </si>
  <si>
    <t>亚洲出租</t>
  </si>
  <si>
    <t>Geely</t>
  </si>
  <si>
    <t>阿维塔</t>
  </si>
  <si>
    <t>Changan</t>
  </si>
  <si>
    <t>北汽</t>
  </si>
  <si>
    <t>BAOJUN</t>
  </si>
  <si>
    <t>宝骏</t>
  </si>
  <si>
    <t>SAIC-General Motors-Wuling</t>
  </si>
  <si>
    <t>经济</t>
  </si>
  <si>
    <t>BAW</t>
  </si>
  <si>
    <t>北汽制造</t>
  </si>
  <si>
    <t>BEIJING AUTO</t>
  </si>
  <si>
    <t>北京汽车</t>
  </si>
  <si>
    <t>BESTUNE</t>
  </si>
  <si>
    <t>奔腾</t>
  </si>
  <si>
    <t>FAW</t>
  </si>
  <si>
    <t>BISU</t>
  </si>
  <si>
    <t>比速</t>
  </si>
  <si>
    <t>BJEV</t>
  </si>
  <si>
    <t>北京新能源汽车</t>
  </si>
  <si>
    <t>BRILLIANCE</t>
  </si>
  <si>
    <t>华晨/金杯</t>
  </si>
  <si>
    <t>Brilliance Auto</t>
  </si>
  <si>
    <t>比亚迪</t>
  </si>
  <si>
    <t>CAVAN</t>
  </si>
  <si>
    <t>卡文</t>
  </si>
  <si>
    <t>CHANA</t>
  </si>
  <si>
    <t>长安</t>
  </si>
  <si>
    <t>CHANGFENG-YANGZI</t>
  </si>
  <si>
    <t>长丰扬子</t>
  </si>
  <si>
    <t>Changfeng</t>
  </si>
  <si>
    <t>CHANGHE</t>
  </si>
  <si>
    <t>昌河</t>
  </si>
  <si>
    <t>CHANGZHENG</t>
  </si>
  <si>
    <t>长征</t>
  </si>
  <si>
    <t>Changzheng Auto</t>
  </si>
  <si>
    <t>CHENGDU WANGPAI</t>
  </si>
  <si>
    <t>成都王牌</t>
  </si>
  <si>
    <t>CNHTC</t>
  </si>
  <si>
    <t>奇瑞</t>
  </si>
  <si>
    <t>Chery</t>
  </si>
  <si>
    <t>CHINA FIRST TRACTOR</t>
  </si>
  <si>
    <t>中国第一拖拉机</t>
  </si>
  <si>
    <t>China First Tractor</t>
  </si>
  <si>
    <t>CHINA MOTOR</t>
  </si>
  <si>
    <t>中华汽车</t>
  </si>
  <si>
    <t>China Motor</t>
  </si>
  <si>
    <t>CHUANLU</t>
  </si>
  <si>
    <t>川路</t>
  </si>
  <si>
    <t>Dayun Motor</t>
  </si>
  <si>
    <t>COWIN</t>
  </si>
  <si>
    <t>凯翼</t>
  </si>
  <si>
    <t>CRRC</t>
  </si>
  <si>
    <t>中车电动</t>
  </si>
  <si>
    <t>DADAO</t>
  </si>
  <si>
    <t>大道</t>
  </si>
  <si>
    <t>Jiangling</t>
  </si>
  <si>
    <t>大运</t>
  </si>
  <si>
    <t>深蓝</t>
  </si>
  <si>
    <t>DELIVAN</t>
  </si>
  <si>
    <t>Delivan</t>
  </si>
  <si>
    <t>腾势</t>
  </si>
  <si>
    <t>东风小康</t>
  </si>
  <si>
    <t>Dongfeng</t>
  </si>
  <si>
    <t>东风</t>
  </si>
  <si>
    <t>DORCEN</t>
  </si>
  <si>
    <t>大乘</t>
  </si>
  <si>
    <t>Dorcen</t>
  </si>
  <si>
    <t>ENOVATE</t>
  </si>
  <si>
    <t>天际</t>
  </si>
  <si>
    <t>Enovate</t>
  </si>
  <si>
    <t>EPAI</t>
  </si>
  <si>
    <t>奕派 (eπ)</t>
  </si>
  <si>
    <t>EXEED</t>
  </si>
  <si>
    <t>星途</t>
  </si>
  <si>
    <t>EXLANTIX</t>
  </si>
  <si>
    <t>星纪</t>
  </si>
  <si>
    <t>FANGCHENGBAO</t>
  </si>
  <si>
    <t>方程豹</t>
  </si>
  <si>
    <t>远程</t>
  </si>
  <si>
    <t>一汽</t>
  </si>
  <si>
    <t>FEICHI</t>
  </si>
  <si>
    <t>飞驰</t>
  </si>
  <si>
    <t>Feichi</t>
  </si>
  <si>
    <t>FEIDIE AUTO</t>
  </si>
  <si>
    <t>飞碟</t>
  </si>
  <si>
    <t>Shandong Wuzheng</t>
  </si>
  <si>
    <t>萤火虫</t>
  </si>
  <si>
    <t>NIO</t>
  </si>
  <si>
    <t>FORTA</t>
  </si>
  <si>
    <t>福达</t>
  </si>
  <si>
    <t>Fujian Forta</t>
  </si>
  <si>
    <t>FORTHING</t>
  </si>
  <si>
    <t>风行</t>
  </si>
  <si>
    <t>福田</t>
  </si>
  <si>
    <t>FREELANDER</t>
  </si>
  <si>
    <t>神行者</t>
  </si>
  <si>
    <t>FUKANG</t>
  </si>
  <si>
    <t>富康</t>
  </si>
  <si>
    <t>广汽</t>
  </si>
  <si>
    <t>吉利</t>
  </si>
  <si>
    <t>GOLDEN DRAGON</t>
  </si>
  <si>
    <t>金旅</t>
  </si>
  <si>
    <t>King Long</t>
  </si>
  <si>
    <t>GRATOUR</t>
  </si>
  <si>
    <t>伽途</t>
  </si>
  <si>
    <t>GREAT WALL</t>
  </si>
  <si>
    <t>长城</t>
  </si>
  <si>
    <t>Great Wall</t>
  </si>
  <si>
    <t>GREEN WHEEL</t>
  </si>
  <si>
    <t>绿驰</t>
  </si>
  <si>
    <t>Green Wheel EV</t>
  </si>
  <si>
    <t>GUANGTONG</t>
  </si>
  <si>
    <t>广通</t>
  </si>
  <si>
    <t>Guangtong Bus</t>
  </si>
  <si>
    <t>GUILIN BUS</t>
  </si>
  <si>
    <t>桂林客车</t>
  </si>
  <si>
    <t>Guilin Bus</t>
  </si>
  <si>
    <t>HAIMA</t>
  </si>
  <si>
    <t>海马</t>
  </si>
  <si>
    <t>Hainan Automobile</t>
  </si>
  <si>
    <t>HANTENG</t>
  </si>
  <si>
    <t>汉腾</t>
  </si>
  <si>
    <t>Zotye</t>
  </si>
  <si>
    <t>哈弗</t>
  </si>
  <si>
    <t>HAWTAI</t>
  </si>
  <si>
    <t>华泰</t>
  </si>
  <si>
    <t>Hawtai</t>
  </si>
  <si>
    <t>HENREY</t>
  </si>
  <si>
    <t>亨瑞</t>
  </si>
  <si>
    <t>HIPHI</t>
  </si>
  <si>
    <t>高合</t>
  </si>
  <si>
    <t>Human Horizon</t>
  </si>
  <si>
    <t>HONGQI</t>
  </si>
  <si>
    <t>红旗</t>
  </si>
  <si>
    <t>HUANGHAI</t>
  </si>
  <si>
    <t>黄海</t>
  </si>
  <si>
    <t>Shuguang</t>
  </si>
  <si>
    <t>HUANSU</t>
  </si>
  <si>
    <t>幻速</t>
  </si>
  <si>
    <t>HUASONG</t>
  </si>
  <si>
    <t>华颂</t>
  </si>
  <si>
    <t>HUNAN ZOOMLION AXLE WORKS</t>
  </si>
  <si>
    <t>湖南中联车桥</t>
  </si>
  <si>
    <t>Zoomlion</t>
  </si>
  <si>
    <t>HYCAN</t>
  </si>
  <si>
    <t>合创</t>
  </si>
  <si>
    <t>ICAR</t>
  </si>
  <si>
    <t>iCAR</t>
  </si>
  <si>
    <t>ICH-X</t>
  </si>
  <si>
    <t>DR Motor</t>
  </si>
  <si>
    <t>IM</t>
  </si>
  <si>
    <t>智己</t>
  </si>
  <si>
    <t>SAIC</t>
  </si>
  <si>
    <t>江淮</t>
  </si>
  <si>
    <t>杰酷</t>
  </si>
  <si>
    <t>JETOUR</t>
  </si>
  <si>
    <t>捷途</t>
  </si>
  <si>
    <t>JIANGHUAI</t>
  </si>
  <si>
    <t>JIANGLING</t>
  </si>
  <si>
    <t>江铃</t>
  </si>
  <si>
    <t>JIHAI</t>
  </si>
  <si>
    <t>吉海</t>
  </si>
  <si>
    <t>Jihai</t>
  </si>
  <si>
    <t>JIM</t>
  </si>
  <si>
    <t>吉姆</t>
  </si>
  <si>
    <t>JINBEI</t>
  </si>
  <si>
    <t>金杯</t>
  </si>
  <si>
    <t>JINGMA</t>
  </si>
  <si>
    <t>晶马</t>
  </si>
  <si>
    <t>JIYUE</t>
  </si>
  <si>
    <t>极越</t>
  </si>
  <si>
    <t>Jidu</t>
  </si>
  <si>
    <t>JMC</t>
  </si>
  <si>
    <t>江铃汽车</t>
  </si>
  <si>
    <t>JMEV</t>
  </si>
  <si>
    <t>江铃新能源</t>
  </si>
  <si>
    <t>JUNCHI</t>
  </si>
  <si>
    <t>骏驰</t>
  </si>
  <si>
    <t>Jemmell</t>
  </si>
  <si>
    <t>KAICHENG</t>
  </si>
  <si>
    <t>开程</t>
  </si>
  <si>
    <t>KAMA</t>
  </si>
  <si>
    <t>卡玛</t>
  </si>
  <si>
    <t>Kama</t>
  </si>
  <si>
    <t>KARRY</t>
  </si>
  <si>
    <t>开瑞</t>
  </si>
  <si>
    <t>金龙</t>
  </si>
  <si>
    <t>KNEWSTAR</t>
  </si>
  <si>
    <t>新星</t>
  </si>
  <si>
    <t>KYC</t>
  </si>
  <si>
    <t>LANDIAN</t>
  </si>
  <si>
    <t>蓝电</t>
  </si>
  <si>
    <t>LANDWIND</t>
  </si>
  <si>
    <t>陆风</t>
  </si>
  <si>
    <t>LDV</t>
  </si>
  <si>
    <t>LDV/大通</t>
  </si>
  <si>
    <t>零跑</t>
  </si>
  <si>
    <t>Leapmotor</t>
  </si>
  <si>
    <t>LEOPAARD</t>
  </si>
  <si>
    <t>猎豹</t>
  </si>
  <si>
    <t>LEPAS</t>
  </si>
  <si>
    <t>莱帕斯</t>
  </si>
  <si>
    <t>LIFAN</t>
  </si>
  <si>
    <t>力帆</t>
  </si>
  <si>
    <t>Lifan</t>
  </si>
  <si>
    <t>LINGBOX</t>
  </si>
  <si>
    <t>凌宝</t>
  </si>
  <si>
    <t>LINGHUI</t>
  </si>
  <si>
    <t>凌辉</t>
  </si>
  <si>
    <t>LINGXI</t>
  </si>
  <si>
    <t>灵犀</t>
  </si>
  <si>
    <t>Honda</t>
  </si>
  <si>
    <t>LINKING</t>
  </si>
  <si>
    <t>凌科</t>
  </si>
  <si>
    <t>Linking Auto</t>
  </si>
  <si>
    <t>LINKTOUR</t>
  </si>
  <si>
    <t>领途</t>
  </si>
  <si>
    <t>Linktour</t>
  </si>
  <si>
    <t>LIVAN</t>
  </si>
  <si>
    <t>睿蓝</t>
  </si>
  <si>
    <t>LONGMA</t>
  </si>
  <si>
    <t>龙马</t>
  </si>
  <si>
    <t>Fujian Motor Industry</t>
  </si>
  <si>
    <t>LUCANO</t>
  </si>
  <si>
    <t>卢卡诺</t>
  </si>
  <si>
    <t>糯玉米</t>
  </si>
  <si>
    <t>LUSHAN</t>
  </si>
  <si>
    <t>庐山</t>
  </si>
  <si>
    <t>LUXEED</t>
  </si>
  <si>
    <t>智界</t>
  </si>
  <si>
    <t>LYNK&amp;CO</t>
  </si>
  <si>
    <t>领克</t>
  </si>
  <si>
    <t>MAPLE</t>
  </si>
  <si>
    <t>枫叶</t>
  </si>
  <si>
    <t>大通</t>
  </si>
  <si>
    <t>MENGSHI</t>
  </si>
  <si>
    <t>猛士</t>
  </si>
  <si>
    <t>名爵</t>
  </si>
  <si>
    <t>MHERO</t>
  </si>
  <si>
    <t>MODERN</t>
  </si>
  <si>
    <t>摩登</t>
  </si>
  <si>
    <t>Modern Auto</t>
  </si>
  <si>
    <t>NAMMI</t>
  </si>
  <si>
    <t>纳米</t>
  </si>
  <si>
    <t>NANJUN</t>
  </si>
  <si>
    <t>南骏</t>
  </si>
  <si>
    <t>Sichuan Nanjun</t>
  </si>
  <si>
    <t>NAVOR</t>
  </si>
  <si>
    <t>纳沃</t>
  </si>
  <si>
    <t>NEVO</t>
  </si>
  <si>
    <t>聂沃</t>
  </si>
  <si>
    <t>NEW GONOW</t>
  </si>
  <si>
    <t>新吉奥</t>
  </si>
  <si>
    <t>New Gonow</t>
  </si>
  <si>
    <t>耐克斯</t>
  </si>
  <si>
    <t>Mine Mobility</t>
  </si>
  <si>
    <t>蔚来</t>
  </si>
  <si>
    <t>欧萌达</t>
  </si>
  <si>
    <t>ONVO</t>
  </si>
  <si>
    <t>乐道</t>
  </si>
  <si>
    <t>欧拉</t>
  </si>
  <si>
    <t>OSHAN</t>
  </si>
  <si>
    <t>欧尚</t>
  </si>
  <si>
    <t>OSM</t>
  </si>
  <si>
    <t>Omega Seiki Mobility</t>
  </si>
  <si>
    <t>炮</t>
  </si>
  <si>
    <t>POLESTONES</t>
  </si>
  <si>
    <t>极石</t>
  </si>
  <si>
    <t>Rox Motor</t>
  </si>
  <si>
    <t>QINGLING</t>
  </si>
  <si>
    <t>庆铃</t>
  </si>
  <si>
    <t>Qingling</t>
  </si>
  <si>
    <t>QITENG</t>
  </si>
  <si>
    <t>启腾</t>
  </si>
  <si>
    <t>RADAR</t>
  </si>
  <si>
    <t>雷达</t>
  </si>
  <si>
    <t>REACH</t>
  </si>
  <si>
    <t>瑞驰</t>
  </si>
  <si>
    <t>Shandong Reach</t>
  </si>
  <si>
    <t>REFINE</t>
  </si>
  <si>
    <t>瑞风</t>
  </si>
  <si>
    <t>RELY</t>
  </si>
  <si>
    <t>瑞麒</t>
  </si>
  <si>
    <t>RISING</t>
  </si>
  <si>
    <t>飞凡</t>
  </si>
  <si>
    <t>ROEWE</t>
  </si>
  <si>
    <t>荣威</t>
  </si>
  <si>
    <t>RUICHI</t>
  </si>
  <si>
    <t>SANHUAN</t>
  </si>
  <si>
    <t>三环</t>
  </si>
  <si>
    <t>Hubei Sanhuan</t>
  </si>
  <si>
    <t>SEHOL</t>
  </si>
  <si>
    <t>思皓</t>
  </si>
  <si>
    <t>SENOVA</t>
  </si>
  <si>
    <t>绅宝</t>
  </si>
  <si>
    <t>SERES</t>
  </si>
  <si>
    <t>赛力斯</t>
  </si>
  <si>
    <t>SHAANXI AUTO</t>
  </si>
  <si>
    <t>陕汽</t>
  </si>
  <si>
    <t>Shaanxi Auto</t>
  </si>
  <si>
    <t>SHANDONG AUTO</t>
  </si>
  <si>
    <t>山东汽车</t>
  </si>
  <si>
    <t>Shandong Auto</t>
  </si>
  <si>
    <t>SHANDONG KAIMA</t>
  </si>
  <si>
    <t>山东凯马</t>
  </si>
  <si>
    <t>Hengtian</t>
  </si>
  <si>
    <t>SHAOLIN</t>
  </si>
  <si>
    <t>少林</t>
  </si>
  <si>
    <t>Shaolin Bus</t>
  </si>
  <si>
    <t>SHUDU</t>
  </si>
  <si>
    <t>蜀都</t>
  </si>
  <si>
    <t>Chengdu Bus</t>
  </si>
  <si>
    <t>SINOGOLD</t>
  </si>
  <si>
    <t>国金</t>
  </si>
  <si>
    <t>Sinogold</t>
  </si>
  <si>
    <t>SITECH</t>
  </si>
  <si>
    <t>新特</t>
  </si>
  <si>
    <t>Sitech</t>
  </si>
  <si>
    <t>SKYNOMAD</t>
  </si>
  <si>
    <t>天行者</t>
  </si>
  <si>
    <t>MI Auto</t>
  </si>
  <si>
    <t>SKYWELL</t>
  </si>
  <si>
    <t>开沃/天美</t>
  </si>
  <si>
    <t>SKYWORTH</t>
  </si>
  <si>
    <t>创维</t>
  </si>
  <si>
    <t>SOUEAST</t>
  </si>
  <si>
    <t>东南</t>
  </si>
  <si>
    <t>Soueast</t>
  </si>
  <si>
    <t>SPACE</t>
  </si>
  <si>
    <t>Space</t>
  </si>
  <si>
    <t>Guizhou Yuantong</t>
  </si>
  <si>
    <t>中国/其他</t>
  </si>
  <si>
    <t>SPERANZA</t>
  </si>
  <si>
    <t>斯佩兰扎</t>
  </si>
  <si>
    <t>SRKC</t>
  </si>
  <si>
    <t>Shangrao Coach</t>
  </si>
  <si>
    <t>鑫源/金杯</t>
  </si>
  <si>
    <t>SUNLONG</t>
  </si>
  <si>
    <t>申龙</t>
  </si>
  <si>
    <t>Sunlong Bus</t>
  </si>
  <si>
    <t>SUNRA</t>
  </si>
  <si>
    <t>新日</t>
  </si>
  <si>
    <t>Sunra EV</t>
  </si>
  <si>
    <t>TANGJUN</t>
  </si>
  <si>
    <t>唐骏</t>
  </si>
  <si>
    <t>Shandong Tangjun Ouling</t>
  </si>
  <si>
    <t>TANK</t>
  </si>
  <si>
    <t>坦克</t>
  </si>
  <si>
    <t>TIGER</t>
  </si>
  <si>
    <t>老虎</t>
  </si>
  <si>
    <t>TRAUM</t>
  </si>
  <si>
    <t>特锐</t>
  </si>
  <si>
    <t>VGV</t>
  </si>
  <si>
    <t>VICTORY</t>
  </si>
  <si>
    <t>胜利</t>
  </si>
  <si>
    <t>Shanxi Victory</t>
  </si>
  <si>
    <t>沃尔特</t>
  </si>
  <si>
    <t>VOYAH</t>
  </si>
  <si>
    <t>岚图</t>
  </si>
  <si>
    <t>WANDA</t>
  </si>
  <si>
    <t>万达</t>
  </si>
  <si>
    <t>WANSHAN</t>
  </si>
  <si>
    <t>万山</t>
  </si>
  <si>
    <t>Hubei</t>
  </si>
  <si>
    <t>WANXIANG</t>
  </si>
  <si>
    <t>万向</t>
  </si>
  <si>
    <t>Wanxiang Auto</t>
  </si>
  <si>
    <t>WANXIANG EV</t>
  </si>
  <si>
    <t>万向电动</t>
  </si>
  <si>
    <t>Wanxiang EV</t>
  </si>
  <si>
    <t>WEIWANG</t>
  </si>
  <si>
    <t>威望</t>
  </si>
  <si>
    <t>魏牌</t>
  </si>
  <si>
    <t>WINNERWAY</t>
  </si>
  <si>
    <t>万丰</t>
  </si>
  <si>
    <t>Winnerway Motors</t>
  </si>
  <si>
    <t>五菱</t>
  </si>
  <si>
    <t>XIAOMI</t>
  </si>
  <si>
    <t>小米</t>
  </si>
  <si>
    <t>小鹏</t>
  </si>
  <si>
    <t>Xpeng EV</t>
  </si>
  <si>
    <t>XUGONG</t>
  </si>
  <si>
    <t>徐工</t>
  </si>
  <si>
    <t>Xugong Group</t>
  </si>
  <si>
    <t>YANGWANG</t>
  </si>
  <si>
    <t>仰望</t>
  </si>
  <si>
    <t>超豪华</t>
  </si>
  <si>
    <t>YAXING</t>
  </si>
  <si>
    <t>亚星</t>
  </si>
  <si>
    <t>Weichai Power</t>
  </si>
  <si>
    <t>YEMA</t>
  </si>
  <si>
    <t>野马</t>
  </si>
  <si>
    <t>Sichuan Yema</t>
  </si>
  <si>
    <t>YINGZHI</t>
  </si>
  <si>
    <t>英致</t>
  </si>
  <si>
    <t>YIWEI</t>
  </si>
  <si>
    <t>羿维</t>
  </si>
  <si>
    <t>YOUNGMAN LOTUS</t>
  </si>
  <si>
    <t>青年莲花</t>
  </si>
  <si>
    <t>Youngman</t>
  </si>
  <si>
    <t>YUANHANG</t>
  </si>
  <si>
    <t>远航</t>
  </si>
  <si>
    <t>玉柴</t>
  </si>
  <si>
    <t>Yuchai Machinery</t>
  </si>
  <si>
    <t>YUDO</t>
  </si>
  <si>
    <t>云度</t>
  </si>
  <si>
    <t>YUEJIN</t>
  </si>
  <si>
    <t>跃进</t>
  </si>
  <si>
    <t>YULU</t>
  </si>
  <si>
    <t>御鹿</t>
  </si>
  <si>
    <t>Yulon</t>
  </si>
  <si>
    <t>YUTONG</t>
  </si>
  <si>
    <t>宇通</t>
  </si>
  <si>
    <t>Zhengzhou Yutong</t>
  </si>
  <si>
    <t>极氪</t>
  </si>
  <si>
    <t>ZHIDOU</t>
  </si>
  <si>
    <t>知豆</t>
  </si>
  <si>
    <t>ZHONGHUA</t>
  </si>
  <si>
    <t>中华</t>
  </si>
  <si>
    <t>ZHONGTONG</t>
  </si>
  <si>
    <t>中通</t>
  </si>
  <si>
    <t>Zhongtong Bus</t>
  </si>
  <si>
    <t>ZHONGXING</t>
  </si>
  <si>
    <t>中兴</t>
  </si>
  <si>
    <t>Zhongxing</t>
  </si>
  <si>
    <t>ZONSON</t>
  </si>
  <si>
    <t>众新</t>
  </si>
  <si>
    <t>Zonson Auto</t>
  </si>
  <si>
    <t>ZOTYE</t>
  </si>
  <si>
    <t>众泰</t>
  </si>
  <si>
    <t>整体市场份额</t>
  </si>
  <si>
    <t>中国品牌排名</t>
  </si>
  <si>
    <t>品牌层汇总说明</t>
  </si>
  <si>
    <t>A:E 全部为公式，用于“中国品牌市占率”报表。</t>
  </si>
  <si>
    <t>数据状态</t>
  </si>
  <si>
    <t>原始数据行数</t>
  </si>
  <si>
    <t>自动识别月份</t>
  </si>
  <si>
    <t>汇总口径</t>
  </si>
  <si>
    <t>品牌 + 车型</t>
  </si>
  <si>
    <t>前十整体车型排名</t>
  </si>
  <si>
    <t>使用说明</t>
  </si>
  <si>
    <t>每月仅需更新“Data Export”工作表：保留 A:F 字段顺序，将新月份放在月份区域最右侧。</t>
  </si>
  <si>
    <t>模板自动识别 G:CZ 最右侧非空月份；当前支持 Data Export 第2至3000行、最多1000个整体车型。</t>
  </si>
  <si>
    <t>排名结果全部由传统 Excel 公式生成；可查看“V1_Calc”A:E及H:I列中的有效公式。</t>
  </si>
  <si>
    <t>统计口径</t>
  </si>
  <si>
    <t>中国自主品牌 / 品牌+车型</t>
  </si>
  <si>
    <t>数据类型</t>
  </si>
  <si>
    <t>排名</t>
  </si>
  <si>
    <t>每月仅更新 Data Export；月份放在 G:CZ 区域最右侧，报表会自动切换到最新月份。</t>
  </si>
  <si>
    <t>中国品牌明细取自 CN_Brands；显示结果均由 V1_Calc 公式汇总和排名。</t>
  </si>
  <si>
    <t>全部品牌 / 轿车</t>
  </si>
  <si>
    <t>轿车含三厢、掀背、旅行、微型、跑车、敞篷及 Targa。</t>
  </si>
  <si>
    <t>全部品牌 / MPV</t>
  </si>
  <si>
    <t>MPV 口径包含小型MPV与客车。</t>
  </si>
  <si>
    <t>全部品牌 / SUV</t>
  </si>
  <si>
    <t>SUV 口径对应原始字段“运动型多功能车”。</t>
  </si>
  <si>
    <t>中国自主品牌 / 轿车</t>
  </si>
  <si>
    <t>先按 IHS 自主品牌筛选，再按轿车口径排名。</t>
  </si>
  <si>
    <t>中国自主品牌 / MPV</t>
  </si>
  <si>
    <t>先按 IHS 自主品牌筛选，再按 MPV 口径排名。</t>
  </si>
  <si>
    <t>中国自主品牌 / SUV</t>
  </si>
  <si>
    <t>先按 IHS 自主品牌筛选，再按 SUV 口径排名。</t>
  </si>
  <si>
    <t>整体市场销量</t>
  </si>
  <si>
    <t>市场类别</t>
  </si>
  <si>
    <t>销量</t>
  </si>
  <si>
    <t>中国品牌市占率</t>
  </si>
  <si>
    <t>中国品牌销量</t>
  </si>
  <si>
    <t>中国品牌</t>
  </si>
  <si>
    <t>其他品牌</t>
  </si>
  <si>
    <t>中国品牌内部份额</t>
  </si>
  <si>
    <t>整体月度总销量环比走势图</t>
  </si>
  <si>
    <t>最新月份</t>
  </si>
  <si>
    <t>最新月总销量</t>
  </si>
  <si>
    <t>最新月环比</t>
  </si>
  <si>
    <t>月份</t>
  </si>
  <si>
    <t>整体总销量</t>
  </si>
  <si>
    <t>环比</t>
  </si>
  <si>
    <t>趋势与排名、市占率使用相同口径：前十整体车型排名中自动识别的车辆/销量类型与国家。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</si>
</sst>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#,##0.0"/>
  </numFmts>
  <fonts count="30">
    <font>
      <sz val="11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b/>
      <sz val="11"/>
      <color rgb="FF7F6000"/>
      <name val="Calibri"/>
      <charset val="134"/>
    </font>
    <font>
      <b/>
      <sz val="11"/>
      <color rgb="FF375623"/>
      <name val="Calibri"/>
      <charset val="134"/>
    </font>
    <font>
      <sz val="11"/>
      <color rgb="FF595959"/>
      <name val="Calibri"/>
      <charset val="134"/>
    </font>
    <font>
      <sz val="11"/>
      <color rgb="FF7F6000"/>
      <name val="Calibri"/>
      <charset val="134"/>
    </font>
    <font>
      <sz val="11"/>
      <color rgb="FF375623"/>
      <name val="Calibri"/>
      <charset val="134"/>
    </font>
    <font>
      <b/>
      <sz val="11"/>
      <color rgb="FF1F4E78"/>
      <name val="Calibri"/>
      <charset val="134"/>
    </font>
    <font>
      <b/>
      <sz val="11"/>
      <color rgb="FF1F1F1F"/>
      <name val="Calibri"/>
      <charset val="134"/>
    </font>
    <font>
      <sz val="11"/>
      <color rgb="FFC40005"/>
      <name val="Verdana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7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E9EFF7"/>
      </bottom>
      <diagonal/>
    </border>
    <border>
      <left/>
      <right/>
      <top style="thin">
        <color rgb="FFE9EFF7"/>
      </top>
      <bottom style="thin">
        <color rgb="FFE9EFF7"/>
      </bottom>
      <diagonal/>
    </border>
    <border>
      <left/>
      <right/>
      <top style="thin">
        <color rgb="FFE9EFF7"/>
      </top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/>
      <right/>
      <top style="thin">
        <color rgb="FFD9E2F3"/>
      </top>
      <bottom style="thin">
        <color rgb="FF9EADBF"/>
      </bottom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/>
      <right/>
      <top style="thin">
        <color theme="4" tint="0.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1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22" applyNumberFormat="0" applyAlignment="0" applyProtection="0">
      <alignment vertical="center"/>
    </xf>
    <xf numFmtId="0" fontId="21" fillId="11" borderId="23" applyNumberFormat="0" applyAlignment="0" applyProtection="0">
      <alignment vertical="center"/>
    </xf>
    <xf numFmtId="0" fontId="22" fillId="11" borderId="22" applyNumberFormat="0" applyAlignment="0" applyProtection="0">
      <alignment vertical="center"/>
    </xf>
    <xf numFmtId="0" fontId="23" fillId="12" borderId="24" applyNumberFormat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72">
    <xf numFmtId="0" fontId="0" fillId="0" borderId="0" xfId="0" applyFo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vertical="center"/>
    </xf>
    <xf numFmtId="0" fontId="3" fillId="4" borderId="1" xfId="0" applyNumberFormat="1" applyFont="1" applyFill="1" applyBorder="1" applyAlignment="1">
      <alignment vertical="center"/>
    </xf>
    <xf numFmtId="3" fontId="4" fillId="5" borderId="1" xfId="0" applyNumberFormat="1" applyFont="1" applyFill="1" applyBorder="1" applyAlignment="1">
      <alignment vertical="center"/>
    </xf>
    <xf numFmtId="176" fontId="4" fillId="5" borderId="1" xfId="0" applyNumberFormat="1" applyFont="1" applyFill="1" applyBorder="1" applyAlignment="1">
      <alignment vertical="center"/>
    </xf>
    <xf numFmtId="0" fontId="1" fillId="6" borderId="2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vertical="center"/>
    </xf>
    <xf numFmtId="3" fontId="0" fillId="0" borderId="3" xfId="0" applyNumberFormat="1" applyFont="1" applyFill="1" applyBorder="1" applyAlignment="1">
      <alignment vertical="center"/>
    </xf>
    <xf numFmtId="176" fontId="0" fillId="0" borderId="3" xfId="0" applyNumberFormat="1" applyFont="1" applyFill="1" applyBorder="1" applyAlignment="1">
      <alignment vertical="center"/>
    </xf>
    <xf numFmtId="0" fontId="0" fillId="0" borderId="4" xfId="0" applyNumberFormat="1" applyFont="1" applyFill="1" applyBorder="1" applyAlignment="1">
      <alignment vertical="center"/>
    </xf>
    <xf numFmtId="3" fontId="0" fillId="0" borderId="4" xfId="0" applyNumberFormat="1" applyFont="1" applyFill="1" applyBorder="1" applyAlignment="1">
      <alignment vertical="center"/>
    </xf>
    <xf numFmtId="176" fontId="0" fillId="0" borderId="4" xfId="0" applyNumberFormat="1" applyFont="1" applyFill="1" applyBorder="1" applyAlignment="1">
      <alignment vertical="center"/>
    </xf>
    <xf numFmtId="0" fontId="5" fillId="7" borderId="4" xfId="0" applyNumberFormat="1" applyFont="1" applyFill="1" applyBorder="1" applyAlignment="1">
      <alignment vertical="center" wrapText="1"/>
    </xf>
    <xf numFmtId="3" fontId="5" fillId="7" borderId="4" xfId="0" applyNumberFormat="1" applyFont="1" applyFill="1" applyBorder="1" applyAlignment="1">
      <alignment vertical="center" wrapText="1"/>
    </xf>
    <xf numFmtId="176" fontId="5" fillId="7" borderId="4" xfId="0" applyNumberFormat="1" applyFont="1" applyFill="1" applyBorder="1" applyAlignment="1">
      <alignment vertical="center" wrapText="1"/>
    </xf>
    <xf numFmtId="0" fontId="5" fillId="7" borderId="0" xfId="0" applyNumberFormat="1" applyFont="1" applyFill="1" applyBorder="1" applyAlignment="1">
      <alignment vertical="center" wrapText="1"/>
    </xf>
    <xf numFmtId="0" fontId="0" fillId="0" borderId="5" xfId="0" applyNumberFormat="1" applyFont="1" applyFill="1" applyBorder="1" applyAlignment="1">
      <alignment vertical="center"/>
    </xf>
    <xf numFmtId="3" fontId="0" fillId="0" borderId="5" xfId="0" applyNumberFormat="1" applyFont="1" applyFill="1" applyBorder="1" applyAlignment="1">
      <alignment vertical="center"/>
    </xf>
    <xf numFmtId="176" fontId="0" fillId="0" borderId="5" xfId="0" applyNumberFormat="1" applyFont="1" applyFill="1" applyBorder="1" applyAlignment="1">
      <alignment vertical="center"/>
    </xf>
    <xf numFmtId="176" fontId="3" fillId="4" borderId="1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/>
    </xf>
    <xf numFmtId="3" fontId="0" fillId="0" borderId="2" xfId="0" applyNumberFormat="1" applyFont="1" applyFill="1" applyBorder="1" applyAlignment="1">
      <alignment vertical="center"/>
    </xf>
    <xf numFmtId="0" fontId="1" fillId="6" borderId="2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vertical="center"/>
    </xf>
    <xf numFmtId="3" fontId="0" fillId="0" borderId="6" xfId="0" applyNumberFormat="1" applyFont="1" applyFill="1" applyBorder="1" applyAlignment="1">
      <alignment vertical="center"/>
    </xf>
    <xf numFmtId="176" fontId="0" fillId="0" borderId="6" xfId="0" applyNumberFormat="1" applyFont="1" applyFill="1" applyBorder="1" applyAlignment="1">
      <alignment vertical="center"/>
    </xf>
    <xf numFmtId="0" fontId="0" fillId="0" borderId="7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vertical="center"/>
    </xf>
    <xf numFmtId="3" fontId="0" fillId="0" borderId="7" xfId="0" applyNumberFormat="1" applyFont="1" applyFill="1" applyBorder="1" applyAlignment="1">
      <alignment vertical="center"/>
    </xf>
    <xf numFmtId="176" fontId="0" fillId="0" borderId="7" xfId="0" applyNumberFormat="1" applyFont="1" applyFill="1" applyBorder="1" applyAlignment="1">
      <alignment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vertical="center"/>
    </xf>
    <xf numFmtId="3" fontId="0" fillId="0" borderId="8" xfId="0" applyNumberFormat="1" applyFont="1" applyFill="1" applyBorder="1" applyAlignment="1">
      <alignment vertical="center"/>
    </xf>
    <xf numFmtId="176" fontId="0" fillId="0" borderId="8" xfId="0" applyNumberFormat="1" applyFont="1" applyFill="1" applyBorder="1" applyAlignment="1">
      <alignment vertical="center"/>
    </xf>
    <xf numFmtId="0" fontId="2" fillId="3" borderId="9" xfId="0" applyNumberFormat="1" applyFont="1" applyFill="1" applyBorder="1" applyAlignment="1">
      <alignment vertical="center"/>
    </xf>
    <xf numFmtId="0" fontId="6" fillId="4" borderId="10" xfId="0" applyNumberFormat="1" applyFont="1" applyFill="1" applyBorder="1" applyAlignment="1">
      <alignment vertical="center"/>
    </xf>
    <xf numFmtId="0" fontId="2" fillId="3" borderId="10" xfId="0" applyNumberFormat="1" applyFont="1" applyFill="1" applyBorder="1" applyAlignment="1">
      <alignment vertical="center"/>
    </xf>
    <xf numFmtId="0" fontId="7" fillId="5" borderId="10" xfId="0" applyNumberFormat="1" applyFont="1" applyFill="1" applyBorder="1" applyAlignment="1">
      <alignment vertical="center"/>
    </xf>
    <xf numFmtId="0" fontId="7" fillId="5" borderId="11" xfId="0" applyNumberFormat="1" applyFont="1" applyFill="1" applyBorder="1" applyAlignment="1">
      <alignment vertical="center"/>
    </xf>
    <xf numFmtId="0" fontId="2" fillId="3" borderId="12" xfId="0" applyNumberFormat="1" applyFont="1" applyFill="1" applyBorder="1" applyAlignment="1">
      <alignment vertical="center"/>
    </xf>
    <xf numFmtId="0" fontId="6" fillId="4" borderId="13" xfId="0" applyNumberFormat="1" applyFont="1" applyFill="1" applyBorder="1" applyAlignment="1">
      <alignment vertical="center"/>
    </xf>
    <xf numFmtId="0" fontId="2" fillId="3" borderId="13" xfId="0" applyNumberFormat="1" applyFont="1" applyFill="1" applyBorder="1" applyAlignment="1">
      <alignment vertical="center"/>
    </xf>
    <xf numFmtId="0" fontId="7" fillId="5" borderId="13" xfId="0" applyNumberFormat="1" applyFont="1" applyFill="1" applyBorder="1" applyAlignment="1">
      <alignment vertical="center"/>
    </xf>
    <xf numFmtId="0" fontId="7" fillId="5" borderId="14" xfId="0" applyNumberFormat="1" applyFont="1" applyFill="1" applyBorder="1" applyAlignment="1">
      <alignment vertical="center"/>
    </xf>
    <xf numFmtId="0" fontId="0" fillId="0" borderId="15" xfId="0" applyNumberFormat="1" applyFont="1" applyFill="1" applyBorder="1" applyAlignment="1">
      <alignment horizontal="center" vertical="center"/>
    </xf>
    <xf numFmtId="0" fontId="0" fillId="0" borderId="15" xfId="0" applyNumberFormat="1" applyFont="1" applyFill="1" applyBorder="1" applyAlignment="1">
      <alignment vertical="center"/>
    </xf>
    <xf numFmtId="3" fontId="0" fillId="0" borderId="15" xfId="0" applyNumberFormat="1" applyFont="1" applyFill="1" applyBorder="1" applyAlignment="1">
      <alignment vertical="center"/>
    </xf>
    <xf numFmtId="0" fontId="8" fillId="3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 wrapText="1"/>
    </xf>
    <xf numFmtId="0" fontId="9" fillId="3" borderId="9" xfId="0" applyNumberFormat="1" applyFont="1" applyFill="1" applyBorder="1" applyAlignment="1">
      <alignment vertical="center"/>
    </xf>
    <xf numFmtId="0" fontId="9" fillId="3" borderId="10" xfId="0" applyNumberFormat="1" applyFont="1" applyFill="1" applyBorder="1" applyAlignment="1">
      <alignment vertical="center"/>
    </xf>
    <xf numFmtId="0" fontId="9" fillId="3" borderId="16" xfId="0" applyNumberFormat="1" applyFont="1" applyFill="1" applyBorder="1" applyAlignment="1">
      <alignment vertical="center"/>
    </xf>
    <xf numFmtId="0" fontId="6" fillId="4" borderId="0" xfId="0" applyNumberFormat="1" applyFont="1" applyFill="1" applyBorder="1" applyAlignment="1">
      <alignment vertical="center"/>
    </xf>
    <xf numFmtId="0" fontId="9" fillId="3" borderId="0" xfId="0" applyNumberFormat="1" applyFont="1" applyFill="1" applyBorder="1" applyAlignment="1">
      <alignment vertical="center"/>
    </xf>
    <xf numFmtId="0" fontId="7" fillId="5" borderId="17" xfId="0" applyNumberFormat="1" applyFont="1" applyFill="1" applyBorder="1" applyAlignment="1">
      <alignment vertical="center"/>
    </xf>
    <xf numFmtId="0" fontId="9" fillId="3" borderId="12" xfId="0" applyNumberFormat="1" applyFont="1" applyFill="1" applyBorder="1" applyAlignment="1">
      <alignment vertical="center"/>
    </xf>
    <xf numFmtId="0" fontId="9" fillId="3" borderId="13" xfId="0" applyNumberFormat="1" applyFont="1" applyFill="1" applyBorder="1" applyAlignment="1">
      <alignment vertical="center"/>
    </xf>
    <xf numFmtId="0" fontId="0" fillId="0" borderId="0" xfId="0" applyFont="1" applyBorder="1">
      <alignment vertical="center"/>
    </xf>
    <xf numFmtId="0" fontId="0" fillId="0" borderId="18" xfId="0" applyFont="1" applyBorder="1">
      <alignment vertical="center"/>
    </xf>
    <xf numFmtId="0" fontId="1" fillId="6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0" fontId="5" fillId="7" borderId="0" xfId="0" applyNumberFormat="1" applyFont="1" applyFill="1" applyBorder="1" applyAlignment="1">
      <alignment vertical="center"/>
    </xf>
    <xf numFmtId="0" fontId="9" fillId="8" borderId="0" xfId="0" applyNumberFormat="1" applyFont="1" applyFill="1" applyBorder="1" applyAlignment="1">
      <alignment horizontal="center" vertical="center"/>
    </xf>
    <xf numFmtId="0" fontId="10" fillId="0" borderId="0" xfId="0" applyFont="1" applyAlignment="1"/>
    <xf numFmtId="3" fontId="0" fillId="0" borderId="0" xfId="0" applyNumberFormat="1" applyFont="1" applyAlignment="1"/>
    <xf numFmtId="177" fontId="0" fillId="0" borderId="0" xfId="0" applyNumberFormat="1" applyFont="1" applyAlignment="1"/>
    <xf numFmtId="1" fontId="0" fillId="0" borderId="0" xfId="0" applyNumberFormat="1" applyFont="1" applyAlignment="1"/>
    <xf numFmtId="3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75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中国品牌与其他品牌市场份额</a:t>
            </a:r>
            <a:endParaRPr sz="975" b="1" i="0" u="none">
              <a:solidFill>
                <a:schemeClr val="tx1"/>
              </a:solidFill>
              <a:latin typeface="+mn-lt"/>
              <a:ea typeface="+mn-lt"/>
              <a:cs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"销量"</c:f>
              <c:strCache>
                <c:ptCount val="1"/>
                <c:pt idx="0">
                  <c:v>销量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中国品牌市占率!$G$3:$G$4</c:f>
              <c:strCache>
                <c:ptCount val="2"/>
                <c:pt idx="0">
                  <c:v>中国品牌</c:v>
                </c:pt>
                <c:pt idx="1">
                  <c:v>其他品牌</c:v>
                </c:pt>
              </c:strCache>
            </c:strRef>
          </c:cat>
          <c:val>
            <c:numRef>
              <c:f>中国品牌市占率!$H$3:$H$4</c:f>
              <c:numCache>
                <c:formatCode>#,##0</c:formatCode>
                <c:ptCount val="2"/>
                <c:pt idx="0">
                  <c:v>20940</c:v>
                </c:pt>
                <c:pt idx="1">
                  <c:v>25290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750" b="0" i="0" u="none" strike="noStrike" kern="1200" baseline="0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de35a9-01e2-4b68-ab42-9e51308488bf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75"/>
              <a:t>中国品牌内部销量构成</a:t>
            </a:r>
            <a:endParaRPr sz="975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dPt>
            <c:idx val="11"/>
            <c:bubble3D val="0"/>
          </c:dPt>
          <c:dPt>
            <c:idx val="12"/>
            <c:bubble3D val="0"/>
          </c:dPt>
          <c:dPt>
            <c:idx val="13"/>
            <c:bubble3D val="0"/>
          </c:dPt>
          <c:dPt>
            <c:idx val="14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中国品牌市占率!$B$7:$B$21</c:f>
              <c:strCache>
                <c:ptCount val="15"/>
                <c:pt idx="0">
                  <c:v>BYD</c:v>
                </c:pt>
                <c:pt idx="1">
                  <c:v>GEELY</c:v>
                </c:pt>
                <c:pt idx="2">
                  <c:v>MG</c:v>
                </c:pt>
                <c:pt idx="3">
                  <c:v>JAECOO</c:v>
                </c:pt>
                <c:pt idx="4">
                  <c:v>GWM</c:v>
                </c:pt>
                <c:pt idx="5">
                  <c:v>AION</c:v>
                </c:pt>
                <c:pt idx="6">
                  <c:v>DEEPAL</c:v>
                </c:pt>
                <c:pt idx="7">
                  <c:v>CHERY</c:v>
                </c:pt>
                <c:pt idx="8">
                  <c:v>ZEEKR</c:v>
                </c:pt>
                <c:pt idx="9">
                  <c:v>XPENG</c:v>
                </c:pt>
                <c:pt idx="10">
                  <c:v>CHANGAN</c:v>
                </c:pt>
                <c:pt idx="11">
                  <c:v>OMODA</c:v>
                </c:pt>
                <c:pt idx="12">
                  <c:v>AVATR</c:v>
                </c:pt>
                <c:pt idx="13">
                  <c:v>WULING</c:v>
                </c:pt>
                <c:pt idx="14">
                  <c:v>HAVAL</c:v>
                </c:pt>
              </c:strCache>
            </c:strRef>
          </c:cat>
          <c:val>
            <c:numRef>
              <c:f>中国品牌市占率!$C$7:$C$21</c:f>
              <c:numCache>
                <c:formatCode>#,##0</c:formatCode>
                <c:ptCount val="15"/>
                <c:pt idx="0">
                  <c:v>3178</c:v>
                </c:pt>
                <c:pt idx="1">
                  <c:v>3011</c:v>
                </c:pt>
                <c:pt idx="2">
                  <c:v>2859</c:v>
                </c:pt>
                <c:pt idx="3">
                  <c:v>2808</c:v>
                </c:pt>
                <c:pt idx="4">
                  <c:v>1927</c:v>
                </c:pt>
                <c:pt idx="5">
                  <c:v>1727</c:v>
                </c:pt>
                <c:pt idx="6">
                  <c:v>1572</c:v>
                </c:pt>
                <c:pt idx="7">
                  <c:v>778</c:v>
                </c:pt>
                <c:pt idx="8">
                  <c:v>722</c:v>
                </c:pt>
                <c:pt idx="9">
                  <c:v>658</c:v>
                </c:pt>
                <c:pt idx="10">
                  <c:v>513</c:v>
                </c:pt>
                <c:pt idx="11">
                  <c:v>487</c:v>
                </c:pt>
                <c:pt idx="12">
                  <c:v>199</c:v>
                </c:pt>
                <c:pt idx="13">
                  <c:v>171</c:v>
                </c:pt>
                <c:pt idx="14">
                  <c:v>137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675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4c5220-8082-4a9a-a544-d0b4489f818c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中国品牌市占率!$D$6</c:f>
              <c:strCache>
                <c:ptCount val="1"/>
                <c:pt idx="0">
                  <c:v>整体市场份额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中国品牌市占率!$B$7:$B$20</c:f>
              <c:strCache>
                <c:ptCount val="14"/>
                <c:pt idx="0">
                  <c:v>BYD</c:v>
                </c:pt>
                <c:pt idx="1">
                  <c:v>GEELY</c:v>
                </c:pt>
                <c:pt idx="2">
                  <c:v>MG</c:v>
                </c:pt>
                <c:pt idx="3">
                  <c:v>JAECOO</c:v>
                </c:pt>
                <c:pt idx="4">
                  <c:v>GWM</c:v>
                </c:pt>
                <c:pt idx="5">
                  <c:v>AION</c:v>
                </c:pt>
                <c:pt idx="6">
                  <c:v>DEEPAL</c:v>
                </c:pt>
                <c:pt idx="7">
                  <c:v>CHERY</c:v>
                </c:pt>
                <c:pt idx="8">
                  <c:v>ZEEKR</c:v>
                </c:pt>
                <c:pt idx="9">
                  <c:v>XPENG</c:v>
                </c:pt>
                <c:pt idx="10">
                  <c:v>CHANGAN</c:v>
                </c:pt>
                <c:pt idx="11">
                  <c:v>OMODA</c:v>
                </c:pt>
                <c:pt idx="12">
                  <c:v>AVATR</c:v>
                </c:pt>
                <c:pt idx="13">
                  <c:v>WULING</c:v>
                </c:pt>
              </c:strCache>
            </c:strRef>
          </c:cat>
          <c:val>
            <c:numRef>
              <c:f>中国品牌市占率!$D$7:$D$18</c:f>
              <c:numCache>
                <c:formatCode>0.0%</c:formatCode>
                <c:ptCount val="12"/>
                <c:pt idx="0">
                  <c:v>0.0687432403201384</c:v>
                </c:pt>
                <c:pt idx="1">
                  <c:v>0.0651308674021198</c:v>
                </c:pt>
                <c:pt idx="2">
                  <c:v>0.0618429591174562</c:v>
                </c:pt>
                <c:pt idx="3">
                  <c:v>0.0607397793640493</c:v>
                </c:pt>
                <c:pt idx="4">
                  <c:v>0.0416828898983344</c:v>
                </c:pt>
                <c:pt idx="5">
                  <c:v>0.0373566947869349</c:v>
                </c:pt>
                <c:pt idx="6">
                  <c:v>0.0340038935756003</c:v>
                </c:pt>
                <c:pt idx="7">
                  <c:v>0.0168288989833441</c:v>
                </c:pt>
                <c:pt idx="8">
                  <c:v>0.0156175643521523</c:v>
                </c:pt>
                <c:pt idx="9">
                  <c:v>0.0142331819165044</c:v>
                </c:pt>
                <c:pt idx="10">
                  <c:v>0.0110966904607398</c:v>
                </c:pt>
                <c:pt idx="11">
                  <c:v>0.0105342850962578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473684210526"/>
          <c:y val="0.164351851851852"/>
          <c:w val="0.169736842105263"/>
          <c:h val="0.77245370370370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75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整体月度总销量趋势</a:t>
            </a:r>
            <a:endParaRPr sz="975" b="1" i="0" u="none">
              <a:solidFill>
                <a:schemeClr val="tx1"/>
              </a:solidFill>
              <a:latin typeface="+mn-lt"/>
              <a:ea typeface="+mn-lt"/>
              <a:cs typeface="+mn-lt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516161616161616"/>
          <c:y val="0.124904214559387"/>
          <c:w val="0.930707070707071"/>
          <c:h val="0.804367816091954"/>
        </c:manualLayout>
      </c:layout>
      <c:lineChart>
        <c:grouping val="standard"/>
        <c:varyColors val="0"/>
        <c:ser>
          <c:idx val="0"/>
          <c:order val="0"/>
          <c:tx>
            <c:strRef>
              <c:f>"整体总销量"</c:f>
              <c:strCache>
                <c:ptCount val="1"/>
                <c:pt idx="0">
                  <c:v>整体总销量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[0]!V3_Trend_Months</c:f>
              <c:strCache>
                <c:ptCount val="8"/>
                <c:pt idx="0">
                  <c:v>2025 十二月</c:v>
                </c:pt>
                <c:pt idx="1">
                  <c:v>2026 一月</c:v>
                </c:pt>
                <c:pt idx="2">
                  <c:v>2026 二月</c:v>
                </c:pt>
                <c:pt idx="3">
                  <c:v>2026 三月</c:v>
                </c:pt>
                <c:pt idx="4">
                  <c:v>2026 四月</c:v>
                </c:pt>
                <c:pt idx="5">
                  <c:v>2026 五月</c:v>
                </c:pt>
                <c:pt idx="6">
                  <c:v>2026 六月</c:v>
                </c:pt>
                <c:pt idx="7">
                  <c:v>2026 七月</c:v>
                </c:pt>
              </c:strCache>
            </c:strRef>
          </c:cat>
          <c:val>
            <c:numRef>
              <c:f>[0]!V3_Trend_Sales</c:f>
              <c:numCache>
                <c:formatCode>#,##0</c:formatCode>
                <c:ptCount val="8"/>
                <c:pt idx="0">
                  <c:v>32687</c:v>
                </c:pt>
                <c:pt idx="1">
                  <c:v>78058</c:v>
                </c:pt>
                <c:pt idx="2">
                  <c:v>35025</c:v>
                </c:pt>
                <c:pt idx="3">
                  <c:v>43313</c:v>
                </c:pt>
                <c:pt idx="4">
                  <c:v>36569</c:v>
                </c:pt>
                <c:pt idx="5">
                  <c:v>48636</c:v>
                </c:pt>
                <c:pt idx="6">
                  <c:v>48917</c:v>
                </c:pt>
                <c:pt idx="7">
                  <c:v>46230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6b76ecb-e21f-40b5-a91a-570a4965fe8d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5</xdr:row>
      <xdr:rowOff>0</xdr:rowOff>
    </xdr:from>
    <xdr:to>
      <xdr:col>14</xdr:col>
      <xdr:colOff>0</xdr:colOff>
      <xdr:row>21</xdr:row>
      <xdr:rowOff>0</xdr:rowOff>
    </xdr:to>
    <xdr:graphicFrame>
      <xdr:nvGraphicFramePr>
        <xdr:cNvPr id="2" name="Chart"/>
        <xdr:cNvGraphicFramePr/>
      </xdr:nvGraphicFramePr>
      <xdr:xfrm>
        <a:off x="7753350" y="1143000"/>
        <a:ext cx="6076950" cy="294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14</xdr:col>
      <xdr:colOff>0</xdr:colOff>
      <xdr:row>44</xdr:row>
      <xdr:rowOff>0</xdr:rowOff>
    </xdr:to>
    <xdr:graphicFrame>
      <xdr:nvGraphicFramePr>
        <xdr:cNvPr id="3" name="Chart"/>
        <xdr:cNvGraphicFramePr/>
      </xdr:nvGraphicFramePr>
      <xdr:xfrm>
        <a:off x="7753350" y="4273550"/>
        <a:ext cx="6076950" cy="405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1308100</xdr:colOff>
      <xdr:row>36</xdr:row>
      <xdr:rowOff>158750</xdr:rowOff>
    </xdr:from>
    <xdr:to>
      <xdr:col>5</xdr:col>
      <xdr:colOff>196850</xdr:colOff>
      <xdr:row>51</xdr:row>
      <xdr:rowOff>139700</xdr:rowOff>
    </xdr:to>
    <xdr:graphicFrame>
      <xdr:nvGraphicFramePr>
        <xdr:cNvPr id="4" name="图表 3"/>
        <xdr:cNvGraphicFramePr/>
      </xdr:nvGraphicFramePr>
      <xdr:xfrm>
        <a:off x="2495550" y="70104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4</xdr:row>
      <xdr:rowOff>0</xdr:rowOff>
    </xdr:from>
    <xdr:to>
      <xdr:col>13</xdr:col>
      <xdr:colOff>0</xdr:colOff>
      <xdr:row>22</xdr:row>
      <xdr:rowOff>0</xdr:rowOff>
    </xdr:to>
    <xdr:graphicFrame>
      <xdr:nvGraphicFramePr>
        <xdr:cNvPr id="2" name="Chart"/>
        <xdr:cNvGraphicFramePr/>
      </xdr:nvGraphicFramePr>
      <xdr:xfrm>
        <a:off x="4140200" y="958850"/>
        <a:ext cx="7543800" cy="3314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1"/>
  <sheetViews>
    <sheetView workbookViewId="0">
      <selection activeCell="A1" sqref="A1"/>
    </sheetView>
  </sheetViews>
  <sheetFormatPr defaultColWidth="8.72727272727273" defaultRowHeight="14.5"/>
  <cols>
    <col min="1" max="1" width="26"/>
    <col min="2" max="10" width="19.6363636363636"/>
    <col min="11" max="417" width="26"/>
    <col min="418" max="418" width="5.54545454545455"/>
  </cols>
  <sheetData>
    <row r="1" spans="1:10">
      <c r="A1" t="s">
        <v>0</v>
      </c>
      <c r="B1" t="s">
        <v>1</v>
      </c>
    </row>
    <row r="2" spans="1:10">
      <c r="A2" t="s">
        <v>2</v>
      </c>
      <c r="B2" t="s">
        <v>2</v>
      </c>
    </row>
    <row r="3" spans="1:10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</row>
    <row r="4" spans="1:10">
      <c r="A4" t="s">
        <v>13</v>
      </c>
      <c r="B4" s="71">
        <v>0</v>
      </c>
      <c r="C4">
        <v>84</v>
      </c>
      <c r="D4">
        <v>145</v>
      </c>
      <c r="E4">
        <v>34</v>
      </c>
      <c r="F4">
        <v>41</v>
      </c>
      <c r="G4">
        <v>28</v>
      </c>
      <c r="H4">
        <v>34</v>
      </c>
      <c r="I4">
        <v>42</v>
      </c>
      <c r="J4">
        <v>44</v>
      </c>
    </row>
    <row r="5" spans="1:10">
      <c r="A5" t="s">
        <v>14</v>
      </c>
      <c r="B5" s="71">
        <v>0</v>
      </c>
      <c r="C5">
        <v>2</v>
      </c>
      <c r="D5">
        <v>2</v>
      </c>
      <c r="E5">
        <v>3</v>
      </c>
      <c r="F5">
        <v>5</v>
      </c>
      <c r="G5">
        <v>3</v>
      </c>
      <c r="H5">
        <v>8</v>
      </c>
      <c r="I5">
        <v>5</v>
      </c>
      <c r="J5">
        <v>1</v>
      </c>
    </row>
    <row r="6" spans="1:10">
      <c r="A6" t="s">
        <v>15</v>
      </c>
      <c r="B6" s="71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</row>
    <row r="7" spans="1:10">
      <c r="A7" t="s">
        <v>16</v>
      </c>
      <c r="B7" s="71">
        <v>0</v>
      </c>
      <c r="C7">
        <v>1902</v>
      </c>
      <c r="D7">
        <v>3963</v>
      </c>
      <c r="E7">
        <v>3095</v>
      </c>
      <c r="F7">
        <v>3568</v>
      </c>
      <c r="G7">
        <v>2928</v>
      </c>
      <c r="H7">
        <v>3139</v>
      </c>
      <c r="I7">
        <v>3132</v>
      </c>
      <c r="J7">
        <v>2671</v>
      </c>
    </row>
    <row r="8" spans="1:10">
      <c r="A8" t="s">
        <v>17</v>
      </c>
      <c r="B8" s="71">
        <v>0</v>
      </c>
      <c r="C8">
        <v>3530</v>
      </c>
      <c r="D8">
        <v>7283</v>
      </c>
      <c r="E8">
        <v>6051</v>
      </c>
      <c r="F8">
        <v>6405</v>
      </c>
      <c r="G8">
        <v>5430</v>
      </c>
      <c r="H8">
        <v>5716</v>
      </c>
      <c r="I8">
        <v>5994</v>
      </c>
      <c r="J8">
        <v>5691</v>
      </c>
    </row>
    <row r="9" spans="1:10">
      <c r="A9" t="s">
        <v>18</v>
      </c>
      <c r="B9" s="71">
        <v>0</v>
      </c>
      <c r="C9">
        <v>291</v>
      </c>
      <c r="D9">
        <v>362</v>
      </c>
      <c r="E9">
        <v>314</v>
      </c>
      <c r="F9">
        <v>423</v>
      </c>
      <c r="G9">
        <v>348</v>
      </c>
      <c r="H9">
        <v>317</v>
      </c>
      <c r="I9">
        <v>350</v>
      </c>
      <c r="J9">
        <v>332</v>
      </c>
    </row>
    <row r="10" spans="1:10">
      <c r="A10" t="s">
        <v>19</v>
      </c>
      <c r="B10" s="71">
        <v>0</v>
      </c>
      <c r="C10">
        <v>122</v>
      </c>
      <c r="D10">
        <v>1791</v>
      </c>
      <c r="E10">
        <v>8</v>
      </c>
      <c r="F10">
        <v>18</v>
      </c>
      <c r="G10">
        <v>29</v>
      </c>
      <c r="H10">
        <v>140</v>
      </c>
      <c r="I10">
        <v>103</v>
      </c>
      <c r="J10">
        <v>112</v>
      </c>
    </row>
    <row r="11" spans="1:10">
      <c r="A11" t="s">
        <v>20</v>
      </c>
      <c r="B11" s="71">
        <v>0</v>
      </c>
      <c r="C11">
        <v>7</v>
      </c>
      <c r="D11">
        <v>34</v>
      </c>
      <c r="E11">
        <v>20</v>
      </c>
      <c r="F11">
        <v>17</v>
      </c>
      <c r="G11">
        <v>6</v>
      </c>
      <c r="H11">
        <v>5</v>
      </c>
      <c r="I11">
        <v>3</v>
      </c>
      <c r="J11">
        <v>0</v>
      </c>
    </row>
    <row r="12" spans="1:10">
      <c r="A12" t="s">
        <v>21</v>
      </c>
      <c r="B12" s="71">
        <v>0</v>
      </c>
      <c r="C12">
        <v>4</v>
      </c>
      <c r="D12">
        <v>25</v>
      </c>
      <c r="E12">
        <v>33</v>
      </c>
      <c r="F12">
        <v>41</v>
      </c>
      <c r="G12">
        <v>48</v>
      </c>
      <c r="H12">
        <v>31</v>
      </c>
      <c r="I12">
        <v>35</v>
      </c>
      <c r="J12">
        <v>23</v>
      </c>
    </row>
    <row r="13" spans="1:10">
      <c r="A13" t="s">
        <v>22</v>
      </c>
      <c r="B13" s="71">
        <v>0</v>
      </c>
      <c r="C13">
        <v>288</v>
      </c>
      <c r="D13">
        <v>463</v>
      </c>
      <c r="E13">
        <v>469</v>
      </c>
      <c r="F13">
        <v>512</v>
      </c>
      <c r="G13">
        <v>438</v>
      </c>
      <c r="H13">
        <v>575</v>
      </c>
      <c r="I13">
        <v>386</v>
      </c>
      <c r="J13">
        <v>372</v>
      </c>
    </row>
    <row r="14" spans="1:10">
      <c r="A14" t="s">
        <v>23</v>
      </c>
      <c r="B14" s="71">
        <v>0</v>
      </c>
      <c r="C14">
        <v>1</v>
      </c>
      <c r="D14">
        <v>3</v>
      </c>
      <c r="E14">
        <v>7</v>
      </c>
      <c r="F14">
        <v>9</v>
      </c>
      <c r="G14">
        <v>9</v>
      </c>
      <c r="H14">
        <v>3</v>
      </c>
      <c r="I14">
        <v>3</v>
      </c>
      <c r="J14">
        <v>7</v>
      </c>
    </row>
    <row r="15" spans="1:10">
      <c r="A15" t="s">
        <v>24</v>
      </c>
      <c r="B15" s="71">
        <v>0</v>
      </c>
      <c r="C15">
        <v>12</v>
      </c>
      <c r="D15">
        <v>11</v>
      </c>
      <c r="E15">
        <v>17</v>
      </c>
      <c r="F15">
        <v>19</v>
      </c>
      <c r="G15">
        <v>15</v>
      </c>
      <c r="H15">
        <v>10</v>
      </c>
      <c r="I15">
        <v>13</v>
      </c>
      <c r="J15">
        <v>12</v>
      </c>
    </row>
    <row r="16" spans="1:10">
      <c r="A16" t="s">
        <v>25</v>
      </c>
      <c r="B16" s="71">
        <v>0</v>
      </c>
      <c r="C16">
        <v>419</v>
      </c>
      <c r="D16">
        <v>910</v>
      </c>
      <c r="E16">
        <v>799</v>
      </c>
      <c r="F16">
        <v>955</v>
      </c>
      <c r="G16">
        <v>801</v>
      </c>
      <c r="H16">
        <v>1083</v>
      </c>
      <c r="I16">
        <v>756</v>
      </c>
      <c r="J16">
        <v>718</v>
      </c>
    </row>
    <row r="17" spans="1:10">
      <c r="A17" t="s">
        <v>26</v>
      </c>
      <c r="B17" s="71">
        <v>0</v>
      </c>
      <c r="C17">
        <v>0</v>
      </c>
      <c r="D17">
        <v>0</v>
      </c>
      <c r="E17">
        <v>0</v>
      </c>
      <c r="F17">
        <v>2</v>
      </c>
      <c r="G17">
        <v>0</v>
      </c>
      <c r="H17">
        <v>2</v>
      </c>
      <c r="I17">
        <v>0</v>
      </c>
      <c r="J17">
        <v>0</v>
      </c>
    </row>
    <row r="18" spans="1:10">
      <c r="A18" t="s">
        <v>27</v>
      </c>
      <c r="B18" s="71">
        <v>0</v>
      </c>
      <c r="C18">
        <v>10</v>
      </c>
      <c r="D18">
        <v>11</v>
      </c>
      <c r="E18">
        <v>9</v>
      </c>
      <c r="F18">
        <v>11</v>
      </c>
      <c r="G18">
        <v>7</v>
      </c>
      <c r="H18">
        <v>8</v>
      </c>
      <c r="I18">
        <v>4</v>
      </c>
      <c r="J18">
        <v>1</v>
      </c>
    </row>
    <row r="19" spans="1:10">
      <c r="A19" t="s">
        <v>28</v>
      </c>
      <c r="B19" s="71">
        <v>0</v>
      </c>
      <c r="C19">
        <v>11</v>
      </c>
      <c r="D19">
        <v>32</v>
      </c>
      <c r="E19">
        <v>26</v>
      </c>
      <c r="F19">
        <v>26</v>
      </c>
      <c r="G19">
        <v>15</v>
      </c>
      <c r="H19">
        <v>13</v>
      </c>
      <c r="I19">
        <v>11</v>
      </c>
      <c r="J19">
        <v>11</v>
      </c>
    </row>
    <row r="20" spans="1:10">
      <c r="A20" t="s">
        <v>29</v>
      </c>
      <c r="B20" s="71">
        <v>0</v>
      </c>
      <c r="C20">
        <v>1</v>
      </c>
      <c r="D20">
        <v>9</v>
      </c>
      <c r="E20">
        <v>1</v>
      </c>
      <c r="F20">
        <v>6</v>
      </c>
      <c r="G20">
        <v>1</v>
      </c>
      <c r="H20">
        <v>4</v>
      </c>
      <c r="I20">
        <v>3</v>
      </c>
      <c r="J20">
        <v>1</v>
      </c>
    </row>
    <row r="21" spans="1:10">
      <c r="A21" t="s">
        <v>30</v>
      </c>
      <c r="B21" s="71">
        <v>0</v>
      </c>
      <c r="C21">
        <v>101</v>
      </c>
      <c r="D21">
        <v>168</v>
      </c>
      <c r="E21">
        <v>136</v>
      </c>
      <c r="F21">
        <v>168</v>
      </c>
      <c r="G21">
        <v>109</v>
      </c>
      <c r="H21">
        <v>188</v>
      </c>
      <c r="I21">
        <v>343</v>
      </c>
      <c r="J21">
        <v>314</v>
      </c>
    </row>
    <row r="22" spans="1:10">
      <c r="A22" t="s">
        <v>31</v>
      </c>
      <c r="B22" s="71">
        <v>0</v>
      </c>
      <c r="C22">
        <v>9</v>
      </c>
      <c r="D22">
        <v>8</v>
      </c>
      <c r="E22">
        <v>12</v>
      </c>
      <c r="F22">
        <v>10</v>
      </c>
      <c r="G22">
        <v>9</v>
      </c>
      <c r="H22">
        <v>7</v>
      </c>
      <c r="I22">
        <v>9</v>
      </c>
      <c r="J22">
        <v>6</v>
      </c>
    </row>
    <row r="23" spans="1:10">
      <c r="A23" t="s">
        <v>32</v>
      </c>
      <c r="B23" s="71">
        <v>0</v>
      </c>
      <c r="C23">
        <v>13</v>
      </c>
      <c r="D23">
        <v>11</v>
      </c>
      <c r="E23">
        <v>11</v>
      </c>
      <c r="F23">
        <v>16</v>
      </c>
      <c r="G23">
        <v>10</v>
      </c>
      <c r="H23">
        <v>15</v>
      </c>
      <c r="I23">
        <v>10</v>
      </c>
      <c r="J23">
        <v>9</v>
      </c>
    </row>
    <row r="24" spans="1:10">
      <c r="A24" t="s">
        <v>33</v>
      </c>
      <c r="B24" s="71">
        <v>0</v>
      </c>
      <c r="C24">
        <v>25</v>
      </c>
      <c r="D24">
        <v>41</v>
      </c>
      <c r="E24">
        <v>39</v>
      </c>
      <c r="F24">
        <v>36</v>
      </c>
      <c r="G24">
        <v>22</v>
      </c>
      <c r="H24">
        <v>27</v>
      </c>
      <c r="I24">
        <v>45</v>
      </c>
      <c r="J24">
        <v>38</v>
      </c>
    </row>
    <row r="25" spans="1:10">
      <c r="A25" t="s">
        <v>34</v>
      </c>
      <c r="B25" s="71">
        <v>0</v>
      </c>
      <c r="C25">
        <v>10</v>
      </c>
      <c r="D25">
        <v>19</v>
      </c>
      <c r="E25">
        <v>13</v>
      </c>
      <c r="F25">
        <v>22</v>
      </c>
      <c r="G25">
        <v>16</v>
      </c>
      <c r="H25">
        <v>11</v>
      </c>
      <c r="I25">
        <v>15</v>
      </c>
      <c r="J25">
        <v>14</v>
      </c>
    </row>
    <row r="26" spans="1:10">
      <c r="A26" t="s">
        <v>35</v>
      </c>
      <c r="B26" s="71">
        <v>0</v>
      </c>
      <c r="C26">
        <v>50</v>
      </c>
      <c r="D26">
        <v>103</v>
      </c>
      <c r="E26">
        <v>109</v>
      </c>
      <c r="F26">
        <v>90</v>
      </c>
      <c r="G26">
        <v>65</v>
      </c>
      <c r="H26">
        <v>86</v>
      </c>
      <c r="I26">
        <v>107</v>
      </c>
      <c r="J26">
        <v>95</v>
      </c>
    </row>
    <row r="27" spans="1:10">
      <c r="A27" t="s">
        <v>36</v>
      </c>
      <c r="B27" s="71">
        <v>0</v>
      </c>
      <c r="C27">
        <v>66</v>
      </c>
      <c r="D27">
        <v>134</v>
      </c>
      <c r="E27">
        <v>165</v>
      </c>
      <c r="F27">
        <v>135</v>
      </c>
      <c r="G27">
        <v>100</v>
      </c>
      <c r="H27">
        <v>127</v>
      </c>
      <c r="I27">
        <v>178</v>
      </c>
      <c r="J27">
        <v>137</v>
      </c>
    </row>
    <row r="28" spans="1:10">
      <c r="A28" t="s">
        <v>37</v>
      </c>
      <c r="B28" s="71">
        <v>0</v>
      </c>
      <c r="C28">
        <v>24</v>
      </c>
      <c r="D28">
        <v>24</v>
      </c>
      <c r="E28">
        <v>20</v>
      </c>
      <c r="F28">
        <v>25</v>
      </c>
      <c r="G28">
        <v>11</v>
      </c>
      <c r="H28">
        <v>10</v>
      </c>
      <c r="I28">
        <v>79</v>
      </c>
      <c r="J28">
        <v>228</v>
      </c>
    </row>
    <row r="29" spans="1:10">
      <c r="A29" t="s">
        <v>38</v>
      </c>
      <c r="B29" s="71">
        <v>0</v>
      </c>
      <c r="C29">
        <v>1</v>
      </c>
      <c r="D29">
        <v>0</v>
      </c>
      <c r="E29">
        <v>1</v>
      </c>
      <c r="F29">
        <v>0</v>
      </c>
      <c r="G29">
        <v>0</v>
      </c>
      <c r="H29">
        <v>3</v>
      </c>
      <c r="I29">
        <v>2</v>
      </c>
      <c r="J29">
        <v>1</v>
      </c>
    </row>
    <row r="30" spans="1:10">
      <c r="A30" t="s">
        <v>39</v>
      </c>
      <c r="B30" s="71">
        <v>0</v>
      </c>
      <c r="C30">
        <v>5</v>
      </c>
      <c r="D30">
        <v>2</v>
      </c>
      <c r="E30">
        <v>3</v>
      </c>
      <c r="F30">
        <v>1</v>
      </c>
      <c r="G30">
        <v>1</v>
      </c>
      <c r="H30">
        <v>0</v>
      </c>
      <c r="I30">
        <v>1</v>
      </c>
      <c r="J30">
        <v>0</v>
      </c>
    </row>
    <row r="31" spans="1:10">
      <c r="A31" t="s">
        <v>40</v>
      </c>
      <c r="B31" s="71">
        <v>0</v>
      </c>
      <c r="C31">
        <v>1</v>
      </c>
      <c r="D31">
        <v>6</v>
      </c>
      <c r="E31">
        <v>3</v>
      </c>
      <c r="F31">
        <v>2</v>
      </c>
      <c r="G31">
        <v>3</v>
      </c>
      <c r="H31">
        <v>0</v>
      </c>
      <c r="I31">
        <v>3</v>
      </c>
      <c r="J31">
        <v>6</v>
      </c>
    </row>
    <row r="32" spans="1:10">
      <c r="A32" t="s">
        <v>41</v>
      </c>
      <c r="B32" s="71">
        <v>0</v>
      </c>
      <c r="C32">
        <v>35</v>
      </c>
      <c r="D32">
        <v>57</v>
      </c>
      <c r="E32">
        <v>18</v>
      </c>
      <c r="F32">
        <v>18</v>
      </c>
      <c r="G32">
        <v>5</v>
      </c>
      <c r="H32">
        <v>9</v>
      </c>
      <c r="I32">
        <v>4</v>
      </c>
      <c r="J32">
        <v>2</v>
      </c>
    </row>
    <row r="33" spans="1:10">
      <c r="A33" t="s">
        <v>42</v>
      </c>
      <c r="B33" s="71">
        <v>0</v>
      </c>
      <c r="C33">
        <v>3</v>
      </c>
      <c r="D33">
        <v>8</v>
      </c>
      <c r="E33">
        <v>7</v>
      </c>
      <c r="F33">
        <v>6</v>
      </c>
      <c r="G33">
        <v>4</v>
      </c>
      <c r="H33">
        <v>7</v>
      </c>
      <c r="I33">
        <v>3</v>
      </c>
      <c r="J33">
        <v>4</v>
      </c>
    </row>
    <row r="34" spans="1:10">
      <c r="A34" t="s">
        <v>43</v>
      </c>
      <c r="B34" s="71">
        <v>0</v>
      </c>
      <c r="C34">
        <v>9</v>
      </c>
      <c r="D34">
        <v>10</v>
      </c>
      <c r="E34">
        <v>8</v>
      </c>
      <c r="F34">
        <v>8</v>
      </c>
      <c r="G34">
        <v>4</v>
      </c>
      <c r="H34">
        <v>6</v>
      </c>
      <c r="I34">
        <v>9</v>
      </c>
      <c r="J34">
        <v>3</v>
      </c>
    </row>
    <row r="35" spans="1:10">
      <c r="A35" t="s">
        <v>44</v>
      </c>
      <c r="B35" s="71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</row>
    <row r="36" spans="1:10">
      <c r="A36" t="s">
        <v>45</v>
      </c>
      <c r="B36" s="71">
        <v>0</v>
      </c>
      <c r="C36">
        <v>51</v>
      </c>
      <c r="D36">
        <v>64</v>
      </c>
      <c r="E36">
        <v>14</v>
      </c>
      <c r="F36">
        <v>54</v>
      </c>
      <c r="G36">
        <v>39</v>
      </c>
      <c r="H36">
        <v>22</v>
      </c>
      <c r="I36">
        <v>61</v>
      </c>
      <c r="J36">
        <v>10</v>
      </c>
    </row>
    <row r="37" spans="1:10">
      <c r="A37" t="s">
        <v>46</v>
      </c>
      <c r="B37" s="71">
        <v>0</v>
      </c>
      <c r="C37">
        <v>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47</v>
      </c>
      <c r="B38" s="71">
        <v>0</v>
      </c>
      <c r="C38">
        <v>300</v>
      </c>
      <c r="D38">
        <v>378</v>
      </c>
      <c r="E38">
        <v>323</v>
      </c>
      <c r="F38">
        <v>381</v>
      </c>
      <c r="G38">
        <v>337</v>
      </c>
      <c r="H38">
        <v>287</v>
      </c>
      <c r="I38">
        <v>295</v>
      </c>
      <c r="J38">
        <v>274</v>
      </c>
    </row>
    <row r="39" spans="1:10">
      <c r="A39" t="s">
        <v>48</v>
      </c>
      <c r="B39" s="71">
        <v>0</v>
      </c>
      <c r="C39">
        <v>73</v>
      </c>
      <c r="D39">
        <v>146</v>
      </c>
      <c r="E39">
        <v>158</v>
      </c>
      <c r="F39">
        <v>180</v>
      </c>
      <c r="G39">
        <v>156</v>
      </c>
      <c r="H39">
        <v>188</v>
      </c>
      <c r="I39">
        <v>188</v>
      </c>
      <c r="J39">
        <v>164</v>
      </c>
    </row>
    <row r="40" spans="1:10">
      <c r="A40" t="s">
        <v>49</v>
      </c>
      <c r="B40" s="71">
        <v>0</v>
      </c>
      <c r="C40">
        <v>5</v>
      </c>
      <c r="D40">
        <v>6</v>
      </c>
      <c r="E40">
        <v>6</v>
      </c>
      <c r="F40">
        <v>28</v>
      </c>
      <c r="G40">
        <v>3</v>
      </c>
      <c r="H40">
        <v>8</v>
      </c>
      <c r="I40">
        <v>9</v>
      </c>
      <c r="J40">
        <v>2</v>
      </c>
    </row>
    <row r="41" spans="1:10">
      <c r="A41" t="s">
        <v>50</v>
      </c>
      <c r="B41" s="71">
        <v>0</v>
      </c>
      <c r="C41">
        <v>0</v>
      </c>
      <c r="D41">
        <v>0</v>
      </c>
      <c r="E41">
        <v>2</v>
      </c>
      <c r="F41">
        <v>2</v>
      </c>
      <c r="G41">
        <v>0</v>
      </c>
      <c r="H41">
        <v>0</v>
      </c>
      <c r="I41">
        <v>3</v>
      </c>
      <c r="J41">
        <v>0</v>
      </c>
    </row>
    <row r="42" spans="1:10">
      <c r="A42" t="s">
        <v>51</v>
      </c>
      <c r="B42" s="7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</row>
    <row r="43" spans="1:10">
      <c r="A43" t="s">
        <v>52</v>
      </c>
      <c r="B43" s="71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</row>
    <row r="44" spans="1:10">
      <c r="A44" t="s">
        <v>53</v>
      </c>
      <c r="B44" s="71">
        <v>0</v>
      </c>
      <c r="C44">
        <v>2</v>
      </c>
      <c r="D44">
        <v>2</v>
      </c>
      <c r="E44">
        <v>1</v>
      </c>
      <c r="F44">
        <v>2</v>
      </c>
      <c r="G44">
        <v>3</v>
      </c>
      <c r="H44">
        <v>2</v>
      </c>
      <c r="I44">
        <v>1</v>
      </c>
      <c r="J44">
        <v>2</v>
      </c>
    </row>
    <row r="45" spans="1:10">
      <c r="A45" t="s">
        <v>54</v>
      </c>
      <c r="B45" s="71">
        <v>0</v>
      </c>
      <c r="C45">
        <v>745</v>
      </c>
      <c r="D45">
        <v>1337</v>
      </c>
      <c r="E45">
        <v>241</v>
      </c>
      <c r="F45">
        <v>563</v>
      </c>
      <c r="G45">
        <v>513</v>
      </c>
      <c r="H45">
        <v>1132</v>
      </c>
      <c r="I45">
        <v>848</v>
      </c>
      <c r="J45">
        <v>764</v>
      </c>
    </row>
    <row r="46" spans="1:10">
      <c r="A46" t="s">
        <v>55</v>
      </c>
      <c r="B46" s="71">
        <v>0</v>
      </c>
      <c r="C46">
        <v>290</v>
      </c>
      <c r="D46">
        <v>1267</v>
      </c>
      <c r="E46">
        <v>48</v>
      </c>
      <c r="F46">
        <v>338</v>
      </c>
      <c r="G46">
        <v>294</v>
      </c>
      <c r="H46">
        <v>672</v>
      </c>
      <c r="I46">
        <v>889</v>
      </c>
      <c r="J46">
        <v>554</v>
      </c>
    </row>
    <row r="47" spans="1:10">
      <c r="A47" t="s">
        <v>56</v>
      </c>
      <c r="B47" s="71">
        <v>0</v>
      </c>
      <c r="C47">
        <v>0</v>
      </c>
      <c r="D47">
        <v>1</v>
      </c>
      <c r="E47">
        <v>0</v>
      </c>
      <c r="F47">
        <v>2</v>
      </c>
      <c r="G47">
        <v>0</v>
      </c>
      <c r="H47">
        <v>2</v>
      </c>
      <c r="I47">
        <v>2</v>
      </c>
      <c r="J47">
        <v>0</v>
      </c>
    </row>
    <row r="48" spans="1:10">
      <c r="A48" t="s">
        <v>57</v>
      </c>
      <c r="B48" s="71">
        <v>0</v>
      </c>
      <c r="C48">
        <v>1080</v>
      </c>
      <c r="D48">
        <v>1519</v>
      </c>
      <c r="E48">
        <v>293</v>
      </c>
      <c r="F48">
        <v>619</v>
      </c>
      <c r="G48">
        <v>481</v>
      </c>
      <c r="H48">
        <v>718</v>
      </c>
      <c r="I48">
        <v>792</v>
      </c>
      <c r="J48">
        <v>1046</v>
      </c>
    </row>
    <row r="49" spans="1:10">
      <c r="A49" t="s">
        <v>58</v>
      </c>
      <c r="B49" s="71">
        <v>0</v>
      </c>
      <c r="C49">
        <v>2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59</v>
      </c>
      <c r="B50" s="71">
        <v>0</v>
      </c>
      <c r="C50">
        <v>0</v>
      </c>
      <c r="D50">
        <v>2</v>
      </c>
      <c r="E50">
        <v>1</v>
      </c>
      <c r="F50">
        <v>5</v>
      </c>
      <c r="G50">
        <v>5</v>
      </c>
      <c r="H50">
        <v>1</v>
      </c>
      <c r="I50">
        <v>2</v>
      </c>
      <c r="J50">
        <v>0</v>
      </c>
    </row>
    <row r="51" spans="1:10">
      <c r="A51" t="s">
        <v>60</v>
      </c>
      <c r="B51" s="71">
        <v>0</v>
      </c>
      <c r="C51">
        <v>1</v>
      </c>
      <c r="D51">
        <v>2</v>
      </c>
      <c r="E51">
        <v>0</v>
      </c>
      <c r="F51">
        <v>4</v>
      </c>
      <c r="G51">
        <v>1</v>
      </c>
      <c r="H51">
        <v>6</v>
      </c>
      <c r="I51">
        <v>0</v>
      </c>
      <c r="J51">
        <v>2</v>
      </c>
    </row>
    <row r="52" spans="1:10">
      <c r="A52" t="s">
        <v>61</v>
      </c>
      <c r="B52" s="71">
        <v>0</v>
      </c>
      <c r="C52">
        <v>20</v>
      </c>
      <c r="D52">
        <v>9</v>
      </c>
      <c r="E52">
        <v>11</v>
      </c>
      <c r="F52">
        <v>4</v>
      </c>
      <c r="G52">
        <v>10</v>
      </c>
      <c r="H52">
        <v>6</v>
      </c>
      <c r="I52">
        <v>4</v>
      </c>
      <c r="J52">
        <v>7</v>
      </c>
    </row>
    <row r="53" spans="1:10">
      <c r="A53" t="s">
        <v>62</v>
      </c>
      <c r="B53" s="71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1</v>
      </c>
      <c r="I53">
        <v>0</v>
      </c>
      <c r="J53">
        <v>0</v>
      </c>
    </row>
    <row r="54" spans="1:10">
      <c r="A54" t="s">
        <v>63</v>
      </c>
      <c r="B54" s="71">
        <v>0</v>
      </c>
      <c r="C54">
        <v>509</v>
      </c>
      <c r="D54">
        <v>568</v>
      </c>
      <c r="E54">
        <v>562</v>
      </c>
      <c r="F54">
        <v>619</v>
      </c>
      <c r="G54">
        <v>502</v>
      </c>
      <c r="H54">
        <v>495</v>
      </c>
      <c r="I54">
        <v>451</v>
      </c>
      <c r="J54">
        <v>414</v>
      </c>
    </row>
    <row r="55" spans="1:10">
      <c r="A55" t="s">
        <v>64</v>
      </c>
      <c r="B55" s="71">
        <v>0</v>
      </c>
      <c r="C55">
        <v>0</v>
      </c>
      <c r="D55">
        <v>0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</row>
    <row r="56" spans="1:10">
      <c r="A56" t="s">
        <v>65</v>
      </c>
      <c r="B56" s="71">
        <v>0</v>
      </c>
      <c r="C56">
        <v>1</v>
      </c>
      <c r="D56">
        <v>0</v>
      </c>
      <c r="E56">
        <v>1</v>
      </c>
      <c r="F56">
        <v>2</v>
      </c>
      <c r="G56">
        <v>0</v>
      </c>
      <c r="H56">
        <v>0</v>
      </c>
      <c r="I56">
        <v>0</v>
      </c>
      <c r="J56">
        <v>0</v>
      </c>
    </row>
    <row r="57" spans="1:10">
      <c r="A57" t="s">
        <v>66</v>
      </c>
      <c r="B57" s="71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</row>
    <row r="58" spans="1:10">
      <c r="A58" t="s">
        <v>67</v>
      </c>
      <c r="B58" s="71">
        <v>0</v>
      </c>
      <c r="C58">
        <v>0</v>
      </c>
      <c r="D58">
        <v>0</v>
      </c>
      <c r="E58">
        <v>0</v>
      </c>
      <c r="F58">
        <v>0</v>
      </c>
      <c r="G58">
        <v>27</v>
      </c>
      <c r="H58">
        <v>34</v>
      </c>
      <c r="I58">
        <v>35</v>
      </c>
      <c r="J58">
        <v>14</v>
      </c>
    </row>
    <row r="59" spans="1:10">
      <c r="A59" t="s">
        <v>68</v>
      </c>
      <c r="B59" s="71">
        <v>0</v>
      </c>
      <c r="C59">
        <v>9</v>
      </c>
      <c r="D59">
        <v>5</v>
      </c>
      <c r="E59">
        <v>4</v>
      </c>
      <c r="F59">
        <v>3</v>
      </c>
      <c r="G59">
        <v>1</v>
      </c>
      <c r="H59">
        <v>0</v>
      </c>
      <c r="I59">
        <v>2</v>
      </c>
      <c r="J59">
        <v>1</v>
      </c>
    </row>
    <row r="60" spans="1:10">
      <c r="A60" t="s">
        <v>69</v>
      </c>
      <c r="B60" s="71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</row>
    <row r="61" spans="1:10">
      <c r="A61" t="s">
        <v>70</v>
      </c>
      <c r="B61" s="7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</row>
    <row r="62" spans="1:10">
      <c r="A62" t="s">
        <v>71</v>
      </c>
      <c r="B62" s="7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</row>
    <row r="63" spans="1:10">
      <c r="A63" t="s">
        <v>72</v>
      </c>
      <c r="B63" s="71">
        <v>0</v>
      </c>
      <c r="C63">
        <v>2</v>
      </c>
      <c r="D63">
        <v>9</v>
      </c>
      <c r="E63">
        <v>14</v>
      </c>
      <c r="F63">
        <v>11</v>
      </c>
      <c r="G63">
        <v>10</v>
      </c>
      <c r="H63">
        <v>16</v>
      </c>
      <c r="I63">
        <v>20</v>
      </c>
      <c r="J63">
        <v>10</v>
      </c>
    </row>
    <row r="64" spans="1:10">
      <c r="A64" t="s">
        <v>73</v>
      </c>
      <c r="B64" s="71">
        <v>0</v>
      </c>
      <c r="C64">
        <v>88</v>
      </c>
      <c r="D64">
        <v>131</v>
      </c>
      <c r="E64">
        <v>119</v>
      </c>
      <c r="F64">
        <v>126</v>
      </c>
      <c r="G64">
        <v>91</v>
      </c>
      <c r="H64">
        <v>119</v>
      </c>
      <c r="I64">
        <v>82</v>
      </c>
      <c r="J64">
        <v>60</v>
      </c>
    </row>
    <row r="65" spans="1:10">
      <c r="A65" t="s">
        <v>74</v>
      </c>
      <c r="B65" s="71">
        <v>0</v>
      </c>
      <c r="C65">
        <v>519</v>
      </c>
      <c r="D65">
        <v>910</v>
      </c>
      <c r="E65">
        <v>876</v>
      </c>
      <c r="F65">
        <v>1031</v>
      </c>
      <c r="G65">
        <v>634</v>
      </c>
      <c r="H65">
        <v>750</v>
      </c>
      <c r="I65">
        <v>622</v>
      </c>
      <c r="J65">
        <v>468</v>
      </c>
    </row>
    <row r="66" spans="1:10">
      <c r="A66" t="s">
        <v>75</v>
      </c>
      <c r="B66" s="71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</row>
    <row r="67" spans="1:10">
      <c r="A67" t="s">
        <v>76</v>
      </c>
      <c r="B67" s="71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</row>
    <row r="68" spans="1:10">
      <c r="A68" t="s">
        <v>77</v>
      </c>
      <c r="B68" s="71">
        <v>0</v>
      </c>
      <c r="C68">
        <v>87</v>
      </c>
      <c r="D68">
        <v>18</v>
      </c>
      <c r="E68">
        <v>1</v>
      </c>
      <c r="F68">
        <v>0</v>
      </c>
      <c r="G68">
        <v>0</v>
      </c>
      <c r="H68">
        <v>88</v>
      </c>
      <c r="I68">
        <v>6</v>
      </c>
      <c r="J68">
        <v>1</v>
      </c>
    </row>
    <row r="69" spans="1:10">
      <c r="A69" t="s">
        <v>78</v>
      </c>
      <c r="B69" s="71">
        <v>0</v>
      </c>
      <c r="C69">
        <v>3</v>
      </c>
      <c r="D69">
        <v>2</v>
      </c>
      <c r="E69">
        <v>4</v>
      </c>
      <c r="F69">
        <v>4</v>
      </c>
      <c r="G69">
        <v>0</v>
      </c>
      <c r="H69">
        <v>0</v>
      </c>
      <c r="I69">
        <v>0</v>
      </c>
      <c r="J69">
        <v>4</v>
      </c>
    </row>
    <row r="70" spans="1:10">
      <c r="A70" t="s">
        <v>79</v>
      </c>
      <c r="B70" s="71">
        <v>0</v>
      </c>
      <c r="C70">
        <v>128</v>
      </c>
      <c r="D70">
        <v>239</v>
      </c>
      <c r="E70">
        <v>326</v>
      </c>
      <c r="F70">
        <v>364</v>
      </c>
      <c r="G70">
        <v>357</v>
      </c>
      <c r="H70">
        <v>230</v>
      </c>
      <c r="I70">
        <v>174</v>
      </c>
      <c r="J70">
        <v>115</v>
      </c>
    </row>
    <row r="71" spans="1:10">
      <c r="A71" t="s">
        <v>80</v>
      </c>
      <c r="B71" s="71">
        <v>0</v>
      </c>
      <c r="C71">
        <v>0</v>
      </c>
      <c r="D71">
        <v>3</v>
      </c>
      <c r="E71">
        <v>3</v>
      </c>
      <c r="F71">
        <v>0</v>
      </c>
      <c r="G71">
        <v>8</v>
      </c>
      <c r="H71">
        <v>9</v>
      </c>
      <c r="I71">
        <v>18</v>
      </c>
      <c r="J71">
        <v>7</v>
      </c>
    </row>
    <row r="72" spans="1:10">
      <c r="A72" t="s">
        <v>81</v>
      </c>
      <c r="B72" s="71">
        <v>0</v>
      </c>
      <c r="C72">
        <v>2</v>
      </c>
      <c r="D72">
        <v>1</v>
      </c>
      <c r="E72">
        <v>1</v>
      </c>
      <c r="F72">
        <v>3</v>
      </c>
      <c r="G72">
        <v>2</v>
      </c>
      <c r="H72">
        <v>1</v>
      </c>
      <c r="I72">
        <v>3</v>
      </c>
      <c r="J72">
        <v>3</v>
      </c>
    </row>
    <row r="73" spans="1:10">
      <c r="A73" t="s">
        <v>82</v>
      </c>
      <c r="B73" s="71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1</v>
      </c>
      <c r="I73">
        <v>1</v>
      </c>
      <c r="J73">
        <v>0</v>
      </c>
    </row>
    <row r="74" spans="1:10">
      <c r="A74" t="s">
        <v>83</v>
      </c>
      <c r="B74" s="71">
        <v>0</v>
      </c>
      <c r="C74">
        <v>1</v>
      </c>
      <c r="D74">
        <v>0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</row>
    <row r="75" spans="1:10">
      <c r="A75" t="s">
        <v>84</v>
      </c>
      <c r="B75" s="71">
        <v>0</v>
      </c>
      <c r="C75">
        <v>7</v>
      </c>
      <c r="D75">
        <v>14</v>
      </c>
      <c r="E75">
        <v>13</v>
      </c>
      <c r="F75">
        <v>42</v>
      </c>
      <c r="G75">
        <v>58</v>
      </c>
      <c r="H75">
        <v>56</v>
      </c>
      <c r="I75">
        <v>82</v>
      </c>
      <c r="J75">
        <v>70</v>
      </c>
    </row>
    <row r="76" spans="1:10">
      <c r="A76" t="s">
        <v>85</v>
      </c>
      <c r="B76" s="71">
        <v>0</v>
      </c>
      <c r="C76">
        <v>42</v>
      </c>
      <c r="D76">
        <v>106</v>
      </c>
      <c r="E76">
        <v>84</v>
      </c>
      <c r="F76">
        <v>72</v>
      </c>
      <c r="G76">
        <v>57</v>
      </c>
      <c r="H76">
        <v>66</v>
      </c>
      <c r="I76">
        <v>73</v>
      </c>
      <c r="J76">
        <v>95</v>
      </c>
    </row>
    <row r="77" spans="1:10">
      <c r="A77" t="s">
        <v>86</v>
      </c>
      <c r="B77" s="71">
        <v>0</v>
      </c>
      <c r="C77">
        <v>18</v>
      </c>
      <c r="D77">
        <v>34</v>
      </c>
      <c r="E77">
        <v>11</v>
      </c>
      <c r="F77">
        <v>14</v>
      </c>
      <c r="G77">
        <v>11</v>
      </c>
      <c r="H77">
        <v>25</v>
      </c>
      <c r="I77">
        <v>20</v>
      </c>
      <c r="J77">
        <v>26</v>
      </c>
    </row>
    <row r="78" spans="1:10">
      <c r="A78" t="s">
        <v>87</v>
      </c>
      <c r="B78" s="71">
        <v>0</v>
      </c>
      <c r="C78">
        <v>5</v>
      </c>
      <c r="D78">
        <v>8</v>
      </c>
      <c r="E78">
        <v>11</v>
      </c>
      <c r="F78">
        <v>10</v>
      </c>
      <c r="G78">
        <v>6</v>
      </c>
      <c r="H78">
        <v>6</v>
      </c>
      <c r="I78">
        <v>10</v>
      </c>
      <c r="J78">
        <v>3</v>
      </c>
    </row>
    <row r="79" spans="1:10">
      <c r="A79" t="s">
        <v>88</v>
      </c>
      <c r="B79" s="71">
        <v>0</v>
      </c>
      <c r="C79">
        <v>1</v>
      </c>
      <c r="D79">
        <v>0</v>
      </c>
      <c r="E79">
        <v>1</v>
      </c>
      <c r="F79">
        <v>0</v>
      </c>
      <c r="G79">
        <v>2</v>
      </c>
      <c r="H79">
        <v>0</v>
      </c>
      <c r="I79">
        <v>0</v>
      </c>
      <c r="J79">
        <v>1</v>
      </c>
    </row>
    <row r="80" spans="1:10">
      <c r="A80" t="s">
        <v>89</v>
      </c>
      <c r="B80" s="71">
        <v>0</v>
      </c>
      <c r="C80">
        <v>1</v>
      </c>
      <c r="D80">
        <v>0</v>
      </c>
      <c r="E80">
        <v>1</v>
      </c>
      <c r="F80">
        <v>1</v>
      </c>
      <c r="G80">
        <v>0</v>
      </c>
      <c r="H80">
        <v>0</v>
      </c>
      <c r="I80">
        <v>1</v>
      </c>
      <c r="J80">
        <v>0</v>
      </c>
    </row>
    <row r="81" spans="1:10">
      <c r="A81" t="s">
        <v>90</v>
      </c>
      <c r="B81" s="71">
        <v>0</v>
      </c>
      <c r="C81">
        <v>1</v>
      </c>
      <c r="D81">
        <v>9</v>
      </c>
      <c r="E81">
        <v>2</v>
      </c>
      <c r="F81">
        <v>13</v>
      </c>
      <c r="G81">
        <v>4</v>
      </c>
      <c r="H81">
        <v>5</v>
      </c>
      <c r="I81">
        <v>8</v>
      </c>
      <c r="J81">
        <v>8</v>
      </c>
    </row>
    <row r="82" spans="1:10">
      <c r="A82" t="s">
        <v>91</v>
      </c>
      <c r="B82" s="71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3</v>
      </c>
      <c r="I82">
        <v>1</v>
      </c>
      <c r="J82">
        <v>1</v>
      </c>
    </row>
    <row r="83" spans="1:10">
      <c r="A83" t="s">
        <v>92</v>
      </c>
      <c r="B83" s="71">
        <v>0</v>
      </c>
      <c r="C83">
        <v>0</v>
      </c>
      <c r="D83">
        <v>0</v>
      </c>
      <c r="E83">
        <v>0</v>
      </c>
      <c r="F83">
        <v>0</v>
      </c>
      <c r="G83">
        <v>3</v>
      </c>
      <c r="H83">
        <v>1</v>
      </c>
      <c r="I83">
        <v>0</v>
      </c>
      <c r="J83">
        <v>0</v>
      </c>
    </row>
    <row r="84" spans="1:10">
      <c r="A84" t="s">
        <v>93</v>
      </c>
      <c r="B84" s="71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</row>
    <row r="85" spans="1:10">
      <c r="A85" t="s">
        <v>94</v>
      </c>
      <c r="B85" s="71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</row>
    <row r="86" spans="1:10">
      <c r="A86" t="s">
        <v>95</v>
      </c>
      <c r="B86" s="71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96</v>
      </c>
      <c r="B87" s="71">
        <v>0</v>
      </c>
      <c r="C87">
        <v>2</v>
      </c>
      <c r="D87">
        <v>10</v>
      </c>
      <c r="E87">
        <v>14</v>
      </c>
      <c r="F87">
        <v>10</v>
      </c>
      <c r="G87">
        <v>6</v>
      </c>
      <c r="H87">
        <v>8</v>
      </c>
      <c r="I87">
        <v>12</v>
      </c>
      <c r="J87">
        <v>6</v>
      </c>
    </row>
    <row r="88" spans="1:10">
      <c r="A88" t="s">
        <v>97</v>
      </c>
      <c r="B88" s="71">
        <v>0</v>
      </c>
      <c r="C88">
        <v>1</v>
      </c>
      <c r="D88">
        <v>0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</row>
    <row r="89" spans="1:10">
      <c r="A89" t="s">
        <v>98</v>
      </c>
      <c r="B89" s="71">
        <v>0</v>
      </c>
      <c r="C89">
        <v>59</v>
      </c>
      <c r="D89">
        <v>114</v>
      </c>
      <c r="E89">
        <v>119</v>
      </c>
      <c r="F89">
        <v>130</v>
      </c>
      <c r="G89">
        <v>75</v>
      </c>
      <c r="H89">
        <v>107</v>
      </c>
      <c r="I89">
        <v>135</v>
      </c>
      <c r="J89">
        <v>129</v>
      </c>
    </row>
    <row r="90" spans="1:10">
      <c r="A90" t="s">
        <v>99</v>
      </c>
      <c r="B90" s="71">
        <v>0</v>
      </c>
      <c r="C90">
        <v>2</v>
      </c>
      <c r="D90">
        <v>18</v>
      </c>
      <c r="E90">
        <v>10</v>
      </c>
      <c r="F90">
        <v>16</v>
      </c>
      <c r="G90">
        <v>20</v>
      </c>
      <c r="H90">
        <v>16</v>
      </c>
      <c r="I90">
        <v>21</v>
      </c>
      <c r="J90">
        <v>15</v>
      </c>
    </row>
    <row r="91" spans="1:10">
      <c r="A91" t="s">
        <v>100</v>
      </c>
      <c r="B91" s="71">
        <v>0</v>
      </c>
      <c r="C91">
        <v>92</v>
      </c>
      <c r="D91">
        <v>218</v>
      </c>
      <c r="E91">
        <v>197</v>
      </c>
      <c r="F91">
        <v>166</v>
      </c>
      <c r="G91">
        <v>108</v>
      </c>
      <c r="H91">
        <v>161</v>
      </c>
      <c r="I91">
        <v>188</v>
      </c>
      <c r="J91">
        <v>228</v>
      </c>
    </row>
    <row r="92" spans="1:10">
      <c r="A92" t="s">
        <v>101</v>
      </c>
      <c r="B92" s="71">
        <v>0</v>
      </c>
      <c r="C92">
        <v>32</v>
      </c>
      <c r="D92">
        <v>80</v>
      </c>
      <c r="E92">
        <v>66</v>
      </c>
      <c r="F92">
        <v>72</v>
      </c>
      <c r="G92">
        <v>55</v>
      </c>
      <c r="H92">
        <v>52</v>
      </c>
      <c r="I92">
        <v>64</v>
      </c>
      <c r="J92">
        <v>73</v>
      </c>
    </row>
    <row r="93" spans="1:10">
      <c r="A93" t="s">
        <v>102</v>
      </c>
      <c r="B93" s="71">
        <v>0</v>
      </c>
      <c r="C93">
        <v>0</v>
      </c>
      <c r="D93">
        <v>2</v>
      </c>
      <c r="E93">
        <v>1</v>
      </c>
      <c r="F93">
        <v>0</v>
      </c>
      <c r="G93">
        <v>1</v>
      </c>
      <c r="H93">
        <v>2</v>
      </c>
      <c r="I93">
        <v>0</v>
      </c>
      <c r="J93">
        <v>1</v>
      </c>
    </row>
    <row r="94" spans="1:10">
      <c r="A94" t="s">
        <v>103</v>
      </c>
      <c r="B94" s="71">
        <v>0</v>
      </c>
      <c r="C94">
        <v>124</v>
      </c>
      <c r="D94">
        <v>268</v>
      </c>
      <c r="E94">
        <v>241</v>
      </c>
      <c r="F94">
        <v>221</v>
      </c>
      <c r="G94">
        <v>149</v>
      </c>
      <c r="H94">
        <v>228</v>
      </c>
      <c r="I94">
        <v>166</v>
      </c>
      <c r="J94">
        <v>143</v>
      </c>
    </row>
    <row r="95" spans="1:10">
      <c r="A95" t="s">
        <v>104</v>
      </c>
      <c r="B95" s="71">
        <v>0</v>
      </c>
      <c r="C95">
        <v>317</v>
      </c>
      <c r="D95">
        <v>1151</v>
      </c>
      <c r="E95">
        <v>25</v>
      </c>
      <c r="F95">
        <v>83</v>
      </c>
      <c r="G95">
        <v>285</v>
      </c>
      <c r="H95">
        <v>280</v>
      </c>
      <c r="I95">
        <v>467</v>
      </c>
      <c r="J95">
        <v>216</v>
      </c>
    </row>
    <row r="96" spans="1:10">
      <c r="A96" t="s">
        <v>105</v>
      </c>
      <c r="B96" s="71">
        <v>0</v>
      </c>
      <c r="C96">
        <v>143</v>
      </c>
      <c r="D96">
        <v>555</v>
      </c>
      <c r="E96">
        <v>148</v>
      </c>
      <c r="F96">
        <v>248</v>
      </c>
      <c r="G96">
        <v>487</v>
      </c>
      <c r="H96">
        <v>1111</v>
      </c>
      <c r="I96">
        <v>812</v>
      </c>
      <c r="J96">
        <v>584</v>
      </c>
    </row>
    <row r="97" spans="1:10">
      <c r="A97" t="s">
        <v>106</v>
      </c>
      <c r="B97" s="71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190</v>
      </c>
      <c r="J97">
        <v>267</v>
      </c>
    </row>
    <row r="98" spans="1:10">
      <c r="A98" t="s">
        <v>107</v>
      </c>
      <c r="B98" s="7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30</v>
      </c>
      <c r="I98">
        <v>80</v>
      </c>
      <c r="J98">
        <v>36</v>
      </c>
    </row>
    <row r="99" spans="1:10">
      <c r="A99" t="s">
        <v>108</v>
      </c>
      <c r="B99" s="71">
        <v>0</v>
      </c>
      <c r="C99">
        <v>96</v>
      </c>
      <c r="D99">
        <v>168</v>
      </c>
      <c r="E99">
        <v>61</v>
      </c>
      <c r="F99">
        <v>123</v>
      </c>
      <c r="G99">
        <v>167</v>
      </c>
      <c r="H99">
        <v>289</v>
      </c>
      <c r="I99">
        <v>260</v>
      </c>
      <c r="J99">
        <v>138</v>
      </c>
    </row>
    <row r="100" spans="1:10">
      <c r="A100" t="s">
        <v>109</v>
      </c>
      <c r="B100" s="71">
        <v>0</v>
      </c>
      <c r="C100">
        <v>289</v>
      </c>
      <c r="D100">
        <v>625</v>
      </c>
      <c r="E100">
        <v>20</v>
      </c>
      <c r="F100">
        <v>77</v>
      </c>
      <c r="G100">
        <v>73</v>
      </c>
      <c r="H100">
        <v>76</v>
      </c>
      <c r="I100">
        <v>4</v>
      </c>
      <c r="J100">
        <v>0</v>
      </c>
    </row>
    <row r="101" spans="1:10">
      <c r="A101" t="s">
        <v>110</v>
      </c>
      <c r="B101" s="71">
        <v>0</v>
      </c>
      <c r="C101">
        <v>5</v>
      </c>
      <c r="D101">
        <v>17</v>
      </c>
      <c r="E101">
        <v>18</v>
      </c>
      <c r="F101">
        <v>15</v>
      </c>
      <c r="G101">
        <v>22</v>
      </c>
      <c r="H101">
        <v>13</v>
      </c>
      <c r="I101">
        <v>13</v>
      </c>
      <c r="J101">
        <v>13</v>
      </c>
    </row>
    <row r="102" spans="1:10">
      <c r="A102" t="s">
        <v>111</v>
      </c>
      <c r="B102" s="71">
        <v>0</v>
      </c>
      <c r="C102">
        <v>23</v>
      </c>
      <c r="D102">
        <v>60</v>
      </c>
      <c r="E102">
        <v>46</v>
      </c>
      <c r="F102">
        <v>52</v>
      </c>
      <c r="G102">
        <v>21</v>
      </c>
      <c r="H102">
        <v>49</v>
      </c>
      <c r="I102">
        <v>31</v>
      </c>
      <c r="J102">
        <v>34</v>
      </c>
    </row>
    <row r="103" spans="1:10">
      <c r="A103" t="s">
        <v>112</v>
      </c>
      <c r="B103" s="71">
        <v>0</v>
      </c>
      <c r="C103">
        <v>4</v>
      </c>
      <c r="D103">
        <v>3</v>
      </c>
      <c r="E103">
        <v>8</v>
      </c>
      <c r="F103">
        <v>9</v>
      </c>
      <c r="G103">
        <v>8</v>
      </c>
      <c r="H103">
        <v>6</v>
      </c>
      <c r="I103">
        <v>4</v>
      </c>
      <c r="J103">
        <v>10</v>
      </c>
    </row>
    <row r="104" spans="1:10">
      <c r="A104" t="s">
        <v>113</v>
      </c>
      <c r="B104" s="71">
        <v>0</v>
      </c>
      <c r="C104">
        <v>3</v>
      </c>
      <c r="D104">
        <v>6</v>
      </c>
      <c r="E104">
        <v>5</v>
      </c>
      <c r="F104">
        <v>3</v>
      </c>
      <c r="G104">
        <v>1</v>
      </c>
      <c r="H104">
        <v>4</v>
      </c>
      <c r="I104">
        <v>0</v>
      </c>
      <c r="J104">
        <v>3</v>
      </c>
    </row>
    <row r="105" spans="1:10">
      <c r="A105" t="s">
        <v>114</v>
      </c>
      <c r="B105" s="71">
        <v>0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0</v>
      </c>
    </row>
    <row r="106" spans="1:10">
      <c r="A106" t="s">
        <v>115</v>
      </c>
      <c r="B106" s="71">
        <v>0</v>
      </c>
      <c r="C106">
        <v>3</v>
      </c>
      <c r="D106">
        <v>4</v>
      </c>
      <c r="E106">
        <v>1</v>
      </c>
      <c r="F106">
        <v>4</v>
      </c>
      <c r="G106">
        <v>0</v>
      </c>
      <c r="H106">
        <v>2</v>
      </c>
      <c r="I106">
        <v>1</v>
      </c>
      <c r="J106">
        <v>2</v>
      </c>
    </row>
    <row r="107" spans="1:10">
      <c r="A107" t="s">
        <v>116</v>
      </c>
      <c r="B107" s="71">
        <v>0</v>
      </c>
      <c r="C107">
        <v>701</v>
      </c>
      <c r="D107">
        <v>2082</v>
      </c>
      <c r="E107">
        <v>127</v>
      </c>
      <c r="F107">
        <v>298</v>
      </c>
      <c r="G107">
        <v>900</v>
      </c>
      <c r="H107">
        <v>1775</v>
      </c>
      <c r="I107">
        <v>1159</v>
      </c>
      <c r="J107">
        <v>1295</v>
      </c>
    </row>
    <row r="108" spans="1:10">
      <c r="A108" t="s">
        <v>117</v>
      </c>
      <c r="B108" s="71">
        <v>0</v>
      </c>
      <c r="C108">
        <v>128</v>
      </c>
      <c r="D108">
        <v>1063</v>
      </c>
      <c r="E108">
        <v>55</v>
      </c>
      <c r="F108">
        <v>162</v>
      </c>
      <c r="G108">
        <v>138</v>
      </c>
      <c r="H108">
        <v>271</v>
      </c>
      <c r="I108">
        <v>201</v>
      </c>
      <c r="J108">
        <v>151</v>
      </c>
    </row>
    <row r="109" spans="1:10">
      <c r="A109" t="s">
        <v>118</v>
      </c>
      <c r="B109" s="71">
        <v>0</v>
      </c>
      <c r="C109">
        <v>519</v>
      </c>
      <c r="D109">
        <v>2339</v>
      </c>
      <c r="E109">
        <v>147</v>
      </c>
      <c r="F109">
        <v>482</v>
      </c>
      <c r="G109">
        <v>520</v>
      </c>
      <c r="H109">
        <v>949</v>
      </c>
      <c r="I109">
        <v>1115</v>
      </c>
      <c r="J109">
        <v>1416</v>
      </c>
    </row>
    <row r="110" spans="1:10">
      <c r="A110" t="s">
        <v>119</v>
      </c>
      <c r="B110" s="71">
        <v>0</v>
      </c>
      <c r="C110">
        <v>1</v>
      </c>
      <c r="D110">
        <v>1</v>
      </c>
      <c r="E110">
        <v>5</v>
      </c>
      <c r="F110">
        <v>0</v>
      </c>
      <c r="G110">
        <v>5</v>
      </c>
      <c r="H110">
        <v>8</v>
      </c>
      <c r="I110">
        <v>4</v>
      </c>
      <c r="J110">
        <v>2</v>
      </c>
    </row>
    <row r="111" spans="1:10">
      <c r="A111" t="s">
        <v>120</v>
      </c>
      <c r="B111" s="71">
        <v>0</v>
      </c>
      <c r="C111">
        <v>7</v>
      </c>
      <c r="D111">
        <v>14</v>
      </c>
      <c r="E111">
        <v>3</v>
      </c>
      <c r="F111">
        <v>16</v>
      </c>
      <c r="G111">
        <v>8</v>
      </c>
      <c r="H111">
        <v>10</v>
      </c>
      <c r="I111">
        <v>10</v>
      </c>
      <c r="J111">
        <v>7</v>
      </c>
    </row>
    <row r="112" spans="1:10">
      <c r="A112" t="s">
        <v>121</v>
      </c>
      <c r="B112" s="71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122</v>
      </c>
      <c r="B113" s="71">
        <v>0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123</v>
      </c>
      <c r="B114" s="71">
        <v>0</v>
      </c>
      <c r="C114">
        <v>1</v>
      </c>
      <c r="D114">
        <v>2</v>
      </c>
      <c r="E114">
        <v>3</v>
      </c>
      <c r="F114">
        <v>3</v>
      </c>
      <c r="G114">
        <v>2</v>
      </c>
      <c r="H114">
        <v>5</v>
      </c>
      <c r="I114">
        <v>3</v>
      </c>
      <c r="J114">
        <v>4</v>
      </c>
    </row>
    <row r="115" spans="1:10">
      <c r="A115" t="s">
        <v>124</v>
      </c>
      <c r="B115" s="71">
        <v>0</v>
      </c>
      <c r="C115">
        <v>0</v>
      </c>
      <c r="D115">
        <v>1</v>
      </c>
      <c r="E115">
        <v>1</v>
      </c>
      <c r="F115">
        <v>2</v>
      </c>
      <c r="G115">
        <v>2</v>
      </c>
      <c r="H115">
        <v>0</v>
      </c>
      <c r="I115">
        <v>0</v>
      </c>
      <c r="J115">
        <v>0</v>
      </c>
    </row>
    <row r="116" spans="1:10">
      <c r="A116" t="s">
        <v>125</v>
      </c>
      <c r="B116" s="71">
        <v>0</v>
      </c>
      <c r="C116">
        <v>39</v>
      </c>
      <c r="D116">
        <v>56</v>
      </c>
      <c r="E116">
        <v>73</v>
      </c>
      <c r="F116">
        <v>113</v>
      </c>
      <c r="G116">
        <v>85</v>
      </c>
      <c r="H116">
        <v>188</v>
      </c>
      <c r="I116">
        <v>253</v>
      </c>
      <c r="J116">
        <v>409</v>
      </c>
    </row>
    <row r="117" spans="1:10">
      <c r="A117" t="s">
        <v>126</v>
      </c>
      <c r="B117" s="71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</row>
    <row r="118" spans="1:10">
      <c r="A118" t="s">
        <v>127</v>
      </c>
      <c r="B118" s="71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128</v>
      </c>
      <c r="B119" s="71">
        <v>0</v>
      </c>
      <c r="C119">
        <v>649</v>
      </c>
      <c r="D119">
        <v>1120</v>
      </c>
      <c r="E119">
        <v>1014</v>
      </c>
      <c r="F119">
        <v>1020</v>
      </c>
      <c r="G119">
        <v>705</v>
      </c>
      <c r="H119">
        <v>759</v>
      </c>
      <c r="I119">
        <v>761</v>
      </c>
      <c r="J119">
        <v>673</v>
      </c>
    </row>
    <row r="120" spans="1:10">
      <c r="A120" t="s">
        <v>129</v>
      </c>
      <c r="B120" s="71">
        <v>0</v>
      </c>
      <c r="C120">
        <v>1</v>
      </c>
      <c r="D120">
        <v>1</v>
      </c>
      <c r="E120">
        <v>0</v>
      </c>
      <c r="F120">
        <v>1</v>
      </c>
      <c r="G120">
        <v>0</v>
      </c>
      <c r="H120">
        <v>1</v>
      </c>
      <c r="I120">
        <v>4</v>
      </c>
      <c r="J120">
        <v>5</v>
      </c>
    </row>
    <row r="121" spans="1:10">
      <c r="A121" t="s">
        <v>130</v>
      </c>
      <c r="B121" s="71">
        <v>0</v>
      </c>
      <c r="C121">
        <v>0</v>
      </c>
      <c r="D121">
        <v>2</v>
      </c>
      <c r="E121">
        <v>4</v>
      </c>
      <c r="F121">
        <v>1</v>
      </c>
      <c r="G121">
        <v>3</v>
      </c>
      <c r="H121">
        <v>2</v>
      </c>
      <c r="I121">
        <v>0</v>
      </c>
      <c r="J121">
        <v>1</v>
      </c>
    </row>
    <row r="122" spans="1:10">
      <c r="A122" t="s">
        <v>131</v>
      </c>
      <c r="B122" s="71">
        <v>0</v>
      </c>
      <c r="C122">
        <v>0</v>
      </c>
      <c r="D122">
        <v>2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132</v>
      </c>
      <c r="B123" s="71">
        <v>0</v>
      </c>
      <c r="C123">
        <v>2</v>
      </c>
      <c r="D123">
        <v>5</v>
      </c>
      <c r="E123">
        <v>2</v>
      </c>
      <c r="F123">
        <v>5</v>
      </c>
      <c r="G123">
        <v>1</v>
      </c>
      <c r="H123">
        <v>2</v>
      </c>
      <c r="I123">
        <v>1</v>
      </c>
      <c r="J123">
        <v>3</v>
      </c>
    </row>
    <row r="124" spans="1:10">
      <c r="A124" t="s">
        <v>133</v>
      </c>
      <c r="B124" s="71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</row>
    <row r="125" spans="1:10">
      <c r="A125" t="s">
        <v>134</v>
      </c>
      <c r="B125" s="71">
        <v>0</v>
      </c>
      <c r="C125">
        <v>2</v>
      </c>
      <c r="D125">
        <v>2</v>
      </c>
      <c r="E125">
        <v>0</v>
      </c>
      <c r="F125">
        <v>0</v>
      </c>
      <c r="G125">
        <v>1</v>
      </c>
      <c r="H125">
        <v>0</v>
      </c>
      <c r="I125">
        <v>4</v>
      </c>
      <c r="J125">
        <v>0</v>
      </c>
    </row>
    <row r="126" spans="1:10">
      <c r="A126" t="s">
        <v>135</v>
      </c>
      <c r="B126" s="71">
        <v>0</v>
      </c>
      <c r="C126">
        <v>2</v>
      </c>
      <c r="D126">
        <v>4</v>
      </c>
      <c r="E126">
        <v>0</v>
      </c>
      <c r="F126">
        <v>4</v>
      </c>
      <c r="G126">
        <v>1</v>
      </c>
      <c r="H126">
        <v>1</v>
      </c>
      <c r="I126">
        <v>2</v>
      </c>
      <c r="J126">
        <v>0</v>
      </c>
    </row>
    <row r="127" spans="1:10">
      <c r="A127" t="s">
        <v>136</v>
      </c>
      <c r="B127" s="71">
        <v>0</v>
      </c>
      <c r="C127">
        <v>4</v>
      </c>
      <c r="D127">
        <v>6</v>
      </c>
      <c r="E127">
        <v>10</v>
      </c>
      <c r="F127">
        <v>5</v>
      </c>
      <c r="G127">
        <v>3</v>
      </c>
      <c r="H127">
        <v>1</v>
      </c>
      <c r="I127">
        <v>1</v>
      </c>
      <c r="J127">
        <v>2</v>
      </c>
    </row>
    <row r="128" spans="1:10">
      <c r="A128" t="s">
        <v>137</v>
      </c>
      <c r="B128" s="71">
        <v>0</v>
      </c>
      <c r="C128">
        <v>4</v>
      </c>
      <c r="D128">
        <v>0</v>
      </c>
      <c r="E128">
        <v>3</v>
      </c>
      <c r="F128">
        <v>1</v>
      </c>
      <c r="G128">
        <v>1</v>
      </c>
      <c r="H128">
        <v>1</v>
      </c>
      <c r="I128">
        <v>1</v>
      </c>
      <c r="J128">
        <v>0</v>
      </c>
    </row>
    <row r="129" spans="1:10">
      <c r="A129" t="s">
        <v>138</v>
      </c>
      <c r="B129" s="71">
        <v>0</v>
      </c>
      <c r="C129">
        <v>0</v>
      </c>
      <c r="D129">
        <v>0</v>
      </c>
      <c r="E129">
        <v>2</v>
      </c>
      <c r="F129">
        <v>0</v>
      </c>
      <c r="G129">
        <v>1</v>
      </c>
      <c r="H129">
        <v>1</v>
      </c>
      <c r="I129">
        <v>1</v>
      </c>
      <c r="J129">
        <v>0</v>
      </c>
    </row>
    <row r="130" spans="1:10">
      <c r="A130" t="s">
        <v>139</v>
      </c>
      <c r="B130" s="71">
        <v>0</v>
      </c>
      <c r="C130">
        <v>4</v>
      </c>
      <c r="D130">
        <v>1</v>
      </c>
      <c r="E130">
        <v>6</v>
      </c>
      <c r="F130">
        <v>1</v>
      </c>
      <c r="G130">
        <v>1</v>
      </c>
      <c r="H130">
        <v>0</v>
      </c>
      <c r="I130">
        <v>1</v>
      </c>
      <c r="J130">
        <v>5</v>
      </c>
    </row>
    <row r="131" spans="1:10">
      <c r="A131" t="s">
        <v>140</v>
      </c>
      <c r="B131" s="71">
        <v>0</v>
      </c>
      <c r="C131">
        <v>5</v>
      </c>
      <c r="D131">
        <v>3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141</v>
      </c>
      <c r="B132" s="71">
        <v>0</v>
      </c>
      <c r="C132">
        <v>3</v>
      </c>
      <c r="D132">
        <v>2</v>
      </c>
      <c r="E132">
        <v>3</v>
      </c>
      <c r="F132">
        <v>1</v>
      </c>
      <c r="G132">
        <v>1</v>
      </c>
      <c r="H132">
        <v>4</v>
      </c>
      <c r="I132">
        <v>1</v>
      </c>
      <c r="J132">
        <v>2</v>
      </c>
    </row>
    <row r="133" spans="1:10">
      <c r="A133" t="s">
        <v>142</v>
      </c>
      <c r="B133" s="71">
        <v>0</v>
      </c>
      <c r="C133">
        <v>1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</row>
    <row r="134" spans="1:10">
      <c r="A134" t="s">
        <v>143</v>
      </c>
      <c r="B134" s="7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150</v>
      </c>
    </row>
    <row r="135" spans="1:10">
      <c r="A135" t="s">
        <v>144</v>
      </c>
      <c r="B135" s="71">
        <v>0</v>
      </c>
      <c r="C135">
        <v>0</v>
      </c>
      <c r="D135">
        <v>0</v>
      </c>
      <c r="E135">
        <v>0</v>
      </c>
      <c r="F135">
        <v>1</v>
      </c>
      <c r="G135">
        <v>1</v>
      </c>
      <c r="H135">
        <v>0</v>
      </c>
      <c r="I135">
        <v>0</v>
      </c>
      <c r="J135">
        <v>0</v>
      </c>
    </row>
    <row r="136" spans="1:10">
      <c r="A136" t="s">
        <v>145</v>
      </c>
      <c r="B136" s="71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1</v>
      </c>
      <c r="J136">
        <v>1</v>
      </c>
    </row>
    <row r="137" spans="1:10">
      <c r="A137" t="s">
        <v>146</v>
      </c>
      <c r="B137" s="71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 t="s">
        <v>147</v>
      </c>
      <c r="B138" s="71">
        <v>0</v>
      </c>
      <c r="C138">
        <v>0</v>
      </c>
      <c r="D138">
        <v>0</v>
      </c>
      <c r="E138">
        <v>1</v>
      </c>
      <c r="F138">
        <v>2</v>
      </c>
      <c r="G138">
        <v>0</v>
      </c>
      <c r="H138">
        <v>1</v>
      </c>
      <c r="I138">
        <v>0</v>
      </c>
      <c r="J138">
        <v>1</v>
      </c>
    </row>
    <row r="139" spans="1:10">
      <c r="A139" t="s">
        <v>148</v>
      </c>
      <c r="B139" s="71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</row>
    <row r="140" spans="1:10">
      <c r="A140" t="s">
        <v>149</v>
      </c>
      <c r="B140" s="71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33</v>
      </c>
    </row>
    <row r="141" spans="1:10">
      <c r="A141" t="s">
        <v>150</v>
      </c>
      <c r="B141" s="71">
        <v>0</v>
      </c>
      <c r="C141">
        <v>0</v>
      </c>
      <c r="D141">
        <v>0</v>
      </c>
      <c r="E141">
        <v>1</v>
      </c>
      <c r="F141">
        <v>19</v>
      </c>
      <c r="G141">
        <v>16</v>
      </c>
      <c r="H141">
        <v>23</v>
      </c>
      <c r="I141">
        <v>27</v>
      </c>
      <c r="J141">
        <v>14</v>
      </c>
    </row>
    <row r="142" spans="1:10">
      <c r="A142" t="s">
        <v>151</v>
      </c>
      <c r="B142" s="71">
        <v>0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0</v>
      </c>
      <c r="I142">
        <v>0</v>
      </c>
      <c r="J142">
        <v>0</v>
      </c>
    </row>
    <row r="143" spans="1:10">
      <c r="A143" t="s">
        <v>152</v>
      </c>
      <c r="B143" s="71">
        <v>0</v>
      </c>
      <c r="C143">
        <v>14</v>
      </c>
      <c r="D143">
        <v>22</v>
      </c>
      <c r="E143">
        <v>27</v>
      </c>
      <c r="F143">
        <v>26</v>
      </c>
      <c r="G143">
        <v>13</v>
      </c>
      <c r="H143">
        <v>14</v>
      </c>
      <c r="I143">
        <v>10</v>
      </c>
      <c r="J143">
        <v>14</v>
      </c>
    </row>
    <row r="144" spans="1:10">
      <c r="A144" t="s">
        <v>153</v>
      </c>
      <c r="B144" s="71">
        <v>0</v>
      </c>
      <c r="C144">
        <v>7</v>
      </c>
      <c r="D144">
        <v>36</v>
      </c>
      <c r="E144">
        <v>23</v>
      </c>
      <c r="F144">
        <v>20</v>
      </c>
      <c r="G144">
        <v>19</v>
      </c>
      <c r="H144">
        <v>14</v>
      </c>
      <c r="I144">
        <v>16</v>
      </c>
      <c r="J144">
        <v>24</v>
      </c>
    </row>
    <row r="145" spans="1:10">
      <c r="A145" t="s">
        <v>154</v>
      </c>
      <c r="B145" s="71">
        <v>0</v>
      </c>
      <c r="C145">
        <v>93</v>
      </c>
      <c r="D145">
        <v>183</v>
      </c>
      <c r="E145">
        <v>199</v>
      </c>
      <c r="F145">
        <v>177</v>
      </c>
      <c r="G145">
        <v>135</v>
      </c>
      <c r="H145">
        <v>129</v>
      </c>
      <c r="I145">
        <v>127</v>
      </c>
      <c r="J145">
        <v>89</v>
      </c>
    </row>
    <row r="146" spans="1:10">
      <c r="A146" t="s">
        <v>155</v>
      </c>
      <c r="B146" s="71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</row>
    <row r="147" spans="1:10">
      <c r="A147" t="s">
        <v>156</v>
      </c>
      <c r="B147" s="71">
        <v>0</v>
      </c>
      <c r="C147">
        <v>0</v>
      </c>
      <c r="D147">
        <v>1</v>
      </c>
      <c r="E147">
        <v>0</v>
      </c>
      <c r="F147">
        <v>1</v>
      </c>
      <c r="G147">
        <v>2</v>
      </c>
      <c r="H147">
        <v>2</v>
      </c>
      <c r="I147">
        <v>0</v>
      </c>
      <c r="J147">
        <v>2</v>
      </c>
    </row>
    <row r="148" spans="1:10">
      <c r="A148" t="s">
        <v>157</v>
      </c>
      <c r="B148" s="71">
        <v>0</v>
      </c>
      <c r="C148">
        <v>1</v>
      </c>
      <c r="D148">
        <v>1</v>
      </c>
      <c r="E148">
        <v>2</v>
      </c>
      <c r="F148">
        <v>0</v>
      </c>
      <c r="G148">
        <v>1</v>
      </c>
      <c r="H148">
        <v>1</v>
      </c>
      <c r="I148">
        <v>0</v>
      </c>
      <c r="J148">
        <v>0</v>
      </c>
    </row>
    <row r="149" spans="1:10">
      <c r="A149" t="s">
        <v>158</v>
      </c>
      <c r="B149" s="71">
        <v>0</v>
      </c>
      <c r="C149">
        <v>179</v>
      </c>
      <c r="D149">
        <v>287</v>
      </c>
      <c r="E149">
        <v>287</v>
      </c>
      <c r="F149">
        <v>470</v>
      </c>
      <c r="G149">
        <v>286</v>
      </c>
      <c r="H149">
        <v>265</v>
      </c>
      <c r="I149">
        <v>285</v>
      </c>
      <c r="J149">
        <v>325</v>
      </c>
    </row>
    <row r="150" spans="1:10">
      <c r="A150" t="s">
        <v>159</v>
      </c>
      <c r="B150" s="71">
        <v>0</v>
      </c>
      <c r="C150">
        <v>0</v>
      </c>
      <c r="D150">
        <v>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 t="s">
        <v>160</v>
      </c>
      <c r="B151" s="7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82</v>
      </c>
      <c r="J151">
        <v>1399</v>
      </c>
    </row>
    <row r="152" spans="1:10">
      <c r="A152" t="s">
        <v>161</v>
      </c>
      <c r="B152" s="71">
        <v>0</v>
      </c>
      <c r="C152">
        <v>2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162</v>
      </c>
      <c r="B153" s="71">
        <v>0</v>
      </c>
      <c r="C153">
        <v>0</v>
      </c>
      <c r="D153">
        <v>1</v>
      </c>
      <c r="E153">
        <v>0</v>
      </c>
      <c r="F153">
        <v>4</v>
      </c>
      <c r="G153">
        <v>0</v>
      </c>
      <c r="H153">
        <v>1</v>
      </c>
      <c r="I153">
        <v>0</v>
      </c>
      <c r="J153">
        <v>1</v>
      </c>
    </row>
    <row r="154" spans="1:10">
      <c r="A154" t="s">
        <v>163</v>
      </c>
      <c r="B154" s="71">
        <v>0</v>
      </c>
      <c r="C154">
        <v>12</v>
      </c>
      <c r="D154">
        <v>18</v>
      </c>
      <c r="E154">
        <v>16</v>
      </c>
      <c r="F154">
        <v>10</v>
      </c>
      <c r="G154">
        <v>13</v>
      </c>
      <c r="H154">
        <v>12</v>
      </c>
      <c r="I154">
        <v>19</v>
      </c>
      <c r="J154">
        <v>17</v>
      </c>
    </row>
    <row r="155" spans="1:10">
      <c r="A155" t="s">
        <v>164</v>
      </c>
      <c r="B155" s="71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</row>
    <row r="156" spans="1:10">
      <c r="A156" t="s">
        <v>165</v>
      </c>
      <c r="B156" s="71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 t="s">
        <v>166</v>
      </c>
      <c r="B157" s="71">
        <v>0</v>
      </c>
      <c r="C157">
        <v>2</v>
      </c>
      <c r="D157">
        <v>3</v>
      </c>
      <c r="E157">
        <v>2</v>
      </c>
      <c r="F157">
        <v>0</v>
      </c>
      <c r="G157">
        <v>3</v>
      </c>
      <c r="H157">
        <v>1</v>
      </c>
      <c r="I157">
        <v>0</v>
      </c>
      <c r="J157">
        <v>3</v>
      </c>
    </row>
    <row r="158" spans="1:10">
      <c r="A158" t="s">
        <v>167</v>
      </c>
      <c r="B158" s="7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153</v>
      </c>
    </row>
    <row r="159" spans="1:10">
      <c r="A159" t="s">
        <v>168</v>
      </c>
      <c r="B159" s="71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1</v>
      </c>
    </row>
    <row r="160" spans="1:10">
      <c r="A160" t="s">
        <v>169</v>
      </c>
      <c r="B160" s="71">
        <v>0</v>
      </c>
      <c r="C160">
        <v>119</v>
      </c>
      <c r="D160">
        <v>131</v>
      </c>
      <c r="E160">
        <v>140</v>
      </c>
      <c r="F160">
        <v>181</v>
      </c>
      <c r="G160">
        <v>109</v>
      </c>
      <c r="H160">
        <v>122</v>
      </c>
      <c r="I160">
        <v>100</v>
      </c>
      <c r="J160">
        <v>96</v>
      </c>
    </row>
    <row r="161" spans="1:10">
      <c r="A161" t="s">
        <v>170</v>
      </c>
      <c r="B161" s="71">
        <v>0</v>
      </c>
      <c r="C161">
        <v>1</v>
      </c>
      <c r="D161">
        <v>1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0</v>
      </c>
    </row>
    <row r="162" spans="1:10">
      <c r="A162" t="s">
        <v>171</v>
      </c>
      <c r="B162" s="71">
        <v>0</v>
      </c>
      <c r="C162">
        <v>621</v>
      </c>
      <c r="D162">
        <v>1516</v>
      </c>
      <c r="E162">
        <v>1218</v>
      </c>
      <c r="F162">
        <v>1440</v>
      </c>
      <c r="G162">
        <v>994</v>
      </c>
      <c r="H162">
        <v>957</v>
      </c>
      <c r="I162">
        <v>900</v>
      </c>
      <c r="J162">
        <v>737</v>
      </c>
    </row>
    <row r="163" spans="1:10">
      <c r="A163" t="s">
        <v>172</v>
      </c>
      <c r="B163" s="71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 t="s">
        <v>173</v>
      </c>
      <c r="B164" s="71">
        <v>0</v>
      </c>
      <c r="C164">
        <v>2</v>
      </c>
      <c r="D164">
        <v>1</v>
      </c>
      <c r="E164">
        <v>5</v>
      </c>
      <c r="F164">
        <v>2</v>
      </c>
      <c r="G164">
        <v>1</v>
      </c>
      <c r="H164">
        <v>2</v>
      </c>
      <c r="I164">
        <v>4</v>
      </c>
      <c r="J164">
        <v>2</v>
      </c>
    </row>
    <row r="165" spans="1:10">
      <c r="A165" t="s">
        <v>174</v>
      </c>
      <c r="B165" s="71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 t="s">
        <v>175</v>
      </c>
      <c r="B166" s="71">
        <v>0</v>
      </c>
      <c r="C166">
        <v>0</v>
      </c>
      <c r="D166">
        <v>31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 t="s">
        <v>176</v>
      </c>
      <c r="B167" s="71">
        <v>0</v>
      </c>
      <c r="C167">
        <v>0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1</v>
      </c>
    </row>
    <row r="168" spans="1:10">
      <c r="A168" t="s">
        <v>177</v>
      </c>
      <c r="B168" s="71">
        <v>0</v>
      </c>
      <c r="C168">
        <v>327</v>
      </c>
      <c r="D168">
        <v>67</v>
      </c>
      <c r="E168">
        <v>224</v>
      </c>
      <c r="F168">
        <v>364</v>
      </c>
      <c r="G168">
        <v>64</v>
      </c>
      <c r="H168">
        <v>779</v>
      </c>
      <c r="I168">
        <v>979</v>
      </c>
      <c r="J168">
        <v>430</v>
      </c>
    </row>
    <row r="169" spans="1:10">
      <c r="A169" t="s">
        <v>178</v>
      </c>
      <c r="B169" s="71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</row>
    <row r="170" spans="1:10">
      <c r="A170" t="s">
        <v>179</v>
      </c>
      <c r="B170" s="71">
        <v>0</v>
      </c>
      <c r="C170">
        <v>146</v>
      </c>
      <c r="D170">
        <v>115</v>
      </c>
      <c r="E170">
        <v>223</v>
      </c>
      <c r="F170">
        <v>1093</v>
      </c>
      <c r="G170">
        <v>610</v>
      </c>
      <c r="H170">
        <v>753</v>
      </c>
      <c r="I170">
        <v>647</v>
      </c>
      <c r="J170">
        <v>592</v>
      </c>
    </row>
    <row r="171" spans="1:10">
      <c r="A171" t="s">
        <v>180</v>
      </c>
      <c r="B171" s="71">
        <v>0</v>
      </c>
      <c r="C171">
        <v>0</v>
      </c>
      <c r="D171">
        <v>1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</row>
    <row r="172" spans="1:10">
      <c r="A172" t="s">
        <v>181</v>
      </c>
      <c r="B172" s="71">
        <v>0</v>
      </c>
      <c r="C172">
        <v>127</v>
      </c>
      <c r="D172">
        <v>159</v>
      </c>
      <c r="E172">
        <v>96</v>
      </c>
      <c r="F172">
        <v>117</v>
      </c>
      <c r="G172">
        <v>113</v>
      </c>
      <c r="H172">
        <v>123</v>
      </c>
      <c r="I172">
        <v>126</v>
      </c>
      <c r="J172">
        <v>155</v>
      </c>
    </row>
    <row r="173" spans="1:10">
      <c r="A173" t="s">
        <v>182</v>
      </c>
      <c r="B173" s="71">
        <v>0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 t="s">
        <v>183</v>
      </c>
      <c r="B174" s="71">
        <v>0</v>
      </c>
      <c r="C174">
        <v>28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 t="s">
        <v>184</v>
      </c>
      <c r="B175" s="71">
        <v>0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5</v>
      </c>
      <c r="I175">
        <v>0</v>
      </c>
      <c r="J175">
        <v>0</v>
      </c>
    </row>
    <row r="176" spans="1:10">
      <c r="A176" t="s">
        <v>185</v>
      </c>
      <c r="B176" s="71">
        <v>0</v>
      </c>
      <c r="C176">
        <v>0</v>
      </c>
      <c r="D176">
        <v>0</v>
      </c>
      <c r="E176">
        <v>0</v>
      </c>
      <c r="F176">
        <v>6</v>
      </c>
      <c r="G176">
        <v>0</v>
      </c>
      <c r="H176">
        <v>0</v>
      </c>
      <c r="I176">
        <v>31</v>
      </c>
      <c r="J176">
        <v>0</v>
      </c>
    </row>
    <row r="177" spans="1:10">
      <c r="A177" t="s">
        <v>186</v>
      </c>
      <c r="B177" s="71">
        <v>0</v>
      </c>
      <c r="C177">
        <v>104</v>
      </c>
      <c r="D177">
        <v>127</v>
      </c>
      <c r="E177">
        <v>113</v>
      </c>
      <c r="F177">
        <v>115</v>
      </c>
      <c r="G177">
        <v>97</v>
      </c>
      <c r="H177">
        <v>88</v>
      </c>
      <c r="I177">
        <v>85</v>
      </c>
      <c r="J177">
        <v>81</v>
      </c>
    </row>
    <row r="178" spans="1:10">
      <c r="A178" t="s">
        <v>187</v>
      </c>
      <c r="B178" s="71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3</v>
      </c>
    </row>
    <row r="179" spans="1:10">
      <c r="A179" t="s">
        <v>188</v>
      </c>
      <c r="B179" s="71">
        <v>0</v>
      </c>
      <c r="C179">
        <v>852</v>
      </c>
      <c r="D179">
        <v>2402</v>
      </c>
      <c r="E179">
        <v>346</v>
      </c>
      <c r="F179">
        <v>932</v>
      </c>
      <c r="G179">
        <v>857</v>
      </c>
      <c r="H179">
        <v>391</v>
      </c>
      <c r="I179">
        <v>1090</v>
      </c>
      <c r="J179">
        <v>875</v>
      </c>
    </row>
    <row r="180" spans="1:10">
      <c r="A180" t="s">
        <v>189</v>
      </c>
      <c r="B180" s="71">
        <v>0</v>
      </c>
      <c r="C180">
        <v>92</v>
      </c>
      <c r="D180">
        <v>136</v>
      </c>
      <c r="E180">
        <v>129</v>
      </c>
      <c r="F180">
        <v>118</v>
      </c>
      <c r="G180">
        <v>82</v>
      </c>
      <c r="H180">
        <v>110</v>
      </c>
      <c r="I180">
        <v>102</v>
      </c>
      <c r="J180">
        <v>87</v>
      </c>
    </row>
    <row r="181" spans="1:10">
      <c r="A181" t="s">
        <v>190</v>
      </c>
      <c r="B181" s="71">
        <v>0</v>
      </c>
      <c r="C181">
        <v>1</v>
      </c>
      <c r="D181">
        <v>0</v>
      </c>
      <c r="E181">
        <v>1</v>
      </c>
      <c r="F181">
        <v>3</v>
      </c>
      <c r="G181">
        <v>0</v>
      </c>
      <c r="H181">
        <v>0</v>
      </c>
      <c r="I181">
        <v>0</v>
      </c>
      <c r="J181">
        <v>0</v>
      </c>
    </row>
    <row r="182" spans="1:10">
      <c r="A182" t="s">
        <v>191</v>
      </c>
      <c r="B182" s="7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</row>
    <row r="183" spans="1:10">
      <c r="A183" t="s">
        <v>192</v>
      </c>
      <c r="B183" s="71">
        <v>0</v>
      </c>
      <c r="C183">
        <v>0</v>
      </c>
      <c r="D183">
        <v>2</v>
      </c>
      <c r="E183">
        <v>3</v>
      </c>
      <c r="F183">
        <v>1</v>
      </c>
      <c r="G183">
        <v>2</v>
      </c>
      <c r="H183">
        <v>2</v>
      </c>
      <c r="I183">
        <v>2</v>
      </c>
      <c r="J183">
        <v>55</v>
      </c>
    </row>
    <row r="184" spans="1:10">
      <c r="A184" t="s">
        <v>193</v>
      </c>
      <c r="B184" s="71">
        <v>0</v>
      </c>
      <c r="C184">
        <v>14</v>
      </c>
      <c r="D184">
        <v>30</v>
      </c>
      <c r="E184">
        <v>20</v>
      </c>
      <c r="F184">
        <v>23</v>
      </c>
      <c r="G184">
        <v>15</v>
      </c>
      <c r="H184">
        <v>15</v>
      </c>
      <c r="I184">
        <v>10</v>
      </c>
      <c r="J184">
        <v>14</v>
      </c>
    </row>
    <row r="185" spans="1:10">
      <c r="A185" t="s">
        <v>194</v>
      </c>
      <c r="B185" s="71">
        <v>0</v>
      </c>
      <c r="C185">
        <v>222</v>
      </c>
      <c r="D185">
        <v>498</v>
      </c>
      <c r="E185">
        <v>430</v>
      </c>
      <c r="F185">
        <v>494</v>
      </c>
      <c r="G185">
        <v>365</v>
      </c>
      <c r="H185">
        <v>402</v>
      </c>
      <c r="I185">
        <v>321</v>
      </c>
      <c r="J185">
        <v>390</v>
      </c>
    </row>
    <row r="186" spans="1:10">
      <c r="A186" t="s">
        <v>195</v>
      </c>
      <c r="B186" s="71">
        <v>0</v>
      </c>
      <c r="C186">
        <v>34</v>
      </c>
      <c r="D186">
        <v>68</v>
      </c>
      <c r="E186">
        <v>13</v>
      </c>
      <c r="F186">
        <v>22</v>
      </c>
      <c r="G186">
        <v>14</v>
      </c>
      <c r="H186">
        <v>5</v>
      </c>
      <c r="I186">
        <v>15</v>
      </c>
      <c r="J186">
        <v>63</v>
      </c>
    </row>
    <row r="187" spans="1:10">
      <c r="A187" t="s">
        <v>196</v>
      </c>
      <c r="B187" s="71">
        <v>0</v>
      </c>
      <c r="C187">
        <v>36</v>
      </c>
      <c r="D187">
        <v>108</v>
      </c>
      <c r="E187">
        <v>6</v>
      </c>
      <c r="F187">
        <v>21</v>
      </c>
      <c r="G187">
        <v>55</v>
      </c>
      <c r="H187">
        <v>95</v>
      </c>
      <c r="I187">
        <v>86</v>
      </c>
      <c r="J187">
        <v>74</v>
      </c>
    </row>
    <row r="188" spans="1:10">
      <c r="A188" t="s">
        <v>197</v>
      </c>
      <c r="B188" s="71">
        <v>0</v>
      </c>
      <c r="C188">
        <v>134</v>
      </c>
      <c r="D188">
        <v>170</v>
      </c>
      <c r="E188">
        <v>145</v>
      </c>
      <c r="F188">
        <v>156</v>
      </c>
      <c r="G188">
        <v>131</v>
      </c>
      <c r="H188">
        <v>133</v>
      </c>
      <c r="I188">
        <v>108</v>
      </c>
      <c r="J188">
        <v>147</v>
      </c>
    </row>
    <row r="189" spans="1:10">
      <c r="A189" t="s">
        <v>198</v>
      </c>
      <c r="B189" s="71">
        <v>0</v>
      </c>
      <c r="C189">
        <v>10</v>
      </c>
      <c r="D189">
        <v>5</v>
      </c>
      <c r="E189">
        <v>17</v>
      </c>
      <c r="F189">
        <v>13</v>
      </c>
      <c r="G189">
        <v>10</v>
      </c>
      <c r="H189">
        <v>10</v>
      </c>
      <c r="I189">
        <v>12</v>
      </c>
      <c r="J189">
        <v>11</v>
      </c>
    </row>
    <row r="190" spans="1:10">
      <c r="A190" t="s">
        <v>199</v>
      </c>
      <c r="B190" s="71">
        <v>0</v>
      </c>
      <c r="C190">
        <v>28</v>
      </c>
      <c r="D190">
        <v>50</v>
      </c>
      <c r="E190">
        <v>20</v>
      </c>
      <c r="F190">
        <v>11</v>
      </c>
      <c r="G190">
        <v>13</v>
      </c>
      <c r="H190">
        <v>34</v>
      </c>
      <c r="I190">
        <v>22</v>
      </c>
      <c r="J190">
        <v>29</v>
      </c>
    </row>
    <row r="191" spans="1:10">
      <c r="A191" t="s">
        <v>200</v>
      </c>
      <c r="B191" s="71">
        <v>0</v>
      </c>
      <c r="C191">
        <v>104</v>
      </c>
      <c r="D191">
        <v>322</v>
      </c>
      <c r="E191">
        <v>3</v>
      </c>
      <c r="F191">
        <v>19</v>
      </c>
      <c r="G191">
        <v>59</v>
      </c>
      <c r="H191">
        <v>108</v>
      </c>
      <c r="I191">
        <v>298</v>
      </c>
      <c r="J191">
        <v>133</v>
      </c>
    </row>
    <row r="192" spans="1:10">
      <c r="A192" t="s">
        <v>201</v>
      </c>
      <c r="B192" s="71">
        <v>0</v>
      </c>
      <c r="C192">
        <v>0</v>
      </c>
      <c r="D192">
        <v>1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0</v>
      </c>
    </row>
    <row r="193" spans="1:10">
      <c r="A193" t="s">
        <v>202</v>
      </c>
      <c r="B193" s="71">
        <v>0</v>
      </c>
      <c r="C193">
        <v>155</v>
      </c>
      <c r="D193">
        <v>240</v>
      </c>
      <c r="E193">
        <v>35</v>
      </c>
      <c r="F193">
        <v>85</v>
      </c>
      <c r="G193">
        <v>149</v>
      </c>
      <c r="H193">
        <v>651</v>
      </c>
      <c r="I193">
        <v>897</v>
      </c>
      <c r="J193">
        <v>360</v>
      </c>
    </row>
    <row r="194" spans="1:10">
      <c r="A194" t="s">
        <v>203</v>
      </c>
      <c r="B194" s="71">
        <v>0</v>
      </c>
      <c r="C194">
        <v>29</v>
      </c>
      <c r="D194">
        <v>36</v>
      </c>
      <c r="E194">
        <v>33</v>
      </c>
      <c r="F194">
        <v>36</v>
      </c>
      <c r="G194">
        <v>23</v>
      </c>
      <c r="H194">
        <v>26</v>
      </c>
      <c r="I194">
        <v>25</v>
      </c>
      <c r="J194">
        <v>30</v>
      </c>
    </row>
    <row r="195" spans="1:10">
      <c r="A195" t="s">
        <v>204</v>
      </c>
      <c r="B195" s="71">
        <v>0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 t="s">
        <v>205</v>
      </c>
      <c r="B196" s="71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0</v>
      </c>
    </row>
    <row r="197" spans="1:10">
      <c r="A197" t="s">
        <v>206</v>
      </c>
      <c r="B197" s="71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1</v>
      </c>
      <c r="I197">
        <v>1</v>
      </c>
      <c r="J197">
        <v>0</v>
      </c>
    </row>
    <row r="198" spans="1:10">
      <c r="A198" t="s">
        <v>207</v>
      </c>
      <c r="B198" s="71">
        <v>0</v>
      </c>
      <c r="C198">
        <v>0</v>
      </c>
      <c r="D198">
        <v>6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4</v>
      </c>
    </row>
    <row r="199" spans="1:10">
      <c r="A199" t="s">
        <v>208</v>
      </c>
      <c r="B199" s="71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</row>
    <row r="200" spans="1:10">
      <c r="A200" t="s">
        <v>209</v>
      </c>
      <c r="B200" s="71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1</v>
      </c>
    </row>
    <row r="201" spans="1:10">
      <c r="A201" t="s">
        <v>210</v>
      </c>
      <c r="B201" s="71">
        <v>0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</row>
    <row r="202" spans="1:10">
      <c r="A202" t="s">
        <v>211</v>
      </c>
      <c r="B202" s="71">
        <v>0</v>
      </c>
      <c r="C202">
        <v>1</v>
      </c>
      <c r="D202">
        <v>3</v>
      </c>
      <c r="E202">
        <v>3</v>
      </c>
      <c r="F202">
        <v>2</v>
      </c>
      <c r="G202">
        <v>4</v>
      </c>
      <c r="H202">
        <v>7</v>
      </c>
      <c r="I202">
        <v>5</v>
      </c>
      <c r="J202">
        <v>7</v>
      </c>
    </row>
    <row r="203" spans="1:10">
      <c r="A203" t="s">
        <v>212</v>
      </c>
      <c r="B203" s="71">
        <v>0</v>
      </c>
      <c r="C203">
        <v>3</v>
      </c>
      <c r="D203">
        <v>6</v>
      </c>
      <c r="E203">
        <v>5</v>
      </c>
      <c r="F203">
        <v>5</v>
      </c>
      <c r="G203">
        <v>2</v>
      </c>
      <c r="H203">
        <v>2</v>
      </c>
      <c r="I203">
        <v>5</v>
      </c>
      <c r="J203">
        <v>4</v>
      </c>
    </row>
    <row r="204" spans="1:10">
      <c r="A204" t="s">
        <v>213</v>
      </c>
      <c r="B204" s="71">
        <v>0</v>
      </c>
      <c r="C204">
        <v>7</v>
      </c>
      <c r="D204">
        <v>6</v>
      </c>
      <c r="E204">
        <v>1</v>
      </c>
      <c r="F204">
        <v>4</v>
      </c>
      <c r="G204">
        <v>2</v>
      </c>
      <c r="H204">
        <v>2</v>
      </c>
      <c r="I204">
        <v>3</v>
      </c>
      <c r="J204">
        <v>3</v>
      </c>
    </row>
    <row r="205" spans="1:10">
      <c r="A205" t="s">
        <v>214</v>
      </c>
      <c r="B205" s="71">
        <v>0</v>
      </c>
      <c r="C205">
        <v>0</v>
      </c>
      <c r="D205">
        <v>0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 t="s">
        <v>215</v>
      </c>
      <c r="B206" s="7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34</v>
      </c>
      <c r="I206">
        <v>279</v>
      </c>
      <c r="J206">
        <v>380</v>
      </c>
    </row>
    <row r="207" spans="1:10">
      <c r="A207" t="s">
        <v>216</v>
      </c>
      <c r="B207" s="71">
        <v>0</v>
      </c>
      <c r="C207">
        <v>0</v>
      </c>
      <c r="D207">
        <v>11</v>
      </c>
      <c r="E207">
        <v>10</v>
      </c>
      <c r="F207">
        <v>7</v>
      </c>
      <c r="G207">
        <v>8</v>
      </c>
      <c r="H207">
        <v>14</v>
      </c>
      <c r="I207">
        <v>15</v>
      </c>
      <c r="J207">
        <v>12</v>
      </c>
    </row>
    <row r="208" spans="1:10">
      <c r="A208" t="s">
        <v>217</v>
      </c>
      <c r="B208" s="71">
        <v>0</v>
      </c>
      <c r="C208">
        <v>0</v>
      </c>
      <c r="D208">
        <v>2</v>
      </c>
      <c r="E208">
        <v>1</v>
      </c>
      <c r="F208">
        <v>1</v>
      </c>
      <c r="G208">
        <v>0</v>
      </c>
      <c r="H208">
        <v>4</v>
      </c>
      <c r="I208">
        <v>2</v>
      </c>
      <c r="J208">
        <v>2</v>
      </c>
    </row>
    <row r="209" spans="1:10">
      <c r="A209" t="s">
        <v>218</v>
      </c>
      <c r="B209" s="71">
        <v>0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 t="s">
        <v>219</v>
      </c>
      <c r="B210" s="71">
        <v>0</v>
      </c>
      <c r="C210">
        <v>15</v>
      </c>
      <c r="D210">
        <v>168</v>
      </c>
      <c r="E210">
        <v>7</v>
      </c>
      <c r="F210">
        <v>45</v>
      </c>
      <c r="G210">
        <v>36</v>
      </c>
      <c r="H210">
        <v>15</v>
      </c>
      <c r="I210">
        <v>1</v>
      </c>
      <c r="J210">
        <v>2</v>
      </c>
    </row>
    <row r="211" spans="1:10">
      <c r="A211" t="s">
        <v>220</v>
      </c>
      <c r="B211" s="71">
        <v>0</v>
      </c>
      <c r="C211">
        <v>91</v>
      </c>
      <c r="D211">
        <v>249</v>
      </c>
      <c r="E211">
        <v>225</v>
      </c>
      <c r="F211">
        <v>231</v>
      </c>
      <c r="G211">
        <v>114</v>
      </c>
      <c r="H211">
        <v>99</v>
      </c>
      <c r="I211">
        <v>217</v>
      </c>
      <c r="J211">
        <v>227</v>
      </c>
    </row>
    <row r="212" spans="1:10">
      <c r="A212" t="s">
        <v>221</v>
      </c>
      <c r="B212" s="71">
        <v>0</v>
      </c>
      <c r="C212">
        <v>4</v>
      </c>
      <c r="D212">
        <v>1</v>
      </c>
      <c r="E212">
        <v>0</v>
      </c>
      <c r="F212">
        <v>6</v>
      </c>
      <c r="G212">
        <v>5</v>
      </c>
      <c r="H212">
        <v>0</v>
      </c>
      <c r="I212">
        <v>1</v>
      </c>
      <c r="J212">
        <v>0</v>
      </c>
    </row>
    <row r="213" spans="1:10">
      <c r="A213" t="s">
        <v>222</v>
      </c>
      <c r="B213" s="71">
        <v>0</v>
      </c>
      <c r="C213">
        <v>41</v>
      </c>
      <c r="D213">
        <v>51</v>
      </c>
      <c r="E213">
        <v>35</v>
      </c>
      <c r="F213">
        <v>78</v>
      </c>
      <c r="G213">
        <v>34</v>
      </c>
      <c r="H213">
        <v>26</v>
      </c>
      <c r="I213">
        <v>17</v>
      </c>
      <c r="J213">
        <v>7</v>
      </c>
    </row>
    <row r="214" spans="1:10">
      <c r="A214" t="s">
        <v>223</v>
      </c>
      <c r="B214" s="71">
        <v>0</v>
      </c>
      <c r="C214">
        <v>10</v>
      </c>
      <c r="D214">
        <v>8</v>
      </c>
      <c r="E214">
        <v>7</v>
      </c>
      <c r="F214">
        <v>16</v>
      </c>
      <c r="G214">
        <v>6</v>
      </c>
      <c r="H214">
        <v>9</v>
      </c>
      <c r="I214">
        <v>10</v>
      </c>
      <c r="J214">
        <v>4</v>
      </c>
    </row>
    <row r="215" spans="1:10">
      <c r="A215" t="s">
        <v>224</v>
      </c>
      <c r="B215" s="71">
        <v>0</v>
      </c>
      <c r="C215">
        <v>0</v>
      </c>
      <c r="D215">
        <v>0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1</v>
      </c>
    </row>
    <row r="216" spans="1:10">
      <c r="A216" t="s">
        <v>225</v>
      </c>
      <c r="B216" s="71">
        <v>0</v>
      </c>
      <c r="C216">
        <v>11</v>
      </c>
      <c r="D216">
        <v>26</v>
      </c>
      <c r="E216">
        <v>25</v>
      </c>
      <c r="F216">
        <v>16</v>
      </c>
      <c r="G216">
        <v>7</v>
      </c>
      <c r="H216">
        <v>7</v>
      </c>
      <c r="I216">
        <v>3</v>
      </c>
      <c r="J216">
        <v>15</v>
      </c>
    </row>
    <row r="217" spans="1:10">
      <c r="A217" t="s">
        <v>226</v>
      </c>
      <c r="B217" s="71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1</v>
      </c>
      <c r="J217">
        <v>0</v>
      </c>
    </row>
    <row r="218" spans="1:10">
      <c r="A218" t="s">
        <v>227</v>
      </c>
      <c r="B218" s="71">
        <v>0</v>
      </c>
      <c r="C218">
        <v>16</v>
      </c>
      <c r="D218">
        <v>19</v>
      </c>
      <c r="E218">
        <v>11</v>
      </c>
      <c r="F218">
        <v>13</v>
      </c>
      <c r="G218">
        <v>8</v>
      </c>
      <c r="H218">
        <v>11</v>
      </c>
      <c r="I218">
        <v>15</v>
      </c>
      <c r="J218">
        <v>8</v>
      </c>
    </row>
    <row r="219" spans="1:10">
      <c r="A219" t="s">
        <v>228</v>
      </c>
      <c r="B219" s="71">
        <v>0</v>
      </c>
      <c r="C219">
        <v>2</v>
      </c>
      <c r="D219">
        <v>0</v>
      </c>
      <c r="E219">
        <v>0</v>
      </c>
      <c r="F219">
        <v>2</v>
      </c>
      <c r="G219">
        <v>0</v>
      </c>
      <c r="H219">
        <v>4</v>
      </c>
      <c r="I219">
        <v>2</v>
      </c>
      <c r="J219">
        <v>1</v>
      </c>
    </row>
    <row r="220" spans="1:10">
      <c r="A220" t="s">
        <v>229</v>
      </c>
      <c r="B220" s="71">
        <v>0</v>
      </c>
      <c r="C220">
        <v>22</v>
      </c>
      <c r="D220">
        <v>50</v>
      </c>
      <c r="E220">
        <v>50</v>
      </c>
      <c r="F220">
        <v>53</v>
      </c>
      <c r="G220">
        <v>38</v>
      </c>
      <c r="H220">
        <v>72</v>
      </c>
      <c r="I220">
        <v>133</v>
      </c>
      <c r="J220">
        <v>61</v>
      </c>
    </row>
    <row r="221" spans="1:10">
      <c r="A221" t="s">
        <v>230</v>
      </c>
      <c r="B221" s="71">
        <v>0</v>
      </c>
      <c r="C221">
        <v>5</v>
      </c>
      <c r="D221">
        <v>11</v>
      </c>
      <c r="E221">
        <v>12</v>
      </c>
      <c r="F221">
        <v>9</v>
      </c>
      <c r="G221">
        <v>4</v>
      </c>
      <c r="H221">
        <v>4</v>
      </c>
      <c r="I221">
        <v>9</v>
      </c>
      <c r="J221">
        <v>0</v>
      </c>
    </row>
    <row r="222" spans="1:10">
      <c r="A222" t="s">
        <v>231</v>
      </c>
      <c r="B222" s="71">
        <v>0</v>
      </c>
      <c r="C222">
        <v>1</v>
      </c>
      <c r="D222">
        <v>0</v>
      </c>
      <c r="E222">
        <v>1</v>
      </c>
      <c r="F222">
        <v>0</v>
      </c>
      <c r="G222">
        <v>1</v>
      </c>
      <c r="H222">
        <v>4</v>
      </c>
      <c r="I222">
        <v>1</v>
      </c>
      <c r="J222">
        <v>7</v>
      </c>
    </row>
    <row r="223" spans="1:10">
      <c r="A223" t="s">
        <v>232</v>
      </c>
      <c r="B223" s="71">
        <v>0</v>
      </c>
      <c r="C223">
        <v>1</v>
      </c>
      <c r="D223">
        <v>4</v>
      </c>
      <c r="E223">
        <v>0</v>
      </c>
      <c r="F223">
        <v>2</v>
      </c>
      <c r="G223">
        <v>3</v>
      </c>
      <c r="H223">
        <v>6</v>
      </c>
      <c r="I223">
        <v>5</v>
      </c>
      <c r="J223">
        <v>2</v>
      </c>
    </row>
    <row r="224" spans="1:10">
      <c r="A224" t="s">
        <v>233</v>
      </c>
      <c r="B224" s="71">
        <v>0</v>
      </c>
      <c r="C224">
        <v>13</v>
      </c>
      <c r="D224">
        <v>236</v>
      </c>
      <c r="E224">
        <v>2</v>
      </c>
      <c r="F224">
        <v>3</v>
      </c>
      <c r="G224">
        <v>1</v>
      </c>
      <c r="H224">
        <v>2</v>
      </c>
      <c r="I224">
        <v>0</v>
      </c>
      <c r="J224">
        <v>3</v>
      </c>
    </row>
    <row r="225" spans="1:10">
      <c r="A225" t="s">
        <v>234</v>
      </c>
      <c r="B225" s="71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 t="s">
        <v>235</v>
      </c>
      <c r="B226" s="71">
        <v>0</v>
      </c>
      <c r="C226">
        <v>109</v>
      </c>
      <c r="D226">
        <v>151</v>
      </c>
      <c r="E226">
        <v>115</v>
      </c>
      <c r="F226">
        <v>161</v>
      </c>
      <c r="G226">
        <v>134</v>
      </c>
      <c r="H226">
        <v>138</v>
      </c>
      <c r="I226">
        <v>110</v>
      </c>
      <c r="J226">
        <v>103</v>
      </c>
    </row>
    <row r="227" spans="1:10">
      <c r="A227" t="s">
        <v>236</v>
      </c>
      <c r="B227" s="71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1</v>
      </c>
    </row>
    <row r="228" spans="1:10">
      <c r="A228" t="s">
        <v>237</v>
      </c>
      <c r="B228" s="71">
        <v>0</v>
      </c>
      <c r="C228">
        <v>111</v>
      </c>
      <c r="D228">
        <v>419</v>
      </c>
      <c r="E228">
        <v>13</v>
      </c>
      <c r="F228">
        <v>23</v>
      </c>
      <c r="G228">
        <v>64</v>
      </c>
      <c r="H228">
        <v>323</v>
      </c>
      <c r="I228">
        <v>171</v>
      </c>
      <c r="J228">
        <v>127</v>
      </c>
    </row>
    <row r="229" spans="1:10">
      <c r="A229" t="s">
        <v>238</v>
      </c>
      <c r="B229" s="71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42</v>
      </c>
      <c r="I229">
        <v>247</v>
      </c>
      <c r="J229">
        <v>187</v>
      </c>
    </row>
    <row r="230" spans="1:10">
      <c r="A230" t="s">
        <v>239</v>
      </c>
      <c r="B230" s="71">
        <v>0</v>
      </c>
      <c r="C230">
        <v>0</v>
      </c>
      <c r="D230">
        <v>1</v>
      </c>
      <c r="E230">
        <v>1</v>
      </c>
      <c r="F230">
        <v>0</v>
      </c>
      <c r="G230">
        <v>0</v>
      </c>
      <c r="H230">
        <v>2</v>
      </c>
      <c r="I230">
        <v>0</v>
      </c>
      <c r="J230">
        <v>0</v>
      </c>
    </row>
    <row r="231" spans="1:10">
      <c r="A231" t="s">
        <v>240</v>
      </c>
      <c r="B231" s="71">
        <v>0</v>
      </c>
      <c r="C231">
        <v>7</v>
      </c>
      <c r="D231">
        <v>21</v>
      </c>
      <c r="E231">
        <v>14</v>
      </c>
      <c r="F231">
        <v>14</v>
      </c>
      <c r="G231">
        <v>10</v>
      </c>
      <c r="H231">
        <v>6</v>
      </c>
      <c r="I231">
        <v>12</v>
      </c>
      <c r="J231">
        <v>8</v>
      </c>
    </row>
    <row r="232" spans="1:10">
      <c r="A232" t="s">
        <v>241</v>
      </c>
      <c r="B232" s="71">
        <v>0</v>
      </c>
      <c r="C232">
        <v>17</v>
      </c>
      <c r="D232">
        <v>23</v>
      </c>
      <c r="E232">
        <v>22</v>
      </c>
      <c r="F232">
        <v>34</v>
      </c>
      <c r="G232">
        <v>25</v>
      </c>
      <c r="H232">
        <v>28</v>
      </c>
      <c r="I232">
        <v>47</v>
      </c>
      <c r="J232">
        <v>32</v>
      </c>
    </row>
    <row r="233" spans="1:10">
      <c r="A233" t="s">
        <v>242</v>
      </c>
      <c r="B233" s="71">
        <v>0</v>
      </c>
      <c r="C233">
        <v>4</v>
      </c>
      <c r="D233">
        <v>7</v>
      </c>
      <c r="E233">
        <v>5</v>
      </c>
      <c r="F233">
        <v>7</v>
      </c>
      <c r="G233">
        <v>4</v>
      </c>
      <c r="H233">
        <v>7</v>
      </c>
      <c r="I233">
        <v>7</v>
      </c>
      <c r="J233">
        <v>1</v>
      </c>
    </row>
    <row r="234" spans="1:10">
      <c r="A234" t="s">
        <v>243</v>
      </c>
      <c r="B234" s="71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 t="s">
        <v>244</v>
      </c>
      <c r="B235" s="71">
        <v>0</v>
      </c>
      <c r="C235">
        <v>104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 t="s">
        <v>245</v>
      </c>
      <c r="B236" s="71">
        <v>0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 t="s">
        <v>246</v>
      </c>
      <c r="B237" s="71">
        <v>0</v>
      </c>
      <c r="C237">
        <v>2</v>
      </c>
      <c r="D237">
        <v>1</v>
      </c>
      <c r="E237">
        <v>2</v>
      </c>
      <c r="F237">
        <v>5</v>
      </c>
      <c r="G237">
        <v>2</v>
      </c>
      <c r="H237">
        <v>3</v>
      </c>
      <c r="I237">
        <v>3</v>
      </c>
      <c r="J237">
        <v>3</v>
      </c>
    </row>
    <row r="238" spans="1:10">
      <c r="A238" t="s">
        <v>247</v>
      </c>
      <c r="B238" s="71">
        <v>0</v>
      </c>
      <c r="C238">
        <v>2</v>
      </c>
      <c r="D238">
        <v>5</v>
      </c>
      <c r="E238">
        <v>0</v>
      </c>
      <c r="F238">
        <v>0</v>
      </c>
      <c r="G238">
        <v>0</v>
      </c>
      <c r="H238">
        <v>2</v>
      </c>
      <c r="I238">
        <v>7</v>
      </c>
      <c r="J238">
        <v>3</v>
      </c>
    </row>
    <row r="239" spans="1:10">
      <c r="A239" t="s">
        <v>248</v>
      </c>
      <c r="B239" s="71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 t="s">
        <v>249</v>
      </c>
      <c r="B240" s="71">
        <v>0</v>
      </c>
      <c r="C240">
        <v>0</v>
      </c>
      <c r="D240">
        <v>551</v>
      </c>
      <c r="E240">
        <v>14</v>
      </c>
      <c r="F240">
        <v>15</v>
      </c>
      <c r="G240">
        <v>118</v>
      </c>
      <c r="H240">
        <v>225</v>
      </c>
      <c r="I240">
        <v>293</v>
      </c>
      <c r="J240">
        <v>353</v>
      </c>
    </row>
    <row r="241" spans="1:10">
      <c r="A241" t="s">
        <v>250</v>
      </c>
      <c r="B241" s="71">
        <v>0</v>
      </c>
      <c r="C241">
        <v>20</v>
      </c>
      <c r="D241">
        <v>20</v>
      </c>
      <c r="E241">
        <v>21</v>
      </c>
      <c r="F241">
        <v>25</v>
      </c>
      <c r="G241">
        <v>20</v>
      </c>
      <c r="H241">
        <v>13</v>
      </c>
      <c r="I241">
        <v>18</v>
      </c>
      <c r="J241">
        <v>16</v>
      </c>
    </row>
    <row r="242" spans="1:10">
      <c r="A242" t="s">
        <v>251</v>
      </c>
      <c r="B242" s="71">
        <v>0</v>
      </c>
      <c r="C242">
        <v>1176</v>
      </c>
      <c r="D242">
        <v>2811</v>
      </c>
      <c r="E242">
        <v>2355</v>
      </c>
      <c r="F242">
        <v>2284</v>
      </c>
      <c r="G242">
        <v>1838</v>
      </c>
      <c r="H242">
        <v>2305</v>
      </c>
      <c r="I242">
        <v>2172</v>
      </c>
      <c r="J242">
        <v>1734</v>
      </c>
    </row>
    <row r="243" spans="1:10">
      <c r="A243" t="s">
        <v>252</v>
      </c>
      <c r="B243" s="71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</row>
    <row r="244" spans="1:10">
      <c r="A244" t="s">
        <v>253</v>
      </c>
      <c r="B244" s="71">
        <v>0</v>
      </c>
      <c r="C244">
        <v>939</v>
      </c>
      <c r="D244">
        <v>2355</v>
      </c>
      <c r="E244">
        <v>2605</v>
      </c>
      <c r="F244">
        <v>4238</v>
      </c>
      <c r="G244">
        <v>3108</v>
      </c>
      <c r="H244">
        <v>3429</v>
      </c>
      <c r="I244">
        <v>3498</v>
      </c>
      <c r="J244">
        <v>3113</v>
      </c>
    </row>
    <row r="245" spans="1:10">
      <c r="A245" t="s">
        <v>254</v>
      </c>
      <c r="B245" s="71">
        <v>0</v>
      </c>
      <c r="C245">
        <v>2978</v>
      </c>
      <c r="D245">
        <v>3271</v>
      </c>
      <c r="E245">
        <v>2844</v>
      </c>
      <c r="F245">
        <v>2909</v>
      </c>
      <c r="G245">
        <v>2099</v>
      </c>
      <c r="H245">
        <v>2422</v>
      </c>
      <c r="I245">
        <v>2729</v>
      </c>
      <c r="J245">
        <v>2212</v>
      </c>
    </row>
    <row r="246" spans="1:10">
      <c r="A246" t="s">
        <v>255</v>
      </c>
      <c r="B246" s="71">
        <v>0</v>
      </c>
      <c r="C246">
        <v>468</v>
      </c>
      <c r="D246">
        <v>508</v>
      </c>
      <c r="E246">
        <v>538</v>
      </c>
      <c r="F246">
        <v>633</v>
      </c>
      <c r="G246">
        <v>561</v>
      </c>
      <c r="H246">
        <v>559</v>
      </c>
      <c r="I246">
        <v>685</v>
      </c>
      <c r="J246">
        <v>542</v>
      </c>
    </row>
    <row r="247" spans="1:10">
      <c r="A247" t="s">
        <v>256</v>
      </c>
      <c r="B247" s="71">
        <v>0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 t="s">
        <v>257</v>
      </c>
      <c r="B248" s="71">
        <v>0</v>
      </c>
      <c r="C248">
        <v>2</v>
      </c>
      <c r="D248">
        <v>4</v>
      </c>
      <c r="E248">
        <v>7</v>
      </c>
      <c r="F248">
        <v>5</v>
      </c>
      <c r="G248">
        <v>3</v>
      </c>
      <c r="H248">
        <v>4</v>
      </c>
      <c r="I248">
        <v>8</v>
      </c>
      <c r="J248">
        <v>8</v>
      </c>
    </row>
    <row r="249" spans="1:10">
      <c r="A249" t="s">
        <v>258</v>
      </c>
      <c r="B249" s="71">
        <v>0</v>
      </c>
      <c r="C249">
        <v>45</v>
      </c>
      <c r="D249">
        <v>60</v>
      </c>
      <c r="E249">
        <v>59</v>
      </c>
      <c r="F249">
        <v>82</v>
      </c>
      <c r="G249">
        <v>41</v>
      </c>
      <c r="H249">
        <v>62</v>
      </c>
      <c r="I249">
        <v>57</v>
      </c>
      <c r="J249">
        <v>71</v>
      </c>
    </row>
    <row r="250" spans="1:10">
      <c r="A250" t="s">
        <v>259</v>
      </c>
      <c r="B250" s="71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</row>
    <row r="251" spans="1:10">
      <c r="A251" t="s">
        <v>260</v>
      </c>
      <c r="B251" s="71">
        <v>0</v>
      </c>
      <c r="C251">
        <v>1</v>
      </c>
      <c r="D251">
        <v>1</v>
      </c>
      <c r="E251">
        <v>1</v>
      </c>
      <c r="F251">
        <v>3</v>
      </c>
      <c r="G251">
        <v>1</v>
      </c>
      <c r="H251">
        <v>2</v>
      </c>
      <c r="I251">
        <v>3</v>
      </c>
      <c r="J251">
        <v>1</v>
      </c>
    </row>
    <row r="252" spans="1:10">
      <c r="A252" t="s">
        <v>261</v>
      </c>
      <c r="B252" s="71">
        <v>0</v>
      </c>
      <c r="C252">
        <v>79</v>
      </c>
      <c r="D252">
        <v>153</v>
      </c>
      <c r="E252">
        <v>117</v>
      </c>
      <c r="F252">
        <v>85</v>
      </c>
      <c r="G252">
        <v>43</v>
      </c>
      <c r="H252">
        <v>111</v>
      </c>
      <c r="I252">
        <v>147</v>
      </c>
      <c r="J252">
        <v>130</v>
      </c>
    </row>
    <row r="253" spans="1:10">
      <c r="A253" t="s">
        <v>262</v>
      </c>
      <c r="B253" s="71">
        <v>0</v>
      </c>
      <c r="C253">
        <v>3</v>
      </c>
      <c r="D253">
        <v>4</v>
      </c>
      <c r="E253">
        <v>2</v>
      </c>
      <c r="F253">
        <v>3</v>
      </c>
      <c r="G253">
        <v>2</v>
      </c>
      <c r="H253">
        <v>2</v>
      </c>
      <c r="I253">
        <v>5</v>
      </c>
      <c r="J253">
        <v>3</v>
      </c>
    </row>
    <row r="254" spans="1:10">
      <c r="A254" t="s">
        <v>263</v>
      </c>
      <c r="B254" s="71">
        <v>0</v>
      </c>
      <c r="C254">
        <v>0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 t="s">
        <v>264</v>
      </c>
      <c r="B255" s="71">
        <v>0</v>
      </c>
      <c r="C255">
        <v>2</v>
      </c>
      <c r="D255">
        <v>3</v>
      </c>
      <c r="E255">
        <v>6</v>
      </c>
      <c r="F255">
        <v>5</v>
      </c>
      <c r="G255">
        <v>4</v>
      </c>
      <c r="H255">
        <v>1</v>
      </c>
      <c r="I255">
        <v>1</v>
      </c>
      <c r="J255">
        <v>3</v>
      </c>
    </row>
    <row r="256" spans="1:10">
      <c r="A256" t="s">
        <v>265</v>
      </c>
      <c r="B256" s="71">
        <v>0</v>
      </c>
      <c r="C256">
        <v>0</v>
      </c>
      <c r="D256">
        <v>4</v>
      </c>
      <c r="E256">
        <v>4</v>
      </c>
      <c r="F256">
        <v>1</v>
      </c>
      <c r="G256">
        <v>3</v>
      </c>
      <c r="H256">
        <v>0</v>
      </c>
      <c r="I256">
        <v>1</v>
      </c>
      <c r="J256">
        <v>3</v>
      </c>
    </row>
    <row r="257" spans="1:10">
      <c r="A257" t="s">
        <v>266</v>
      </c>
      <c r="B257" s="71">
        <v>0</v>
      </c>
      <c r="C257">
        <v>0</v>
      </c>
      <c r="D257">
        <v>1</v>
      </c>
      <c r="E257">
        <v>1</v>
      </c>
      <c r="F257">
        <v>0</v>
      </c>
      <c r="G257">
        <v>1</v>
      </c>
      <c r="H257">
        <v>0</v>
      </c>
      <c r="I257">
        <v>0</v>
      </c>
      <c r="J257">
        <v>3</v>
      </c>
    </row>
    <row r="258" spans="1:10">
      <c r="A258" t="s">
        <v>267</v>
      </c>
      <c r="B258" s="71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</v>
      </c>
    </row>
    <row r="259" spans="1:10">
      <c r="A259" t="s">
        <v>268</v>
      </c>
      <c r="B259" s="71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</row>
    <row r="260" spans="1:10">
      <c r="A260" t="s">
        <v>269</v>
      </c>
      <c r="B260" s="71">
        <v>0</v>
      </c>
      <c r="C260">
        <v>4</v>
      </c>
      <c r="D260">
        <v>11</v>
      </c>
      <c r="E260">
        <v>7</v>
      </c>
      <c r="F260">
        <v>11</v>
      </c>
      <c r="G260">
        <v>9</v>
      </c>
      <c r="H260">
        <v>5</v>
      </c>
      <c r="I260">
        <v>11</v>
      </c>
      <c r="J260">
        <v>5</v>
      </c>
    </row>
    <row r="261" spans="1:10">
      <c r="A261" t="s">
        <v>270</v>
      </c>
      <c r="B261" s="71">
        <v>0</v>
      </c>
      <c r="C261">
        <v>580</v>
      </c>
      <c r="D261">
        <v>1904</v>
      </c>
      <c r="E261">
        <v>3</v>
      </c>
      <c r="F261">
        <v>0</v>
      </c>
      <c r="G261">
        <v>1</v>
      </c>
      <c r="H261">
        <v>0</v>
      </c>
      <c r="I261">
        <v>0</v>
      </c>
      <c r="J261">
        <v>0</v>
      </c>
    </row>
    <row r="262" spans="1:10">
      <c r="A262" t="s">
        <v>271</v>
      </c>
      <c r="B262" s="71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1</v>
      </c>
    </row>
    <row r="263" spans="1:10">
      <c r="A263" t="s">
        <v>272</v>
      </c>
      <c r="B263" s="71">
        <v>0</v>
      </c>
      <c r="C263">
        <v>3</v>
      </c>
      <c r="D263">
        <v>6</v>
      </c>
      <c r="E263">
        <v>1</v>
      </c>
      <c r="F263">
        <v>8</v>
      </c>
      <c r="G263">
        <v>6</v>
      </c>
      <c r="H263">
        <v>3</v>
      </c>
      <c r="I263">
        <v>1</v>
      </c>
      <c r="J263">
        <v>5</v>
      </c>
    </row>
    <row r="264" spans="1:10">
      <c r="A264" t="s">
        <v>273</v>
      </c>
      <c r="B264" s="71">
        <v>0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 t="s">
        <v>274</v>
      </c>
      <c r="B265" s="71">
        <v>0</v>
      </c>
      <c r="C265">
        <v>15</v>
      </c>
      <c r="D265">
        <v>30</v>
      </c>
      <c r="E265">
        <v>32</v>
      </c>
      <c r="F265">
        <v>18</v>
      </c>
      <c r="G265">
        <v>20</v>
      </c>
      <c r="H265">
        <v>24</v>
      </c>
      <c r="I265">
        <v>15</v>
      </c>
      <c r="J265">
        <v>19</v>
      </c>
    </row>
    <row r="266" spans="1:10">
      <c r="A266" t="s">
        <v>275</v>
      </c>
      <c r="B266" s="71">
        <v>0</v>
      </c>
      <c r="C266">
        <v>29</v>
      </c>
      <c r="D266">
        <v>69</v>
      </c>
      <c r="E266">
        <v>60</v>
      </c>
      <c r="F266">
        <v>63</v>
      </c>
      <c r="G266">
        <v>51</v>
      </c>
      <c r="H266">
        <v>70</v>
      </c>
      <c r="I266">
        <v>53</v>
      </c>
      <c r="J266">
        <v>54</v>
      </c>
    </row>
    <row r="267" spans="1:10">
      <c r="A267" t="s">
        <v>276</v>
      </c>
      <c r="B267" s="71">
        <v>0</v>
      </c>
      <c r="C267">
        <v>13</v>
      </c>
      <c r="D267">
        <v>28</v>
      </c>
      <c r="E267">
        <v>35</v>
      </c>
      <c r="F267">
        <v>27</v>
      </c>
      <c r="G267">
        <v>17</v>
      </c>
      <c r="H267">
        <v>34</v>
      </c>
      <c r="I267">
        <v>27</v>
      </c>
      <c r="J267">
        <v>25</v>
      </c>
    </row>
    <row r="268" spans="1:10">
      <c r="A268" t="s">
        <v>277</v>
      </c>
      <c r="B268" s="71">
        <v>0</v>
      </c>
      <c r="C268">
        <v>0</v>
      </c>
      <c r="D268">
        <v>1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</row>
    <row r="269" spans="1:10">
      <c r="A269" t="s">
        <v>278</v>
      </c>
      <c r="B269" s="71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</row>
    <row r="270" spans="1:10">
      <c r="A270" t="s">
        <v>279</v>
      </c>
      <c r="B270" s="71">
        <v>0</v>
      </c>
      <c r="C270">
        <v>24</v>
      </c>
      <c r="D270">
        <v>49</v>
      </c>
      <c r="E270">
        <v>53</v>
      </c>
      <c r="F270">
        <v>59</v>
      </c>
      <c r="G270">
        <v>46</v>
      </c>
      <c r="H270">
        <v>45</v>
      </c>
      <c r="I270">
        <v>36</v>
      </c>
      <c r="J270">
        <v>30</v>
      </c>
    </row>
    <row r="271" spans="1:10">
      <c r="A271" t="s">
        <v>280</v>
      </c>
      <c r="B271" s="71">
        <v>0</v>
      </c>
      <c r="C271">
        <v>1</v>
      </c>
      <c r="D271">
        <v>1</v>
      </c>
      <c r="E271">
        <v>3</v>
      </c>
      <c r="F271">
        <v>1</v>
      </c>
      <c r="G271">
        <v>0</v>
      </c>
      <c r="H271">
        <v>0</v>
      </c>
      <c r="I271">
        <v>2</v>
      </c>
      <c r="J271">
        <v>1</v>
      </c>
    </row>
    <row r="272" spans="1:10">
      <c r="A272" t="s">
        <v>281</v>
      </c>
      <c r="B272" s="71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</row>
    <row r="273" spans="1:10">
      <c r="A273" t="s">
        <v>282</v>
      </c>
      <c r="B273" s="71">
        <v>0</v>
      </c>
      <c r="C273">
        <v>7</v>
      </c>
      <c r="D273">
        <v>6</v>
      </c>
      <c r="E273">
        <v>14</v>
      </c>
      <c r="F273">
        <v>18</v>
      </c>
      <c r="G273">
        <v>20</v>
      </c>
      <c r="H273">
        <v>22</v>
      </c>
      <c r="I273">
        <v>13</v>
      </c>
      <c r="J273">
        <v>15</v>
      </c>
    </row>
    <row r="274" spans="1:10">
      <c r="A274" t="s">
        <v>283</v>
      </c>
      <c r="B274" s="71">
        <v>0</v>
      </c>
      <c r="C274">
        <v>0</v>
      </c>
      <c r="D274">
        <v>0</v>
      </c>
      <c r="E274">
        <v>0</v>
      </c>
      <c r="F274">
        <v>5</v>
      </c>
      <c r="G274">
        <v>13</v>
      </c>
      <c r="H274">
        <v>78</v>
      </c>
      <c r="I274">
        <v>78</v>
      </c>
      <c r="J274">
        <v>53</v>
      </c>
    </row>
    <row r="275" spans="1:10">
      <c r="A275" t="s">
        <v>284</v>
      </c>
      <c r="B275" s="71">
        <v>0</v>
      </c>
      <c r="C275">
        <v>106</v>
      </c>
      <c r="D275">
        <v>245</v>
      </c>
      <c r="E275">
        <v>251</v>
      </c>
      <c r="F275">
        <v>357</v>
      </c>
      <c r="G275">
        <v>247</v>
      </c>
      <c r="H275">
        <v>464</v>
      </c>
      <c r="I275">
        <v>471</v>
      </c>
      <c r="J275">
        <v>344</v>
      </c>
    </row>
    <row r="276" spans="1:10">
      <c r="A276" t="s">
        <v>285</v>
      </c>
      <c r="B276" s="71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</row>
    <row r="277" spans="1:10">
      <c r="A277" t="s">
        <v>286</v>
      </c>
      <c r="B277" s="71">
        <v>0</v>
      </c>
      <c r="C277">
        <v>48</v>
      </c>
      <c r="D277">
        <v>84</v>
      </c>
      <c r="E277">
        <v>88</v>
      </c>
      <c r="F277">
        <v>69</v>
      </c>
      <c r="G277">
        <v>56</v>
      </c>
      <c r="H277">
        <v>80</v>
      </c>
      <c r="I277">
        <v>80</v>
      </c>
      <c r="J277">
        <v>83</v>
      </c>
    </row>
    <row r="278" spans="1:10">
      <c r="A278" t="s">
        <v>287</v>
      </c>
      <c r="B278" s="71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</row>
    <row r="279" spans="1:10">
      <c r="A279" t="s">
        <v>288</v>
      </c>
      <c r="B279" s="71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</row>
    <row r="280" spans="1:10">
      <c r="A280" t="s">
        <v>289</v>
      </c>
      <c r="B280" s="71">
        <v>0</v>
      </c>
      <c r="C280">
        <v>815</v>
      </c>
      <c r="D280">
        <v>1445</v>
      </c>
      <c r="E280">
        <v>1314</v>
      </c>
      <c r="F280">
        <v>1637</v>
      </c>
      <c r="G280">
        <v>1391</v>
      </c>
      <c r="H280">
        <v>1279</v>
      </c>
      <c r="I280">
        <v>1057</v>
      </c>
      <c r="J280">
        <v>957</v>
      </c>
    </row>
    <row r="281" spans="1:10">
      <c r="A281" t="s">
        <v>290</v>
      </c>
      <c r="B281" s="71">
        <v>0</v>
      </c>
      <c r="C281">
        <v>1</v>
      </c>
      <c r="D281">
        <v>0</v>
      </c>
      <c r="E281">
        <v>1</v>
      </c>
      <c r="F281">
        <v>0</v>
      </c>
      <c r="G281">
        <v>1</v>
      </c>
      <c r="H281">
        <v>2</v>
      </c>
      <c r="I281">
        <v>1</v>
      </c>
      <c r="J281">
        <v>0</v>
      </c>
    </row>
    <row r="282" spans="1:10">
      <c r="A282" t="s">
        <v>291</v>
      </c>
      <c r="B282" s="71">
        <v>0</v>
      </c>
      <c r="C282">
        <v>12</v>
      </c>
      <c r="D282">
        <v>20</v>
      </c>
      <c r="E282">
        <v>12</v>
      </c>
      <c r="F282">
        <v>17</v>
      </c>
      <c r="G282">
        <v>8</v>
      </c>
      <c r="H282">
        <v>4</v>
      </c>
      <c r="I282">
        <v>9</v>
      </c>
      <c r="J282">
        <v>10</v>
      </c>
    </row>
    <row r="283" spans="1:10">
      <c r="A283" t="s">
        <v>292</v>
      </c>
      <c r="B283" s="71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</row>
    <row r="284" spans="1:10">
      <c r="A284" t="s">
        <v>293</v>
      </c>
      <c r="B284" s="71">
        <v>0</v>
      </c>
      <c r="C284">
        <v>0</v>
      </c>
      <c r="D284">
        <v>2</v>
      </c>
      <c r="E284">
        <v>1</v>
      </c>
      <c r="F284">
        <v>0</v>
      </c>
      <c r="G284">
        <v>1</v>
      </c>
      <c r="H284">
        <v>1</v>
      </c>
      <c r="I284">
        <v>1</v>
      </c>
      <c r="J284">
        <v>2</v>
      </c>
    </row>
    <row r="285" spans="1:10">
      <c r="A285" t="s">
        <v>294</v>
      </c>
      <c r="B285" s="71">
        <v>0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 t="s">
        <v>295</v>
      </c>
      <c r="B286" s="71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6</v>
      </c>
      <c r="I286">
        <v>7</v>
      </c>
      <c r="J286">
        <v>1</v>
      </c>
    </row>
    <row r="287" spans="1:10">
      <c r="A287" t="s">
        <v>296</v>
      </c>
      <c r="B287" s="71">
        <v>0</v>
      </c>
      <c r="C287">
        <v>0</v>
      </c>
      <c r="D287">
        <v>1</v>
      </c>
      <c r="E287">
        <v>2</v>
      </c>
      <c r="F287">
        <v>0</v>
      </c>
      <c r="G287">
        <v>1</v>
      </c>
      <c r="H287">
        <v>0</v>
      </c>
      <c r="I287">
        <v>0</v>
      </c>
      <c r="J287">
        <v>1</v>
      </c>
    </row>
    <row r="288" spans="1:10">
      <c r="A288" t="s">
        <v>297</v>
      </c>
      <c r="B288" s="71">
        <v>0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</row>
    <row r="289" spans="1:10">
      <c r="A289" t="s">
        <v>298</v>
      </c>
      <c r="B289" s="71">
        <v>0</v>
      </c>
      <c r="C289">
        <v>38</v>
      </c>
      <c r="D289">
        <v>29</v>
      </c>
      <c r="E289">
        <v>20</v>
      </c>
      <c r="F289">
        <v>16</v>
      </c>
      <c r="G289">
        <v>8</v>
      </c>
      <c r="H289">
        <v>6</v>
      </c>
      <c r="I289">
        <v>5</v>
      </c>
      <c r="J289">
        <v>5</v>
      </c>
    </row>
    <row r="290" spans="1:10">
      <c r="A290" t="s">
        <v>299</v>
      </c>
      <c r="B290" s="71">
        <v>0</v>
      </c>
      <c r="C290">
        <v>2</v>
      </c>
      <c r="D290">
        <v>4</v>
      </c>
      <c r="E290">
        <v>6</v>
      </c>
      <c r="F290">
        <v>3</v>
      </c>
      <c r="G290">
        <v>6</v>
      </c>
      <c r="H290">
        <v>5</v>
      </c>
      <c r="I290">
        <v>9</v>
      </c>
      <c r="J290">
        <v>9</v>
      </c>
    </row>
    <row r="291" spans="1:10">
      <c r="A291" t="s">
        <v>300</v>
      </c>
      <c r="B291" s="71">
        <v>0</v>
      </c>
      <c r="C291">
        <v>167</v>
      </c>
      <c r="D291">
        <v>414</v>
      </c>
      <c r="E291">
        <v>274</v>
      </c>
      <c r="F291">
        <v>232</v>
      </c>
      <c r="G291">
        <v>189</v>
      </c>
      <c r="H291">
        <v>439</v>
      </c>
      <c r="I291">
        <v>329</v>
      </c>
      <c r="J291">
        <v>371</v>
      </c>
    </row>
    <row r="292" spans="1:10">
      <c r="A292" t="s">
        <v>301</v>
      </c>
      <c r="B292" s="71">
        <v>0</v>
      </c>
      <c r="C292">
        <v>20</v>
      </c>
      <c r="D292">
        <v>59</v>
      </c>
      <c r="E292">
        <v>34</v>
      </c>
      <c r="F292">
        <v>48</v>
      </c>
      <c r="G292">
        <v>47</v>
      </c>
      <c r="H292">
        <v>60</v>
      </c>
      <c r="I292">
        <v>58</v>
      </c>
      <c r="J292">
        <v>22</v>
      </c>
    </row>
    <row r="293" spans="1:10">
      <c r="A293" t="s">
        <v>302</v>
      </c>
      <c r="B293" s="71">
        <v>0</v>
      </c>
      <c r="C293">
        <v>32</v>
      </c>
      <c r="D293">
        <v>76</v>
      </c>
      <c r="E293">
        <v>37</v>
      </c>
      <c r="F293">
        <v>45</v>
      </c>
      <c r="G293">
        <v>33</v>
      </c>
      <c r="H293">
        <v>30</v>
      </c>
      <c r="I293">
        <v>10</v>
      </c>
      <c r="J293">
        <v>6</v>
      </c>
    </row>
    <row r="294" spans="1:10">
      <c r="A294" t="s">
        <v>303</v>
      </c>
      <c r="B294" s="71">
        <v>0</v>
      </c>
      <c r="C294">
        <v>0</v>
      </c>
      <c r="D294">
        <v>0</v>
      </c>
      <c r="E294">
        <v>212</v>
      </c>
      <c r="F294">
        <v>855</v>
      </c>
      <c r="G294">
        <v>805</v>
      </c>
      <c r="H294">
        <v>781</v>
      </c>
      <c r="I294">
        <v>1668</v>
      </c>
      <c r="J294">
        <v>2640</v>
      </c>
    </row>
    <row r="295" spans="1:10">
      <c r="A295" t="s">
        <v>304</v>
      </c>
      <c r="B295" s="71">
        <v>0</v>
      </c>
      <c r="C295">
        <v>430</v>
      </c>
      <c r="D295">
        <v>711</v>
      </c>
      <c r="E295">
        <v>664</v>
      </c>
      <c r="F295">
        <v>719</v>
      </c>
      <c r="G295">
        <v>555</v>
      </c>
      <c r="H295">
        <v>547</v>
      </c>
      <c r="I295">
        <v>547</v>
      </c>
      <c r="J295">
        <v>552</v>
      </c>
    </row>
    <row r="296" spans="1:10">
      <c r="A296" t="s">
        <v>305</v>
      </c>
      <c r="B296" s="71">
        <v>0</v>
      </c>
      <c r="C296">
        <v>2</v>
      </c>
      <c r="D296">
        <v>0</v>
      </c>
      <c r="E296">
        <v>3</v>
      </c>
      <c r="F296">
        <v>1</v>
      </c>
      <c r="G296">
        <v>3</v>
      </c>
      <c r="H296">
        <v>3</v>
      </c>
      <c r="I296">
        <v>2</v>
      </c>
      <c r="J296">
        <v>1</v>
      </c>
    </row>
    <row r="297" spans="1:10">
      <c r="A297" t="s">
        <v>306</v>
      </c>
      <c r="B297" s="71">
        <v>0</v>
      </c>
      <c r="C297">
        <v>29</v>
      </c>
      <c r="D297">
        <v>24</v>
      </c>
      <c r="E297">
        <v>14</v>
      </c>
      <c r="F297">
        <v>21</v>
      </c>
      <c r="G297">
        <v>14</v>
      </c>
      <c r="H297">
        <v>53</v>
      </c>
      <c r="I297">
        <v>68</v>
      </c>
      <c r="J297">
        <v>52</v>
      </c>
    </row>
    <row r="298" spans="1:10">
      <c r="A298" t="s">
        <v>307</v>
      </c>
      <c r="B298" s="71">
        <v>0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2</v>
      </c>
      <c r="J298">
        <v>0</v>
      </c>
    </row>
    <row r="299" spans="1:10">
      <c r="A299" t="s">
        <v>308</v>
      </c>
      <c r="B299" s="71">
        <v>0</v>
      </c>
      <c r="C299">
        <v>0</v>
      </c>
      <c r="D299">
        <v>0</v>
      </c>
      <c r="E299">
        <v>0</v>
      </c>
      <c r="F299">
        <v>1</v>
      </c>
      <c r="G299">
        <v>27</v>
      </c>
      <c r="H299">
        <v>34</v>
      </c>
      <c r="I299">
        <v>26</v>
      </c>
      <c r="J299">
        <v>18</v>
      </c>
    </row>
    <row r="300" spans="1:10">
      <c r="A300" t="s">
        <v>309</v>
      </c>
      <c r="B300" s="71">
        <v>0</v>
      </c>
      <c r="C300">
        <v>51</v>
      </c>
      <c r="D300">
        <v>425</v>
      </c>
      <c r="E300">
        <v>21</v>
      </c>
      <c r="F300">
        <v>4</v>
      </c>
      <c r="G300">
        <v>2</v>
      </c>
      <c r="H300">
        <v>83</v>
      </c>
      <c r="I300">
        <v>89</v>
      </c>
      <c r="J300">
        <v>15</v>
      </c>
    </row>
    <row r="301" spans="1:10">
      <c r="A301" t="s">
        <v>310</v>
      </c>
      <c r="B301" s="71">
        <v>0</v>
      </c>
      <c r="C301">
        <v>0</v>
      </c>
      <c r="D301">
        <v>1</v>
      </c>
      <c r="E301">
        <v>0</v>
      </c>
      <c r="F301">
        <v>1</v>
      </c>
      <c r="G301">
        <v>1</v>
      </c>
      <c r="H301">
        <v>0</v>
      </c>
      <c r="I301">
        <v>2</v>
      </c>
      <c r="J301">
        <v>0</v>
      </c>
    </row>
    <row r="302" spans="1:10">
      <c r="A302" t="s">
        <v>311</v>
      </c>
      <c r="B302" s="71">
        <v>0</v>
      </c>
      <c r="C302">
        <v>9</v>
      </c>
      <c r="D302">
        <v>19</v>
      </c>
      <c r="E302">
        <v>15</v>
      </c>
      <c r="F302">
        <v>7</v>
      </c>
      <c r="G302">
        <v>16</v>
      </c>
      <c r="H302">
        <v>22</v>
      </c>
      <c r="I302">
        <v>18</v>
      </c>
      <c r="J302">
        <v>26</v>
      </c>
    </row>
    <row r="303" spans="1:10">
      <c r="A303" t="s">
        <v>312</v>
      </c>
      <c r="B303" s="71">
        <v>0</v>
      </c>
      <c r="C303">
        <v>44</v>
      </c>
      <c r="D303">
        <v>74</v>
      </c>
      <c r="E303">
        <v>49</v>
      </c>
      <c r="F303">
        <v>44</v>
      </c>
      <c r="G303">
        <v>16</v>
      </c>
      <c r="H303">
        <v>27</v>
      </c>
      <c r="I303">
        <v>37</v>
      </c>
      <c r="J303">
        <v>21</v>
      </c>
    </row>
    <row r="304" spans="1:10">
      <c r="A304" t="s">
        <v>313</v>
      </c>
      <c r="B304" s="71">
        <v>0</v>
      </c>
      <c r="C304">
        <v>312</v>
      </c>
      <c r="D304">
        <v>657</v>
      </c>
      <c r="E304">
        <v>18</v>
      </c>
      <c r="F304">
        <v>14</v>
      </c>
      <c r="G304">
        <v>5</v>
      </c>
      <c r="H304">
        <v>4</v>
      </c>
      <c r="I304">
        <v>1</v>
      </c>
      <c r="J304">
        <v>3</v>
      </c>
    </row>
    <row r="305" spans="1:10">
      <c r="A305" t="s">
        <v>314</v>
      </c>
      <c r="B305" s="71">
        <v>0</v>
      </c>
      <c r="C305">
        <v>0</v>
      </c>
      <c r="D305">
        <v>0</v>
      </c>
      <c r="E305">
        <v>0</v>
      </c>
      <c r="F305">
        <v>4</v>
      </c>
      <c r="G305">
        <v>1</v>
      </c>
      <c r="H305">
        <v>17</v>
      </c>
      <c r="I305">
        <v>14</v>
      </c>
      <c r="J305">
        <v>6</v>
      </c>
    </row>
    <row r="306" spans="1:10">
      <c r="A306" t="s">
        <v>315</v>
      </c>
      <c r="B306" s="71">
        <v>0</v>
      </c>
      <c r="C306">
        <v>14</v>
      </c>
      <c r="D306">
        <v>26</v>
      </c>
      <c r="E306">
        <v>28</v>
      </c>
      <c r="F306">
        <v>19</v>
      </c>
      <c r="G306">
        <v>13</v>
      </c>
      <c r="H306">
        <v>37</v>
      </c>
      <c r="I306">
        <v>26</v>
      </c>
      <c r="J306">
        <v>24</v>
      </c>
    </row>
    <row r="307" spans="1:10">
      <c r="A307" t="s">
        <v>316</v>
      </c>
      <c r="B307" s="71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 t="s">
        <v>317</v>
      </c>
      <c r="B308" s="71">
        <v>0</v>
      </c>
      <c r="C308">
        <v>1</v>
      </c>
      <c r="D308">
        <v>1</v>
      </c>
      <c r="E308">
        <v>3</v>
      </c>
      <c r="F308">
        <v>0</v>
      </c>
      <c r="G308">
        <v>1</v>
      </c>
      <c r="H308">
        <v>2</v>
      </c>
      <c r="I308">
        <v>2</v>
      </c>
      <c r="J308">
        <v>0</v>
      </c>
    </row>
    <row r="309" spans="1:10">
      <c r="A309" t="s">
        <v>318</v>
      </c>
      <c r="B309" s="71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 t="s">
        <v>319</v>
      </c>
      <c r="B310" s="71">
        <v>0</v>
      </c>
      <c r="C310">
        <v>5</v>
      </c>
      <c r="D310">
        <v>4</v>
      </c>
      <c r="E310">
        <v>0</v>
      </c>
      <c r="F310">
        <v>1</v>
      </c>
      <c r="G310">
        <v>6</v>
      </c>
      <c r="H310">
        <v>7</v>
      </c>
      <c r="I310">
        <v>2</v>
      </c>
      <c r="J310">
        <v>6</v>
      </c>
    </row>
    <row r="311" spans="1:10">
      <c r="A311" t="s">
        <v>320</v>
      </c>
      <c r="B311" s="71">
        <v>0</v>
      </c>
      <c r="C311">
        <v>59</v>
      </c>
      <c r="D311">
        <v>104</v>
      </c>
      <c r="E311">
        <v>94</v>
      </c>
      <c r="F311">
        <v>118</v>
      </c>
      <c r="G311">
        <v>78</v>
      </c>
      <c r="H311">
        <v>124</v>
      </c>
      <c r="I311">
        <v>129</v>
      </c>
      <c r="J311">
        <v>105</v>
      </c>
    </row>
    <row r="312" spans="1:10">
      <c r="A312" t="s">
        <v>321</v>
      </c>
      <c r="B312" s="71">
        <v>0</v>
      </c>
      <c r="C312">
        <v>11</v>
      </c>
      <c r="D312">
        <v>34</v>
      </c>
      <c r="E312">
        <v>39</v>
      </c>
      <c r="F312">
        <v>26</v>
      </c>
      <c r="G312">
        <v>21</v>
      </c>
      <c r="H312">
        <v>46</v>
      </c>
      <c r="I312">
        <v>37</v>
      </c>
      <c r="J312">
        <v>21</v>
      </c>
    </row>
    <row r="313" spans="1:10">
      <c r="A313" t="s">
        <v>322</v>
      </c>
      <c r="B313" s="71">
        <v>0</v>
      </c>
      <c r="C313">
        <v>1</v>
      </c>
      <c r="D313">
        <v>2</v>
      </c>
      <c r="E313">
        <v>0</v>
      </c>
      <c r="F313">
        <v>4</v>
      </c>
      <c r="G313">
        <v>3</v>
      </c>
      <c r="H313">
        <v>0</v>
      </c>
      <c r="I313">
        <v>0</v>
      </c>
      <c r="J313">
        <v>0</v>
      </c>
    </row>
    <row r="314" spans="1:10">
      <c r="A314" t="s">
        <v>323</v>
      </c>
      <c r="B314" s="71">
        <v>0</v>
      </c>
      <c r="C314">
        <v>1</v>
      </c>
      <c r="D314">
        <v>0</v>
      </c>
      <c r="E314">
        <v>0</v>
      </c>
      <c r="F314">
        <v>1</v>
      </c>
      <c r="G314">
        <v>5</v>
      </c>
      <c r="H314">
        <v>0</v>
      </c>
      <c r="I314">
        <v>0</v>
      </c>
      <c r="J314">
        <v>0</v>
      </c>
    </row>
    <row r="315" spans="1:10">
      <c r="A315" t="s">
        <v>324</v>
      </c>
      <c r="B315" s="71">
        <v>0</v>
      </c>
      <c r="C315">
        <v>0</v>
      </c>
      <c r="D315">
        <v>85</v>
      </c>
      <c r="E315">
        <v>0</v>
      </c>
      <c r="F315">
        <v>0</v>
      </c>
      <c r="G315">
        <v>0</v>
      </c>
      <c r="H315">
        <v>0</v>
      </c>
      <c r="I315">
        <v>2</v>
      </c>
      <c r="J315">
        <v>1</v>
      </c>
    </row>
    <row r="316" spans="1:10">
      <c r="A316" t="s">
        <v>325</v>
      </c>
      <c r="B316" s="71">
        <v>0</v>
      </c>
      <c r="C316">
        <v>9</v>
      </c>
      <c r="D316">
        <v>17</v>
      </c>
      <c r="E316">
        <v>3</v>
      </c>
      <c r="F316">
        <v>5</v>
      </c>
      <c r="G316">
        <v>5</v>
      </c>
      <c r="H316">
        <v>8</v>
      </c>
      <c r="I316">
        <v>7</v>
      </c>
      <c r="J316">
        <v>3</v>
      </c>
    </row>
    <row r="317" spans="1:10">
      <c r="A317" t="s">
        <v>326</v>
      </c>
      <c r="B317" s="71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</row>
    <row r="318" spans="1:10">
      <c r="A318" t="s">
        <v>327</v>
      </c>
      <c r="B318" s="71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</row>
    <row r="319" spans="1:10">
      <c r="A319" t="s">
        <v>328</v>
      </c>
      <c r="B319" s="71">
        <v>0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 t="s">
        <v>329</v>
      </c>
      <c r="B320" s="71">
        <v>0</v>
      </c>
      <c r="C320">
        <v>7</v>
      </c>
      <c r="D320">
        <v>0</v>
      </c>
      <c r="E320">
        <v>0</v>
      </c>
      <c r="F320">
        <v>2</v>
      </c>
      <c r="G320">
        <v>8</v>
      </c>
      <c r="H320">
        <v>5</v>
      </c>
      <c r="I320">
        <v>6</v>
      </c>
      <c r="J320">
        <v>16</v>
      </c>
    </row>
    <row r="321" spans="1:10">
      <c r="A321" t="s">
        <v>330</v>
      </c>
      <c r="B321" s="71">
        <v>0</v>
      </c>
      <c r="C321">
        <v>909</v>
      </c>
      <c r="D321">
        <v>5892</v>
      </c>
      <c r="E321">
        <v>15</v>
      </c>
      <c r="F321">
        <v>143</v>
      </c>
      <c r="G321">
        <v>510</v>
      </c>
      <c r="H321">
        <v>1279</v>
      </c>
      <c r="I321">
        <v>857</v>
      </c>
      <c r="J321">
        <v>533</v>
      </c>
    </row>
    <row r="322" spans="1:10">
      <c r="A322" t="s">
        <v>331</v>
      </c>
      <c r="B322" s="71">
        <v>0</v>
      </c>
      <c r="C322">
        <v>3194</v>
      </c>
      <c r="D322">
        <v>5446</v>
      </c>
      <c r="E322">
        <v>4945</v>
      </c>
      <c r="F322">
        <v>5402</v>
      </c>
      <c r="G322">
        <v>4532</v>
      </c>
      <c r="H322">
        <v>4256</v>
      </c>
      <c r="I322">
        <v>4027</v>
      </c>
      <c r="J322">
        <v>3790</v>
      </c>
    </row>
    <row r="323" spans="1:10">
      <c r="A323" t="s">
        <v>332</v>
      </c>
      <c r="B323" s="71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</row>
    <row r="324" spans="1:10">
      <c r="A324" t="s">
        <v>333</v>
      </c>
      <c r="B324" s="71">
        <v>0</v>
      </c>
      <c r="C324">
        <v>6</v>
      </c>
      <c r="D324">
        <v>4</v>
      </c>
      <c r="E324">
        <v>3</v>
      </c>
      <c r="F324">
        <v>1</v>
      </c>
      <c r="G324">
        <v>1</v>
      </c>
      <c r="H324">
        <v>1</v>
      </c>
      <c r="I324">
        <v>3</v>
      </c>
      <c r="J324">
        <v>3</v>
      </c>
    </row>
    <row r="325" spans="1:10">
      <c r="A325" t="s">
        <v>334</v>
      </c>
      <c r="B325" s="71">
        <v>0</v>
      </c>
      <c r="C325">
        <v>0</v>
      </c>
      <c r="D325">
        <v>0</v>
      </c>
      <c r="E325">
        <v>0</v>
      </c>
      <c r="F325">
        <v>0</v>
      </c>
      <c r="G325">
        <v>2</v>
      </c>
      <c r="H325">
        <v>0</v>
      </c>
      <c r="I325">
        <v>1</v>
      </c>
      <c r="J325">
        <v>0</v>
      </c>
    </row>
    <row r="326" spans="1:10">
      <c r="A326" t="s">
        <v>335</v>
      </c>
      <c r="B326" s="71">
        <v>0</v>
      </c>
      <c r="C326">
        <v>0</v>
      </c>
      <c r="D326">
        <v>0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1</v>
      </c>
    </row>
    <row r="327" spans="1:10">
      <c r="A327" t="s">
        <v>336</v>
      </c>
      <c r="B327" s="71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</row>
    <row r="328" spans="1:10">
      <c r="A328" t="s">
        <v>337</v>
      </c>
      <c r="B328" s="71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157</v>
      </c>
    </row>
    <row r="329" spans="1:10">
      <c r="A329" t="s">
        <v>338</v>
      </c>
      <c r="B329" s="71">
        <v>0</v>
      </c>
      <c r="C329">
        <v>102</v>
      </c>
      <c r="D329">
        <v>336</v>
      </c>
      <c r="E329">
        <v>12</v>
      </c>
      <c r="F329">
        <v>13</v>
      </c>
      <c r="G329">
        <v>24</v>
      </c>
      <c r="H329">
        <v>141</v>
      </c>
      <c r="I329">
        <v>234</v>
      </c>
      <c r="J329">
        <v>78</v>
      </c>
    </row>
    <row r="330" spans="1:10">
      <c r="A330" t="s">
        <v>339</v>
      </c>
      <c r="B330" s="71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 t="s">
        <v>340</v>
      </c>
      <c r="B331" s="71">
        <v>0</v>
      </c>
      <c r="C331">
        <v>7</v>
      </c>
      <c r="D331">
        <v>7</v>
      </c>
      <c r="E331">
        <v>9</v>
      </c>
      <c r="F331">
        <v>6</v>
      </c>
      <c r="G331">
        <v>2</v>
      </c>
      <c r="H331">
        <v>8</v>
      </c>
      <c r="I331">
        <v>7</v>
      </c>
      <c r="J331">
        <v>2</v>
      </c>
    </row>
    <row r="332" spans="1:10">
      <c r="A332" t="s">
        <v>341</v>
      </c>
      <c r="B332" s="71">
        <v>0</v>
      </c>
      <c r="C332">
        <v>8</v>
      </c>
      <c r="D332">
        <v>8</v>
      </c>
      <c r="E332">
        <v>14</v>
      </c>
      <c r="F332">
        <v>12</v>
      </c>
      <c r="G332">
        <v>9</v>
      </c>
      <c r="H332">
        <v>10</v>
      </c>
      <c r="I332">
        <v>10</v>
      </c>
      <c r="J332">
        <v>8</v>
      </c>
    </row>
    <row r="333" spans="1:10">
      <c r="A333" t="s">
        <v>342</v>
      </c>
      <c r="B333" s="71">
        <v>0</v>
      </c>
      <c r="C333">
        <v>35</v>
      </c>
      <c r="D333">
        <v>88</v>
      </c>
      <c r="E333">
        <v>50</v>
      </c>
      <c r="F333">
        <v>75</v>
      </c>
      <c r="G333">
        <v>35</v>
      </c>
      <c r="H333">
        <v>48</v>
      </c>
      <c r="I333">
        <v>50</v>
      </c>
      <c r="J333">
        <v>44</v>
      </c>
    </row>
    <row r="334" spans="1:10">
      <c r="A334" t="s">
        <v>343</v>
      </c>
      <c r="B334" s="71">
        <v>0</v>
      </c>
      <c r="C334">
        <v>79</v>
      </c>
      <c r="D334">
        <v>149</v>
      </c>
      <c r="E334">
        <v>118</v>
      </c>
      <c r="F334">
        <v>132</v>
      </c>
      <c r="G334">
        <v>110</v>
      </c>
      <c r="H334">
        <v>107</v>
      </c>
      <c r="I334">
        <v>90</v>
      </c>
      <c r="J334">
        <v>88</v>
      </c>
    </row>
    <row r="335" spans="1:10">
      <c r="A335" t="s">
        <v>344</v>
      </c>
      <c r="B335" s="71">
        <v>0</v>
      </c>
      <c r="C335">
        <v>65</v>
      </c>
      <c r="D335">
        <v>125</v>
      </c>
      <c r="E335">
        <v>121</v>
      </c>
      <c r="F335">
        <v>109</v>
      </c>
      <c r="G335">
        <v>60</v>
      </c>
      <c r="H335">
        <v>64</v>
      </c>
      <c r="I335">
        <v>46</v>
      </c>
      <c r="J335">
        <v>56</v>
      </c>
    </row>
    <row r="336" spans="1:10">
      <c r="A336" t="s">
        <v>345</v>
      </c>
      <c r="B336" s="71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</row>
    <row r="337" spans="1:10">
      <c r="A337" t="s">
        <v>346</v>
      </c>
      <c r="B337" s="71">
        <v>0</v>
      </c>
      <c r="C337">
        <v>264</v>
      </c>
      <c r="D337">
        <v>612</v>
      </c>
      <c r="E337">
        <v>727</v>
      </c>
      <c r="F337">
        <v>788</v>
      </c>
      <c r="G337">
        <v>590</v>
      </c>
      <c r="H337">
        <v>637</v>
      </c>
      <c r="I337">
        <v>749</v>
      </c>
      <c r="J337">
        <v>650</v>
      </c>
    </row>
    <row r="338" spans="1:10">
      <c r="A338" t="s">
        <v>347</v>
      </c>
      <c r="B338" s="71">
        <v>0</v>
      </c>
      <c r="C338">
        <v>2</v>
      </c>
      <c r="D338">
        <v>6</v>
      </c>
      <c r="E338">
        <v>4</v>
      </c>
      <c r="F338">
        <v>3</v>
      </c>
      <c r="G338">
        <v>3</v>
      </c>
      <c r="H338">
        <v>4</v>
      </c>
      <c r="I338">
        <v>4</v>
      </c>
      <c r="J338">
        <v>6</v>
      </c>
    </row>
    <row r="339" spans="1:10">
      <c r="A339" t="s">
        <v>348</v>
      </c>
      <c r="B339" s="71">
        <v>0</v>
      </c>
      <c r="C339">
        <v>15</v>
      </c>
      <c r="D339">
        <v>31</v>
      </c>
      <c r="E339">
        <v>20</v>
      </c>
      <c r="F339">
        <v>9</v>
      </c>
      <c r="G339">
        <v>8</v>
      </c>
      <c r="H339">
        <v>1</v>
      </c>
      <c r="I339">
        <v>1</v>
      </c>
      <c r="J339">
        <v>2</v>
      </c>
    </row>
    <row r="340" spans="1:10">
      <c r="A340" t="s">
        <v>349</v>
      </c>
      <c r="B340" s="71">
        <v>0</v>
      </c>
      <c r="C340">
        <v>15</v>
      </c>
      <c r="D340">
        <v>27</v>
      </c>
      <c r="E340">
        <v>44</v>
      </c>
      <c r="F340">
        <v>28</v>
      </c>
      <c r="G340">
        <v>19</v>
      </c>
      <c r="H340">
        <v>25</v>
      </c>
      <c r="I340">
        <v>22</v>
      </c>
      <c r="J340">
        <v>19</v>
      </c>
    </row>
    <row r="341" spans="1:10">
      <c r="A341" t="s">
        <v>350</v>
      </c>
      <c r="B341" s="71">
        <v>0</v>
      </c>
      <c r="C341">
        <v>2</v>
      </c>
      <c r="D341">
        <v>0</v>
      </c>
      <c r="E341">
        <v>0</v>
      </c>
      <c r="F341">
        <v>0</v>
      </c>
      <c r="G341">
        <v>2</v>
      </c>
      <c r="H341">
        <v>1</v>
      </c>
      <c r="I341">
        <v>0</v>
      </c>
      <c r="J341">
        <v>1</v>
      </c>
    </row>
    <row r="342" spans="1:10">
      <c r="A342" t="s">
        <v>351</v>
      </c>
      <c r="B342" s="71">
        <v>0</v>
      </c>
      <c r="C342">
        <v>781</v>
      </c>
      <c r="D342">
        <v>1468</v>
      </c>
      <c r="E342">
        <v>1170</v>
      </c>
      <c r="F342">
        <v>1656</v>
      </c>
      <c r="G342">
        <v>1203</v>
      </c>
      <c r="H342">
        <v>1413</v>
      </c>
      <c r="I342">
        <v>1567</v>
      </c>
      <c r="J342">
        <v>1418</v>
      </c>
    </row>
    <row r="343" spans="1:10">
      <c r="A343" t="s">
        <v>352</v>
      </c>
      <c r="B343" s="71">
        <v>0</v>
      </c>
      <c r="C343">
        <v>246</v>
      </c>
      <c r="D343">
        <v>241</v>
      </c>
      <c r="E343">
        <v>163</v>
      </c>
      <c r="F343">
        <v>302</v>
      </c>
      <c r="G343">
        <v>115</v>
      </c>
      <c r="H343">
        <v>120</v>
      </c>
      <c r="I343">
        <v>231</v>
      </c>
      <c r="J343">
        <v>140</v>
      </c>
    </row>
    <row r="344" spans="1:10">
      <c r="A344" t="s">
        <v>353</v>
      </c>
      <c r="B344" s="71">
        <v>0</v>
      </c>
      <c r="C344">
        <v>1</v>
      </c>
      <c r="D344">
        <v>1</v>
      </c>
      <c r="E344">
        <v>3</v>
      </c>
      <c r="F344">
        <v>1</v>
      </c>
      <c r="G344">
        <v>1</v>
      </c>
      <c r="H344">
        <v>2</v>
      </c>
      <c r="I344">
        <v>1</v>
      </c>
      <c r="J344">
        <v>0</v>
      </c>
    </row>
    <row r="345" spans="1:10">
      <c r="A345" t="s">
        <v>354</v>
      </c>
      <c r="B345" s="71">
        <v>0</v>
      </c>
      <c r="C345">
        <v>1</v>
      </c>
      <c r="D345">
        <v>0</v>
      </c>
      <c r="E345">
        <v>0</v>
      </c>
      <c r="F345">
        <v>1</v>
      </c>
      <c r="G345">
        <v>0</v>
      </c>
      <c r="H345">
        <v>1</v>
      </c>
      <c r="I345">
        <v>0</v>
      </c>
      <c r="J345">
        <v>0</v>
      </c>
    </row>
    <row r="346" spans="1:10">
      <c r="A346" t="s">
        <v>355</v>
      </c>
      <c r="B346" s="71">
        <v>0</v>
      </c>
      <c r="C346">
        <v>6</v>
      </c>
      <c r="D346">
        <v>48</v>
      </c>
      <c r="E346">
        <v>55</v>
      </c>
      <c r="F346">
        <v>51</v>
      </c>
      <c r="G346">
        <v>55</v>
      </c>
      <c r="H346">
        <v>85</v>
      </c>
      <c r="I346">
        <v>98</v>
      </c>
      <c r="J346">
        <v>69</v>
      </c>
    </row>
    <row r="347" spans="1:10">
      <c r="A347" t="s">
        <v>356</v>
      </c>
      <c r="B347" s="71">
        <v>0</v>
      </c>
      <c r="C347">
        <v>1</v>
      </c>
      <c r="D347">
        <v>0</v>
      </c>
      <c r="E347">
        <v>1</v>
      </c>
      <c r="F347">
        <v>1</v>
      </c>
      <c r="G347">
        <v>2</v>
      </c>
      <c r="H347">
        <v>1</v>
      </c>
      <c r="I347">
        <v>0</v>
      </c>
      <c r="J347">
        <v>0</v>
      </c>
    </row>
    <row r="348" spans="1:10">
      <c r="A348" t="s">
        <v>357</v>
      </c>
      <c r="B348" s="71">
        <v>0</v>
      </c>
      <c r="C348">
        <v>713</v>
      </c>
      <c r="D348">
        <v>609</v>
      </c>
      <c r="E348">
        <v>833</v>
      </c>
      <c r="F348">
        <v>753</v>
      </c>
      <c r="G348">
        <v>562</v>
      </c>
      <c r="H348">
        <v>494</v>
      </c>
      <c r="I348">
        <v>602</v>
      </c>
      <c r="J348">
        <v>582</v>
      </c>
    </row>
    <row r="349" spans="1:10">
      <c r="A349" t="s">
        <v>358</v>
      </c>
      <c r="B349" s="71">
        <v>0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 t="s">
        <v>359</v>
      </c>
      <c r="B350" s="71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</row>
    <row r="351" spans="1:10">
      <c r="A351" t="s">
        <v>360</v>
      </c>
      <c r="B351" s="71">
        <v>0</v>
      </c>
      <c r="C351">
        <v>46</v>
      </c>
      <c r="D351">
        <v>66</v>
      </c>
      <c r="E351">
        <v>45</v>
      </c>
      <c r="F351">
        <v>34</v>
      </c>
      <c r="G351">
        <v>34</v>
      </c>
      <c r="H351">
        <v>38</v>
      </c>
      <c r="I351">
        <v>37</v>
      </c>
      <c r="J351">
        <v>35</v>
      </c>
    </row>
    <row r="352" spans="1:10">
      <c r="A352" t="s">
        <v>361</v>
      </c>
      <c r="B352" s="71">
        <v>0</v>
      </c>
      <c r="C352">
        <v>30</v>
      </c>
      <c r="D352">
        <v>49</v>
      </c>
      <c r="E352">
        <v>54</v>
      </c>
      <c r="F352">
        <v>40</v>
      </c>
      <c r="G352">
        <v>49</v>
      </c>
      <c r="H352">
        <v>63</v>
      </c>
      <c r="I352">
        <v>40</v>
      </c>
      <c r="J352">
        <v>34</v>
      </c>
    </row>
    <row r="353" spans="1:10">
      <c r="A353" t="s">
        <v>362</v>
      </c>
      <c r="B353" s="71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29</v>
      </c>
    </row>
    <row r="354" spans="1:10">
      <c r="A354" t="s">
        <v>363</v>
      </c>
      <c r="B354" s="71">
        <v>0</v>
      </c>
      <c r="C354">
        <v>564</v>
      </c>
      <c r="D354">
        <v>1226</v>
      </c>
      <c r="E354">
        <v>1081</v>
      </c>
      <c r="F354">
        <v>1027</v>
      </c>
      <c r="G354">
        <v>968</v>
      </c>
      <c r="H354">
        <v>1262</v>
      </c>
      <c r="I354">
        <v>1131</v>
      </c>
      <c r="J354">
        <v>633</v>
      </c>
    </row>
    <row r="355" spans="1:10">
      <c r="A355" t="s">
        <v>364</v>
      </c>
      <c r="B355" s="71">
        <v>0</v>
      </c>
      <c r="C355">
        <v>1596</v>
      </c>
      <c r="D355">
        <v>3323</v>
      </c>
      <c r="E355">
        <v>2824</v>
      </c>
      <c r="F355">
        <v>2929</v>
      </c>
      <c r="G355">
        <v>2238</v>
      </c>
      <c r="H355">
        <v>2632</v>
      </c>
      <c r="I355">
        <v>1920</v>
      </c>
      <c r="J355">
        <v>1029</v>
      </c>
    </row>
    <row r="356" spans="1:10">
      <c r="A356" t="s">
        <v>365</v>
      </c>
      <c r="B356" s="71">
        <v>0</v>
      </c>
      <c r="C356">
        <v>0</v>
      </c>
      <c r="D356">
        <v>0</v>
      </c>
      <c r="E356">
        <v>2</v>
      </c>
      <c r="F356">
        <v>0</v>
      </c>
      <c r="G356">
        <v>1</v>
      </c>
      <c r="H356">
        <v>0</v>
      </c>
      <c r="I356">
        <v>2</v>
      </c>
      <c r="J356">
        <v>0</v>
      </c>
    </row>
    <row r="357" spans="1:10">
      <c r="A357" t="s">
        <v>366</v>
      </c>
      <c r="B357" s="71">
        <v>0</v>
      </c>
      <c r="C357">
        <v>0</v>
      </c>
      <c r="D357">
        <v>17</v>
      </c>
      <c r="E357">
        <v>10</v>
      </c>
      <c r="F357">
        <v>8</v>
      </c>
      <c r="G357">
        <v>0</v>
      </c>
      <c r="H357">
        <v>1</v>
      </c>
      <c r="I357">
        <v>0</v>
      </c>
      <c r="J357">
        <v>1</v>
      </c>
    </row>
    <row r="358" spans="1:10">
      <c r="A358" t="s">
        <v>367</v>
      </c>
      <c r="B358" s="71">
        <v>0</v>
      </c>
      <c r="C358">
        <v>59</v>
      </c>
      <c r="D358">
        <v>76</v>
      </c>
      <c r="E358">
        <v>54</v>
      </c>
      <c r="F358">
        <v>39</v>
      </c>
      <c r="G358">
        <v>23</v>
      </c>
      <c r="H358">
        <v>14</v>
      </c>
      <c r="I358">
        <v>10</v>
      </c>
      <c r="J358">
        <v>9</v>
      </c>
    </row>
    <row r="359" spans="1:10">
      <c r="A359" t="s">
        <v>368</v>
      </c>
      <c r="B359" s="71">
        <v>0</v>
      </c>
      <c r="C359">
        <v>64</v>
      </c>
      <c r="D359">
        <v>130</v>
      </c>
      <c r="E359">
        <v>117</v>
      </c>
      <c r="F359">
        <v>128</v>
      </c>
      <c r="G359">
        <v>109</v>
      </c>
      <c r="H359">
        <v>117</v>
      </c>
      <c r="I359">
        <v>94</v>
      </c>
      <c r="J359">
        <v>100</v>
      </c>
    </row>
    <row r="360" spans="1:10">
      <c r="A360" t="s">
        <v>369</v>
      </c>
      <c r="B360" s="71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</row>
    <row r="361" spans="1:10">
      <c r="A361" t="s">
        <v>370</v>
      </c>
      <c r="B361" s="71">
        <v>0</v>
      </c>
      <c r="C361">
        <v>57</v>
      </c>
      <c r="D361">
        <v>55</v>
      </c>
      <c r="E361">
        <v>103</v>
      </c>
      <c r="F361">
        <v>73</v>
      </c>
      <c r="G361">
        <v>63</v>
      </c>
      <c r="H361">
        <v>61</v>
      </c>
      <c r="I361">
        <v>73</v>
      </c>
      <c r="J361">
        <v>52</v>
      </c>
    </row>
    <row r="362" spans="1:10">
      <c r="A362" t="s">
        <v>371</v>
      </c>
      <c r="B362" s="71">
        <v>0</v>
      </c>
      <c r="C362">
        <v>5</v>
      </c>
      <c r="D362">
        <v>1</v>
      </c>
      <c r="E362">
        <v>6</v>
      </c>
      <c r="F362">
        <v>3</v>
      </c>
      <c r="G362">
        <v>2</v>
      </c>
      <c r="H362">
        <v>1</v>
      </c>
      <c r="I362">
        <v>5</v>
      </c>
      <c r="J362">
        <v>4</v>
      </c>
    </row>
    <row r="363" spans="1:10">
      <c r="A363" t="s">
        <v>372</v>
      </c>
      <c r="B363" s="71">
        <v>0</v>
      </c>
      <c r="C363">
        <v>36</v>
      </c>
      <c r="D363">
        <v>52</v>
      </c>
      <c r="E363">
        <v>67</v>
      </c>
      <c r="F363">
        <v>56</v>
      </c>
      <c r="G363">
        <v>33</v>
      </c>
      <c r="H363">
        <v>43</v>
      </c>
      <c r="I363">
        <v>35</v>
      </c>
      <c r="J363">
        <v>30</v>
      </c>
    </row>
    <row r="364" spans="1:10">
      <c r="A364" t="s">
        <v>373</v>
      </c>
      <c r="B364" s="71">
        <v>0</v>
      </c>
      <c r="C364">
        <v>68</v>
      </c>
      <c r="D364">
        <v>76</v>
      </c>
      <c r="E364">
        <v>101</v>
      </c>
      <c r="F364">
        <v>93</v>
      </c>
      <c r="G364">
        <v>62</v>
      </c>
      <c r="H364">
        <v>68</v>
      </c>
      <c r="I364">
        <v>45</v>
      </c>
      <c r="J364">
        <v>74</v>
      </c>
    </row>
    <row r="365" spans="1:10">
      <c r="A365" t="s">
        <v>374</v>
      </c>
      <c r="B365" s="71">
        <v>0</v>
      </c>
      <c r="C365">
        <v>3</v>
      </c>
      <c r="D365">
        <v>2</v>
      </c>
      <c r="E365">
        <v>4</v>
      </c>
      <c r="F365">
        <v>2</v>
      </c>
      <c r="G365">
        <v>0</v>
      </c>
      <c r="H365">
        <v>0</v>
      </c>
      <c r="I365">
        <v>2</v>
      </c>
      <c r="J365">
        <v>2</v>
      </c>
    </row>
    <row r="366" spans="1:10">
      <c r="A366" t="s">
        <v>375</v>
      </c>
      <c r="B366" s="71">
        <v>0</v>
      </c>
      <c r="C366">
        <v>0</v>
      </c>
      <c r="D366">
        <v>1</v>
      </c>
      <c r="E366">
        <v>0</v>
      </c>
      <c r="F366">
        <v>0</v>
      </c>
      <c r="G366">
        <v>1</v>
      </c>
      <c r="H366">
        <v>0</v>
      </c>
      <c r="I366">
        <v>1</v>
      </c>
      <c r="J366">
        <v>0</v>
      </c>
    </row>
    <row r="367" spans="1:10">
      <c r="A367" t="s">
        <v>376</v>
      </c>
      <c r="B367" s="71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2</v>
      </c>
      <c r="J367">
        <v>0</v>
      </c>
    </row>
    <row r="368" spans="1:10">
      <c r="A368" t="s">
        <v>377</v>
      </c>
      <c r="B368" s="71">
        <v>0</v>
      </c>
      <c r="C368">
        <v>340</v>
      </c>
      <c r="D368">
        <v>524</v>
      </c>
      <c r="E368">
        <v>457</v>
      </c>
      <c r="F368">
        <v>443</v>
      </c>
      <c r="G368">
        <v>319</v>
      </c>
      <c r="H368">
        <v>385</v>
      </c>
      <c r="I368">
        <v>405</v>
      </c>
      <c r="J368">
        <v>412</v>
      </c>
    </row>
    <row r="369" spans="1:10">
      <c r="A369" t="s">
        <v>378</v>
      </c>
      <c r="B369" s="71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2</v>
      </c>
    </row>
    <row r="370" spans="1:10">
      <c r="A370" t="s">
        <v>379</v>
      </c>
      <c r="B370" s="71">
        <v>0</v>
      </c>
      <c r="C370">
        <v>331</v>
      </c>
      <c r="D370">
        <v>208</v>
      </c>
      <c r="E370">
        <v>6</v>
      </c>
      <c r="F370">
        <v>8</v>
      </c>
      <c r="G370">
        <v>7</v>
      </c>
      <c r="H370">
        <v>19</v>
      </c>
      <c r="I370">
        <v>191</v>
      </c>
      <c r="J370">
        <v>487</v>
      </c>
    </row>
    <row r="371" spans="1:10">
      <c r="A371" t="s">
        <v>380</v>
      </c>
      <c r="B371" s="71">
        <v>0</v>
      </c>
      <c r="C371">
        <v>3</v>
      </c>
      <c r="D371">
        <v>2</v>
      </c>
      <c r="E371">
        <v>4</v>
      </c>
      <c r="F371">
        <v>10</v>
      </c>
      <c r="G371">
        <v>5</v>
      </c>
      <c r="H371">
        <v>4</v>
      </c>
      <c r="I371">
        <v>3</v>
      </c>
      <c r="J371">
        <v>1</v>
      </c>
    </row>
    <row r="372" spans="1:10">
      <c r="A372" t="s">
        <v>381</v>
      </c>
      <c r="B372" s="71">
        <v>0</v>
      </c>
      <c r="C372">
        <v>7</v>
      </c>
      <c r="D372">
        <v>15</v>
      </c>
      <c r="E372">
        <v>15</v>
      </c>
      <c r="F372">
        <v>13</v>
      </c>
      <c r="G372">
        <v>15</v>
      </c>
      <c r="H372">
        <v>20</v>
      </c>
      <c r="I372">
        <v>11</v>
      </c>
      <c r="J372">
        <v>7</v>
      </c>
    </row>
    <row r="373" spans="1:10">
      <c r="A373" t="s">
        <v>382</v>
      </c>
      <c r="B373" s="71">
        <v>0</v>
      </c>
      <c r="C373">
        <v>2</v>
      </c>
      <c r="D373">
        <v>320</v>
      </c>
      <c r="E373">
        <v>43</v>
      </c>
      <c r="F373">
        <v>46</v>
      </c>
      <c r="G373">
        <v>70</v>
      </c>
      <c r="H373">
        <v>213</v>
      </c>
      <c r="I373">
        <v>129</v>
      </c>
      <c r="J373">
        <v>86</v>
      </c>
    </row>
    <row r="374" spans="1:10">
      <c r="A374" t="s">
        <v>383</v>
      </c>
      <c r="B374" s="71">
        <v>0</v>
      </c>
      <c r="C374">
        <v>7</v>
      </c>
      <c r="D374">
        <v>8</v>
      </c>
      <c r="E374">
        <v>9</v>
      </c>
      <c r="F374">
        <v>5</v>
      </c>
      <c r="G374">
        <v>6</v>
      </c>
      <c r="H374">
        <v>4</v>
      </c>
      <c r="I374">
        <v>15</v>
      </c>
      <c r="J374">
        <v>7</v>
      </c>
    </row>
    <row r="375" spans="1:10">
      <c r="A375" t="s">
        <v>384</v>
      </c>
      <c r="B375" s="71">
        <v>0</v>
      </c>
      <c r="C375">
        <v>1</v>
      </c>
      <c r="D375">
        <v>3</v>
      </c>
      <c r="E375">
        <v>0</v>
      </c>
      <c r="F375">
        <v>3</v>
      </c>
      <c r="G375">
        <v>2</v>
      </c>
      <c r="H375">
        <v>3</v>
      </c>
      <c r="I375">
        <v>1</v>
      </c>
      <c r="J375">
        <v>0</v>
      </c>
    </row>
    <row r="376" spans="1:10">
      <c r="A376" t="s">
        <v>385</v>
      </c>
      <c r="B376" s="71">
        <v>0</v>
      </c>
      <c r="C376">
        <v>0</v>
      </c>
      <c r="D376">
        <v>2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0</v>
      </c>
    </row>
    <row r="377" spans="1:10">
      <c r="A377" t="s">
        <v>386</v>
      </c>
      <c r="B377" s="71">
        <v>0</v>
      </c>
      <c r="C377">
        <v>0</v>
      </c>
      <c r="D377">
        <v>0</v>
      </c>
      <c r="E377">
        <v>0</v>
      </c>
      <c r="F377">
        <v>0</v>
      </c>
      <c r="G377">
        <v>3</v>
      </c>
      <c r="H377">
        <v>0</v>
      </c>
      <c r="I377">
        <v>0</v>
      </c>
      <c r="J377">
        <v>1</v>
      </c>
    </row>
    <row r="378" spans="1:10">
      <c r="A378" t="s">
        <v>387</v>
      </c>
      <c r="B378" s="71">
        <v>0</v>
      </c>
      <c r="C378">
        <v>31</v>
      </c>
      <c r="D378">
        <v>377</v>
      </c>
      <c r="E378">
        <v>6</v>
      </c>
      <c r="F378">
        <v>9</v>
      </c>
      <c r="G378">
        <v>9</v>
      </c>
      <c r="H378">
        <v>27</v>
      </c>
      <c r="I378">
        <v>6</v>
      </c>
      <c r="J378">
        <v>9</v>
      </c>
    </row>
    <row r="379" spans="1:10">
      <c r="A379" t="s">
        <v>388</v>
      </c>
      <c r="B379" s="71">
        <v>0</v>
      </c>
      <c r="C379">
        <v>1</v>
      </c>
      <c r="D379">
        <v>2</v>
      </c>
      <c r="E379">
        <v>2</v>
      </c>
      <c r="F379">
        <v>0</v>
      </c>
      <c r="G379">
        <v>3</v>
      </c>
      <c r="H379">
        <v>0</v>
      </c>
      <c r="I379">
        <v>0</v>
      </c>
      <c r="J379">
        <v>1</v>
      </c>
    </row>
    <row r="380" spans="1:10">
      <c r="A380" t="s">
        <v>389</v>
      </c>
      <c r="B380" s="71">
        <v>0</v>
      </c>
      <c r="C380">
        <v>16</v>
      </c>
      <c r="D380">
        <v>38</v>
      </c>
      <c r="E380">
        <v>45</v>
      </c>
      <c r="F380">
        <v>27</v>
      </c>
      <c r="G380">
        <v>22</v>
      </c>
      <c r="H380">
        <v>44</v>
      </c>
      <c r="I380">
        <v>18</v>
      </c>
      <c r="J380">
        <v>21</v>
      </c>
    </row>
    <row r="381" spans="1:10">
      <c r="A381" t="s">
        <v>390</v>
      </c>
      <c r="B381" s="71">
        <v>0</v>
      </c>
      <c r="C381">
        <v>124</v>
      </c>
      <c r="D381">
        <v>215</v>
      </c>
      <c r="E381">
        <v>218</v>
      </c>
      <c r="F381">
        <v>307</v>
      </c>
      <c r="G381">
        <v>231</v>
      </c>
      <c r="H381">
        <v>204</v>
      </c>
      <c r="I381">
        <v>179</v>
      </c>
      <c r="J381">
        <v>183</v>
      </c>
    </row>
    <row r="382" spans="1:10">
      <c r="A382" t="s">
        <v>391</v>
      </c>
      <c r="B382" s="71">
        <v>0</v>
      </c>
      <c r="C382">
        <v>954</v>
      </c>
      <c r="D382">
        <v>4078</v>
      </c>
      <c r="E382">
        <v>22</v>
      </c>
      <c r="F382">
        <v>282</v>
      </c>
      <c r="G382">
        <v>461</v>
      </c>
      <c r="H382">
        <v>1368</v>
      </c>
      <c r="I382">
        <v>1146</v>
      </c>
      <c r="J382">
        <v>602</v>
      </c>
    </row>
    <row r="383" spans="1:10">
      <c r="A383" t="s">
        <v>392</v>
      </c>
      <c r="B383" s="71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268</v>
      </c>
      <c r="I383">
        <v>412</v>
      </c>
      <c r="J383">
        <v>358</v>
      </c>
    </row>
    <row r="384" spans="1:10">
      <c r="A384" t="s">
        <v>393</v>
      </c>
      <c r="B384" s="71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133</v>
      </c>
      <c r="I384">
        <v>298</v>
      </c>
      <c r="J384">
        <v>310</v>
      </c>
    </row>
    <row r="385" spans="1:10">
      <c r="A385" t="s">
        <v>394</v>
      </c>
      <c r="B385" s="71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</row>
    <row r="386" spans="1:10">
      <c r="A386" t="s">
        <v>395</v>
      </c>
      <c r="B386" s="71">
        <v>0</v>
      </c>
      <c r="C386">
        <v>0</v>
      </c>
      <c r="D386">
        <v>0</v>
      </c>
      <c r="E386">
        <v>1</v>
      </c>
      <c r="F386">
        <v>1</v>
      </c>
      <c r="G386">
        <v>0</v>
      </c>
      <c r="H386">
        <v>1</v>
      </c>
      <c r="I386">
        <v>0</v>
      </c>
      <c r="J386">
        <v>0</v>
      </c>
    </row>
    <row r="387" spans="1:10">
      <c r="A387" t="s">
        <v>396</v>
      </c>
      <c r="B387" s="71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</row>
    <row r="388" spans="1:10">
      <c r="A388" t="s">
        <v>397</v>
      </c>
      <c r="B388" s="71">
        <v>0</v>
      </c>
      <c r="C388">
        <v>191</v>
      </c>
      <c r="D388">
        <v>260</v>
      </c>
      <c r="E388">
        <v>269</v>
      </c>
      <c r="F388">
        <v>310</v>
      </c>
      <c r="G388">
        <v>253</v>
      </c>
      <c r="H388">
        <v>339</v>
      </c>
      <c r="I388">
        <v>319</v>
      </c>
      <c r="J388">
        <v>254</v>
      </c>
    </row>
    <row r="389" spans="1:10">
      <c r="A389" t="s">
        <v>398</v>
      </c>
      <c r="B389" s="71">
        <v>0</v>
      </c>
      <c r="C389">
        <v>88</v>
      </c>
      <c r="D389">
        <v>197</v>
      </c>
      <c r="E389">
        <v>136</v>
      </c>
      <c r="F389">
        <v>139</v>
      </c>
      <c r="G389">
        <v>108</v>
      </c>
      <c r="H389">
        <v>156</v>
      </c>
      <c r="I389">
        <v>161</v>
      </c>
      <c r="J389">
        <v>149</v>
      </c>
    </row>
    <row r="390" spans="1:10">
      <c r="A390" t="s">
        <v>399</v>
      </c>
      <c r="B390" s="71">
        <v>0</v>
      </c>
      <c r="C390">
        <v>13</v>
      </c>
      <c r="D390">
        <v>26</v>
      </c>
      <c r="E390">
        <v>2</v>
      </c>
      <c r="F390">
        <v>9</v>
      </c>
      <c r="G390">
        <v>7</v>
      </c>
      <c r="H390">
        <v>14</v>
      </c>
      <c r="I390">
        <v>9</v>
      </c>
      <c r="J390">
        <v>5</v>
      </c>
    </row>
    <row r="391" spans="1:10">
      <c r="A391" t="s">
        <v>400</v>
      </c>
      <c r="B391" s="71">
        <v>0</v>
      </c>
      <c r="C391">
        <v>0</v>
      </c>
      <c r="D391">
        <v>1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</row>
    <row r="392" spans="1:10">
      <c r="A392" t="s">
        <v>401</v>
      </c>
      <c r="B392" s="71">
        <v>0</v>
      </c>
      <c r="C392">
        <v>18</v>
      </c>
      <c r="D392">
        <v>30</v>
      </c>
      <c r="E392">
        <v>31</v>
      </c>
      <c r="F392">
        <v>26</v>
      </c>
      <c r="G392">
        <v>11</v>
      </c>
      <c r="H392">
        <v>20</v>
      </c>
      <c r="I392">
        <v>16</v>
      </c>
      <c r="J392">
        <v>14</v>
      </c>
    </row>
    <row r="393" spans="1:10">
      <c r="A393" t="s">
        <v>402</v>
      </c>
      <c r="B393" s="71">
        <v>0</v>
      </c>
      <c r="C393">
        <v>32</v>
      </c>
      <c r="D393">
        <v>50</v>
      </c>
      <c r="E393">
        <v>45</v>
      </c>
      <c r="F393">
        <v>47</v>
      </c>
      <c r="G393">
        <v>27</v>
      </c>
      <c r="H393">
        <v>54</v>
      </c>
      <c r="I393">
        <v>61</v>
      </c>
      <c r="J393">
        <v>68</v>
      </c>
    </row>
    <row r="394" spans="1:10">
      <c r="A394" t="s">
        <v>403</v>
      </c>
      <c r="B394" s="71">
        <v>0</v>
      </c>
      <c r="C394">
        <v>117</v>
      </c>
      <c r="D394">
        <v>179</v>
      </c>
      <c r="E394">
        <v>140</v>
      </c>
      <c r="F394">
        <v>139</v>
      </c>
      <c r="G394">
        <v>131</v>
      </c>
      <c r="H394">
        <v>198</v>
      </c>
      <c r="I394">
        <v>134</v>
      </c>
      <c r="J394">
        <v>143</v>
      </c>
    </row>
    <row r="395" spans="1:10">
      <c r="A395" t="s">
        <v>404</v>
      </c>
      <c r="B395" s="71">
        <v>0</v>
      </c>
      <c r="C395">
        <v>0</v>
      </c>
      <c r="D395">
        <v>1</v>
      </c>
      <c r="E395">
        <v>0</v>
      </c>
      <c r="F395">
        <v>0</v>
      </c>
      <c r="G395">
        <v>1</v>
      </c>
      <c r="H395">
        <v>0</v>
      </c>
      <c r="I395">
        <v>1</v>
      </c>
      <c r="J395">
        <v>0</v>
      </c>
    </row>
    <row r="396" spans="1:10">
      <c r="A396" t="s">
        <v>405</v>
      </c>
      <c r="B396" s="71">
        <v>0</v>
      </c>
      <c r="C396">
        <v>2</v>
      </c>
      <c r="D396">
        <v>2</v>
      </c>
      <c r="E396">
        <v>1</v>
      </c>
      <c r="F396">
        <v>2</v>
      </c>
      <c r="G396">
        <v>1</v>
      </c>
      <c r="H396">
        <v>2</v>
      </c>
      <c r="I396">
        <v>0</v>
      </c>
      <c r="J396">
        <v>2</v>
      </c>
    </row>
    <row r="397" spans="1:10">
      <c r="A397" t="s">
        <v>406</v>
      </c>
      <c r="B397" s="71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</row>
    <row r="398" spans="1:10">
      <c r="A398" t="s">
        <v>407</v>
      </c>
      <c r="B398" s="71">
        <v>0</v>
      </c>
      <c r="C398">
        <v>0</v>
      </c>
      <c r="D398">
        <v>0</v>
      </c>
      <c r="E398">
        <v>0</v>
      </c>
      <c r="F398">
        <v>3</v>
      </c>
      <c r="G398">
        <v>0</v>
      </c>
      <c r="H398">
        <v>0</v>
      </c>
      <c r="I398">
        <v>0</v>
      </c>
      <c r="J398">
        <v>0</v>
      </c>
    </row>
    <row r="399" spans="1:10">
      <c r="A399" t="s">
        <v>408</v>
      </c>
      <c r="B399" s="71">
        <v>0</v>
      </c>
      <c r="C399">
        <v>31</v>
      </c>
      <c r="D399">
        <v>33</v>
      </c>
      <c r="E399">
        <v>27</v>
      </c>
      <c r="F399">
        <v>22</v>
      </c>
      <c r="G399">
        <v>7</v>
      </c>
      <c r="H399">
        <v>9</v>
      </c>
      <c r="I399">
        <v>12</v>
      </c>
      <c r="J399">
        <v>7</v>
      </c>
    </row>
    <row r="400" spans="1:10">
      <c r="A400" t="s">
        <v>409</v>
      </c>
      <c r="B400" s="71">
        <v>0</v>
      </c>
      <c r="C400">
        <v>3</v>
      </c>
      <c r="D400">
        <v>3</v>
      </c>
      <c r="E400">
        <v>2</v>
      </c>
      <c r="F400">
        <v>1</v>
      </c>
      <c r="G400">
        <v>0</v>
      </c>
      <c r="H400">
        <v>0</v>
      </c>
      <c r="I400">
        <v>2</v>
      </c>
      <c r="J400">
        <v>1</v>
      </c>
    </row>
    <row r="401" spans="1:10">
      <c r="A401" t="s">
        <v>410</v>
      </c>
      <c r="B401" s="71">
        <v>0</v>
      </c>
      <c r="C401">
        <v>3</v>
      </c>
      <c r="D401">
        <v>1</v>
      </c>
      <c r="E401">
        <v>3</v>
      </c>
      <c r="F401">
        <v>0</v>
      </c>
      <c r="G401">
        <v>0</v>
      </c>
      <c r="H401">
        <v>0</v>
      </c>
      <c r="I401">
        <v>0</v>
      </c>
      <c r="J401">
        <v>1</v>
      </c>
    </row>
    <row r="402" spans="1:10">
      <c r="A402" t="s">
        <v>411</v>
      </c>
      <c r="B402" s="71">
        <v>0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 t="s">
        <v>412</v>
      </c>
      <c r="B403" s="71">
        <v>0</v>
      </c>
      <c r="C403">
        <v>14</v>
      </c>
      <c r="D403">
        <v>16</v>
      </c>
      <c r="E403">
        <v>23</v>
      </c>
      <c r="F403">
        <v>12</v>
      </c>
      <c r="G403">
        <v>18</v>
      </c>
      <c r="H403">
        <v>24</v>
      </c>
      <c r="I403">
        <v>11</v>
      </c>
      <c r="J403">
        <v>8</v>
      </c>
    </row>
    <row r="404" spans="1:10">
      <c r="A404" t="s">
        <v>413</v>
      </c>
      <c r="B404" s="71">
        <v>0</v>
      </c>
      <c r="C404">
        <v>103</v>
      </c>
      <c r="D404">
        <v>221</v>
      </c>
      <c r="E404">
        <v>246</v>
      </c>
      <c r="F404">
        <v>291</v>
      </c>
      <c r="G404">
        <v>197</v>
      </c>
      <c r="H404">
        <v>418</v>
      </c>
      <c r="I404">
        <v>409</v>
      </c>
      <c r="J404">
        <v>244</v>
      </c>
    </row>
    <row r="405" spans="1:10">
      <c r="A405" t="s">
        <v>414</v>
      </c>
      <c r="B405" s="71">
        <v>0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1</v>
      </c>
      <c r="J405">
        <v>0</v>
      </c>
    </row>
    <row r="406" spans="1:10">
      <c r="A406" t="s">
        <v>415</v>
      </c>
      <c r="B406" s="71">
        <v>0</v>
      </c>
      <c r="C406">
        <v>4</v>
      </c>
      <c r="D406">
        <v>7</v>
      </c>
      <c r="E406">
        <v>11</v>
      </c>
      <c r="F406">
        <v>10</v>
      </c>
      <c r="G406">
        <v>9</v>
      </c>
      <c r="H406">
        <v>5</v>
      </c>
      <c r="I406">
        <v>4</v>
      </c>
      <c r="J406">
        <v>12</v>
      </c>
    </row>
    <row r="407" spans="1:10">
      <c r="A407" t="s">
        <v>416</v>
      </c>
      <c r="B407" s="71">
        <v>0</v>
      </c>
      <c r="C407">
        <v>86</v>
      </c>
      <c r="D407">
        <v>213</v>
      </c>
      <c r="E407">
        <v>96</v>
      </c>
      <c r="F407">
        <v>87</v>
      </c>
      <c r="G407">
        <v>68</v>
      </c>
      <c r="H407">
        <v>122</v>
      </c>
      <c r="I407">
        <v>72</v>
      </c>
      <c r="J407">
        <v>40</v>
      </c>
    </row>
    <row r="408" spans="1:10">
      <c r="A408" t="s">
        <v>417</v>
      </c>
      <c r="B408" s="71">
        <v>0</v>
      </c>
      <c r="C408">
        <v>586</v>
      </c>
      <c r="D408">
        <v>1160</v>
      </c>
      <c r="E408">
        <v>67</v>
      </c>
      <c r="F408">
        <v>319</v>
      </c>
      <c r="G408">
        <v>265</v>
      </c>
      <c r="H408">
        <v>566</v>
      </c>
      <c r="I408">
        <v>697</v>
      </c>
      <c r="J408">
        <v>632</v>
      </c>
    </row>
    <row r="409" spans="1:10">
      <c r="A409" t="s">
        <v>418</v>
      </c>
      <c r="B409" s="71">
        <v>0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1</v>
      </c>
    </row>
    <row r="410" spans="1:10">
      <c r="A410" t="s">
        <v>419</v>
      </c>
      <c r="B410" s="71">
        <v>0</v>
      </c>
      <c r="C410">
        <v>3398</v>
      </c>
      <c r="D410">
        <v>6806</v>
      </c>
      <c r="E410">
        <v>705</v>
      </c>
      <c r="F410">
        <v>1183</v>
      </c>
      <c r="G410">
        <v>1059</v>
      </c>
      <c r="H410">
        <v>1010</v>
      </c>
      <c r="I410">
        <v>525</v>
      </c>
      <c r="J410">
        <v>2136</v>
      </c>
    </row>
    <row r="411" spans="1:10">
      <c r="A411" t="s">
        <v>420</v>
      </c>
      <c r="B411" s="7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</row>
    <row r="412" spans="1:10">
      <c r="A412" t="s">
        <v>421</v>
      </c>
      <c r="B412" s="71">
        <v>0</v>
      </c>
      <c r="C412">
        <v>0</v>
      </c>
      <c r="D412">
        <v>0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0</v>
      </c>
    </row>
    <row r="413" spans="1:10">
      <c r="A413" t="s">
        <v>422</v>
      </c>
      <c r="B413" s="71">
        <v>0</v>
      </c>
      <c r="C413">
        <v>0</v>
      </c>
      <c r="D413">
        <v>18</v>
      </c>
      <c r="E413">
        <v>5</v>
      </c>
      <c r="F413">
        <v>5</v>
      </c>
      <c r="G413">
        <v>0</v>
      </c>
      <c r="H413">
        <v>2</v>
      </c>
      <c r="I413">
        <v>1</v>
      </c>
      <c r="J413">
        <v>5</v>
      </c>
    </row>
    <row r="414" spans="1:10">
      <c r="A414" t="s">
        <v>423</v>
      </c>
      <c r="B414" s="71">
        <v>0</v>
      </c>
      <c r="C414">
        <v>0</v>
      </c>
      <c r="D414">
        <v>3</v>
      </c>
      <c r="E414">
        <v>1</v>
      </c>
      <c r="F414">
        <v>0</v>
      </c>
      <c r="G414">
        <v>3</v>
      </c>
      <c r="H414">
        <v>0</v>
      </c>
      <c r="I414">
        <v>2</v>
      </c>
      <c r="J414">
        <v>1</v>
      </c>
    </row>
    <row r="415" spans="1:10">
      <c r="A415" t="s">
        <v>424</v>
      </c>
      <c r="B415" s="71">
        <v>0</v>
      </c>
      <c r="C415">
        <v>6</v>
      </c>
      <c r="D415">
        <v>14</v>
      </c>
      <c r="E415">
        <v>3</v>
      </c>
      <c r="F415">
        <v>7</v>
      </c>
      <c r="G415">
        <v>0</v>
      </c>
      <c r="H415">
        <v>1</v>
      </c>
      <c r="I415">
        <v>1</v>
      </c>
      <c r="J415">
        <v>5</v>
      </c>
    </row>
    <row r="416" spans="1:10">
      <c r="A416" t="s">
        <v>425</v>
      </c>
      <c r="B416" s="71">
        <v>0</v>
      </c>
      <c r="C416">
        <v>0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 t="s">
        <v>426</v>
      </c>
      <c r="B417" s="71">
        <v>0</v>
      </c>
      <c r="C417">
        <v>32</v>
      </c>
      <c r="D417">
        <v>47</v>
      </c>
      <c r="E417">
        <v>42</v>
      </c>
      <c r="F417">
        <v>32</v>
      </c>
      <c r="G417">
        <v>44</v>
      </c>
      <c r="H417">
        <v>76</v>
      </c>
      <c r="I417">
        <v>103</v>
      </c>
      <c r="J417">
        <v>90</v>
      </c>
    </row>
    <row r="418" spans="1:10">
      <c r="A418" t="s">
        <v>427</v>
      </c>
      <c r="B418" s="71">
        <v>0</v>
      </c>
      <c r="C418">
        <v>20</v>
      </c>
      <c r="D418">
        <v>31</v>
      </c>
      <c r="E418">
        <v>1</v>
      </c>
      <c r="F418">
        <v>0</v>
      </c>
      <c r="G418">
        <v>24</v>
      </c>
      <c r="H418">
        <v>112</v>
      </c>
      <c r="I418">
        <v>139</v>
      </c>
      <c r="J418">
        <v>109</v>
      </c>
    </row>
    <row r="419" spans="1:10">
      <c r="A419" t="s">
        <v>428</v>
      </c>
      <c r="B419" s="71">
        <v>0</v>
      </c>
      <c r="C419">
        <v>149</v>
      </c>
      <c r="D419">
        <v>223</v>
      </c>
      <c r="E419">
        <v>220</v>
      </c>
      <c r="F419">
        <v>178</v>
      </c>
      <c r="G419">
        <v>117</v>
      </c>
      <c r="H419">
        <v>356</v>
      </c>
      <c r="I419">
        <v>327</v>
      </c>
      <c r="J419">
        <v>251</v>
      </c>
    </row>
    <row r="420" spans="1:10">
      <c r="A420" t="s">
        <v>429</v>
      </c>
      <c r="B420" s="71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0</v>
      </c>
    </row>
    <row r="421" spans="1:10">
      <c r="A421" t="s">
        <v>430</v>
      </c>
      <c r="B421" s="71">
        <v>0</v>
      </c>
      <c r="C421">
        <v>42729</v>
      </c>
      <c r="D421">
        <v>92621</v>
      </c>
      <c r="E421">
        <v>49037</v>
      </c>
      <c r="F421">
        <v>59840</v>
      </c>
      <c r="G421">
        <v>49245</v>
      </c>
      <c r="H421">
        <v>61880</v>
      </c>
      <c r="I421">
        <v>62489</v>
      </c>
      <c r="J421">
        <v>58738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94"/>
  <sheetViews>
    <sheetView workbookViewId="0">
      <selection activeCell="A1" sqref="A1"/>
    </sheetView>
  </sheetViews>
  <sheetFormatPr defaultColWidth="9.81818181818182" defaultRowHeight="14.5"/>
  <cols>
    <col min="1" max="2" width="12" customWidth="1"/>
    <col min="3" max="3" width="15" customWidth="1"/>
    <col min="4" max="4" width="23" customWidth="1"/>
    <col min="5" max="5" width="42" customWidth="1"/>
    <col min="6" max="14" width="12" customWidth="1"/>
  </cols>
  <sheetData>
    <row r="1" spans="1:14">
      <c r="A1" s="67" t="s">
        <v>431</v>
      </c>
      <c r="B1" s="67" t="s">
        <v>432</v>
      </c>
      <c r="C1" s="67" t="s">
        <v>0</v>
      </c>
      <c r="D1" s="67" t="s">
        <v>433</v>
      </c>
      <c r="E1" s="67" t="s">
        <v>434</v>
      </c>
      <c r="F1" s="67" t="s">
        <v>435</v>
      </c>
      <c r="G1" s="67" t="s">
        <v>436</v>
      </c>
      <c r="H1" s="67" t="s">
        <v>437</v>
      </c>
      <c r="I1" s="67" t="s">
        <v>438</v>
      </c>
      <c r="J1" s="67" t="s">
        <v>439</v>
      </c>
      <c r="K1" s="67" t="s">
        <v>440</v>
      </c>
      <c r="L1" s="67" t="s">
        <v>441</v>
      </c>
      <c r="M1" s="67" t="s">
        <v>442</v>
      </c>
      <c r="N1" s="67" t="s">
        <v>443</v>
      </c>
    </row>
    <row r="2" spans="1:14">
      <c r="A2" t="s">
        <v>444</v>
      </c>
      <c r="B2" t="s">
        <v>445</v>
      </c>
      <c r="C2" t="s">
        <v>1</v>
      </c>
      <c r="D2" t="s">
        <v>309</v>
      </c>
      <c r="E2" t="s">
        <v>446</v>
      </c>
      <c r="F2" t="s">
        <v>447</v>
      </c>
      <c r="G2" s="68">
        <v>43</v>
      </c>
      <c r="H2" s="68">
        <v>406</v>
      </c>
      <c r="I2" s="68">
        <v>0</v>
      </c>
      <c r="J2" s="68">
        <v>0</v>
      </c>
      <c r="K2" s="68">
        <v>0</v>
      </c>
      <c r="L2" s="68">
        <v>82</v>
      </c>
      <c r="M2" s="68">
        <v>89</v>
      </c>
      <c r="N2" s="68">
        <v>15</v>
      </c>
    </row>
    <row r="3" spans="1:14">
      <c r="A3" t="s">
        <v>444</v>
      </c>
      <c r="B3" t="s">
        <v>445</v>
      </c>
      <c r="C3" t="s">
        <v>1</v>
      </c>
      <c r="D3" t="s">
        <v>57</v>
      </c>
      <c r="E3" t="s">
        <v>448</v>
      </c>
      <c r="F3" t="s">
        <v>449</v>
      </c>
      <c r="G3" s="68">
        <v>755</v>
      </c>
      <c r="H3" s="68">
        <v>810</v>
      </c>
      <c r="I3" s="68">
        <v>239</v>
      </c>
      <c r="J3" s="68">
        <v>554</v>
      </c>
      <c r="K3" s="68">
        <v>393</v>
      </c>
      <c r="L3" s="68">
        <v>530</v>
      </c>
      <c r="M3" s="68">
        <v>568</v>
      </c>
      <c r="N3" s="68">
        <v>708</v>
      </c>
    </row>
    <row r="4" spans="1:14">
      <c r="A4" t="s">
        <v>444</v>
      </c>
      <c r="B4" t="s">
        <v>445</v>
      </c>
      <c r="C4" t="s">
        <v>1</v>
      </c>
      <c r="D4" t="s">
        <v>57</v>
      </c>
      <c r="E4" t="s">
        <v>450</v>
      </c>
      <c r="F4" t="s">
        <v>449</v>
      </c>
      <c r="G4" s="68">
        <v>325</v>
      </c>
      <c r="H4" s="68">
        <v>709</v>
      </c>
      <c r="I4" s="68">
        <v>54</v>
      </c>
      <c r="J4" s="68">
        <v>65</v>
      </c>
      <c r="K4" s="68">
        <v>88</v>
      </c>
      <c r="L4" s="68">
        <v>188</v>
      </c>
      <c r="M4" s="68">
        <v>224</v>
      </c>
      <c r="N4" s="68">
        <v>338</v>
      </c>
    </row>
    <row r="5" spans="1:14">
      <c r="A5" t="s">
        <v>444</v>
      </c>
      <c r="B5" t="s">
        <v>445</v>
      </c>
      <c r="C5" t="s">
        <v>1</v>
      </c>
      <c r="D5" t="s">
        <v>55</v>
      </c>
      <c r="E5" t="s">
        <v>451</v>
      </c>
      <c r="F5" t="s">
        <v>452</v>
      </c>
      <c r="G5" s="68">
        <v>0</v>
      </c>
      <c r="H5" s="68">
        <v>12</v>
      </c>
      <c r="I5" s="68">
        <v>1</v>
      </c>
      <c r="J5" s="68">
        <v>1</v>
      </c>
      <c r="K5" s="68">
        <v>0</v>
      </c>
      <c r="L5" s="68">
        <v>123</v>
      </c>
      <c r="M5" s="68">
        <v>430</v>
      </c>
      <c r="N5" s="68">
        <v>346</v>
      </c>
    </row>
    <row r="6" spans="1:14">
      <c r="A6" t="s">
        <v>444</v>
      </c>
      <c r="B6" t="s">
        <v>445</v>
      </c>
      <c r="C6" t="s">
        <v>1</v>
      </c>
      <c r="D6" t="s">
        <v>55</v>
      </c>
      <c r="E6" t="s">
        <v>453</v>
      </c>
      <c r="F6" t="s">
        <v>452</v>
      </c>
      <c r="G6" s="68">
        <v>290</v>
      </c>
      <c r="H6" s="68">
        <v>1255</v>
      </c>
      <c r="I6" s="68">
        <v>47</v>
      </c>
      <c r="J6" s="68">
        <v>337</v>
      </c>
      <c r="K6" s="68">
        <v>294</v>
      </c>
      <c r="L6" s="68">
        <v>549</v>
      </c>
      <c r="M6" s="68">
        <v>459</v>
      </c>
      <c r="N6" s="68">
        <v>208</v>
      </c>
    </row>
    <row r="7" spans="1:14">
      <c r="A7" t="s">
        <v>444</v>
      </c>
      <c r="B7" t="s">
        <v>445</v>
      </c>
      <c r="C7" t="s">
        <v>1</v>
      </c>
      <c r="D7" t="s">
        <v>19</v>
      </c>
      <c r="E7" t="s">
        <v>454</v>
      </c>
      <c r="F7" t="s">
        <v>452</v>
      </c>
      <c r="G7" s="68">
        <v>63</v>
      </c>
      <c r="H7" s="68">
        <v>956</v>
      </c>
      <c r="I7" s="68">
        <v>7</v>
      </c>
      <c r="J7" s="68">
        <v>14</v>
      </c>
      <c r="K7" s="68">
        <v>23</v>
      </c>
      <c r="L7" s="68">
        <v>35</v>
      </c>
      <c r="M7" s="68">
        <v>10</v>
      </c>
      <c r="N7" s="68">
        <v>12</v>
      </c>
    </row>
    <row r="8" spans="1:14">
      <c r="A8" t="s">
        <v>444</v>
      </c>
      <c r="B8" t="s">
        <v>445</v>
      </c>
      <c r="C8" t="s">
        <v>1</v>
      </c>
      <c r="D8" t="s">
        <v>19</v>
      </c>
      <c r="E8" t="s">
        <v>455</v>
      </c>
      <c r="F8" t="s">
        <v>452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80</v>
      </c>
      <c r="M8" s="68">
        <v>41</v>
      </c>
      <c r="N8" s="68">
        <v>93</v>
      </c>
    </row>
    <row r="9" spans="1:14">
      <c r="A9" t="s">
        <v>444</v>
      </c>
      <c r="B9" t="s">
        <v>445</v>
      </c>
      <c r="C9" t="s">
        <v>1</v>
      </c>
      <c r="D9" t="s">
        <v>19</v>
      </c>
      <c r="E9" t="s">
        <v>456</v>
      </c>
      <c r="F9" t="s">
        <v>452</v>
      </c>
      <c r="G9" s="68">
        <v>59</v>
      </c>
      <c r="H9" s="68">
        <v>835</v>
      </c>
      <c r="I9" s="68">
        <v>1</v>
      </c>
      <c r="J9" s="68">
        <v>4</v>
      </c>
      <c r="K9" s="68">
        <v>6</v>
      </c>
      <c r="L9" s="68">
        <v>25</v>
      </c>
      <c r="M9" s="68">
        <v>52</v>
      </c>
      <c r="N9" s="68">
        <v>7</v>
      </c>
    </row>
    <row r="10" spans="1:14">
      <c r="A10" t="s">
        <v>444</v>
      </c>
      <c r="B10" t="s">
        <v>445</v>
      </c>
      <c r="C10" t="s">
        <v>457</v>
      </c>
      <c r="D10" t="s">
        <v>336</v>
      </c>
      <c r="E10" t="s">
        <v>458</v>
      </c>
      <c r="F10" t="s">
        <v>459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1</v>
      </c>
      <c r="N10" s="68">
        <v>0</v>
      </c>
    </row>
    <row r="11" spans="1:14">
      <c r="A11" t="s">
        <v>444</v>
      </c>
      <c r="B11" t="s">
        <v>445</v>
      </c>
      <c r="C11" t="s">
        <v>457</v>
      </c>
      <c r="D11" t="s">
        <v>335</v>
      </c>
      <c r="E11" t="s">
        <v>460</v>
      </c>
      <c r="F11" t="s">
        <v>459</v>
      </c>
      <c r="G11" s="68">
        <v>0</v>
      </c>
      <c r="H11" s="68">
        <v>0</v>
      </c>
      <c r="I11" s="68">
        <v>1</v>
      </c>
      <c r="J11" s="68">
        <v>1</v>
      </c>
      <c r="K11" s="68">
        <v>0</v>
      </c>
      <c r="L11" s="68">
        <v>0</v>
      </c>
      <c r="M11" s="68">
        <v>0</v>
      </c>
      <c r="N11" s="68">
        <v>1</v>
      </c>
    </row>
    <row r="12" spans="1:14">
      <c r="A12" t="s">
        <v>444</v>
      </c>
      <c r="B12" t="s">
        <v>445</v>
      </c>
      <c r="C12" t="s">
        <v>457</v>
      </c>
      <c r="D12" t="s">
        <v>334</v>
      </c>
      <c r="E12" t="s">
        <v>461</v>
      </c>
      <c r="F12" t="s">
        <v>452</v>
      </c>
      <c r="G12" s="68">
        <v>0</v>
      </c>
      <c r="H12" s="68">
        <v>0</v>
      </c>
      <c r="I12" s="68">
        <v>0</v>
      </c>
      <c r="J12" s="68">
        <v>0</v>
      </c>
      <c r="K12" s="68">
        <v>2</v>
      </c>
      <c r="L12" s="68">
        <v>0</v>
      </c>
      <c r="M12" s="68">
        <v>1</v>
      </c>
      <c r="N12" s="68">
        <v>0</v>
      </c>
    </row>
    <row r="13" spans="1:14">
      <c r="A13" t="s">
        <v>444</v>
      </c>
      <c r="B13" t="s">
        <v>445</v>
      </c>
      <c r="C13" t="s">
        <v>457</v>
      </c>
      <c r="D13" t="s">
        <v>127</v>
      </c>
      <c r="E13" t="s">
        <v>462</v>
      </c>
      <c r="F13" t="s">
        <v>449</v>
      </c>
      <c r="G13" s="68">
        <v>1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</row>
    <row r="14" spans="1:14">
      <c r="A14" t="s">
        <v>444</v>
      </c>
      <c r="B14" t="s">
        <v>445</v>
      </c>
      <c r="C14" t="s">
        <v>457</v>
      </c>
      <c r="D14" t="s">
        <v>51</v>
      </c>
      <c r="E14" t="s">
        <v>454</v>
      </c>
      <c r="F14" t="s">
        <v>459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8">
        <v>1</v>
      </c>
      <c r="N14" s="68">
        <v>0</v>
      </c>
    </row>
    <row r="15" spans="1:14">
      <c r="A15" t="s">
        <v>444</v>
      </c>
      <c r="B15" t="s">
        <v>445</v>
      </c>
      <c r="C15" t="s">
        <v>457</v>
      </c>
      <c r="D15" t="s">
        <v>50</v>
      </c>
      <c r="E15" t="s">
        <v>460</v>
      </c>
      <c r="F15" t="s">
        <v>459</v>
      </c>
      <c r="G15" s="68">
        <v>0</v>
      </c>
      <c r="H15" s="68">
        <v>0</v>
      </c>
      <c r="I15" s="68">
        <v>1</v>
      </c>
      <c r="J15" s="68">
        <v>2</v>
      </c>
      <c r="K15" s="68">
        <v>0</v>
      </c>
      <c r="L15" s="68">
        <v>0</v>
      </c>
      <c r="M15" s="68">
        <v>2</v>
      </c>
      <c r="N15" s="68">
        <v>0</v>
      </c>
    </row>
    <row r="16" spans="1:14">
      <c r="A16" t="s">
        <v>444</v>
      </c>
      <c r="B16" t="s">
        <v>445</v>
      </c>
      <c r="C16" t="s">
        <v>457</v>
      </c>
      <c r="D16" t="s">
        <v>50</v>
      </c>
      <c r="E16" t="s">
        <v>463</v>
      </c>
      <c r="F16" t="s">
        <v>459</v>
      </c>
      <c r="G16" s="68">
        <v>0</v>
      </c>
      <c r="H16" s="68">
        <v>0</v>
      </c>
      <c r="I16" s="68">
        <v>1</v>
      </c>
      <c r="J16" s="68">
        <v>0</v>
      </c>
      <c r="K16" s="68">
        <v>0</v>
      </c>
      <c r="L16" s="68">
        <v>0</v>
      </c>
      <c r="M16" s="68">
        <v>1</v>
      </c>
      <c r="N16" s="68">
        <v>0</v>
      </c>
    </row>
    <row r="17" spans="1:14">
      <c r="A17" t="s">
        <v>444</v>
      </c>
      <c r="B17" t="s">
        <v>445</v>
      </c>
      <c r="C17" t="s">
        <v>464</v>
      </c>
      <c r="D17" t="s">
        <v>411</v>
      </c>
      <c r="E17" t="s">
        <v>465</v>
      </c>
      <c r="F17" t="s">
        <v>449</v>
      </c>
      <c r="G17" s="68">
        <v>0</v>
      </c>
      <c r="H17" s="68">
        <v>1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</row>
    <row r="18" spans="1:14">
      <c r="A18" t="s">
        <v>444</v>
      </c>
      <c r="B18" t="s">
        <v>445</v>
      </c>
      <c r="C18" t="s">
        <v>464</v>
      </c>
      <c r="D18" t="s">
        <v>410</v>
      </c>
      <c r="E18" t="s">
        <v>466</v>
      </c>
      <c r="F18" t="s">
        <v>449</v>
      </c>
      <c r="G18" s="68">
        <v>1</v>
      </c>
      <c r="H18" s="68">
        <v>1</v>
      </c>
      <c r="I18" s="68">
        <v>1</v>
      </c>
      <c r="J18" s="68">
        <v>0</v>
      </c>
      <c r="K18" s="68">
        <v>0</v>
      </c>
      <c r="L18" s="68">
        <v>0</v>
      </c>
      <c r="M18" s="68">
        <v>0</v>
      </c>
      <c r="N18" s="68">
        <v>1</v>
      </c>
    </row>
    <row r="19" spans="1:14">
      <c r="A19" t="s">
        <v>444</v>
      </c>
      <c r="B19" t="s">
        <v>445</v>
      </c>
      <c r="C19" t="s">
        <v>464</v>
      </c>
      <c r="D19" t="s">
        <v>410</v>
      </c>
      <c r="E19" t="s">
        <v>467</v>
      </c>
      <c r="F19" t="s">
        <v>449</v>
      </c>
      <c r="G19" s="68">
        <v>2</v>
      </c>
      <c r="H19" s="68">
        <v>0</v>
      </c>
      <c r="I19" s="68">
        <v>2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</row>
    <row r="20" spans="1:14">
      <c r="A20" t="s">
        <v>444</v>
      </c>
      <c r="B20" t="s">
        <v>445</v>
      </c>
      <c r="C20" t="s">
        <v>464</v>
      </c>
      <c r="D20" t="s">
        <v>409</v>
      </c>
      <c r="E20" t="s">
        <v>468</v>
      </c>
      <c r="F20" t="s">
        <v>469</v>
      </c>
      <c r="G20" s="68">
        <v>2</v>
      </c>
      <c r="H20" s="68">
        <v>1</v>
      </c>
      <c r="I20" s="68">
        <v>0</v>
      </c>
      <c r="J20" s="68">
        <v>1</v>
      </c>
      <c r="K20" s="68">
        <v>0</v>
      </c>
      <c r="L20" s="68">
        <v>0</v>
      </c>
      <c r="M20" s="68">
        <v>1</v>
      </c>
      <c r="N20" s="68">
        <v>0</v>
      </c>
    </row>
    <row r="21" spans="1:14">
      <c r="A21" t="s">
        <v>444</v>
      </c>
      <c r="B21" t="s">
        <v>445</v>
      </c>
      <c r="C21" t="s">
        <v>464</v>
      </c>
      <c r="D21" t="s">
        <v>409</v>
      </c>
      <c r="E21" t="s">
        <v>470</v>
      </c>
      <c r="F21" t="s">
        <v>469</v>
      </c>
      <c r="G21" s="68">
        <v>1</v>
      </c>
      <c r="H21" s="68">
        <v>2</v>
      </c>
      <c r="I21" s="68">
        <v>2</v>
      </c>
      <c r="J21" s="68">
        <v>0</v>
      </c>
      <c r="K21" s="68">
        <v>0</v>
      </c>
      <c r="L21" s="68">
        <v>0</v>
      </c>
      <c r="M21" s="68">
        <v>1</v>
      </c>
      <c r="N21" s="68">
        <v>0</v>
      </c>
    </row>
    <row r="22" spans="1:14">
      <c r="A22" t="s">
        <v>444</v>
      </c>
      <c r="B22" t="s">
        <v>445</v>
      </c>
      <c r="C22" t="s">
        <v>464</v>
      </c>
      <c r="D22" t="s">
        <v>409</v>
      </c>
      <c r="E22" t="s">
        <v>471</v>
      </c>
      <c r="F22" t="s">
        <v>472</v>
      </c>
      <c r="G22" s="68">
        <v>0</v>
      </c>
      <c r="H22" s="68">
        <v>0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1</v>
      </c>
    </row>
    <row r="23" spans="1:14">
      <c r="A23" t="s">
        <v>444</v>
      </c>
      <c r="B23" t="s">
        <v>445</v>
      </c>
      <c r="C23" t="s">
        <v>464</v>
      </c>
      <c r="D23" t="s">
        <v>408</v>
      </c>
      <c r="E23" t="s">
        <v>473</v>
      </c>
      <c r="F23" t="s">
        <v>449</v>
      </c>
      <c r="G23" s="68">
        <v>1</v>
      </c>
      <c r="H23" s="68">
        <v>1</v>
      </c>
      <c r="I23" s="68">
        <v>0</v>
      </c>
      <c r="J23" s="68">
        <v>2</v>
      </c>
      <c r="K23" s="68">
        <v>0</v>
      </c>
      <c r="L23" s="68">
        <v>0</v>
      </c>
      <c r="M23" s="68">
        <v>0</v>
      </c>
      <c r="N23" s="68">
        <v>0</v>
      </c>
    </row>
    <row r="24" spans="1:14">
      <c r="A24" t="s">
        <v>444</v>
      </c>
      <c r="B24" t="s">
        <v>445</v>
      </c>
      <c r="C24" t="s">
        <v>464</v>
      </c>
      <c r="D24" t="s">
        <v>408</v>
      </c>
      <c r="E24" t="s">
        <v>474</v>
      </c>
      <c r="F24" t="s">
        <v>459</v>
      </c>
      <c r="G24" s="68">
        <v>4</v>
      </c>
      <c r="H24" s="68">
        <v>2</v>
      </c>
      <c r="I24" s="68">
        <v>2</v>
      </c>
      <c r="J24" s="68">
        <v>2</v>
      </c>
      <c r="K24" s="68">
        <v>3</v>
      </c>
      <c r="L24" s="68">
        <v>0</v>
      </c>
      <c r="M24" s="68">
        <v>0</v>
      </c>
      <c r="N24" s="68">
        <v>0</v>
      </c>
    </row>
    <row r="25" spans="1:14">
      <c r="A25" t="s">
        <v>444</v>
      </c>
      <c r="B25" t="s">
        <v>445</v>
      </c>
      <c r="C25" t="s">
        <v>464</v>
      </c>
      <c r="D25" t="s">
        <v>408</v>
      </c>
      <c r="E25" t="s">
        <v>475</v>
      </c>
      <c r="F25" t="s">
        <v>449</v>
      </c>
      <c r="G25" s="68">
        <v>3</v>
      </c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</row>
    <row r="26" spans="1:14">
      <c r="A26" t="s">
        <v>444</v>
      </c>
      <c r="B26" t="s">
        <v>445</v>
      </c>
      <c r="C26" t="s">
        <v>464</v>
      </c>
      <c r="D26" t="s">
        <v>408</v>
      </c>
      <c r="E26" t="s">
        <v>476</v>
      </c>
      <c r="F26" t="s">
        <v>469</v>
      </c>
      <c r="G26" s="68">
        <v>1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v>0</v>
      </c>
    </row>
    <row r="27" spans="1:14">
      <c r="A27" t="s">
        <v>444</v>
      </c>
      <c r="B27" t="s">
        <v>445</v>
      </c>
      <c r="C27" t="s">
        <v>464</v>
      </c>
      <c r="D27" t="s">
        <v>408</v>
      </c>
      <c r="E27" t="s">
        <v>477</v>
      </c>
      <c r="F27" t="s">
        <v>449</v>
      </c>
      <c r="G27" s="68">
        <v>4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</row>
    <row r="28" spans="1:14">
      <c r="A28" t="s">
        <v>444</v>
      </c>
      <c r="B28" t="s">
        <v>445</v>
      </c>
      <c r="C28" t="s">
        <v>464</v>
      </c>
      <c r="D28" t="s">
        <v>408</v>
      </c>
      <c r="E28" t="s">
        <v>478</v>
      </c>
      <c r="F28" t="s">
        <v>459</v>
      </c>
      <c r="G28" s="68">
        <v>2</v>
      </c>
      <c r="H28" s="68">
        <v>1</v>
      </c>
      <c r="I28" s="68">
        <v>0</v>
      </c>
      <c r="J28" s="68">
        <v>1</v>
      </c>
      <c r="K28" s="68">
        <v>0</v>
      </c>
      <c r="L28" s="68">
        <v>1</v>
      </c>
      <c r="M28" s="68">
        <v>0</v>
      </c>
      <c r="N28" s="68">
        <v>0</v>
      </c>
    </row>
    <row r="29" spans="1:14">
      <c r="A29" t="s">
        <v>444</v>
      </c>
      <c r="B29" t="s">
        <v>445</v>
      </c>
      <c r="C29" t="s">
        <v>464</v>
      </c>
      <c r="D29" t="s">
        <v>408</v>
      </c>
      <c r="E29" t="s">
        <v>479</v>
      </c>
      <c r="F29" t="s">
        <v>459</v>
      </c>
      <c r="G29" s="68">
        <v>1</v>
      </c>
      <c r="H29" s="68">
        <v>4</v>
      </c>
      <c r="I29" s="68">
        <v>1</v>
      </c>
      <c r="J29" s="68">
        <v>1</v>
      </c>
      <c r="K29" s="68">
        <v>0</v>
      </c>
      <c r="L29" s="68">
        <v>0</v>
      </c>
      <c r="M29" s="68">
        <v>1</v>
      </c>
      <c r="N29" s="68">
        <v>0</v>
      </c>
    </row>
    <row r="30" spans="1:14">
      <c r="A30" t="s">
        <v>444</v>
      </c>
      <c r="B30" t="s">
        <v>445</v>
      </c>
      <c r="C30" t="s">
        <v>464</v>
      </c>
      <c r="D30" t="s">
        <v>408</v>
      </c>
      <c r="E30" t="s">
        <v>480</v>
      </c>
      <c r="F30" t="s">
        <v>459</v>
      </c>
      <c r="G30" s="68">
        <v>7</v>
      </c>
      <c r="H30" s="68">
        <v>7</v>
      </c>
      <c r="I30" s="68">
        <v>6</v>
      </c>
      <c r="J30" s="68">
        <v>3</v>
      </c>
      <c r="K30" s="68">
        <v>1</v>
      </c>
      <c r="L30" s="68">
        <v>2</v>
      </c>
      <c r="M30" s="68">
        <v>3</v>
      </c>
      <c r="N30" s="68">
        <v>1</v>
      </c>
    </row>
    <row r="31" spans="1:14">
      <c r="A31" t="s">
        <v>444</v>
      </c>
      <c r="B31" t="s">
        <v>445</v>
      </c>
      <c r="C31" t="s">
        <v>464</v>
      </c>
      <c r="D31" t="s">
        <v>408</v>
      </c>
      <c r="E31" t="s">
        <v>481</v>
      </c>
      <c r="F31" t="s">
        <v>449</v>
      </c>
      <c r="G31" s="68">
        <v>2</v>
      </c>
      <c r="H31" s="68">
        <v>2</v>
      </c>
      <c r="I31" s="68">
        <v>1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</row>
    <row r="32" spans="1:14">
      <c r="A32" t="s">
        <v>444</v>
      </c>
      <c r="B32" t="s">
        <v>445</v>
      </c>
      <c r="C32" t="s">
        <v>464</v>
      </c>
      <c r="D32" t="s">
        <v>408</v>
      </c>
      <c r="E32" t="s">
        <v>482</v>
      </c>
      <c r="F32" t="s">
        <v>449</v>
      </c>
      <c r="G32" s="68">
        <v>6</v>
      </c>
      <c r="H32" s="68">
        <v>7</v>
      </c>
      <c r="I32" s="68">
        <v>8</v>
      </c>
      <c r="J32" s="68">
        <v>5</v>
      </c>
      <c r="K32" s="68">
        <v>2</v>
      </c>
      <c r="L32" s="68">
        <v>3</v>
      </c>
      <c r="M32" s="68">
        <v>1</v>
      </c>
      <c r="N32" s="68">
        <v>3</v>
      </c>
    </row>
    <row r="33" spans="1:14">
      <c r="A33" t="s">
        <v>444</v>
      </c>
      <c r="B33" t="s">
        <v>445</v>
      </c>
      <c r="C33" t="s">
        <v>464</v>
      </c>
      <c r="D33" t="s">
        <v>408</v>
      </c>
      <c r="E33" t="s">
        <v>483</v>
      </c>
      <c r="F33" t="s">
        <v>459</v>
      </c>
      <c r="G33" s="68">
        <v>0</v>
      </c>
      <c r="H33" s="68">
        <v>0</v>
      </c>
      <c r="I33" s="68">
        <v>2</v>
      </c>
      <c r="J33" s="68">
        <v>0</v>
      </c>
      <c r="K33" s="68">
        <v>0</v>
      </c>
      <c r="L33" s="68">
        <v>0</v>
      </c>
      <c r="M33" s="68">
        <v>1</v>
      </c>
      <c r="N33" s="68">
        <v>0</v>
      </c>
    </row>
    <row r="34" spans="1:14">
      <c r="A34" t="s">
        <v>444</v>
      </c>
      <c r="B34" t="s">
        <v>445</v>
      </c>
      <c r="C34" t="s">
        <v>464</v>
      </c>
      <c r="D34" t="s">
        <v>408</v>
      </c>
      <c r="E34" t="s">
        <v>484</v>
      </c>
      <c r="F34" t="s">
        <v>469</v>
      </c>
      <c r="G34" s="68">
        <v>0</v>
      </c>
      <c r="H34" s="68">
        <v>0</v>
      </c>
      <c r="I34" s="68">
        <v>0</v>
      </c>
      <c r="J34" s="68">
        <v>1</v>
      </c>
      <c r="K34" s="68">
        <v>0</v>
      </c>
      <c r="L34" s="68">
        <v>1</v>
      </c>
      <c r="M34" s="68">
        <v>1</v>
      </c>
      <c r="N34" s="68">
        <v>0</v>
      </c>
    </row>
    <row r="35" spans="1:14">
      <c r="A35" t="s">
        <v>444</v>
      </c>
      <c r="B35" t="s">
        <v>445</v>
      </c>
      <c r="C35" t="s">
        <v>464</v>
      </c>
      <c r="D35" t="s">
        <v>408</v>
      </c>
      <c r="E35" t="s">
        <v>484</v>
      </c>
      <c r="F35" t="s">
        <v>449</v>
      </c>
      <c r="G35" s="68">
        <v>0</v>
      </c>
      <c r="H35" s="68">
        <v>2</v>
      </c>
      <c r="I35" s="68">
        <v>3</v>
      </c>
      <c r="J35" s="68">
        <v>3</v>
      </c>
      <c r="K35" s="68">
        <v>0</v>
      </c>
      <c r="L35" s="68">
        <v>0</v>
      </c>
      <c r="M35" s="68">
        <v>3</v>
      </c>
      <c r="N35" s="68">
        <v>1</v>
      </c>
    </row>
    <row r="36" spans="1:14">
      <c r="A36" t="s">
        <v>444</v>
      </c>
      <c r="B36" t="s">
        <v>445</v>
      </c>
      <c r="C36" t="s">
        <v>464</v>
      </c>
      <c r="D36" t="s">
        <v>408</v>
      </c>
      <c r="E36" t="s">
        <v>485</v>
      </c>
      <c r="F36" t="s">
        <v>469</v>
      </c>
      <c r="G36" s="68">
        <v>0</v>
      </c>
      <c r="H36" s="68">
        <v>3</v>
      </c>
      <c r="I36" s="68">
        <v>4</v>
      </c>
      <c r="J36" s="68">
        <v>3</v>
      </c>
      <c r="K36" s="68">
        <v>0</v>
      </c>
      <c r="L36" s="68">
        <v>0</v>
      </c>
      <c r="M36" s="68">
        <v>0</v>
      </c>
      <c r="N36" s="68">
        <v>0</v>
      </c>
    </row>
    <row r="37" spans="1:14">
      <c r="A37" t="s">
        <v>444</v>
      </c>
      <c r="B37" t="s">
        <v>445</v>
      </c>
      <c r="C37" t="s">
        <v>464</v>
      </c>
      <c r="D37" t="s">
        <v>408</v>
      </c>
      <c r="E37" t="s">
        <v>486</v>
      </c>
      <c r="F37" t="s">
        <v>449</v>
      </c>
      <c r="G37" s="68">
        <v>0</v>
      </c>
      <c r="H37" s="68">
        <v>4</v>
      </c>
      <c r="I37" s="68">
        <v>0</v>
      </c>
      <c r="J37" s="68">
        <v>1</v>
      </c>
      <c r="K37" s="68">
        <v>1</v>
      </c>
      <c r="L37" s="68">
        <v>2</v>
      </c>
      <c r="M37" s="68">
        <v>2</v>
      </c>
      <c r="N37" s="68">
        <v>2</v>
      </c>
    </row>
    <row r="38" spans="1:14">
      <c r="A38" t="s">
        <v>444</v>
      </c>
      <c r="B38" t="s">
        <v>445</v>
      </c>
      <c r="C38" t="s">
        <v>464</v>
      </c>
      <c r="D38" t="s">
        <v>407</v>
      </c>
      <c r="E38" t="s">
        <v>487</v>
      </c>
      <c r="F38" t="s">
        <v>447</v>
      </c>
      <c r="G38" s="68">
        <v>0</v>
      </c>
      <c r="H38" s="68">
        <v>0</v>
      </c>
      <c r="I38" s="68">
        <v>0</v>
      </c>
      <c r="J38" s="68">
        <v>2</v>
      </c>
      <c r="K38" s="68">
        <v>0</v>
      </c>
      <c r="L38" s="68">
        <v>0</v>
      </c>
      <c r="M38" s="68">
        <v>0</v>
      </c>
      <c r="N38" s="68">
        <v>0</v>
      </c>
    </row>
    <row r="39" spans="1:14">
      <c r="A39" t="s">
        <v>444</v>
      </c>
      <c r="B39" t="s">
        <v>445</v>
      </c>
      <c r="C39" t="s">
        <v>464</v>
      </c>
      <c r="D39" t="s">
        <v>407</v>
      </c>
      <c r="E39" t="s">
        <v>488</v>
      </c>
      <c r="F39" t="s">
        <v>469</v>
      </c>
      <c r="G39" s="68">
        <v>0</v>
      </c>
      <c r="H39" s="68">
        <v>0</v>
      </c>
      <c r="I39" s="68">
        <v>0</v>
      </c>
      <c r="J39" s="68">
        <v>1</v>
      </c>
      <c r="K39" s="68">
        <v>0</v>
      </c>
      <c r="L39" s="68">
        <v>0</v>
      </c>
      <c r="M39" s="68">
        <v>0</v>
      </c>
      <c r="N39" s="68">
        <v>0</v>
      </c>
    </row>
    <row r="40" spans="1:14">
      <c r="A40" t="s">
        <v>444</v>
      </c>
      <c r="B40" t="s">
        <v>445</v>
      </c>
      <c r="C40" t="s">
        <v>464</v>
      </c>
      <c r="D40" t="s">
        <v>406</v>
      </c>
      <c r="E40" t="s">
        <v>489</v>
      </c>
      <c r="F40" t="s">
        <v>449</v>
      </c>
      <c r="G40" s="68">
        <v>0</v>
      </c>
      <c r="H40" s="68">
        <v>0</v>
      </c>
      <c r="I40" s="68">
        <v>0</v>
      </c>
      <c r="J40" s="68">
        <v>0</v>
      </c>
      <c r="K40" s="68">
        <v>1</v>
      </c>
      <c r="L40" s="68">
        <v>0</v>
      </c>
      <c r="M40" s="68">
        <v>0</v>
      </c>
      <c r="N40" s="68">
        <v>0</v>
      </c>
    </row>
    <row r="41" spans="1:14">
      <c r="A41" t="s">
        <v>444</v>
      </c>
      <c r="B41" t="s">
        <v>445</v>
      </c>
      <c r="C41" t="s">
        <v>464</v>
      </c>
      <c r="D41" t="s">
        <v>405</v>
      </c>
      <c r="E41" t="s">
        <v>490</v>
      </c>
      <c r="F41" t="s">
        <v>449</v>
      </c>
      <c r="G41" s="68">
        <v>1</v>
      </c>
      <c r="H41" s="68">
        <v>1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</row>
    <row r="42" spans="1:14">
      <c r="A42" t="s">
        <v>444</v>
      </c>
      <c r="B42" t="s">
        <v>445</v>
      </c>
      <c r="C42" t="s">
        <v>464</v>
      </c>
      <c r="D42" t="s">
        <v>405</v>
      </c>
      <c r="E42" t="s">
        <v>491</v>
      </c>
      <c r="F42" t="s">
        <v>449</v>
      </c>
      <c r="G42" s="68">
        <v>0</v>
      </c>
      <c r="H42" s="68">
        <v>0</v>
      </c>
      <c r="I42" s="68">
        <v>1</v>
      </c>
      <c r="J42" s="68">
        <v>1</v>
      </c>
      <c r="K42" s="68">
        <v>0</v>
      </c>
      <c r="L42" s="68">
        <v>1</v>
      </c>
      <c r="M42" s="68">
        <v>0</v>
      </c>
      <c r="N42" s="68">
        <v>0</v>
      </c>
    </row>
    <row r="43" spans="1:14">
      <c r="A43" t="s">
        <v>444</v>
      </c>
      <c r="B43" t="s">
        <v>445</v>
      </c>
      <c r="C43" t="s">
        <v>464</v>
      </c>
      <c r="D43" t="s">
        <v>405</v>
      </c>
      <c r="E43" t="s">
        <v>492</v>
      </c>
      <c r="F43" t="s">
        <v>449</v>
      </c>
      <c r="G43" s="68">
        <v>0</v>
      </c>
      <c r="H43" s="68">
        <v>1</v>
      </c>
      <c r="I43" s="68">
        <v>0</v>
      </c>
      <c r="J43" s="68">
        <v>1</v>
      </c>
      <c r="K43" s="68">
        <v>1</v>
      </c>
      <c r="L43" s="68">
        <v>1</v>
      </c>
      <c r="M43" s="68">
        <v>0</v>
      </c>
      <c r="N43" s="68">
        <v>2</v>
      </c>
    </row>
    <row r="44" spans="1:14">
      <c r="A44" t="s">
        <v>444</v>
      </c>
      <c r="B44" t="s">
        <v>445</v>
      </c>
      <c r="C44" t="s">
        <v>464</v>
      </c>
      <c r="D44" t="s">
        <v>405</v>
      </c>
      <c r="E44" t="s">
        <v>493</v>
      </c>
      <c r="F44" t="s">
        <v>449</v>
      </c>
      <c r="G44" s="68">
        <v>1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</row>
    <row r="45" spans="1:14">
      <c r="A45" t="s">
        <v>444</v>
      </c>
      <c r="B45" t="s">
        <v>445</v>
      </c>
      <c r="C45" t="s">
        <v>464</v>
      </c>
      <c r="D45" t="s">
        <v>404</v>
      </c>
      <c r="E45" t="s">
        <v>494</v>
      </c>
      <c r="F45" t="s">
        <v>447</v>
      </c>
      <c r="G45" s="68">
        <v>0</v>
      </c>
      <c r="H45" s="68">
        <v>1</v>
      </c>
      <c r="I45" s="68">
        <v>0</v>
      </c>
      <c r="J45" s="68">
        <v>0</v>
      </c>
      <c r="K45" s="68">
        <v>1</v>
      </c>
      <c r="L45" s="68">
        <v>0</v>
      </c>
      <c r="M45" s="68">
        <v>1</v>
      </c>
      <c r="N45" s="68">
        <v>0</v>
      </c>
    </row>
    <row r="46" spans="1:14">
      <c r="A46" t="s">
        <v>444</v>
      </c>
      <c r="B46" t="s">
        <v>445</v>
      </c>
      <c r="C46" t="s">
        <v>464</v>
      </c>
      <c r="D46" t="s">
        <v>307</v>
      </c>
      <c r="E46" t="s">
        <v>495</v>
      </c>
      <c r="F46" t="s">
        <v>447</v>
      </c>
      <c r="G46" s="68">
        <v>0</v>
      </c>
      <c r="H46" s="68">
        <v>0</v>
      </c>
      <c r="I46" s="68">
        <v>0</v>
      </c>
      <c r="J46" s="68">
        <v>0</v>
      </c>
      <c r="K46" s="68">
        <v>0</v>
      </c>
      <c r="L46" s="68">
        <v>0</v>
      </c>
      <c r="M46" s="68">
        <v>2</v>
      </c>
      <c r="N46" s="68">
        <v>0</v>
      </c>
    </row>
    <row r="47" spans="1:14">
      <c r="A47" t="s">
        <v>444</v>
      </c>
      <c r="B47" t="s">
        <v>445</v>
      </c>
      <c r="C47" t="s">
        <v>464</v>
      </c>
      <c r="D47" t="s">
        <v>307</v>
      </c>
      <c r="E47" t="s">
        <v>496</v>
      </c>
      <c r="F47" t="s">
        <v>447</v>
      </c>
      <c r="G47" s="68">
        <v>0</v>
      </c>
      <c r="H47" s="68">
        <v>0</v>
      </c>
      <c r="I47" s="68">
        <v>0</v>
      </c>
      <c r="J47" s="68">
        <v>1</v>
      </c>
      <c r="K47" s="68">
        <v>0</v>
      </c>
      <c r="L47" s="68">
        <v>0</v>
      </c>
      <c r="M47" s="68">
        <v>0</v>
      </c>
      <c r="N47" s="68">
        <v>0</v>
      </c>
    </row>
    <row r="48" spans="1:14">
      <c r="A48" t="s">
        <v>444</v>
      </c>
      <c r="B48" t="s">
        <v>445</v>
      </c>
      <c r="C48" t="s">
        <v>464</v>
      </c>
      <c r="D48" t="s">
        <v>142</v>
      </c>
      <c r="E48" t="s">
        <v>497</v>
      </c>
      <c r="F48" t="s">
        <v>452</v>
      </c>
      <c r="G48" s="68">
        <v>0</v>
      </c>
      <c r="H48" s="68">
        <v>1</v>
      </c>
      <c r="I48" s="68">
        <v>1</v>
      </c>
      <c r="J48" s="68">
        <v>0</v>
      </c>
      <c r="K48" s="68">
        <v>0</v>
      </c>
      <c r="L48" s="68">
        <v>0</v>
      </c>
      <c r="M48" s="68">
        <v>0</v>
      </c>
      <c r="N48" s="68">
        <v>0</v>
      </c>
    </row>
    <row r="49" spans="1:14">
      <c r="A49" t="s">
        <v>444</v>
      </c>
      <c r="B49" t="s">
        <v>445</v>
      </c>
      <c r="C49" t="s">
        <v>464</v>
      </c>
      <c r="D49" t="s">
        <v>142</v>
      </c>
      <c r="E49" t="s">
        <v>498</v>
      </c>
      <c r="F49" t="s">
        <v>452</v>
      </c>
      <c r="G49" s="68">
        <v>0</v>
      </c>
      <c r="H49" s="68">
        <v>0</v>
      </c>
      <c r="I49" s="68">
        <v>0</v>
      </c>
      <c r="J49" s="68">
        <v>0</v>
      </c>
      <c r="K49" s="68">
        <v>0</v>
      </c>
      <c r="L49" s="68">
        <v>0</v>
      </c>
      <c r="M49" s="68">
        <v>0</v>
      </c>
      <c r="N49" s="68">
        <v>1</v>
      </c>
    </row>
    <row r="50" spans="1:14">
      <c r="A50" t="s">
        <v>444</v>
      </c>
      <c r="B50" t="s">
        <v>445</v>
      </c>
      <c r="C50" t="s">
        <v>464</v>
      </c>
      <c r="D50" t="s">
        <v>142</v>
      </c>
      <c r="E50" t="s">
        <v>499</v>
      </c>
      <c r="F50" t="s">
        <v>452</v>
      </c>
      <c r="G50" s="68">
        <v>1</v>
      </c>
      <c r="H50" s="68">
        <v>0</v>
      </c>
      <c r="I50" s="68">
        <v>0</v>
      </c>
      <c r="J50" s="68">
        <v>0</v>
      </c>
      <c r="K50" s="68">
        <v>0</v>
      </c>
      <c r="L50" s="68">
        <v>0</v>
      </c>
      <c r="M50" s="68">
        <v>0</v>
      </c>
      <c r="N50" s="68">
        <v>0</v>
      </c>
    </row>
    <row r="51" spans="1:14">
      <c r="A51" t="s">
        <v>444</v>
      </c>
      <c r="B51" t="s">
        <v>445</v>
      </c>
      <c r="C51" t="s">
        <v>464</v>
      </c>
      <c r="D51" t="s">
        <v>141</v>
      </c>
      <c r="E51" t="s">
        <v>500</v>
      </c>
      <c r="F51" t="s">
        <v>452</v>
      </c>
      <c r="G51" s="68">
        <v>0</v>
      </c>
      <c r="H51" s="68">
        <v>1</v>
      </c>
      <c r="I51" s="68">
        <v>2</v>
      </c>
      <c r="J51" s="68">
        <v>1</v>
      </c>
      <c r="K51" s="68">
        <v>1</v>
      </c>
      <c r="L51" s="68">
        <v>1</v>
      </c>
      <c r="M51" s="68">
        <v>1</v>
      </c>
      <c r="N51" s="68">
        <v>1</v>
      </c>
    </row>
    <row r="52" spans="1:14">
      <c r="A52" t="s">
        <v>444</v>
      </c>
      <c r="B52" t="s">
        <v>445</v>
      </c>
      <c r="C52" t="s">
        <v>464</v>
      </c>
      <c r="D52" t="s">
        <v>141</v>
      </c>
      <c r="E52" t="s">
        <v>501</v>
      </c>
      <c r="F52" t="s">
        <v>452</v>
      </c>
      <c r="G52" s="68">
        <v>1</v>
      </c>
      <c r="H52" s="68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</row>
    <row r="53" spans="1:14">
      <c r="A53" t="s">
        <v>444</v>
      </c>
      <c r="B53" t="s">
        <v>445</v>
      </c>
      <c r="C53" t="s">
        <v>464</v>
      </c>
      <c r="D53" t="s">
        <v>141</v>
      </c>
      <c r="E53" t="s">
        <v>499</v>
      </c>
      <c r="F53" t="s">
        <v>452</v>
      </c>
      <c r="G53" s="68">
        <v>2</v>
      </c>
      <c r="H53" s="68">
        <v>0</v>
      </c>
      <c r="I53" s="68">
        <v>0</v>
      </c>
      <c r="J53" s="68">
        <v>0</v>
      </c>
      <c r="K53" s="68">
        <v>0</v>
      </c>
      <c r="L53" s="68">
        <v>0</v>
      </c>
      <c r="M53" s="68">
        <v>0</v>
      </c>
      <c r="N53" s="68">
        <v>0</v>
      </c>
    </row>
    <row r="54" spans="1:14">
      <c r="A54" t="s">
        <v>444</v>
      </c>
      <c r="B54" t="s">
        <v>445</v>
      </c>
      <c r="C54" t="s">
        <v>464</v>
      </c>
      <c r="D54" t="s">
        <v>141</v>
      </c>
      <c r="E54" t="s">
        <v>502</v>
      </c>
      <c r="F54" t="s">
        <v>452</v>
      </c>
      <c r="G54" s="68">
        <v>0</v>
      </c>
      <c r="H54" s="68">
        <v>1</v>
      </c>
      <c r="I54" s="68">
        <v>1</v>
      </c>
      <c r="J54" s="68">
        <v>0</v>
      </c>
      <c r="K54" s="68">
        <v>0</v>
      </c>
      <c r="L54" s="68">
        <v>3</v>
      </c>
      <c r="M54" s="68">
        <v>0</v>
      </c>
      <c r="N54" s="68">
        <v>1</v>
      </c>
    </row>
    <row r="55" spans="1:14">
      <c r="A55" t="s">
        <v>444</v>
      </c>
      <c r="B55" t="s">
        <v>445</v>
      </c>
      <c r="C55" t="s">
        <v>464</v>
      </c>
      <c r="D55" t="s">
        <v>140</v>
      </c>
      <c r="E55" t="s">
        <v>503</v>
      </c>
      <c r="F55" t="s">
        <v>452</v>
      </c>
      <c r="G55" s="68">
        <v>1</v>
      </c>
      <c r="H55" s="68">
        <v>0</v>
      </c>
      <c r="I55" s="68">
        <v>0</v>
      </c>
      <c r="J55" s="68">
        <v>0</v>
      </c>
      <c r="K55" s="68">
        <v>0</v>
      </c>
      <c r="L55" s="68">
        <v>0</v>
      </c>
      <c r="M55" s="68">
        <v>0</v>
      </c>
      <c r="N55" s="68">
        <v>0</v>
      </c>
    </row>
    <row r="56" spans="1:14">
      <c r="A56" t="s">
        <v>444</v>
      </c>
      <c r="B56" t="s">
        <v>445</v>
      </c>
      <c r="C56" t="s">
        <v>464</v>
      </c>
      <c r="D56" t="s">
        <v>140</v>
      </c>
      <c r="E56" t="s">
        <v>504</v>
      </c>
      <c r="F56" t="s">
        <v>452</v>
      </c>
      <c r="G56" s="68">
        <v>4</v>
      </c>
      <c r="H56" s="68">
        <v>3</v>
      </c>
      <c r="I56" s="68">
        <v>2</v>
      </c>
      <c r="J56" s="68">
        <v>0</v>
      </c>
      <c r="K56" s="68">
        <v>0</v>
      </c>
      <c r="L56" s="68">
        <v>0</v>
      </c>
      <c r="M56" s="68">
        <v>0</v>
      </c>
      <c r="N56" s="68">
        <v>0</v>
      </c>
    </row>
    <row r="57" spans="1:14">
      <c r="A57" t="s">
        <v>444</v>
      </c>
      <c r="B57" t="s">
        <v>445</v>
      </c>
      <c r="C57" t="s">
        <v>464</v>
      </c>
      <c r="D57" t="s">
        <v>139</v>
      </c>
      <c r="E57" t="s">
        <v>505</v>
      </c>
      <c r="F57" t="s">
        <v>452</v>
      </c>
      <c r="G57" s="68">
        <v>4</v>
      </c>
      <c r="H57" s="68">
        <v>1</v>
      </c>
      <c r="I57" s="68">
        <v>6</v>
      </c>
      <c r="J57" s="68">
        <v>1</v>
      </c>
      <c r="K57" s="68">
        <v>1</v>
      </c>
      <c r="L57" s="68">
        <v>0</v>
      </c>
      <c r="M57" s="68">
        <v>1</v>
      </c>
      <c r="N57" s="68">
        <v>5</v>
      </c>
    </row>
    <row r="58" spans="1:14">
      <c r="A58" t="s">
        <v>444</v>
      </c>
      <c r="B58" t="s">
        <v>445</v>
      </c>
      <c r="C58" t="s">
        <v>464</v>
      </c>
      <c r="D58" t="s">
        <v>138</v>
      </c>
      <c r="E58" t="s">
        <v>506</v>
      </c>
      <c r="F58" t="s">
        <v>452</v>
      </c>
      <c r="G58" s="68">
        <v>0</v>
      </c>
      <c r="H58" s="68">
        <v>0</v>
      </c>
      <c r="I58" s="68">
        <v>2</v>
      </c>
      <c r="J58" s="68">
        <v>0</v>
      </c>
      <c r="K58" s="68">
        <v>1</v>
      </c>
      <c r="L58" s="68">
        <v>1</v>
      </c>
      <c r="M58" s="68">
        <v>1</v>
      </c>
      <c r="N58" s="68">
        <v>0</v>
      </c>
    </row>
    <row r="59" spans="1:14">
      <c r="A59" t="s">
        <v>444</v>
      </c>
      <c r="B59" t="s">
        <v>445</v>
      </c>
      <c r="C59" t="s">
        <v>464</v>
      </c>
      <c r="D59" t="s">
        <v>137</v>
      </c>
      <c r="E59" t="s">
        <v>507</v>
      </c>
      <c r="F59" t="s">
        <v>452</v>
      </c>
      <c r="G59" s="68">
        <v>3</v>
      </c>
      <c r="H59" s="68">
        <v>0</v>
      </c>
      <c r="I59" s="68">
        <v>3</v>
      </c>
      <c r="J59" s="68">
        <v>1</v>
      </c>
      <c r="K59" s="68">
        <v>0</v>
      </c>
      <c r="L59" s="68">
        <v>1</v>
      </c>
      <c r="M59" s="68">
        <v>1</v>
      </c>
      <c r="N59" s="68">
        <v>0</v>
      </c>
    </row>
    <row r="60" spans="1:14">
      <c r="A60" t="s">
        <v>444</v>
      </c>
      <c r="B60" t="s">
        <v>445</v>
      </c>
      <c r="C60" t="s">
        <v>464</v>
      </c>
      <c r="D60" t="s">
        <v>137</v>
      </c>
      <c r="E60" t="s">
        <v>508</v>
      </c>
      <c r="F60" t="s">
        <v>452</v>
      </c>
      <c r="G60" s="68">
        <v>0</v>
      </c>
      <c r="H60" s="68">
        <v>0</v>
      </c>
      <c r="I60" s="68">
        <v>0</v>
      </c>
      <c r="J60" s="68">
        <v>0</v>
      </c>
      <c r="K60" s="68">
        <v>1</v>
      </c>
      <c r="L60" s="68">
        <v>0</v>
      </c>
      <c r="M60" s="68">
        <v>0</v>
      </c>
      <c r="N60" s="68">
        <v>0</v>
      </c>
    </row>
    <row r="61" spans="1:14">
      <c r="A61" t="s">
        <v>444</v>
      </c>
      <c r="B61" t="s">
        <v>445</v>
      </c>
      <c r="C61" t="s">
        <v>464</v>
      </c>
      <c r="D61" t="s">
        <v>137</v>
      </c>
      <c r="E61" t="s">
        <v>509</v>
      </c>
      <c r="F61" t="s">
        <v>452</v>
      </c>
      <c r="G61" s="68">
        <v>1</v>
      </c>
      <c r="H61" s="68">
        <v>0</v>
      </c>
      <c r="I61" s="68">
        <v>0</v>
      </c>
      <c r="J61" s="68">
        <v>0</v>
      </c>
      <c r="K61" s="68">
        <v>0</v>
      </c>
      <c r="L61" s="68">
        <v>0</v>
      </c>
      <c r="M61" s="68">
        <v>0</v>
      </c>
      <c r="N61" s="68">
        <v>0</v>
      </c>
    </row>
    <row r="62" spans="1:14">
      <c r="A62" t="s">
        <v>444</v>
      </c>
      <c r="B62" t="s">
        <v>445</v>
      </c>
      <c r="C62" t="s">
        <v>464</v>
      </c>
      <c r="D62" t="s">
        <v>136</v>
      </c>
      <c r="E62" t="s">
        <v>510</v>
      </c>
      <c r="F62" t="s">
        <v>452</v>
      </c>
      <c r="G62" s="68">
        <v>0</v>
      </c>
      <c r="H62" s="68">
        <v>2</v>
      </c>
      <c r="I62" s="68">
        <v>2</v>
      </c>
      <c r="J62" s="68">
        <v>1</v>
      </c>
      <c r="K62" s="68">
        <v>0</v>
      </c>
      <c r="L62" s="68">
        <v>0</v>
      </c>
      <c r="M62" s="68">
        <v>0</v>
      </c>
      <c r="N62" s="68">
        <v>0</v>
      </c>
    </row>
    <row r="63" spans="1:14">
      <c r="A63" t="s">
        <v>444</v>
      </c>
      <c r="B63" t="s">
        <v>445</v>
      </c>
      <c r="C63" t="s">
        <v>464</v>
      </c>
      <c r="D63" t="s">
        <v>136</v>
      </c>
      <c r="E63" t="s">
        <v>511</v>
      </c>
      <c r="F63" t="s">
        <v>452</v>
      </c>
      <c r="G63" s="68">
        <v>0</v>
      </c>
      <c r="H63" s="68">
        <v>0</v>
      </c>
      <c r="I63" s="68">
        <v>0</v>
      </c>
      <c r="J63" s="68">
        <v>0</v>
      </c>
      <c r="K63" s="68">
        <v>0</v>
      </c>
      <c r="L63" s="68">
        <v>1</v>
      </c>
      <c r="M63" s="68">
        <v>0</v>
      </c>
      <c r="N63" s="68">
        <v>0</v>
      </c>
    </row>
    <row r="64" spans="1:14">
      <c r="A64" t="s">
        <v>444</v>
      </c>
      <c r="B64" t="s">
        <v>445</v>
      </c>
      <c r="C64" t="s">
        <v>464</v>
      </c>
      <c r="D64" t="s">
        <v>136</v>
      </c>
      <c r="E64" t="s">
        <v>512</v>
      </c>
      <c r="F64" t="s">
        <v>452</v>
      </c>
      <c r="G64" s="68">
        <v>2</v>
      </c>
      <c r="H64" s="68">
        <v>1</v>
      </c>
      <c r="I64" s="68">
        <v>6</v>
      </c>
      <c r="J64" s="68">
        <v>0</v>
      </c>
      <c r="K64" s="68">
        <v>3</v>
      </c>
      <c r="L64" s="68">
        <v>0</v>
      </c>
      <c r="M64" s="68">
        <v>1</v>
      </c>
      <c r="N64" s="68">
        <v>0</v>
      </c>
    </row>
    <row r="65" spans="1:14">
      <c r="A65" t="s">
        <v>444</v>
      </c>
      <c r="B65" t="s">
        <v>445</v>
      </c>
      <c r="C65" t="s">
        <v>464</v>
      </c>
      <c r="D65" t="s">
        <v>136</v>
      </c>
      <c r="E65" t="s">
        <v>513</v>
      </c>
      <c r="F65" t="s">
        <v>452</v>
      </c>
      <c r="G65" s="68">
        <v>2</v>
      </c>
      <c r="H65" s="68">
        <v>3</v>
      </c>
      <c r="I65" s="68">
        <v>2</v>
      </c>
      <c r="J65" s="68">
        <v>4</v>
      </c>
      <c r="K65" s="68">
        <v>0</v>
      </c>
      <c r="L65" s="68">
        <v>0</v>
      </c>
      <c r="M65" s="68">
        <v>0</v>
      </c>
      <c r="N65" s="68">
        <v>2</v>
      </c>
    </row>
    <row r="66" spans="1:14">
      <c r="A66" t="s">
        <v>444</v>
      </c>
      <c r="B66" t="s">
        <v>445</v>
      </c>
      <c r="C66" t="s">
        <v>464</v>
      </c>
      <c r="D66" t="s">
        <v>135</v>
      </c>
      <c r="E66" t="s">
        <v>514</v>
      </c>
      <c r="F66" t="s">
        <v>452</v>
      </c>
      <c r="G66" s="68">
        <v>0</v>
      </c>
      <c r="H66" s="68">
        <v>4</v>
      </c>
      <c r="I66" s="68">
        <v>0</v>
      </c>
      <c r="J66" s="68">
        <v>4</v>
      </c>
      <c r="K66" s="68">
        <v>1</v>
      </c>
      <c r="L66" s="68">
        <v>1</v>
      </c>
      <c r="M66" s="68">
        <v>2</v>
      </c>
      <c r="N66" s="68">
        <v>0</v>
      </c>
    </row>
    <row r="67" spans="1:14">
      <c r="A67" t="s">
        <v>444</v>
      </c>
      <c r="B67" t="s">
        <v>445</v>
      </c>
      <c r="C67" t="s">
        <v>464</v>
      </c>
      <c r="D67" t="s">
        <v>135</v>
      </c>
      <c r="E67" t="s">
        <v>515</v>
      </c>
      <c r="F67" t="s">
        <v>452</v>
      </c>
      <c r="G67" s="68">
        <v>2</v>
      </c>
      <c r="H67" s="68">
        <v>0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</row>
    <row r="68" spans="1:14">
      <c r="A68" t="s">
        <v>444</v>
      </c>
      <c r="B68" t="s">
        <v>445</v>
      </c>
      <c r="C68" t="s">
        <v>464</v>
      </c>
      <c r="D68" t="s">
        <v>134</v>
      </c>
      <c r="E68" t="s">
        <v>516</v>
      </c>
      <c r="F68" t="s">
        <v>452</v>
      </c>
      <c r="G68" s="68">
        <v>0</v>
      </c>
      <c r="H68" s="68">
        <v>2</v>
      </c>
      <c r="I68" s="68">
        <v>0</v>
      </c>
      <c r="J68" s="68">
        <v>0</v>
      </c>
      <c r="K68" s="68">
        <v>1</v>
      </c>
      <c r="L68" s="68">
        <v>0</v>
      </c>
      <c r="M68" s="68">
        <v>3</v>
      </c>
      <c r="N68" s="68">
        <v>0</v>
      </c>
    </row>
    <row r="69" spans="1:14">
      <c r="A69" t="s">
        <v>444</v>
      </c>
      <c r="B69" t="s">
        <v>445</v>
      </c>
      <c r="C69" t="s">
        <v>464</v>
      </c>
      <c r="D69" t="s">
        <v>134</v>
      </c>
      <c r="E69" t="s">
        <v>517</v>
      </c>
      <c r="F69" t="s">
        <v>452</v>
      </c>
      <c r="G69" s="68">
        <v>2</v>
      </c>
      <c r="H69" s="68">
        <v>0</v>
      </c>
      <c r="I69" s="68">
        <v>0</v>
      </c>
      <c r="J69" s="68">
        <v>0</v>
      </c>
      <c r="K69" s="68">
        <v>0</v>
      </c>
      <c r="L69" s="68">
        <v>0</v>
      </c>
      <c r="M69" s="68">
        <v>0</v>
      </c>
      <c r="N69" s="68">
        <v>0</v>
      </c>
    </row>
    <row r="70" spans="1:14">
      <c r="A70" t="s">
        <v>444</v>
      </c>
      <c r="B70" t="s">
        <v>445</v>
      </c>
      <c r="C70" t="s">
        <v>464</v>
      </c>
      <c r="D70" t="s">
        <v>134</v>
      </c>
      <c r="E70" t="s">
        <v>518</v>
      </c>
      <c r="F70" t="s">
        <v>452</v>
      </c>
      <c r="G70" s="68">
        <v>0</v>
      </c>
      <c r="H70" s="68">
        <v>0</v>
      </c>
      <c r="I70" s="68">
        <v>0</v>
      </c>
      <c r="J70" s="68">
        <v>0</v>
      </c>
      <c r="K70" s="68">
        <v>0</v>
      </c>
      <c r="L70" s="68">
        <v>0</v>
      </c>
      <c r="M70" s="68">
        <v>1</v>
      </c>
      <c r="N70" s="68">
        <v>0</v>
      </c>
    </row>
    <row r="71" spans="1:14">
      <c r="A71" t="s">
        <v>444</v>
      </c>
      <c r="B71" t="s">
        <v>445</v>
      </c>
      <c r="C71" t="s">
        <v>464</v>
      </c>
      <c r="D71" t="s">
        <v>61</v>
      </c>
      <c r="E71" t="s">
        <v>519</v>
      </c>
      <c r="F71" t="s">
        <v>459</v>
      </c>
      <c r="G71" s="68">
        <v>15</v>
      </c>
      <c r="H71" s="68">
        <v>6</v>
      </c>
      <c r="I71" s="68">
        <v>9</v>
      </c>
      <c r="J71" s="68">
        <v>4</v>
      </c>
      <c r="K71" s="68">
        <v>5</v>
      </c>
      <c r="L71" s="68">
        <v>6</v>
      </c>
      <c r="M71" s="68">
        <v>4</v>
      </c>
      <c r="N71" s="68">
        <v>6</v>
      </c>
    </row>
    <row r="72" spans="1:14">
      <c r="A72" t="s">
        <v>444</v>
      </c>
      <c r="B72" t="s">
        <v>445</v>
      </c>
      <c r="C72" t="s">
        <v>464</v>
      </c>
      <c r="D72" t="s">
        <v>61</v>
      </c>
      <c r="E72" t="s">
        <v>520</v>
      </c>
      <c r="F72" t="s">
        <v>459</v>
      </c>
      <c r="G72" s="68">
        <v>2</v>
      </c>
      <c r="H72" s="68">
        <v>1</v>
      </c>
      <c r="I72" s="68">
        <v>1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</row>
    <row r="73" spans="1:14">
      <c r="A73" t="s">
        <v>444</v>
      </c>
      <c r="B73" t="s">
        <v>445</v>
      </c>
      <c r="C73" t="s">
        <v>464</v>
      </c>
      <c r="D73" t="s">
        <v>61</v>
      </c>
      <c r="E73" t="s">
        <v>521</v>
      </c>
      <c r="F73" t="s">
        <v>459</v>
      </c>
      <c r="G73" s="68">
        <v>2</v>
      </c>
      <c r="H73" s="68">
        <v>1</v>
      </c>
      <c r="I73" s="68">
        <v>1</v>
      </c>
      <c r="J73" s="68">
        <v>0</v>
      </c>
      <c r="K73" s="68">
        <v>0</v>
      </c>
      <c r="L73" s="68">
        <v>0</v>
      </c>
      <c r="M73" s="68">
        <v>0</v>
      </c>
      <c r="N73" s="68">
        <v>1</v>
      </c>
    </row>
    <row r="74" spans="1:14">
      <c r="A74" t="s">
        <v>444</v>
      </c>
      <c r="B74" t="s">
        <v>445</v>
      </c>
      <c r="C74" t="s">
        <v>464</v>
      </c>
      <c r="D74" t="s">
        <v>61</v>
      </c>
      <c r="E74" t="s">
        <v>522</v>
      </c>
      <c r="F74" t="s">
        <v>459</v>
      </c>
      <c r="G74" s="68">
        <v>1</v>
      </c>
      <c r="H74" s="68">
        <v>1</v>
      </c>
      <c r="I74" s="68">
        <v>0</v>
      </c>
      <c r="J74" s="68">
        <v>0</v>
      </c>
      <c r="K74" s="68">
        <v>4</v>
      </c>
      <c r="L74" s="68">
        <v>0</v>
      </c>
      <c r="M74" s="68">
        <v>0</v>
      </c>
      <c r="N74" s="68">
        <v>0</v>
      </c>
    </row>
    <row r="75" spans="1:14">
      <c r="A75" t="s">
        <v>444</v>
      </c>
      <c r="B75" t="s">
        <v>445</v>
      </c>
      <c r="C75" t="s">
        <v>464</v>
      </c>
      <c r="D75" t="s">
        <v>61</v>
      </c>
      <c r="E75" t="s">
        <v>523</v>
      </c>
      <c r="F75" t="s">
        <v>459</v>
      </c>
      <c r="G75" s="68">
        <v>0</v>
      </c>
      <c r="H75" s="68">
        <v>0</v>
      </c>
      <c r="I75" s="68">
        <v>0</v>
      </c>
      <c r="J75" s="68">
        <v>0</v>
      </c>
      <c r="K75" s="68">
        <v>1</v>
      </c>
      <c r="L75" s="68">
        <v>0</v>
      </c>
      <c r="M75" s="68">
        <v>0</v>
      </c>
      <c r="N75" s="68">
        <v>0</v>
      </c>
    </row>
    <row r="76" spans="1:14">
      <c r="A76" t="s">
        <v>444</v>
      </c>
      <c r="B76" t="s">
        <v>445</v>
      </c>
      <c r="C76" t="s">
        <v>524</v>
      </c>
      <c r="D76" t="s">
        <v>427</v>
      </c>
      <c r="E76" t="s">
        <v>525</v>
      </c>
      <c r="F76" t="s">
        <v>452</v>
      </c>
      <c r="G76" s="68">
        <v>0</v>
      </c>
      <c r="H76" s="68">
        <v>0</v>
      </c>
      <c r="I76" s="68">
        <v>0</v>
      </c>
      <c r="J76" s="68">
        <v>0</v>
      </c>
      <c r="K76" s="68">
        <v>15</v>
      </c>
      <c r="L76" s="68">
        <v>63</v>
      </c>
      <c r="M76" s="68">
        <v>81</v>
      </c>
      <c r="N76" s="68">
        <v>68</v>
      </c>
    </row>
    <row r="77" spans="1:14">
      <c r="A77" t="s">
        <v>444</v>
      </c>
      <c r="B77" t="s">
        <v>445</v>
      </c>
      <c r="C77" t="s">
        <v>524</v>
      </c>
      <c r="D77" t="s">
        <v>427</v>
      </c>
      <c r="E77" t="s">
        <v>526</v>
      </c>
      <c r="F77" t="s">
        <v>452</v>
      </c>
      <c r="G77" s="68">
        <v>0</v>
      </c>
      <c r="H77" s="68">
        <v>0</v>
      </c>
      <c r="I77" s="68">
        <v>0</v>
      </c>
      <c r="J77" s="68">
        <v>0</v>
      </c>
      <c r="K77" s="68">
        <v>9</v>
      </c>
      <c r="L77" s="68">
        <v>49</v>
      </c>
      <c r="M77" s="68">
        <v>58</v>
      </c>
      <c r="N77" s="68">
        <v>41</v>
      </c>
    </row>
    <row r="78" spans="1:14">
      <c r="A78" t="s">
        <v>444</v>
      </c>
      <c r="B78" t="s">
        <v>445</v>
      </c>
      <c r="C78" t="s">
        <v>524</v>
      </c>
      <c r="D78" t="s">
        <v>426</v>
      </c>
      <c r="E78" t="s">
        <v>527</v>
      </c>
      <c r="F78" t="s">
        <v>452</v>
      </c>
      <c r="G78" s="68">
        <v>31</v>
      </c>
      <c r="H78" s="68">
        <v>42</v>
      </c>
      <c r="I78" s="68">
        <v>38</v>
      </c>
      <c r="J78" s="68">
        <v>29</v>
      </c>
      <c r="K78" s="68">
        <v>40</v>
      </c>
      <c r="L78" s="68">
        <v>68</v>
      </c>
      <c r="M78" s="68">
        <v>82</v>
      </c>
      <c r="N78" s="68">
        <v>74</v>
      </c>
    </row>
    <row r="79" spans="1:14">
      <c r="A79" t="s">
        <v>444</v>
      </c>
      <c r="B79" t="s">
        <v>445</v>
      </c>
      <c r="C79" t="s">
        <v>524</v>
      </c>
      <c r="D79" t="s">
        <v>426</v>
      </c>
      <c r="E79" t="s">
        <v>528</v>
      </c>
      <c r="F79" t="s">
        <v>452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6</v>
      </c>
      <c r="M79" s="68">
        <v>16</v>
      </c>
      <c r="N79" s="68">
        <v>15</v>
      </c>
    </row>
    <row r="80" spans="1:14">
      <c r="A80" t="s">
        <v>444</v>
      </c>
      <c r="B80" t="s">
        <v>445</v>
      </c>
      <c r="C80" t="s">
        <v>524</v>
      </c>
      <c r="D80" t="s">
        <v>426</v>
      </c>
      <c r="E80" t="s">
        <v>529</v>
      </c>
      <c r="F80" t="s">
        <v>452</v>
      </c>
      <c r="G80" s="68">
        <v>1</v>
      </c>
      <c r="H80" s="68">
        <v>5</v>
      </c>
      <c r="I80" s="68">
        <v>4</v>
      </c>
      <c r="J80" s="68">
        <v>3</v>
      </c>
      <c r="K80" s="68">
        <v>4</v>
      </c>
      <c r="L80" s="68">
        <v>2</v>
      </c>
      <c r="M80" s="68">
        <v>5</v>
      </c>
      <c r="N80" s="68">
        <v>1</v>
      </c>
    </row>
    <row r="81" spans="1:14">
      <c r="A81" t="s">
        <v>444</v>
      </c>
      <c r="B81" t="s">
        <v>445</v>
      </c>
      <c r="C81" t="s">
        <v>530</v>
      </c>
      <c r="D81" t="s">
        <v>388</v>
      </c>
      <c r="E81" t="s">
        <v>531</v>
      </c>
      <c r="F81" t="s">
        <v>452</v>
      </c>
      <c r="G81" s="68">
        <v>1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</row>
    <row r="82" spans="1:14">
      <c r="A82" t="s">
        <v>444</v>
      </c>
      <c r="B82" t="s">
        <v>445</v>
      </c>
      <c r="C82" t="s">
        <v>530</v>
      </c>
      <c r="D82" t="s">
        <v>388</v>
      </c>
      <c r="E82" t="s">
        <v>532</v>
      </c>
      <c r="F82" t="s">
        <v>452</v>
      </c>
      <c r="G82" s="68">
        <v>0</v>
      </c>
      <c r="H82" s="68">
        <v>0</v>
      </c>
      <c r="I82" s="68">
        <v>1</v>
      </c>
      <c r="J82" s="68">
        <v>0</v>
      </c>
      <c r="K82" s="68">
        <v>0</v>
      </c>
      <c r="L82" s="68">
        <v>0</v>
      </c>
      <c r="M82" s="68">
        <v>0</v>
      </c>
      <c r="N82" s="68">
        <v>1</v>
      </c>
    </row>
    <row r="83" spans="1:14">
      <c r="A83" t="s">
        <v>444</v>
      </c>
      <c r="B83" t="s">
        <v>445</v>
      </c>
      <c r="C83" t="s">
        <v>530</v>
      </c>
      <c r="D83" t="s">
        <v>388</v>
      </c>
      <c r="E83" t="s">
        <v>533</v>
      </c>
      <c r="F83" t="s">
        <v>452</v>
      </c>
      <c r="G83" s="68">
        <v>0</v>
      </c>
      <c r="H83" s="68">
        <v>2</v>
      </c>
      <c r="I83" s="68">
        <v>1</v>
      </c>
      <c r="J83" s="68">
        <v>0</v>
      </c>
      <c r="K83" s="68">
        <v>3</v>
      </c>
      <c r="L83" s="68">
        <v>0</v>
      </c>
      <c r="M83" s="68">
        <v>0</v>
      </c>
      <c r="N83" s="68">
        <v>0</v>
      </c>
    </row>
    <row r="84" spans="1:14">
      <c r="A84" t="s">
        <v>444</v>
      </c>
      <c r="B84" t="s">
        <v>445</v>
      </c>
      <c r="C84" t="s">
        <v>530</v>
      </c>
      <c r="D84" t="s">
        <v>356</v>
      </c>
      <c r="E84" t="s">
        <v>454</v>
      </c>
      <c r="F84" t="s">
        <v>472</v>
      </c>
      <c r="G84" s="68">
        <v>0</v>
      </c>
      <c r="H84" s="68">
        <v>0</v>
      </c>
      <c r="I84" s="68">
        <v>0</v>
      </c>
      <c r="J84" s="68">
        <v>1</v>
      </c>
      <c r="K84" s="68">
        <v>0</v>
      </c>
      <c r="L84" s="68">
        <v>0</v>
      </c>
      <c r="M84" s="68">
        <v>0</v>
      </c>
      <c r="N84" s="68">
        <v>0</v>
      </c>
    </row>
    <row r="85" spans="1:14">
      <c r="A85" t="s">
        <v>444</v>
      </c>
      <c r="B85" t="s">
        <v>445</v>
      </c>
      <c r="C85" t="s">
        <v>530</v>
      </c>
      <c r="D85" t="s">
        <v>356</v>
      </c>
      <c r="E85" t="s">
        <v>534</v>
      </c>
      <c r="F85" t="s">
        <v>472</v>
      </c>
      <c r="G85" s="68">
        <v>0</v>
      </c>
      <c r="H85" s="68">
        <v>0</v>
      </c>
      <c r="I85" s="68">
        <v>1</v>
      </c>
      <c r="J85" s="68">
        <v>0</v>
      </c>
      <c r="K85" s="68">
        <v>0</v>
      </c>
      <c r="L85" s="68">
        <v>0</v>
      </c>
      <c r="M85" s="68">
        <v>0</v>
      </c>
      <c r="N85" s="68">
        <v>0</v>
      </c>
    </row>
    <row r="86" spans="1:14">
      <c r="A86" t="s">
        <v>444</v>
      </c>
      <c r="B86" t="s">
        <v>445</v>
      </c>
      <c r="C86" t="s">
        <v>530</v>
      </c>
      <c r="D86" t="s">
        <v>356</v>
      </c>
      <c r="E86" t="s">
        <v>535</v>
      </c>
      <c r="F86" t="s">
        <v>472</v>
      </c>
      <c r="G86" s="68">
        <v>0</v>
      </c>
      <c r="H86" s="68">
        <v>0</v>
      </c>
      <c r="I86" s="68">
        <v>0</v>
      </c>
      <c r="J86" s="68">
        <v>0</v>
      </c>
      <c r="K86" s="68">
        <v>1</v>
      </c>
      <c r="L86" s="68">
        <v>0</v>
      </c>
      <c r="M86" s="68">
        <v>0</v>
      </c>
      <c r="N86" s="68">
        <v>0</v>
      </c>
    </row>
    <row r="87" spans="1:14">
      <c r="A87" t="s">
        <v>444</v>
      </c>
      <c r="B87" t="s">
        <v>445</v>
      </c>
      <c r="C87" t="s">
        <v>530</v>
      </c>
      <c r="D87" t="s">
        <v>356</v>
      </c>
      <c r="E87" t="s">
        <v>458</v>
      </c>
      <c r="F87" t="s">
        <v>472</v>
      </c>
      <c r="G87" s="68">
        <v>0</v>
      </c>
      <c r="H87" s="68">
        <v>0</v>
      </c>
      <c r="I87" s="68">
        <v>0</v>
      </c>
      <c r="J87" s="68">
        <v>0</v>
      </c>
      <c r="K87" s="68">
        <v>1</v>
      </c>
      <c r="L87" s="68">
        <v>0</v>
      </c>
      <c r="M87" s="68">
        <v>0</v>
      </c>
      <c r="N87" s="68">
        <v>0</v>
      </c>
    </row>
    <row r="88" spans="1:14">
      <c r="A88" t="s">
        <v>444</v>
      </c>
      <c r="B88" t="s">
        <v>445</v>
      </c>
      <c r="C88" t="s">
        <v>530</v>
      </c>
      <c r="D88" t="s">
        <v>356</v>
      </c>
      <c r="E88" t="s">
        <v>458</v>
      </c>
      <c r="F88" t="s">
        <v>536</v>
      </c>
      <c r="G88" s="68">
        <v>0</v>
      </c>
      <c r="H88" s="68">
        <v>0</v>
      </c>
      <c r="I88" s="68">
        <v>0</v>
      </c>
      <c r="J88" s="68">
        <v>0</v>
      </c>
      <c r="K88" s="68">
        <v>0</v>
      </c>
      <c r="L88" s="68">
        <v>1</v>
      </c>
      <c r="M88" s="68">
        <v>0</v>
      </c>
      <c r="N88" s="68">
        <v>0</v>
      </c>
    </row>
    <row r="89" spans="1:14">
      <c r="A89" t="s">
        <v>444</v>
      </c>
      <c r="B89" t="s">
        <v>445</v>
      </c>
      <c r="C89" t="s">
        <v>530</v>
      </c>
      <c r="D89" t="s">
        <v>356</v>
      </c>
      <c r="E89" t="s">
        <v>463</v>
      </c>
      <c r="F89" t="s">
        <v>472</v>
      </c>
      <c r="G89" s="68">
        <v>1</v>
      </c>
      <c r="H89" s="68">
        <v>0</v>
      </c>
      <c r="I89" s="68">
        <v>0</v>
      </c>
      <c r="J89" s="68">
        <v>0</v>
      </c>
      <c r="K89" s="68">
        <v>0</v>
      </c>
      <c r="L89" s="68">
        <v>0</v>
      </c>
      <c r="M89" s="68">
        <v>0</v>
      </c>
      <c r="N89" s="68">
        <v>0</v>
      </c>
    </row>
    <row r="90" spans="1:14">
      <c r="A90" t="s">
        <v>444</v>
      </c>
      <c r="B90" t="s">
        <v>445</v>
      </c>
      <c r="C90" t="s">
        <v>530</v>
      </c>
      <c r="D90" t="s">
        <v>293</v>
      </c>
      <c r="E90" t="s">
        <v>454</v>
      </c>
      <c r="F90" t="s">
        <v>447</v>
      </c>
      <c r="G90" s="68">
        <v>0</v>
      </c>
      <c r="H90" s="68">
        <v>0</v>
      </c>
      <c r="I90" s="68">
        <v>1</v>
      </c>
      <c r="J90" s="68">
        <v>0</v>
      </c>
      <c r="K90" s="68">
        <v>0</v>
      </c>
      <c r="L90" s="68">
        <v>0</v>
      </c>
      <c r="M90" s="68">
        <v>0</v>
      </c>
      <c r="N90" s="68">
        <v>0</v>
      </c>
    </row>
    <row r="91" spans="1:14">
      <c r="A91" t="s">
        <v>444</v>
      </c>
      <c r="B91" t="s">
        <v>445</v>
      </c>
      <c r="C91" t="s">
        <v>530</v>
      </c>
      <c r="D91" t="s">
        <v>293</v>
      </c>
      <c r="E91" t="s">
        <v>534</v>
      </c>
      <c r="F91" t="s">
        <v>447</v>
      </c>
      <c r="G91" s="68">
        <v>0</v>
      </c>
      <c r="H91" s="68">
        <v>0</v>
      </c>
      <c r="I91" s="68">
        <v>0</v>
      </c>
      <c r="J91" s="68">
        <v>0</v>
      </c>
      <c r="K91" s="68">
        <v>0</v>
      </c>
      <c r="L91" s="68">
        <v>1</v>
      </c>
      <c r="M91" s="68">
        <v>1</v>
      </c>
      <c r="N91" s="68">
        <v>1</v>
      </c>
    </row>
    <row r="92" spans="1:14">
      <c r="A92" t="s">
        <v>444</v>
      </c>
      <c r="B92" t="s">
        <v>445</v>
      </c>
      <c r="C92" t="s">
        <v>530</v>
      </c>
      <c r="D92" t="s">
        <v>293</v>
      </c>
      <c r="E92" t="s">
        <v>537</v>
      </c>
      <c r="F92" t="s">
        <v>447</v>
      </c>
      <c r="G92" s="68">
        <v>0</v>
      </c>
      <c r="H92" s="68">
        <v>2</v>
      </c>
      <c r="I92" s="68">
        <v>0</v>
      </c>
      <c r="J92" s="68">
        <v>0</v>
      </c>
      <c r="K92" s="68">
        <v>1</v>
      </c>
      <c r="L92" s="68">
        <v>0</v>
      </c>
      <c r="M92" s="68">
        <v>0</v>
      </c>
      <c r="N92" s="68">
        <v>1</v>
      </c>
    </row>
    <row r="93" spans="1:14">
      <c r="A93" t="s">
        <v>444</v>
      </c>
      <c r="B93" t="s">
        <v>445</v>
      </c>
      <c r="C93" t="s">
        <v>538</v>
      </c>
      <c r="D93" t="s">
        <v>242</v>
      </c>
      <c r="E93" t="s">
        <v>454</v>
      </c>
      <c r="F93" t="s">
        <v>449</v>
      </c>
      <c r="G93" s="68">
        <v>0</v>
      </c>
      <c r="H93" s="68">
        <v>0</v>
      </c>
      <c r="I93" s="68">
        <v>0</v>
      </c>
      <c r="J93" s="68">
        <v>0</v>
      </c>
      <c r="K93" s="68">
        <v>2</v>
      </c>
      <c r="L93" s="68">
        <v>3</v>
      </c>
      <c r="M93" s="68">
        <v>1</v>
      </c>
      <c r="N93" s="68">
        <v>1</v>
      </c>
    </row>
    <row r="94" spans="1:14">
      <c r="A94" t="s">
        <v>444</v>
      </c>
      <c r="B94" t="s">
        <v>445</v>
      </c>
      <c r="C94" t="s">
        <v>538</v>
      </c>
      <c r="D94" t="s">
        <v>242</v>
      </c>
      <c r="E94" t="s">
        <v>539</v>
      </c>
      <c r="F94" t="s">
        <v>449</v>
      </c>
      <c r="G94" s="68">
        <v>1</v>
      </c>
      <c r="H94" s="68">
        <v>4</v>
      </c>
      <c r="I94" s="68">
        <v>3</v>
      </c>
      <c r="J94" s="68">
        <v>3</v>
      </c>
      <c r="K94" s="68">
        <v>2</v>
      </c>
      <c r="L94" s="68">
        <v>4</v>
      </c>
      <c r="M94" s="68">
        <v>6</v>
      </c>
      <c r="N94" s="68">
        <v>0</v>
      </c>
    </row>
    <row r="95" spans="1:14">
      <c r="A95" t="s">
        <v>444</v>
      </c>
      <c r="B95" t="s">
        <v>445</v>
      </c>
      <c r="C95" t="s">
        <v>538</v>
      </c>
      <c r="D95" t="s">
        <v>242</v>
      </c>
      <c r="E95" t="s">
        <v>540</v>
      </c>
      <c r="F95" t="s">
        <v>449</v>
      </c>
      <c r="G95" s="68">
        <v>3</v>
      </c>
      <c r="H95" s="68">
        <v>3</v>
      </c>
      <c r="I95" s="68">
        <v>2</v>
      </c>
      <c r="J95" s="68">
        <v>4</v>
      </c>
      <c r="K95" s="68">
        <v>0</v>
      </c>
      <c r="L95" s="68">
        <v>0</v>
      </c>
      <c r="M95" s="68">
        <v>0</v>
      </c>
      <c r="N95" s="68">
        <v>0</v>
      </c>
    </row>
    <row r="96" spans="1:14">
      <c r="A96" t="s">
        <v>444</v>
      </c>
      <c r="B96" t="s">
        <v>445</v>
      </c>
      <c r="C96" t="s">
        <v>538</v>
      </c>
      <c r="D96" t="s">
        <v>241</v>
      </c>
      <c r="E96" t="s">
        <v>541</v>
      </c>
      <c r="F96" t="s">
        <v>472</v>
      </c>
      <c r="G96" s="68">
        <v>0</v>
      </c>
      <c r="H96" s="68">
        <v>13</v>
      </c>
      <c r="I96" s="68">
        <v>15</v>
      </c>
      <c r="J96" s="68">
        <v>25</v>
      </c>
      <c r="K96" s="68">
        <v>12</v>
      </c>
      <c r="L96" s="68">
        <v>13</v>
      </c>
      <c r="M96" s="68">
        <v>14</v>
      </c>
      <c r="N96" s="68">
        <v>14</v>
      </c>
    </row>
    <row r="97" spans="1:14">
      <c r="A97" t="s">
        <v>444</v>
      </c>
      <c r="B97" t="s">
        <v>445</v>
      </c>
      <c r="C97" t="s">
        <v>538</v>
      </c>
      <c r="D97" t="s">
        <v>241</v>
      </c>
      <c r="E97" t="s">
        <v>541</v>
      </c>
      <c r="F97" t="s">
        <v>469</v>
      </c>
      <c r="G97" s="68">
        <v>0</v>
      </c>
      <c r="H97" s="68">
        <v>2</v>
      </c>
      <c r="I97" s="68">
        <v>1</v>
      </c>
      <c r="J97" s="68">
        <v>0</v>
      </c>
      <c r="K97" s="68">
        <v>0</v>
      </c>
      <c r="L97" s="68">
        <v>0</v>
      </c>
      <c r="M97" s="68">
        <v>0</v>
      </c>
      <c r="N97" s="68">
        <v>0</v>
      </c>
    </row>
    <row r="98" spans="1:14">
      <c r="A98" t="s">
        <v>444</v>
      </c>
      <c r="B98" t="s">
        <v>445</v>
      </c>
      <c r="C98" t="s">
        <v>538</v>
      </c>
      <c r="D98" t="s">
        <v>241</v>
      </c>
      <c r="E98" t="s">
        <v>542</v>
      </c>
      <c r="F98" t="s">
        <v>447</v>
      </c>
      <c r="G98" s="68">
        <v>7</v>
      </c>
      <c r="H98" s="68">
        <v>8</v>
      </c>
      <c r="I98" s="68">
        <v>6</v>
      </c>
      <c r="J98" s="68">
        <v>8</v>
      </c>
      <c r="K98" s="68">
        <v>7</v>
      </c>
      <c r="L98" s="68">
        <v>4</v>
      </c>
      <c r="M98" s="68">
        <v>2</v>
      </c>
      <c r="N98" s="68">
        <v>3</v>
      </c>
    </row>
    <row r="99" spans="1:14">
      <c r="A99" t="s">
        <v>444</v>
      </c>
      <c r="B99" t="s">
        <v>445</v>
      </c>
      <c r="C99" t="s">
        <v>538</v>
      </c>
      <c r="D99" t="s">
        <v>241</v>
      </c>
      <c r="E99" t="s">
        <v>543</v>
      </c>
      <c r="F99" t="s">
        <v>472</v>
      </c>
      <c r="G99" s="68">
        <v>0</v>
      </c>
      <c r="H99" s="68">
        <v>0</v>
      </c>
      <c r="I99" s="68">
        <v>0</v>
      </c>
      <c r="J99" s="68">
        <v>1</v>
      </c>
      <c r="K99" s="68">
        <v>6</v>
      </c>
      <c r="L99" s="68">
        <v>11</v>
      </c>
      <c r="M99" s="68">
        <v>31</v>
      </c>
      <c r="N99" s="68">
        <v>15</v>
      </c>
    </row>
    <row r="100" spans="1:14">
      <c r="A100" t="s">
        <v>444</v>
      </c>
      <c r="B100" t="s">
        <v>445</v>
      </c>
      <c r="C100" t="s">
        <v>538</v>
      </c>
      <c r="D100" t="s">
        <v>241</v>
      </c>
      <c r="E100" t="s">
        <v>544</v>
      </c>
      <c r="F100" t="s">
        <v>472</v>
      </c>
      <c r="G100" s="68">
        <v>9</v>
      </c>
      <c r="H100" s="68">
        <v>0</v>
      </c>
      <c r="I100" s="68">
        <v>0</v>
      </c>
      <c r="J100" s="68">
        <v>0</v>
      </c>
      <c r="K100" s="68">
        <v>0</v>
      </c>
      <c r="L100" s="68">
        <v>0</v>
      </c>
      <c r="M100" s="68">
        <v>0</v>
      </c>
      <c r="N100" s="68">
        <v>0</v>
      </c>
    </row>
    <row r="101" spans="1:14">
      <c r="A101" t="s">
        <v>444</v>
      </c>
      <c r="B101" t="s">
        <v>445</v>
      </c>
      <c r="C101" t="s">
        <v>538</v>
      </c>
      <c r="D101" t="s">
        <v>241</v>
      </c>
      <c r="E101" t="s">
        <v>544</v>
      </c>
      <c r="F101" t="s">
        <v>469</v>
      </c>
      <c r="G101" s="68">
        <v>1</v>
      </c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</row>
    <row r="102" spans="1:14">
      <c r="A102" t="s">
        <v>444</v>
      </c>
      <c r="B102" t="s">
        <v>445</v>
      </c>
      <c r="C102" t="s">
        <v>538</v>
      </c>
      <c r="D102" t="s">
        <v>240</v>
      </c>
      <c r="E102" t="s">
        <v>545</v>
      </c>
      <c r="F102" t="s">
        <v>447</v>
      </c>
      <c r="G102" s="68">
        <v>0</v>
      </c>
      <c r="H102" s="68">
        <v>2</v>
      </c>
      <c r="I102" s="68">
        <v>4</v>
      </c>
      <c r="J102" s="68">
        <v>6</v>
      </c>
      <c r="K102" s="68">
        <v>3</v>
      </c>
      <c r="L102" s="68">
        <v>2</v>
      </c>
      <c r="M102" s="68">
        <v>5</v>
      </c>
      <c r="N102" s="68">
        <v>3</v>
      </c>
    </row>
    <row r="103" spans="1:14">
      <c r="A103" t="s">
        <v>444</v>
      </c>
      <c r="B103" t="s">
        <v>445</v>
      </c>
      <c r="C103" t="s">
        <v>538</v>
      </c>
      <c r="D103" t="s">
        <v>240</v>
      </c>
      <c r="E103" t="s">
        <v>546</v>
      </c>
      <c r="F103" t="s">
        <v>447</v>
      </c>
      <c r="G103" s="68">
        <v>7</v>
      </c>
      <c r="H103" s="68">
        <v>19</v>
      </c>
      <c r="I103" s="68">
        <v>10</v>
      </c>
      <c r="J103" s="68">
        <v>8</v>
      </c>
      <c r="K103" s="68">
        <v>7</v>
      </c>
      <c r="L103" s="68">
        <v>4</v>
      </c>
      <c r="M103" s="68">
        <v>7</v>
      </c>
      <c r="N103" s="68">
        <v>5</v>
      </c>
    </row>
    <row r="104" spans="1:14">
      <c r="A104" t="s">
        <v>444</v>
      </c>
      <c r="B104" t="s">
        <v>445</v>
      </c>
      <c r="C104" t="s">
        <v>538</v>
      </c>
      <c r="D104" t="s">
        <v>230</v>
      </c>
      <c r="E104" t="s">
        <v>547</v>
      </c>
      <c r="F104" t="s">
        <v>452</v>
      </c>
      <c r="G104" s="68">
        <v>0</v>
      </c>
      <c r="H104" s="68">
        <v>9</v>
      </c>
      <c r="I104" s="68">
        <v>9</v>
      </c>
      <c r="J104" s="68">
        <v>6</v>
      </c>
      <c r="K104" s="68">
        <v>4</v>
      </c>
      <c r="L104" s="68">
        <v>3</v>
      </c>
      <c r="M104" s="68">
        <v>3</v>
      </c>
      <c r="N104" s="68">
        <v>0</v>
      </c>
    </row>
    <row r="105" spans="1:14">
      <c r="A105" t="s">
        <v>444</v>
      </c>
      <c r="B105" t="s">
        <v>445</v>
      </c>
      <c r="C105" t="s">
        <v>538</v>
      </c>
      <c r="D105" t="s">
        <v>230</v>
      </c>
      <c r="E105" t="s">
        <v>548</v>
      </c>
      <c r="F105" t="s">
        <v>452</v>
      </c>
      <c r="G105" s="68">
        <v>0</v>
      </c>
      <c r="H105" s="68">
        <v>2</v>
      </c>
      <c r="I105" s="68">
        <v>3</v>
      </c>
      <c r="J105" s="68">
        <v>3</v>
      </c>
      <c r="K105" s="68">
        <v>0</v>
      </c>
      <c r="L105" s="68">
        <v>1</v>
      </c>
      <c r="M105" s="68">
        <v>6</v>
      </c>
      <c r="N105" s="68">
        <v>0</v>
      </c>
    </row>
    <row r="106" spans="1:14">
      <c r="A106" t="s">
        <v>444</v>
      </c>
      <c r="B106" t="s">
        <v>445</v>
      </c>
      <c r="C106" t="s">
        <v>538</v>
      </c>
      <c r="D106" t="s">
        <v>230</v>
      </c>
      <c r="E106" t="s">
        <v>549</v>
      </c>
      <c r="F106" t="s">
        <v>452</v>
      </c>
      <c r="G106" s="68">
        <v>2</v>
      </c>
      <c r="H106" s="68">
        <v>0</v>
      </c>
      <c r="I106" s="68">
        <v>0</v>
      </c>
      <c r="J106" s="68">
        <v>0</v>
      </c>
      <c r="K106" s="68">
        <v>0</v>
      </c>
      <c r="L106" s="68">
        <v>0</v>
      </c>
      <c r="M106" s="68">
        <v>0</v>
      </c>
      <c r="N106" s="68">
        <v>0</v>
      </c>
    </row>
    <row r="107" spans="1:14">
      <c r="A107" t="s">
        <v>444</v>
      </c>
      <c r="B107" t="s">
        <v>445</v>
      </c>
      <c r="C107" t="s">
        <v>538</v>
      </c>
      <c r="D107" t="s">
        <v>230</v>
      </c>
      <c r="E107" t="s">
        <v>550</v>
      </c>
      <c r="F107" t="s">
        <v>452</v>
      </c>
      <c r="G107" s="68">
        <v>3</v>
      </c>
      <c r="H107" s="68">
        <v>0</v>
      </c>
      <c r="I107" s="68">
        <v>0</v>
      </c>
      <c r="J107" s="68">
        <v>0</v>
      </c>
      <c r="K107" s="68">
        <v>0</v>
      </c>
      <c r="L107" s="68">
        <v>0</v>
      </c>
      <c r="M107" s="68">
        <v>0</v>
      </c>
      <c r="N107" s="68">
        <v>0</v>
      </c>
    </row>
    <row r="108" spans="1:14">
      <c r="A108" t="s">
        <v>444</v>
      </c>
      <c r="B108" t="s">
        <v>445</v>
      </c>
      <c r="C108" t="s">
        <v>538</v>
      </c>
      <c r="D108" t="s">
        <v>229</v>
      </c>
      <c r="E108" t="s">
        <v>551</v>
      </c>
      <c r="F108" t="s">
        <v>452</v>
      </c>
      <c r="G108" s="68">
        <v>22</v>
      </c>
      <c r="H108" s="68">
        <v>50</v>
      </c>
      <c r="I108" s="68">
        <v>50</v>
      </c>
      <c r="J108" s="68">
        <v>53</v>
      </c>
      <c r="K108" s="68">
        <v>38</v>
      </c>
      <c r="L108" s="68">
        <v>72</v>
      </c>
      <c r="M108" s="68">
        <v>133</v>
      </c>
      <c r="N108" s="68">
        <v>61</v>
      </c>
    </row>
    <row r="109" spans="1:14">
      <c r="A109" t="s">
        <v>444</v>
      </c>
      <c r="B109" t="s">
        <v>445</v>
      </c>
      <c r="C109" t="s">
        <v>538</v>
      </c>
      <c r="D109" t="s">
        <v>228</v>
      </c>
      <c r="E109" t="s">
        <v>552</v>
      </c>
      <c r="F109" t="s">
        <v>452</v>
      </c>
      <c r="G109" s="68">
        <v>2</v>
      </c>
      <c r="H109" s="68">
        <v>0</v>
      </c>
      <c r="I109" s="68">
        <v>0</v>
      </c>
      <c r="J109" s="68">
        <v>2</v>
      </c>
      <c r="K109" s="68">
        <v>0</v>
      </c>
      <c r="L109" s="68">
        <v>4</v>
      </c>
      <c r="M109" s="68">
        <v>2</v>
      </c>
      <c r="N109" s="68">
        <v>1</v>
      </c>
    </row>
    <row r="110" spans="1:14">
      <c r="A110" t="s">
        <v>444</v>
      </c>
      <c r="B110" t="s">
        <v>445</v>
      </c>
      <c r="C110" t="s">
        <v>538</v>
      </c>
      <c r="D110" t="s">
        <v>227</v>
      </c>
      <c r="E110" t="s">
        <v>553</v>
      </c>
      <c r="F110" t="s">
        <v>452</v>
      </c>
      <c r="G110" s="68">
        <v>0</v>
      </c>
      <c r="H110" s="68">
        <v>0</v>
      </c>
      <c r="I110" s="68">
        <v>0</v>
      </c>
      <c r="J110" s="68">
        <v>13</v>
      </c>
      <c r="K110" s="68">
        <v>8</v>
      </c>
      <c r="L110" s="68">
        <v>11</v>
      </c>
      <c r="M110" s="68">
        <v>15</v>
      </c>
      <c r="N110" s="68">
        <v>8</v>
      </c>
    </row>
    <row r="111" spans="1:14">
      <c r="A111" t="s">
        <v>444</v>
      </c>
      <c r="B111" t="s">
        <v>445</v>
      </c>
      <c r="C111" t="s">
        <v>538</v>
      </c>
      <c r="D111" t="s">
        <v>227</v>
      </c>
      <c r="E111" t="s">
        <v>554</v>
      </c>
      <c r="F111" t="s">
        <v>452</v>
      </c>
      <c r="G111" s="68">
        <v>16</v>
      </c>
      <c r="H111" s="68">
        <v>19</v>
      </c>
      <c r="I111" s="68">
        <v>11</v>
      </c>
      <c r="J111" s="68">
        <v>0</v>
      </c>
      <c r="K111" s="68">
        <v>0</v>
      </c>
      <c r="L111" s="68">
        <v>0</v>
      </c>
      <c r="M111" s="68">
        <v>0</v>
      </c>
      <c r="N111" s="68">
        <v>0</v>
      </c>
    </row>
    <row r="112" spans="1:14">
      <c r="A112" t="s">
        <v>444</v>
      </c>
      <c r="B112" t="s">
        <v>445</v>
      </c>
      <c r="C112" t="s">
        <v>538</v>
      </c>
      <c r="D112" t="s">
        <v>158</v>
      </c>
      <c r="E112" t="s">
        <v>454</v>
      </c>
      <c r="F112" t="s">
        <v>472</v>
      </c>
      <c r="G112" s="68">
        <v>0</v>
      </c>
      <c r="H112" s="68">
        <v>1</v>
      </c>
      <c r="I112" s="68">
        <v>0</v>
      </c>
      <c r="J112" s="68">
        <v>0</v>
      </c>
      <c r="K112" s="68">
        <v>0</v>
      </c>
      <c r="L112" s="68">
        <v>0</v>
      </c>
      <c r="M112" s="68">
        <v>0</v>
      </c>
      <c r="N112" s="68">
        <v>0</v>
      </c>
    </row>
    <row r="113" spans="1:14">
      <c r="A113" t="s">
        <v>444</v>
      </c>
      <c r="B113" t="s">
        <v>445</v>
      </c>
      <c r="C113" t="s">
        <v>538</v>
      </c>
      <c r="D113" t="s">
        <v>101</v>
      </c>
      <c r="E113" t="s">
        <v>555</v>
      </c>
      <c r="F113" t="s">
        <v>447</v>
      </c>
      <c r="G113" s="68">
        <v>18</v>
      </c>
      <c r="H113" s="68">
        <v>76</v>
      </c>
      <c r="I113" s="68">
        <v>61</v>
      </c>
      <c r="J113" s="68">
        <v>69</v>
      </c>
      <c r="K113" s="68">
        <v>49</v>
      </c>
      <c r="L113" s="68">
        <v>47</v>
      </c>
      <c r="M113" s="68">
        <v>58</v>
      </c>
      <c r="N113" s="68">
        <v>70</v>
      </c>
    </row>
    <row r="114" spans="1:14">
      <c r="A114" t="s">
        <v>444</v>
      </c>
      <c r="B114" t="s">
        <v>445</v>
      </c>
      <c r="C114" t="s">
        <v>538</v>
      </c>
      <c r="D114" t="s">
        <v>101</v>
      </c>
      <c r="E114" t="s">
        <v>556</v>
      </c>
      <c r="F114" t="s">
        <v>447</v>
      </c>
      <c r="G114" s="68">
        <v>8</v>
      </c>
      <c r="H114" s="68">
        <v>0</v>
      </c>
      <c r="I114" s="68">
        <v>0</v>
      </c>
      <c r="J114" s="68">
        <v>0</v>
      </c>
      <c r="K114" s="68">
        <v>0</v>
      </c>
      <c r="L114" s="68">
        <v>0</v>
      </c>
      <c r="M114" s="68">
        <v>0</v>
      </c>
      <c r="N114" s="68">
        <v>0</v>
      </c>
    </row>
    <row r="115" spans="1:14">
      <c r="A115" t="s">
        <v>444</v>
      </c>
      <c r="B115" t="s">
        <v>445</v>
      </c>
      <c r="C115" t="s">
        <v>538</v>
      </c>
      <c r="D115" t="s">
        <v>101</v>
      </c>
      <c r="E115" t="s">
        <v>557</v>
      </c>
      <c r="F115" t="s">
        <v>459</v>
      </c>
      <c r="G115" s="68">
        <v>5</v>
      </c>
      <c r="H115" s="68">
        <v>2</v>
      </c>
      <c r="I115" s="68">
        <v>4</v>
      </c>
      <c r="J115" s="68">
        <v>1</v>
      </c>
      <c r="K115" s="68">
        <v>4</v>
      </c>
      <c r="L115" s="68">
        <v>3</v>
      </c>
      <c r="M115" s="68">
        <v>1</v>
      </c>
      <c r="N115" s="68">
        <v>1</v>
      </c>
    </row>
    <row r="116" spans="1:14">
      <c r="A116" t="s">
        <v>444</v>
      </c>
      <c r="B116" t="s">
        <v>445</v>
      </c>
      <c r="C116" t="s">
        <v>538</v>
      </c>
      <c r="D116" t="s">
        <v>101</v>
      </c>
      <c r="E116" t="s">
        <v>558</v>
      </c>
      <c r="F116" t="s">
        <v>459</v>
      </c>
      <c r="G116" s="68">
        <v>1</v>
      </c>
      <c r="H116" s="68">
        <v>2</v>
      </c>
      <c r="I116" s="68">
        <v>1</v>
      </c>
      <c r="J116" s="68">
        <v>1</v>
      </c>
      <c r="K116" s="68">
        <v>1</v>
      </c>
      <c r="L116" s="68">
        <v>1</v>
      </c>
      <c r="M116" s="68">
        <v>3</v>
      </c>
      <c r="N116" s="68">
        <v>2</v>
      </c>
    </row>
    <row r="117" spans="1:14">
      <c r="A117" t="s">
        <v>444</v>
      </c>
      <c r="B117" t="s">
        <v>445</v>
      </c>
      <c r="C117" t="s">
        <v>538</v>
      </c>
      <c r="D117" t="s">
        <v>101</v>
      </c>
      <c r="E117" t="s">
        <v>559</v>
      </c>
      <c r="F117" t="s">
        <v>472</v>
      </c>
      <c r="G117" s="68">
        <v>0</v>
      </c>
      <c r="H117" s="68">
        <v>0</v>
      </c>
      <c r="I117" s="68">
        <v>0</v>
      </c>
      <c r="J117" s="68">
        <v>1</v>
      </c>
      <c r="K117" s="68">
        <v>1</v>
      </c>
      <c r="L117" s="68">
        <v>1</v>
      </c>
      <c r="M117" s="68">
        <v>2</v>
      </c>
      <c r="N117" s="68">
        <v>0</v>
      </c>
    </row>
    <row r="118" spans="1:14">
      <c r="A118" t="s">
        <v>444</v>
      </c>
      <c r="B118" t="s">
        <v>445</v>
      </c>
      <c r="C118" t="s">
        <v>538</v>
      </c>
      <c r="D118" t="s">
        <v>100</v>
      </c>
      <c r="E118" t="s">
        <v>560</v>
      </c>
      <c r="F118" t="s">
        <v>447</v>
      </c>
      <c r="G118" s="68">
        <v>48</v>
      </c>
      <c r="H118" s="68">
        <v>130</v>
      </c>
      <c r="I118" s="68">
        <v>118</v>
      </c>
      <c r="J118" s="68">
        <v>93</v>
      </c>
      <c r="K118" s="68">
        <v>50</v>
      </c>
      <c r="L118" s="68">
        <v>73</v>
      </c>
      <c r="M118" s="68">
        <v>95</v>
      </c>
      <c r="N118" s="68">
        <v>90</v>
      </c>
    </row>
    <row r="119" spans="1:14">
      <c r="A119" t="s">
        <v>444</v>
      </c>
      <c r="B119" t="s">
        <v>445</v>
      </c>
      <c r="C119" t="s">
        <v>538</v>
      </c>
      <c r="D119" t="s">
        <v>100</v>
      </c>
      <c r="E119" t="s">
        <v>561</v>
      </c>
      <c r="F119" t="s">
        <v>447</v>
      </c>
      <c r="G119" s="68">
        <v>1</v>
      </c>
      <c r="H119" s="68">
        <v>3</v>
      </c>
      <c r="I119" s="68">
        <v>2</v>
      </c>
      <c r="J119" s="68">
        <v>1</v>
      </c>
      <c r="K119" s="68">
        <v>0</v>
      </c>
      <c r="L119" s="68">
        <v>0</v>
      </c>
      <c r="M119" s="68">
        <v>1</v>
      </c>
      <c r="N119" s="68">
        <v>0</v>
      </c>
    </row>
    <row r="120" spans="1:14">
      <c r="A120" t="s">
        <v>444</v>
      </c>
      <c r="B120" t="s">
        <v>445</v>
      </c>
      <c r="C120" t="s">
        <v>538</v>
      </c>
      <c r="D120" t="s">
        <v>100</v>
      </c>
      <c r="E120" t="s">
        <v>562</v>
      </c>
      <c r="F120" t="s">
        <v>447</v>
      </c>
      <c r="G120" s="68">
        <v>0</v>
      </c>
      <c r="H120" s="68">
        <v>0</v>
      </c>
      <c r="I120" s="68">
        <v>0</v>
      </c>
      <c r="J120" s="68">
        <v>48</v>
      </c>
      <c r="K120" s="68">
        <v>44</v>
      </c>
      <c r="L120" s="68">
        <v>58</v>
      </c>
      <c r="M120" s="68">
        <v>74</v>
      </c>
      <c r="N120" s="68">
        <v>106</v>
      </c>
    </row>
    <row r="121" spans="1:14">
      <c r="A121" t="s">
        <v>444</v>
      </c>
      <c r="B121" t="s">
        <v>445</v>
      </c>
      <c r="C121" t="s">
        <v>538</v>
      </c>
      <c r="D121" t="s">
        <v>100</v>
      </c>
      <c r="E121" t="s">
        <v>563</v>
      </c>
      <c r="F121" t="s">
        <v>469</v>
      </c>
      <c r="G121" s="68">
        <v>0</v>
      </c>
      <c r="H121" s="68">
        <v>0</v>
      </c>
      <c r="I121" s="68">
        <v>0</v>
      </c>
      <c r="J121" s="68">
        <v>1</v>
      </c>
      <c r="K121" s="68">
        <v>1</v>
      </c>
      <c r="L121" s="68">
        <v>2</v>
      </c>
      <c r="M121" s="68">
        <v>0</v>
      </c>
      <c r="N121" s="68">
        <v>0</v>
      </c>
    </row>
    <row r="122" spans="1:14">
      <c r="A122" t="s">
        <v>444</v>
      </c>
      <c r="B122" t="s">
        <v>445</v>
      </c>
      <c r="C122" t="s">
        <v>538</v>
      </c>
      <c r="D122" t="s">
        <v>100</v>
      </c>
      <c r="E122" t="s">
        <v>564</v>
      </c>
      <c r="F122" t="s">
        <v>447</v>
      </c>
      <c r="G122" s="68">
        <v>0</v>
      </c>
      <c r="H122" s="68">
        <v>0</v>
      </c>
      <c r="I122" s="68">
        <v>1</v>
      </c>
      <c r="J122" s="68">
        <v>0</v>
      </c>
      <c r="K122" s="68">
        <v>0</v>
      </c>
      <c r="L122" s="68">
        <v>0</v>
      </c>
      <c r="M122" s="68">
        <v>0</v>
      </c>
      <c r="N122" s="68">
        <v>1</v>
      </c>
    </row>
    <row r="123" spans="1:14">
      <c r="A123" t="s">
        <v>444</v>
      </c>
      <c r="B123" t="s">
        <v>445</v>
      </c>
      <c r="C123" t="s">
        <v>538</v>
      </c>
      <c r="D123" t="s">
        <v>100</v>
      </c>
      <c r="E123" t="s">
        <v>565</v>
      </c>
      <c r="F123" t="s">
        <v>469</v>
      </c>
      <c r="G123" s="68">
        <v>0</v>
      </c>
      <c r="H123" s="68">
        <v>0</v>
      </c>
      <c r="I123" s="68">
        <v>0</v>
      </c>
      <c r="J123" s="68">
        <v>0</v>
      </c>
      <c r="K123" s="68">
        <v>0</v>
      </c>
      <c r="L123" s="68">
        <v>1</v>
      </c>
      <c r="M123" s="68">
        <v>0</v>
      </c>
      <c r="N123" s="68">
        <v>0</v>
      </c>
    </row>
    <row r="124" spans="1:14">
      <c r="A124" t="s">
        <v>444</v>
      </c>
      <c r="B124" t="s">
        <v>445</v>
      </c>
      <c r="C124" t="s">
        <v>538</v>
      </c>
      <c r="D124" t="s">
        <v>100</v>
      </c>
      <c r="E124" t="s">
        <v>566</v>
      </c>
      <c r="F124" t="s">
        <v>472</v>
      </c>
      <c r="G124" s="68">
        <v>0</v>
      </c>
      <c r="H124" s="68">
        <v>0</v>
      </c>
      <c r="I124" s="68">
        <v>0</v>
      </c>
      <c r="J124" s="68">
        <v>1</v>
      </c>
      <c r="K124" s="68">
        <v>0</v>
      </c>
      <c r="L124" s="68">
        <v>0</v>
      </c>
      <c r="M124" s="68">
        <v>0</v>
      </c>
      <c r="N124" s="68">
        <v>0</v>
      </c>
    </row>
    <row r="125" spans="1:14">
      <c r="A125" t="s">
        <v>444</v>
      </c>
      <c r="B125" t="s">
        <v>445</v>
      </c>
      <c r="C125" t="s">
        <v>538</v>
      </c>
      <c r="D125" t="s">
        <v>100</v>
      </c>
      <c r="E125" t="s">
        <v>566</v>
      </c>
      <c r="F125" t="s">
        <v>447</v>
      </c>
      <c r="G125" s="68">
        <v>6</v>
      </c>
      <c r="H125" s="68">
        <v>25</v>
      </c>
      <c r="I125" s="68">
        <v>17</v>
      </c>
      <c r="J125" s="68">
        <v>12</v>
      </c>
      <c r="K125" s="68">
        <v>3</v>
      </c>
      <c r="L125" s="68">
        <v>17</v>
      </c>
      <c r="M125" s="68">
        <v>8</v>
      </c>
      <c r="N125" s="68">
        <v>15</v>
      </c>
    </row>
    <row r="126" spans="1:14">
      <c r="A126" t="s">
        <v>444</v>
      </c>
      <c r="B126" t="s">
        <v>445</v>
      </c>
      <c r="C126" t="s">
        <v>538</v>
      </c>
      <c r="D126" t="s">
        <v>100</v>
      </c>
      <c r="E126" t="s">
        <v>567</v>
      </c>
      <c r="F126" t="s">
        <v>447</v>
      </c>
      <c r="G126" s="68">
        <v>29</v>
      </c>
      <c r="H126" s="68">
        <v>49</v>
      </c>
      <c r="I126" s="68">
        <v>47</v>
      </c>
      <c r="J126" s="68">
        <v>0</v>
      </c>
      <c r="K126" s="68">
        <v>0</v>
      </c>
      <c r="L126" s="68">
        <v>0</v>
      </c>
      <c r="M126" s="68">
        <v>0</v>
      </c>
      <c r="N126" s="68">
        <v>0</v>
      </c>
    </row>
    <row r="127" spans="1:14">
      <c r="A127" t="s">
        <v>444</v>
      </c>
      <c r="B127" t="s">
        <v>445</v>
      </c>
      <c r="C127" t="s">
        <v>538</v>
      </c>
      <c r="D127" t="s">
        <v>100</v>
      </c>
      <c r="E127" t="s">
        <v>568</v>
      </c>
      <c r="F127" t="s">
        <v>472</v>
      </c>
      <c r="G127" s="68">
        <v>2</v>
      </c>
      <c r="H127" s="68">
        <v>5</v>
      </c>
      <c r="I127" s="68">
        <v>1</v>
      </c>
      <c r="J127" s="68">
        <v>1</v>
      </c>
      <c r="K127" s="68">
        <v>2</v>
      </c>
      <c r="L127" s="68">
        <v>0</v>
      </c>
      <c r="M127" s="68">
        <v>3</v>
      </c>
      <c r="N127" s="68">
        <v>0</v>
      </c>
    </row>
    <row r="128" spans="1:14">
      <c r="A128" t="s">
        <v>444</v>
      </c>
      <c r="B128" t="s">
        <v>445</v>
      </c>
      <c r="C128" t="s">
        <v>538</v>
      </c>
      <c r="D128" t="s">
        <v>100</v>
      </c>
      <c r="E128" t="s">
        <v>569</v>
      </c>
      <c r="F128" t="s">
        <v>472</v>
      </c>
      <c r="G128" s="68">
        <v>6</v>
      </c>
      <c r="H128" s="68">
        <v>6</v>
      </c>
      <c r="I128" s="68">
        <v>11</v>
      </c>
      <c r="J128" s="68">
        <v>9</v>
      </c>
      <c r="K128" s="68">
        <v>8</v>
      </c>
      <c r="L128" s="68">
        <v>10</v>
      </c>
      <c r="M128" s="68">
        <v>7</v>
      </c>
      <c r="N128" s="68">
        <v>16</v>
      </c>
    </row>
    <row r="129" spans="1:14">
      <c r="A129" t="s">
        <v>444</v>
      </c>
      <c r="B129" t="s">
        <v>445</v>
      </c>
      <c r="C129" t="s">
        <v>538</v>
      </c>
      <c r="D129" t="s">
        <v>99</v>
      </c>
      <c r="E129" t="s">
        <v>570</v>
      </c>
      <c r="F129" t="s">
        <v>536</v>
      </c>
      <c r="G129" s="68">
        <v>1</v>
      </c>
      <c r="H129" s="68">
        <v>5</v>
      </c>
      <c r="I129" s="68">
        <v>1</v>
      </c>
      <c r="J129" s="68">
        <v>5</v>
      </c>
      <c r="K129" s="68">
        <v>8</v>
      </c>
      <c r="L129" s="68">
        <v>4</v>
      </c>
      <c r="M129" s="68">
        <v>4</v>
      </c>
      <c r="N129" s="68">
        <v>3</v>
      </c>
    </row>
    <row r="130" spans="1:14">
      <c r="A130" t="s">
        <v>444</v>
      </c>
      <c r="B130" t="s">
        <v>445</v>
      </c>
      <c r="C130" t="s">
        <v>538</v>
      </c>
      <c r="D130" t="s">
        <v>99</v>
      </c>
      <c r="E130" t="s">
        <v>571</v>
      </c>
      <c r="F130" t="s">
        <v>459</v>
      </c>
      <c r="G130" s="68">
        <v>0</v>
      </c>
      <c r="H130" s="68">
        <v>1</v>
      </c>
      <c r="I130" s="68">
        <v>0</v>
      </c>
      <c r="J130" s="68">
        <v>0</v>
      </c>
      <c r="K130" s="68">
        <v>0</v>
      </c>
      <c r="L130" s="68">
        <v>1</v>
      </c>
      <c r="M130" s="68">
        <v>2</v>
      </c>
      <c r="N130" s="68">
        <v>2</v>
      </c>
    </row>
    <row r="131" spans="1:14">
      <c r="A131" t="s">
        <v>444</v>
      </c>
      <c r="B131" t="s">
        <v>445</v>
      </c>
      <c r="C131" t="s">
        <v>538</v>
      </c>
      <c r="D131" t="s">
        <v>99</v>
      </c>
      <c r="E131" t="s">
        <v>572</v>
      </c>
      <c r="F131" t="s">
        <v>459</v>
      </c>
      <c r="G131" s="68">
        <v>0</v>
      </c>
      <c r="H131" s="68">
        <v>0</v>
      </c>
      <c r="I131" s="68">
        <v>0</v>
      </c>
      <c r="J131" s="68">
        <v>0</v>
      </c>
      <c r="K131" s="68">
        <v>0</v>
      </c>
      <c r="L131" s="68">
        <v>1</v>
      </c>
      <c r="M131" s="68">
        <v>0</v>
      </c>
      <c r="N131" s="68">
        <v>0</v>
      </c>
    </row>
    <row r="132" spans="1:14">
      <c r="A132" t="s">
        <v>444</v>
      </c>
      <c r="B132" t="s">
        <v>445</v>
      </c>
      <c r="C132" t="s">
        <v>538</v>
      </c>
      <c r="D132" t="s">
        <v>99</v>
      </c>
      <c r="E132" t="s">
        <v>573</v>
      </c>
      <c r="F132" t="s">
        <v>459</v>
      </c>
      <c r="G132" s="68">
        <v>0</v>
      </c>
      <c r="H132" s="68">
        <v>4</v>
      </c>
      <c r="I132" s="68">
        <v>2</v>
      </c>
      <c r="J132" s="68">
        <v>1</v>
      </c>
      <c r="K132" s="68">
        <v>1</v>
      </c>
      <c r="L132" s="68">
        <v>2</v>
      </c>
      <c r="M132" s="68">
        <v>3</v>
      </c>
      <c r="N132" s="68">
        <v>3</v>
      </c>
    </row>
    <row r="133" spans="1:14">
      <c r="A133" t="s">
        <v>444</v>
      </c>
      <c r="B133" t="s">
        <v>445</v>
      </c>
      <c r="C133" t="s">
        <v>538</v>
      </c>
      <c r="D133" t="s">
        <v>99</v>
      </c>
      <c r="E133" t="s">
        <v>574</v>
      </c>
      <c r="F133" t="s">
        <v>459</v>
      </c>
      <c r="G133" s="68">
        <v>1</v>
      </c>
      <c r="H133" s="68">
        <v>6</v>
      </c>
      <c r="I133" s="68">
        <v>6</v>
      </c>
      <c r="J133" s="68">
        <v>9</v>
      </c>
      <c r="K133" s="68">
        <v>7</v>
      </c>
      <c r="L133" s="68">
        <v>6</v>
      </c>
      <c r="M133" s="68">
        <v>7</v>
      </c>
      <c r="N133" s="68">
        <v>6</v>
      </c>
    </row>
    <row r="134" spans="1:14">
      <c r="A134" t="s">
        <v>444</v>
      </c>
      <c r="B134" t="s">
        <v>445</v>
      </c>
      <c r="C134" t="s">
        <v>538</v>
      </c>
      <c r="D134" t="s">
        <v>99</v>
      </c>
      <c r="E134" t="s">
        <v>575</v>
      </c>
      <c r="F134" t="s">
        <v>459</v>
      </c>
      <c r="G134" s="68">
        <v>0</v>
      </c>
      <c r="H134" s="68">
        <v>2</v>
      </c>
      <c r="I134" s="68">
        <v>1</v>
      </c>
      <c r="J134" s="68">
        <v>1</v>
      </c>
      <c r="K134" s="68">
        <v>4</v>
      </c>
      <c r="L134" s="68">
        <v>2</v>
      </c>
      <c r="M134" s="68">
        <v>5</v>
      </c>
      <c r="N134" s="68">
        <v>1</v>
      </c>
    </row>
    <row r="135" spans="1:14">
      <c r="A135" t="s">
        <v>444</v>
      </c>
      <c r="B135" t="s">
        <v>445</v>
      </c>
      <c r="C135" t="s">
        <v>538</v>
      </c>
      <c r="D135" t="s">
        <v>98</v>
      </c>
      <c r="E135" t="s">
        <v>576</v>
      </c>
      <c r="F135" t="s">
        <v>447</v>
      </c>
      <c r="G135" s="68">
        <v>3</v>
      </c>
      <c r="H135" s="68">
        <v>22</v>
      </c>
      <c r="I135" s="68">
        <v>27</v>
      </c>
      <c r="J135" s="68">
        <v>29</v>
      </c>
      <c r="K135" s="68">
        <v>22</v>
      </c>
      <c r="L135" s="68">
        <v>29</v>
      </c>
      <c r="M135" s="68">
        <v>40</v>
      </c>
      <c r="N135" s="68">
        <v>38</v>
      </c>
    </row>
    <row r="136" spans="1:14">
      <c r="A136" t="s">
        <v>444</v>
      </c>
      <c r="B136" t="s">
        <v>445</v>
      </c>
      <c r="C136" t="s">
        <v>538</v>
      </c>
      <c r="D136" t="s">
        <v>98</v>
      </c>
      <c r="E136" t="s">
        <v>577</v>
      </c>
      <c r="F136" t="s">
        <v>447</v>
      </c>
      <c r="G136" s="68">
        <v>18</v>
      </c>
      <c r="H136" s="68">
        <v>37</v>
      </c>
      <c r="I136" s="68">
        <v>30</v>
      </c>
      <c r="J136" s="68">
        <v>39</v>
      </c>
      <c r="K136" s="68">
        <v>25</v>
      </c>
      <c r="L136" s="68">
        <v>23</v>
      </c>
      <c r="M136" s="68">
        <v>16</v>
      </c>
      <c r="N136" s="68">
        <v>16</v>
      </c>
    </row>
    <row r="137" spans="1:14">
      <c r="A137" t="s">
        <v>444</v>
      </c>
      <c r="B137" t="s">
        <v>445</v>
      </c>
      <c r="C137" t="s">
        <v>538</v>
      </c>
      <c r="D137" t="s">
        <v>98</v>
      </c>
      <c r="E137" t="s">
        <v>578</v>
      </c>
      <c r="F137" t="s">
        <v>447</v>
      </c>
      <c r="G137" s="68">
        <v>1</v>
      </c>
      <c r="H137" s="68">
        <v>0</v>
      </c>
      <c r="I137" s="68">
        <v>1</v>
      </c>
      <c r="J137" s="68">
        <v>0</v>
      </c>
      <c r="K137" s="68">
        <v>0</v>
      </c>
      <c r="L137" s="68">
        <v>0</v>
      </c>
      <c r="M137" s="68">
        <v>0</v>
      </c>
      <c r="N137" s="68">
        <v>0</v>
      </c>
    </row>
    <row r="138" spans="1:14">
      <c r="A138" t="s">
        <v>444</v>
      </c>
      <c r="B138" t="s">
        <v>445</v>
      </c>
      <c r="C138" t="s">
        <v>538</v>
      </c>
      <c r="D138" t="s">
        <v>98</v>
      </c>
      <c r="E138" t="s">
        <v>579</v>
      </c>
      <c r="F138" t="s">
        <v>447</v>
      </c>
      <c r="G138" s="68">
        <v>7</v>
      </c>
      <c r="H138" s="68">
        <v>13</v>
      </c>
      <c r="I138" s="68">
        <v>9</v>
      </c>
      <c r="J138" s="68">
        <v>6</v>
      </c>
      <c r="K138" s="68">
        <v>6</v>
      </c>
      <c r="L138" s="68">
        <v>7</v>
      </c>
      <c r="M138" s="68">
        <v>12</v>
      </c>
      <c r="N138" s="68">
        <v>10</v>
      </c>
    </row>
    <row r="139" spans="1:14">
      <c r="A139" t="s">
        <v>444</v>
      </c>
      <c r="B139" t="s">
        <v>445</v>
      </c>
      <c r="C139" t="s">
        <v>538</v>
      </c>
      <c r="D139" t="s">
        <v>98</v>
      </c>
      <c r="E139" t="s">
        <v>580</v>
      </c>
      <c r="F139" t="s">
        <v>447</v>
      </c>
      <c r="G139" s="68">
        <v>10</v>
      </c>
      <c r="H139" s="68">
        <v>6</v>
      </c>
      <c r="I139" s="68">
        <v>19</v>
      </c>
      <c r="J139" s="68">
        <v>23</v>
      </c>
      <c r="K139" s="68">
        <v>8</v>
      </c>
      <c r="L139" s="68">
        <v>22</v>
      </c>
      <c r="M139" s="68">
        <v>46</v>
      </c>
      <c r="N139" s="68">
        <v>39</v>
      </c>
    </row>
    <row r="140" spans="1:14">
      <c r="A140" t="s">
        <v>444</v>
      </c>
      <c r="B140" t="s">
        <v>445</v>
      </c>
      <c r="C140" t="s">
        <v>538</v>
      </c>
      <c r="D140" t="s">
        <v>98</v>
      </c>
      <c r="E140" t="s">
        <v>581</v>
      </c>
      <c r="F140" t="s">
        <v>447</v>
      </c>
      <c r="G140" s="68">
        <v>20</v>
      </c>
      <c r="H140" s="68">
        <v>34</v>
      </c>
      <c r="I140" s="68">
        <v>33</v>
      </c>
      <c r="J140" s="68">
        <v>33</v>
      </c>
      <c r="K140" s="68">
        <v>13</v>
      </c>
      <c r="L140" s="68">
        <v>24</v>
      </c>
      <c r="M140" s="68">
        <v>21</v>
      </c>
      <c r="N140" s="68">
        <v>26</v>
      </c>
    </row>
    <row r="141" spans="1:14">
      <c r="A141" t="s">
        <v>444</v>
      </c>
      <c r="B141" t="s">
        <v>445</v>
      </c>
      <c r="C141" t="s">
        <v>538</v>
      </c>
      <c r="D141" t="s">
        <v>98</v>
      </c>
      <c r="E141" t="s">
        <v>582</v>
      </c>
      <c r="F141" t="s">
        <v>447</v>
      </c>
      <c r="G141" s="68">
        <v>0</v>
      </c>
      <c r="H141" s="68">
        <v>0</v>
      </c>
      <c r="I141" s="68">
        <v>0</v>
      </c>
      <c r="J141" s="68">
        <v>0</v>
      </c>
      <c r="K141" s="68">
        <v>0</v>
      </c>
      <c r="L141" s="68">
        <v>1</v>
      </c>
      <c r="M141" s="68">
        <v>0</v>
      </c>
      <c r="N141" s="68">
        <v>0</v>
      </c>
    </row>
    <row r="142" spans="1:14">
      <c r="A142" t="s">
        <v>444</v>
      </c>
      <c r="B142" t="s">
        <v>445</v>
      </c>
      <c r="C142" t="s">
        <v>538</v>
      </c>
      <c r="D142" t="s">
        <v>98</v>
      </c>
      <c r="E142" t="s">
        <v>583</v>
      </c>
      <c r="F142" t="s">
        <v>472</v>
      </c>
      <c r="G142" s="68">
        <v>0</v>
      </c>
      <c r="H142" s="68">
        <v>2</v>
      </c>
      <c r="I142" s="68">
        <v>0</v>
      </c>
      <c r="J142" s="68">
        <v>0</v>
      </c>
      <c r="K142" s="68">
        <v>1</v>
      </c>
      <c r="L142" s="68">
        <v>1</v>
      </c>
      <c r="M142" s="68">
        <v>0</v>
      </c>
      <c r="N142" s="68">
        <v>0</v>
      </c>
    </row>
    <row r="143" spans="1:14">
      <c r="A143" t="s">
        <v>444</v>
      </c>
      <c r="B143" t="s">
        <v>445</v>
      </c>
      <c r="C143" t="s">
        <v>538</v>
      </c>
      <c r="D143" t="s">
        <v>97</v>
      </c>
      <c r="E143" t="s">
        <v>584</v>
      </c>
      <c r="F143" t="s">
        <v>449</v>
      </c>
      <c r="G143" s="68">
        <v>1</v>
      </c>
      <c r="H143" s="68">
        <v>0</v>
      </c>
      <c r="I143" s="68">
        <v>0</v>
      </c>
      <c r="J143" s="68">
        <v>1</v>
      </c>
      <c r="K143" s="68">
        <v>1</v>
      </c>
      <c r="L143" s="68">
        <v>1</v>
      </c>
      <c r="M143" s="68">
        <v>1</v>
      </c>
      <c r="N143" s="68">
        <v>1</v>
      </c>
    </row>
    <row r="144" spans="1:14">
      <c r="A144" t="s">
        <v>444</v>
      </c>
      <c r="B144" t="s">
        <v>445</v>
      </c>
      <c r="C144" t="s">
        <v>538</v>
      </c>
      <c r="D144" t="s">
        <v>96</v>
      </c>
      <c r="E144" t="s">
        <v>585</v>
      </c>
      <c r="F144" t="s">
        <v>447</v>
      </c>
      <c r="G144" s="68">
        <v>0</v>
      </c>
      <c r="H144" s="68">
        <v>4</v>
      </c>
      <c r="I144" s="68">
        <v>6</v>
      </c>
      <c r="J144" s="68">
        <v>4</v>
      </c>
      <c r="K144" s="68">
        <v>3</v>
      </c>
      <c r="L144" s="68">
        <v>1</v>
      </c>
      <c r="M144" s="68">
        <v>4</v>
      </c>
      <c r="N144" s="68">
        <v>1</v>
      </c>
    </row>
    <row r="145" spans="1:14">
      <c r="A145" t="s">
        <v>444</v>
      </c>
      <c r="B145" t="s">
        <v>445</v>
      </c>
      <c r="C145" t="s">
        <v>538</v>
      </c>
      <c r="D145" t="s">
        <v>96</v>
      </c>
      <c r="E145" t="s">
        <v>586</v>
      </c>
      <c r="F145" t="s">
        <v>447</v>
      </c>
      <c r="G145" s="68">
        <v>1</v>
      </c>
      <c r="H145" s="68">
        <v>5</v>
      </c>
      <c r="I145" s="68">
        <v>7</v>
      </c>
      <c r="J145" s="68">
        <v>3</v>
      </c>
      <c r="K145" s="68">
        <v>3</v>
      </c>
      <c r="L145" s="68">
        <v>5</v>
      </c>
      <c r="M145" s="68">
        <v>8</v>
      </c>
      <c r="N145" s="68">
        <v>3</v>
      </c>
    </row>
    <row r="146" spans="1:14">
      <c r="A146" t="s">
        <v>444</v>
      </c>
      <c r="B146" t="s">
        <v>445</v>
      </c>
      <c r="C146" t="s">
        <v>538</v>
      </c>
      <c r="D146" t="s">
        <v>96</v>
      </c>
      <c r="E146" t="s">
        <v>587</v>
      </c>
      <c r="F146" t="s">
        <v>447</v>
      </c>
      <c r="G146" s="68">
        <v>0</v>
      </c>
      <c r="H146" s="68">
        <v>0</v>
      </c>
      <c r="I146" s="68">
        <v>0</v>
      </c>
      <c r="J146" s="68">
        <v>1</v>
      </c>
      <c r="K146" s="68">
        <v>0</v>
      </c>
      <c r="L146" s="68">
        <v>0</v>
      </c>
      <c r="M146" s="68">
        <v>0</v>
      </c>
      <c r="N146" s="68">
        <v>0</v>
      </c>
    </row>
    <row r="147" spans="1:14">
      <c r="A147" t="s">
        <v>444</v>
      </c>
      <c r="B147" t="s">
        <v>445</v>
      </c>
      <c r="C147" t="s">
        <v>538</v>
      </c>
      <c r="D147" t="s">
        <v>96</v>
      </c>
      <c r="E147" t="s">
        <v>588</v>
      </c>
      <c r="F147" t="s">
        <v>447</v>
      </c>
      <c r="G147" s="68">
        <v>0</v>
      </c>
      <c r="H147" s="68">
        <v>0</v>
      </c>
      <c r="I147" s="68">
        <v>1</v>
      </c>
      <c r="J147" s="68">
        <v>0</v>
      </c>
      <c r="K147" s="68">
        <v>0</v>
      </c>
      <c r="L147" s="68">
        <v>0</v>
      </c>
      <c r="M147" s="68">
        <v>0</v>
      </c>
      <c r="N147" s="68">
        <v>0</v>
      </c>
    </row>
    <row r="148" spans="1:14">
      <c r="A148" t="s">
        <v>444</v>
      </c>
      <c r="B148" t="s">
        <v>445</v>
      </c>
      <c r="C148" t="s">
        <v>538</v>
      </c>
      <c r="D148" t="s">
        <v>96</v>
      </c>
      <c r="E148" t="s">
        <v>589</v>
      </c>
      <c r="F148" t="s">
        <v>447</v>
      </c>
      <c r="G148" s="68">
        <v>1</v>
      </c>
      <c r="H148" s="68">
        <v>1</v>
      </c>
      <c r="I148" s="68">
        <v>0</v>
      </c>
      <c r="J148" s="68">
        <v>2</v>
      </c>
      <c r="K148" s="68">
        <v>0</v>
      </c>
      <c r="L148" s="68">
        <v>2</v>
      </c>
      <c r="M148" s="68">
        <v>0</v>
      </c>
      <c r="N148" s="68">
        <v>2</v>
      </c>
    </row>
    <row r="149" spans="1:14">
      <c r="A149" t="s">
        <v>444</v>
      </c>
      <c r="B149" t="s">
        <v>445</v>
      </c>
      <c r="C149" t="s">
        <v>538</v>
      </c>
      <c r="D149" t="s">
        <v>95</v>
      </c>
      <c r="E149" t="s">
        <v>590</v>
      </c>
      <c r="F149" t="s">
        <v>536</v>
      </c>
      <c r="G149" s="68">
        <v>1</v>
      </c>
      <c r="H149" s="68">
        <v>0</v>
      </c>
      <c r="I149" s="68">
        <v>0</v>
      </c>
      <c r="J149" s="68">
        <v>0</v>
      </c>
      <c r="K149" s="68">
        <v>0</v>
      </c>
      <c r="L149" s="68">
        <v>0</v>
      </c>
      <c r="M149" s="68">
        <v>0</v>
      </c>
      <c r="N149" s="68">
        <v>0</v>
      </c>
    </row>
    <row r="150" spans="1:14">
      <c r="A150" t="s">
        <v>444</v>
      </c>
      <c r="B150" t="s">
        <v>445</v>
      </c>
      <c r="C150" t="s">
        <v>538</v>
      </c>
      <c r="D150" t="s">
        <v>36</v>
      </c>
      <c r="E150" t="s">
        <v>591</v>
      </c>
      <c r="F150" t="s">
        <v>452</v>
      </c>
      <c r="G150" s="68">
        <v>0</v>
      </c>
      <c r="H150" s="68">
        <v>0</v>
      </c>
      <c r="I150" s="68">
        <v>1</v>
      </c>
      <c r="J150" s="68">
        <v>0</v>
      </c>
      <c r="K150" s="68">
        <v>1</v>
      </c>
      <c r="L150" s="68">
        <v>0</v>
      </c>
      <c r="M150" s="68">
        <v>0</v>
      </c>
      <c r="N150" s="68">
        <v>0</v>
      </c>
    </row>
    <row r="151" spans="1:14">
      <c r="A151" t="s">
        <v>444</v>
      </c>
      <c r="B151" t="s">
        <v>445</v>
      </c>
      <c r="C151" t="s">
        <v>538</v>
      </c>
      <c r="D151" t="s">
        <v>36</v>
      </c>
      <c r="E151" t="s">
        <v>592</v>
      </c>
      <c r="F151" t="s">
        <v>452</v>
      </c>
      <c r="G151" s="68">
        <v>55</v>
      </c>
      <c r="H151" s="68">
        <v>119</v>
      </c>
      <c r="I151" s="68">
        <v>144</v>
      </c>
      <c r="J151" s="68">
        <v>123</v>
      </c>
      <c r="K151" s="68">
        <v>85</v>
      </c>
      <c r="L151" s="68">
        <v>117</v>
      </c>
      <c r="M151" s="68">
        <v>164</v>
      </c>
      <c r="N151" s="68">
        <v>132</v>
      </c>
    </row>
    <row r="152" spans="1:14">
      <c r="A152" t="s">
        <v>444</v>
      </c>
      <c r="B152" t="s">
        <v>445</v>
      </c>
      <c r="C152" t="s">
        <v>538</v>
      </c>
      <c r="D152" t="s">
        <v>36</v>
      </c>
      <c r="E152" t="s">
        <v>593</v>
      </c>
      <c r="F152" t="s">
        <v>452</v>
      </c>
      <c r="G152" s="68">
        <v>7</v>
      </c>
      <c r="H152" s="68">
        <v>14</v>
      </c>
      <c r="I152" s="68">
        <v>18</v>
      </c>
      <c r="J152" s="68">
        <v>9</v>
      </c>
      <c r="K152" s="68">
        <v>8</v>
      </c>
      <c r="L152" s="68">
        <v>9</v>
      </c>
      <c r="M152" s="68">
        <v>12</v>
      </c>
      <c r="N152" s="68">
        <v>2</v>
      </c>
    </row>
    <row r="153" spans="1:14">
      <c r="A153" t="s">
        <v>444</v>
      </c>
      <c r="B153" t="s">
        <v>445</v>
      </c>
      <c r="C153" t="s">
        <v>538</v>
      </c>
      <c r="D153" t="s">
        <v>36</v>
      </c>
      <c r="E153" t="s">
        <v>594</v>
      </c>
      <c r="F153" t="s">
        <v>472</v>
      </c>
      <c r="G153" s="68">
        <v>1</v>
      </c>
      <c r="H153" s="68">
        <v>0</v>
      </c>
      <c r="I153" s="68">
        <v>0</v>
      </c>
      <c r="J153" s="68">
        <v>0</v>
      </c>
      <c r="K153" s="68">
        <v>0</v>
      </c>
      <c r="L153" s="68">
        <v>0</v>
      </c>
      <c r="M153" s="68">
        <v>0</v>
      </c>
      <c r="N153" s="68">
        <v>0</v>
      </c>
    </row>
    <row r="154" spans="1:14">
      <c r="A154" t="s">
        <v>444</v>
      </c>
      <c r="B154" t="s">
        <v>445</v>
      </c>
      <c r="C154" t="s">
        <v>538</v>
      </c>
      <c r="D154" t="s">
        <v>36</v>
      </c>
      <c r="E154" t="s">
        <v>595</v>
      </c>
      <c r="F154" t="s">
        <v>452</v>
      </c>
      <c r="G154" s="68">
        <v>0</v>
      </c>
      <c r="H154" s="68">
        <v>1</v>
      </c>
      <c r="I154" s="68">
        <v>1</v>
      </c>
      <c r="J154" s="68">
        <v>0</v>
      </c>
      <c r="K154" s="68">
        <v>0</v>
      </c>
      <c r="L154" s="68">
        <v>0</v>
      </c>
      <c r="M154" s="68">
        <v>0</v>
      </c>
      <c r="N154" s="68">
        <v>0</v>
      </c>
    </row>
    <row r="155" spans="1:14">
      <c r="A155" t="s">
        <v>444</v>
      </c>
      <c r="B155" t="s">
        <v>445</v>
      </c>
      <c r="C155" t="s">
        <v>538</v>
      </c>
      <c r="D155" t="s">
        <v>36</v>
      </c>
      <c r="E155" t="s">
        <v>596</v>
      </c>
      <c r="F155" t="s">
        <v>472</v>
      </c>
      <c r="G155" s="68">
        <v>2</v>
      </c>
      <c r="H155" s="68">
        <v>0</v>
      </c>
      <c r="I155" s="68">
        <v>1</v>
      </c>
      <c r="J155" s="68">
        <v>0</v>
      </c>
      <c r="K155" s="68">
        <v>1</v>
      </c>
      <c r="L155" s="68">
        <v>0</v>
      </c>
      <c r="M155" s="68">
        <v>0</v>
      </c>
      <c r="N155" s="68">
        <v>1</v>
      </c>
    </row>
    <row r="156" spans="1:14">
      <c r="A156" t="s">
        <v>444</v>
      </c>
      <c r="B156" t="s">
        <v>445</v>
      </c>
      <c r="C156" t="s">
        <v>538</v>
      </c>
      <c r="D156" t="s">
        <v>36</v>
      </c>
      <c r="E156" t="s">
        <v>597</v>
      </c>
      <c r="F156" t="s">
        <v>472</v>
      </c>
      <c r="G156" s="68">
        <v>1</v>
      </c>
      <c r="H156" s="68">
        <v>0</v>
      </c>
      <c r="I156" s="68">
        <v>0</v>
      </c>
      <c r="J156" s="68">
        <v>3</v>
      </c>
      <c r="K156" s="68">
        <v>5</v>
      </c>
      <c r="L156" s="68">
        <v>1</v>
      </c>
      <c r="M156" s="68">
        <v>1</v>
      </c>
      <c r="N156" s="68">
        <v>1</v>
      </c>
    </row>
    <row r="157" spans="1:14">
      <c r="A157" t="s">
        <v>444</v>
      </c>
      <c r="B157" t="s">
        <v>445</v>
      </c>
      <c r="C157" t="s">
        <v>538</v>
      </c>
      <c r="D157" t="s">
        <v>36</v>
      </c>
      <c r="E157" t="s">
        <v>598</v>
      </c>
      <c r="F157" t="s">
        <v>472</v>
      </c>
      <c r="G157" s="68">
        <v>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1</v>
      </c>
      <c r="N157" s="68">
        <v>1</v>
      </c>
    </row>
    <row r="158" spans="1:14">
      <c r="A158" t="s">
        <v>444</v>
      </c>
      <c r="B158" t="s">
        <v>445</v>
      </c>
      <c r="C158" t="s">
        <v>538</v>
      </c>
      <c r="D158" t="s">
        <v>35</v>
      </c>
      <c r="E158" t="s">
        <v>599</v>
      </c>
      <c r="F158" t="s">
        <v>452</v>
      </c>
      <c r="G158" s="68">
        <v>2</v>
      </c>
      <c r="H158" s="68">
        <v>2</v>
      </c>
      <c r="I158" s="68">
        <v>2</v>
      </c>
      <c r="J158" s="68">
        <v>1</v>
      </c>
      <c r="K158" s="68">
        <v>2</v>
      </c>
      <c r="L158" s="68">
        <v>1</v>
      </c>
      <c r="M158" s="68">
        <v>2</v>
      </c>
      <c r="N158" s="68">
        <v>0</v>
      </c>
    </row>
    <row r="159" spans="1:14">
      <c r="A159" t="s">
        <v>444</v>
      </c>
      <c r="B159" t="s">
        <v>445</v>
      </c>
      <c r="C159" t="s">
        <v>538</v>
      </c>
      <c r="D159" t="s">
        <v>35</v>
      </c>
      <c r="E159" t="s">
        <v>600</v>
      </c>
      <c r="F159" t="s">
        <v>452</v>
      </c>
      <c r="G159" s="68">
        <v>36</v>
      </c>
      <c r="H159" s="68">
        <v>75</v>
      </c>
      <c r="I159" s="68">
        <v>92</v>
      </c>
      <c r="J159" s="68">
        <v>80</v>
      </c>
      <c r="K159" s="68">
        <v>51</v>
      </c>
      <c r="L159" s="68">
        <v>72</v>
      </c>
      <c r="M159" s="68">
        <v>87</v>
      </c>
      <c r="N159" s="68">
        <v>77</v>
      </c>
    </row>
    <row r="160" spans="1:14">
      <c r="A160" t="s">
        <v>444</v>
      </c>
      <c r="B160" t="s">
        <v>445</v>
      </c>
      <c r="C160" t="s">
        <v>538</v>
      </c>
      <c r="D160" t="s">
        <v>35</v>
      </c>
      <c r="E160" t="s">
        <v>601</v>
      </c>
      <c r="F160" t="s">
        <v>452</v>
      </c>
      <c r="G160" s="68">
        <v>7</v>
      </c>
      <c r="H160" s="68">
        <v>14</v>
      </c>
      <c r="I160" s="68">
        <v>6</v>
      </c>
      <c r="J160" s="68">
        <v>5</v>
      </c>
      <c r="K160" s="68">
        <v>5</v>
      </c>
      <c r="L160" s="68">
        <v>3</v>
      </c>
      <c r="M160" s="68">
        <v>8</v>
      </c>
      <c r="N160" s="68">
        <v>7</v>
      </c>
    </row>
    <row r="161" spans="1:14">
      <c r="A161" t="s">
        <v>444</v>
      </c>
      <c r="B161" t="s">
        <v>445</v>
      </c>
      <c r="C161" t="s">
        <v>538</v>
      </c>
      <c r="D161" t="s">
        <v>35</v>
      </c>
      <c r="E161" t="s">
        <v>602</v>
      </c>
      <c r="F161" t="s">
        <v>452</v>
      </c>
      <c r="G161" s="68">
        <v>5</v>
      </c>
      <c r="H161" s="68">
        <v>10</v>
      </c>
      <c r="I161" s="68">
        <v>9</v>
      </c>
      <c r="J161" s="68">
        <v>4</v>
      </c>
      <c r="K161" s="68">
        <v>7</v>
      </c>
      <c r="L161" s="68">
        <v>10</v>
      </c>
      <c r="M161" s="68">
        <v>10</v>
      </c>
      <c r="N161" s="68">
        <v>11</v>
      </c>
    </row>
    <row r="162" spans="1:14">
      <c r="A162" t="s">
        <v>444</v>
      </c>
      <c r="B162" t="s">
        <v>445</v>
      </c>
      <c r="C162" t="s">
        <v>538</v>
      </c>
      <c r="D162" t="s">
        <v>35</v>
      </c>
      <c r="E162" t="s">
        <v>603</v>
      </c>
      <c r="F162" t="s">
        <v>452</v>
      </c>
      <c r="G162" s="68">
        <v>0</v>
      </c>
      <c r="H162" s="68">
        <v>1</v>
      </c>
      <c r="I162" s="68">
        <v>0</v>
      </c>
      <c r="J162" s="68">
        <v>0</v>
      </c>
      <c r="K162" s="68">
        <v>0</v>
      </c>
      <c r="L162" s="68">
        <v>0</v>
      </c>
      <c r="M162" s="68">
        <v>0</v>
      </c>
      <c r="N162" s="68">
        <v>0</v>
      </c>
    </row>
    <row r="163" spans="1:14">
      <c r="A163" t="s">
        <v>444</v>
      </c>
      <c r="B163" t="s">
        <v>445</v>
      </c>
      <c r="C163" t="s">
        <v>538</v>
      </c>
      <c r="D163" t="s">
        <v>35</v>
      </c>
      <c r="E163" t="s">
        <v>604</v>
      </c>
      <c r="F163" t="s">
        <v>452</v>
      </c>
      <c r="G163" s="68">
        <v>0</v>
      </c>
      <c r="H163" s="68">
        <v>1</v>
      </c>
      <c r="I163" s="68">
        <v>0</v>
      </c>
      <c r="J163" s="68">
        <v>0</v>
      </c>
      <c r="K163" s="68">
        <v>0</v>
      </c>
      <c r="L163" s="68">
        <v>0</v>
      </c>
      <c r="M163" s="68">
        <v>0</v>
      </c>
      <c r="N163" s="68">
        <v>0</v>
      </c>
    </row>
    <row r="164" spans="1:14">
      <c r="A164" t="s">
        <v>444</v>
      </c>
      <c r="B164" t="s">
        <v>445</v>
      </c>
      <c r="C164" t="s">
        <v>538</v>
      </c>
      <c r="D164" t="s">
        <v>34</v>
      </c>
      <c r="E164" t="s">
        <v>599</v>
      </c>
      <c r="F164" t="s">
        <v>452</v>
      </c>
      <c r="G164" s="68">
        <v>9</v>
      </c>
      <c r="H164" s="68">
        <v>18</v>
      </c>
      <c r="I164" s="68">
        <v>13</v>
      </c>
      <c r="J164" s="68">
        <v>22</v>
      </c>
      <c r="K164" s="68">
        <v>16</v>
      </c>
      <c r="L164" s="68">
        <v>11</v>
      </c>
      <c r="M164" s="68">
        <v>15</v>
      </c>
      <c r="N164" s="68">
        <v>14</v>
      </c>
    </row>
    <row r="165" spans="1:14">
      <c r="A165" t="s">
        <v>444</v>
      </c>
      <c r="B165" t="s">
        <v>445</v>
      </c>
      <c r="C165" t="s">
        <v>538</v>
      </c>
      <c r="D165" t="s">
        <v>34</v>
      </c>
      <c r="E165" t="s">
        <v>605</v>
      </c>
      <c r="F165" t="s">
        <v>452</v>
      </c>
      <c r="G165" s="68">
        <v>1</v>
      </c>
      <c r="H165" s="68">
        <v>1</v>
      </c>
      <c r="I165" s="68">
        <v>0</v>
      </c>
      <c r="J165" s="68">
        <v>0</v>
      </c>
      <c r="K165" s="68">
        <v>0</v>
      </c>
      <c r="L165" s="68">
        <v>0</v>
      </c>
      <c r="M165" s="68">
        <v>0</v>
      </c>
      <c r="N165" s="68">
        <v>0</v>
      </c>
    </row>
    <row r="166" spans="1:14">
      <c r="A166" t="s">
        <v>444</v>
      </c>
      <c r="B166" t="s">
        <v>445</v>
      </c>
      <c r="C166" t="s">
        <v>538</v>
      </c>
      <c r="D166" t="s">
        <v>33</v>
      </c>
      <c r="E166" t="s">
        <v>606</v>
      </c>
      <c r="F166" t="s">
        <v>452</v>
      </c>
      <c r="G166" s="68">
        <v>15</v>
      </c>
      <c r="H166" s="68">
        <v>27</v>
      </c>
      <c r="I166" s="68">
        <v>21</v>
      </c>
      <c r="J166" s="68">
        <v>21</v>
      </c>
      <c r="K166" s="68">
        <v>11</v>
      </c>
      <c r="L166" s="68">
        <v>11</v>
      </c>
      <c r="M166" s="68">
        <v>22</v>
      </c>
      <c r="N166" s="68">
        <v>20</v>
      </c>
    </row>
    <row r="167" spans="1:14">
      <c r="A167" t="s">
        <v>444</v>
      </c>
      <c r="B167" t="s">
        <v>445</v>
      </c>
      <c r="C167" t="s">
        <v>538</v>
      </c>
      <c r="D167" t="s">
        <v>33</v>
      </c>
      <c r="E167" t="s">
        <v>607</v>
      </c>
      <c r="F167" t="s">
        <v>452</v>
      </c>
      <c r="G167" s="68">
        <v>10</v>
      </c>
      <c r="H167" s="68">
        <v>13</v>
      </c>
      <c r="I167" s="68">
        <v>18</v>
      </c>
      <c r="J167" s="68">
        <v>15</v>
      </c>
      <c r="K167" s="68">
        <v>11</v>
      </c>
      <c r="L167" s="68">
        <v>16</v>
      </c>
      <c r="M167" s="68">
        <v>23</v>
      </c>
      <c r="N167" s="68">
        <v>18</v>
      </c>
    </row>
    <row r="168" spans="1:14">
      <c r="A168" t="s">
        <v>444</v>
      </c>
      <c r="B168" t="s">
        <v>445</v>
      </c>
      <c r="C168" t="s">
        <v>538</v>
      </c>
      <c r="D168" t="s">
        <v>33</v>
      </c>
      <c r="E168" t="s">
        <v>608</v>
      </c>
      <c r="F168" t="s">
        <v>452</v>
      </c>
      <c r="G168" s="68">
        <v>0</v>
      </c>
      <c r="H168" s="68">
        <v>1</v>
      </c>
      <c r="I168" s="68">
        <v>0</v>
      </c>
      <c r="J168" s="68">
        <v>0</v>
      </c>
      <c r="K168" s="68">
        <v>0</v>
      </c>
      <c r="L168" s="68">
        <v>0</v>
      </c>
      <c r="M168" s="68">
        <v>0</v>
      </c>
      <c r="N168" s="68">
        <v>0</v>
      </c>
    </row>
    <row r="169" spans="1:14">
      <c r="A169" t="s">
        <v>444</v>
      </c>
      <c r="B169" t="s">
        <v>445</v>
      </c>
      <c r="C169" t="s">
        <v>538</v>
      </c>
      <c r="D169" t="s">
        <v>32</v>
      </c>
      <c r="E169" t="s">
        <v>609</v>
      </c>
      <c r="F169" t="s">
        <v>452</v>
      </c>
      <c r="G169" s="68">
        <v>13</v>
      </c>
      <c r="H169" s="68">
        <v>11</v>
      </c>
      <c r="I169" s="68">
        <v>11</v>
      </c>
      <c r="J169" s="68">
        <v>16</v>
      </c>
      <c r="K169" s="68">
        <v>9</v>
      </c>
      <c r="L169" s="68">
        <v>15</v>
      </c>
      <c r="M169" s="68">
        <v>10</v>
      </c>
      <c r="N169" s="68">
        <v>9</v>
      </c>
    </row>
    <row r="170" spans="1:14">
      <c r="A170" t="s">
        <v>444</v>
      </c>
      <c r="B170" t="s">
        <v>445</v>
      </c>
      <c r="C170" t="s">
        <v>538</v>
      </c>
      <c r="D170" t="s">
        <v>32</v>
      </c>
      <c r="E170" t="s">
        <v>610</v>
      </c>
      <c r="F170" t="s">
        <v>452</v>
      </c>
      <c r="G170" s="68">
        <v>0</v>
      </c>
      <c r="H170" s="68">
        <v>0</v>
      </c>
      <c r="I170" s="68">
        <v>0</v>
      </c>
      <c r="J170" s="68">
        <v>0</v>
      </c>
      <c r="K170" s="68">
        <v>1</v>
      </c>
      <c r="L170" s="68">
        <v>0</v>
      </c>
      <c r="M170" s="68">
        <v>0</v>
      </c>
      <c r="N170" s="68">
        <v>0</v>
      </c>
    </row>
    <row r="171" spans="1:14">
      <c r="A171" t="s">
        <v>444</v>
      </c>
      <c r="B171" t="s">
        <v>445</v>
      </c>
      <c r="C171" t="s">
        <v>538</v>
      </c>
      <c r="D171" t="s">
        <v>31</v>
      </c>
      <c r="E171" t="s">
        <v>611</v>
      </c>
      <c r="F171" t="s">
        <v>452</v>
      </c>
      <c r="G171" s="68">
        <v>9</v>
      </c>
      <c r="H171" s="68">
        <v>8</v>
      </c>
      <c r="I171" s="68">
        <v>12</v>
      </c>
      <c r="J171" s="68">
        <v>10</v>
      </c>
      <c r="K171" s="68">
        <v>9</v>
      </c>
      <c r="L171" s="68">
        <v>7</v>
      </c>
      <c r="M171" s="68">
        <v>9</v>
      </c>
      <c r="N171" s="68">
        <v>6</v>
      </c>
    </row>
    <row r="172" spans="1:14">
      <c r="A172" t="s">
        <v>444</v>
      </c>
      <c r="B172" t="s">
        <v>445</v>
      </c>
      <c r="C172" t="s">
        <v>538</v>
      </c>
      <c r="D172" t="s">
        <v>23</v>
      </c>
      <c r="E172" t="s">
        <v>454</v>
      </c>
      <c r="F172" t="s">
        <v>452</v>
      </c>
      <c r="G172" s="68">
        <v>0</v>
      </c>
      <c r="H172" s="68">
        <v>0</v>
      </c>
      <c r="I172" s="68">
        <v>1</v>
      </c>
      <c r="J172" s="68">
        <v>0</v>
      </c>
      <c r="K172" s="68">
        <v>0</v>
      </c>
      <c r="L172" s="68">
        <v>0</v>
      </c>
      <c r="M172" s="68">
        <v>0</v>
      </c>
      <c r="N172" s="68">
        <v>0</v>
      </c>
    </row>
    <row r="173" spans="1:14">
      <c r="A173" t="s">
        <v>444</v>
      </c>
      <c r="B173" t="s">
        <v>445</v>
      </c>
      <c r="C173" t="s">
        <v>538</v>
      </c>
      <c r="D173" t="s">
        <v>23</v>
      </c>
      <c r="E173" t="s">
        <v>612</v>
      </c>
      <c r="F173" t="s">
        <v>452</v>
      </c>
      <c r="G173" s="68">
        <v>1</v>
      </c>
      <c r="H173" s="68">
        <v>3</v>
      </c>
      <c r="I173" s="68">
        <v>6</v>
      </c>
      <c r="J173" s="68">
        <v>9</v>
      </c>
      <c r="K173" s="68">
        <v>9</v>
      </c>
      <c r="L173" s="68">
        <v>3</v>
      </c>
      <c r="M173" s="68">
        <v>3</v>
      </c>
      <c r="N173" s="68">
        <v>7</v>
      </c>
    </row>
    <row r="174" spans="1:14">
      <c r="A174" t="s">
        <v>444</v>
      </c>
      <c r="B174" t="s">
        <v>445</v>
      </c>
      <c r="C174" t="s">
        <v>538</v>
      </c>
      <c r="D174" t="s">
        <v>14</v>
      </c>
      <c r="E174" t="s">
        <v>613</v>
      </c>
      <c r="F174" t="s">
        <v>536</v>
      </c>
      <c r="G174" s="68">
        <v>1</v>
      </c>
      <c r="H174" s="68">
        <v>0</v>
      </c>
      <c r="I174" s="68">
        <v>2</v>
      </c>
      <c r="J174" s="68">
        <v>2</v>
      </c>
      <c r="K174" s="68">
        <v>2</v>
      </c>
      <c r="L174" s="68">
        <v>5</v>
      </c>
      <c r="M174" s="68">
        <v>1</v>
      </c>
      <c r="N174" s="68">
        <v>0</v>
      </c>
    </row>
    <row r="175" spans="1:14">
      <c r="A175" t="s">
        <v>444</v>
      </c>
      <c r="B175" t="s">
        <v>445</v>
      </c>
      <c r="C175" t="s">
        <v>538</v>
      </c>
      <c r="D175" t="s">
        <v>14</v>
      </c>
      <c r="E175" t="s">
        <v>614</v>
      </c>
      <c r="F175" t="s">
        <v>536</v>
      </c>
      <c r="G175" s="68">
        <v>1</v>
      </c>
      <c r="H175" s="68">
        <v>2</v>
      </c>
      <c r="I175" s="68">
        <v>1</v>
      </c>
      <c r="J175" s="68">
        <v>3</v>
      </c>
      <c r="K175" s="68">
        <v>1</v>
      </c>
      <c r="L175" s="68">
        <v>3</v>
      </c>
      <c r="M175" s="68">
        <v>4</v>
      </c>
      <c r="N175" s="68">
        <v>1</v>
      </c>
    </row>
    <row r="176" spans="1:14">
      <c r="A176" t="s">
        <v>444</v>
      </c>
      <c r="B176" t="s">
        <v>445</v>
      </c>
      <c r="C176" t="s">
        <v>615</v>
      </c>
      <c r="D176" t="s">
        <v>393</v>
      </c>
      <c r="E176" t="s">
        <v>616</v>
      </c>
      <c r="F176" t="s">
        <v>449</v>
      </c>
      <c r="G176" s="68">
        <v>0</v>
      </c>
      <c r="H176" s="68">
        <v>0</v>
      </c>
      <c r="I176" s="68">
        <v>0</v>
      </c>
      <c r="J176" s="68">
        <v>0</v>
      </c>
      <c r="K176" s="68">
        <v>0</v>
      </c>
      <c r="L176" s="68">
        <v>0</v>
      </c>
      <c r="M176" s="68">
        <v>18</v>
      </c>
      <c r="N176" s="68">
        <v>45</v>
      </c>
    </row>
    <row r="177" spans="1:14">
      <c r="A177" t="s">
        <v>444</v>
      </c>
      <c r="B177" t="s">
        <v>445</v>
      </c>
      <c r="C177" t="s">
        <v>615</v>
      </c>
      <c r="D177" t="s">
        <v>393</v>
      </c>
      <c r="E177" t="s">
        <v>617</v>
      </c>
      <c r="F177" t="s">
        <v>449</v>
      </c>
      <c r="G177" s="68">
        <v>0</v>
      </c>
      <c r="H177" s="68">
        <v>0</v>
      </c>
      <c r="I177" s="68">
        <v>0</v>
      </c>
      <c r="J177" s="68">
        <v>0</v>
      </c>
      <c r="K177" s="68">
        <v>0</v>
      </c>
      <c r="L177" s="68">
        <v>133</v>
      </c>
      <c r="M177" s="68">
        <v>280</v>
      </c>
      <c r="N177" s="68">
        <v>265</v>
      </c>
    </row>
    <row r="178" spans="1:14">
      <c r="A178" t="s">
        <v>444</v>
      </c>
      <c r="B178" t="s">
        <v>445</v>
      </c>
      <c r="C178" t="s">
        <v>615</v>
      </c>
      <c r="D178" t="s">
        <v>392</v>
      </c>
      <c r="E178" t="s">
        <v>618</v>
      </c>
      <c r="F178" t="s">
        <v>452</v>
      </c>
      <c r="G178" s="68">
        <v>0</v>
      </c>
      <c r="H178" s="68">
        <v>0</v>
      </c>
      <c r="I178" s="68">
        <v>0</v>
      </c>
      <c r="J178" s="68">
        <v>0</v>
      </c>
      <c r="K178" s="68">
        <v>0</v>
      </c>
      <c r="L178" s="68">
        <v>39</v>
      </c>
      <c r="M178" s="68">
        <v>33</v>
      </c>
      <c r="N178" s="68">
        <v>17</v>
      </c>
    </row>
    <row r="179" spans="1:14">
      <c r="A179" t="s">
        <v>444</v>
      </c>
      <c r="B179" t="s">
        <v>445</v>
      </c>
      <c r="C179" t="s">
        <v>615</v>
      </c>
      <c r="D179" t="s">
        <v>392</v>
      </c>
      <c r="E179" t="s">
        <v>619</v>
      </c>
      <c r="F179" t="s">
        <v>452</v>
      </c>
      <c r="G179" s="68">
        <v>0</v>
      </c>
      <c r="H179" s="68">
        <v>0</v>
      </c>
      <c r="I179" s="68">
        <v>0</v>
      </c>
      <c r="J179" s="68">
        <v>0</v>
      </c>
      <c r="K179" s="68">
        <v>1</v>
      </c>
      <c r="L179" s="68">
        <v>229</v>
      </c>
      <c r="M179" s="68">
        <v>379</v>
      </c>
      <c r="N179" s="68">
        <v>341</v>
      </c>
    </row>
    <row r="180" spans="1:14">
      <c r="A180" t="s">
        <v>444</v>
      </c>
      <c r="B180" t="s">
        <v>445</v>
      </c>
      <c r="C180" t="s">
        <v>615</v>
      </c>
      <c r="D180" t="s">
        <v>391</v>
      </c>
      <c r="E180" t="s">
        <v>454</v>
      </c>
      <c r="F180" t="s">
        <v>452</v>
      </c>
      <c r="G180" s="68">
        <v>4</v>
      </c>
      <c r="H180" s="68">
        <v>2</v>
      </c>
      <c r="I180" s="68">
        <v>0</v>
      </c>
      <c r="J180" s="68">
        <v>0</v>
      </c>
      <c r="K180" s="68">
        <v>0</v>
      </c>
      <c r="L180" s="68">
        <v>1</v>
      </c>
      <c r="M180" s="68">
        <v>0</v>
      </c>
      <c r="N180" s="68">
        <v>0</v>
      </c>
    </row>
    <row r="181" spans="1:14">
      <c r="A181" t="s">
        <v>444</v>
      </c>
      <c r="B181" t="s">
        <v>445</v>
      </c>
      <c r="C181" t="s">
        <v>615</v>
      </c>
      <c r="D181" t="s">
        <v>391</v>
      </c>
      <c r="E181" t="s">
        <v>620</v>
      </c>
      <c r="F181" t="s">
        <v>452</v>
      </c>
      <c r="G181" s="68">
        <v>0</v>
      </c>
      <c r="H181" s="68">
        <v>1</v>
      </c>
      <c r="I181" s="68">
        <v>0</v>
      </c>
      <c r="J181" s="68">
        <v>0</v>
      </c>
      <c r="K181" s="68">
        <v>0</v>
      </c>
      <c r="L181" s="68">
        <v>0</v>
      </c>
      <c r="M181" s="68">
        <v>0</v>
      </c>
      <c r="N181" s="68">
        <v>0</v>
      </c>
    </row>
    <row r="182" spans="1:14">
      <c r="A182" t="s">
        <v>444</v>
      </c>
      <c r="B182" t="s">
        <v>445</v>
      </c>
      <c r="C182" t="s">
        <v>615</v>
      </c>
      <c r="D182" t="s">
        <v>391</v>
      </c>
      <c r="E182" t="s">
        <v>621</v>
      </c>
      <c r="F182" t="s">
        <v>452</v>
      </c>
      <c r="G182" s="68">
        <v>640</v>
      </c>
      <c r="H182" s="68">
        <v>0</v>
      </c>
      <c r="I182" s="68">
        <v>0</v>
      </c>
      <c r="J182" s="68">
        <v>0</v>
      </c>
      <c r="K182" s="68">
        <v>0</v>
      </c>
      <c r="L182" s="68">
        <v>0</v>
      </c>
      <c r="M182" s="68">
        <v>0</v>
      </c>
      <c r="N182" s="68">
        <v>0</v>
      </c>
    </row>
    <row r="183" spans="1:14">
      <c r="A183" t="s">
        <v>444</v>
      </c>
      <c r="B183" t="s">
        <v>445</v>
      </c>
      <c r="C183" t="s">
        <v>615</v>
      </c>
      <c r="D183" t="s">
        <v>391</v>
      </c>
      <c r="E183" t="s">
        <v>622</v>
      </c>
      <c r="F183" t="s">
        <v>452</v>
      </c>
      <c r="G183" s="68">
        <v>307</v>
      </c>
      <c r="H183" s="68">
        <v>1384</v>
      </c>
      <c r="I183" s="68">
        <v>1</v>
      </c>
      <c r="J183" s="68">
        <v>4</v>
      </c>
      <c r="K183" s="68">
        <v>4</v>
      </c>
      <c r="L183" s="68">
        <v>434</v>
      </c>
      <c r="M183" s="68">
        <v>814</v>
      </c>
      <c r="N183" s="68">
        <v>309</v>
      </c>
    </row>
    <row r="184" spans="1:14">
      <c r="A184" t="s">
        <v>444</v>
      </c>
      <c r="B184" t="s">
        <v>445</v>
      </c>
      <c r="C184" t="s">
        <v>615</v>
      </c>
      <c r="D184" t="s">
        <v>391</v>
      </c>
      <c r="E184" t="s">
        <v>623</v>
      </c>
      <c r="F184" t="s">
        <v>452</v>
      </c>
      <c r="G184" s="68">
        <v>0</v>
      </c>
      <c r="H184" s="68">
        <v>2691</v>
      </c>
      <c r="I184" s="68">
        <v>21</v>
      </c>
      <c r="J184" s="68">
        <v>278</v>
      </c>
      <c r="K184" s="68">
        <v>457</v>
      </c>
      <c r="L184" s="68">
        <v>933</v>
      </c>
      <c r="M184" s="68">
        <v>332</v>
      </c>
      <c r="N184" s="68">
        <v>293</v>
      </c>
    </row>
    <row r="185" spans="1:14">
      <c r="A185" t="s">
        <v>444</v>
      </c>
      <c r="B185" t="s">
        <v>445</v>
      </c>
      <c r="C185" t="s">
        <v>615</v>
      </c>
      <c r="D185" t="s">
        <v>391</v>
      </c>
      <c r="E185" t="s">
        <v>624</v>
      </c>
      <c r="F185" t="s">
        <v>452</v>
      </c>
      <c r="G185" s="68">
        <v>3</v>
      </c>
      <c r="H185" s="68">
        <v>0</v>
      </c>
      <c r="I185" s="68">
        <v>0</v>
      </c>
      <c r="J185" s="68">
        <v>0</v>
      </c>
      <c r="K185" s="68">
        <v>0</v>
      </c>
      <c r="L185" s="68">
        <v>0</v>
      </c>
      <c r="M185" s="68">
        <v>0</v>
      </c>
      <c r="N185" s="68">
        <v>0</v>
      </c>
    </row>
    <row r="186" spans="1:14">
      <c r="A186" t="s">
        <v>444</v>
      </c>
      <c r="B186" t="s">
        <v>445</v>
      </c>
      <c r="C186" t="s">
        <v>615</v>
      </c>
      <c r="D186" t="s">
        <v>330</v>
      </c>
      <c r="E186" t="s">
        <v>625</v>
      </c>
      <c r="F186" t="s">
        <v>449</v>
      </c>
      <c r="G186" s="68">
        <v>764</v>
      </c>
      <c r="H186" s="68">
        <v>5061</v>
      </c>
      <c r="I186" s="68">
        <v>13</v>
      </c>
      <c r="J186" s="68">
        <v>101</v>
      </c>
      <c r="K186" s="68">
        <v>343</v>
      </c>
      <c r="L186" s="68">
        <v>762</v>
      </c>
      <c r="M186" s="68">
        <v>538</v>
      </c>
      <c r="N186" s="68">
        <v>338</v>
      </c>
    </row>
    <row r="187" spans="1:14">
      <c r="A187" t="s">
        <v>444</v>
      </c>
      <c r="B187" t="s">
        <v>445</v>
      </c>
      <c r="C187" t="s">
        <v>615</v>
      </c>
      <c r="D187" t="s">
        <v>330</v>
      </c>
      <c r="E187" t="s">
        <v>626</v>
      </c>
      <c r="F187" t="s">
        <v>449</v>
      </c>
      <c r="G187" s="68">
        <v>145</v>
      </c>
      <c r="H187" s="68">
        <v>831</v>
      </c>
      <c r="I187" s="68">
        <v>2</v>
      </c>
      <c r="J187" s="68">
        <v>42</v>
      </c>
      <c r="K187" s="68">
        <v>167</v>
      </c>
      <c r="L187" s="68">
        <v>517</v>
      </c>
      <c r="M187" s="68">
        <v>319</v>
      </c>
      <c r="N187" s="68">
        <v>195</v>
      </c>
    </row>
    <row r="188" spans="1:14">
      <c r="A188" t="s">
        <v>444</v>
      </c>
      <c r="B188" t="s">
        <v>445</v>
      </c>
      <c r="C188" t="s">
        <v>615</v>
      </c>
      <c r="D188" t="s">
        <v>324</v>
      </c>
      <c r="E188" t="s">
        <v>627</v>
      </c>
      <c r="F188" t="s">
        <v>628</v>
      </c>
      <c r="G188" s="68">
        <v>0</v>
      </c>
      <c r="H188" s="68">
        <v>85</v>
      </c>
      <c r="I188" s="68">
        <v>0</v>
      </c>
      <c r="J188" s="68">
        <v>0</v>
      </c>
      <c r="K188" s="68">
        <v>0</v>
      </c>
      <c r="L188" s="68">
        <v>0</v>
      </c>
      <c r="M188" s="68">
        <v>2</v>
      </c>
      <c r="N188" s="68">
        <v>1</v>
      </c>
    </row>
    <row r="189" spans="1:14">
      <c r="A189" t="s">
        <v>444</v>
      </c>
      <c r="B189" t="s">
        <v>445</v>
      </c>
      <c r="C189" t="s">
        <v>615</v>
      </c>
      <c r="D189" t="s">
        <v>200</v>
      </c>
      <c r="E189" t="s">
        <v>629</v>
      </c>
      <c r="F189" t="s">
        <v>630</v>
      </c>
      <c r="G189" s="68">
        <v>10</v>
      </c>
      <c r="H189" s="68">
        <v>41</v>
      </c>
      <c r="I189" s="68">
        <v>0</v>
      </c>
      <c r="J189" s="68">
        <v>2</v>
      </c>
      <c r="K189" s="68">
        <v>20</v>
      </c>
      <c r="L189" s="68">
        <v>48</v>
      </c>
      <c r="M189" s="68">
        <v>50</v>
      </c>
      <c r="N189" s="68">
        <v>3</v>
      </c>
    </row>
    <row r="190" spans="1:14">
      <c r="A190" t="s">
        <v>444</v>
      </c>
      <c r="B190" t="s">
        <v>445</v>
      </c>
      <c r="C190" t="s">
        <v>615</v>
      </c>
      <c r="D190" t="s">
        <v>200</v>
      </c>
      <c r="E190" t="s">
        <v>631</v>
      </c>
      <c r="F190" t="s">
        <v>630</v>
      </c>
      <c r="G190" s="68">
        <v>94</v>
      </c>
      <c r="H190" s="68">
        <v>281</v>
      </c>
      <c r="I190" s="68">
        <v>3</v>
      </c>
      <c r="J190" s="68">
        <v>17</v>
      </c>
      <c r="K190" s="68">
        <v>39</v>
      </c>
      <c r="L190" s="68">
        <v>60</v>
      </c>
      <c r="M190" s="68">
        <v>248</v>
      </c>
      <c r="N190" s="68">
        <v>130</v>
      </c>
    </row>
    <row r="191" spans="1:14">
      <c r="A191" t="s">
        <v>444</v>
      </c>
      <c r="B191" t="s">
        <v>445</v>
      </c>
      <c r="C191" t="s">
        <v>615</v>
      </c>
      <c r="D191" t="s">
        <v>109</v>
      </c>
      <c r="E191" t="s">
        <v>632</v>
      </c>
      <c r="F191" t="s">
        <v>447</v>
      </c>
      <c r="G191" s="68">
        <v>24</v>
      </c>
      <c r="H191" s="68">
        <v>40</v>
      </c>
      <c r="I191" s="68">
        <v>0</v>
      </c>
      <c r="J191" s="68">
        <v>0</v>
      </c>
      <c r="K191" s="68">
        <v>0</v>
      </c>
      <c r="L191" s="68">
        <v>0</v>
      </c>
      <c r="M191" s="68">
        <v>0</v>
      </c>
      <c r="N191" s="68">
        <v>0</v>
      </c>
    </row>
    <row r="192" spans="1:14">
      <c r="A192" t="s">
        <v>444</v>
      </c>
      <c r="B192" t="s">
        <v>445</v>
      </c>
      <c r="C192" t="s">
        <v>615</v>
      </c>
      <c r="D192" t="s">
        <v>109</v>
      </c>
      <c r="E192" t="s">
        <v>633</v>
      </c>
      <c r="F192" t="s">
        <v>447</v>
      </c>
      <c r="G192" s="68">
        <v>0</v>
      </c>
      <c r="H192" s="68">
        <v>585</v>
      </c>
      <c r="I192" s="68">
        <v>20</v>
      </c>
      <c r="J192" s="68">
        <v>77</v>
      </c>
      <c r="K192" s="68">
        <v>73</v>
      </c>
      <c r="L192" s="68">
        <v>76</v>
      </c>
      <c r="M192" s="68">
        <v>4</v>
      </c>
      <c r="N192" s="68">
        <v>0</v>
      </c>
    </row>
    <row r="193" spans="1:14">
      <c r="A193" t="s">
        <v>444</v>
      </c>
      <c r="B193" t="s">
        <v>445</v>
      </c>
      <c r="C193" t="s">
        <v>615</v>
      </c>
      <c r="D193" t="s">
        <v>109</v>
      </c>
      <c r="E193" t="s">
        <v>634</v>
      </c>
      <c r="F193" t="s">
        <v>447</v>
      </c>
      <c r="G193" s="68">
        <v>265</v>
      </c>
      <c r="H193" s="68">
        <v>0</v>
      </c>
      <c r="I193" s="68">
        <v>0</v>
      </c>
      <c r="J193" s="68">
        <v>0</v>
      </c>
      <c r="K193" s="68">
        <v>0</v>
      </c>
      <c r="L193" s="68">
        <v>0</v>
      </c>
      <c r="M193" s="68">
        <v>0</v>
      </c>
      <c r="N193" s="68">
        <v>0</v>
      </c>
    </row>
    <row r="194" spans="1:14">
      <c r="A194" t="s">
        <v>444</v>
      </c>
      <c r="B194" t="s">
        <v>445</v>
      </c>
      <c r="C194" t="s">
        <v>615</v>
      </c>
      <c r="D194" t="s">
        <v>108</v>
      </c>
      <c r="E194" t="s">
        <v>635</v>
      </c>
      <c r="F194" t="s">
        <v>447</v>
      </c>
      <c r="G194" s="68">
        <v>0</v>
      </c>
      <c r="H194" s="68">
        <v>0</v>
      </c>
      <c r="I194" s="68">
        <v>0</v>
      </c>
      <c r="J194" s="68">
        <v>0</v>
      </c>
      <c r="K194" s="68">
        <v>11</v>
      </c>
      <c r="L194" s="68">
        <v>37</v>
      </c>
      <c r="M194" s="68">
        <v>48</v>
      </c>
      <c r="N194" s="68">
        <v>24</v>
      </c>
    </row>
    <row r="195" spans="1:14">
      <c r="A195" t="s">
        <v>444</v>
      </c>
      <c r="B195" t="s">
        <v>445</v>
      </c>
      <c r="C195" t="s">
        <v>615</v>
      </c>
      <c r="D195" t="s">
        <v>108</v>
      </c>
      <c r="E195" t="s">
        <v>636</v>
      </c>
      <c r="F195" t="s">
        <v>447</v>
      </c>
      <c r="G195" s="68">
        <v>96</v>
      </c>
      <c r="H195" s="68">
        <v>168</v>
      </c>
      <c r="I195" s="68">
        <v>61</v>
      </c>
      <c r="J195" s="68">
        <v>121</v>
      </c>
      <c r="K195" s="68">
        <v>136</v>
      </c>
      <c r="L195" s="68">
        <v>198</v>
      </c>
      <c r="M195" s="68">
        <v>156</v>
      </c>
      <c r="N195" s="68">
        <v>74</v>
      </c>
    </row>
    <row r="196" spans="1:14">
      <c r="A196" t="s">
        <v>444</v>
      </c>
      <c r="B196" t="s">
        <v>445</v>
      </c>
      <c r="C196" t="s">
        <v>615</v>
      </c>
      <c r="D196" t="s">
        <v>108</v>
      </c>
      <c r="E196" t="s">
        <v>637</v>
      </c>
      <c r="F196" t="s">
        <v>447</v>
      </c>
      <c r="G196" s="68">
        <v>0</v>
      </c>
      <c r="H196" s="68">
        <v>0</v>
      </c>
      <c r="I196" s="68">
        <v>0</v>
      </c>
      <c r="J196" s="68">
        <v>2</v>
      </c>
      <c r="K196" s="68">
        <v>20</v>
      </c>
      <c r="L196" s="68">
        <v>54</v>
      </c>
      <c r="M196" s="68">
        <v>56</v>
      </c>
      <c r="N196" s="68">
        <v>40</v>
      </c>
    </row>
    <row r="197" spans="1:14">
      <c r="A197" t="s">
        <v>444</v>
      </c>
      <c r="B197" t="s">
        <v>445</v>
      </c>
      <c r="C197" t="s">
        <v>615</v>
      </c>
      <c r="D197" t="s">
        <v>107</v>
      </c>
      <c r="E197" t="s">
        <v>638</v>
      </c>
      <c r="F197" t="s">
        <v>447</v>
      </c>
      <c r="G197" s="68">
        <v>0</v>
      </c>
      <c r="H197" s="68">
        <v>0</v>
      </c>
      <c r="I197" s="68">
        <v>0</v>
      </c>
      <c r="J197" s="68">
        <v>0</v>
      </c>
      <c r="K197" s="68">
        <v>0</v>
      </c>
      <c r="L197" s="68">
        <v>4</v>
      </c>
      <c r="M197" s="68">
        <v>8</v>
      </c>
      <c r="N197" s="68">
        <v>5</v>
      </c>
    </row>
    <row r="198" spans="1:14">
      <c r="A198" t="s">
        <v>444</v>
      </c>
      <c r="B198" t="s">
        <v>445</v>
      </c>
      <c r="C198" t="s">
        <v>615</v>
      </c>
      <c r="D198" t="s">
        <v>107</v>
      </c>
      <c r="E198" t="s">
        <v>639</v>
      </c>
      <c r="F198" t="s">
        <v>447</v>
      </c>
      <c r="G198" s="68">
        <v>0</v>
      </c>
      <c r="H198" s="68">
        <v>0</v>
      </c>
      <c r="I198" s="68">
        <v>0</v>
      </c>
      <c r="J198" s="68">
        <v>0</v>
      </c>
      <c r="K198" s="68">
        <v>0</v>
      </c>
      <c r="L198" s="68">
        <v>26</v>
      </c>
      <c r="M198" s="68">
        <v>72</v>
      </c>
      <c r="N198" s="68">
        <v>31</v>
      </c>
    </row>
    <row r="199" spans="1:14">
      <c r="A199" t="s">
        <v>444</v>
      </c>
      <c r="B199" t="s">
        <v>445</v>
      </c>
      <c r="C199" t="s">
        <v>615</v>
      </c>
      <c r="D199" t="s">
        <v>106</v>
      </c>
      <c r="E199" t="s">
        <v>640</v>
      </c>
      <c r="F199" t="s">
        <v>452</v>
      </c>
      <c r="G199" s="68">
        <v>0</v>
      </c>
      <c r="H199" s="68">
        <v>0</v>
      </c>
      <c r="I199" s="68">
        <v>0</v>
      </c>
      <c r="J199" s="68">
        <v>0</v>
      </c>
      <c r="K199" s="68">
        <v>0</v>
      </c>
      <c r="L199" s="68">
        <v>0</v>
      </c>
      <c r="M199" s="68">
        <v>16</v>
      </c>
      <c r="N199" s="68">
        <v>9</v>
      </c>
    </row>
    <row r="200" spans="1:14">
      <c r="A200" t="s">
        <v>444</v>
      </c>
      <c r="B200" t="s">
        <v>445</v>
      </c>
      <c r="C200" t="s">
        <v>615</v>
      </c>
      <c r="D200" t="s">
        <v>106</v>
      </c>
      <c r="E200" t="s">
        <v>641</v>
      </c>
      <c r="F200" t="s">
        <v>452</v>
      </c>
      <c r="G200" s="68">
        <v>0</v>
      </c>
      <c r="H200" s="68">
        <v>0</v>
      </c>
      <c r="I200" s="68">
        <v>0</v>
      </c>
      <c r="J200" s="68">
        <v>0</v>
      </c>
      <c r="K200" s="68">
        <v>0</v>
      </c>
      <c r="L200" s="68">
        <v>0</v>
      </c>
      <c r="M200" s="68">
        <v>174</v>
      </c>
      <c r="N200" s="68">
        <v>258</v>
      </c>
    </row>
    <row r="201" spans="1:14">
      <c r="A201" t="s">
        <v>444</v>
      </c>
      <c r="B201" t="s">
        <v>445</v>
      </c>
      <c r="C201" t="s">
        <v>615</v>
      </c>
      <c r="D201" t="s">
        <v>105</v>
      </c>
      <c r="E201" t="s">
        <v>454</v>
      </c>
      <c r="F201" t="s">
        <v>452</v>
      </c>
      <c r="G201" s="68">
        <v>1</v>
      </c>
      <c r="H201" s="68">
        <v>3</v>
      </c>
      <c r="I201" s="68">
        <v>4</v>
      </c>
      <c r="J201" s="68">
        <v>3</v>
      </c>
      <c r="K201" s="68">
        <v>0</v>
      </c>
      <c r="L201" s="68">
        <v>0</v>
      </c>
      <c r="M201" s="68">
        <v>3</v>
      </c>
      <c r="N201" s="68">
        <v>1</v>
      </c>
    </row>
    <row r="202" spans="1:14">
      <c r="A202" t="s">
        <v>444</v>
      </c>
      <c r="B202" t="s">
        <v>445</v>
      </c>
      <c r="C202" t="s">
        <v>615</v>
      </c>
      <c r="D202" t="s">
        <v>105</v>
      </c>
      <c r="E202" t="s">
        <v>640</v>
      </c>
      <c r="F202" t="s">
        <v>452</v>
      </c>
      <c r="G202" s="68">
        <v>30</v>
      </c>
      <c r="H202" s="68">
        <v>125</v>
      </c>
      <c r="I202" s="68">
        <v>32</v>
      </c>
      <c r="J202" s="68">
        <v>59</v>
      </c>
      <c r="K202" s="68">
        <v>35</v>
      </c>
      <c r="L202" s="68">
        <v>60</v>
      </c>
      <c r="M202" s="68">
        <v>40</v>
      </c>
      <c r="N202" s="68">
        <v>37</v>
      </c>
    </row>
    <row r="203" spans="1:14">
      <c r="A203" t="s">
        <v>444</v>
      </c>
      <c r="B203" t="s">
        <v>445</v>
      </c>
      <c r="C203" t="s">
        <v>615</v>
      </c>
      <c r="D203" t="s">
        <v>105</v>
      </c>
      <c r="E203" t="s">
        <v>641</v>
      </c>
      <c r="F203" t="s">
        <v>452</v>
      </c>
      <c r="G203" s="68">
        <v>112</v>
      </c>
      <c r="H203" s="68">
        <v>427</v>
      </c>
      <c r="I203" s="68">
        <v>112</v>
      </c>
      <c r="J203" s="68">
        <v>186</v>
      </c>
      <c r="K203" s="68">
        <v>452</v>
      </c>
      <c r="L203" s="68">
        <v>1051</v>
      </c>
      <c r="M203" s="68">
        <v>769</v>
      </c>
      <c r="N203" s="68">
        <v>546</v>
      </c>
    </row>
    <row r="204" spans="1:14">
      <c r="A204" t="s">
        <v>444</v>
      </c>
      <c r="B204" t="s">
        <v>445</v>
      </c>
      <c r="C204" t="s">
        <v>615</v>
      </c>
      <c r="D204" t="s">
        <v>104</v>
      </c>
      <c r="E204" t="s">
        <v>642</v>
      </c>
      <c r="F204" t="s">
        <v>452</v>
      </c>
      <c r="G204" s="68">
        <v>165</v>
      </c>
      <c r="H204" s="68">
        <v>449</v>
      </c>
      <c r="I204" s="68">
        <v>12</v>
      </c>
      <c r="J204" s="68">
        <v>21</v>
      </c>
      <c r="K204" s="68">
        <v>30</v>
      </c>
      <c r="L204" s="68">
        <v>65</v>
      </c>
      <c r="M204" s="68">
        <v>305</v>
      </c>
      <c r="N204" s="68">
        <v>133</v>
      </c>
    </row>
    <row r="205" spans="1:14">
      <c r="A205" t="s">
        <v>444</v>
      </c>
      <c r="B205" t="s">
        <v>445</v>
      </c>
      <c r="C205" t="s">
        <v>615</v>
      </c>
      <c r="D205" t="s">
        <v>104</v>
      </c>
      <c r="E205" t="s">
        <v>643</v>
      </c>
      <c r="F205" t="s">
        <v>452</v>
      </c>
      <c r="G205" s="68">
        <v>152</v>
      </c>
      <c r="H205" s="68">
        <v>702</v>
      </c>
      <c r="I205" s="68">
        <v>13</v>
      </c>
      <c r="J205" s="68">
        <v>62</v>
      </c>
      <c r="K205" s="68">
        <v>255</v>
      </c>
      <c r="L205" s="68">
        <v>215</v>
      </c>
      <c r="M205" s="68">
        <v>162</v>
      </c>
      <c r="N205" s="68">
        <v>83</v>
      </c>
    </row>
    <row r="206" spans="1:14">
      <c r="A206" t="s">
        <v>444</v>
      </c>
      <c r="B206" t="s">
        <v>445</v>
      </c>
      <c r="C206" t="s">
        <v>644</v>
      </c>
      <c r="D206" t="s">
        <v>202</v>
      </c>
      <c r="E206" t="s">
        <v>454</v>
      </c>
      <c r="F206" t="s">
        <v>449</v>
      </c>
      <c r="G206" s="68">
        <v>1</v>
      </c>
      <c r="H206" s="68">
        <v>0</v>
      </c>
      <c r="I206" s="68">
        <v>1</v>
      </c>
      <c r="J206" s="68">
        <v>1</v>
      </c>
      <c r="K206" s="68">
        <v>0</v>
      </c>
      <c r="L206" s="68">
        <v>1</v>
      </c>
      <c r="M206" s="68">
        <v>1</v>
      </c>
      <c r="N206" s="68">
        <v>0</v>
      </c>
    </row>
    <row r="207" spans="1:14">
      <c r="A207" t="s">
        <v>444</v>
      </c>
      <c r="B207" t="s">
        <v>445</v>
      </c>
      <c r="C207" t="s">
        <v>644</v>
      </c>
      <c r="D207" t="s">
        <v>202</v>
      </c>
      <c r="E207" t="s">
        <v>645</v>
      </c>
      <c r="F207" t="s">
        <v>449</v>
      </c>
      <c r="G207" s="68">
        <v>154</v>
      </c>
      <c r="H207" s="68">
        <v>240</v>
      </c>
      <c r="I207" s="68">
        <v>34</v>
      </c>
      <c r="J207" s="68">
        <v>84</v>
      </c>
      <c r="K207" s="68">
        <v>149</v>
      </c>
      <c r="L207" s="68">
        <v>650</v>
      </c>
      <c r="M207" s="68">
        <v>896</v>
      </c>
      <c r="N207" s="68">
        <v>360</v>
      </c>
    </row>
    <row r="208" spans="1:14">
      <c r="A208" t="s">
        <v>444</v>
      </c>
      <c r="B208" t="s">
        <v>445</v>
      </c>
      <c r="C208" t="s">
        <v>644</v>
      </c>
      <c r="D208" t="s">
        <v>167</v>
      </c>
      <c r="E208" t="s">
        <v>454</v>
      </c>
      <c r="F208" t="s">
        <v>452</v>
      </c>
      <c r="G208" s="68">
        <v>0</v>
      </c>
      <c r="H208" s="68">
        <v>0</v>
      </c>
      <c r="I208" s="68">
        <v>0</v>
      </c>
      <c r="J208" s="68">
        <v>0</v>
      </c>
      <c r="K208" s="68">
        <v>0</v>
      </c>
      <c r="L208" s="68">
        <v>0</v>
      </c>
      <c r="M208" s="68">
        <v>0</v>
      </c>
      <c r="N208" s="68">
        <v>153</v>
      </c>
    </row>
    <row r="209" spans="1:14">
      <c r="A209" t="s">
        <v>444</v>
      </c>
      <c r="B209" t="s">
        <v>445</v>
      </c>
      <c r="C209" t="s">
        <v>646</v>
      </c>
      <c r="D209" t="s">
        <v>67</v>
      </c>
      <c r="E209" t="s">
        <v>647</v>
      </c>
      <c r="F209" t="s">
        <v>452</v>
      </c>
      <c r="G209" s="68">
        <v>0</v>
      </c>
      <c r="H209" s="68">
        <v>0</v>
      </c>
      <c r="I209" s="68">
        <v>0</v>
      </c>
      <c r="J209" s="68">
        <v>0</v>
      </c>
      <c r="K209" s="68">
        <v>20</v>
      </c>
      <c r="L209" s="68">
        <v>26</v>
      </c>
      <c r="M209" s="68">
        <v>21</v>
      </c>
      <c r="N209" s="68">
        <v>8</v>
      </c>
    </row>
    <row r="210" spans="1:14">
      <c r="A210" t="s">
        <v>444</v>
      </c>
      <c r="B210" t="s">
        <v>445</v>
      </c>
      <c r="C210" t="s">
        <v>646</v>
      </c>
      <c r="D210" t="s">
        <v>67</v>
      </c>
      <c r="E210" t="s">
        <v>648</v>
      </c>
      <c r="F210" t="s">
        <v>452</v>
      </c>
      <c r="G210" s="68">
        <v>0</v>
      </c>
      <c r="H210" s="68">
        <v>0</v>
      </c>
      <c r="I210" s="68">
        <v>0</v>
      </c>
      <c r="J210" s="68">
        <v>0</v>
      </c>
      <c r="K210" s="68">
        <v>7</v>
      </c>
      <c r="L210" s="68">
        <v>8</v>
      </c>
      <c r="M210" s="68">
        <v>14</v>
      </c>
      <c r="N210" s="68">
        <v>6</v>
      </c>
    </row>
    <row r="211" spans="1:14">
      <c r="A211" t="s">
        <v>444</v>
      </c>
      <c r="B211" t="s">
        <v>445</v>
      </c>
      <c r="C211" t="s">
        <v>646</v>
      </c>
      <c r="D211" t="s">
        <v>54</v>
      </c>
      <c r="E211" t="s">
        <v>649</v>
      </c>
      <c r="F211" t="s">
        <v>452</v>
      </c>
      <c r="G211" s="68">
        <v>136</v>
      </c>
      <c r="H211" s="68">
        <v>257</v>
      </c>
      <c r="I211" s="68">
        <v>52</v>
      </c>
      <c r="J211" s="68">
        <v>117</v>
      </c>
      <c r="K211" s="68">
        <v>59</v>
      </c>
      <c r="L211" s="68">
        <v>46</v>
      </c>
      <c r="M211" s="68">
        <v>22</v>
      </c>
      <c r="N211" s="68">
        <v>6</v>
      </c>
    </row>
    <row r="212" spans="1:14">
      <c r="A212" t="s">
        <v>444</v>
      </c>
      <c r="B212" t="s">
        <v>445</v>
      </c>
      <c r="C212" t="s">
        <v>646</v>
      </c>
      <c r="D212" t="s">
        <v>54</v>
      </c>
      <c r="E212" t="s">
        <v>650</v>
      </c>
      <c r="F212" t="s">
        <v>452</v>
      </c>
      <c r="G212" s="68">
        <v>319</v>
      </c>
      <c r="H212" s="68">
        <v>546</v>
      </c>
      <c r="I212" s="68">
        <v>96</v>
      </c>
      <c r="J212" s="68">
        <v>0</v>
      </c>
      <c r="K212" s="68">
        <v>0</v>
      </c>
      <c r="L212" s="68">
        <v>0</v>
      </c>
      <c r="M212" s="68">
        <v>0</v>
      </c>
      <c r="N212" s="68">
        <v>0</v>
      </c>
    </row>
    <row r="213" spans="1:14">
      <c r="A213" t="s">
        <v>444</v>
      </c>
      <c r="B213" t="s">
        <v>445</v>
      </c>
      <c r="C213" t="s">
        <v>646</v>
      </c>
      <c r="D213" t="s">
        <v>54</v>
      </c>
      <c r="E213" t="s">
        <v>651</v>
      </c>
      <c r="F213" t="s">
        <v>452</v>
      </c>
      <c r="G213" s="68">
        <v>290</v>
      </c>
      <c r="H213" s="68">
        <v>534</v>
      </c>
      <c r="I213" s="68">
        <v>93</v>
      </c>
      <c r="J213" s="68">
        <v>172</v>
      </c>
      <c r="K213" s="68">
        <v>238</v>
      </c>
      <c r="L213" s="68">
        <v>578</v>
      </c>
      <c r="M213" s="68">
        <v>357</v>
      </c>
      <c r="N213" s="68">
        <v>0</v>
      </c>
    </row>
    <row r="214" spans="1:14">
      <c r="A214" t="s">
        <v>444</v>
      </c>
      <c r="B214" t="s">
        <v>445</v>
      </c>
      <c r="C214" t="s">
        <v>646</v>
      </c>
      <c r="D214" t="s">
        <v>54</v>
      </c>
      <c r="E214" t="s">
        <v>652</v>
      </c>
      <c r="F214" t="s">
        <v>452</v>
      </c>
      <c r="G214" s="68">
        <v>0</v>
      </c>
      <c r="H214" s="68">
        <v>0</v>
      </c>
      <c r="I214" s="68">
        <v>0</v>
      </c>
      <c r="J214" s="68">
        <v>0</v>
      </c>
      <c r="K214" s="68">
        <v>0</v>
      </c>
      <c r="L214" s="68">
        <v>0</v>
      </c>
      <c r="M214" s="68">
        <v>0</v>
      </c>
      <c r="N214" s="68">
        <v>295</v>
      </c>
    </row>
    <row r="215" spans="1:14">
      <c r="A215" t="s">
        <v>444</v>
      </c>
      <c r="B215" t="s">
        <v>445</v>
      </c>
      <c r="C215" t="s">
        <v>646</v>
      </c>
      <c r="D215" t="s">
        <v>54</v>
      </c>
      <c r="E215" t="s">
        <v>653</v>
      </c>
      <c r="F215" t="s">
        <v>452</v>
      </c>
      <c r="G215" s="68">
        <v>0</v>
      </c>
      <c r="H215" s="68">
        <v>0</v>
      </c>
      <c r="I215" s="68">
        <v>0</v>
      </c>
      <c r="J215" s="68">
        <v>274</v>
      </c>
      <c r="K215" s="68">
        <v>216</v>
      </c>
      <c r="L215" s="68">
        <v>508</v>
      </c>
      <c r="M215" s="68">
        <v>469</v>
      </c>
      <c r="N215" s="68">
        <v>463</v>
      </c>
    </row>
    <row r="216" spans="1:14">
      <c r="A216" t="s">
        <v>444</v>
      </c>
      <c r="B216" t="s">
        <v>445</v>
      </c>
      <c r="C216" t="s">
        <v>654</v>
      </c>
      <c r="D216" t="s">
        <v>375</v>
      </c>
      <c r="E216" t="s">
        <v>454</v>
      </c>
      <c r="F216" t="s">
        <v>452</v>
      </c>
      <c r="G216" s="68">
        <v>0</v>
      </c>
      <c r="H216" s="68">
        <v>1</v>
      </c>
      <c r="I216" s="68">
        <v>0</v>
      </c>
      <c r="J216" s="68">
        <v>0</v>
      </c>
      <c r="K216" s="68">
        <v>1</v>
      </c>
      <c r="L216" s="68">
        <v>0</v>
      </c>
      <c r="M216" s="68">
        <v>1</v>
      </c>
      <c r="N216" s="68">
        <v>0</v>
      </c>
    </row>
    <row r="217" spans="1:14">
      <c r="A217" t="s">
        <v>444</v>
      </c>
      <c r="B217" t="s">
        <v>445</v>
      </c>
      <c r="C217" t="s">
        <v>654</v>
      </c>
      <c r="D217" t="s">
        <v>350</v>
      </c>
      <c r="E217" t="s">
        <v>655</v>
      </c>
      <c r="F217" t="s">
        <v>536</v>
      </c>
      <c r="G217" s="68">
        <v>0</v>
      </c>
      <c r="H217" s="68">
        <v>0</v>
      </c>
      <c r="I217" s="68">
        <v>0</v>
      </c>
      <c r="J217" s="68">
        <v>0</v>
      </c>
      <c r="K217" s="68">
        <v>2</v>
      </c>
      <c r="L217" s="68">
        <v>1</v>
      </c>
      <c r="M217" s="68">
        <v>0</v>
      </c>
      <c r="N217" s="68">
        <v>0</v>
      </c>
    </row>
    <row r="218" spans="1:14">
      <c r="A218" t="s">
        <v>444</v>
      </c>
      <c r="B218" t="s">
        <v>445</v>
      </c>
      <c r="C218" t="s">
        <v>654</v>
      </c>
      <c r="D218" t="s">
        <v>350</v>
      </c>
      <c r="E218" t="s">
        <v>656</v>
      </c>
      <c r="F218" t="s">
        <v>657</v>
      </c>
      <c r="G218" s="68">
        <v>1</v>
      </c>
      <c r="H218" s="68">
        <v>0</v>
      </c>
      <c r="I218" s="68">
        <v>0</v>
      </c>
      <c r="J218" s="68">
        <v>0</v>
      </c>
      <c r="K218" s="68">
        <v>0</v>
      </c>
      <c r="L218" s="68">
        <v>0</v>
      </c>
      <c r="M218" s="68">
        <v>0</v>
      </c>
      <c r="N218" s="68">
        <v>1</v>
      </c>
    </row>
    <row r="219" spans="1:14">
      <c r="A219" t="s">
        <v>444</v>
      </c>
      <c r="B219" t="s">
        <v>445</v>
      </c>
      <c r="C219" t="s">
        <v>654</v>
      </c>
      <c r="D219" t="s">
        <v>350</v>
      </c>
      <c r="E219" t="s">
        <v>658</v>
      </c>
      <c r="F219" t="s">
        <v>536</v>
      </c>
      <c r="G219" s="68">
        <v>1</v>
      </c>
      <c r="H219" s="68">
        <v>0</v>
      </c>
      <c r="I219" s="68">
        <v>0</v>
      </c>
      <c r="J219" s="68">
        <v>0</v>
      </c>
      <c r="K219" s="68">
        <v>0</v>
      </c>
      <c r="L219" s="68">
        <v>0</v>
      </c>
      <c r="M219" s="68">
        <v>0</v>
      </c>
      <c r="N219" s="68">
        <v>0</v>
      </c>
    </row>
    <row r="220" spans="1:14">
      <c r="A220" t="s">
        <v>444</v>
      </c>
      <c r="B220" t="s">
        <v>445</v>
      </c>
      <c r="C220" t="s">
        <v>659</v>
      </c>
      <c r="D220" t="s">
        <v>354</v>
      </c>
      <c r="E220" t="s">
        <v>660</v>
      </c>
      <c r="F220" t="s">
        <v>536</v>
      </c>
      <c r="G220" s="68">
        <v>1</v>
      </c>
      <c r="H220" s="68">
        <v>0</v>
      </c>
      <c r="I220" s="68">
        <v>0</v>
      </c>
      <c r="J220" s="68">
        <v>1</v>
      </c>
      <c r="K220" s="68">
        <v>0</v>
      </c>
      <c r="L220" s="68">
        <v>1</v>
      </c>
      <c r="M220" s="68">
        <v>0</v>
      </c>
      <c r="N220" s="68">
        <v>0</v>
      </c>
    </row>
    <row r="221" spans="1:14">
      <c r="A221" t="s">
        <v>444</v>
      </c>
      <c r="B221" t="s">
        <v>445</v>
      </c>
      <c r="C221" t="s">
        <v>659</v>
      </c>
      <c r="D221" t="s">
        <v>176</v>
      </c>
      <c r="E221" t="s">
        <v>661</v>
      </c>
      <c r="F221" t="s">
        <v>472</v>
      </c>
      <c r="G221" s="68">
        <v>0</v>
      </c>
      <c r="H221" s="68">
        <v>0</v>
      </c>
      <c r="I221" s="68">
        <v>0</v>
      </c>
      <c r="J221" s="68">
        <v>1</v>
      </c>
      <c r="K221" s="68">
        <v>0</v>
      </c>
      <c r="L221" s="68">
        <v>0</v>
      </c>
      <c r="M221" s="68">
        <v>0</v>
      </c>
      <c r="N221" s="68">
        <v>0</v>
      </c>
    </row>
    <row r="222" spans="1:14">
      <c r="A222" t="s">
        <v>444</v>
      </c>
      <c r="B222" t="s">
        <v>445</v>
      </c>
      <c r="C222" t="s">
        <v>659</v>
      </c>
      <c r="D222" t="s">
        <v>176</v>
      </c>
      <c r="E222" t="s">
        <v>662</v>
      </c>
      <c r="F222" t="s">
        <v>472</v>
      </c>
      <c r="G222" s="68">
        <v>0</v>
      </c>
      <c r="H222" s="68">
        <v>1</v>
      </c>
      <c r="I222" s="68">
        <v>0</v>
      </c>
      <c r="J222" s="68">
        <v>0</v>
      </c>
      <c r="K222" s="68">
        <v>0</v>
      </c>
      <c r="L222" s="68">
        <v>0</v>
      </c>
      <c r="M222" s="68">
        <v>0</v>
      </c>
      <c r="N222" s="68">
        <v>1</v>
      </c>
    </row>
    <row r="223" spans="1:14">
      <c r="A223" t="s">
        <v>444</v>
      </c>
      <c r="B223" t="s">
        <v>445</v>
      </c>
      <c r="C223" t="s">
        <v>663</v>
      </c>
      <c r="D223" t="s">
        <v>158</v>
      </c>
      <c r="E223" t="s">
        <v>664</v>
      </c>
      <c r="F223" t="s">
        <v>472</v>
      </c>
      <c r="G223" s="68">
        <v>0</v>
      </c>
      <c r="H223" s="68">
        <v>0</v>
      </c>
      <c r="I223" s="68">
        <v>0</v>
      </c>
      <c r="J223" s="68">
        <v>0</v>
      </c>
      <c r="K223" s="68">
        <v>0</v>
      </c>
      <c r="L223" s="68">
        <v>0</v>
      </c>
      <c r="M223" s="68">
        <v>2</v>
      </c>
      <c r="N223" s="68">
        <v>0</v>
      </c>
    </row>
    <row r="224" spans="1:14">
      <c r="A224" t="s">
        <v>444</v>
      </c>
      <c r="B224" t="s">
        <v>445</v>
      </c>
      <c r="C224" t="s">
        <v>665</v>
      </c>
      <c r="D224" t="s">
        <v>325</v>
      </c>
      <c r="E224" t="s">
        <v>666</v>
      </c>
      <c r="F224" t="s">
        <v>452</v>
      </c>
      <c r="G224" s="68">
        <v>3</v>
      </c>
      <c r="H224" s="68">
        <v>8</v>
      </c>
      <c r="I224" s="68">
        <v>0</v>
      </c>
      <c r="J224" s="68">
        <v>2</v>
      </c>
      <c r="K224" s="68">
        <v>2</v>
      </c>
      <c r="L224" s="68">
        <v>5</v>
      </c>
      <c r="M224" s="68">
        <v>7</v>
      </c>
      <c r="N224" s="68">
        <v>1</v>
      </c>
    </row>
    <row r="225" spans="1:14">
      <c r="A225" t="s">
        <v>444</v>
      </c>
      <c r="B225" t="s">
        <v>445</v>
      </c>
      <c r="C225" t="s">
        <v>665</v>
      </c>
      <c r="D225" t="s">
        <v>325</v>
      </c>
      <c r="E225" t="s">
        <v>667</v>
      </c>
      <c r="F225" t="s">
        <v>452</v>
      </c>
      <c r="G225" s="68">
        <v>6</v>
      </c>
      <c r="H225" s="68">
        <v>9</v>
      </c>
      <c r="I225" s="68">
        <v>3</v>
      </c>
      <c r="J225" s="68">
        <v>3</v>
      </c>
      <c r="K225" s="68">
        <v>3</v>
      </c>
      <c r="L225" s="68">
        <v>3</v>
      </c>
      <c r="M225" s="68">
        <v>0</v>
      </c>
      <c r="N225" s="68">
        <v>2</v>
      </c>
    </row>
    <row r="226" spans="1:14">
      <c r="A226" t="s">
        <v>444</v>
      </c>
      <c r="B226" t="s">
        <v>445</v>
      </c>
      <c r="C226" t="s">
        <v>665</v>
      </c>
      <c r="D226" t="s">
        <v>219</v>
      </c>
      <c r="E226" t="s">
        <v>454</v>
      </c>
      <c r="F226" t="s">
        <v>449</v>
      </c>
      <c r="G226" s="68">
        <v>8</v>
      </c>
      <c r="H226" s="68">
        <v>88</v>
      </c>
      <c r="I226" s="68">
        <v>0</v>
      </c>
      <c r="J226" s="68">
        <v>30</v>
      </c>
      <c r="K226" s="68">
        <v>29</v>
      </c>
      <c r="L226" s="68">
        <v>9</v>
      </c>
      <c r="M226" s="68">
        <v>1</v>
      </c>
      <c r="N226" s="68">
        <v>2</v>
      </c>
    </row>
    <row r="227" spans="1:14">
      <c r="A227" t="s">
        <v>444</v>
      </c>
      <c r="B227" t="s">
        <v>445</v>
      </c>
      <c r="C227" t="s">
        <v>665</v>
      </c>
      <c r="D227" t="s">
        <v>219</v>
      </c>
      <c r="E227" t="s">
        <v>668</v>
      </c>
      <c r="F227" t="s">
        <v>449</v>
      </c>
      <c r="G227" s="68">
        <v>7</v>
      </c>
      <c r="H227" s="68">
        <v>80</v>
      </c>
      <c r="I227" s="68">
        <v>7</v>
      </c>
      <c r="J227" s="68">
        <v>15</v>
      </c>
      <c r="K227" s="68">
        <v>7</v>
      </c>
      <c r="L227" s="68">
        <v>6</v>
      </c>
      <c r="M227" s="68">
        <v>0</v>
      </c>
      <c r="N227" s="68">
        <v>0</v>
      </c>
    </row>
    <row r="228" spans="1:14">
      <c r="A228" t="s">
        <v>444</v>
      </c>
      <c r="B228" t="s">
        <v>445</v>
      </c>
      <c r="C228" t="s">
        <v>665</v>
      </c>
      <c r="D228" t="s">
        <v>118</v>
      </c>
      <c r="E228" t="s">
        <v>669</v>
      </c>
      <c r="F228" t="s">
        <v>452</v>
      </c>
      <c r="G228" s="68">
        <v>98</v>
      </c>
      <c r="H228" s="68">
        <v>320</v>
      </c>
      <c r="I228" s="68">
        <v>45</v>
      </c>
      <c r="J228" s="68">
        <v>77</v>
      </c>
      <c r="K228" s="68">
        <v>49</v>
      </c>
      <c r="L228" s="68">
        <v>149</v>
      </c>
      <c r="M228" s="68">
        <v>164</v>
      </c>
      <c r="N228" s="68">
        <v>158</v>
      </c>
    </row>
    <row r="229" spans="1:14">
      <c r="A229" t="s">
        <v>444</v>
      </c>
      <c r="B229" t="s">
        <v>445</v>
      </c>
      <c r="C229" t="s">
        <v>665</v>
      </c>
      <c r="D229" t="s">
        <v>118</v>
      </c>
      <c r="E229" t="s">
        <v>670</v>
      </c>
      <c r="F229" t="s">
        <v>452</v>
      </c>
      <c r="G229" s="68">
        <v>14</v>
      </c>
      <c r="H229" s="68">
        <v>0</v>
      </c>
      <c r="I229" s="68">
        <v>0</v>
      </c>
      <c r="J229" s="68">
        <v>0</v>
      </c>
      <c r="K229" s="68">
        <v>0</v>
      </c>
      <c r="L229" s="68">
        <v>0</v>
      </c>
      <c r="M229" s="68">
        <v>0</v>
      </c>
      <c r="N229" s="68">
        <v>0</v>
      </c>
    </row>
    <row r="230" spans="1:14">
      <c r="A230" t="s">
        <v>444</v>
      </c>
      <c r="B230" t="s">
        <v>445</v>
      </c>
      <c r="C230" t="s">
        <v>665</v>
      </c>
      <c r="D230" t="s">
        <v>118</v>
      </c>
      <c r="E230" t="s">
        <v>671</v>
      </c>
      <c r="F230" t="s">
        <v>452</v>
      </c>
      <c r="G230" s="68">
        <v>407</v>
      </c>
      <c r="H230" s="68">
        <v>0</v>
      </c>
      <c r="I230" s="68">
        <v>0</v>
      </c>
      <c r="J230" s="68">
        <v>0</v>
      </c>
      <c r="K230" s="68">
        <v>0</v>
      </c>
      <c r="L230" s="68">
        <v>0</v>
      </c>
      <c r="M230" s="68">
        <v>0</v>
      </c>
      <c r="N230" s="68">
        <v>0</v>
      </c>
    </row>
    <row r="231" spans="1:14">
      <c r="A231" t="s">
        <v>444</v>
      </c>
      <c r="B231" t="s">
        <v>445</v>
      </c>
      <c r="C231" t="s">
        <v>665</v>
      </c>
      <c r="D231" t="s">
        <v>118</v>
      </c>
      <c r="E231" t="s">
        <v>672</v>
      </c>
      <c r="F231" t="s">
        <v>452</v>
      </c>
      <c r="G231" s="68">
        <v>0</v>
      </c>
      <c r="H231" s="68">
        <v>1927</v>
      </c>
      <c r="I231" s="68">
        <v>100</v>
      </c>
      <c r="J231" s="68">
        <v>395</v>
      </c>
      <c r="K231" s="68">
        <v>468</v>
      </c>
      <c r="L231" s="68">
        <v>750</v>
      </c>
      <c r="M231" s="68">
        <v>627</v>
      </c>
      <c r="N231" s="68">
        <v>1006</v>
      </c>
    </row>
    <row r="232" spans="1:14">
      <c r="A232" t="s">
        <v>444</v>
      </c>
      <c r="B232" t="s">
        <v>445</v>
      </c>
      <c r="C232" t="s">
        <v>665</v>
      </c>
      <c r="D232" t="s">
        <v>118</v>
      </c>
      <c r="E232" t="s">
        <v>673</v>
      </c>
      <c r="F232" t="s">
        <v>452</v>
      </c>
      <c r="G232" s="68">
        <v>0</v>
      </c>
      <c r="H232" s="68">
        <v>0</v>
      </c>
      <c r="I232" s="68">
        <v>0</v>
      </c>
      <c r="J232" s="68">
        <v>0</v>
      </c>
      <c r="K232" s="68">
        <v>0</v>
      </c>
      <c r="L232" s="68">
        <v>41</v>
      </c>
      <c r="M232" s="68">
        <v>321</v>
      </c>
      <c r="N232" s="68">
        <v>249</v>
      </c>
    </row>
    <row r="233" spans="1:14">
      <c r="A233" t="s">
        <v>444</v>
      </c>
      <c r="B233" t="s">
        <v>445</v>
      </c>
      <c r="C233" t="s">
        <v>665</v>
      </c>
      <c r="D233" t="s">
        <v>118</v>
      </c>
      <c r="E233" t="s">
        <v>653</v>
      </c>
      <c r="F233" t="s">
        <v>452</v>
      </c>
      <c r="G233" s="68">
        <v>0</v>
      </c>
      <c r="H233" s="68">
        <v>92</v>
      </c>
      <c r="I233" s="68">
        <v>2</v>
      </c>
      <c r="J233" s="68">
        <v>10</v>
      </c>
      <c r="K233" s="68">
        <v>3</v>
      </c>
      <c r="L233" s="68">
        <v>9</v>
      </c>
      <c r="M233" s="68">
        <v>3</v>
      </c>
      <c r="N233" s="68">
        <v>3</v>
      </c>
    </row>
    <row r="234" spans="1:14">
      <c r="A234" t="s">
        <v>444</v>
      </c>
      <c r="B234" t="s">
        <v>445</v>
      </c>
      <c r="C234" t="s">
        <v>665</v>
      </c>
      <c r="D234" t="s">
        <v>117</v>
      </c>
      <c r="E234" t="s">
        <v>454</v>
      </c>
      <c r="F234" t="s">
        <v>452</v>
      </c>
      <c r="G234" s="68">
        <v>107</v>
      </c>
      <c r="H234" s="68">
        <v>449</v>
      </c>
      <c r="I234" s="68">
        <v>42</v>
      </c>
      <c r="J234" s="68">
        <v>139</v>
      </c>
      <c r="K234" s="68">
        <v>132</v>
      </c>
      <c r="L234" s="68">
        <v>244</v>
      </c>
      <c r="M234" s="68">
        <v>181</v>
      </c>
      <c r="N234" s="68">
        <v>146</v>
      </c>
    </row>
    <row r="235" spans="1:14">
      <c r="A235" t="s">
        <v>444</v>
      </c>
      <c r="B235" t="s">
        <v>445</v>
      </c>
      <c r="C235" t="s">
        <v>665</v>
      </c>
      <c r="D235" t="s">
        <v>117</v>
      </c>
      <c r="E235" t="s">
        <v>674</v>
      </c>
      <c r="F235" t="s">
        <v>452</v>
      </c>
      <c r="G235" s="68">
        <v>21</v>
      </c>
      <c r="H235" s="68">
        <v>614</v>
      </c>
      <c r="I235" s="68">
        <v>13</v>
      </c>
      <c r="J235" s="68">
        <v>23</v>
      </c>
      <c r="K235" s="68">
        <v>6</v>
      </c>
      <c r="L235" s="68">
        <v>27</v>
      </c>
      <c r="M235" s="68">
        <v>20</v>
      </c>
      <c r="N235" s="68">
        <v>5</v>
      </c>
    </row>
    <row r="236" spans="1:14">
      <c r="A236" t="s">
        <v>444</v>
      </c>
      <c r="B236" t="s">
        <v>445</v>
      </c>
      <c r="C236" t="s">
        <v>675</v>
      </c>
      <c r="D236" t="s">
        <v>338</v>
      </c>
      <c r="E236" t="s">
        <v>454</v>
      </c>
      <c r="F236" t="s">
        <v>630</v>
      </c>
      <c r="G236" s="68">
        <v>0</v>
      </c>
      <c r="H236" s="68">
        <v>306</v>
      </c>
      <c r="I236" s="68">
        <v>0</v>
      </c>
      <c r="J236" s="68">
        <v>0</v>
      </c>
      <c r="K236" s="68">
        <v>14</v>
      </c>
      <c r="L236" s="68">
        <v>125</v>
      </c>
      <c r="M236" s="68">
        <v>184</v>
      </c>
      <c r="N236" s="68">
        <v>53</v>
      </c>
    </row>
    <row r="237" spans="1:14">
      <c r="A237" t="s">
        <v>444</v>
      </c>
      <c r="B237" t="s">
        <v>445</v>
      </c>
      <c r="C237" t="s">
        <v>675</v>
      </c>
      <c r="D237" t="s">
        <v>338</v>
      </c>
      <c r="E237" t="s">
        <v>676</v>
      </c>
      <c r="F237" t="s">
        <v>630</v>
      </c>
      <c r="G237" s="68">
        <v>9</v>
      </c>
      <c r="H237" s="68">
        <v>30</v>
      </c>
      <c r="I237" s="68">
        <v>12</v>
      </c>
      <c r="J237" s="68">
        <v>13</v>
      </c>
      <c r="K237" s="68">
        <v>10</v>
      </c>
      <c r="L237" s="68">
        <v>16</v>
      </c>
      <c r="M237" s="68">
        <v>50</v>
      </c>
      <c r="N237" s="68">
        <v>25</v>
      </c>
    </row>
    <row r="238" spans="1:14">
      <c r="A238" t="s">
        <v>444</v>
      </c>
      <c r="B238" t="s">
        <v>445</v>
      </c>
      <c r="C238" t="s">
        <v>675</v>
      </c>
      <c r="D238" t="s">
        <v>338</v>
      </c>
      <c r="E238" t="s">
        <v>677</v>
      </c>
      <c r="F238" t="s">
        <v>630</v>
      </c>
      <c r="G238" s="68">
        <v>93</v>
      </c>
      <c r="H238" s="68">
        <v>0</v>
      </c>
      <c r="I238" s="68">
        <v>0</v>
      </c>
      <c r="J238" s="68">
        <v>0</v>
      </c>
      <c r="K238" s="68">
        <v>0</v>
      </c>
      <c r="L238" s="68">
        <v>0</v>
      </c>
      <c r="M238" s="68">
        <v>0</v>
      </c>
      <c r="N238" s="68">
        <v>0</v>
      </c>
    </row>
    <row r="239" spans="1:14">
      <c r="A239" t="s">
        <v>444</v>
      </c>
      <c r="B239" t="s">
        <v>445</v>
      </c>
      <c r="C239" t="s">
        <v>678</v>
      </c>
      <c r="D239" t="s">
        <v>273</v>
      </c>
      <c r="E239" t="s">
        <v>454</v>
      </c>
      <c r="F239" t="s">
        <v>452</v>
      </c>
      <c r="G239" s="68">
        <v>0</v>
      </c>
      <c r="H239" s="68">
        <v>0</v>
      </c>
      <c r="I239" s="68">
        <v>1</v>
      </c>
      <c r="J239" s="68">
        <v>0</v>
      </c>
      <c r="K239" s="68">
        <v>0</v>
      </c>
      <c r="L239" s="68">
        <v>0</v>
      </c>
      <c r="M239" s="68">
        <v>0</v>
      </c>
      <c r="N239" s="68">
        <v>0</v>
      </c>
    </row>
    <row r="240" spans="1:14">
      <c r="A240" t="s">
        <v>444</v>
      </c>
      <c r="B240" t="s">
        <v>445</v>
      </c>
      <c r="C240" t="s">
        <v>678</v>
      </c>
      <c r="D240" t="s">
        <v>102</v>
      </c>
      <c r="E240" t="s">
        <v>454</v>
      </c>
      <c r="F240" t="s">
        <v>452</v>
      </c>
      <c r="G240" s="68">
        <v>0</v>
      </c>
      <c r="H240" s="68">
        <v>2</v>
      </c>
      <c r="I240" s="68">
        <v>1</v>
      </c>
      <c r="J240" s="68">
        <v>0</v>
      </c>
      <c r="K240" s="68">
        <v>1</v>
      </c>
      <c r="L240" s="68">
        <v>2</v>
      </c>
      <c r="M240" s="68">
        <v>0</v>
      </c>
      <c r="N240" s="68">
        <v>1</v>
      </c>
    </row>
    <row r="241" spans="1:14">
      <c r="A241" t="s">
        <v>444</v>
      </c>
      <c r="B241" t="s">
        <v>445</v>
      </c>
      <c r="C241" t="s">
        <v>679</v>
      </c>
      <c r="D241" t="s">
        <v>328</v>
      </c>
      <c r="E241" t="s">
        <v>454</v>
      </c>
      <c r="F241" t="s">
        <v>449</v>
      </c>
      <c r="G241" s="68">
        <v>0</v>
      </c>
      <c r="H241" s="68">
        <v>0</v>
      </c>
      <c r="I241" s="68">
        <v>1</v>
      </c>
      <c r="J241" s="68">
        <v>0</v>
      </c>
      <c r="K241" s="68">
        <v>0</v>
      </c>
      <c r="L241" s="68">
        <v>0</v>
      </c>
      <c r="M241" s="68">
        <v>0</v>
      </c>
      <c r="N241" s="68">
        <v>0</v>
      </c>
    </row>
    <row r="242" spans="1:14">
      <c r="A242" t="s">
        <v>444</v>
      </c>
      <c r="B242" t="s">
        <v>445</v>
      </c>
      <c r="C242" t="s">
        <v>680</v>
      </c>
      <c r="D242" t="s">
        <v>158</v>
      </c>
      <c r="E242" t="s">
        <v>681</v>
      </c>
      <c r="F242" t="s">
        <v>472</v>
      </c>
      <c r="G242" s="68">
        <v>0</v>
      </c>
      <c r="H242" s="68">
        <v>0</v>
      </c>
      <c r="I242" s="68">
        <v>0</v>
      </c>
      <c r="J242" s="68">
        <v>0</v>
      </c>
      <c r="K242" s="68">
        <v>14</v>
      </c>
      <c r="L242" s="68">
        <v>0</v>
      </c>
      <c r="M242" s="68">
        <v>0</v>
      </c>
      <c r="N242" s="68">
        <v>0</v>
      </c>
    </row>
    <row r="243" spans="1:14">
      <c r="A243" t="s">
        <v>444</v>
      </c>
      <c r="B243" t="s">
        <v>445</v>
      </c>
      <c r="C243" t="s">
        <v>682</v>
      </c>
      <c r="D243" t="s">
        <v>80</v>
      </c>
      <c r="E243" t="s">
        <v>683</v>
      </c>
      <c r="F243" t="s">
        <v>630</v>
      </c>
      <c r="G243" s="68">
        <v>0</v>
      </c>
      <c r="H243" s="68">
        <v>0</v>
      </c>
      <c r="I243" s="68">
        <v>0</v>
      </c>
      <c r="J243" s="68">
        <v>0</v>
      </c>
      <c r="K243" s="68">
        <v>0</v>
      </c>
      <c r="L243" s="68">
        <v>4</v>
      </c>
      <c r="M243" s="68">
        <v>11</v>
      </c>
      <c r="N243" s="68">
        <v>2</v>
      </c>
    </row>
    <row r="244" spans="1:14">
      <c r="A244" t="s">
        <v>444</v>
      </c>
      <c r="B244" t="s">
        <v>445</v>
      </c>
      <c r="C244" t="s">
        <v>684</v>
      </c>
      <c r="D244" t="s">
        <v>425</v>
      </c>
      <c r="E244" t="s">
        <v>454</v>
      </c>
      <c r="F244" t="s">
        <v>472</v>
      </c>
      <c r="G244" s="68">
        <v>0</v>
      </c>
      <c r="H244" s="68">
        <v>1</v>
      </c>
      <c r="I244" s="68">
        <v>1</v>
      </c>
      <c r="J244" s="68">
        <v>0</v>
      </c>
      <c r="K244" s="68">
        <v>0</v>
      </c>
      <c r="L244" s="68">
        <v>0</v>
      </c>
      <c r="M244" s="68">
        <v>0</v>
      </c>
      <c r="N244" s="68">
        <v>0</v>
      </c>
    </row>
    <row r="245" spans="1:14">
      <c r="A245" t="s">
        <v>444</v>
      </c>
      <c r="B245" t="s">
        <v>445</v>
      </c>
      <c r="C245" t="s">
        <v>684</v>
      </c>
      <c r="D245" t="s">
        <v>425</v>
      </c>
      <c r="E245" t="s">
        <v>685</v>
      </c>
      <c r="F245" t="s">
        <v>536</v>
      </c>
      <c r="G245" s="68">
        <v>0</v>
      </c>
      <c r="H245" s="68">
        <v>0</v>
      </c>
      <c r="I245" s="68">
        <v>1</v>
      </c>
      <c r="J245" s="68">
        <v>0</v>
      </c>
      <c r="K245" s="68">
        <v>0</v>
      </c>
      <c r="L245" s="68">
        <v>0</v>
      </c>
      <c r="M245" s="68">
        <v>0</v>
      </c>
      <c r="N245" s="68">
        <v>0</v>
      </c>
    </row>
    <row r="246" spans="1:14">
      <c r="A246" t="s">
        <v>444</v>
      </c>
      <c r="B246" t="s">
        <v>445</v>
      </c>
      <c r="C246" t="s">
        <v>684</v>
      </c>
      <c r="D246" t="s">
        <v>423</v>
      </c>
      <c r="E246" t="s">
        <v>686</v>
      </c>
      <c r="F246" t="s">
        <v>657</v>
      </c>
      <c r="G246" s="68">
        <v>0</v>
      </c>
      <c r="H246" s="68">
        <v>0</v>
      </c>
      <c r="I246" s="68">
        <v>0</v>
      </c>
      <c r="J246" s="68">
        <v>0</v>
      </c>
      <c r="K246" s="68">
        <v>2</v>
      </c>
      <c r="L246" s="68">
        <v>0</v>
      </c>
      <c r="M246" s="68">
        <v>0</v>
      </c>
      <c r="N246" s="68">
        <v>0</v>
      </c>
    </row>
    <row r="247" spans="1:14">
      <c r="A247" t="s">
        <v>444</v>
      </c>
      <c r="B247" t="s">
        <v>445</v>
      </c>
      <c r="C247" t="s">
        <v>684</v>
      </c>
      <c r="D247" t="s">
        <v>423</v>
      </c>
      <c r="E247" t="s">
        <v>687</v>
      </c>
      <c r="F247" t="s">
        <v>472</v>
      </c>
      <c r="G247" s="68">
        <v>0</v>
      </c>
      <c r="H247" s="68">
        <v>3</v>
      </c>
      <c r="I247" s="68">
        <v>1</v>
      </c>
      <c r="J247" s="68">
        <v>0</v>
      </c>
      <c r="K247" s="68">
        <v>1</v>
      </c>
      <c r="L247" s="68">
        <v>0</v>
      </c>
      <c r="M247" s="68">
        <v>2</v>
      </c>
      <c r="N247" s="68">
        <v>1</v>
      </c>
    </row>
    <row r="248" spans="1:14">
      <c r="A248" t="s">
        <v>444</v>
      </c>
      <c r="B248" t="s">
        <v>445</v>
      </c>
      <c r="C248" t="s">
        <v>684</v>
      </c>
      <c r="D248" t="s">
        <v>420</v>
      </c>
      <c r="E248" t="s">
        <v>688</v>
      </c>
      <c r="F248" t="s">
        <v>536</v>
      </c>
      <c r="G248" s="68">
        <v>0</v>
      </c>
      <c r="H248" s="68">
        <v>0</v>
      </c>
      <c r="I248" s="68">
        <v>0</v>
      </c>
      <c r="J248" s="68">
        <v>1</v>
      </c>
      <c r="K248" s="68">
        <v>0</v>
      </c>
      <c r="L248" s="68">
        <v>0</v>
      </c>
      <c r="M248" s="68">
        <v>0</v>
      </c>
      <c r="N248" s="68">
        <v>0</v>
      </c>
    </row>
    <row r="249" spans="1:14">
      <c r="A249" t="s">
        <v>444</v>
      </c>
      <c r="B249" t="s">
        <v>445</v>
      </c>
      <c r="C249" t="s">
        <v>684</v>
      </c>
      <c r="D249" t="s">
        <v>297</v>
      </c>
      <c r="E249" t="s">
        <v>688</v>
      </c>
      <c r="F249" t="s">
        <v>536</v>
      </c>
      <c r="G249" s="68">
        <v>0</v>
      </c>
      <c r="H249" s="68">
        <v>0</v>
      </c>
      <c r="I249" s="68">
        <v>0</v>
      </c>
      <c r="J249" s="68">
        <v>0</v>
      </c>
      <c r="K249" s="68">
        <v>0</v>
      </c>
      <c r="L249" s="68">
        <v>0</v>
      </c>
      <c r="M249" s="68">
        <v>1</v>
      </c>
      <c r="N249" s="68">
        <v>0</v>
      </c>
    </row>
    <row r="250" spans="1:14">
      <c r="A250" t="s">
        <v>444</v>
      </c>
      <c r="B250" t="s">
        <v>445</v>
      </c>
      <c r="C250" t="s">
        <v>684</v>
      </c>
      <c r="D250" t="s">
        <v>297</v>
      </c>
      <c r="E250" t="s">
        <v>689</v>
      </c>
      <c r="F250" t="s">
        <v>472</v>
      </c>
      <c r="G250" s="68">
        <v>0</v>
      </c>
      <c r="H250" s="68">
        <v>1</v>
      </c>
      <c r="I250" s="68">
        <v>0</v>
      </c>
      <c r="J250" s="68">
        <v>0</v>
      </c>
      <c r="K250" s="68">
        <v>0</v>
      </c>
      <c r="L250" s="68">
        <v>0</v>
      </c>
      <c r="M250" s="68">
        <v>0</v>
      </c>
      <c r="N250" s="68">
        <v>0</v>
      </c>
    </row>
    <row r="251" spans="1:14">
      <c r="A251" t="s">
        <v>444</v>
      </c>
      <c r="B251" t="s">
        <v>445</v>
      </c>
      <c r="C251" t="s">
        <v>684</v>
      </c>
      <c r="D251" t="s">
        <v>148</v>
      </c>
      <c r="E251" t="s">
        <v>690</v>
      </c>
      <c r="F251" t="s">
        <v>536</v>
      </c>
      <c r="G251" s="68">
        <v>1</v>
      </c>
      <c r="H251" s="68">
        <v>0</v>
      </c>
      <c r="I251" s="68">
        <v>0</v>
      </c>
      <c r="J251" s="68">
        <v>0</v>
      </c>
      <c r="K251" s="68">
        <v>0</v>
      </c>
      <c r="L251" s="68">
        <v>0</v>
      </c>
      <c r="M251" s="68">
        <v>1</v>
      </c>
      <c r="N251" s="68">
        <v>0</v>
      </c>
    </row>
    <row r="252" spans="1:14">
      <c r="A252" t="s">
        <v>444</v>
      </c>
      <c r="B252" t="s">
        <v>445</v>
      </c>
      <c r="C252" t="s">
        <v>684</v>
      </c>
      <c r="D252" t="s">
        <v>144</v>
      </c>
      <c r="E252" t="s">
        <v>691</v>
      </c>
      <c r="F252" t="s">
        <v>452</v>
      </c>
      <c r="G252" s="68">
        <v>0</v>
      </c>
      <c r="H252" s="68">
        <v>0</v>
      </c>
      <c r="I252" s="68">
        <v>0</v>
      </c>
      <c r="J252" s="68">
        <v>1</v>
      </c>
      <c r="K252" s="68">
        <v>1</v>
      </c>
      <c r="L252" s="68">
        <v>0</v>
      </c>
      <c r="M252" s="68">
        <v>0</v>
      </c>
      <c r="N252" s="68">
        <v>0</v>
      </c>
    </row>
    <row r="253" spans="1:14">
      <c r="A253" t="s">
        <v>444</v>
      </c>
      <c r="B253" t="s">
        <v>445</v>
      </c>
      <c r="C253" t="s">
        <v>684</v>
      </c>
      <c r="D253" t="s">
        <v>122</v>
      </c>
      <c r="E253" t="s">
        <v>688</v>
      </c>
      <c r="F253" t="s">
        <v>536</v>
      </c>
      <c r="G253" s="68">
        <v>0</v>
      </c>
      <c r="H253" s="68">
        <v>1</v>
      </c>
      <c r="I253" s="68">
        <v>0</v>
      </c>
      <c r="J253" s="68">
        <v>1</v>
      </c>
      <c r="K253" s="68">
        <v>0</v>
      </c>
      <c r="L253" s="68">
        <v>0</v>
      </c>
      <c r="M253" s="68">
        <v>0</v>
      </c>
      <c r="N253" s="68">
        <v>0</v>
      </c>
    </row>
    <row r="254" spans="1:14">
      <c r="A254" t="s">
        <v>444</v>
      </c>
      <c r="B254" t="s">
        <v>445</v>
      </c>
      <c r="C254" t="s">
        <v>684</v>
      </c>
      <c r="D254" t="s">
        <v>94</v>
      </c>
      <c r="E254" t="s">
        <v>692</v>
      </c>
      <c r="F254" t="s">
        <v>536</v>
      </c>
      <c r="G254" s="68">
        <v>0</v>
      </c>
      <c r="H254" s="68">
        <v>1</v>
      </c>
      <c r="I254" s="68">
        <v>0</v>
      </c>
      <c r="J254" s="68">
        <v>0</v>
      </c>
      <c r="K254" s="68">
        <v>0</v>
      </c>
      <c r="L254" s="68">
        <v>0</v>
      </c>
      <c r="M254" s="68">
        <v>0</v>
      </c>
      <c r="N254" s="68">
        <v>0</v>
      </c>
    </row>
    <row r="255" spans="1:14">
      <c r="A255" t="s">
        <v>444</v>
      </c>
      <c r="B255" t="s">
        <v>445</v>
      </c>
      <c r="C255" t="s">
        <v>684</v>
      </c>
      <c r="D255" t="s">
        <v>94</v>
      </c>
      <c r="E255" t="s">
        <v>693</v>
      </c>
      <c r="F255" t="s">
        <v>459</v>
      </c>
      <c r="G255" s="68">
        <v>0</v>
      </c>
      <c r="H255" s="68">
        <v>0</v>
      </c>
      <c r="I255" s="68">
        <v>0</v>
      </c>
      <c r="J255" s="68">
        <v>0</v>
      </c>
      <c r="K255" s="68">
        <v>0</v>
      </c>
      <c r="L255" s="68">
        <v>1</v>
      </c>
      <c r="M255" s="68">
        <v>0</v>
      </c>
      <c r="N255" s="68">
        <v>0</v>
      </c>
    </row>
    <row r="256" spans="1:14">
      <c r="A256" t="s">
        <v>444</v>
      </c>
      <c r="B256" t="s">
        <v>445</v>
      </c>
      <c r="C256" t="s">
        <v>295</v>
      </c>
      <c r="D256" t="s">
        <v>295</v>
      </c>
      <c r="E256" t="s">
        <v>694</v>
      </c>
      <c r="F256" t="s">
        <v>449</v>
      </c>
      <c r="G256" s="68">
        <v>0</v>
      </c>
      <c r="H256" s="68">
        <v>0</v>
      </c>
      <c r="I256" s="68">
        <v>0</v>
      </c>
      <c r="J256" s="68">
        <v>0</v>
      </c>
      <c r="K256" s="68">
        <v>0</v>
      </c>
      <c r="L256" s="68">
        <v>6</v>
      </c>
      <c r="M256" s="68">
        <v>7</v>
      </c>
      <c r="N256" s="68">
        <v>1</v>
      </c>
    </row>
    <row r="257" spans="1:14">
      <c r="A257" t="s">
        <v>444</v>
      </c>
      <c r="B257" t="s">
        <v>445</v>
      </c>
      <c r="C257" t="s">
        <v>695</v>
      </c>
      <c r="D257" t="s">
        <v>161</v>
      </c>
      <c r="E257" t="s">
        <v>454</v>
      </c>
      <c r="F257" t="s">
        <v>472</v>
      </c>
      <c r="G257" s="68">
        <v>2</v>
      </c>
      <c r="H257" s="68">
        <v>0</v>
      </c>
      <c r="I257" s="68">
        <v>0</v>
      </c>
      <c r="J257" s="68">
        <v>1</v>
      </c>
      <c r="K257" s="68">
        <v>0</v>
      </c>
      <c r="L257" s="68">
        <v>0</v>
      </c>
      <c r="M257" s="68">
        <v>0</v>
      </c>
      <c r="N257" s="68">
        <v>0</v>
      </c>
    </row>
    <row r="258" spans="1:14">
      <c r="A258" t="s">
        <v>444</v>
      </c>
      <c r="B258" t="s">
        <v>445</v>
      </c>
      <c r="C258" t="s">
        <v>696</v>
      </c>
      <c r="D258" t="s">
        <v>304</v>
      </c>
      <c r="E258" t="s">
        <v>454</v>
      </c>
      <c r="F258" t="s">
        <v>452</v>
      </c>
      <c r="G258" s="68">
        <v>430</v>
      </c>
      <c r="H258" s="68">
        <v>711</v>
      </c>
      <c r="I258" s="68">
        <v>664</v>
      </c>
      <c r="J258" s="68">
        <v>719</v>
      </c>
      <c r="K258" s="68">
        <v>555</v>
      </c>
      <c r="L258" s="68">
        <v>547</v>
      </c>
      <c r="M258" s="68">
        <v>547</v>
      </c>
      <c r="N258" s="68">
        <v>552</v>
      </c>
    </row>
    <row r="259" spans="1:14">
      <c r="A259" t="s">
        <v>444</v>
      </c>
      <c r="B259" t="s">
        <v>445</v>
      </c>
      <c r="C259" t="s">
        <v>696</v>
      </c>
      <c r="D259" t="s">
        <v>292</v>
      </c>
      <c r="E259" t="s">
        <v>454</v>
      </c>
      <c r="F259" t="s">
        <v>472</v>
      </c>
      <c r="G259" s="68">
        <v>0</v>
      </c>
      <c r="H259" s="68">
        <v>0</v>
      </c>
      <c r="I259" s="68">
        <v>0</v>
      </c>
      <c r="J259" s="68">
        <v>1</v>
      </c>
      <c r="K259" s="68">
        <v>0</v>
      </c>
      <c r="L259" s="68">
        <v>0</v>
      </c>
      <c r="M259" s="68">
        <v>0</v>
      </c>
      <c r="N259" s="68">
        <v>0</v>
      </c>
    </row>
    <row r="260" spans="1:14">
      <c r="A260" t="s">
        <v>444</v>
      </c>
      <c r="B260" t="s">
        <v>445</v>
      </c>
      <c r="C260" t="s">
        <v>696</v>
      </c>
      <c r="D260" t="s">
        <v>173</v>
      </c>
      <c r="E260" t="s">
        <v>454</v>
      </c>
      <c r="F260" t="s">
        <v>459</v>
      </c>
      <c r="G260" s="68">
        <v>0</v>
      </c>
      <c r="H260" s="68">
        <v>0</v>
      </c>
      <c r="I260" s="68">
        <v>3</v>
      </c>
      <c r="J260" s="68">
        <v>0</v>
      </c>
      <c r="K260" s="68">
        <v>1</v>
      </c>
      <c r="L260" s="68">
        <v>1</v>
      </c>
      <c r="M260" s="68">
        <v>2</v>
      </c>
      <c r="N260" s="68">
        <v>1</v>
      </c>
    </row>
    <row r="261" spans="1:14">
      <c r="A261" t="s">
        <v>444</v>
      </c>
      <c r="B261" t="s">
        <v>445</v>
      </c>
      <c r="C261" t="s">
        <v>696</v>
      </c>
      <c r="D261" t="s">
        <v>173</v>
      </c>
      <c r="E261" t="s">
        <v>697</v>
      </c>
      <c r="F261" t="s">
        <v>459</v>
      </c>
      <c r="G261" s="68">
        <v>1</v>
      </c>
      <c r="H261" s="68">
        <v>1</v>
      </c>
      <c r="I261" s="68">
        <v>0</v>
      </c>
      <c r="J261" s="68">
        <v>1</v>
      </c>
      <c r="K261" s="68">
        <v>0</v>
      </c>
      <c r="L261" s="68">
        <v>1</v>
      </c>
      <c r="M261" s="68">
        <v>1</v>
      </c>
      <c r="N261" s="68">
        <v>0</v>
      </c>
    </row>
    <row r="262" spans="1:14">
      <c r="A262" t="s">
        <v>444</v>
      </c>
      <c r="B262" t="s">
        <v>445</v>
      </c>
      <c r="C262" t="s">
        <v>696</v>
      </c>
      <c r="D262" t="s">
        <v>173</v>
      </c>
      <c r="E262" t="s">
        <v>698</v>
      </c>
      <c r="F262" t="s">
        <v>459</v>
      </c>
      <c r="G262" s="68">
        <v>0</v>
      </c>
      <c r="H262" s="68">
        <v>0</v>
      </c>
      <c r="I262" s="68">
        <v>1</v>
      </c>
      <c r="J262" s="68">
        <v>0</v>
      </c>
      <c r="K262" s="68">
        <v>0</v>
      </c>
      <c r="L262" s="68">
        <v>0</v>
      </c>
      <c r="M262" s="68">
        <v>0</v>
      </c>
      <c r="N262" s="68">
        <v>0</v>
      </c>
    </row>
    <row r="263" spans="1:14">
      <c r="A263" t="s">
        <v>444</v>
      </c>
      <c r="B263" t="s">
        <v>445</v>
      </c>
      <c r="C263" t="s">
        <v>696</v>
      </c>
      <c r="D263" t="s">
        <v>173</v>
      </c>
      <c r="E263" t="s">
        <v>699</v>
      </c>
      <c r="F263" t="s">
        <v>459</v>
      </c>
      <c r="G263" s="68">
        <v>1</v>
      </c>
      <c r="H263" s="68">
        <v>0</v>
      </c>
      <c r="I263" s="68">
        <v>1</v>
      </c>
      <c r="J263" s="68">
        <v>0</v>
      </c>
      <c r="K263" s="68">
        <v>0</v>
      </c>
      <c r="L263" s="68">
        <v>0</v>
      </c>
      <c r="M263" s="68">
        <v>1</v>
      </c>
      <c r="N263" s="68">
        <v>0</v>
      </c>
    </row>
    <row r="264" spans="1:14">
      <c r="A264" t="s">
        <v>444</v>
      </c>
      <c r="B264" t="s">
        <v>445</v>
      </c>
      <c r="C264" t="s">
        <v>696</v>
      </c>
      <c r="D264" t="s">
        <v>173</v>
      </c>
      <c r="E264" t="s">
        <v>700</v>
      </c>
      <c r="F264" t="s">
        <v>459</v>
      </c>
      <c r="G264" s="68">
        <v>0</v>
      </c>
      <c r="H264" s="68">
        <v>0</v>
      </c>
      <c r="I264" s="68">
        <v>0</v>
      </c>
      <c r="J264" s="68">
        <v>1</v>
      </c>
      <c r="K264" s="68">
        <v>0</v>
      </c>
      <c r="L264" s="68">
        <v>0</v>
      </c>
      <c r="M264" s="68">
        <v>0</v>
      </c>
      <c r="N264" s="68">
        <v>1</v>
      </c>
    </row>
    <row r="265" spans="1:14">
      <c r="A265" t="s">
        <v>444</v>
      </c>
      <c r="B265" t="s">
        <v>445</v>
      </c>
      <c r="C265" t="s">
        <v>696</v>
      </c>
      <c r="D265" t="s">
        <v>172</v>
      </c>
      <c r="E265" t="s">
        <v>701</v>
      </c>
      <c r="F265" t="s">
        <v>452</v>
      </c>
      <c r="G265" s="68">
        <v>1</v>
      </c>
      <c r="H265" s="68">
        <v>0</v>
      </c>
      <c r="I265" s="68">
        <v>0</v>
      </c>
      <c r="J265" s="68">
        <v>0</v>
      </c>
      <c r="K265" s="68">
        <v>0</v>
      </c>
      <c r="L265" s="68">
        <v>0</v>
      </c>
      <c r="M265" s="68">
        <v>0</v>
      </c>
      <c r="N265" s="68">
        <v>0</v>
      </c>
    </row>
    <row r="266" spans="1:14">
      <c r="A266" t="s">
        <v>444</v>
      </c>
      <c r="B266" t="s">
        <v>445</v>
      </c>
      <c r="C266" t="s">
        <v>702</v>
      </c>
      <c r="D266" t="s">
        <v>158</v>
      </c>
      <c r="E266" t="s">
        <v>454</v>
      </c>
      <c r="F266" t="s">
        <v>472</v>
      </c>
      <c r="G266" s="68">
        <v>0</v>
      </c>
      <c r="H266" s="68">
        <v>0</v>
      </c>
      <c r="I266" s="68">
        <v>0</v>
      </c>
      <c r="J266" s="68">
        <v>1</v>
      </c>
      <c r="K266" s="68">
        <v>2</v>
      </c>
      <c r="L266" s="68">
        <v>1</v>
      </c>
      <c r="M266" s="68">
        <v>0</v>
      </c>
      <c r="N266" s="68">
        <v>1</v>
      </c>
    </row>
    <row r="267" spans="1:14">
      <c r="A267" t="s">
        <v>444</v>
      </c>
      <c r="B267" t="s">
        <v>445</v>
      </c>
      <c r="C267" t="s">
        <v>703</v>
      </c>
      <c r="D267" t="s">
        <v>199</v>
      </c>
      <c r="E267" t="s">
        <v>704</v>
      </c>
      <c r="F267" t="s">
        <v>630</v>
      </c>
      <c r="G267" s="68">
        <v>28</v>
      </c>
      <c r="H267" s="68">
        <v>0</v>
      </c>
      <c r="I267" s="68">
        <v>0</v>
      </c>
      <c r="J267" s="68">
        <v>0</v>
      </c>
      <c r="K267" s="68">
        <v>0</v>
      </c>
      <c r="L267" s="68">
        <v>0</v>
      </c>
      <c r="M267" s="68">
        <v>0</v>
      </c>
      <c r="N267" s="68">
        <v>0</v>
      </c>
    </row>
    <row r="268" spans="1:14">
      <c r="A268" t="s">
        <v>444</v>
      </c>
      <c r="B268" t="s">
        <v>445</v>
      </c>
      <c r="C268" t="s">
        <v>703</v>
      </c>
      <c r="D268" t="s">
        <v>199</v>
      </c>
      <c r="E268" t="s">
        <v>705</v>
      </c>
      <c r="F268" t="s">
        <v>630</v>
      </c>
      <c r="G268" s="68">
        <v>0</v>
      </c>
      <c r="H268" s="68">
        <v>50</v>
      </c>
      <c r="I268" s="68">
        <v>20</v>
      </c>
      <c r="J268" s="68">
        <v>11</v>
      </c>
      <c r="K268" s="68">
        <v>13</v>
      </c>
      <c r="L268" s="68">
        <v>34</v>
      </c>
      <c r="M268" s="68">
        <v>22</v>
      </c>
      <c r="N268" s="68">
        <v>29</v>
      </c>
    </row>
    <row r="269" spans="1:14">
      <c r="A269" t="s">
        <v>444</v>
      </c>
      <c r="B269" t="s">
        <v>445</v>
      </c>
      <c r="C269" t="s">
        <v>706</v>
      </c>
      <c r="D269" t="s">
        <v>303</v>
      </c>
      <c r="E269" t="s">
        <v>454</v>
      </c>
      <c r="F269" t="s">
        <v>449</v>
      </c>
      <c r="G269" s="68">
        <v>0</v>
      </c>
      <c r="H269" s="68">
        <v>0</v>
      </c>
      <c r="I269" s="68">
        <v>212</v>
      </c>
      <c r="J269" s="68">
        <v>855</v>
      </c>
      <c r="K269" s="68">
        <v>805</v>
      </c>
      <c r="L269" s="68">
        <v>781</v>
      </c>
      <c r="M269" s="68">
        <v>1668</v>
      </c>
      <c r="N269" s="68">
        <v>2640</v>
      </c>
    </row>
    <row r="270" spans="1:14">
      <c r="A270" t="s">
        <v>444</v>
      </c>
      <c r="B270" t="s">
        <v>445</v>
      </c>
      <c r="C270" t="s">
        <v>706</v>
      </c>
      <c r="D270" t="s">
        <v>300</v>
      </c>
      <c r="E270" t="s">
        <v>454</v>
      </c>
      <c r="F270" t="s">
        <v>452</v>
      </c>
      <c r="G270" s="68">
        <v>167</v>
      </c>
      <c r="H270" s="68">
        <v>414</v>
      </c>
      <c r="I270" s="68">
        <v>274</v>
      </c>
      <c r="J270" s="68">
        <v>232</v>
      </c>
      <c r="K270" s="68">
        <v>189</v>
      </c>
      <c r="L270" s="68">
        <v>439</v>
      </c>
      <c r="M270" s="68">
        <v>329</v>
      </c>
      <c r="N270" s="68">
        <v>371</v>
      </c>
    </row>
    <row r="271" spans="1:14">
      <c r="A271" t="s">
        <v>444</v>
      </c>
      <c r="B271" t="s">
        <v>445</v>
      </c>
      <c r="C271" t="s">
        <v>707</v>
      </c>
      <c r="D271" t="s">
        <v>248</v>
      </c>
      <c r="E271" t="s">
        <v>708</v>
      </c>
      <c r="F271" t="s">
        <v>472</v>
      </c>
      <c r="G271" s="68">
        <v>1</v>
      </c>
      <c r="H271" s="68">
        <v>0</v>
      </c>
      <c r="I271" s="68">
        <v>0</v>
      </c>
      <c r="J271" s="68">
        <v>0</v>
      </c>
      <c r="K271" s="68">
        <v>0</v>
      </c>
      <c r="L271" s="68">
        <v>0</v>
      </c>
      <c r="M271" s="68">
        <v>0</v>
      </c>
      <c r="N271" s="68">
        <v>0</v>
      </c>
    </row>
    <row r="272" spans="1:14">
      <c r="A272" t="s">
        <v>444</v>
      </c>
      <c r="B272" t="s">
        <v>445</v>
      </c>
      <c r="C272" t="s">
        <v>707</v>
      </c>
      <c r="D272" t="s">
        <v>15</v>
      </c>
      <c r="E272" t="s">
        <v>709</v>
      </c>
      <c r="F272" t="s">
        <v>452</v>
      </c>
      <c r="G272" s="68">
        <v>0</v>
      </c>
      <c r="H272" s="68">
        <v>0</v>
      </c>
      <c r="I272" s="68">
        <v>0</v>
      </c>
      <c r="J272" s="68">
        <v>0</v>
      </c>
      <c r="K272" s="68">
        <v>0</v>
      </c>
      <c r="L272" s="68">
        <v>0</v>
      </c>
      <c r="M272" s="68">
        <v>1</v>
      </c>
      <c r="N272" s="68">
        <v>0</v>
      </c>
    </row>
    <row r="273" spans="1:14">
      <c r="A273" t="s">
        <v>444</v>
      </c>
      <c r="B273" t="s">
        <v>445</v>
      </c>
      <c r="C273" t="s">
        <v>710</v>
      </c>
      <c r="D273" t="s">
        <v>160</v>
      </c>
      <c r="E273" t="s">
        <v>454</v>
      </c>
      <c r="F273" t="s">
        <v>452</v>
      </c>
      <c r="G273" s="68">
        <v>0</v>
      </c>
      <c r="H273" s="68">
        <v>0</v>
      </c>
      <c r="I273" s="68">
        <v>0</v>
      </c>
      <c r="J273" s="68">
        <v>0</v>
      </c>
      <c r="K273" s="68">
        <v>0</v>
      </c>
      <c r="L273" s="68">
        <v>0</v>
      </c>
      <c r="M273" s="68">
        <v>82</v>
      </c>
      <c r="N273" s="68">
        <v>1399</v>
      </c>
    </row>
    <row r="274" spans="1:14">
      <c r="A274" t="s">
        <v>444</v>
      </c>
      <c r="B274" t="s">
        <v>445</v>
      </c>
      <c r="C274" t="s">
        <v>710</v>
      </c>
      <c r="D274" t="s">
        <v>74</v>
      </c>
      <c r="E274" t="s">
        <v>454</v>
      </c>
      <c r="F274" t="s">
        <v>452</v>
      </c>
      <c r="G274" s="68">
        <v>493</v>
      </c>
      <c r="H274" s="68">
        <v>883</v>
      </c>
      <c r="I274" s="68">
        <v>842</v>
      </c>
      <c r="J274" s="68">
        <v>1004</v>
      </c>
      <c r="K274" s="68">
        <v>610</v>
      </c>
      <c r="L274" s="68">
        <v>725</v>
      </c>
      <c r="M274" s="68">
        <v>598</v>
      </c>
      <c r="N274" s="68">
        <v>459</v>
      </c>
    </row>
    <row r="275" spans="1:14">
      <c r="A275" t="s">
        <v>444</v>
      </c>
      <c r="B275" t="s">
        <v>445</v>
      </c>
      <c r="C275" t="s">
        <v>710</v>
      </c>
      <c r="D275" t="s">
        <v>74</v>
      </c>
      <c r="E275" t="s">
        <v>711</v>
      </c>
      <c r="F275" t="s">
        <v>452</v>
      </c>
      <c r="G275" s="68">
        <v>26</v>
      </c>
      <c r="H275" s="68">
        <v>27</v>
      </c>
      <c r="I275" s="68">
        <v>34</v>
      </c>
      <c r="J275" s="68">
        <v>27</v>
      </c>
      <c r="K275" s="68">
        <v>24</v>
      </c>
      <c r="L275" s="68">
        <v>25</v>
      </c>
      <c r="M275" s="68">
        <v>24</v>
      </c>
      <c r="N275" s="68">
        <v>9</v>
      </c>
    </row>
    <row r="276" spans="1:14">
      <c r="A276" t="s">
        <v>444</v>
      </c>
      <c r="B276" t="s">
        <v>445</v>
      </c>
      <c r="C276" t="s">
        <v>710</v>
      </c>
      <c r="D276" t="s">
        <v>73</v>
      </c>
      <c r="E276" t="s">
        <v>454</v>
      </c>
      <c r="F276" t="s">
        <v>452</v>
      </c>
      <c r="G276" s="68">
        <v>75</v>
      </c>
      <c r="H276" s="68">
        <v>124</v>
      </c>
      <c r="I276" s="68">
        <v>112</v>
      </c>
      <c r="J276" s="68">
        <v>112</v>
      </c>
      <c r="K276" s="68">
        <v>85</v>
      </c>
      <c r="L276" s="68">
        <v>117</v>
      </c>
      <c r="M276" s="68">
        <v>76</v>
      </c>
      <c r="N276" s="68">
        <v>58</v>
      </c>
    </row>
    <row r="277" spans="1:14">
      <c r="A277" t="s">
        <v>444</v>
      </c>
      <c r="B277" t="s">
        <v>445</v>
      </c>
      <c r="C277" t="s">
        <v>710</v>
      </c>
      <c r="D277" t="s">
        <v>73</v>
      </c>
      <c r="E277" t="s">
        <v>711</v>
      </c>
      <c r="F277" t="s">
        <v>452</v>
      </c>
      <c r="G277" s="68">
        <v>13</v>
      </c>
      <c r="H277" s="68">
        <v>7</v>
      </c>
      <c r="I277" s="68">
        <v>7</v>
      </c>
      <c r="J277" s="68">
        <v>14</v>
      </c>
      <c r="K277" s="68">
        <v>6</v>
      </c>
      <c r="L277" s="68">
        <v>2</v>
      </c>
      <c r="M277" s="68">
        <v>6</v>
      </c>
      <c r="N277" s="68">
        <v>2</v>
      </c>
    </row>
    <row r="278" spans="1:14">
      <c r="A278" t="s">
        <v>444</v>
      </c>
      <c r="B278" t="s">
        <v>445</v>
      </c>
      <c r="C278" t="s">
        <v>712</v>
      </c>
      <c r="D278" t="s">
        <v>261</v>
      </c>
      <c r="E278" t="s">
        <v>454</v>
      </c>
      <c r="F278" t="s">
        <v>452</v>
      </c>
      <c r="G278" s="68">
        <v>12</v>
      </c>
      <c r="H278" s="68">
        <v>0</v>
      </c>
      <c r="I278" s="68">
        <v>0</v>
      </c>
      <c r="J278" s="68">
        <v>0</v>
      </c>
      <c r="K278" s="68">
        <v>0</v>
      </c>
      <c r="L278" s="68">
        <v>0</v>
      </c>
      <c r="M278" s="68">
        <v>0</v>
      </c>
      <c r="N278" s="68">
        <v>0</v>
      </c>
    </row>
    <row r="279" spans="1:14">
      <c r="A279" t="s">
        <v>444</v>
      </c>
      <c r="B279" t="s">
        <v>445</v>
      </c>
      <c r="C279" t="s">
        <v>712</v>
      </c>
      <c r="D279" t="s">
        <v>261</v>
      </c>
      <c r="E279" t="s">
        <v>713</v>
      </c>
      <c r="F279" t="s">
        <v>452</v>
      </c>
      <c r="G279" s="68">
        <v>1</v>
      </c>
      <c r="H279" s="68">
        <v>26</v>
      </c>
      <c r="I279" s="68">
        <v>28</v>
      </c>
      <c r="J279" s="68">
        <v>12</v>
      </c>
      <c r="K279" s="68">
        <v>5</v>
      </c>
      <c r="L279" s="68">
        <v>22</v>
      </c>
      <c r="M279" s="68">
        <v>20</v>
      </c>
      <c r="N279" s="68">
        <v>14</v>
      </c>
    </row>
    <row r="280" spans="1:14">
      <c r="A280" t="s">
        <v>444</v>
      </c>
      <c r="B280" t="s">
        <v>445</v>
      </c>
      <c r="C280" t="s">
        <v>712</v>
      </c>
      <c r="D280" t="s">
        <v>261</v>
      </c>
      <c r="E280" t="s">
        <v>714</v>
      </c>
      <c r="F280" t="s">
        <v>452</v>
      </c>
      <c r="G280" s="68">
        <v>5</v>
      </c>
      <c r="H280" s="68">
        <v>7</v>
      </c>
      <c r="I280" s="68">
        <v>6</v>
      </c>
      <c r="J280" s="68">
        <v>6</v>
      </c>
      <c r="K280" s="68">
        <v>4</v>
      </c>
      <c r="L280" s="68">
        <v>5</v>
      </c>
      <c r="M280" s="68">
        <v>4</v>
      </c>
      <c r="N280" s="68">
        <v>9</v>
      </c>
    </row>
    <row r="281" spans="1:14">
      <c r="A281" t="s">
        <v>444</v>
      </c>
      <c r="B281" t="s">
        <v>445</v>
      </c>
      <c r="C281" t="s">
        <v>712</v>
      </c>
      <c r="D281" t="s">
        <v>261</v>
      </c>
      <c r="E281" t="s">
        <v>534</v>
      </c>
      <c r="F281" t="s">
        <v>452</v>
      </c>
      <c r="G281" s="68">
        <v>61</v>
      </c>
      <c r="H281" s="68">
        <v>120</v>
      </c>
      <c r="I281" s="68">
        <v>83</v>
      </c>
      <c r="J281" s="68">
        <v>67</v>
      </c>
      <c r="K281" s="68">
        <v>34</v>
      </c>
      <c r="L281" s="68">
        <v>84</v>
      </c>
      <c r="M281" s="68">
        <v>123</v>
      </c>
      <c r="N281" s="68">
        <v>107</v>
      </c>
    </row>
    <row r="282" spans="1:14">
      <c r="A282" t="s">
        <v>444</v>
      </c>
      <c r="B282" t="s">
        <v>445</v>
      </c>
      <c r="C282" t="s">
        <v>712</v>
      </c>
      <c r="D282" t="s">
        <v>222</v>
      </c>
      <c r="E282" t="s">
        <v>715</v>
      </c>
      <c r="F282" t="s">
        <v>452</v>
      </c>
      <c r="G282" s="68">
        <v>0</v>
      </c>
      <c r="H282" s="68">
        <v>0</v>
      </c>
      <c r="I282" s="68">
        <v>0</v>
      </c>
      <c r="J282" s="68">
        <v>0</v>
      </c>
      <c r="K282" s="68">
        <v>0</v>
      </c>
      <c r="L282" s="68">
        <v>26</v>
      </c>
      <c r="M282" s="68">
        <v>17</v>
      </c>
      <c r="N282" s="68">
        <v>7</v>
      </c>
    </row>
    <row r="283" spans="1:14">
      <c r="A283" t="s">
        <v>444</v>
      </c>
      <c r="B283" t="s">
        <v>445</v>
      </c>
      <c r="C283" t="s">
        <v>712</v>
      </c>
      <c r="D283" t="s">
        <v>222</v>
      </c>
      <c r="E283" t="s">
        <v>711</v>
      </c>
      <c r="F283" t="s">
        <v>452</v>
      </c>
      <c r="G283" s="68">
        <v>41</v>
      </c>
      <c r="H283" s="68">
        <v>51</v>
      </c>
      <c r="I283" s="68">
        <v>35</v>
      </c>
      <c r="J283" s="68">
        <v>78</v>
      </c>
      <c r="K283" s="68">
        <v>34</v>
      </c>
      <c r="L283" s="68">
        <v>0</v>
      </c>
      <c r="M283" s="68">
        <v>0</v>
      </c>
      <c r="N283" s="68">
        <v>0</v>
      </c>
    </row>
    <row r="284" spans="1:14">
      <c r="A284" t="s">
        <v>444</v>
      </c>
      <c r="B284" t="s">
        <v>445</v>
      </c>
      <c r="C284" t="s">
        <v>716</v>
      </c>
      <c r="D284" t="s">
        <v>403</v>
      </c>
      <c r="E284" t="s">
        <v>454</v>
      </c>
      <c r="F284" t="s">
        <v>447</v>
      </c>
      <c r="G284" s="68">
        <v>117</v>
      </c>
      <c r="H284" s="68">
        <v>179</v>
      </c>
      <c r="I284" s="68">
        <v>140</v>
      </c>
      <c r="J284" s="68">
        <v>139</v>
      </c>
      <c r="K284" s="68">
        <v>131</v>
      </c>
      <c r="L284" s="68">
        <v>198</v>
      </c>
      <c r="M284" s="68">
        <v>134</v>
      </c>
      <c r="N284" s="68">
        <v>143</v>
      </c>
    </row>
    <row r="285" spans="1:14">
      <c r="A285" t="s">
        <v>444</v>
      </c>
      <c r="B285" t="s">
        <v>445</v>
      </c>
      <c r="C285" t="s">
        <v>716</v>
      </c>
      <c r="D285" t="s">
        <v>396</v>
      </c>
      <c r="E285" t="s">
        <v>454</v>
      </c>
      <c r="F285" t="s">
        <v>472</v>
      </c>
      <c r="G285" s="68">
        <v>0</v>
      </c>
      <c r="H285" s="68">
        <v>0</v>
      </c>
      <c r="I285" s="68">
        <v>0</v>
      </c>
      <c r="J285" s="68">
        <v>1</v>
      </c>
      <c r="K285" s="68">
        <v>0</v>
      </c>
      <c r="L285" s="68">
        <v>0</v>
      </c>
      <c r="M285" s="68">
        <v>0</v>
      </c>
      <c r="N285" s="68">
        <v>0</v>
      </c>
    </row>
    <row r="286" spans="1:14">
      <c r="A286" t="s">
        <v>444</v>
      </c>
      <c r="B286" t="s">
        <v>445</v>
      </c>
      <c r="C286" t="s">
        <v>716</v>
      </c>
      <c r="D286" t="s">
        <v>385</v>
      </c>
      <c r="E286" t="s">
        <v>454</v>
      </c>
      <c r="F286" t="s">
        <v>452</v>
      </c>
      <c r="G286" s="68">
        <v>0</v>
      </c>
      <c r="H286" s="68">
        <v>2</v>
      </c>
      <c r="I286" s="68">
        <v>1</v>
      </c>
      <c r="J286" s="68">
        <v>1</v>
      </c>
      <c r="K286" s="68">
        <v>0</v>
      </c>
      <c r="L286" s="68">
        <v>0</v>
      </c>
      <c r="M286" s="68">
        <v>0</v>
      </c>
      <c r="N286" s="68">
        <v>0</v>
      </c>
    </row>
    <row r="287" spans="1:14">
      <c r="A287" t="s">
        <v>444</v>
      </c>
      <c r="B287" t="s">
        <v>445</v>
      </c>
      <c r="C287" t="s">
        <v>716</v>
      </c>
      <c r="D287" t="s">
        <v>364</v>
      </c>
      <c r="E287" t="s">
        <v>454</v>
      </c>
      <c r="F287" t="s">
        <v>472</v>
      </c>
      <c r="G287" s="68">
        <v>534</v>
      </c>
      <c r="H287" s="68">
        <v>1202</v>
      </c>
      <c r="I287" s="68">
        <v>1037</v>
      </c>
      <c r="J287" s="68">
        <v>1118</v>
      </c>
      <c r="K287" s="68">
        <v>770</v>
      </c>
      <c r="L287" s="68">
        <v>930</v>
      </c>
      <c r="M287" s="68">
        <v>760</v>
      </c>
      <c r="N287" s="68">
        <v>511</v>
      </c>
    </row>
    <row r="288" spans="1:14">
      <c r="A288" t="s">
        <v>444</v>
      </c>
      <c r="B288" t="s">
        <v>445</v>
      </c>
      <c r="C288" t="s">
        <v>716</v>
      </c>
      <c r="D288" t="s">
        <v>364</v>
      </c>
      <c r="E288" t="s">
        <v>454</v>
      </c>
      <c r="F288" t="s">
        <v>449</v>
      </c>
      <c r="G288" s="68">
        <v>1062</v>
      </c>
      <c r="H288" s="68">
        <v>0</v>
      </c>
      <c r="I288" s="68">
        <v>0</v>
      </c>
      <c r="J288" s="68">
        <v>0</v>
      </c>
      <c r="K288" s="68">
        <v>0</v>
      </c>
      <c r="L288" s="68">
        <v>0</v>
      </c>
      <c r="M288" s="68">
        <v>0</v>
      </c>
      <c r="N288" s="68">
        <v>0</v>
      </c>
    </row>
    <row r="289" spans="1:14">
      <c r="A289" t="s">
        <v>444</v>
      </c>
      <c r="B289" t="s">
        <v>445</v>
      </c>
      <c r="C289" t="s">
        <v>716</v>
      </c>
      <c r="D289" t="s">
        <v>364</v>
      </c>
      <c r="E289" t="s">
        <v>717</v>
      </c>
      <c r="F289" t="s">
        <v>449</v>
      </c>
      <c r="G289" s="68">
        <v>0</v>
      </c>
      <c r="H289" s="68">
        <v>2121</v>
      </c>
      <c r="I289" s="68">
        <v>1787</v>
      </c>
      <c r="J289" s="68">
        <v>1811</v>
      </c>
      <c r="K289" s="68">
        <v>1468</v>
      </c>
      <c r="L289" s="68">
        <v>1702</v>
      </c>
      <c r="M289" s="68">
        <v>1160</v>
      </c>
      <c r="N289" s="68">
        <v>518</v>
      </c>
    </row>
    <row r="290" spans="1:14">
      <c r="A290" t="s">
        <v>444</v>
      </c>
      <c r="B290" t="s">
        <v>445</v>
      </c>
      <c r="C290" t="s">
        <v>716</v>
      </c>
      <c r="D290" t="s">
        <v>363</v>
      </c>
      <c r="E290" t="s">
        <v>454</v>
      </c>
      <c r="F290" t="s">
        <v>472</v>
      </c>
      <c r="G290" s="68">
        <v>562</v>
      </c>
      <c r="H290" s="68">
        <v>1220</v>
      </c>
      <c r="I290" s="68">
        <v>1074</v>
      </c>
      <c r="J290" s="68">
        <v>1022</v>
      </c>
      <c r="K290" s="68">
        <v>962</v>
      </c>
      <c r="L290" s="68">
        <v>1248</v>
      </c>
      <c r="M290" s="68">
        <v>1124</v>
      </c>
      <c r="N290" s="68">
        <v>625</v>
      </c>
    </row>
    <row r="291" spans="1:14">
      <c r="A291" t="s">
        <v>444</v>
      </c>
      <c r="B291" t="s">
        <v>445</v>
      </c>
      <c r="C291" t="s">
        <v>716</v>
      </c>
      <c r="D291" t="s">
        <v>363</v>
      </c>
      <c r="E291" t="s">
        <v>718</v>
      </c>
      <c r="F291" t="s">
        <v>449</v>
      </c>
      <c r="G291" s="68">
        <v>2</v>
      </c>
      <c r="H291" s="68">
        <v>5</v>
      </c>
      <c r="I291" s="68">
        <v>7</v>
      </c>
      <c r="J291" s="68">
        <v>5</v>
      </c>
      <c r="K291" s="68">
        <v>6</v>
      </c>
      <c r="L291" s="68">
        <v>14</v>
      </c>
      <c r="M291" s="68">
        <v>7</v>
      </c>
      <c r="N291" s="68">
        <v>7</v>
      </c>
    </row>
    <row r="292" spans="1:14">
      <c r="A292" t="s">
        <v>444</v>
      </c>
      <c r="B292" t="s">
        <v>445</v>
      </c>
      <c r="C292" t="s">
        <v>716</v>
      </c>
      <c r="D292" t="s">
        <v>363</v>
      </c>
      <c r="E292" t="s">
        <v>719</v>
      </c>
      <c r="F292" t="s">
        <v>472</v>
      </c>
      <c r="G292" s="68">
        <v>0</v>
      </c>
      <c r="H292" s="68">
        <v>1</v>
      </c>
      <c r="I292" s="68">
        <v>0</v>
      </c>
      <c r="J292" s="68">
        <v>0</v>
      </c>
      <c r="K292" s="68">
        <v>0</v>
      </c>
      <c r="L292" s="68">
        <v>0</v>
      </c>
      <c r="M292" s="68">
        <v>0</v>
      </c>
      <c r="N292" s="68">
        <v>1</v>
      </c>
    </row>
    <row r="293" spans="1:14">
      <c r="A293" t="s">
        <v>444</v>
      </c>
      <c r="B293" t="s">
        <v>445</v>
      </c>
      <c r="C293" t="s">
        <v>716</v>
      </c>
      <c r="D293" t="s">
        <v>346</v>
      </c>
      <c r="E293" t="s">
        <v>454</v>
      </c>
      <c r="F293" t="s">
        <v>452</v>
      </c>
      <c r="G293" s="68">
        <v>264</v>
      </c>
      <c r="H293" s="68">
        <v>612</v>
      </c>
      <c r="I293" s="68">
        <v>727</v>
      </c>
      <c r="J293" s="68">
        <v>788</v>
      </c>
      <c r="K293" s="68">
        <v>590</v>
      </c>
      <c r="L293" s="68">
        <v>637</v>
      </c>
      <c r="M293" s="68">
        <v>749</v>
      </c>
      <c r="N293" s="68">
        <v>650</v>
      </c>
    </row>
    <row r="294" spans="1:14">
      <c r="A294" t="s">
        <v>444</v>
      </c>
      <c r="B294" t="s">
        <v>445</v>
      </c>
      <c r="C294" t="s">
        <v>716</v>
      </c>
      <c r="D294" t="s">
        <v>315</v>
      </c>
      <c r="E294" t="s">
        <v>720</v>
      </c>
      <c r="F294" t="s">
        <v>452</v>
      </c>
      <c r="G294" s="68">
        <v>14</v>
      </c>
      <c r="H294" s="68">
        <v>26</v>
      </c>
      <c r="I294" s="68">
        <v>28</v>
      </c>
      <c r="J294" s="68">
        <v>19</v>
      </c>
      <c r="K294" s="68">
        <v>13</v>
      </c>
      <c r="L294" s="68">
        <v>37</v>
      </c>
      <c r="M294" s="68">
        <v>26</v>
      </c>
      <c r="N294" s="68">
        <v>24</v>
      </c>
    </row>
    <row r="295" spans="1:14">
      <c r="A295" t="s">
        <v>444</v>
      </c>
      <c r="B295" t="s">
        <v>445</v>
      </c>
      <c r="C295" t="s">
        <v>716</v>
      </c>
      <c r="D295" t="s">
        <v>314</v>
      </c>
      <c r="E295" t="s">
        <v>720</v>
      </c>
      <c r="F295" t="s">
        <v>452</v>
      </c>
      <c r="G295" s="68">
        <v>0</v>
      </c>
      <c r="H295" s="68">
        <v>0</v>
      </c>
      <c r="I295" s="68">
        <v>0</v>
      </c>
      <c r="J295" s="68">
        <v>4</v>
      </c>
      <c r="K295" s="68">
        <v>1</v>
      </c>
      <c r="L295" s="68">
        <v>17</v>
      </c>
      <c r="M295" s="68">
        <v>14</v>
      </c>
      <c r="N295" s="68">
        <v>6</v>
      </c>
    </row>
    <row r="296" spans="1:14">
      <c r="A296" t="s">
        <v>444</v>
      </c>
      <c r="B296" t="s">
        <v>445</v>
      </c>
      <c r="C296" t="s">
        <v>716</v>
      </c>
      <c r="D296" t="s">
        <v>294</v>
      </c>
      <c r="E296" t="s">
        <v>721</v>
      </c>
      <c r="F296" t="s">
        <v>472</v>
      </c>
      <c r="G296" s="68">
        <v>0</v>
      </c>
      <c r="H296" s="68">
        <v>0</v>
      </c>
      <c r="I296" s="68">
        <v>1</v>
      </c>
      <c r="J296" s="68">
        <v>0</v>
      </c>
      <c r="K296" s="68">
        <v>0</v>
      </c>
      <c r="L296" s="68">
        <v>0</v>
      </c>
      <c r="M296" s="68">
        <v>0</v>
      </c>
      <c r="N296" s="68">
        <v>0</v>
      </c>
    </row>
    <row r="297" spans="1:14">
      <c r="A297" t="s">
        <v>444</v>
      </c>
      <c r="B297" t="s">
        <v>445</v>
      </c>
      <c r="C297" t="s">
        <v>716</v>
      </c>
      <c r="D297" t="s">
        <v>287</v>
      </c>
      <c r="E297" t="s">
        <v>454</v>
      </c>
      <c r="F297" t="s">
        <v>628</v>
      </c>
      <c r="G297" s="68">
        <v>0</v>
      </c>
      <c r="H297" s="68">
        <v>0</v>
      </c>
      <c r="I297" s="68">
        <v>0</v>
      </c>
      <c r="J297" s="68">
        <v>0</v>
      </c>
      <c r="K297" s="68">
        <v>0</v>
      </c>
      <c r="L297" s="68">
        <v>1</v>
      </c>
      <c r="M297" s="68">
        <v>0</v>
      </c>
      <c r="N297" s="68">
        <v>0</v>
      </c>
    </row>
    <row r="298" spans="1:14">
      <c r="A298" t="s">
        <v>444</v>
      </c>
      <c r="B298" t="s">
        <v>445</v>
      </c>
      <c r="C298" t="s">
        <v>716</v>
      </c>
      <c r="D298" t="s">
        <v>252</v>
      </c>
      <c r="E298" t="s">
        <v>722</v>
      </c>
      <c r="F298" t="s">
        <v>449</v>
      </c>
      <c r="G298" s="68">
        <v>0</v>
      </c>
      <c r="H298" s="68">
        <v>0</v>
      </c>
      <c r="I298" s="68">
        <v>0</v>
      </c>
      <c r="J298" s="68">
        <v>0</v>
      </c>
      <c r="K298" s="68">
        <v>0</v>
      </c>
      <c r="L298" s="68">
        <v>0</v>
      </c>
      <c r="M298" s="68">
        <v>1</v>
      </c>
      <c r="N298" s="68">
        <v>0</v>
      </c>
    </row>
    <row r="299" spans="1:14">
      <c r="A299" t="s">
        <v>444</v>
      </c>
      <c r="B299" t="s">
        <v>445</v>
      </c>
      <c r="C299" t="s">
        <v>716</v>
      </c>
      <c r="D299" t="s">
        <v>251</v>
      </c>
      <c r="E299" t="s">
        <v>454</v>
      </c>
      <c r="F299" t="s">
        <v>452</v>
      </c>
      <c r="G299" s="68">
        <v>1176</v>
      </c>
      <c r="H299" s="68">
        <v>2811</v>
      </c>
      <c r="I299" s="68">
        <v>2355</v>
      </c>
      <c r="J299" s="68">
        <v>2284</v>
      </c>
      <c r="K299" s="68">
        <v>1838</v>
      </c>
      <c r="L299" s="68">
        <v>2305</v>
      </c>
      <c r="M299" s="68">
        <v>2172</v>
      </c>
      <c r="N299" s="68">
        <v>1734</v>
      </c>
    </row>
    <row r="300" spans="1:14">
      <c r="A300" t="s">
        <v>444</v>
      </c>
      <c r="B300" t="s">
        <v>445</v>
      </c>
      <c r="C300" t="s">
        <v>716</v>
      </c>
      <c r="D300" t="s">
        <v>226</v>
      </c>
      <c r="E300" t="s">
        <v>454</v>
      </c>
      <c r="F300" t="s">
        <v>449</v>
      </c>
      <c r="G300" s="68">
        <v>0</v>
      </c>
      <c r="H300" s="68">
        <v>0</v>
      </c>
      <c r="I300" s="68">
        <v>0</v>
      </c>
      <c r="J300" s="68">
        <v>1</v>
      </c>
      <c r="K300" s="68">
        <v>0</v>
      </c>
      <c r="L300" s="68">
        <v>1</v>
      </c>
      <c r="M300" s="68">
        <v>1</v>
      </c>
      <c r="N300" s="68">
        <v>0</v>
      </c>
    </row>
    <row r="301" spans="1:14">
      <c r="A301" t="s">
        <v>444</v>
      </c>
      <c r="B301" t="s">
        <v>445</v>
      </c>
      <c r="C301" t="s">
        <v>716</v>
      </c>
      <c r="D301" t="s">
        <v>180</v>
      </c>
      <c r="E301" t="s">
        <v>454</v>
      </c>
      <c r="F301" t="s">
        <v>628</v>
      </c>
      <c r="G301" s="68">
        <v>0</v>
      </c>
      <c r="H301" s="68">
        <v>1</v>
      </c>
      <c r="I301" s="68">
        <v>0</v>
      </c>
      <c r="J301" s="68">
        <v>0</v>
      </c>
      <c r="K301" s="68">
        <v>0</v>
      </c>
      <c r="L301" s="68">
        <v>0</v>
      </c>
      <c r="M301" s="68">
        <v>0</v>
      </c>
      <c r="N301" s="68">
        <v>0</v>
      </c>
    </row>
    <row r="302" spans="1:14">
      <c r="A302" t="s">
        <v>444</v>
      </c>
      <c r="B302" t="s">
        <v>445</v>
      </c>
      <c r="C302" t="s">
        <v>716</v>
      </c>
      <c r="D302" t="s">
        <v>180</v>
      </c>
      <c r="E302" s="69">
        <v>1.5</v>
      </c>
      <c r="F302" t="s">
        <v>628</v>
      </c>
      <c r="G302" s="68">
        <v>0</v>
      </c>
      <c r="H302" s="68">
        <v>0</v>
      </c>
      <c r="I302" s="68">
        <v>0</v>
      </c>
      <c r="J302" s="68">
        <v>0</v>
      </c>
      <c r="K302" s="68">
        <v>1</v>
      </c>
      <c r="L302" s="68">
        <v>0</v>
      </c>
      <c r="M302" s="68">
        <v>0</v>
      </c>
      <c r="N302" s="68">
        <v>0</v>
      </c>
    </row>
    <row r="303" spans="1:14">
      <c r="A303" t="s">
        <v>444</v>
      </c>
      <c r="B303" t="s">
        <v>445</v>
      </c>
      <c r="C303" t="s">
        <v>716</v>
      </c>
      <c r="D303" t="s">
        <v>168</v>
      </c>
      <c r="E303" t="s">
        <v>723</v>
      </c>
      <c r="F303" t="s">
        <v>472</v>
      </c>
      <c r="G303" s="68">
        <v>0</v>
      </c>
      <c r="H303" s="68">
        <v>0</v>
      </c>
      <c r="I303" s="68">
        <v>0</v>
      </c>
      <c r="J303" s="68">
        <v>0</v>
      </c>
      <c r="K303" s="68">
        <v>0</v>
      </c>
      <c r="L303" s="68">
        <v>0</v>
      </c>
      <c r="M303" s="68">
        <v>0</v>
      </c>
      <c r="N303" s="68">
        <v>1</v>
      </c>
    </row>
    <row r="304" spans="1:14">
      <c r="A304" t="s">
        <v>444</v>
      </c>
      <c r="B304" t="s">
        <v>445</v>
      </c>
      <c r="C304" t="s">
        <v>716</v>
      </c>
      <c r="D304" t="s">
        <v>168</v>
      </c>
      <c r="E304" t="s">
        <v>724</v>
      </c>
      <c r="F304" t="s">
        <v>472</v>
      </c>
      <c r="G304" s="68">
        <v>0</v>
      </c>
      <c r="H304" s="68">
        <v>0</v>
      </c>
      <c r="I304" s="68">
        <v>0</v>
      </c>
      <c r="J304" s="68">
        <v>1</v>
      </c>
      <c r="K304" s="68">
        <v>0</v>
      </c>
      <c r="L304" s="68">
        <v>0</v>
      </c>
      <c r="M304" s="68">
        <v>1</v>
      </c>
      <c r="N304" s="68">
        <v>0</v>
      </c>
    </row>
    <row r="305" spans="1:14">
      <c r="A305" t="s">
        <v>444</v>
      </c>
      <c r="B305" t="s">
        <v>445</v>
      </c>
      <c r="C305" t="s">
        <v>716</v>
      </c>
      <c r="D305" t="s">
        <v>162</v>
      </c>
      <c r="E305" t="s">
        <v>725</v>
      </c>
      <c r="F305" t="s">
        <v>630</v>
      </c>
      <c r="G305" s="68">
        <v>0</v>
      </c>
      <c r="H305" s="68">
        <v>1</v>
      </c>
      <c r="I305" s="68">
        <v>0</v>
      </c>
      <c r="J305" s="68">
        <v>4</v>
      </c>
      <c r="K305" s="68">
        <v>0</v>
      </c>
      <c r="L305" s="68">
        <v>1</v>
      </c>
      <c r="M305" s="68">
        <v>0</v>
      </c>
      <c r="N305" s="68">
        <v>1</v>
      </c>
    </row>
    <row r="306" spans="1:14">
      <c r="A306" t="s">
        <v>444</v>
      </c>
      <c r="B306" t="s">
        <v>445</v>
      </c>
      <c r="C306" t="s">
        <v>716</v>
      </c>
      <c r="D306" t="s">
        <v>158</v>
      </c>
      <c r="E306" t="s">
        <v>454</v>
      </c>
      <c r="F306" t="s">
        <v>472</v>
      </c>
      <c r="G306" s="68">
        <v>0</v>
      </c>
      <c r="H306" s="68">
        <v>1</v>
      </c>
      <c r="I306" s="68">
        <v>0</v>
      </c>
      <c r="J306" s="68">
        <v>0</v>
      </c>
      <c r="K306" s="68">
        <v>0</v>
      </c>
      <c r="L306" s="68">
        <v>0</v>
      </c>
      <c r="M306" s="68">
        <v>0</v>
      </c>
      <c r="N306" s="68">
        <v>0</v>
      </c>
    </row>
    <row r="307" spans="1:14">
      <c r="A307" t="s">
        <v>444</v>
      </c>
      <c r="B307" t="s">
        <v>445</v>
      </c>
      <c r="C307" t="s">
        <v>716</v>
      </c>
      <c r="D307" t="s">
        <v>158</v>
      </c>
      <c r="E307" t="s">
        <v>726</v>
      </c>
      <c r="F307" t="s">
        <v>472</v>
      </c>
      <c r="G307" s="68">
        <v>0</v>
      </c>
      <c r="H307" s="68">
        <v>0</v>
      </c>
      <c r="I307" s="68">
        <v>0</v>
      </c>
      <c r="J307" s="68">
        <v>0</v>
      </c>
      <c r="K307" s="68">
        <v>0</v>
      </c>
      <c r="L307" s="68">
        <v>0</v>
      </c>
      <c r="M307" s="68">
        <v>1</v>
      </c>
      <c r="N307" s="68">
        <v>0</v>
      </c>
    </row>
    <row r="308" spans="1:14">
      <c r="A308" t="s">
        <v>444</v>
      </c>
      <c r="B308" t="s">
        <v>445</v>
      </c>
      <c r="C308" t="s">
        <v>716</v>
      </c>
      <c r="D308" t="s">
        <v>147</v>
      </c>
      <c r="E308" t="s">
        <v>727</v>
      </c>
      <c r="F308" t="s">
        <v>459</v>
      </c>
      <c r="G308" s="68">
        <v>0</v>
      </c>
      <c r="H308" s="68">
        <v>0</v>
      </c>
      <c r="I308" s="68">
        <v>1</v>
      </c>
      <c r="J308" s="68">
        <v>2</v>
      </c>
      <c r="K308" s="68">
        <v>0</v>
      </c>
      <c r="L308" s="68">
        <v>1</v>
      </c>
      <c r="M308" s="68">
        <v>0</v>
      </c>
      <c r="N308" s="68">
        <v>1</v>
      </c>
    </row>
    <row r="309" spans="1:14">
      <c r="A309" t="s">
        <v>444</v>
      </c>
      <c r="B309" t="s">
        <v>445</v>
      </c>
      <c r="C309" t="s">
        <v>716</v>
      </c>
      <c r="D309" t="s">
        <v>114</v>
      </c>
      <c r="E309" t="s">
        <v>454</v>
      </c>
      <c r="F309" t="s">
        <v>472</v>
      </c>
      <c r="G309" s="68">
        <v>0</v>
      </c>
      <c r="H309" s="68">
        <v>0</v>
      </c>
      <c r="I309" s="68">
        <v>0</v>
      </c>
      <c r="J309" s="68">
        <v>0</v>
      </c>
      <c r="K309" s="68">
        <v>0</v>
      </c>
      <c r="L309" s="68">
        <v>0</v>
      </c>
      <c r="M309" s="68">
        <v>1</v>
      </c>
      <c r="N309" s="68">
        <v>0</v>
      </c>
    </row>
    <row r="310" spans="1:14">
      <c r="A310" t="s">
        <v>444</v>
      </c>
      <c r="B310" t="s">
        <v>445</v>
      </c>
      <c r="C310" t="s">
        <v>716</v>
      </c>
      <c r="D310" t="s">
        <v>114</v>
      </c>
      <c r="E310" t="s">
        <v>728</v>
      </c>
      <c r="F310" t="s">
        <v>472</v>
      </c>
      <c r="G310" s="68">
        <v>0</v>
      </c>
      <c r="H310" s="68">
        <v>0</v>
      </c>
      <c r="I310" s="68">
        <v>1</v>
      </c>
      <c r="J310" s="68">
        <v>0</v>
      </c>
      <c r="K310" s="68">
        <v>0</v>
      </c>
      <c r="L310" s="68">
        <v>0</v>
      </c>
      <c r="M310" s="68">
        <v>0</v>
      </c>
      <c r="N310" s="68">
        <v>0</v>
      </c>
    </row>
    <row r="311" spans="1:14">
      <c r="A311" t="s">
        <v>444</v>
      </c>
      <c r="B311" t="s">
        <v>445</v>
      </c>
      <c r="C311" t="s">
        <v>716</v>
      </c>
      <c r="D311" t="s">
        <v>114</v>
      </c>
      <c r="E311" t="s">
        <v>729</v>
      </c>
      <c r="F311" t="s">
        <v>472</v>
      </c>
      <c r="G311" s="68">
        <v>0</v>
      </c>
      <c r="H311" s="68">
        <v>0</v>
      </c>
      <c r="I311" s="68">
        <v>0</v>
      </c>
      <c r="J311" s="68">
        <v>1</v>
      </c>
      <c r="K311" s="68">
        <v>0</v>
      </c>
      <c r="L311" s="68">
        <v>0</v>
      </c>
      <c r="M311" s="68">
        <v>0</v>
      </c>
      <c r="N311" s="68">
        <v>0</v>
      </c>
    </row>
    <row r="312" spans="1:14">
      <c r="A312" t="s">
        <v>444</v>
      </c>
      <c r="B312" t="s">
        <v>445</v>
      </c>
      <c r="C312" t="s">
        <v>716</v>
      </c>
      <c r="D312" t="s">
        <v>84</v>
      </c>
      <c r="E312" t="s">
        <v>730</v>
      </c>
      <c r="F312" t="s">
        <v>630</v>
      </c>
      <c r="G312" s="68">
        <v>0</v>
      </c>
      <c r="H312" s="68">
        <v>0</v>
      </c>
      <c r="I312" s="68">
        <v>0</v>
      </c>
      <c r="J312" s="68">
        <v>1</v>
      </c>
      <c r="K312" s="68">
        <v>1</v>
      </c>
      <c r="L312" s="68">
        <v>0</v>
      </c>
      <c r="M312" s="68">
        <v>0</v>
      </c>
      <c r="N312" s="68">
        <v>0</v>
      </c>
    </row>
    <row r="313" spans="1:14">
      <c r="A313" t="s">
        <v>444</v>
      </c>
      <c r="B313" t="s">
        <v>445</v>
      </c>
      <c r="C313" t="s">
        <v>716</v>
      </c>
      <c r="D313" t="s">
        <v>84</v>
      </c>
      <c r="E313" t="s">
        <v>731</v>
      </c>
      <c r="F313" t="s">
        <v>630</v>
      </c>
      <c r="G313" s="68">
        <v>0</v>
      </c>
      <c r="H313" s="68">
        <v>14</v>
      </c>
      <c r="I313" s="68">
        <v>13</v>
      </c>
      <c r="J313" s="68">
        <v>41</v>
      </c>
      <c r="K313" s="68">
        <v>57</v>
      </c>
      <c r="L313" s="68">
        <v>56</v>
      </c>
      <c r="M313" s="68">
        <v>82</v>
      </c>
      <c r="N313" s="68">
        <v>70</v>
      </c>
    </row>
    <row r="314" spans="1:14">
      <c r="A314" t="s">
        <v>444</v>
      </c>
      <c r="B314" t="s">
        <v>445</v>
      </c>
      <c r="C314" t="s">
        <v>716</v>
      </c>
      <c r="D314" t="s">
        <v>84</v>
      </c>
      <c r="E314" t="s">
        <v>732</v>
      </c>
      <c r="F314" t="s">
        <v>630</v>
      </c>
      <c r="G314" s="68">
        <v>1</v>
      </c>
      <c r="H314" s="68">
        <v>0</v>
      </c>
      <c r="I314" s="68">
        <v>0</v>
      </c>
      <c r="J314" s="68">
        <v>0</v>
      </c>
      <c r="K314" s="68">
        <v>0</v>
      </c>
      <c r="L314" s="68">
        <v>0</v>
      </c>
      <c r="M314" s="68">
        <v>0</v>
      </c>
      <c r="N314" s="68">
        <v>0</v>
      </c>
    </row>
    <row r="315" spans="1:14">
      <c r="A315" t="s">
        <v>444</v>
      </c>
      <c r="B315" t="s">
        <v>445</v>
      </c>
      <c r="C315" t="s">
        <v>716</v>
      </c>
      <c r="D315" t="s">
        <v>84</v>
      </c>
      <c r="E315" t="s">
        <v>733</v>
      </c>
      <c r="F315" t="s">
        <v>630</v>
      </c>
      <c r="G315" s="68">
        <v>6</v>
      </c>
      <c r="H315" s="68">
        <v>0</v>
      </c>
      <c r="I315" s="68">
        <v>0</v>
      </c>
      <c r="J315" s="68">
        <v>0</v>
      </c>
      <c r="K315" s="68">
        <v>0</v>
      </c>
      <c r="L315" s="68">
        <v>0</v>
      </c>
      <c r="M315" s="68">
        <v>0</v>
      </c>
      <c r="N315" s="68">
        <v>0</v>
      </c>
    </row>
    <row r="316" spans="1:14">
      <c r="A316" t="s">
        <v>444</v>
      </c>
      <c r="B316" t="s">
        <v>445</v>
      </c>
      <c r="C316" t="s">
        <v>716</v>
      </c>
      <c r="D316" t="s">
        <v>39</v>
      </c>
      <c r="E316" t="s">
        <v>454</v>
      </c>
      <c r="F316" t="s">
        <v>452</v>
      </c>
      <c r="G316" s="68">
        <v>5</v>
      </c>
      <c r="H316" s="68">
        <v>2</v>
      </c>
      <c r="I316" s="68">
        <v>3</v>
      </c>
      <c r="J316" s="68">
        <v>1</v>
      </c>
      <c r="K316" s="68">
        <v>1</v>
      </c>
      <c r="L316" s="68">
        <v>0</v>
      </c>
      <c r="M316" s="68">
        <v>1</v>
      </c>
      <c r="N316" s="68">
        <v>0</v>
      </c>
    </row>
    <row r="317" spans="1:14">
      <c r="A317" t="s">
        <v>444</v>
      </c>
      <c r="B317" t="s">
        <v>445</v>
      </c>
      <c r="C317" t="s">
        <v>734</v>
      </c>
      <c r="D317" t="s">
        <v>249</v>
      </c>
      <c r="E317" t="s">
        <v>735</v>
      </c>
      <c r="F317" t="s">
        <v>452</v>
      </c>
      <c r="G317" s="68">
        <v>0</v>
      </c>
      <c r="H317" s="68">
        <v>16</v>
      </c>
      <c r="I317" s="68">
        <v>3</v>
      </c>
      <c r="J317" s="68">
        <v>2</v>
      </c>
      <c r="K317" s="68">
        <v>5</v>
      </c>
      <c r="L317" s="68">
        <v>2</v>
      </c>
      <c r="M317" s="68">
        <v>2</v>
      </c>
      <c r="N317" s="68">
        <v>4</v>
      </c>
    </row>
    <row r="318" spans="1:14">
      <c r="A318" t="s">
        <v>444</v>
      </c>
      <c r="B318" t="s">
        <v>445</v>
      </c>
      <c r="C318" t="s">
        <v>734</v>
      </c>
      <c r="D318" t="s">
        <v>249</v>
      </c>
      <c r="E318" t="s">
        <v>736</v>
      </c>
      <c r="F318" t="s">
        <v>452</v>
      </c>
      <c r="G318" s="68">
        <v>0</v>
      </c>
      <c r="H318" s="68">
        <v>535</v>
      </c>
      <c r="I318" s="68">
        <v>11</v>
      </c>
      <c r="J318" s="68">
        <v>13</v>
      </c>
      <c r="K318" s="68">
        <v>113</v>
      </c>
      <c r="L318" s="68">
        <v>223</v>
      </c>
      <c r="M318" s="68">
        <v>291</v>
      </c>
      <c r="N318" s="68">
        <v>349</v>
      </c>
    </row>
    <row r="319" spans="1:14">
      <c r="A319" t="s">
        <v>444</v>
      </c>
      <c r="B319" t="s">
        <v>445</v>
      </c>
      <c r="C319" t="s">
        <v>734</v>
      </c>
      <c r="D319" t="s">
        <v>244</v>
      </c>
      <c r="E319" t="s">
        <v>735</v>
      </c>
      <c r="F319" t="s">
        <v>452</v>
      </c>
      <c r="G319" s="68">
        <v>5</v>
      </c>
      <c r="H319" s="68">
        <v>0</v>
      </c>
      <c r="I319" s="68">
        <v>0</v>
      </c>
      <c r="J319" s="68">
        <v>0</v>
      </c>
      <c r="K319" s="68">
        <v>0</v>
      </c>
      <c r="L319" s="68">
        <v>0</v>
      </c>
      <c r="M319" s="68">
        <v>0</v>
      </c>
      <c r="N319" s="68">
        <v>0</v>
      </c>
    </row>
    <row r="320" spans="1:14">
      <c r="A320" t="s">
        <v>444</v>
      </c>
      <c r="B320" t="s">
        <v>445</v>
      </c>
      <c r="C320" t="s">
        <v>734</v>
      </c>
      <c r="D320" t="s">
        <v>244</v>
      </c>
      <c r="E320" t="s">
        <v>737</v>
      </c>
      <c r="F320" t="s">
        <v>452</v>
      </c>
      <c r="G320" s="68">
        <v>99</v>
      </c>
      <c r="H320" s="68">
        <v>0</v>
      </c>
      <c r="I320" s="68">
        <v>0</v>
      </c>
      <c r="J320" s="68">
        <v>0</v>
      </c>
      <c r="K320" s="68">
        <v>0</v>
      </c>
      <c r="L320" s="68">
        <v>0</v>
      </c>
      <c r="M320" s="68">
        <v>0</v>
      </c>
      <c r="N320" s="68">
        <v>0</v>
      </c>
    </row>
    <row r="321" spans="1:14">
      <c r="A321" t="s">
        <v>444</v>
      </c>
      <c r="B321" t="s">
        <v>445</v>
      </c>
      <c r="C321" t="s">
        <v>734</v>
      </c>
      <c r="D321" t="s">
        <v>243</v>
      </c>
      <c r="E321" t="s">
        <v>454</v>
      </c>
      <c r="F321" t="s">
        <v>459</v>
      </c>
      <c r="G321" s="68">
        <v>1</v>
      </c>
      <c r="H321" s="68">
        <v>0</v>
      </c>
      <c r="I321" s="68">
        <v>0</v>
      </c>
      <c r="J321" s="68">
        <v>0</v>
      </c>
      <c r="K321" s="68">
        <v>0</v>
      </c>
      <c r="L321" s="68">
        <v>0</v>
      </c>
      <c r="M321" s="68">
        <v>0</v>
      </c>
      <c r="N321" s="68">
        <v>0</v>
      </c>
    </row>
    <row r="322" spans="1:14">
      <c r="A322" t="s">
        <v>444</v>
      </c>
      <c r="B322" t="s">
        <v>445</v>
      </c>
      <c r="C322" t="s">
        <v>738</v>
      </c>
      <c r="D322" t="s">
        <v>348</v>
      </c>
      <c r="E322" t="s">
        <v>454</v>
      </c>
      <c r="F322" t="s">
        <v>452</v>
      </c>
      <c r="G322" s="68">
        <v>15</v>
      </c>
      <c r="H322" s="68">
        <v>31</v>
      </c>
      <c r="I322" s="68">
        <v>20</v>
      </c>
      <c r="J322" s="68">
        <v>9</v>
      </c>
      <c r="K322" s="68">
        <v>8</v>
      </c>
      <c r="L322" s="68">
        <v>1</v>
      </c>
      <c r="M322" s="68">
        <v>1</v>
      </c>
      <c r="N322" s="68">
        <v>2</v>
      </c>
    </row>
    <row r="323" spans="1:14">
      <c r="A323" t="s">
        <v>444</v>
      </c>
      <c r="B323" t="s">
        <v>445</v>
      </c>
      <c r="C323" t="s">
        <v>738</v>
      </c>
      <c r="D323" t="s">
        <v>234</v>
      </c>
      <c r="E323" t="s">
        <v>739</v>
      </c>
      <c r="F323" t="s">
        <v>449</v>
      </c>
      <c r="G323" s="68">
        <v>1</v>
      </c>
      <c r="H323" s="68">
        <v>0</v>
      </c>
      <c r="I323" s="68">
        <v>0</v>
      </c>
      <c r="J323" s="68">
        <v>0</v>
      </c>
      <c r="K323" s="68">
        <v>0</v>
      </c>
      <c r="L323" s="68">
        <v>0</v>
      </c>
      <c r="M323" s="68">
        <v>0</v>
      </c>
      <c r="N323" s="68">
        <v>0</v>
      </c>
    </row>
    <row r="324" spans="1:14">
      <c r="A324" t="s">
        <v>444</v>
      </c>
      <c r="B324" t="s">
        <v>445</v>
      </c>
      <c r="C324" t="s">
        <v>738</v>
      </c>
      <c r="D324" t="s">
        <v>233</v>
      </c>
      <c r="E324" t="s">
        <v>454</v>
      </c>
      <c r="F324" t="s">
        <v>452</v>
      </c>
      <c r="G324" s="68">
        <v>12</v>
      </c>
      <c r="H324" s="68">
        <v>236</v>
      </c>
      <c r="I324" s="68">
        <v>2</v>
      </c>
      <c r="J324" s="68">
        <v>3</v>
      </c>
      <c r="K324" s="68">
        <v>1</v>
      </c>
      <c r="L324" s="68">
        <v>1</v>
      </c>
      <c r="M324" s="68">
        <v>0</v>
      </c>
      <c r="N324" s="68">
        <v>2</v>
      </c>
    </row>
    <row r="325" spans="1:14">
      <c r="A325" t="s">
        <v>444</v>
      </c>
      <c r="B325" t="s">
        <v>445</v>
      </c>
      <c r="C325" t="s">
        <v>738</v>
      </c>
      <c r="D325" t="s">
        <v>233</v>
      </c>
      <c r="E325" t="s">
        <v>740</v>
      </c>
      <c r="F325" t="s">
        <v>452</v>
      </c>
      <c r="G325" s="68">
        <v>1</v>
      </c>
      <c r="H325" s="68">
        <v>0</v>
      </c>
      <c r="I325" s="68">
        <v>0</v>
      </c>
      <c r="J325" s="68">
        <v>0</v>
      </c>
      <c r="K325" s="68">
        <v>0</v>
      </c>
      <c r="L325" s="68">
        <v>1</v>
      </c>
      <c r="M325" s="68">
        <v>0</v>
      </c>
      <c r="N325" s="68">
        <v>1</v>
      </c>
    </row>
    <row r="326" spans="1:14">
      <c r="A326" t="s">
        <v>444</v>
      </c>
      <c r="B326" t="s">
        <v>445</v>
      </c>
      <c r="C326" t="s">
        <v>738</v>
      </c>
      <c r="D326" t="s">
        <v>232</v>
      </c>
      <c r="E326" t="s">
        <v>741</v>
      </c>
      <c r="F326" t="s">
        <v>447</v>
      </c>
      <c r="G326" s="68">
        <v>1</v>
      </c>
      <c r="H326" s="68">
        <v>4</v>
      </c>
      <c r="I326" s="68">
        <v>0</v>
      </c>
      <c r="J326" s="68">
        <v>2</v>
      </c>
      <c r="K326" s="68">
        <v>3</v>
      </c>
      <c r="L326" s="68">
        <v>6</v>
      </c>
      <c r="M326" s="68">
        <v>5</v>
      </c>
      <c r="N326" s="68">
        <v>2</v>
      </c>
    </row>
    <row r="327" spans="1:14">
      <c r="A327" t="s">
        <v>444</v>
      </c>
      <c r="B327" t="s">
        <v>445</v>
      </c>
      <c r="C327" t="s">
        <v>738</v>
      </c>
      <c r="D327" t="s">
        <v>153</v>
      </c>
      <c r="E327" t="s">
        <v>454</v>
      </c>
      <c r="F327" t="s">
        <v>452</v>
      </c>
      <c r="G327" s="68">
        <v>7</v>
      </c>
      <c r="H327" s="68">
        <v>36</v>
      </c>
      <c r="I327" s="68">
        <v>23</v>
      </c>
      <c r="J327" s="68">
        <v>20</v>
      </c>
      <c r="K327" s="68">
        <v>19</v>
      </c>
      <c r="L327" s="68">
        <v>14</v>
      </c>
      <c r="M327" s="68">
        <v>16</v>
      </c>
      <c r="N327" s="68">
        <v>24</v>
      </c>
    </row>
    <row r="328" spans="1:14">
      <c r="A328" t="s">
        <v>444</v>
      </c>
      <c r="B328" t="s">
        <v>445</v>
      </c>
      <c r="C328" t="s">
        <v>738</v>
      </c>
      <c r="D328" t="s">
        <v>111</v>
      </c>
      <c r="E328" t="s">
        <v>454</v>
      </c>
      <c r="F328" t="s">
        <v>452</v>
      </c>
      <c r="G328" s="68">
        <v>23</v>
      </c>
      <c r="H328" s="68">
        <v>60</v>
      </c>
      <c r="I328" s="68">
        <v>46</v>
      </c>
      <c r="J328" s="68">
        <v>52</v>
      </c>
      <c r="K328" s="68">
        <v>21</v>
      </c>
      <c r="L328" s="68">
        <v>49</v>
      </c>
      <c r="M328" s="68">
        <v>31</v>
      </c>
      <c r="N328" s="68">
        <v>34</v>
      </c>
    </row>
    <row r="329" spans="1:14">
      <c r="A329" t="s">
        <v>444</v>
      </c>
      <c r="B329" t="s">
        <v>445</v>
      </c>
      <c r="C329" t="s">
        <v>738</v>
      </c>
      <c r="D329" t="s">
        <v>86</v>
      </c>
      <c r="E329" t="s">
        <v>454</v>
      </c>
      <c r="F329" t="s">
        <v>628</v>
      </c>
      <c r="G329" s="68">
        <v>18</v>
      </c>
      <c r="H329" s="68">
        <v>34</v>
      </c>
      <c r="I329" s="68">
        <v>11</v>
      </c>
      <c r="J329" s="68">
        <v>14</v>
      </c>
      <c r="K329" s="68">
        <v>11</v>
      </c>
      <c r="L329" s="68">
        <v>25</v>
      </c>
      <c r="M329" s="68">
        <v>20</v>
      </c>
      <c r="N329" s="68">
        <v>26</v>
      </c>
    </row>
    <row r="330" spans="1:14">
      <c r="A330" t="s">
        <v>444</v>
      </c>
      <c r="B330" t="s">
        <v>445</v>
      </c>
      <c r="C330" t="s">
        <v>738</v>
      </c>
      <c r="D330" t="s">
        <v>85</v>
      </c>
      <c r="E330" t="s">
        <v>454</v>
      </c>
      <c r="F330" t="s">
        <v>630</v>
      </c>
      <c r="G330" s="68">
        <v>42</v>
      </c>
      <c r="H330" s="68">
        <v>106</v>
      </c>
      <c r="I330" s="68">
        <v>84</v>
      </c>
      <c r="J330" s="68">
        <v>72</v>
      </c>
      <c r="K330" s="68">
        <v>57</v>
      </c>
      <c r="L330" s="68">
        <v>66</v>
      </c>
      <c r="M330" s="68">
        <v>73</v>
      </c>
      <c r="N330" s="68">
        <v>95</v>
      </c>
    </row>
    <row r="331" spans="1:14">
      <c r="A331" t="s">
        <v>444</v>
      </c>
      <c r="B331" t="s">
        <v>445</v>
      </c>
      <c r="C331" t="s">
        <v>742</v>
      </c>
      <c r="D331" t="s">
        <v>171</v>
      </c>
      <c r="E331" t="s">
        <v>454</v>
      </c>
      <c r="F331" t="s">
        <v>452</v>
      </c>
      <c r="G331" s="68">
        <v>621</v>
      </c>
      <c r="H331" s="68">
        <v>1516</v>
      </c>
      <c r="I331" s="68">
        <v>1218</v>
      </c>
      <c r="J331" s="68">
        <v>1440</v>
      </c>
      <c r="K331" s="68">
        <v>994</v>
      </c>
      <c r="L331" s="68">
        <v>957</v>
      </c>
      <c r="M331" s="68">
        <v>900</v>
      </c>
      <c r="N331" s="68">
        <v>737</v>
      </c>
    </row>
    <row r="332" spans="1:14">
      <c r="A332" t="s">
        <v>444</v>
      </c>
      <c r="B332" t="s">
        <v>445</v>
      </c>
      <c r="C332" t="s">
        <v>742</v>
      </c>
      <c r="D332" t="s">
        <v>158</v>
      </c>
      <c r="E332" t="s">
        <v>454</v>
      </c>
      <c r="F332" t="s">
        <v>472</v>
      </c>
      <c r="G332" s="68">
        <v>1</v>
      </c>
      <c r="H332" s="68">
        <v>1</v>
      </c>
      <c r="I332" s="68">
        <v>1</v>
      </c>
      <c r="J332" s="68">
        <v>9</v>
      </c>
      <c r="K332" s="68">
        <v>0</v>
      </c>
      <c r="L332" s="68">
        <v>0</v>
      </c>
      <c r="M332" s="68">
        <v>2</v>
      </c>
      <c r="N332" s="68">
        <v>0</v>
      </c>
    </row>
    <row r="333" spans="1:14">
      <c r="A333" t="s">
        <v>444</v>
      </c>
      <c r="B333" t="s">
        <v>445</v>
      </c>
      <c r="C333" t="s">
        <v>743</v>
      </c>
      <c r="D333" t="s">
        <v>75</v>
      </c>
      <c r="E333" t="s">
        <v>744</v>
      </c>
      <c r="F333" t="s">
        <v>472</v>
      </c>
      <c r="G333" s="68">
        <v>0</v>
      </c>
      <c r="H333" s="68">
        <v>0</v>
      </c>
      <c r="I333" s="68">
        <v>0</v>
      </c>
      <c r="J333" s="68">
        <v>0</v>
      </c>
      <c r="K333" s="68">
        <v>0</v>
      </c>
      <c r="L333" s="68">
        <v>1</v>
      </c>
      <c r="M333" s="68">
        <v>0</v>
      </c>
      <c r="N333" s="68">
        <v>0</v>
      </c>
    </row>
    <row r="334" spans="1:14">
      <c r="A334" t="s">
        <v>444</v>
      </c>
      <c r="B334" t="s">
        <v>445</v>
      </c>
      <c r="C334" t="s">
        <v>745</v>
      </c>
      <c r="D334" t="s">
        <v>419</v>
      </c>
      <c r="E334" t="s">
        <v>746</v>
      </c>
      <c r="F334" t="s">
        <v>452</v>
      </c>
      <c r="G334" s="68">
        <v>0</v>
      </c>
      <c r="H334" s="68">
        <v>0</v>
      </c>
      <c r="I334" s="68">
        <v>0</v>
      </c>
      <c r="J334" s="68">
        <v>0</v>
      </c>
      <c r="K334" s="68">
        <v>0</v>
      </c>
      <c r="L334" s="68">
        <v>0</v>
      </c>
      <c r="M334" s="68">
        <v>151</v>
      </c>
      <c r="N334" s="68">
        <v>2055</v>
      </c>
    </row>
    <row r="335" spans="1:14">
      <c r="A335" t="s">
        <v>444</v>
      </c>
      <c r="B335" t="s">
        <v>445</v>
      </c>
      <c r="C335" t="s">
        <v>745</v>
      </c>
      <c r="D335" t="s">
        <v>419</v>
      </c>
      <c r="E335" t="s">
        <v>747</v>
      </c>
      <c r="F335" t="s">
        <v>452</v>
      </c>
      <c r="G335" s="68">
        <v>41</v>
      </c>
      <c r="H335" s="68">
        <v>17</v>
      </c>
      <c r="I335" s="68">
        <v>0</v>
      </c>
      <c r="J335" s="68">
        <v>3</v>
      </c>
      <c r="K335" s="68">
        <v>0</v>
      </c>
      <c r="L335" s="68">
        <v>0</v>
      </c>
      <c r="M335" s="68">
        <v>0</v>
      </c>
      <c r="N335" s="68">
        <v>0</v>
      </c>
    </row>
    <row r="336" spans="1:14">
      <c r="A336" t="s">
        <v>444</v>
      </c>
      <c r="B336" t="s">
        <v>445</v>
      </c>
      <c r="C336" t="s">
        <v>745</v>
      </c>
      <c r="D336" t="s">
        <v>419</v>
      </c>
      <c r="E336" t="s">
        <v>748</v>
      </c>
      <c r="F336" t="s">
        <v>452</v>
      </c>
      <c r="G336" s="68">
        <v>3357</v>
      </c>
      <c r="H336" s="68">
        <v>6789</v>
      </c>
      <c r="I336" s="68">
        <v>705</v>
      </c>
      <c r="J336" s="68">
        <v>1180</v>
      </c>
      <c r="K336" s="68">
        <v>1059</v>
      </c>
      <c r="L336" s="68">
        <v>1010</v>
      </c>
      <c r="M336" s="68">
        <v>374</v>
      </c>
      <c r="N336" s="68">
        <v>81</v>
      </c>
    </row>
    <row r="337" spans="1:14">
      <c r="A337" t="s">
        <v>444</v>
      </c>
      <c r="B337" t="s">
        <v>445</v>
      </c>
      <c r="C337" t="s">
        <v>745</v>
      </c>
      <c r="D337" t="s">
        <v>417</v>
      </c>
      <c r="E337" t="s">
        <v>749</v>
      </c>
      <c r="F337" t="s">
        <v>452</v>
      </c>
      <c r="G337" s="68">
        <v>79</v>
      </c>
      <c r="H337" s="68">
        <v>127</v>
      </c>
      <c r="I337" s="68">
        <v>4</v>
      </c>
      <c r="J337" s="68">
        <v>6</v>
      </c>
      <c r="K337" s="68">
        <v>3</v>
      </c>
      <c r="L337" s="68">
        <v>3</v>
      </c>
      <c r="M337" s="68">
        <v>2</v>
      </c>
      <c r="N337" s="68">
        <v>1</v>
      </c>
    </row>
    <row r="338" spans="1:14">
      <c r="A338" t="s">
        <v>444</v>
      </c>
      <c r="B338" t="s">
        <v>445</v>
      </c>
      <c r="C338" t="s">
        <v>745</v>
      </c>
      <c r="D338" t="s">
        <v>417</v>
      </c>
      <c r="E338" t="s">
        <v>750</v>
      </c>
      <c r="F338" t="s">
        <v>452</v>
      </c>
      <c r="G338" s="68">
        <v>279</v>
      </c>
      <c r="H338" s="68">
        <v>531</v>
      </c>
      <c r="I338" s="68">
        <v>32</v>
      </c>
      <c r="J338" s="68">
        <v>158</v>
      </c>
      <c r="K338" s="68">
        <v>185</v>
      </c>
      <c r="L338" s="68">
        <v>393</v>
      </c>
      <c r="M338" s="68">
        <v>157</v>
      </c>
      <c r="N338" s="68">
        <v>295</v>
      </c>
    </row>
    <row r="339" spans="1:14">
      <c r="A339" t="s">
        <v>444</v>
      </c>
      <c r="B339" t="s">
        <v>445</v>
      </c>
      <c r="C339" t="s">
        <v>745</v>
      </c>
      <c r="D339" t="s">
        <v>417</v>
      </c>
      <c r="E339" t="s">
        <v>751</v>
      </c>
      <c r="F339" t="s">
        <v>452</v>
      </c>
      <c r="G339" s="68">
        <v>0</v>
      </c>
      <c r="H339" s="68">
        <v>0</v>
      </c>
      <c r="I339" s="68">
        <v>0</v>
      </c>
      <c r="J339" s="68">
        <v>0</v>
      </c>
      <c r="K339" s="68">
        <v>0</v>
      </c>
      <c r="L339" s="68">
        <v>0</v>
      </c>
      <c r="M339" s="68">
        <v>214</v>
      </c>
      <c r="N339" s="68">
        <v>88</v>
      </c>
    </row>
    <row r="340" spans="1:14">
      <c r="A340" t="s">
        <v>444</v>
      </c>
      <c r="B340" t="s">
        <v>445</v>
      </c>
      <c r="C340" t="s">
        <v>745</v>
      </c>
      <c r="D340" t="s">
        <v>417</v>
      </c>
      <c r="E340" t="s">
        <v>752</v>
      </c>
      <c r="F340" t="s">
        <v>452</v>
      </c>
      <c r="G340" s="68">
        <v>0</v>
      </c>
      <c r="H340" s="68">
        <v>0</v>
      </c>
      <c r="I340" s="68">
        <v>0</v>
      </c>
      <c r="J340" s="68">
        <v>0</v>
      </c>
      <c r="K340" s="68">
        <v>0</v>
      </c>
      <c r="L340" s="68">
        <v>80</v>
      </c>
      <c r="M340" s="68">
        <v>228</v>
      </c>
      <c r="N340" s="68">
        <v>135</v>
      </c>
    </row>
    <row r="341" spans="1:14">
      <c r="A341" t="s">
        <v>444</v>
      </c>
      <c r="B341" t="s">
        <v>445</v>
      </c>
      <c r="C341" t="s">
        <v>745</v>
      </c>
      <c r="D341" t="s">
        <v>417</v>
      </c>
      <c r="E341" t="s">
        <v>753</v>
      </c>
      <c r="F341" t="s">
        <v>452</v>
      </c>
      <c r="G341" s="68">
        <v>228</v>
      </c>
      <c r="H341" s="68">
        <v>402</v>
      </c>
      <c r="I341" s="68">
        <v>17</v>
      </c>
      <c r="J341" s="68">
        <v>94</v>
      </c>
      <c r="K341" s="68">
        <v>43</v>
      </c>
      <c r="L341" s="68">
        <v>0</v>
      </c>
      <c r="M341" s="68">
        <v>0</v>
      </c>
      <c r="N341" s="68">
        <v>0</v>
      </c>
    </row>
    <row r="342" spans="1:14">
      <c r="A342" t="s">
        <v>444</v>
      </c>
      <c r="B342" t="s">
        <v>445</v>
      </c>
      <c r="C342" t="s">
        <v>745</v>
      </c>
      <c r="D342" t="s">
        <v>417</v>
      </c>
      <c r="E342" t="s">
        <v>754</v>
      </c>
      <c r="F342" t="s">
        <v>452</v>
      </c>
      <c r="G342" s="68">
        <v>0</v>
      </c>
      <c r="H342" s="68">
        <v>100</v>
      </c>
      <c r="I342" s="68">
        <v>14</v>
      </c>
      <c r="J342" s="68">
        <v>61</v>
      </c>
      <c r="K342" s="68">
        <v>34</v>
      </c>
      <c r="L342" s="68">
        <v>90</v>
      </c>
      <c r="M342" s="68">
        <v>96</v>
      </c>
      <c r="N342" s="68">
        <v>113</v>
      </c>
    </row>
    <row r="343" spans="1:14">
      <c r="A343" t="s">
        <v>444</v>
      </c>
      <c r="B343" t="s">
        <v>445</v>
      </c>
      <c r="C343" t="s">
        <v>745</v>
      </c>
      <c r="D343" t="s">
        <v>416</v>
      </c>
      <c r="E343" t="s">
        <v>755</v>
      </c>
      <c r="F343" t="s">
        <v>452</v>
      </c>
      <c r="G343" s="68">
        <v>86</v>
      </c>
      <c r="H343" s="68">
        <v>213</v>
      </c>
      <c r="I343" s="68">
        <v>96</v>
      </c>
      <c r="J343" s="68">
        <v>87</v>
      </c>
      <c r="K343" s="68">
        <v>68</v>
      </c>
      <c r="L343" s="68">
        <v>122</v>
      </c>
      <c r="M343" s="68">
        <v>72</v>
      </c>
      <c r="N343" s="68">
        <v>40</v>
      </c>
    </row>
    <row r="344" spans="1:14">
      <c r="A344" t="s">
        <v>444</v>
      </c>
      <c r="B344" t="s">
        <v>445</v>
      </c>
      <c r="C344" t="s">
        <v>756</v>
      </c>
      <c r="D344" t="s">
        <v>267</v>
      </c>
      <c r="E344" t="s">
        <v>757</v>
      </c>
      <c r="F344" t="s">
        <v>452</v>
      </c>
      <c r="G344" s="68">
        <v>0</v>
      </c>
      <c r="H344" s="68">
        <v>0</v>
      </c>
      <c r="I344" s="68">
        <v>0</v>
      </c>
      <c r="J344" s="68">
        <v>0</v>
      </c>
      <c r="K344" s="68">
        <v>0</v>
      </c>
      <c r="L344" s="68">
        <v>0</v>
      </c>
      <c r="M344" s="68">
        <v>0</v>
      </c>
      <c r="N344" s="68">
        <v>2</v>
      </c>
    </row>
    <row r="345" spans="1:14">
      <c r="A345" t="s">
        <v>444</v>
      </c>
      <c r="B345" t="s">
        <v>445</v>
      </c>
      <c r="C345" t="s">
        <v>756</v>
      </c>
      <c r="D345" t="s">
        <v>40</v>
      </c>
      <c r="E345" t="s">
        <v>758</v>
      </c>
      <c r="F345" t="s">
        <v>452</v>
      </c>
      <c r="G345" s="68">
        <v>1</v>
      </c>
      <c r="H345" s="68">
        <v>6</v>
      </c>
      <c r="I345" s="68">
        <v>3</v>
      </c>
      <c r="J345" s="68">
        <v>2</v>
      </c>
      <c r="K345" s="68">
        <v>3</v>
      </c>
      <c r="L345" s="68">
        <v>0</v>
      </c>
      <c r="M345" s="68">
        <v>3</v>
      </c>
      <c r="N345" s="68">
        <v>6</v>
      </c>
    </row>
    <row r="346" spans="1:14">
      <c r="A346" t="s">
        <v>444</v>
      </c>
      <c r="B346" t="s">
        <v>445</v>
      </c>
      <c r="C346" t="s">
        <v>759</v>
      </c>
      <c r="D346" t="s">
        <v>158</v>
      </c>
      <c r="E346" t="s">
        <v>760</v>
      </c>
      <c r="F346" t="s">
        <v>472</v>
      </c>
      <c r="G346" s="68">
        <v>0</v>
      </c>
      <c r="H346" s="68">
        <v>0</v>
      </c>
      <c r="I346" s="68">
        <v>1</v>
      </c>
      <c r="J346" s="68">
        <v>0</v>
      </c>
      <c r="K346" s="68">
        <v>0</v>
      </c>
      <c r="L346" s="68">
        <v>0</v>
      </c>
      <c r="M346" s="68">
        <v>0</v>
      </c>
      <c r="N346" s="68">
        <v>0</v>
      </c>
    </row>
    <row r="347" spans="1:14">
      <c r="A347" t="s">
        <v>444</v>
      </c>
      <c r="B347" t="s">
        <v>445</v>
      </c>
      <c r="C347" t="s">
        <v>759</v>
      </c>
      <c r="D347" t="s">
        <v>158</v>
      </c>
      <c r="E347" t="s">
        <v>761</v>
      </c>
      <c r="F347" t="s">
        <v>472</v>
      </c>
      <c r="G347" s="68">
        <v>0</v>
      </c>
      <c r="H347" s="68">
        <v>0</v>
      </c>
      <c r="I347" s="68">
        <v>2</v>
      </c>
      <c r="J347" s="68">
        <v>0</v>
      </c>
      <c r="K347" s="68">
        <v>0</v>
      </c>
      <c r="L347" s="68">
        <v>1</v>
      </c>
      <c r="M347" s="68">
        <v>0</v>
      </c>
      <c r="N347" s="68">
        <v>0</v>
      </c>
    </row>
    <row r="348" spans="1:14">
      <c r="A348" t="s">
        <v>444</v>
      </c>
      <c r="B348" t="s">
        <v>445</v>
      </c>
      <c r="C348" t="s">
        <v>762</v>
      </c>
      <c r="D348" t="s">
        <v>158</v>
      </c>
      <c r="E348" t="s">
        <v>763</v>
      </c>
      <c r="F348" t="s">
        <v>472</v>
      </c>
      <c r="G348" s="68">
        <v>0</v>
      </c>
      <c r="H348" s="68">
        <v>0</v>
      </c>
      <c r="I348" s="68">
        <v>1</v>
      </c>
      <c r="J348" s="68">
        <v>0</v>
      </c>
      <c r="K348" s="68">
        <v>0</v>
      </c>
      <c r="L348" s="68">
        <v>0</v>
      </c>
      <c r="M348" s="68">
        <v>0</v>
      </c>
      <c r="N348" s="68">
        <v>0</v>
      </c>
    </row>
    <row r="349" spans="1:14">
      <c r="A349" t="s">
        <v>444</v>
      </c>
      <c r="B349" t="s">
        <v>445</v>
      </c>
      <c r="C349" t="s">
        <v>764</v>
      </c>
      <c r="D349" t="s">
        <v>221</v>
      </c>
      <c r="E349" t="s">
        <v>765</v>
      </c>
      <c r="F349" t="s">
        <v>449</v>
      </c>
      <c r="G349" s="68">
        <v>1</v>
      </c>
      <c r="H349" s="68">
        <v>1</v>
      </c>
      <c r="I349" s="68">
        <v>0</v>
      </c>
      <c r="J349" s="68">
        <v>6</v>
      </c>
      <c r="K349" s="68">
        <v>2</v>
      </c>
      <c r="L349" s="68">
        <v>0</v>
      </c>
      <c r="M349" s="68">
        <v>0</v>
      </c>
      <c r="N349" s="68">
        <v>0</v>
      </c>
    </row>
    <row r="350" spans="1:14">
      <c r="A350" t="s">
        <v>444</v>
      </c>
      <c r="B350" t="s">
        <v>445</v>
      </c>
      <c r="C350" t="s">
        <v>764</v>
      </c>
      <c r="D350" t="s">
        <v>221</v>
      </c>
      <c r="E350" t="s">
        <v>766</v>
      </c>
      <c r="F350" t="s">
        <v>449</v>
      </c>
      <c r="G350" s="68">
        <v>3</v>
      </c>
      <c r="H350" s="68">
        <v>0</v>
      </c>
      <c r="I350" s="68">
        <v>0</v>
      </c>
      <c r="J350" s="68">
        <v>0</v>
      </c>
      <c r="K350" s="68">
        <v>3</v>
      </c>
      <c r="L350" s="68">
        <v>0</v>
      </c>
      <c r="M350" s="68">
        <v>0</v>
      </c>
      <c r="N350" s="68">
        <v>0</v>
      </c>
    </row>
    <row r="351" spans="1:14">
      <c r="A351" t="s">
        <v>444</v>
      </c>
      <c r="B351" t="s">
        <v>445</v>
      </c>
      <c r="C351" t="s">
        <v>764</v>
      </c>
      <c r="D351" t="s">
        <v>221</v>
      </c>
      <c r="E351" t="s">
        <v>767</v>
      </c>
      <c r="F351" t="s">
        <v>449</v>
      </c>
      <c r="G351" s="68">
        <v>0</v>
      </c>
      <c r="H351" s="68">
        <v>0</v>
      </c>
      <c r="I351" s="68">
        <v>0</v>
      </c>
      <c r="J351" s="68">
        <v>0</v>
      </c>
      <c r="K351" s="68">
        <v>0</v>
      </c>
      <c r="L351" s="68">
        <v>0</v>
      </c>
      <c r="M351" s="68">
        <v>1</v>
      </c>
      <c r="N351" s="68">
        <v>0</v>
      </c>
    </row>
    <row r="352" spans="1:14">
      <c r="A352" t="s">
        <v>444</v>
      </c>
      <c r="B352" t="s">
        <v>445</v>
      </c>
      <c r="C352" t="s">
        <v>768</v>
      </c>
      <c r="D352" t="s">
        <v>373</v>
      </c>
      <c r="E352" t="s">
        <v>454</v>
      </c>
      <c r="F352" t="s">
        <v>630</v>
      </c>
      <c r="G352" s="68">
        <v>61</v>
      </c>
      <c r="H352" s="68">
        <v>56</v>
      </c>
      <c r="I352" s="68">
        <v>80</v>
      </c>
      <c r="J352" s="68">
        <v>66</v>
      </c>
      <c r="K352" s="68">
        <v>46</v>
      </c>
      <c r="L352" s="68">
        <v>52</v>
      </c>
      <c r="M352" s="68">
        <v>32</v>
      </c>
      <c r="N352" s="68">
        <v>61</v>
      </c>
    </row>
    <row r="353" spans="1:14">
      <c r="A353" t="s">
        <v>444</v>
      </c>
      <c r="B353" t="s">
        <v>445</v>
      </c>
      <c r="C353" t="s">
        <v>768</v>
      </c>
      <c r="D353" t="s">
        <v>373</v>
      </c>
      <c r="E353" t="s">
        <v>769</v>
      </c>
      <c r="F353" t="s">
        <v>630</v>
      </c>
      <c r="G353" s="68">
        <v>6</v>
      </c>
      <c r="H353" s="68">
        <v>17</v>
      </c>
      <c r="I353" s="68">
        <v>18</v>
      </c>
      <c r="J353" s="68">
        <v>26</v>
      </c>
      <c r="K353" s="68">
        <v>16</v>
      </c>
      <c r="L353" s="68">
        <v>13</v>
      </c>
      <c r="M353" s="68">
        <v>12</v>
      </c>
      <c r="N353" s="68">
        <v>10</v>
      </c>
    </row>
    <row r="354" spans="1:14">
      <c r="A354" t="s">
        <v>444</v>
      </c>
      <c r="B354" t="s">
        <v>445</v>
      </c>
      <c r="C354" t="s">
        <v>768</v>
      </c>
      <c r="D354" t="s">
        <v>373</v>
      </c>
      <c r="E354" t="s">
        <v>770</v>
      </c>
      <c r="F354" t="s">
        <v>630</v>
      </c>
      <c r="G354" s="68">
        <v>1</v>
      </c>
      <c r="H354" s="68">
        <v>3</v>
      </c>
      <c r="I354" s="68">
        <v>3</v>
      </c>
      <c r="J354" s="68">
        <v>1</v>
      </c>
      <c r="K354" s="68">
        <v>0</v>
      </c>
      <c r="L354" s="68">
        <v>3</v>
      </c>
      <c r="M354" s="68">
        <v>1</v>
      </c>
      <c r="N354" s="68">
        <v>3</v>
      </c>
    </row>
    <row r="355" spans="1:14">
      <c r="A355" t="s">
        <v>444</v>
      </c>
      <c r="B355" t="s">
        <v>445</v>
      </c>
      <c r="C355" t="s">
        <v>768</v>
      </c>
      <c r="D355" t="s">
        <v>306</v>
      </c>
      <c r="E355" t="s">
        <v>454</v>
      </c>
      <c r="F355" t="s">
        <v>452</v>
      </c>
      <c r="G355" s="68">
        <v>29</v>
      </c>
      <c r="H355" s="68">
        <v>24</v>
      </c>
      <c r="I355" s="68">
        <v>14</v>
      </c>
      <c r="J355" s="68">
        <v>21</v>
      </c>
      <c r="K355" s="68">
        <v>14</v>
      </c>
      <c r="L355" s="68">
        <v>53</v>
      </c>
      <c r="M355" s="68">
        <v>68</v>
      </c>
      <c r="N355" s="68">
        <v>52</v>
      </c>
    </row>
    <row r="356" spans="1:14">
      <c r="A356" t="s">
        <v>444</v>
      </c>
      <c r="B356" t="s">
        <v>445</v>
      </c>
      <c r="C356" t="s">
        <v>768</v>
      </c>
      <c r="D356" t="s">
        <v>305</v>
      </c>
      <c r="E356" t="s">
        <v>771</v>
      </c>
      <c r="F356" t="s">
        <v>452</v>
      </c>
      <c r="G356" s="68">
        <v>2</v>
      </c>
      <c r="H356" s="68">
        <v>0</v>
      </c>
      <c r="I356" s="68">
        <v>3</v>
      </c>
      <c r="J356" s="68">
        <v>1</v>
      </c>
      <c r="K356" s="68">
        <v>3</v>
      </c>
      <c r="L356" s="68">
        <v>3</v>
      </c>
      <c r="M356" s="68">
        <v>2</v>
      </c>
      <c r="N356" s="68">
        <v>1</v>
      </c>
    </row>
    <row r="357" spans="1:14">
      <c r="A357" t="s">
        <v>444</v>
      </c>
      <c r="B357" t="s">
        <v>445</v>
      </c>
      <c r="C357" t="s">
        <v>768</v>
      </c>
      <c r="D357" t="s">
        <v>268</v>
      </c>
      <c r="E357" t="s">
        <v>454</v>
      </c>
      <c r="F357" t="s">
        <v>630</v>
      </c>
      <c r="G357" s="68">
        <v>1</v>
      </c>
      <c r="H357" s="68">
        <v>0</v>
      </c>
      <c r="I357" s="68">
        <v>0</v>
      </c>
      <c r="J357" s="68">
        <v>0</v>
      </c>
      <c r="K357" s="68">
        <v>0</v>
      </c>
      <c r="L357" s="68">
        <v>0</v>
      </c>
      <c r="M357" s="68">
        <v>1</v>
      </c>
      <c r="N357" s="68">
        <v>0</v>
      </c>
    </row>
    <row r="358" spans="1:14">
      <c r="A358" t="s">
        <v>444</v>
      </c>
      <c r="B358" t="s">
        <v>445</v>
      </c>
      <c r="C358" t="s">
        <v>768</v>
      </c>
      <c r="D358" t="s">
        <v>90</v>
      </c>
      <c r="E358" t="s">
        <v>454</v>
      </c>
      <c r="F358" t="s">
        <v>452</v>
      </c>
      <c r="G358" s="68">
        <v>1</v>
      </c>
      <c r="H358" s="68">
        <v>9</v>
      </c>
      <c r="I358" s="68">
        <v>2</v>
      </c>
      <c r="J358" s="68">
        <v>13</v>
      </c>
      <c r="K358" s="68">
        <v>4</v>
      </c>
      <c r="L358" s="68">
        <v>5</v>
      </c>
      <c r="M358" s="68">
        <v>8</v>
      </c>
      <c r="N358" s="68">
        <v>8</v>
      </c>
    </row>
    <row r="359" spans="1:14">
      <c r="A359" t="s">
        <v>444</v>
      </c>
      <c r="B359" t="s">
        <v>445</v>
      </c>
      <c r="C359" t="s">
        <v>772</v>
      </c>
      <c r="D359" t="s">
        <v>246</v>
      </c>
      <c r="E359" t="s">
        <v>773</v>
      </c>
      <c r="F359" t="s">
        <v>459</v>
      </c>
      <c r="G359" s="68">
        <v>0</v>
      </c>
      <c r="H359" s="68">
        <v>0</v>
      </c>
      <c r="I359" s="68">
        <v>0</v>
      </c>
      <c r="J359" s="68">
        <v>0</v>
      </c>
      <c r="K359" s="68">
        <v>0</v>
      </c>
      <c r="L359" s="68">
        <v>0</v>
      </c>
      <c r="M359" s="68">
        <v>1</v>
      </c>
      <c r="N359" s="68">
        <v>0</v>
      </c>
    </row>
    <row r="360" spans="1:14">
      <c r="A360" t="s">
        <v>444</v>
      </c>
      <c r="B360" t="s">
        <v>445</v>
      </c>
      <c r="C360" t="s">
        <v>772</v>
      </c>
      <c r="D360" t="s">
        <v>246</v>
      </c>
      <c r="E360" t="s">
        <v>774</v>
      </c>
      <c r="F360" t="s">
        <v>459</v>
      </c>
      <c r="G360" s="68">
        <v>0</v>
      </c>
      <c r="H360" s="68">
        <v>1</v>
      </c>
      <c r="I360" s="68">
        <v>1</v>
      </c>
      <c r="J360" s="68">
        <v>1</v>
      </c>
      <c r="K360" s="68">
        <v>0</v>
      </c>
      <c r="L360" s="68">
        <v>0</v>
      </c>
      <c r="M360" s="68">
        <v>0</v>
      </c>
      <c r="N360" s="68">
        <v>0</v>
      </c>
    </row>
    <row r="361" spans="1:14">
      <c r="A361" t="s">
        <v>444</v>
      </c>
      <c r="B361" t="s">
        <v>445</v>
      </c>
      <c r="C361" t="s">
        <v>772</v>
      </c>
      <c r="D361" t="s">
        <v>246</v>
      </c>
      <c r="E361" t="s">
        <v>775</v>
      </c>
      <c r="F361" t="s">
        <v>459</v>
      </c>
      <c r="G361" s="68">
        <v>0</v>
      </c>
      <c r="H361" s="68">
        <v>0</v>
      </c>
      <c r="I361" s="68">
        <v>0</v>
      </c>
      <c r="J361" s="68">
        <v>0</v>
      </c>
      <c r="K361" s="68">
        <v>0</v>
      </c>
      <c r="L361" s="68">
        <v>1</v>
      </c>
      <c r="M361" s="68">
        <v>1</v>
      </c>
      <c r="N361" s="68">
        <v>0</v>
      </c>
    </row>
    <row r="362" spans="1:14">
      <c r="A362" t="s">
        <v>444</v>
      </c>
      <c r="B362" t="s">
        <v>445</v>
      </c>
      <c r="C362" t="s">
        <v>772</v>
      </c>
      <c r="D362" t="s">
        <v>246</v>
      </c>
      <c r="E362" t="s">
        <v>776</v>
      </c>
      <c r="F362" t="s">
        <v>459</v>
      </c>
      <c r="G362" s="68">
        <v>2</v>
      </c>
      <c r="H362" s="68">
        <v>0</v>
      </c>
      <c r="I362" s="68">
        <v>0</v>
      </c>
      <c r="J362" s="68">
        <v>2</v>
      </c>
      <c r="K362" s="68">
        <v>1</v>
      </c>
      <c r="L362" s="68">
        <v>1</v>
      </c>
      <c r="M362" s="68">
        <v>1</v>
      </c>
      <c r="N362" s="68">
        <v>2</v>
      </c>
    </row>
    <row r="363" spans="1:14">
      <c r="A363" t="s">
        <v>444</v>
      </c>
      <c r="B363" t="s">
        <v>445</v>
      </c>
      <c r="C363" t="s">
        <v>772</v>
      </c>
      <c r="D363" t="s">
        <v>246</v>
      </c>
      <c r="E363" t="s">
        <v>777</v>
      </c>
      <c r="F363" t="s">
        <v>472</v>
      </c>
      <c r="G363" s="68">
        <v>0</v>
      </c>
      <c r="H363" s="68">
        <v>0</v>
      </c>
      <c r="I363" s="68">
        <v>1</v>
      </c>
      <c r="J363" s="68">
        <v>0</v>
      </c>
      <c r="K363" s="68">
        <v>1</v>
      </c>
      <c r="L363" s="68">
        <v>0</v>
      </c>
      <c r="M363" s="68">
        <v>0</v>
      </c>
      <c r="N363" s="68">
        <v>0</v>
      </c>
    </row>
    <row r="364" spans="1:14">
      <c r="A364" t="s">
        <v>444</v>
      </c>
      <c r="B364" t="s">
        <v>445</v>
      </c>
      <c r="C364" t="s">
        <v>772</v>
      </c>
      <c r="D364" t="s">
        <v>246</v>
      </c>
      <c r="E364" t="s">
        <v>778</v>
      </c>
      <c r="F364" t="s">
        <v>536</v>
      </c>
      <c r="G364" s="68">
        <v>0</v>
      </c>
      <c r="H364" s="68">
        <v>0</v>
      </c>
      <c r="I364" s="68">
        <v>0</v>
      </c>
      <c r="J364" s="68">
        <v>0</v>
      </c>
      <c r="K364" s="68">
        <v>0</v>
      </c>
      <c r="L364" s="68">
        <v>1</v>
      </c>
      <c r="M364" s="68">
        <v>0</v>
      </c>
      <c r="N364" s="68">
        <v>0</v>
      </c>
    </row>
    <row r="365" spans="1:14">
      <c r="A365" t="s">
        <v>444</v>
      </c>
      <c r="B365" t="s">
        <v>445</v>
      </c>
      <c r="C365" t="s">
        <v>772</v>
      </c>
      <c r="D365" t="s">
        <v>246</v>
      </c>
      <c r="E365" t="s">
        <v>779</v>
      </c>
      <c r="F365" t="s">
        <v>472</v>
      </c>
      <c r="G365" s="68">
        <v>0</v>
      </c>
      <c r="H365" s="68">
        <v>0</v>
      </c>
      <c r="I365" s="68">
        <v>0</v>
      </c>
      <c r="J365" s="68">
        <v>2</v>
      </c>
      <c r="K365" s="68">
        <v>0</v>
      </c>
      <c r="L365" s="68">
        <v>0</v>
      </c>
      <c r="M365" s="68">
        <v>0</v>
      </c>
      <c r="N365" s="68">
        <v>1</v>
      </c>
    </row>
    <row r="366" spans="1:14">
      <c r="A366" t="s">
        <v>444</v>
      </c>
      <c r="B366" t="s">
        <v>445</v>
      </c>
      <c r="C366" t="s">
        <v>772</v>
      </c>
      <c r="D366" t="s">
        <v>124</v>
      </c>
      <c r="E366" t="s">
        <v>780</v>
      </c>
      <c r="F366" t="s">
        <v>459</v>
      </c>
      <c r="G366" s="68">
        <v>0</v>
      </c>
      <c r="H366" s="68">
        <v>1</v>
      </c>
      <c r="I366" s="68">
        <v>1</v>
      </c>
      <c r="J366" s="68">
        <v>2</v>
      </c>
      <c r="K366" s="68">
        <v>2</v>
      </c>
      <c r="L366" s="68">
        <v>0</v>
      </c>
      <c r="M366" s="68">
        <v>0</v>
      </c>
      <c r="N366" s="68">
        <v>0</v>
      </c>
    </row>
    <row r="367" spans="1:14">
      <c r="A367" t="s">
        <v>444</v>
      </c>
      <c r="B367" t="s">
        <v>445</v>
      </c>
      <c r="C367" t="s">
        <v>772</v>
      </c>
      <c r="D367" t="s">
        <v>69</v>
      </c>
      <c r="E367" t="s">
        <v>781</v>
      </c>
      <c r="F367" t="s">
        <v>459</v>
      </c>
      <c r="G367" s="68">
        <v>0</v>
      </c>
      <c r="H367" s="68">
        <v>0</v>
      </c>
      <c r="I367" s="68">
        <v>0</v>
      </c>
      <c r="J367" s="68">
        <v>0</v>
      </c>
      <c r="K367" s="68">
        <v>0</v>
      </c>
      <c r="L367" s="68">
        <v>0</v>
      </c>
      <c r="M367" s="68">
        <v>0</v>
      </c>
      <c r="N367" s="68">
        <v>1</v>
      </c>
    </row>
    <row r="368" spans="1:14">
      <c r="A368" t="s">
        <v>444</v>
      </c>
      <c r="B368" t="s">
        <v>445</v>
      </c>
      <c r="C368" t="s">
        <v>772</v>
      </c>
      <c r="D368" t="s">
        <v>59</v>
      </c>
      <c r="E368" t="s">
        <v>454</v>
      </c>
      <c r="F368" t="s">
        <v>452</v>
      </c>
      <c r="G368" s="68">
        <v>0</v>
      </c>
      <c r="H368" s="68">
        <v>0</v>
      </c>
      <c r="I368" s="68">
        <v>0</v>
      </c>
      <c r="J368" s="68">
        <v>2</v>
      </c>
      <c r="K368" s="68">
        <v>0</v>
      </c>
      <c r="L368" s="68">
        <v>0</v>
      </c>
      <c r="M368" s="68">
        <v>0</v>
      </c>
      <c r="N368" s="68">
        <v>0</v>
      </c>
    </row>
    <row r="369" spans="1:14">
      <c r="A369" t="s">
        <v>444</v>
      </c>
      <c r="B369" t="s">
        <v>445</v>
      </c>
      <c r="C369" t="s">
        <v>772</v>
      </c>
      <c r="D369" t="s">
        <v>59</v>
      </c>
      <c r="E369" t="s">
        <v>782</v>
      </c>
      <c r="F369" t="s">
        <v>452</v>
      </c>
      <c r="G369" s="68">
        <v>0</v>
      </c>
      <c r="H369" s="68">
        <v>2</v>
      </c>
      <c r="I369" s="68">
        <v>0</v>
      </c>
      <c r="J369" s="68">
        <v>0</v>
      </c>
      <c r="K369" s="68">
        <v>2</v>
      </c>
      <c r="L369" s="68">
        <v>0</v>
      </c>
      <c r="M369" s="68">
        <v>0</v>
      </c>
      <c r="N369" s="68">
        <v>0</v>
      </c>
    </row>
    <row r="370" spans="1:14">
      <c r="A370" t="s">
        <v>444</v>
      </c>
      <c r="B370" t="s">
        <v>445</v>
      </c>
      <c r="C370" t="s">
        <v>772</v>
      </c>
      <c r="D370" t="s">
        <v>59</v>
      </c>
      <c r="E370" t="s">
        <v>783</v>
      </c>
      <c r="F370" t="s">
        <v>452</v>
      </c>
      <c r="G370" s="68">
        <v>0</v>
      </c>
      <c r="H370" s="68">
        <v>0</v>
      </c>
      <c r="I370" s="68">
        <v>1</v>
      </c>
      <c r="J370" s="68">
        <v>2</v>
      </c>
      <c r="K370" s="68">
        <v>2</v>
      </c>
      <c r="L370" s="68">
        <v>1</v>
      </c>
      <c r="M370" s="68">
        <v>2</v>
      </c>
      <c r="N370" s="68">
        <v>0</v>
      </c>
    </row>
    <row r="371" spans="1:14">
      <c r="A371" t="s">
        <v>444</v>
      </c>
      <c r="B371" t="s">
        <v>445</v>
      </c>
      <c r="C371" t="s">
        <v>772</v>
      </c>
      <c r="D371" t="s">
        <v>59</v>
      </c>
      <c r="E371" t="s">
        <v>784</v>
      </c>
      <c r="F371" t="s">
        <v>452</v>
      </c>
      <c r="G371" s="68">
        <v>0</v>
      </c>
      <c r="H371" s="68">
        <v>0</v>
      </c>
      <c r="I371" s="68">
        <v>0</v>
      </c>
      <c r="J371" s="68">
        <v>1</v>
      </c>
      <c r="K371" s="68">
        <v>1</v>
      </c>
      <c r="L371" s="68">
        <v>0</v>
      </c>
      <c r="M371" s="68">
        <v>0</v>
      </c>
      <c r="N371" s="68">
        <v>0</v>
      </c>
    </row>
    <row r="372" spans="1:14">
      <c r="A372" t="s">
        <v>444</v>
      </c>
      <c r="B372" t="s">
        <v>445</v>
      </c>
      <c r="C372" t="s">
        <v>785</v>
      </c>
      <c r="D372" t="s">
        <v>333</v>
      </c>
      <c r="E372" s="69">
        <v>2</v>
      </c>
      <c r="F372" t="s">
        <v>452</v>
      </c>
      <c r="G372" s="68">
        <v>0</v>
      </c>
      <c r="H372" s="68">
        <v>0</v>
      </c>
      <c r="I372" s="68">
        <v>0</v>
      </c>
      <c r="J372" s="68">
        <v>0</v>
      </c>
      <c r="K372" s="68">
        <v>1</v>
      </c>
      <c r="L372" s="68">
        <v>0</v>
      </c>
      <c r="M372" s="68">
        <v>0</v>
      </c>
      <c r="N372" s="68">
        <v>0</v>
      </c>
    </row>
    <row r="373" spans="1:14">
      <c r="A373" t="s">
        <v>444</v>
      </c>
      <c r="B373" t="s">
        <v>445</v>
      </c>
      <c r="C373" t="s">
        <v>785</v>
      </c>
      <c r="D373" t="s">
        <v>333</v>
      </c>
      <c r="E373" t="s">
        <v>786</v>
      </c>
      <c r="F373" t="s">
        <v>452</v>
      </c>
      <c r="G373" s="68">
        <v>5</v>
      </c>
      <c r="H373" s="68">
        <v>0</v>
      </c>
      <c r="I373" s="68">
        <v>0</v>
      </c>
      <c r="J373" s="68">
        <v>0</v>
      </c>
      <c r="K373" s="68">
        <v>0</v>
      </c>
      <c r="L373" s="68">
        <v>0</v>
      </c>
      <c r="M373" s="68">
        <v>0</v>
      </c>
      <c r="N373" s="68">
        <v>0</v>
      </c>
    </row>
    <row r="374" spans="1:14">
      <c r="A374" t="s">
        <v>444</v>
      </c>
      <c r="B374" t="s">
        <v>445</v>
      </c>
      <c r="C374" t="s">
        <v>785</v>
      </c>
      <c r="D374" t="s">
        <v>333</v>
      </c>
      <c r="E374" t="s">
        <v>787</v>
      </c>
      <c r="F374" t="s">
        <v>452</v>
      </c>
      <c r="G374" s="68">
        <v>0</v>
      </c>
      <c r="H374" s="68">
        <v>2</v>
      </c>
      <c r="I374" s="68">
        <v>0</v>
      </c>
      <c r="J374" s="68">
        <v>1</v>
      </c>
      <c r="K374" s="68">
        <v>0</v>
      </c>
      <c r="L374" s="68">
        <v>1</v>
      </c>
      <c r="M374" s="68">
        <v>1</v>
      </c>
      <c r="N374" s="68">
        <v>3</v>
      </c>
    </row>
    <row r="375" spans="1:14">
      <c r="A375" t="s">
        <v>444</v>
      </c>
      <c r="B375" t="s">
        <v>445</v>
      </c>
      <c r="C375" t="s">
        <v>785</v>
      </c>
      <c r="D375" t="s">
        <v>333</v>
      </c>
      <c r="E375" s="69">
        <v>3</v>
      </c>
      <c r="F375" t="s">
        <v>452</v>
      </c>
      <c r="G375" s="68">
        <v>1</v>
      </c>
      <c r="H375" s="68">
        <v>0</v>
      </c>
      <c r="I375" s="68">
        <v>0</v>
      </c>
      <c r="J375" s="68">
        <v>0</v>
      </c>
      <c r="K375" s="68">
        <v>0</v>
      </c>
      <c r="L375" s="68">
        <v>0</v>
      </c>
      <c r="M375" s="68">
        <v>0</v>
      </c>
      <c r="N375" s="68">
        <v>0</v>
      </c>
    </row>
    <row r="376" spans="1:14">
      <c r="A376" t="s">
        <v>444</v>
      </c>
      <c r="B376" t="s">
        <v>445</v>
      </c>
      <c r="C376" t="s">
        <v>785</v>
      </c>
      <c r="D376" t="s">
        <v>333</v>
      </c>
      <c r="E376" t="s">
        <v>788</v>
      </c>
      <c r="F376" t="s">
        <v>452</v>
      </c>
      <c r="G376" s="68">
        <v>0</v>
      </c>
      <c r="H376" s="68">
        <v>0</v>
      </c>
      <c r="I376" s="68">
        <v>0</v>
      </c>
      <c r="J376" s="68">
        <v>0</v>
      </c>
      <c r="K376" s="68">
        <v>0</v>
      </c>
      <c r="L376" s="68">
        <v>0</v>
      </c>
      <c r="M376" s="68">
        <v>1</v>
      </c>
      <c r="N376" s="68">
        <v>0</v>
      </c>
    </row>
    <row r="377" spans="1:14">
      <c r="A377" t="s">
        <v>444</v>
      </c>
      <c r="B377" t="s">
        <v>445</v>
      </c>
      <c r="C377" t="s">
        <v>785</v>
      </c>
      <c r="D377" t="s">
        <v>333</v>
      </c>
      <c r="E377" t="s">
        <v>789</v>
      </c>
      <c r="F377" t="s">
        <v>452</v>
      </c>
      <c r="G377" s="68">
        <v>0</v>
      </c>
      <c r="H377" s="68">
        <v>2</v>
      </c>
      <c r="I377" s="68">
        <v>2</v>
      </c>
      <c r="J377" s="68">
        <v>0</v>
      </c>
      <c r="K377" s="68">
        <v>0</v>
      </c>
      <c r="L377" s="68">
        <v>0</v>
      </c>
      <c r="M377" s="68">
        <v>1</v>
      </c>
      <c r="N377" s="68">
        <v>0</v>
      </c>
    </row>
    <row r="378" spans="1:14">
      <c r="A378" t="s">
        <v>444</v>
      </c>
      <c r="B378" t="s">
        <v>445</v>
      </c>
      <c r="C378" t="s">
        <v>785</v>
      </c>
      <c r="D378" t="s">
        <v>333</v>
      </c>
      <c r="E378" t="s">
        <v>790</v>
      </c>
      <c r="F378" t="s">
        <v>452</v>
      </c>
      <c r="G378" s="68">
        <v>0</v>
      </c>
      <c r="H378" s="68">
        <v>0</v>
      </c>
      <c r="I378" s="68">
        <v>1</v>
      </c>
      <c r="J378" s="68">
        <v>0</v>
      </c>
      <c r="K378" s="68">
        <v>0</v>
      </c>
      <c r="L378" s="68">
        <v>0</v>
      </c>
      <c r="M378" s="68">
        <v>0</v>
      </c>
      <c r="N378" s="68">
        <v>0</v>
      </c>
    </row>
    <row r="379" spans="1:14">
      <c r="A379" t="s">
        <v>444</v>
      </c>
      <c r="B379" t="s">
        <v>445</v>
      </c>
      <c r="C379" t="s">
        <v>785</v>
      </c>
      <c r="D379" t="s">
        <v>332</v>
      </c>
      <c r="E379" t="s">
        <v>789</v>
      </c>
      <c r="F379" t="s">
        <v>452</v>
      </c>
      <c r="G379" s="68">
        <v>0</v>
      </c>
      <c r="H379" s="68">
        <v>0</v>
      </c>
      <c r="I379" s="68">
        <v>0</v>
      </c>
      <c r="J379" s="68">
        <v>0</v>
      </c>
      <c r="K379" s="68">
        <v>0</v>
      </c>
      <c r="L379" s="68">
        <v>0</v>
      </c>
      <c r="M379" s="68">
        <v>1</v>
      </c>
      <c r="N379" s="68">
        <v>0</v>
      </c>
    </row>
    <row r="380" spans="1:14">
      <c r="A380" t="s">
        <v>444</v>
      </c>
      <c r="B380" t="s">
        <v>445</v>
      </c>
      <c r="C380" t="s">
        <v>785</v>
      </c>
      <c r="D380" t="s">
        <v>132</v>
      </c>
      <c r="E380" s="69">
        <v>3</v>
      </c>
      <c r="F380" t="s">
        <v>452</v>
      </c>
      <c r="G380" s="68">
        <v>2</v>
      </c>
      <c r="H380" s="68">
        <v>4</v>
      </c>
      <c r="I380" s="68">
        <v>2</v>
      </c>
      <c r="J380" s="68">
        <v>4</v>
      </c>
      <c r="K380" s="68">
        <v>1</v>
      </c>
      <c r="L380" s="68">
        <v>2</v>
      </c>
      <c r="M380" s="68">
        <v>1</v>
      </c>
      <c r="N380" s="68">
        <v>3</v>
      </c>
    </row>
    <row r="381" spans="1:14">
      <c r="A381" t="s">
        <v>444</v>
      </c>
      <c r="B381" t="s">
        <v>445</v>
      </c>
      <c r="C381" t="s">
        <v>785</v>
      </c>
      <c r="D381" t="s">
        <v>132</v>
      </c>
      <c r="E381" t="s">
        <v>791</v>
      </c>
      <c r="F381" t="s">
        <v>452</v>
      </c>
      <c r="G381" s="68">
        <v>0</v>
      </c>
      <c r="H381" s="68">
        <v>0</v>
      </c>
      <c r="I381" s="68">
        <v>0</v>
      </c>
      <c r="J381" s="68">
        <v>1</v>
      </c>
      <c r="K381" s="68">
        <v>0</v>
      </c>
      <c r="L381" s="68">
        <v>0</v>
      </c>
      <c r="M381" s="68">
        <v>0</v>
      </c>
      <c r="N381" s="68">
        <v>0</v>
      </c>
    </row>
    <row r="382" spans="1:14">
      <c r="A382" t="s">
        <v>444</v>
      </c>
      <c r="B382" t="s">
        <v>445</v>
      </c>
      <c r="C382" t="s">
        <v>785</v>
      </c>
      <c r="D382" t="s">
        <v>132</v>
      </c>
      <c r="E382" t="s">
        <v>792</v>
      </c>
      <c r="F382" t="s">
        <v>452</v>
      </c>
      <c r="G382" s="68">
        <v>0</v>
      </c>
      <c r="H382" s="68">
        <v>1</v>
      </c>
      <c r="I382" s="68">
        <v>0</v>
      </c>
      <c r="J382" s="68">
        <v>0</v>
      </c>
      <c r="K382" s="68">
        <v>0</v>
      </c>
      <c r="L382" s="68">
        <v>0</v>
      </c>
      <c r="M382" s="68">
        <v>0</v>
      </c>
      <c r="N382" s="68">
        <v>0</v>
      </c>
    </row>
    <row r="383" spans="1:14">
      <c r="A383" t="s">
        <v>444</v>
      </c>
      <c r="B383" t="s">
        <v>445</v>
      </c>
      <c r="C383" t="s">
        <v>785</v>
      </c>
      <c r="D383" t="s">
        <v>131</v>
      </c>
      <c r="E383" t="s">
        <v>793</v>
      </c>
      <c r="F383" t="s">
        <v>452</v>
      </c>
      <c r="G383" s="68">
        <v>0</v>
      </c>
      <c r="H383" s="68">
        <v>2</v>
      </c>
      <c r="I383" s="68">
        <v>1</v>
      </c>
      <c r="J383" s="68">
        <v>0</v>
      </c>
      <c r="K383" s="68">
        <v>0</v>
      </c>
      <c r="L383" s="68">
        <v>0</v>
      </c>
      <c r="M383" s="68">
        <v>0</v>
      </c>
      <c r="N383" s="68">
        <v>0</v>
      </c>
    </row>
    <row r="384" spans="1:14">
      <c r="A384" t="s">
        <v>444</v>
      </c>
      <c r="B384" t="s">
        <v>445</v>
      </c>
      <c r="C384" t="s">
        <v>785</v>
      </c>
      <c r="D384" t="s">
        <v>130</v>
      </c>
      <c r="E384" s="69">
        <v>2</v>
      </c>
      <c r="F384" t="s">
        <v>452</v>
      </c>
      <c r="G384" s="68">
        <v>0</v>
      </c>
      <c r="H384" s="68">
        <v>0</v>
      </c>
      <c r="I384" s="68">
        <v>1</v>
      </c>
      <c r="J384" s="68">
        <v>0</v>
      </c>
      <c r="K384" s="68">
        <v>0</v>
      </c>
      <c r="L384" s="68">
        <v>0</v>
      </c>
      <c r="M384" s="68">
        <v>0</v>
      </c>
      <c r="N384" s="68">
        <v>0</v>
      </c>
    </row>
    <row r="385" spans="1:14">
      <c r="A385" t="s">
        <v>444</v>
      </c>
      <c r="B385" t="s">
        <v>445</v>
      </c>
      <c r="C385" t="s">
        <v>785</v>
      </c>
      <c r="D385" t="s">
        <v>130</v>
      </c>
      <c r="E385" s="69">
        <v>3</v>
      </c>
      <c r="F385" t="s">
        <v>452</v>
      </c>
      <c r="G385" s="68">
        <v>0</v>
      </c>
      <c r="H385" s="68">
        <v>2</v>
      </c>
      <c r="I385" s="68">
        <v>3</v>
      </c>
      <c r="J385" s="68">
        <v>1</v>
      </c>
      <c r="K385" s="68">
        <v>3</v>
      </c>
      <c r="L385" s="68">
        <v>2</v>
      </c>
      <c r="M385" s="68">
        <v>0</v>
      </c>
      <c r="N385" s="68">
        <v>1</v>
      </c>
    </row>
    <row r="386" spans="1:14">
      <c r="A386" t="s">
        <v>444</v>
      </c>
      <c r="B386" t="s">
        <v>445</v>
      </c>
      <c r="C386" t="s">
        <v>785</v>
      </c>
      <c r="D386" t="s">
        <v>129</v>
      </c>
      <c r="E386" s="69">
        <v>2</v>
      </c>
      <c r="F386" t="s">
        <v>452</v>
      </c>
      <c r="G386" s="68">
        <v>0</v>
      </c>
      <c r="H386" s="68">
        <v>1</v>
      </c>
      <c r="I386" s="68">
        <v>0</v>
      </c>
      <c r="J386" s="68">
        <v>1</v>
      </c>
      <c r="K386" s="68">
        <v>0</v>
      </c>
      <c r="L386" s="68">
        <v>1</v>
      </c>
      <c r="M386" s="68">
        <v>4</v>
      </c>
      <c r="N386" s="68">
        <v>5</v>
      </c>
    </row>
    <row r="387" spans="1:14">
      <c r="A387" t="s">
        <v>444</v>
      </c>
      <c r="B387" t="s">
        <v>445</v>
      </c>
      <c r="C387" t="s">
        <v>785</v>
      </c>
      <c r="D387" t="s">
        <v>129</v>
      </c>
      <c r="E387" t="s">
        <v>794</v>
      </c>
      <c r="F387" t="s">
        <v>452</v>
      </c>
      <c r="G387" s="68">
        <v>1</v>
      </c>
      <c r="H387" s="68">
        <v>0</v>
      </c>
      <c r="I387" s="68">
        <v>0</v>
      </c>
      <c r="J387" s="68">
        <v>0</v>
      </c>
      <c r="K387" s="68">
        <v>0</v>
      </c>
      <c r="L387" s="68">
        <v>0</v>
      </c>
      <c r="M387" s="68">
        <v>0</v>
      </c>
      <c r="N387" s="68">
        <v>0</v>
      </c>
    </row>
    <row r="388" spans="1:14">
      <c r="A388" t="s">
        <v>444</v>
      </c>
      <c r="B388" t="s">
        <v>445</v>
      </c>
      <c r="C388" t="s">
        <v>795</v>
      </c>
      <c r="D388" t="s">
        <v>389</v>
      </c>
      <c r="E388" t="s">
        <v>796</v>
      </c>
      <c r="F388" t="s">
        <v>452</v>
      </c>
      <c r="G388" s="68">
        <v>1</v>
      </c>
      <c r="H388" s="68">
        <v>0</v>
      </c>
      <c r="I388" s="68">
        <v>0</v>
      </c>
      <c r="J388" s="68">
        <v>0</v>
      </c>
      <c r="K388" s="68">
        <v>0</v>
      </c>
      <c r="L388" s="68">
        <v>0</v>
      </c>
      <c r="M388" s="68">
        <v>0</v>
      </c>
      <c r="N388" s="68">
        <v>0</v>
      </c>
    </row>
    <row r="389" spans="1:14">
      <c r="A389" t="s">
        <v>444</v>
      </c>
      <c r="B389" t="s">
        <v>445</v>
      </c>
      <c r="C389" t="s">
        <v>795</v>
      </c>
      <c r="D389" t="s">
        <v>389</v>
      </c>
      <c r="E389" t="s">
        <v>797</v>
      </c>
      <c r="F389" t="s">
        <v>452</v>
      </c>
      <c r="G389" s="68">
        <v>15</v>
      </c>
      <c r="H389" s="68">
        <v>38</v>
      </c>
      <c r="I389" s="68">
        <v>45</v>
      </c>
      <c r="J389" s="68">
        <v>26</v>
      </c>
      <c r="K389" s="68">
        <v>21</v>
      </c>
      <c r="L389" s="68">
        <v>43</v>
      </c>
      <c r="M389" s="68">
        <v>18</v>
      </c>
      <c r="N389" s="68">
        <v>21</v>
      </c>
    </row>
    <row r="390" spans="1:14">
      <c r="A390" t="s">
        <v>444</v>
      </c>
      <c r="B390" t="s">
        <v>445</v>
      </c>
      <c r="C390" t="s">
        <v>795</v>
      </c>
      <c r="D390" t="s">
        <v>389</v>
      </c>
      <c r="E390" t="s">
        <v>798</v>
      </c>
      <c r="F390" t="s">
        <v>452</v>
      </c>
      <c r="G390" s="68">
        <v>0</v>
      </c>
      <c r="H390" s="68">
        <v>0</v>
      </c>
      <c r="I390" s="68">
        <v>0</v>
      </c>
      <c r="J390" s="68">
        <v>1</v>
      </c>
      <c r="K390" s="68">
        <v>1</v>
      </c>
      <c r="L390" s="68">
        <v>1</v>
      </c>
      <c r="M390" s="68">
        <v>0</v>
      </c>
      <c r="N390" s="68">
        <v>0</v>
      </c>
    </row>
    <row r="391" spans="1:14">
      <c r="A391" t="s">
        <v>444</v>
      </c>
      <c r="B391" t="s">
        <v>445</v>
      </c>
      <c r="C391" t="s">
        <v>795</v>
      </c>
      <c r="D391" t="s">
        <v>381</v>
      </c>
      <c r="E391" t="s">
        <v>454</v>
      </c>
      <c r="F391" t="s">
        <v>452</v>
      </c>
      <c r="G391" s="68">
        <v>0</v>
      </c>
      <c r="H391" s="68">
        <v>15</v>
      </c>
      <c r="I391" s="68">
        <v>15</v>
      </c>
      <c r="J391" s="68">
        <v>13</v>
      </c>
      <c r="K391" s="68">
        <v>15</v>
      </c>
      <c r="L391" s="68">
        <v>20</v>
      </c>
      <c r="M391" s="68">
        <v>11</v>
      </c>
      <c r="N391" s="68">
        <v>7</v>
      </c>
    </row>
    <row r="392" spans="1:14">
      <c r="A392" t="s">
        <v>444</v>
      </c>
      <c r="B392" t="s">
        <v>445</v>
      </c>
      <c r="C392" t="s">
        <v>795</v>
      </c>
      <c r="D392" t="s">
        <v>381</v>
      </c>
      <c r="E392" t="s">
        <v>744</v>
      </c>
      <c r="F392" t="s">
        <v>452</v>
      </c>
      <c r="G392" s="68">
        <v>7</v>
      </c>
      <c r="H392" s="68">
        <v>0</v>
      </c>
      <c r="I392" s="68">
        <v>0</v>
      </c>
      <c r="J392" s="68">
        <v>0</v>
      </c>
      <c r="K392" s="68">
        <v>0</v>
      </c>
      <c r="L392" s="68">
        <v>0</v>
      </c>
      <c r="M392" s="68">
        <v>0</v>
      </c>
      <c r="N392" s="68">
        <v>0</v>
      </c>
    </row>
    <row r="393" spans="1:14">
      <c r="A393" t="s">
        <v>444</v>
      </c>
      <c r="B393" t="s">
        <v>445</v>
      </c>
      <c r="C393" t="s">
        <v>799</v>
      </c>
      <c r="D393" t="s">
        <v>309</v>
      </c>
      <c r="E393" t="s">
        <v>800</v>
      </c>
      <c r="F393" t="s">
        <v>447</v>
      </c>
      <c r="G393" s="68">
        <v>2</v>
      </c>
      <c r="H393" s="68">
        <v>0</v>
      </c>
      <c r="I393" s="68">
        <v>0</v>
      </c>
      <c r="J393" s="68">
        <v>0</v>
      </c>
      <c r="K393" s="68">
        <v>0</v>
      </c>
      <c r="L393" s="68">
        <v>0</v>
      </c>
      <c r="M393" s="68">
        <v>0</v>
      </c>
      <c r="N393" s="68">
        <v>0</v>
      </c>
    </row>
    <row r="394" spans="1:14">
      <c r="A394" t="s">
        <v>444</v>
      </c>
      <c r="B394" t="s">
        <v>445</v>
      </c>
      <c r="C394" t="s">
        <v>799</v>
      </c>
      <c r="D394" t="s">
        <v>309</v>
      </c>
      <c r="E394" t="s">
        <v>801</v>
      </c>
      <c r="F394" t="s">
        <v>447</v>
      </c>
      <c r="G394" s="68">
        <v>0</v>
      </c>
      <c r="H394" s="68">
        <v>0</v>
      </c>
      <c r="I394" s="68">
        <v>3</v>
      </c>
      <c r="J394" s="68">
        <v>0</v>
      </c>
      <c r="K394" s="68">
        <v>0</v>
      </c>
      <c r="L394" s="68">
        <v>0</v>
      </c>
      <c r="M394" s="68">
        <v>0</v>
      </c>
      <c r="N394" s="68">
        <v>0</v>
      </c>
    </row>
    <row r="395" spans="1:14">
      <c r="A395" t="s">
        <v>444</v>
      </c>
      <c r="B395" t="s">
        <v>445</v>
      </c>
      <c r="C395" t="s">
        <v>799</v>
      </c>
      <c r="D395" t="s">
        <v>231</v>
      </c>
      <c r="E395" t="s">
        <v>800</v>
      </c>
      <c r="F395" t="s">
        <v>447</v>
      </c>
      <c r="G395" s="68">
        <v>1</v>
      </c>
      <c r="H395" s="68">
        <v>0</v>
      </c>
      <c r="I395" s="68">
        <v>0</v>
      </c>
      <c r="J395" s="68">
        <v>0</v>
      </c>
      <c r="K395" s="68">
        <v>0</v>
      </c>
      <c r="L395" s="68">
        <v>0</v>
      </c>
      <c r="M395" s="68">
        <v>0</v>
      </c>
      <c r="N395" s="68">
        <v>0</v>
      </c>
    </row>
    <row r="396" spans="1:14">
      <c r="A396" t="s">
        <v>444</v>
      </c>
      <c r="B396" t="s">
        <v>445</v>
      </c>
      <c r="C396" t="s">
        <v>799</v>
      </c>
      <c r="D396" t="s">
        <v>231</v>
      </c>
      <c r="E396" t="s">
        <v>801</v>
      </c>
      <c r="F396" t="s">
        <v>447</v>
      </c>
      <c r="G396" s="68">
        <v>0</v>
      </c>
      <c r="H396" s="68">
        <v>0</v>
      </c>
      <c r="I396" s="68">
        <v>1</v>
      </c>
      <c r="J396" s="68">
        <v>0</v>
      </c>
      <c r="K396" s="68">
        <v>1</v>
      </c>
      <c r="L396" s="68">
        <v>4</v>
      </c>
      <c r="M396" s="68">
        <v>1</v>
      </c>
      <c r="N396" s="68">
        <v>7</v>
      </c>
    </row>
    <row r="397" spans="1:14">
      <c r="A397" t="s">
        <v>444</v>
      </c>
      <c r="B397" t="s">
        <v>445</v>
      </c>
      <c r="C397" t="s">
        <v>799</v>
      </c>
      <c r="D397" t="s">
        <v>207</v>
      </c>
      <c r="E397" t="s">
        <v>454</v>
      </c>
      <c r="F397" t="s">
        <v>452</v>
      </c>
      <c r="G397" s="68">
        <v>0</v>
      </c>
      <c r="H397" s="68">
        <v>6</v>
      </c>
      <c r="I397" s="68">
        <v>1</v>
      </c>
      <c r="J397" s="68">
        <v>0</v>
      </c>
      <c r="K397" s="68">
        <v>0</v>
      </c>
      <c r="L397" s="68">
        <v>0</v>
      </c>
      <c r="M397" s="68">
        <v>0</v>
      </c>
      <c r="N397" s="68">
        <v>4</v>
      </c>
    </row>
    <row r="398" spans="1:14">
      <c r="A398" t="s">
        <v>444</v>
      </c>
      <c r="B398" t="s">
        <v>445</v>
      </c>
      <c r="C398" t="s">
        <v>799</v>
      </c>
      <c r="D398" t="s">
        <v>206</v>
      </c>
      <c r="E398" s="69">
        <v>5</v>
      </c>
      <c r="F398" t="s">
        <v>459</v>
      </c>
      <c r="G398" s="68">
        <v>0</v>
      </c>
      <c r="H398" s="68">
        <v>1</v>
      </c>
      <c r="I398" s="68">
        <v>0</v>
      </c>
      <c r="J398" s="68">
        <v>0</v>
      </c>
      <c r="K398" s="68">
        <v>0</v>
      </c>
      <c r="L398" s="68">
        <v>0</v>
      </c>
      <c r="M398" s="68">
        <v>0</v>
      </c>
      <c r="N398" s="68">
        <v>0</v>
      </c>
    </row>
    <row r="399" spans="1:14">
      <c r="A399" t="s">
        <v>444</v>
      </c>
      <c r="B399" t="s">
        <v>445</v>
      </c>
      <c r="C399" t="s">
        <v>799</v>
      </c>
      <c r="D399" t="s">
        <v>206</v>
      </c>
      <c r="E399" s="70">
        <v>500</v>
      </c>
      <c r="F399" t="s">
        <v>536</v>
      </c>
      <c r="G399" s="68">
        <v>0</v>
      </c>
      <c r="H399" s="68">
        <v>0</v>
      </c>
      <c r="I399" s="68">
        <v>0</v>
      </c>
      <c r="J399" s="68">
        <v>0</v>
      </c>
      <c r="K399" s="68">
        <v>0</v>
      </c>
      <c r="L399" s="68">
        <v>0</v>
      </c>
      <c r="M399" s="68">
        <v>1</v>
      </c>
      <c r="N399" s="68">
        <v>0</v>
      </c>
    </row>
    <row r="400" spans="1:14">
      <c r="A400" t="s">
        <v>444</v>
      </c>
      <c r="B400" t="s">
        <v>445</v>
      </c>
      <c r="C400" t="s">
        <v>799</v>
      </c>
      <c r="D400" t="s">
        <v>206</v>
      </c>
      <c r="E400" t="s">
        <v>802</v>
      </c>
      <c r="F400" t="s">
        <v>459</v>
      </c>
      <c r="G400" s="68">
        <v>0</v>
      </c>
      <c r="H400" s="68">
        <v>0</v>
      </c>
      <c r="I400" s="68">
        <v>0</v>
      </c>
      <c r="J400" s="68">
        <v>0</v>
      </c>
      <c r="K400" s="68">
        <v>0</v>
      </c>
      <c r="L400" s="68">
        <v>1</v>
      </c>
      <c r="M400" s="68">
        <v>0</v>
      </c>
      <c r="N400" s="68">
        <v>0</v>
      </c>
    </row>
    <row r="401" spans="1:14">
      <c r="A401" t="s">
        <v>444</v>
      </c>
      <c r="B401" t="s">
        <v>445</v>
      </c>
      <c r="C401" t="s">
        <v>799</v>
      </c>
      <c r="D401" t="s">
        <v>203</v>
      </c>
      <c r="E401" t="s">
        <v>803</v>
      </c>
      <c r="F401" t="s">
        <v>630</v>
      </c>
      <c r="G401" s="68">
        <v>0</v>
      </c>
      <c r="H401" s="68">
        <v>1</v>
      </c>
      <c r="I401" s="68">
        <v>0</v>
      </c>
      <c r="J401" s="68">
        <v>0</v>
      </c>
      <c r="K401" s="68">
        <v>0</v>
      </c>
      <c r="L401" s="68">
        <v>0</v>
      </c>
      <c r="M401" s="68">
        <v>0</v>
      </c>
      <c r="N401" s="68">
        <v>0</v>
      </c>
    </row>
    <row r="402" spans="1:14">
      <c r="A402" t="s">
        <v>444</v>
      </c>
      <c r="B402" t="s">
        <v>445</v>
      </c>
      <c r="C402" t="s">
        <v>799</v>
      </c>
      <c r="D402" t="s">
        <v>203</v>
      </c>
      <c r="E402" t="s">
        <v>800</v>
      </c>
      <c r="F402" t="s">
        <v>630</v>
      </c>
      <c r="G402" s="68">
        <v>2</v>
      </c>
      <c r="H402" s="68">
        <v>0</v>
      </c>
      <c r="I402" s="68">
        <v>0</v>
      </c>
      <c r="J402" s="68">
        <v>0</v>
      </c>
      <c r="K402" s="68">
        <v>0</v>
      </c>
      <c r="L402" s="68">
        <v>1</v>
      </c>
      <c r="M402" s="68">
        <v>0</v>
      </c>
      <c r="N402" s="68">
        <v>1</v>
      </c>
    </row>
    <row r="403" spans="1:14">
      <c r="A403" t="s">
        <v>444</v>
      </c>
      <c r="B403" t="s">
        <v>445</v>
      </c>
      <c r="C403" t="s">
        <v>799</v>
      </c>
      <c r="D403" t="s">
        <v>203</v>
      </c>
      <c r="E403" t="s">
        <v>804</v>
      </c>
      <c r="F403" t="s">
        <v>630</v>
      </c>
      <c r="G403" s="68">
        <v>17</v>
      </c>
      <c r="H403" s="68">
        <v>0</v>
      </c>
      <c r="I403" s="68">
        <v>0</v>
      </c>
      <c r="J403" s="68">
        <v>0</v>
      </c>
      <c r="K403" s="68">
        <v>0</v>
      </c>
      <c r="L403" s="68">
        <v>0</v>
      </c>
      <c r="M403" s="68">
        <v>0</v>
      </c>
      <c r="N403" s="68">
        <v>0</v>
      </c>
    </row>
    <row r="404" spans="1:14">
      <c r="A404" t="s">
        <v>444</v>
      </c>
      <c r="B404" t="s">
        <v>445</v>
      </c>
      <c r="C404" t="s">
        <v>799</v>
      </c>
      <c r="D404" t="s">
        <v>203</v>
      </c>
      <c r="E404" t="s">
        <v>805</v>
      </c>
      <c r="F404" t="s">
        <v>630</v>
      </c>
      <c r="G404" s="68">
        <v>0</v>
      </c>
      <c r="H404" s="68">
        <v>27</v>
      </c>
      <c r="I404" s="68">
        <v>23</v>
      </c>
      <c r="J404" s="68">
        <v>26</v>
      </c>
      <c r="K404" s="68">
        <v>15</v>
      </c>
      <c r="L404" s="68">
        <v>18</v>
      </c>
      <c r="M404" s="68">
        <v>17</v>
      </c>
      <c r="N404" s="68">
        <v>25</v>
      </c>
    </row>
    <row r="405" spans="1:14">
      <c r="A405" t="s">
        <v>444</v>
      </c>
      <c r="B405" t="s">
        <v>445</v>
      </c>
      <c r="C405" t="s">
        <v>799</v>
      </c>
      <c r="D405" t="s">
        <v>203</v>
      </c>
      <c r="E405" t="s">
        <v>806</v>
      </c>
      <c r="F405" t="s">
        <v>630</v>
      </c>
      <c r="G405" s="68">
        <v>10</v>
      </c>
      <c r="H405" s="68">
        <v>8</v>
      </c>
      <c r="I405" s="68">
        <v>10</v>
      </c>
      <c r="J405" s="68">
        <v>9</v>
      </c>
      <c r="K405" s="68">
        <v>8</v>
      </c>
      <c r="L405" s="68">
        <v>6</v>
      </c>
      <c r="M405" s="68">
        <v>6</v>
      </c>
      <c r="N405" s="68">
        <v>3</v>
      </c>
    </row>
    <row r="406" spans="1:14">
      <c r="A406" t="s">
        <v>444</v>
      </c>
      <c r="B406" t="s">
        <v>445</v>
      </c>
      <c r="C406" t="s">
        <v>799</v>
      </c>
      <c r="D406" t="s">
        <v>203</v>
      </c>
      <c r="E406" t="s">
        <v>807</v>
      </c>
      <c r="F406" t="s">
        <v>630</v>
      </c>
      <c r="G406" s="68">
        <v>0</v>
      </c>
      <c r="H406" s="68">
        <v>0</v>
      </c>
      <c r="I406" s="68">
        <v>0</v>
      </c>
      <c r="J406" s="68">
        <v>1</v>
      </c>
      <c r="K406" s="68">
        <v>0</v>
      </c>
      <c r="L406" s="68">
        <v>1</v>
      </c>
      <c r="M406" s="68">
        <v>1</v>
      </c>
      <c r="N406" s="68">
        <v>1</v>
      </c>
    </row>
    <row r="407" spans="1:14">
      <c r="A407" t="s">
        <v>444</v>
      </c>
      <c r="B407" t="s">
        <v>445</v>
      </c>
      <c r="C407" t="s">
        <v>799</v>
      </c>
      <c r="D407" t="s">
        <v>203</v>
      </c>
      <c r="E407" t="s">
        <v>808</v>
      </c>
      <c r="F407" t="s">
        <v>630</v>
      </c>
      <c r="G407" s="68">
        <v>0</v>
      </c>
      <c r="H407" s="68">
        <v>0</v>
      </c>
      <c r="I407" s="68">
        <v>0</v>
      </c>
      <c r="J407" s="68">
        <v>0</v>
      </c>
      <c r="K407" s="68">
        <v>0</v>
      </c>
      <c r="L407" s="68">
        <v>0</v>
      </c>
      <c r="M407" s="68">
        <v>1</v>
      </c>
      <c r="N407" s="68">
        <v>0</v>
      </c>
    </row>
    <row r="408" spans="1:14">
      <c r="A408" t="s">
        <v>444</v>
      </c>
      <c r="B408" t="s">
        <v>445</v>
      </c>
      <c r="C408" t="s">
        <v>799</v>
      </c>
      <c r="D408" t="s">
        <v>201</v>
      </c>
      <c r="E408" t="s">
        <v>454</v>
      </c>
      <c r="F408" t="s">
        <v>452</v>
      </c>
      <c r="G408" s="68">
        <v>0</v>
      </c>
      <c r="H408" s="68">
        <v>1</v>
      </c>
      <c r="I408" s="68">
        <v>0</v>
      </c>
      <c r="J408" s="68">
        <v>0</v>
      </c>
      <c r="K408" s="68">
        <v>0</v>
      </c>
      <c r="L408" s="68">
        <v>0</v>
      </c>
      <c r="M408" s="68">
        <v>0</v>
      </c>
      <c r="N408" s="68">
        <v>0</v>
      </c>
    </row>
    <row r="409" spans="1:14">
      <c r="A409" t="s">
        <v>444</v>
      </c>
      <c r="B409" t="s">
        <v>445</v>
      </c>
      <c r="C409" t="s">
        <v>799</v>
      </c>
      <c r="D409" t="s">
        <v>201</v>
      </c>
      <c r="E409" t="s">
        <v>809</v>
      </c>
      <c r="F409" t="s">
        <v>452</v>
      </c>
      <c r="G409" s="68">
        <v>0</v>
      </c>
      <c r="H409" s="68">
        <v>0</v>
      </c>
      <c r="I409" s="68">
        <v>0</v>
      </c>
      <c r="J409" s="68">
        <v>0</v>
      </c>
      <c r="K409" s="68">
        <v>1</v>
      </c>
      <c r="L409" s="68">
        <v>0</v>
      </c>
      <c r="M409" s="68">
        <v>0</v>
      </c>
      <c r="N409" s="68">
        <v>0</v>
      </c>
    </row>
    <row r="410" spans="1:14">
      <c r="A410" t="s">
        <v>444</v>
      </c>
      <c r="B410" t="s">
        <v>445</v>
      </c>
      <c r="C410" t="s">
        <v>799</v>
      </c>
      <c r="D410" t="s">
        <v>201</v>
      </c>
      <c r="E410" s="70">
        <v>600</v>
      </c>
      <c r="F410" t="s">
        <v>452</v>
      </c>
      <c r="G410" s="68">
        <v>0</v>
      </c>
      <c r="H410" s="68">
        <v>0</v>
      </c>
      <c r="I410" s="68">
        <v>0</v>
      </c>
      <c r="J410" s="68">
        <v>0</v>
      </c>
      <c r="K410" s="68">
        <v>0</v>
      </c>
      <c r="L410" s="68">
        <v>1</v>
      </c>
      <c r="M410" s="68">
        <v>0</v>
      </c>
      <c r="N410" s="68">
        <v>0</v>
      </c>
    </row>
    <row r="411" spans="1:14">
      <c r="A411" t="s">
        <v>444</v>
      </c>
      <c r="B411" t="s">
        <v>445</v>
      </c>
      <c r="C411" t="s">
        <v>799</v>
      </c>
      <c r="D411" t="s">
        <v>163</v>
      </c>
      <c r="E411" t="s">
        <v>804</v>
      </c>
      <c r="F411" t="s">
        <v>452</v>
      </c>
      <c r="G411" s="68">
        <v>8</v>
      </c>
      <c r="H411" s="68">
        <v>0</v>
      </c>
      <c r="I411" s="68">
        <v>0</v>
      </c>
      <c r="J411" s="68">
        <v>0</v>
      </c>
      <c r="K411" s="68">
        <v>0</v>
      </c>
      <c r="L411" s="68">
        <v>0</v>
      </c>
      <c r="M411" s="68">
        <v>0</v>
      </c>
      <c r="N411" s="68">
        <v>0</v>
      </c>
    </row>
    <row r="412" spans="1:14">
      <c r="A412" t="s">
        <v>444</v>
      </c>
      <c r="B412" t="s">
        <v>445</v>
      </c>
      <c r="C412" t="s">
        <v>799</v>
      </c>
      <c r="D412" t="s">
        <v>163</v>
      </c>
      <c r="E412" t="s">
        <v>805</v>
      </c>
      <c r="F412" t="s">
        <v>452</v>
      </c>
      <c r="G412" s="68">
        <v>0</v>
      </c>
      <c r="H412" s="68">
        <v>12</v>
      </c>
      <c r="I412" s="68">
        <v>6</v>
      </c>
      <c r="J412" s="68">
        <v>6</v>
      </c>
      <c r="K412" s="68">
        <v>9</v>
      </c>
      <c r="L412" s="68">
        <v>6</v>
      </c>
      <c r="M412" s="68">
        <v>18</v>
      </c>
      <c r="N412" s="68">
        <v>12</v>
      </c>
    </row>
    <row r="413" spans="1:14">
      <c r="A413" t="s">
        <v>444</v>
      </c>
      <c r="B413" t="s">
        <v>445</v>
      </c>
      <c r="C413" t="s">
        <v>799</v>
      </c>
      <c r="D413" t="s">
        <v>163</v>
      </c>
      <c r="E413" t="s">
        <v>810</v>
      </c>
      <c r="F413" t="s">
        <v>452</v>
      </c>
      <c r="G413" s="68">
        <v>4</v>
      </c>
      <c r="H413" s="68">
        <v>0</v>
      </c>
      <c r="I413" s="68">
        <v>0</v>
      </c>
      <c r="J413" s="68">
        <v>0</v>
      </c>
      <c r="K413" s="68">
        <v>0</v>
      </c>
      <c r="L413" s="68">
        <v>0</v>
      </c>
      <c r="M413" s="68">
        <v>0</v>
      </c>
      <c r="N413" s="68">
        <v>0</v>
      </c>
    </row>
    <row r="414" spans="1:14">
      <c r="A414" t="s">
        <v>444</v>
      </c>
      <c r="B414" t="s">
        <v>445</v>
      </c>
      <c r="C414" t="s">
        <v>799</v>
      </c>
      <c r="D414" t="s">
        <v>163</v>
      </c>
      <c r="E414" t="s">
        <v>811</v>
      </c>
      <c r="F414" t="s">
        <v>452</v>
      </c>
      <c r="G414" s="68">
        <v>0</v>
      </c>
      <c r="H414" s="68">
        <v>6</v>
      </c>
      <c r="I414" s="68">
        <v>10</v>
      </c>
      <c r="J414" s="68">
        <v>4</v>
      </c>
      <c r="K414" s="68">
        <v>4</v>
      </c>
      <c r="L414" s="68">
        <v>6</v>
      </c>
      <c r="M414" s="68">
        <v>1</v>
      </c>
      <c r="N414" s="68">
        <v>5</v>
      </c>
    </row>
    <row r="415" spans="1:14">
      <c r="A415" t="s">
        <v>444</v>
      </c>
      <c r="B415" t="s">
        <v>445</v>
      </c>
      <c r="C415" t="s">
        <v>799</v>
      </c>
      <c r="D415" t="s">
        <v>158</v>
      </c>
      <c r="E415" t="s">
        <v>454</v>
      </c>
      <c r="F415" t="s">
        <v>472</v>
      </c>
      <c r="G415" s="68">
        <v>0</v>
      </c>
      <c r="H415" s="68">
        <v>0</v>
      </c>
      <c r="I415" s="68">
        <v>1</v>
      </c>
      <c r="J415" s="68">
        <v>0</v>
      </c>
      <c r="K415" s="68">
        <v>0</v>
      </c>
      <c r="L415" s="68">
        <v>1</v>
      </c>
      <c r="M415" s="68">
        <v>0</v>
      </c>
      <c r="N415" s="68">
        <v>0</v>
      </c>
    </row>
    <row r="416" spans="1:14">
      <c r="A416" t="s">
        <v>444</v>
      </c>
      <c r="B416" t="s">
        <v>445</v>
      </c>
      <c r="C416" t="s">
        <v>799</v>
      </c>
      <c r="D416" t="s">
        <v>126</v>
      </c>
      <c r="E416" t="s">
        <v>812</v>
      </c>
      <c r="F416" t="s">
        <v>459</v>
      </c>
      <c r="G416" s="68">
        <v>0</v>
      </c>
      <c r="H416" s="68">
        <v>0</v>
      </c>
      <c r="I416" s="68">
        <v>0</v>
      </c>
      <c r="J416" s="68">
        <v>0</v>
      </c>
      <c r="K416" s="68">
        <v>0</v>
      </c>
      <c r="L416" s="68">
        <v>1</v>
      </c>
      <c r="M416" s="68">
        <v>0</v>
      </c>
      <c r="N416" s="68">
        <v>0</v>
      </c>
    </row>
    <row r="417" spans="1:14">
      <c r="A417" t="s">
        <v>444</v>
      </c>
      <c r="B417" t="s">
        <v>445</v>
      </c>
      <c r="C417" t="s">
        <v>799</v>
      </c>
      <c r="D417" t="s">
        <v>120</v>
      </c>
      <c r="E417" s="70">
        <v>300</v>
      </c>
      <c r="F417" t="s">
        <v>452</v>
      </c>
      <c r="G417" s="68">
        <v>0</v>
      </c>
      <c r="H417" s="68">
        <v>0</v>
      </c>
      <c r="I417" s="68">
        <v>0</v>
      </c>
      <c r="J417" s="68">
        <v>0</v>
      </c>
      <c r="K417" s="68">
        <v>1</v>
      </c>
      <c r="L417" s="68">
        <v>0</v>
      </c>
      <c r="M417" s="68">
        <v>0</v>
      </c>
      <c r="N417" s="68">
        <v>0</v>
      </c>
    </row>
    <row r="418" spans="1:14">
      <c r="A418" t="s">
        <v>444</v>
      </c>
      <c r="B418" t="s">
        <v>445</v>
      </c>
      <c r="C418" t="s">
        <v>799</v>
      </c>
      <c r="D418" t="s">
        <v>120</v>
      </c>
      <c r="E418" t="s">
        <v>804</v>
      </c>
      <c r="F418" t="s">
        <v>452</v>
      </c>
      <c r="G418" s="68">
        <v>4</v>
      </c>
      <c r="H418" s="68">
        <v>0</v>
      </c>
      <c r="I418" s="68">
        <v>0</v>
      </c>
      <c r="J418" s="68">
        <v>0</v>
      </c>
      <c r="K418" s="68">
        <v>0</v>
      </c>
      <c r="L418" s="68">
        <v>0</v>
      </c>
      <c r="M418" s="68">
        <v>0</v>
      </c>
      <c r="N418" s="68">
        <v>0</v>
      </c>
    </row>
    <row r="419" spans="1:14">
      <c r="A419" t="s">
        <v>444</v>
      </c>
      <c r="B419" t="s">
        <v>445</v>
      </c>
      <c r="C419" t="s">
        <v>799</v>
      </c>
      <c r="D419" t="s">
        <v>120</v>
      </c>
      <c r="E419" t="s">
        <v>805</v>
      </c>
      <c r="F419" t="s">
        <v>452</v>
      </c>
      <c r="G419" s="68">
        <v>0</v>
      </c>
      <c r="H419" s="68">
        <v>8</v>
      </c>
      <c r="I419" s="68">
        <v>1</v>
      </c>
      <c r="J419" s="68">
        <v>11</v>
      </c>
      <c r="K419" s="68">
        <v>5</v>
      </c>
      <c r="L419" s="68">
        <v>7</v>
      </c>
      <c r="M419" s="68">
        <v>8</v>
      </c>
      <c r="N419" s="68">
        <v>5</v>
      </c>
    </row>
    <row r="420" spans="1:14">
      <c r="A420" t="s">
        <v>444</v>
      </c>
      <c r="B420" t="s">
        <v>445</v>
      </c>
      <c r="C420" t="s">
        <v>799</v>
      </c>
      <c r="D420" t="s">
        <v>120</v>
      </c>
      <c r="E420" t="s">
        <v>810</v>
      </c>
      <c r="F420" t="s">
        <v>452</v>
      </c>
      <c r="G420" s="68">
        <v>3</v>
      </c>
      <c r="H420" s="68">
        <v>0</v>
      </c>
      <c r="I420" s="68">
        <v>0</v>
      </c>
      <c r="J420" s="68">
        <v>0</v>
      </c>
      <c r="K420" s="68">
        <v>0</v>
      </c>
      <c r="L420" s="68">
        <v>0</v>
      </c>
      <c r="M420" s="68">
        <v>0</v>
      </c>
      <c r="N420" s="68">
        <v>0</v>
      </c>
    </row>
    <row r="421" spans="1:14">
      <c r="A421" t="s">
        <v>444</v>
      </c>
      <c r="B421" t="s">
        <v>445</v>
      </c>
      <c r="C421" t="s">
        <v>799</v>
      </c>
      <c r="D421" t="s">
        <v>120</v>
      </c>
      <c r="E421" t="s">
        <v>811</v>
      </c>
      <c r="F421" t="s">
        <v>452</v>
      </c>
      <c r="G421" s="68">
        <v>0</v>
      </c>
      <c r="H421" s="68">
        <v>6</v>
      </c>
      <c r="I421" s="68">
        <v>2</v>
      </c>
      <c r="J421" s="68">
        <v>5</v>
      </c>
      <c r="K421" s="68">
        <v>2</v>
      </c>
      <c r="L421" s="68">
        <v>3</v>
      </c>
      <c r="M421" s="68">
        <v>2</v>
      </c>
      <c r="N421" s="68">
        <v>2</v>
      </c>
    </row>
    <row r="422" spans="1:14">
      <c r="A422" t="s">
        <v>444</v>
      </c>
      <c r="B422" t="s">
        <v>445</v>
      </c>
      <c r="C422" t="s">
        <v>799</v>
      </c>
      <c r="D422" t="s">
        <v>119</v>
      </c>
      <c r="E422" t="s">
        <v>813</v>
      </c>
      <c r="F422" t="s">
        <v>452</v>
      </c>
      <c r="G422" s="68">
        <v>1</v>
      </c>
      <c r="H422" s="68">
        <v>0</v>
      </c>
      <c r="I422" s="68">
        <v>0</v>
      </c>
      <c r="J422" s="68">
        <v>0</v>
      </c>
      <c r="K422" s="68">
        <v>0</v>
      </c>
      <c r="L422" s="68">
        <v>0</v>
      </c>
      <c r="M422" s="68">
        <v>0</v>
      </c>
      <c r="N422" s="68">
        <v>0</v>
      </c>
    </row>
    <row r="423" spans="1:14">
      <c r="A423" t="s">
        <v>444</v>
      </c>
      <c r="B423" t="s">
        <v>445</v>
      </c>
      <c r="C423" t="s">
        <v>799</v>
      </c>
      <c r="D423" t="s">
        <v>119</v>
      </c>
      <c r="E423" t="s">
        <v>814</v>
      </c>
      <c r="F423" t="s">
        <v>452</v>
      </c>
      <c r="G423" s="68">
        <v>0</v>
      </c>
      <c r="H423" s="68">
        <v>1</v>
      </c>
      <c r="I423" s="68">
        <v>0</v>
      </c>
      <c r="J423" s="68">
        <v>0</v>
      </c>
      <c r="K423" s="68">
        <v>1</v>
      </c>
      <c r="L423" s="68">
        <v>1</v>
      </c>
      <c r="M423" s="68">
        <v>0</v>
      </c>
      <c r="N423" s="68">
        <v>0</v>
      </c>
    </row>
    <row r="424" spans="1:14">
      <c r="A424" t="s">
        <v>444</v>
      </c>
      <c r="B424" t="s">
        <v>445</v>
      </c>
      <c r="C424" t="s">
        <v>799</v>
      </c>
      <c r="D424" t="s">
        <v>119</v>
      </c>
      <c r="E424" t="s">
        <v>815</v>
      </c>
      <c r="F424" t="s">
        <v>452</v>
      </c>
      <c r="G424" s="68">
        <v>0</v>
      </c>
      <c r="H424" s="68">
        <v>0</v>
      </c>
      <c r="I424" s="68">
        <v>2</v>
      </c>
      <c r="J424" s="68">
        <v>0</v>
      </c>
      <c r="K424" s="68">
        <v>2</v>
      </c>
      <c r="L424" s="68">
        <v>5</v>
      </c>
      <c r="M424" s="68">
        <v>1</v>
      </c>
      <c r="N424" s="68">
        <v>2</v>
      </c>
    </row>
    <row r="425" spans="1:14">
      <c r="A425" t="s">
        <v>444</v>
      </c>
      <c r="B425" t="s">
        <v>445</v>
      </c>
      <c r="C425" t="s">
        <v>799</v>
      </c>
      <c r="D425" t="s">
        <v>119</v>
      </c>
      <c r="E425" t="s">
        <v>816</v>
      </c>
      <c r="F425" t="s">
        <v>452</v>
      </c>
      <c r="G425" s="68">
        <v>0</v>
      </c>
      <c r="H425" s="68">
        <v>0</v>
      </c>
      <c r="I425" s="68">
        <v>3</v>
      </c>
      <c r="J425" s="68">
        <v>0</v>
      </c>
      <c r="K425" s="68">
        <v>2</v>
      </c>
      <c r="L425" s="68">
        <v>2</v>
      </c>
      <c r="M425" s="68">
        <v>3</v>
      </c>
      <c r="N425" s="68">
        <v>0</v>
      </c>
    </row>
    <row r="426" spans="1:14">
      <c r="A426" t="s">
        <v>444</v>
      </c>
      <c r="B426" t="s">
        <v>445</v>
      </c>
      <c r="C426" t="s">
        <v>799</v>
      </c>
      <c r="D426" t="s">
        <v>56</v>
      </c>
      <c r="E426" t="s">
        <v>801</v>
      </c>
      <c r="F426" t="s">
        <v>452</v>
      </c>
      <c r="G426" s="68">
        <v>0</v>
      </c>
      <c r="H426" s="68">
        <v>1</v>
      </c>
      <c r="I426" s="68">
        <v>0</v>
      </c>
      <c r="J426" s="68">
        <v>2</v>
      </c>
      <c r="K426" s="68">
        <v>0</v>
      </c>
      <c r="L426" s="68">
        <v>2</v>
      </c>
      <c r="M426" s="68">
        <v>2</v>
      </c>
      <c r="N426" s="68">
        <v>0</v>
      </c>
    </row>
    <row r="427" spans="1:14">
      <c r="A427" t="s">
        <v>444</v>
      </c>
      <c r="B427" t="s">
        <v>445</v>
      </c>
      <c r="C427" t="s">
        <v>817</v>
      </c>
      <c r="D427" t="s">
        <v>319</v>
      </c>
      <c r="E427" t="s">
        <v>818</v>
      </c>
      <c r="F427" t="s">
        <v>452</v>
      </c>
      <c r="G427" s="68">
        <v>0</v>
      </c>
      <c r="H427" s="68">
        <v>1</v>
      </c>
      <c r="I427" s="68">
        <v>0</v>
      </c>
      <c r="J427" s="68">
        <v>0</v>
      </c>
      <c r="K427" s="68">
        <v>0</v>
      </c>
      <c r="L427" s="68">
        <v>1</v>
      </c>
      <c r="M427" s="68">
        <v>0</v>
      </c>
      <c r="N427" s="68">
        <v>2</v>
      </c>
    </row>
    <row r="428" spans="1:14">
      <c r="A428" t="s">
        <v>444</v>
      </c>
      <c r="B428" t="s">
        <v>445</v>
      </c>
      <c r="C428" t="s">
        <v>817</v>
      </c>
      <c r="D428" t="s">
        <v>319</v>
      </c>
      <c r="E428" t="s">
        <v>819</v>
      </c>
      <c r="F428" t="s">
        <v>452</v>
      </c>
      <c r="G428" s="68">
        <v>0</v>
      </c>
      <c r="H428" s="68">
        <v>0</v>
      </c>
      <c r="I428" s="68">
        <v>0</v>
      </c>
      <c r="J428" s="68">
        <v>0</v>
      </c>
      <c r="K428" s="68">
        <v>0</v>
      </c>
      <c r="L428" s="68">
        <v>1</v>
      </c>
      <c r="M428" s="68">
        <v>0</v>
      </c>
      <c r="N428" s="68">
        <v>1</v>
      </c>
    </row>
    <row r="429" spans="1:14">
      <c r="A429" t="s">
        <v>444</v>
      </c>
      <c r="B429" t="s">
        <v>445</v>
      </c>
      <c r="C429" t="s">
        <v>817</v>
      </c>
      <c r="D429" t="s">
        <v>319</v>
      </c>
      <c r="E429" t="s">
        <v>820</v>
      </c>
      <c r="F429" t="s">
        <v>452</v>
      </c>
      <c r="G429" s="68">
        <v>1</v>
      </c>
      <c r="H429" s="68">
        <v>2</v>
      </c>
      <c r="I429" s="68">
        <v>0</v>
      </c>
      <c r="J429" s="68">
        <v>1</v>
      </c>
      <c r="K429" s="68">
        <v>3</v>
      </c>
      <c r="L429" s="68">
        <v>1</v>
      </c>
      <c r="M429" s="68">
        <v>2</v>
      </c>
      <c r="N429" s="68">
        <v>1</v>
      </c>
    </row>
    <row r="430" spans="1:14">
      <c r="A430" t="s">
        <v>444</v>
      </c>
      <c r="B430" t="s">
        <v>445</v>
      </c>
      <c r="C430" t="s">
        <v>817</v>
      </c>
      <c r="D430" t="s">
        <v>319</v>
      </c>
      <c r="E430" t="s">
        <v>821</v>
      </c>
      <c r="F430" t="s">
        <v>452</v>
      </c>
      <c r="G430" s="68">
        <v>4</v>
      </c>
      <c r="H430" s="68">
        <v>1</v>
      </c>
      <c r="I430" s="68">
        <v>0</v>
      </c>
      <c r="J430" s="68">
        <v>0</v>
      </c>
      <c r="K430" s="68">
        <v>3</v>
      </c>
      <c r="L430" s="68">
        <v>4</v>
      </c>
      <c r="M430" s="68">
        <v>0</v>
      </c>
      <c r="N430" s="68">
        <v>2</v>
      </c>
    </row>
    <row r="431" spans="1:14">
      <c r="A431" t="s">
        <v>444</v>
      </c>
      <c r="B431" t="s">
        <v>445</v>
      </c>
      <c r="C431" t="s">
        <v>817</v>
      </c>
      <c r="D431" t="s">
        <v>317</v>
      </c>
      <c r="E431" t="s">
        <v>822</v>
      </c>
      <c r="F431" t="s">
        <v>449</v>
      </c>
      <c r="G431" s="68">
        <v>0</v>
      </c>
      <c r="H431" s="68">
        <v>0</v>
      </c>
      <c r="I431" s="68">
        <v>1</v>
      </c>
      <c r="J431" s="68">
        <v>0</v>
      </c>
      <c r="K431" s="68">
        <v>1</v>
      </c>
      <c r="L431" s="68">
        <v>1</v>
      </c>
      <c r="M431" s="68">
        <v>0</v>
      </c>
      <c r="N431" s="68">
        <v>0</v>
      </c>
    </row>
    <row r="432" spans="1:14">
      <c r="A432" t="s">
        <v>444</v>
      </c>
      <c r="B432" t="s">
        <v>445</v>
      </c>
      <c r="C432" t="s">
        <v>817</v>
      </c>
      <c r="D432" t="s">
        <v>317</v>
      </c>
      <c r="E432" t="s">
        <v>823</v>
      </c>
      <c r="F432" t="s">
        <v>449</v>
      </c>
      <c r="G432" s="68">
        <v>0</v>
      </c>
      <c r="H432" s="68">
        <v>0</v>
      </c>
      <c r="I432" s="68">
        <v>2</v>
      </c>
      <c r="J432" s="68">
        <v>0</v>
      </c>
      <c r="K432" s="68">
        <v>0</v>
      </c>
      <c r="L432" s="68">
        <v>0</v>
      </c>
      <c r="M432" s="68">
        <v>1</v>
      </c>
      <c r="N432" s="68">
        <v>0</v>
      </c>
    </row>
    <row r="433" spans="1:14">
      <c r="A433" t="s">
        <v>444</v>
      </c>
      <c r="B433" t="s">
        <v>445</v>
      </c>
      <c r="C433" t="s">
        <v>817</v>
      </c>
      <c r="D433" t="s">
        <v>317</v>
      </c>
      <c r="E433" t="s">
        <v>824</v>
      </c>
      <c r="F433" t="s">
        <v>449</v>
      </c>
      <c r="G433" s="68">
        <v>0</v>
      </c>
      <c r="H433" s="68">
        <v>0</v>
      </c>
      <c r="I433" s="68">
        <v>0</v>
      </c>
      <c r="J433" s="68">
        <v>0</v>
      </c>
      <c r="K433" s="68">
        <v>0</v>
      </c>
      <c r="L433" s="68">
        <v>1</v>
      </c>
      <c r="M433" s="68">
        <v>0</v>
      </c>
      <c r="N433" s="68">
        <v>0</v>
      </c>
    </row>
    <row r="434" spans="1:14">
      <c r="A434" t="s">
        <v>444</v>
      </c>
      <c r="B434" t="s">
        <v>445</v>
      </c>
      <c r="C434" t="s">
        <v>817</v>
      </c>
      <c r="D434" t="s">
        <v>317</v>
      </c>
      <c r="E434" t="s">
        <v>825</v>
      </c>
      <c r="F434" t="s">
        <v>449</v>
      </c>
      <c r="G434" s="68">
        <v>1</v>
      </c>
      <c r="H434" s="68">
        <v>1</v>
      </c>
      <c r="I434" s="68">
        <v>0</v>
      </c>
      <c r="J434" s="68">
        <v>0</v>
      </c>
      <c r="K434" s="68">
        <v>0</v>
      </c>
      <c r="L434" s="68">
        <v>0</v>
      </c>
      <c r="M434" s="68">
        <v>1</v>
      </c>
      <c r="N434" s="68">
        <v>0</v>
      </c>
    </row>
    <row r="435" spans="1:14">
      <c r="A435" t="s">
        <v>444</v>
      </c>
      <c r="B435" t="s">
        <v>445</v>
      </c>
      <c r="C435" t="s">
        <v>817</v>
      </c>
      <c r="D435" t="s">
        <v>316</v>
      </c>
      <c r="E435" t="s">
        <v>826</v>
      </c>
      <c r="F435" t="s">
        <v>459</v>
      </c>
      <c r="G435" s="68">
        <v>1</v>
      </c>
      <c r="H435" s="68">
        <v>0</v>
      </c>
      <c r="I435" s="68">
        <v>0</v>
      </c>
      <c r="J435" s="68">
        <v>0</v>
      </c>
      <c r="K435" s="68">
        <v>0</v>
      </c>
      <c r="L435" s="68">
        <v>0</v>
      </c>
      <c r="M435" s="68">
        <v>0</v>
      </c>
      <c r="N435" s="68">
        <v>0</v>
      </c>
    </row>
    <row r="436" spans="1:14">
      <c r="A436" t="s">
        <v>444</v>
      </c>
      <c r="B436" t="s">
        <v>445</v>
      </c>
      <c r="C436" t="s">
        <v>827</v>
      </c>
      <c r="D436" t="s">
        <v>225</v>
      </c>
      <c r="E436" t="s">
        <v>828</v>
      </c>
      <c r="F436" t="s">
        <v>472</v>
      </c>
      <c r="G436" s="68">
        <v>0</v>
      </c>
      <c r="H436" s="68">
        <v>1</v>
      </c>
      <c r="I436" s="68">
        <v>0</v>
      </c>
      <c r="J436" s="68">
        <v>0</v>
      </c>
      <c r="K436" s="68">
        <v>1</v>
      </c>
      <c r="L436" s="68">
        <v>1</v>
      </c>
      <c r="M436" s="68">
        <v>0</v>
      </c>
      <c r="N436" s="68">
        <v>1</v>
      </c>
    </row>
    <row r="437" spans="1:14">
      <c r="A437" t="s">
        <v>444</v>
      </c>
      <c r="B437" t="s">
        <v>445</v>
      </c>
      <c r="C437" t="s">
        <v>829</v>
      </c>
      <c r="D437" t="s">
        <v>281</v>
      </c>
      <c r="E437" t="s">
        <v>830</v>
      </c>
      <c r="F437" t="s">
        <v>447</v>
      </c>
      <c r="G437" s="68">
        <v>0</v>
      </c>
      <c r="H437" s="68">
        <v>0</v>
      </c>
      <c r="I437" s="68">
        <v>0</v>
      </c>
      <c r="J437" s="68">
        <v>0</v>
      </c>
      <c r="K437" s="68">
        <v>1</v>
      </c>
      <c r="L437" s="68">
        <v>0</v>
      </c>
      <c r="M437" s="68">
        <v>0</v>
      </c>
      <c r="N437" s="68">
        <v>0</v>
      </c>
    </row>
    <row r="438" spans="1:14">
      <c r="A438" t="s">
        <v>444</v>
      </c>
      <c r="B438" t="s">
        <v>445</v>
      </c>
      <c r="C438" t="s">
        <v>829</v>
      </c>
      <c r="D438" t="s">
        <v>266</v>
      </c>
      <c r="E438" t="s">
        <v>454</v>
      </c>
      <c r="F438" t="s">
        <v>459</v>
      </c>
      <c r="G438" s="68">
        <v>0</v>
      </c>
      <c r="H438" s="68">
        <v>0</v>
      </c>
      <c r="I438" s="68">
        <v>0</v>
      </c>
      <c r="J438" s="68">
        <v>0</v>
      </c>
      <c r="K438" s="68">
        <v>1</v>
      </c>
      <c r="L438" s="68">
        <v>0</v>
      </c>
      <c r="M438" s="68">
        <v>0</v>
      </c>
      <c r="N438" s="68">
        <v>0</v>
      </c>
    </row>
    <row r="439" spans="1:14">
      <c r="A439" t="s">
        <v>444</v>
      </c>
      <c r="B439" t="s">
        <v>445</v>
      </c>
      <c r="C439" t="s">
        <v>829</v>
      </c>
      <c r="D439" t="s">
        <v>266</v>
      </c>
      <c r="E439" t="s">
        <v>831</v>
      </c>
      <c r="F439" t="s">
        <v>459</v>
      </c>
      <c r="G439" s="68">
        <v>0</v>
      </c>
      <c r="H439" s="68">
        <v>0</v>
      </c>
      <c r="I439" s="68">
        <v>1</v>
      </c>
      <c r="J439" s="68">
        <v>0</v>
      </c>
      <c r="K439" s="68">
        <v>0</v>
      </c>
      <c r="L439" s="68">
        <v>0</v>
      </c>
      <c r="M439" s="68">
        <v>0</v>
      </c>
      <c r="N439" s="68">
        <v>0</v>
      </c>
    </row>
    <row r="440" spans="1:14">
      <c r="A440" t="s">
        <v>444</v>
      </c>
      <c r="B440" t="s">
        <v>445</v>
      </c>
      <c r="C440" t="s">
        <v>829</v>
      </c>
      <c r="D440" t="s">
        <v>266</v>
      </c>
      <c r="E440" t="s">
        <v>832</v>
      </c>
      <c r="F440" t="s">
        <v>459</v>
      </c>
      <c r="G440" s="68">
        <v>0</v>
      </c>
      <c r="H440" s="68">
        <v>1</v>
      </c>
      <c r="I440" s="68">
        <v>0</v>
      </c>
      <c r="J440" s="68">
        <v>0</v>
      </c>
      <c r="K440" s="68">
        <v>0</v>
      </c>
      <c r="L440" s="68">
        <v>0</v>
      </c>
      <c r="M440" s="68">
        <v>0</v>
      </c>
      <c r="N440" s="68">
        <v>3</v>
      </c>
    </row>
    <row r="441" spans="1:14">
      <c r="A441" t="s">
        <v>444</v>
      </c>
      <c r="B441" t="s">
        <v>445</v>
      </c>
      <c r="C441" t="s">
        <v>829</v>
      </c>
      <c r="D441" t="s">
        <v>265</v>
      </c>
      <c r="E441" t="s">
        <v>833</v>
      </c>
      <c r="F441" t="s">
        <v>452</v>
      </c>
      <c r="G441" s="68">
        <v>0</v>
      </c>
      <c r="H441" s="68">
        <v>2</v>
      </c>
      <c r="I441" s="68">
        <v>3</v>
      </c>
      <c r="J441" s="68">
        <v>1</v>
      </c>
      <c r="K441" s="68">
        <v>1</v>
      </c>
      <c r="L441" s="68">
        <v>0</v>
      </c>
      <c r="M441" s="68">
        <v>0</v>
      </c>
      <c r="N441" s="68">
        <v>1</v>
      </c>
    </row>
    <row r="442" spans="1:14">
      <c r="A442" t="s">
        <v>444</v>
      </c>
      <c r="B442" t="s">
        <v>445</v>
      </c>
      <c r="C442" t="s">
        <v>829</v>
      </c>
      <c r="D442" t="s">
        <v>265</v>
      </c>
      <c r="E442" t="s">
        <v>834</v>
      </c>
      <c r="F442" t="s">
        <v>452</v>
      </c>
      <c r="G442" s="68">
        <v>0</v>
      </c>
      <c r="H442" s="68">
        <v>0</v>
      </c>
      <c r="I442" s="68">
        <v>1</v>
      </c>
      <c r="J442" s="68">
        <v>0</v>
      </c>
      <c r="K442" s="68">
        <v>2</v>
      </c>
      <c r="L442" s="68">
        <v>0</v>
      </c>
      <c r="M442" s="68">
        <v>1</v>
      </c>
      <c r="N442" s="68">
        <v>1</v>
      </c>
    </row>
    <row r="443" spans="1:14">
      <c r="A443" t="s">
        <v>444</v>
      </c>
      <c r="B443" t="s">
        <v>445</v>
      </c>
      <c r="C443" t="s">
        <v>829</v>
      </c>
      <c r="D443" t="s">
        <v>265</v>
      </c>
      <c r="E443" t="s">
        <v>835</v>
      </c>
      <c r="F443" t="s">
        <v>452</v>
      </c>
      <c r="G443" s="68">
        <v>0</v>
      </c>
      <c r="H443" s="68">
        <v>2</v>
      </c>
      <c r="I443" s="68">
        <v>0</v>
      </c>
      <c r="J443" s="68">
        <v>0</v>
      </c>
      <c r="K443" s="68">
        <v>0</v>
      </c>
      <c r="L443" s="68">
        <v>0</v>
      </c>
      <c r="M443" s="68">
        <v>0</v>
      </c>
      <c r="N443" s="68">
        <v>1</v>
      </c>
    </row>
    <row r="444" spans="1:14">
      <c r="A444" t="s">
        <v>444</v>
      </c>
      <c r="B444" t="s">
        <v>445</v>
      </c>
      <c r="C444" t="s">
        <v>829</v>
      </c>
      <c r="D444" t="s">
        <v>204</v>
      </c>
      <c r="E444" t="s">
        <v>836</v>
      </c>
      <c r="F444" t="s">
        <v>452</v>
      </c>
      <c r="G444" s="68">
        <v>1</v>
      </c>
      <c r="H444" s="68">
        <v>1</v>
      </c>
      <c r="I444" s="68">
        <v>0</v>
      </c>
      <c r="J444" s="68">
        <v>0</v>
      </c>
      <c r="K444" s="68">
        <v>0</v>
      </c>
      <c r="L444" s="68">
        <v>0</v>
      </c>
      <c r="M444" s="68">
        <v>0</v>
      </c>
      <c r="N444" s="68">
        <v>0</v>
      </c>
    </row>
    <row r="445" spans="1:14">
      <c r="A445" t="s">
        <v>444</v>
      </c>
      <c r="B445" t="s">
        <v>445</v>
      </c>
      <c r="C445" t="s">
        <v>829</v>
      </c>
      <c r="D445" t="s">
        <v>191</v>
      </c>
      <c r="E445" t="s">
        <v>454</v>
      </c>
      <c r="F445" t="s">
        <v>472</v>
      </c>
      <c r="G445" s="68">
        <v>0</v>
      </c>
      <c r="H445" s="68">
        <v>0</v>
      </c>
      <c r="I445" s="68">
        <v>0</v>
      </c>
      <c r="J445" s="68">
        <v>0</v>
      </c>
      <c r="K445" s="68">
        <v>0</v>
      </c>
      <c r="L445" s="68">
        <v>0</v>
      </c>
      <c r="M445" s="68">
        <v>0</v>
      </c>
      <c r="N445" s="68">
        <v>1</v>
      </c>
    </row>
    <row r="446" spans="1:14">
      <c r="A446" t="s">
        <v>444</v>
      </c>
      <c r="B446" t="s">
        <v>445</v>
      </c>
      <c r="C446" t="s">
        <v>829</v>
      </c>
      <c r="D446" t="s">
        <v>133</v>
      </c>
      <c r="E446" t="s">
        <v>830</v>
      </c>
      <c r="F446" t="s">
        <v>447</v>
      </c>
      <c r="G446" s="68">
        <v>0</v>
      </c>
      <c r="H446" s="68">
        <v>0</v>
      </c>
      <c r="I446" s="68">
        <v>0</v>
      </c>
      <c r="J446" s="68">
        <v>0</v>
      </c>
      <c r="K446" s="68">
        <v>0</v>
      </c>
      <c r="L446" s="68">
        <v>0</v>
      </c>
      <c r="M446" s="68">
        <v>1</v>
      </c>
      <c r="N446" s="68">
        <v>0</v>
      </c>
    </row>
    <row r="447" spans="1:14">
      <c r="A447" t="s">
        <v>444</v>
      </c>
      <c r="B447" t="s">
        <v>445</v>
      </c>
      <c r="C447" t="s">
        <v>837</v>
      </c>
      <c r="D447" t="s">
        <v>185</v>
      </c>
      <c r="E447" t="s">
        <v>454</v>
      </c>
      <c r="F447" t="s">
        <v>630</v>
      </c>
      <c r="G447" s="68">
        <v>0</v>
      </c>
      <c r="H447" s="68">
        <v>0</v>
      </c>
      <c r="I447" s="68">
        <v>0</v>
      </c>
      <c r="J447" s="68">
        <v>6</v>
      </c>
      <c r="K447" s="68">
        <v>0</v>
      </c>
      <c r="L447" s="68">
        <v>0</v>
      </c>
      <c r="M447" s="68">
        <v>31</v>
      </c>
      <c r="N447" s="68">
        <v>0</v>
      </c>
    </row>
    <row r="448" spans="1:14">
      <c r="A448" t="s">
        <v>444</v>
      </c>
      <c r="B448" t="s">
        <v>445</v>
      </c>
      <c r="C448" t="s">
        <v>838</v>
      </c>
      <c r="D448" t="s">
        <v>344</v>
      </c>
      <c r="E448" t="s">
        <v>454</v>
      </c>
      <c r="F448" t="s">
        <v>452</v>
      </c>
      <c r="G448" s="68">
        <v>65</v>
      </c>
      <c r="H448" s="68">
        <v>125</v>
      </c>
      <c r="I448" s="68">
        <v>121</v>
      </c>
      <c r="J448" s="68">
        <v>109</v>
      </c>
      <c r="K448" s="68">
        <v>60</v>
      </c>
      <c r="L448" s="68">
        <v>64</v>
      </c>
      <c r="M448" s="68">
        <v>46</v>
      </c>
      <c r="N448" s="68">
        <v>56</v>
      </c>
    </row>
    <row r="449" spans="1:14">
      <c r="A449" t="s">
        <v>444</v>
      </c>
      <c r="B449" t="s">
        <v>445</v>
      </c>
      <c r="C449" t="s">
        <v>838</v>
      </c>
      <c r="D449" t="s">
        <v>343</v>
      </c>
      <c r="E449" t="s">
        <v>454</v>
      </c>
      <c r="F449" t="s">
        <v>452</v>
      </c>
      <c r="G449" s="68">
        <v>79</v>
      </c>
      <c r="H449" s="68">
        <v>149</v>
      </c>
      <c r="I449" s="68">
        <v>118</v>
      </c>
      <c r="J449" s="68">
        <v>132</v>
      </c>
      <c r="K449" s="68">
        <v>110</v>
      </c>
      <c r="L449" s="68">
        <v>107</v>
      </c>
      <c r="M449" s="68">
        <v>90</v>
      </c>
      <c r="N449" s="68">
        <v>88</v>
      </c>
    </row>
    <row r="450" spans="1:14">
      <c r="A450" t="s">
        <v>444</v>
      </c>
      <c r="B450" t="s">
        <v>445</v>
      </c>
      <c r="C450" t="s">
        <v>838</v>
      </c>
      <c r="D450" t="s">
        <v>342</v>
      </c>
      <c r="E450" t="s">
        <v>454</v>
      </c>
      <c r="F450" t="s">
        <v>452</v>
      </c>
      <c r="G450" s="68">
        <v>35</v>
      </c>
      <c r="H450" s="68">
        <v>88</v>
      </c>
      <c r="I450" s="68">
        <v>50</v>
      </c>
      <c r="J450" s="68">
        <v>75</v>
      </c>
      <c r="K450" s="68">
        <v>35</v>
      </c>
      <c r="L450" s="68">
        <v>48</v>
      </c>
      <c r="M450" s="68">
        <v>50</v>
      </c>
      <c r="N450" s="68">
        <v>44</v>
      </c>
    </row>
    <row r="451" spans="1:14">
      <c r="A451" t="s">
        <v>444</v>
      </c>
      <c r="B451" t="s">
        <v>445</v>
      </c>
      <c r="C451" t="s">
        <v>838</v>
      </c>
      <c r="D451" t="s">
        <v>341</v>
      </c>
      <c r="E451" t="s">
        <v>454</v>
      </c>
      <c r="F451" t="s">
        <v>452</v>
      </c>
      <c r="G451" s="68">
        <v>8</v>
      </c>
      <c r="H451" s="68">
        <v>8</v>
      </c>
      <c r="I451" s="68">
        <v>14</v>
      </c>
      <c r="J451" s="68">
        <v>12</v>
      </c>
      <c r="K451" s="68">
        <v>9</v>
      </c>
      <c r="L451" s="68">
        <v>10</v>
      </c>
      <c r="M451" s="68">
        <v>10</v>
      </c>
      <c r="N451" s="68">
        <v>8</v>
      </c>
    </row>
    <row r="452" spans="1:14">
      <c r="A452" t="s">
        <v>444</v>
      </c>
      <c r="B452" t="s">
        <v>445</v>
      </c>
      <c r="C452" t="s">
        <v>838</v>
      </c>
      <c r="D452" t="s">
        <v>194</v>
      </c>
      <c r="E452" t="s">
        <v>454</v>
      </c>
      <c r="F452" t="s">
        <v>472</v>
      </c>
      <c r="G452" s="68">
        <v>222</v>
      </c>
      <c r="H452" s="68">
        <v>498</v>
      </c>
      <c r="I452" s="68">
        <v>430</v>
      </c>
      <c r="J452" s="68">
        <v>494</v>
      </c>
      <c r="K452" s="68">
        <v>365</v>
      </c>
      <c r="L452" s="68">
        <v>402</v>
      </c>
      <c r="M452" s="68">
        <v>321</v>
      </c>
      <c r="N452" s="68">
        <v>390</v>
      </c>
    </row>
    <row r="453" spans="1:14">
      <c r="A453" t="s">
        <v>444</v>
      </c>
      <c r="B453" t="s">
        <v>445</v>
      </c>
      <c r="C453" t="s">
        <v>838</v>
      </c>
      <c r="D453" t="s">
        <v>193</v>
      </c>
      <c r="E453" t="s">
        <v>454</v>
      </c>
      <c r="F453" t="s">
        <v>472</v>
      </c>
      <c r="G453" s="68">
        <v>14</v>
      </c>
      <c r="H453" s="68">
        <v>30</v>
      </c>
      <c r="I453" s="68">
        <v>20</v>
      </c>
      <c r="J453" s="68">
        <v>23</v>
      </c>
      <c r="K453" s="68">
        <v>15</v>
      </c>
      <c r="L453" s="68">
        <v>15</v>
      </c>
      <c r="M453" s="68">
        <v>10</v>
      </c>
      <c r="N453" s="68">
        <v>14</v>
      </c>
    </row>
    <row r="454" spans="1:14">
      <c r="A454" t="s">
        <v>444</v>
      </c>
      <c r="B454" t="s">
        <v>445</v>
      </c>
      <c r="C454" t="s">
        <v>838</v>
      </c>
      <c r="D454" t="s">
        <v>192</v>
      </c>
      <c r="E454" t="s">
        <v>454</v>
      </c>
      <c r="F454" t="s">
        <v>472</v>
      </c>
      <c r="G454" s="68">
        <v>0</v>
      </c>
      <c r="H454" s="68">
        <v>0</v>
      </c>
      <c r="I454" s="68">
        <v>0</v>
      </c>
      <c r="J454" s="68">
        <v>1</v>
      </c>
      <c r="K454" s="68">
        <v>2</v>
      </c>
      <c r="L454" s="68">
        <v>2</v>
      </c>
      <c r="M454" s="68">
        <v>2</v>
      </c>
      <c r="N454" s="68">
        <v>0</v>
      </c>
    </row>
    <row r="455" spans="1:14">
      <c r="A455" t="s">
        <v>444</v>
      </c>
      <c r="B455" t="s">
        <v>445</v>
      </c>
      <c r="C455" t="s">
        <v>838</v>
      </c>
      <c r="D455" t="s">
        <v>192</v>
      </c>
      <c r="E455" t="s">
        <v>839</v>
      </c>
      <c r="F455" t="s">
        <v>447</v>
      </c>
      <c r="G455" s="68">
        <v>0</v>
      </c>
      <c r="H455" s="68">
        <v>2</v>
      </c>
      <c r="I455" s="68">
        <v>3</v>
      </c>
      <c r="J455" s="68">
        <v>0</v>
      </c>
      <c r="K455" s="68">
        <v>0</v>
      </c>
      <c r="L455" s="68">
        <v>0</v>
      </c>
      <c r="M455" s="68">
        <v>0</v>
      </c>
      <c r="N455" s="68">
        <v>0</v>
      </c>
    </row>
    <row r="456" spans="1:14">
      <c r="A456" t="s">
        <v>444</v>
      </c>
      <c r="B456" t="s">
        <v>445</v>
      </c>
      <c r="C456" t="s">
        <v>838</v>
      </c>
      <c r="D456" t="s">
        <v>192</v>
      </c>
      <c r="E456" t="s">
        <v>840</v>
      </c>
      <c r="F456" t="s">
        <v>449</v>
      </c>
      <c r="G456" s="68">
        <v>0</v>
      </c>
      <c r="H456" s="68">
        <v>0</v>
      </c>
      <c r="I456" s="68">
        <v>0</v>
      </c>
      <c r="J456" s="68">
        <v>0</v>
      </c>
      <c r="K456" s="68">
        <v>0</v>
      </c>
      <c r="L456" s="68">
        <v>0</v>
      </c>
      <c r="M456" s="68">
        <v>0</v>
      </c>
      <c r="N456" s="68">
        <v>55</v>
      </c>
    </row>
    <row r="457" spans="1:14">
      <c r="A457" t="s">
        <v>444</v>
      </c>
      <c r="B457" t="s">
        <v>445</v>
      </c>
      <c r="C457" t="s">
        <v>838</v>
      </c>
      <c r="D457" t="s">
        <v>170</v>
      </c>
      <c r="E457" t="s">
        <v>454</v>
      </c>
      <c r="F457" t="s">
        <v>657</v>
      </c>
      <c r="G457" s="68">
        <v>1</v>
      </c>
      <c r="H457" s="68">
        <v>1</v>
      </c>
      <c r="I457" s="68">
        <v>0</v>
      </c>
      <c r="J457" s="68">
        <v>0</v>
      </c>
      <c r="K457" s="68">
        <v>0</v>
      </c>
      <c r="L457" s="68">
        <v>0</v>
      </c>
      <c r="M457" s="68">
        <v>0</v>
      </c>
      <c r="N457" s="68">
        <v>0</v>
      </c>
    </row>
    <row r="458" spans="1:14">
      <c r="A458" t="s">
        <v>444</v>
      </c>
      <c r="B458" t="s">
        <v>445</v>
      </c>
      <c r="C458" t="s">
        <v>838</v>
      </c>
      <c r="D458" t="s">
        <v>170</v>
      </c>
      <c r="E458" t="s">
        <v>841</v>
      </c>
      <c r="F458" t="s">
        <v>536</v>
      </c>
      <c r="G458" s="68">
        <v>0</v>
      </c>
      <c r="H458" s="68">
        <v>0</v>
      </c>
      <c r="I458" s="68">
        <v>0</v>
      </c>
      <c r="J458" s="68">
        <v>0</v>
      </c>
      <c r="K458" s="68">
        <v>0</v>
      </c>
      <c r="L458" s="68">
        <v>0</v>
      </c>
      <c r="M458" s="68">
        <v>1</v>
      </c>
      <c r="N458" s="68">
        <v>0</v>
      </c>
    </row>
    <row r="459" spans="1:14">
      <c r="A459" t="s">
        <v>444</v>
      </c>
      <c r="B459" t="s">
        <v>445</v>
      </c>
      <c r="C459" t="s">
        <v>838</v>
      </c>
      <c r="D459" t="s">
        <v>170</v>
      </c>
      <c r="E459" t="s">
        <v>842</v>
      </c>
      <c r="F459" t="s">
        <v>657</v>
      </c>
      <c r="G459" s="68">
        <v>0</v>
      </c>
      <c r="H459" s="68">
        <v>0</v>
      </c>
      <c r="I459" s="68">
        <v>1</v>
      </c>
      <c r="J459" s="68">
        <v>0</v>
      </c>
      <c r="K459" s="68">
        <v>0</v>
      </c>
      <c r="L459" s="68">
        <v>0</v>
      </c>
      <c r="M459" s="68">
        <v>0</v>
      </c>
      <c r="N459" s="68">
        <v>0</v>
      </c>
    </row>
    <row r="460" spans="1:14">
      <c r="A460" t="s">
        <v>444</v>
      </c>
      <c r="B460" t="s">
        <v>445</v>
      </c>
      <c r="C460" t="s">
        <v>838</v>
      </c>
      <c r="D460" t="s">
        <v>123</v>
      </c>
      <c r="E460" t="s">
        <v>454</v>
      </c>
      <c r="F460" t="s">
        <v>472</v>
      </c>
      <c r="G460" s="68">
        <v>0</v>
      </c>
      <c r="H460" s="68">
        <v>0</v>
      </c>
      <c r="I460" s="68">
        <v>1</v>
      </c>
      <c r="J460" s="68">
        <v>0</v>
      </c>
      <c r="K460" s="68">
        <v>0</v>
      </c>
      <c r="L460" s="68">
        <v>0</v>
      </c>
      <c r="M460" s="68">
        <v>0</v>
      </c>
      <c r="N460" s="68">
        <v>0</v>
      </c>
    </row>
    <row r="461" spans="1:14">
      <c r="A461" t="s">
        <v>444</v>
      </c>
      <c r="B461" t="s">
        <v>445</v>
      </c>
      <c r="C461" t="s">
        <v>838</v>
      </c>
      <c r="D461" t="s">
        <v>123</v>
      </c>
      <c r="E461" t="s">
        <v>843</v>
      </c>
      <c r="F461" t="s">
        <v>472</v>
      </c>
      <c r="G461" s="68">
        <v>0</v>
      </c>
      <c r="H461" s="68">
        <v>0</v>
      </c>
      <c r="I461" s="68">
        <v>0</v>
      </c>
      <c r="J461" s="68">
        <v>0</v>
      </c>
      <c r="K461" s="68">
        <v>1</v>
      </c>
      <c r="L461" s="68">
        <v>0</v>
      </c>
      <c r="M461" s="68">
        <v>0</v>
      </c>
      <c r="N461" s="68">
        <v>0</v>
      </c>
    </row>
    <row r="462" spans="1:14">
      <c r="A462" t="s">
        <v>444</v>
      </c>
      <c r="B462" t="s">
        <v>445</v>
      </c>
      <c r="C462" t="s">
        <v>838</v>
      </c>
      <c r="D462" t="s">
        <v>123</v>
      </c>
      <c r="E462" t="s">
        <v>844</v>
      </c>
      <c r="F462" t="s">
        <v>472</v>
      </c>
      <c r="G462" s="68">
        <v>0</v>
      </c>
      <c r="H462" s="68">
        <v>1</v>
      </c>
      <c r="I462" s="68">
        <v>0</v>
      </c>
      <c r="J462" s="68">
        <v>0</v>
      </c>
      <c r="K462" s="68">
        <v>0</v>
      </c>
      <c r="L462" s="68">
        <v>0</v>
      </c>
      <c r="M462" s="68">
        <v>0</v>
      </c>
      <c r="N462" s="68">
        <v>0</v>
      </c>
    </row>
    <row r="463" spans="1:14">
      <c r="A463" t="s">
        <v>444</v>
      </c>
      <c r="B463" t="s">
        <v>445</v>
      </c>
      <c r="C463" t="s">
        <v>838</v>
      </c>
      <c r="D463" t="s">
        <v>123</v>
      </c>
      <c r="E463" t="s">
        <v>845</v>
      </c>
      <c r="F463" t="s">
        <v>472</v>
      </c>
      <c r="G463" s="68">
        <v>0</v>
      </c>
      <c r="H463" s="68">
        <v>0</v>
      </c>
      <c r="I463" s="68">
        <v>0</v>
      </c>
      <c r="J463" s="68">
        <v>0</v>
      </c>
      <c r="K463" s="68">
        <v>0</v>
      </c>
      <c r="L463" s="68">
        <v>2</v>
      </c>
      <c r="M463" s="68">
        <v>1</v>
      </c>
      <c r="N463" s="68">
        <v>1</v>
      </c>
    </row>
    <row r="464" spans="1:14">
      <c r="A464" t="s">
        <v>444</v>
      </c>
      <c r="B464" t="s">
        <v>445</v>
      </c>
      <c r="C464" t="s">
        <v>838</v>
      </c>
      <c r="D464" t="s">
        <v>123</v>
      </c>
      <c r="E464" t="s">
        <v>846</v>
      </c>
      <c r="F464" t="s">
        <v>536</v>
      </c>
      <c r="G464" s="68">
        <v>1</v>
      </c>
      <c r="H464" s="68">
        <v>1</v>
      </c>
      <c r="I464" s="68">
        <v>1</v>
      </c>
      <c r="J464" s="68">
        <v>0</v>
      </c>
      <c r="K464" s="68">
        <v>1</v>
      </c>
      <c r="L464" s="68">
        <v>0</v>
      </c>
      <c r="M464" s="68">
        <v>0</v>
      </c>
      <c r="N464" s="68">
        <v>0</v>
      </c>
    </row>
    <row r="465" spans="1:14">
      <c r="A465" t="s">
        <v>444</v>
      </c>
      <c r="B465" t="s">
        <v>445</v>
      </c>
      <c r="C465" t="s">
        <v>838</v>
      </c>
      <c r="D465" t="s">
        <v>123</v>
      </c>
      <c r="E465" t="s">
        <v>847</v>
      </c>
      <c r="F465" t="s">
        <v>536</v>
      </c>
      <c r="G465" s="68">
        <v>0</v>
      </c>
      <c r="H465" s="68">
        <v>0</v>
      </c>
      <c r="I465" s="68">
        <v>0</v>
      </c>
      <c r="J465" s="68">
        <v>0</v>
      </c>
      <c r="K465" s="68">
        <v>0</v>
      </c>
      <c r="L465" s="68">
        <v>0</v>
      </c>
      <c r="M465" s="68">
        <v>0</v>
      </c>
      <c r="N465" s="68">
        <v>2</v>
      </c>
    </row>
    <row r="466" spans="1:14">
      <c r="A466" t="s">
        <v>444</v>
      </c>
      <c r="B466" t="s">
        <v>445</v>
      </c>
      <c r="C466" t="s">
        <v>838</v>
      </c>
      <c r="D466" t="s">
        <v>123</v>
      </c>
      <c r="E466" t="s">
        <v>848</v>
      </c>
      <c r="F466" t="s">
        <v>472</v>
      </c>
      <c r="G466" s="68">
        <v>0</v>
      </c>
      <c r="H466" s="68">
        <v>0</v>
      </c>
      <c r="I466" s="68">
        <v>1</v>
      </c>
      <c r="J466" s="68">
        <v>2</v>
      </c>
      <c r="K466" s="68">
        <v>0</v>
      </c>
      <c r="L466" s="68">
        <v>2</v>
      </c>
      <c r="M466" s="68">
        <v>0</v>
      </c>
      <c r="N466" s="68">
        <v>0</v>
      </c>
    </row>
    <row r="467" spans="1:14">
      <c r="A467" t="s">
        <v>444</v>
      </c>
      <c r="B467" t="s">
        <v>445</v>
      </c>
      <c r="C467" t="s">
        <v>838</v>
      </c>
      <c r="D467" t="s">
        <v>123</v>
      </c>
      <c r="E467" t="s">
        <v>849</v>
      </c>
      <c r="F467" t="s">
        <v>536</v>
      </c>
      <c r="G467" s="68">
        <v>0</v>
      </c>
      <c r="H467" s="68">
        <v>0</v>
      </c>
      <c r="I467" s="68">
        <v>0</v>
      </c>
      <c r="J467" s="68">
        <v>1</v>
      </c>
      <c r="K467" s="68">
        <v>0</v>
      </c>
      <c r="L467" s="68">
        <v>1</v>
      </c>
      <c r="M467" s="68">
        <v>1</v>
      </c>
      <c r="N467" s="68">
        <v>1</v>
      </c>
    </row>
    <row r="468" spans="1:14">
      <c r="A468" t="s">
        <v>444</v>
      </c>
      <c r="B468" t="s">
        <v>445</v>
      </c>
      <c r="C468" t="s">
        <v>838</v>
      </c>
      <c r="D468" t="s">
        <v>123</v>
      </c>
      <c r="E468" t="s">
        <v>850</v>
      </c>
      <c r="F468" t="s">
        <v>472</v>
      </c>
      <c r="G468" s="68">
        <v>0</v>
      </c>
      <c r="H468" s="68">
        <v>0</v>
      </c>
      <c r="I468" s="68">
        <v>0</v>
      </c>
      <c r="J468" s="68">
        <v>0</v>
      </c>
      <c r="K468" s="68">
        <v>0</v>
      </c>
      <c r="L468" s="68">
        <v>0</v>
      </c>
      <c r="M468" s="68">
        <v>1</v>
      </c>
      <c r="N468" s="68">
        <v>0</v>
      </c>
    </row>
    <row r="469" spans="1:14">
      <c r="A469" t="s">
        <v>444</v>
      </c>
      <c r="B469" t="s">
        <v>445</v>
      </c>
      <c r="C469" t="s">
        <v>851</v>
      </c>
      <c r="D469" t="s">
        <v>414</v>
      </c>
      <c r="E469" t="s">
        <v>852</v>
      </c>
      <c r="F469" t="s">
        <v>459</v>
      </c>
      <c r="G469" s="68">
        <v>0</v>
      </c>
      <c r="H469" s="68">
        <v>0</v>
      </c>
      <c r="I469" s="68">
        <v>0</v>
      </c>
      <c r="J469" s="68">
        <v>0</v>
      </c>
      <c r="K469" s="68">
        <v>0</v>
      </c>
      <c r="L469" s="68">
        <v>0</v>
      </c>
      <c r="M469" s="68">
        <v>1</v>
      </c>
      <c r="N469" s="68">
        <v>0</v>
      </c>
    </row>
    <row r="470" spans="1:14">
      <c r="A470" t="s">
        <v>444</v>
      </c>
      <c r="B470" t="s">
        <v>445</v>
      </c>
      <c r="C470" t="s">
        <v>851</v>
      </c>
      <c r="D470" t="s">
        <v>414</v>
      </c>
      <c r="E470" t="s">
        <v>853</v>
      </c>
      <c r="F470" t="s">
        <v>536</v>
      </c>
      <c r="G470" s="68">
        <v>0</v>
      </c>
      <c r="H470" s="68">
        <v>0</v>
      </c>
      <c r="I470" s="68">
        <v>1</v>
      </c>
      <c r="J470" s="68">
        <v>0</v>
      </c>
      <c r="K470" s="68">
        <v>0</v>
      </c>
      <c r="L470" s="68">
        <v>0</v>
      </c>
      <c r="M470" s="68">
        <v>0</v>
      </c>
      <c r="N470" s="68">
        <v>0</v>
      </c>
    </row>
    <row r="471" spans="1:14">
      <c r="A471" t="s">
        <v>444</v>
      </c>
      <c r="B471" t="s">
        <v>445</v>
      </c>
      <c r="C471" t="s">
        <v>851</v>
      </c>
      <c r="D471" t="s">
        <v>394</v>
      </c>
      <c r="E471" t="s">
        <v>854</v>
      </c>
      <c r="F471" t="s">
        <v>536</v>
      </c>
      <c r="G471" s="68">
        <v>0</v>
      </c>
      <c r="H471" s="68">
        <v>0</v>
      </c>
      <c r="I471" s="68">
        <v>0</v>
      </c>
      <c r="J471" s="68">
        <v>0</v>
      </c>
      <c r="K471" s="68">
        <v>0</v>
      </c>
      <c r="L471" s="68">
        <v>1</v>
      </c>
      <c r="M471" s="68">
        <v>0</v>
      </c>
      <c r="N471" s="68">
        <v>0</v>
      </c>
    </row>
    <row r="472" spans="1:14">
      <c r="A472" t="s">
        <v>444</v>
      </c>
      <c r="B472" t="s">
        <v>445</v>
      </c>
      <c r="C472" t="s">
        <v>851</v>
      </c>
      <c r="D472" t="s">
        <v>263</v>
      </c>
      <c r="E472" t="s">
        <v>454</v>
      </c>
      <c r="F472" t="s">
        <v>459</v>
      </c>
      <c r="G472" s="68">
        <v>0</v>
      </c>
      <c r="H472" s="68">
        <v>1</v>
      </c>
      <c r="I472" s="68">
        <v>1</v>
      </c>
      <c r="J472" s="68">
        <v>0</v>
      </c>
      <c r="K472" s="68">
        <v>0</v>
      </c>
      <c r="L472" s="68">
        <v>0</v>
      </c>
      <c r="M472" s="68">
        <v>0</v>
      </c>
      <c r="N472" s="68">
        <v>0</v>
      </c>
    </row>
    <row r="473" spans="1:14">
      <c r="A473" t="s">
        <v>444</v>
      </c>
      <c r="B473" t="s">
        <v>445</v>
      </c>
      <c r="C473" t="s">
        <v>855</v>
      </c>
      <c r="D473" t="s">
        <v>401</v>
      </c>
      <c r="E473" t="s">
        <v>856</v>
      </c>
      <c r="F473" t="s">
        <v>447</v>
      </c>
      <c r="G473" s="68">
        <v>18</v>
      </c>
      <c r="H473" s="68">
        <v>30</v>
      </c>
      <c r="I473" s="68">
        <v>31</v>
      </c>
      <c r="J473" s="68">
        <v>26</v>
      </c>
      <c r="K473" s="68">
        <v>11</v>
      </c>
      <c r="L473" s="68">
        <v>20</v>
      </c>
      <c r="M473" s="68">
        <v>16</v>
      </c>
      <c r="N473" s="68">
        <v>14</v>
      </c>
    </row>
    <row r="474" spans="1:14">
      <c r="A474" t="s">
        <v>444</v>
      </c>
      <c r="B474" t="s">
        <v>445</v>
      </c>
      <c r="C474" t="s">
        <v>855</v>
      </c>
      <c r="D474" t="s">
        <v>395</v>
      </c>
      <c r="E474" t="s">
        <v>857</v>
      </c>
      <c r="F474" t="s">
        <v>459</v>
      </c>
      <c r="G474" s="68">
        <v>0</v>
      </c>
      <c r="H474" s="68">
        <v>0</v>
      </c>
      <c r="I474" s="68">
        <v>1</v>
      </c>
      <c r="J474" s="68">
        <v>1</v>
      </c>
      <c r="K474" s="68">
        <v>0</v>
      </c>
      <c r="L474" s="68">
        <v>1</v>
      </c>
      <c r="M474" s="68">
        <v>0</v>
      </c>
      <c r="N474" s="68">
        <v>0</v>
      </c>
    </row>
    <row r="475" spans="1:14">
      <c r="A475" t="s">
        <v>444</v>
      </c>
      <c r="B475" t="s">
        <v>445</v>
      </c>
      <c r="C475" t="s">
        <v>855</v>
      </c>
      <c r="D475" t="s">
        <v>368</v>
      </c>
      <c r="E475" t="s">
        <v>858</v>
      </c>
      <c r="F475" t="s">
        <v>447</v>
      </c>
      <c r="G475" s="68">
        <v>23</v>
      </c>
      <c r="H475" s="68">
        <v>0</v>
      </c>
      <c r="I475" s="68">
        <v>0</v>
      </c>
      <c r="J475" s="68">
        <v>0</v>
      </c>
      <c r="K475" s="68">
        <v>0</v>
      </c>
      <c r="L475" s="68">
        <v>0</v>
      </c>
      <c r="M475" s="68">
        <v>0</v>
      </c>
      <c r="N475" s="68">
        <v>0</v>
      </c>
    </row>
    <row r="476" spans="1:14">
      <c r="A476" t="s">
        <v>444</v>
      </c>
      <c r="B476" t="s">
        <v>445</v>
      </c>
      <c r="C476" t="s">
        <v>855</v>
      </c>
      <c r="D476" t="s">
        <v>368</v>
      </c>
      <c r="E476" t="s">
        <v>859</v>
      </c>
      <c r="F476" t="s">
        <v>459</v>
      </c>
      <c r="G476" s="68">
        <v>0</v>
      </c>
      <c r="H476" s="68">
        <v>0</v>
      </c>
      <c r="I476" s="68">
        <v>2</v>
      </c>
      <c r="J476" s="68">
        <v>0</v>
      </c>
      <c r="K476" s="68">
        <v>0</v>
      </c>
      <c r="L476" s="68">
        <v>0</v>
      </c>
      <c r="M476" s="68">
        <v>0</v>
      </c>
      <c r="N476" s="68">
        <v>0</v>
      </c>
    </row>
    <row r="477" spans="1:14">
      <c r="A477" t="s">
        <v>444</v>
      </c>
      <c r="B477" t="s">
        <v>445</v>
      </c>
      <c r="C477" t="s">
        <v>855</v>
      </c>
      <c r="D477" t="s">
        <v>368</v>
      </c>
      <c r="E477" t="s">
        <v>860</v>
      </c>
      <c r="F477" t="s">
        <v>459</v>
      </c>
      <c r="G477" s="68">
        <v>0</v>
      </c>
      <c r="H477" s="68">
        <v>0</v>
      </c>
      <c r="I477" s="68">
        <v>1</v>
      </c>
      <c r="J477" s="68">
        <v>0</v>
      </c>
      <c r="K477" s="68">
        <v>0</v>
      </c>
      <c r="L477" s="68">
        <v>0</v>
      </c>
      <c r="M477" s="68">
        <v>0</v>
      </c>
      <c r="N477" s="68">
        <v>0</v>
      </c>
    </row>
    <row r="478" spans="1:14">
      <c r="A478" t="s">
        <v>444</v>
      </c>
      <c r="B478" t="s">
        <v>445</v>
      </c>
      <c r="C478" t="s">
        <v>855</v>
      </c>
      <c r="D478" t="s">
        <v>368</v>
      </c>
      <c r="E478" t="s">
        <v>861</v>
      </c>
      <c r="F478" t="s">
        <v>459</v>
      </c>
      <c r="G478" s="68">
        <v>4</v>
      </c>
      <c r="H478" s="68">
        <v>0</v>
      </c>
      <c r="I478" s="68">
        <v>0</v>
      </c>
      <c r="J478" s="68">
        <v>0</v>
      </c>
      <c r="K478" s="68">
        <v>0</v>
      </c>
      <c r="L478" s="68">
        <v>0</v>
      </c>
      <c r="M478" s="68">
        <v>0</v>
      </c>
      <c r="N478" s="68">
        <v>0</v>
      </c>
    </row>
    <row r="479" spans="1:14">
      <c r="A479" t="s">
        <v>444</v>
      </c>
      <c r="B479" t="s">
        <v>445</v>
      </c>
      <c r="C479" t="s">
        <v>855</v>
      </c>
      <c r="D479" t="s">
        <v>368</v>
      </c>
      <c r="E479" t="s">
        <v>862</v>
      </c>
      <c r="F479" t="s">
        <v>459</v>
      </c>
      <c r="G479" s="68">
        <v>0</v>
      </c>
      <c r="H479" s="68">
        <v>4</v>
      </c>
      <c r="I479" s="68">
        <v>3</v>
      </c>
      <c r="J479" s="68">
        <v>2</v>
      </c>
      <c r="K479" s="68">
        <v>2</v>
      </c>
      <c r="L479" s="68">
        <v>2</v>
      </c>
      <c r="M479" s="68">
        <v>2</v>
      </c>
      <c r="N479" s="68">
        <v>1</v>
      </c>
    </row>
    <row r="480" spans="1:14">
      <c r="A480" t="s">
        <v>444</v>
      </c>
      <c r="B480" t="s">
        <v>445</v>
      </c>
      <c r="C480" t="s">
        <v>855</v>
      </c>
      <c r="D480" t="s">
        <v>368</v>
      </c>
      <c r="E480" t="s">
        <v>863</v>
      </c>
      <c r="F480" t="s">
        <v>447</v>
      </c>
      <c r="G480" s="68">
        <v>37</v>
      </c>
      <c r="H480" s="68">
        <v>81</v>
      </c>
      <c r="I480" s="68">
        <v>71</v>
      </c>
      <c r="J480" s="68">
        <v>81</v>
      </c>
      <c r="K480" s="68">
        <v>59</v>
      </c>
      <c r="L480" s="68">
        <v>65</v>
      </c>
      <c r="M480" s="68">
        <v>50</v>
      </c>
      <c r="N480" s="68">
        <v>50</v>
      </c>
    </row>
    <row r="481" spans="1:14">
      <c r="A481" t="s">
        <v>444</v>
      </c>
      <c r="B481" t="s">
        <v>445</v>
      </c>
      <c r="C481" t="s">
        <v>855</v>
      </c>
      <c r="D481" t="s">
        <v>368</v>
      </c>
      <c r="E481" t="s">
        <v>864</v>
      </c>
      <c r="F481" t="s">
        <v>459</v>
      </c>
      <c r="G481" s="68">
        <v>0</v>
      </c>
      <c r="H481" s="68">
        <v>1</v>
      </c>
      <c r="I481" s="68">
        <v>0</v>
      </c>
      <c r="J481" s="68">
        <v>0</v>
      </c>
      <c r="K481" s="68">
        <v>0</v>
      </c>
      <c r="L481" s="68">
        <v>0</v>
      </c>
      <c r="M481" s="68">
        <v>0</v>
      </c>
      <c r="N481" s="68">
        <v>0</v>
      </c>
    </row>
    <row r="482" spans="1:14">
      <c r="A482" t="s">
        <v>444</v>
      </c>
      <c r="B482" t="s">
        <v>445</v>
      </c>
      <c r="C482" t="s">
        <v>855</v>
      </c>
      <c r="D482" t="s">
        <v>368</v>
      </c>
      <c r="E482" t="s">
        <v>865</v>
      </c>
      <c r="F482" t="s">
        <v>447</v>
      </c>
      <c r="G482" s="68">
        <v>0</v>
      </c>
      <c r="H482" s="68">
        <v>2</v>
      </c>
      <c r="I482" s="68">
        <v>1</v>
      </c>
      <c r="J482" s="68">
        <v>1</v>
      </c>
      <c r="K482" s="68">
        <v>0</v>
      </c>
      <c r="L482" s="68">
        <v>0</v>
      </c>
      <c r="M482" s="68">
        <v>1</v>
      </c>
      <c r="N482" s="68">
        <v>1</v>
      </c>
    </row>
    <row r="483" spans="1:14">
      <c r="A483" t="s">
        <v>444</v>
      </c>
      <c r="B483" t="s">
        <v>445</v>
      </c>
      <c r="C483" t="s">
        <v>855</v>
      </c>
      <c r="D483" t="s">
        <v>368</v>
      </c>
      <c r="E483" t="s">
        <v>866</v>
      </c>
      <c r="F483" t="s">
        <v>447</v>
      </c>
      <c r="G483" s="68">
        <v>0</v>
      </c>
      <c r="H483" s="68">
        <v>42</v>
      </c>
      <c r="I483" s="68">
        <v>39</v>
      </c>
      <c r="J483" s="68">
        <v>44</v>
      </c>
      <c r="K483" s="68">
        <v>47</v>
      </c>
      <c r="L483" s="68">
        <v>49</v>
      </c>
      <c r="M483" s="68">
        <v>41</v>
      </c>
      <c r="N483" s="68">
        <v>48</v>
      </c>
    </row>
    <row r="484" spans="1:14">
      <c r="A484" t="s">
        <v>444</v>
      </c>
      <c r="B484" t="s">
        <v>445</v>
      </c>
      <c r="C484" t="s">
        <v>855</v>
      </c>
      <c r="D484" t="s">
        <v>368</v>
      </c>
      <c r="E484" t="s">
        <v>867</v>
      </c>
      <c r="F484" t="s">
        <v>472</v>
      </c>
      <c r="G484" s="68">
        <v>0</v>
      </c>
      <c r="H484" s="68">
        <v>0</v>
      </c>
      <c r="I484" s="68">
        <v>0</v>
      </c>
      <c r="J484" s="68">
        <v>0</v>
      </c>
      <c r="K484" s="68">
        <v>1</v>
      </c>
      <c r="L484" s="68">
        <v>1</v>
      </c>
      <c r="M484" s="68">
        <v>0</v>
      </c>
      <c r="N484" s="68">
        <v>0</v>
      </c>
    </row>
    <row r="485" spans="1:14">
      <c r="A485" t="s">
        <v>444</v>
      </c>
      <c r="B485" t="s">
        <v>445</v>
      </c>
      <c r="C485" t="s">
        <v>855</v>
      </c>
      <c r="D485" t="s">
        <v>362</v>
      </c>
      <c r="E485" s="70">
        <v>180</v>
      </c>
      <c r="F485" t="s">
        <v>447</v>
      </c>
      <c r="G485" s="68">
        <v>0</v>
      </c>
      <c r="H485" s="68">
        <v>0</v>
      </c>
      <c r="I485" s="68">
        <v>0</v>
      </c>
      <c r="J485" s="68">
        <v>0</v>
      </c>
      <c r="K485" s="68">
        <v>1</v>
      </c>
      <c r="L485" s="68">
        <v>0</v>
      </c>
      <c r="M485" s="68">
        <v>0</v>
      </c>
      <c r="N485" s="68">
        <v>0</v>
      </c>
    </row>
    <row r="486" spans="1:14">
      <c r="A486" t="s">
        <v>444</v>
      </c>
      <c r="B486" t="s">
        <v>445</v>
      </c>
      <c r="C486" t="s">
        <v>855</v>
      </c>
      <c r="D486" t="s">
        <v>362</v>
      </c>
      <c r="E486" t="s">
        <v>868</v>
      </c>
      <c r="F486" t="s">
        <v>447</v>
      </c>
      <c r="G486" s="68">
        <v>0</v>
      </c>
      <c r="H486" s="68">
        <v>0</v>
      </c>
      <c r="I486" s="68">
        <v>0</v>
      </c>
      <c r="J486" s="68">
        <v>0</v>
      </c>
      <c r="K486" s="68">
        <v>0</v>
      </c>
      <c r="L486" s="68">
        <v>0</v>
      </c>
      <c r="M486" s="68">
        <v>0</v>
      </c>
      <c r="N486" s="68">
        <v>29</v>
      </c>
    </row>
    <row r="487" spans="1:14">
      <c r="A487" t="s">
        <v>444</v>
      </c>
      <c r="B487" t="s">
        <v>445</v>
      </c>
      <c r="C487" t="s">
        <v>855</v>
      </c>
      <c r="D487" t="s">
        <v>361</v>
      </c>
      <c r="E487" t="s">
        <v>869</v>
      </c>
      <c r="F487" t="s">
        <v>459</v>
      </c>
      <c r="G487" s="68">
        <v>19</v>
      </c>
      <c r="H487" s="68">
        <v>20</v>
      </c>
      <c r="I487" s="68">
        <v>22</v>
      </c>
      <c r="J487" s="68">
        <v>17</v>
      </c>
      <c r="K487" s="68">
        <v>23</v>
      </c>
      <c r="L487" s="68">
        <v>22</v>
      </c>
      <c r="M487" s="68">
        <v>15</v>
      </c>
      <c r="N487" s="68">
        <v>15</v>
      </c>
    </row>
    <row r="488" spans="1:14">
      <c r="A488" t="s">
        <v>444</v>
      </c>
      <c r="B488" t="s">
        <v>445</v>
      </c>
      <c r="C488" t="s">
        <v>855</v>
      </c>
      <c r="D488" t="s">
        <v>361</v>
      </c>
      <c r="E488" t="s">
        <v>870</v>
      </c>
      <c r="F488" t="s">
        <v>459</v>
      </c>
      <c r="G488" s="68">
        <v>11</v>
      </c>
      <c r="H488" s="68">
        <v>29</v>
      </c>
      <c r="I488" s="68">
        <v>32</v>
      </c>
      <c r="J488" s="68">
        <v>23</v>
      </c>
      <c r="K488" s="68">
        <v>26</v>
      </c>
      <c r="L488" s="68">
        <v>41</v>
      </c>
      <c r="M488" s="68">
        <v>25</v>
      </c>
      <c r="N488" s="68">
        <v>19</v>
      </c>
    </row>
    <row r="489" spans="1:14">
      <c r="A489" t="s">
        <v>444</v>
      </c>
      <c r="B489" t="s">
        <v>445</v>
      </c>
      <c r="C489" t="s">
        <v>855</v>
      </c>
      <c r="D489" t="s">
        <v>360</v>
      </c>
      <c r="E489" t="s">
        <v>871</v>
      </c>
      <c r="F489" t="s">
        <v>447</v>
      </c>
      <c r="G489" s="68">
        <v>28</v>
      </c>
      <c r="H489" s="68">
        <v>50</v>
      </c>
      <c r="I489" s="68">
        <v>32</v>
      </c>
      <c r="J489" s="68">
        <v>22</v>
      </c>
      <c r="K489" s="68">
        <v>23</v>
      </c>
      <c r="L489" s="68">
        <v>29</v>
      </c>
      <c r="M489" s="68">
        <v>30</v>
      </c>
      <c r="N489" s="68">
        <v>21</v>
      </c>
    </row>
    <row r="490" spans="1:14">
      <c r="A490" t="s">
        <v>444</v>
      </c>
      <c r="B490" t="s">
        <v>445</v>
      </c>
      <c r="C490" t="s">
        <v>855</v>
      </c>
      <c r="D490" t="s">
        <v>360</v>
      </c>
      <c r="E490" t="s">
        <v>872</v>
      </c>
      <c r="F490" t="s">
        <v>447</v>
      </c>
      <c r="G490" s="68">
        <v>18</v>
      </c>
      <c r="H490" s="68">
        <v>16</v>
      </c>
      <c r="I490" s="68">
        <v>13</v>
      </c>
      <c r="J490" s="68">
        <v>12</v>
      </c>
      <c r="K490" s="68">
        <v>11</v>
      </c>
      <c r="L490" s="68">
        <v>9</v>
      </c>
      <c r="M490" s="68">
        <v>7</v>
      </c>
      <c r="N490" s="68">
        <v>14</v>
      </c>
    </row>
    <row r="491" spans="1:14">
      <c r="A491" t="s">
        <v>444</v>
      </c>
      <c r="B491" t="s">
        <v>445</v>
      </c>
      <c r="C491" t="s">
        <v>855</v>
      </c>
      <c r="D491" t="s">
        <v>320</v>
      </c>
      <c r="E491" t="s">
        <v>873</v>
      </c>
      <c r="F491" t="s">
        <v>459</v>
      </c>
      <c r="G491" s="68">
        <v>1</v>
      </c>
      <c r="H491" s="68">
        <v>0</v>
      </c>
      <c r="I491" s="68">
        <v>2</v>
      </c>
      <c r="J491" s="68">
        <v>0</v>
      </c>
      <c r="K491" s="68">
        <v>1</v>
      </c>
      <c r="L491" s="68">
        <v>0</v>
      </c>
      <c r="M491" s="68">
        <v>1</v>
      </c>
      <c r="N491" s="68">
        <v>1</v>
      </c>
    </row>
    <row r="492" spans="1:14">
      <c r="A492" t="s">
        <v>444</v>
      </c>
      <c r="B492" t="s">
        <v>445</v>
      </c>
      <c r="C492" t="s">
        <v>855</v>
      </c>
      <c r="D492" t="s">
        <v>320</v>
      </c>
      <c r="E492" t="s">
        <v>874</v>
      </c>
      <c r="F492" t="s">
        <v>447</v>
      </c>
      <c r="G492" s="68">
        <v>0</v>
      </c>
      <c r="H492" s="68">
        <v>0</v>
      </c>
      <c r="I492" s="68">
        <v>0</v>
      </c>
      <c r="J492" s="68">
        <v>0</v>
      </c>
      <c r="K492" s="68">
        <v>24</v>
      </c>
      <c r="L492" s="68">
        <v>30</v>
      </c>
      <c r="M492" s="68">
        <v>33</v>
      </c>
      <c r="N492" s="68">
        <v>36</v>
      </c>
    </row>
    <row r="493" spans="1:14">
      <c r="A493" t="s">
        <v>444</v>
      </c>
      <c r="B493" t="s">
        <v>445</v>
      </c>
      <c r="C493" t="s">
        <v>855</v>
      </c>
      <c r="D493" t="s">
        <v>320</v>
      </c>
      <c r="E493" t="s">
        <v>875</v>
      </c>
      <c r="F493" t="s">
        <v>447</v>
      </c>
      <c r="G493" s="68">
        <v>19</v>
      </c>
      <c r="H493" s="68">
        <v>40</v>
      </c>
      <c r="I493" s="68">
        <v>32</v>
      </c>
      <c r="J493" s="68">
        <v>39</v>
      </c>
      <c r="K493" s="68">
        <v>0</v>
      </c>
      <c r="L493" s="68">
        <v>0</v>
      </c>
      <c r="M493" s="68">
        <v>0</v>
      </c>
      <c r="N493" s="68">
        <v>0</v>
      </c>
    </row>
    <row r="494" spans="1:14">
      <c r="A494" t="s">
        <v>444</v>
      </c>
      <c r="B494" t="s">
        <v>445</v>
      </c>
      <c r="C494" t="s">
        <v>855</v>
      </c>
      <c r="D494" t="s">
        <v>320</v>
      </c>
      <c r="E494" t="s">
        <v>876</v>
      </c>
      <c r="F494" t="s">
        <v>447</v>
      </c>
      <c r="G494" s="68">
        <v>9</v>
      </c>
      <c r="H494" s="68">
        <v>10</v>
      </c>
      <c r="I494" s="68">
        <v>4</v>
      </c>
      <c r="J494" s="68">
        <v>8</v>
      </c>
      <c r="K494" s="68">
        <v>6</v>
      </c>
      <c r="L494" s="68">
        <v>3</v>
      </c>
      <c r="M494" s="68">
        <v>5</v>
      </c>
      <c r="N494" s="68">
        <v>6</v>
      </c>
    </row>
    <row r="495" spans="1:14">
      <c r="A495" t="s">
        <v>444</v>
      </c>
      <c r="B495" t="s">
        <v>445</v>
      </c>
      <c r="C495" t="s">
        <v>855</v>
      </c>
      <c r="D495" t="s">
        <v>320</v>
      </c>
      <c r="E495" t="s">
        <v>877</v>
      </c>
      <c r="F495" t="s">
        <v>447</v>
      </c>
      <c r="G495" s="68">
        <v>30</v>
      </c>
      <c r="H495" s="68">
        <v>54</v>
      </c>
      <c r="I495" s="68">
        <v>56</v>
      </c>
      <c r="J495" s="68">
        <v>71</v>
      </c>
      <c r="K495" s="68">
        <v>47</v>
      </c>
      <c r="L495" s="68">
        <v>91</v>
      </c>
      <c r="M495" s="68">
        <v>90</v>
      </c>
      <c r="N495" s="68">
        <v>62</v>
      </c>
    </row>
    <row r="496" spans="1:14">
      <c r="A496" t="s">
        <v>444</v>
      </c>
      <c r="B496" t="s">
        <v>445</v>
      </c>
      <c r="C496" t="s">
        <v>855</v>
      </c>
      <c r="D496" t="s">
        <v>312</v>
      </c>
      <c r="E496" t="s">
        <v>878</v>
      </c>
      <c r="F496" t="s">
        <v>452</v>
      </c>
      <c r="G496" s="68">
        <v>21</v>
      </c>
      <c r="H496" s="68">
        <v>0</v>
      </c>
      <c r="I496" s="68">
        <v>0</v>
      </c>
      <c r="J496" s="68">
        <v>0</v>
      </c>
      <c r="K496" s="68">
        <v>0</v>
      </c>
      <c r="L496" s="68">
        <v>0</v>
      </c>
      <c r="M496" s="68">
        <v>0</v>
      </c>
      <c r="N496" s="68">
        <v>0</v>
      </c>
    </row>
    <row r="497" spans="1:14">
      <c r="A497" t="s">
        <v>444</v>
      </c>
      <c r="B497" t="s">
        <v>445</v>
      </c>
      <c r="C497" t="s">
        <v>855</v>
      </c>
      <c r="D497" t="s">
        <v>312</v>
      </c>
      <c r="E497" t="s">
        <v>879</v>
      </c>
      <c r="F497" t="s">
        <v>447</v>
      </c>
      <c r="G497" s="68">
        <v>2</v>
      </c>
      <c r="H497" s="68">
        <v>2</v>
      </c>
      <c r="I497" s="68">
        <v>1</v>
      </c>
      <c r="J497" s="68">
        <v>3</v>
      </c>
      <c r="K497" s="68">
        <v>0</v>
      </c>
      <c r="L497" s="68">
        <v>2</v>
      </c>
      <c r="M497" s="68">
        <v>3</v>
      </c>
      <c r="N497" s="68">
        <v>1</v>
      </c>
    </row>
    <row r="498" spans="1:14">
      <c r="A498" t="s">
        <v>444</v>
      </c>
      <c r="B498" t="s">
        <v>445</v>
      </c>
      <c r="C498" t="s">
        <v>855</v>
      </c>
      <c r="D498" t="s">
        <v>312</v>
      </c>
      <c r="E498" t="s">
        <v>880</v>
      </c>
      <c r="F498" t="s">
        <v>472</v>
      </c>
      <c r="G498" s="68">
        <v>21</v>
      </c>
      <c r="H498" s="68">
        <v>29</v>
      </c>
      <c r="I498" s="68">
        <v>18</v>
      </c>
      <c r="J498" s="68">
        <v>17</v>
      </c>
      <c r="K498" s="68">
        <v>5</v>
      </c>
      <c r="L498" s="68">
        <v>12</v>
      </c>
      <c r="M498" s="68">
        <v>14</v>
      </c>
      <c r="N498" s="68">
        <v>7</v>
      </c>
    </row>
    <row r="499" spans="1:14">
      <c r="A499" t="s">
        <v>444</v>
      </c>
      <c r="B499" t="s">
        <v>445</v>
      </c>
      <c r="C499" t="s">
        <v>855</v>
      </c>
      <c r="D499" t="s">
        <v>312</v>
      </c>
      <c r="E499" t="s">
        <v>881</v>
      </c>
      <c r="F499" t="s">
        <v>452</v>
      </c>
      <c r="G499" s="68">
        <v>0</v>
      </c>
      <c r="H499" s="68">
        <v>43</v>
      </c>
      <c r="I499" s="68">
        <v>30</v>
      </c>
      <c r="J499" s="68">
        <v>24</v>
      </c>
      <c r="K499" s="68">
        <v>11</v>
      </c>
      <c r="L499" s="68">
        <v>13</v>
      </c>
      <c r="M499" s="68">
        <v>20</v>
      </c>
      <c r="N499" s="68">
        <v>13</v>
      </c>
    </row>
    <row r="500" spans="1:14">
      <c r="A500" t="s">
        <v>444</v>
      </c>
      <c r="B500" t="s">
        <v>445</v>
      </c>
      <c r="C500" t="s">
        <v>855</v>
      </c>
      <c r="D500" t="s">
        <v>311</v>
      </c>
      <c r="E500" t="s">
        <v>882</v>
      </c>
      <c r="F500" t="s">
        <v>452</v>
      </c>
      <c r="G500" s="68">
        <v>2</v>
      </c>
      <c r="H500" s="68">
        <v>0</v>
      </c>
      <c r="I500" s="68">
        <v>0</v>
      </c>
      <c r="J500" s="68">
        <v>0</v>
      </c>
      <c r="K500" s="68">
        <v>0</v>
      </c>
      <c r="L500" s="68">
        <v>0</v>
      </c>
      <c r="M500" s="68">
        <v>0</v>
      </c>
      <c r="N500" s="68">
        <v>0</v>
      </c>
    </row>
    <row r="501" spans="1:14">
      <c r="A501" t="s">
        <v>444</v>
      </c>
      <c r="B501" t="s">
        <v>445</v>
      </c>
      <c r="C501" t="s">
        <v>855</v>
      </c>
      <c r="D501" t="s">
        <v>311</v>
      </c>
      <c r="E501" t="s">
        <v>883</v>
      </c>
      <c r="F501" t="s">
        <v>472</v>
      </c>
      <c r="G501" s="68">
        <v>4</v>
      </c>
      <c r="H501" s="68">
        <v>0</v>
      </c>
      <c r="I501" s="68">
        <v>0</v>
      </c>
      <c r="J501" s="68">
        <v>0</v>
      </c>
      <c r="K501" s="68">
        <v>0</v>
      </c>
      <c r="L501" s="68">
        <v>0</v>
      </c>
      <c r="M501" s="68">
        <v>0</v>
      </c>
      <c r="N501" s="68">
        <v>1</v>
      </c>
    </row>
    <row r="502" spans="1:14">
      <c r="A502" t="s">
        <v>444</v>
      </c>
      <c r="B502" t="s">
        <v>445</v>
      </c>
      <c r="C502" t="s">
        <v>855</v>
      </c>
      <c r="D502" t="s">
        <v>311</v>
      </c>
      <c r="E502" t="s">
        <v>884</v>
      </c>
      <c r="F502" t="s">
        <v>472</v>
      </c>
      <c r="G502" s="68">
        <v>0</v>
      </c>
      <c r="H502" s="68">
        <v>2</v>
      </c>
      <c r="I502" s="68">
        <v>0</v>
      </c>
      <c r="J502" s="68">
        <v>0</v>
      </c>
      <c r="K502" s="68">
        <v>2</v>
      </c>
      <c r="L502" s="68">
        <v>0</v>
      </c>
      <c r="M502" s="68">
        <v>0</v>
      </c>
      <c r="N502" s="68">
        <v>2</v>
      </c>
    </row>
    <row r="503" spans="1:14">
      <c r="A503" t="s">
        <v>444</v>
      </c>
      <c r="B503" t="s">
        <v>445</v>
      </c>
      <c r="C503" t="s">
        <v>855</v>
      </c>
      <c r="D503" t="s">
        <v>311</v>
      </c>
      <c r="E503" t="s">
        <v>885</v>
      </c>
      <c r="F503" t="s">
        <v>472</v>
      </c>
      <c r="G503" s="68">
        <v>0</v>
      </c>
      <c r="H503" s="68">
        <v>9</v>
      </c>
      <c r="I503" s="68">
        <v>9</v>
      </c>
      <c r="J503" s="68">
        <v>3</v>
      </c>
      <c r="K503" s="68">
        <v>4</v>
      </c>
      <c r="L503" s="68">
        <v>4</v>
      </c>
      <c r="M503" s="68">
        <v>3</v>
      </c>
      <c r="N503" s="68">
        <v>2</v>
      </c>
    </row>
    <row r="504" spans="1:14">
      <c r="A504" t="s">
        <v>444</v>
      </c>
      <c r="B504" t="s">
        <v>445</v>
      </c>
      <c r="C504" t="s">
        <v>855</v>
      </c>
      <c r="D504" t="s">
        <v>311</v>
      </c>
      <c r="E504" t="s">
        <v>886</v>
      </c>
      <c r="F504" t="s">
        <v>452</v>
      </c>
      <c r="G504" s="68">
        <v>0</v>
      </c>
      <c r="H504" s="68">
        <v>8</v>
      </c>
      <c r="I504" s="68">
        <v>6</v>
      </c>
      <c r="J504" s="68">
        <v>3</v>
      </c>
      <c r="K504" s="68">
        <v>9</v>
      </c>
      <c r="L504" s="68">
        <v>18</v>
      </c>
      <c r="M504" s="68">
        <v>15</v>
      </c>
      <c r="N504" s="68">
        <v>20</v>
      </c>
    </row>
    <row r="505" spans="1:14">
      <c r="A505" t="s">
        <v>444</v>
      </c>
      <c r="B505" t="s">
        <v>445</v>
      </c>
      <c r="C505" t="s">
        <v>855</v>
      </c>
      <c r="D505" t="s">
        <v>311</v>
      </c>
      <c r="E505" t="s">
        <v>887</v>
      </c>
      <c r="F505" t="s">
        <v>452</v>
      </c>
      <c r="G505" s="68">
        <v>1</v>
      </c>
      <c r="H505" s="68">
        <v>0</v>
      </c>
      <c r="I505" s="68">
        <v>0</v>
      </c>
      <c r="J505" s="68">
        <v>0</v>
      </c>
      <c r="K505" s="68">
        <v>1</v>
      </c>
      <c r="L505" s="68">
        <v>0</v>
      </c>
      <c r="M505" s="68">
        <v>0</v>
      </c>
      <c r="N505" s="68">
        <v>1</v>
      </c>
    </row>
    <row r="506" spans="1:14">
      <c r="A506" t="s">
        <v>444</v>
      </c>
      <c r="B506" t="s">
        <v>445</v>
      </c>
      <c r="C506" t="s">
        <v>855</v>
      </c>
      <c r="D506" t="s">
        <v>311</v>
      </c>
      <c r="E506" t="s">
        <v>888</v>
      </c>
      <c r="F506" t="s">
        <v>472</v>
      </c>
      <c r="G506" s="68">
        <v>0</v>
      </c>
      <c r="H506" s="68">
        <v>0</v>
      </c>
      <c r="I506" s="68">
        <v>0</v>
      </c>
      <c r="J506" s="68">
        <v>1</v>
      </c>
      <c r="K506" s="68">
        <v>0</v>
      </c>
      <c r="L506" s="68">
        <v>0</v>
      </c>
      <c r="M506" s="68">
        <v>0</v>
      </c>
      <c r="N506" s="68">
        <v>0</v>
      </c>
    </row>
    <row r="507" spans="1:14">
      <c r="A507" t="s">
        <v>444</v>
      </c>
      <c r="B507" t="s">
        <v>445</v>
      </c>
      <c r="C507" t="s">
        <v>855</v>
      </c>
      <c r="D507" t="s">
        <v>311</v>
      </c>
      <c r="E507" t="s">
        <v>889</v>
      </c>
      <c r="F507" t="s">
        <v>472</v>
      </c>
      <c r="G507" s="68">
        <v>2</v>
      </c>
      <c r="H507" s="68">
        <v>0</v>
      </c>
      <c r="I507" s="68">
        <v>0</v>
      </c>
      <c r="J507" s="68">
        <v>0</v>
      </c>
      <c r="K507" s="68">
        <v>0</v>
      </c>
      <c r="L507" s="68">
        <v>0</v>
      </c>
      <c r="M507" s="68">
        <v>0</v>
      </c>
      <c r="N507" s="68">
        <v>0</v>
      </c>
    </row>
    <row r="508" spans="1:14">
      <c r="A508" t="s">
        <v>444</v>
      </c>
      <c r="B508" t="s">
        <v>445</v>
      </c>
      <c r="C508" t="s">
        <v>855</v>
      </c>
      <c r="D508" t="s">
        <v>282</v>
      </c>
      <c r="E508" t="s">
        <v>890</v>
      </c>
      <c r="F508" t="s">
        <v>452</v>
      </c>
      <c r="G508" s="68">
        <v>1</v>
      </c>
      <c r="H508" s="68">
        <v>0</v>
      </c>
      <c r="I508" s="68">
        <v>0</v>
      </c>
      <c r="J508" s="68">
        <v>0</v>
      </c>
      <c r="K508" s="68">
        <v>0</v>
      </c>
      <c r="L508" s="68">
        <v>0</v>
      </c>
      <c r="M508" s="68">
        <v>0</v>
      </c>
      <c r="N508" s="68">
        <v>0</v>
      </c>
    </row>
    <row r="509" spans="1:14">
      <c r="A509" t="s">
        <v>444</v>
      </c>
      <c r="B509" t="s">
        <v>445</v>
      </c>
      <c r="C509" t="s">
        <v>855</v>
      </c>
      <c r="D509" t="s">
        <v>282</v>
      </c>
      <c r="E509" t="s">
        <v>891</v>
      </c>
      <c r="F509" t="s">
        <v>452</v>
      </c>
      <c r="G509" s="68">
        <v>2</v>
      </c>
      <c r="H509" s="68">
        <v>0</v>
      </c>
      <c r="I509" s="68">
        <v>0</v>
      </c>
      <c r="J509" s="68">
        <v>0</v>
      </c>
      <c r="K509" s="68">
        <v>0</v>
      </c>
      <c r="L509" s="68">
        <v>0</v>
      </c>
      <c r="M509" s="68">
        <v>0</v>
      </c>
      <c r="N509" s="68">
        <v>0</v>
      </c>
    </row>
    <row r="510" spans="1:14">
      <c r="A510" t="s">
        <v>444</v>
      </c>
      <c r="B510" t="s">
        <v>445</v>
      </c>
      <c r="C510" t="s">
        <v>855</v>
      </c>
      <c r="D510" t="s">
        <v>282</v>
      </c>
      <c r="E510" t="s">
        <v>892</v>
      </c>
      <c r="F510" t="s">
        <v>452</v>
      </c>
      <c r="G510" s="68">
        <v>0</v>
      </c>
      <c r="H510" s="68">
        <v>0</v>
      </c>
      <c r="I510" s="68">
        <v>0</v>
      </c>
      <c r="J510" s="68">
        <v>0</v>
      </c>
      <c r="K510" s="68">
        <v>0</v>
      </c>
      <c r="L510" s="68">
        <v>1</v>
      </c>
      <c r="M510" s="68">
        <v>0</v>
      </c>
      <c r="N510" s="68">
        <v>0</v>
      </c>
    </row>
    <row r="511" spans="1:14">
      <c r="A511" t="s">
        <v>444</v>
      </c>
      <c r="B511" t="s">
        <v>445</v>
      </c>
      <c r="C511" t="s">
        <v>855</v>
      </c>
      <c r="D511" t="s">
        <v>282</v>
      </c>
      <c r="E511" t="s">
        <v>893</v>
      </c>
      <c r="F511" t="s">
        <v>452</v>
      </c>
      <c r="G511" s="68">
        <v>0</v>
      </c>
      <c r="H511" s="68">
        <v>0</v>
      </c>
      <c r="I511" s="68">
        <v>0</v>
      </c>
      <c r="J511" s="68">
        <v>0</v>
      </c>
      <c r="K511" s="68">
        <v>0</v>
      </c>
      <c r="L511" s="68">
        <v>0</v>
      </c>
      <c r="M511" s="68">
        <v>1</v>
      </c>
      <c r="N511" s="68">
        <v>0</v>
      </c>
    </row>
    <row r="512" spans="1:14">
      <c r="A512" t="s">
        <v>444</v>
      </c>
      <c r="B512" t="s">
        <v>445</v>
      </c>
      <c r="C512" t="s">
        <v>855</v>
      </c>
      <c r="D512" t="s">
        <v>282</v>
      </c>
      <c r="E512" t="s">
        <v>894</v>
      </c>
      <c r="F512" t="s">
        <v>452</v>
      </c>
      <c r="G512" s="68">
        <v>2</v>
      </c>
      <c r="H512" s="68">
        <v>0</v>
      </c>
      <c r="I512" s="68">
        <v>1</v>
      </c>
      <c r="J512" s="68">
        <v>4</v>
      </c>
      <c r="K512" s="68">
        <v>2</v>
      </c>
      <c r="L512" s="68">
        <v>3</v>
      </c>
      <c r="M512" s="68">
        <v>1</v>
      </c>
      <c r="N512" s="68">
        <v>3</v>
      </c>
    </row>
    <row r="513" spans="1:14">
      <c r="A513" t="s">
        <v>444</v>
      </c>
      <c r="B513" t="s">
        <v>445</v>
      </c>
      <c r="C513" t="s">
        <v>855</v>
      </c>
      <c r="D513" t="s">
        <v>282</v>
      </c>
      <c r="E513" t="s">
        <v>895</v>
      </c>
      <c r="F513" t="s">
        <v>452</v>
      </c>
      <c r="G513" s="68">
        <v>0</v>
      </c>
      <c r="H513" s="68">
        <v>1</v>
      </c>
      <c r="I513" s="68">
        <v>0</v>
      </c>
      <c r="J513" s="68">
        <v>0</v>
      </c>
      <c r="K513" s="68">
        <v>0</v>
      </c>
      <c r="L513" s="68">
        <v>1</v>
      </c>
      <c r="M513" s="68">
        <v>1</v>
      </c>
      <c r="N513" s="68">
        <v>0</v>
      </c>
    </row>
    <row r="514" spans="1:14">
      <c r="A514" t="s">
        <v>444</v>
      </c>
      <c r="B514" t="s">
        <v>445</v>
      </c>
      <c r="C514" t="s">
        <v>855</v>
      </c>
      <c r="D514" t="s">
        <v>282</v>
      </c>
      <c r="E514" t="s">
        <v>896</v>
      </c>
      <c r="F514" t="s">
        <v>452</v>
      </c>
      <c r="G514" s="68">
        <v>0</v>
      </c>
      <c r="H514" s="68">
        <v>3</v>
      </c>
      <c r="I514" s="68">
        <v>9</v>
      </c>
      <c r="J514" s="68">
        <v>11</v>
      </c>
      <c r="K514" s="68">
        <v>16</v>
      </c>
      <c r="L514" s="68">
        <v>13</v>
      </c>
      <c r="M514" s="68">
        <v>9</v>
      </c>
      <c r="N514" s="68">
        <v>6</v>
      </c>
    </row>
    <row r="515" spans="1:14">
      <c r="A515" t="s">
        <v>444</v>
      </c>
      <c r="B515" t="s">
        <v>445</v>
      </c>
      <c r="C515" t="s">
        <v>855</v>
      </c>
      <c r="D515" t="s">
        <v>282</v>
      </c>
      <c r="E515" t="s">
        <v>897</v>
      </c>
      <c r="F515" t="s">
        <v>452</v>
      </c>
      <c r="G515" s="68">
        <v>0</v>
      </c>
      <c r="H515" s="68">
        <v>1</v>
      </c>
      <c r="I515" s="68">
        <v>0</v>
      </c>
      <c r="J515" s="68">
        <v>0</v>
      </c>
      <c r="K515" s="68">
        <v>0</v>
      </c>
      <c r="L515" s="68">
        <v>0</v>
      </c>
      <c r="M515" s="68">
        <v>0</v>
      </c>
      <c r="N515" s="68">
        <v>0</v>
      </c>
    </row>
    <row r="516" spans="1:14">
      <c r="A516" t="s">
        <v>444</v>
      </c>
      <c r="B516" t="s">
        <v>445</v>
      </c>
      <c r="C516" t="s">
        <v>855</v>
      </c>
      <c r="D516" t="s">
        <v>282</v>
      </c>
      <c r="E516" t="s">
        <v>898</v>
      </c>
      <c r="F516" t="s">
        <v>452</v>
      </c>
      <c r="G516" s="68">
        <v>0</v>
      </c>
      <c r="H516" s="68">
        <v>0</v>
      </c>
      <c r="I516" s="68">
        <v>0</v>
      </c>
      <c r="J516" s="68">
        <v>1</v>
      </c>
      <c r="K516" s="68">
        <v>1</v>
      </c>
      <c r="L516" s="68">
        <v>1</v>
      </c>
      <c r="M516" s="68">
        <v>0</v>
      </c>
      <c r="N516" s="68">
        <v>2</v>
      </c>
    </row>
    <row r="517" spans="1:14">
      <c r="A517" t="s">
        <v>444</v>
      </c>
      <c r="B517" t="s">
        <v>445</v>
      </c>
      <c r="C517" t="s">
        <v>855</v>
      </c>
      <c r="D517" t="s">
        <v>282</v>
      </c>
      <c r="E517" t="s">
        <v>899</v>
      </c>
      <c r="F517" t="s">
        <v>452</v>
      </c>
      <c r="G517" s="68">
        <v>2</v>
      </c>
      <c r="H517" s="68">
        <v>1</v>
      </c>
      <c r="I517" s="68">
        <v>4</v>
      </c>
      <c r="J517" s="68">
        <v>2</v>
      </c>
      <c r="K517" s="68">
        <v>1</v>
      </c>
      <c r="L517" s="68">
        <v>3</v>
      </c>
      <c r="M517" s="68">
        <v>1</v>
      </c>
      <c r="N517" s="68">
        <v>4</v>
      </c>
    </row>
    <row r="518" spans="1:14">
      <c r="A518" t="s">
        <v>444</v>
      </c>
      <c r="B518" t="s">
        <v>445</v>
      </c>
      <c r="C518" t="s">
        <v>855</v>
      </c>
      <c r="D518" t="s">
        <v>279</v>
      </c>
      <c r="E518" t="s">
        <v>900</v>
      </c>
      <c r="F518" t="s">
        <v>452</v>
      </c>
      <c r="G518" s="68">
        <v>0</v>
      </c>
      <c r="H518" s="68">
        <v>0</v>
      </c>
      <c r="I518" s="68">
        <v>0</v>
      </c>
      <c r="J518" s="68">
        <v>2</v>
      </c>
      <c r="K518" s="68">
        <v>1</v>
      </c>
      <c r="L518" s="68">
        <v>1</v>
      </c>
      <c r="M518" s="68">
        <v>2</v>
      </c>
      <c r="N518" s="68">
        <v>0</v>
      </c>
    </row>
    <row r="519" spans="1:14">
      <c r="A519" t="s">
        <v>444</v>
      </c>
      <c r="B519" t="s">
        <v>445</v>
      </c>
      <c r="C519" t="s">
        <v>855</v>
      </c>
      <c r="D519" t="s">
        <v>279</v>
      </c>
      <c r="E519" t="s">
        <v>901</v>
      </c>
      <c r="F519" t="s">
        <v>452</v>
      </c>
      <c r="G519" s="68">
        <v>24</v>
      </c>
      <c r="H519" s="68">
        <v>49</v>
      </c>
      <c r="I519" s="68">
        <v>52</v>
      </c>
      <c r="J519" s="68">
        <v>56</v>
      </c>
      <c r="K519" s="68">
        <v>45</v>
      </c>
      <c r="L519" s="68">
        <v>43</v>
      </c>
      <c r="M519" s="68">
        <v>34</v>
      </c>
      <c r="N519" s="68">
        <v>30</v>
      </c>
    </row>
    <row r="520" spans="1:14">
      <c r="A520" t="s">
        <v>444</v>
      </c>
      <c r="B520" t="s">
        <v>445</v>
      </c>
      <c r="C520" t="s">
        <v>855</v>
      </c>
      <c r="D520" t="s">
        <v>279</v>
      </c>
      <c r="E520" t="s">
        <v>902</v>
      </c>
      <c r="F520" t="s">
        <v>452</v>
      </c>
      <c r="G520" s="68">
        <v>0</v>
      </c>
      <c r="H520" s="68">
        <v>0</v>
      </c>
      <c r="I520" s="68">
        <v>1</v>
      </c>
      <c r="J520" s="68">
        <v>1</v>
      </c>
      <c r="K520" s="68">
        <v>0</v>
      </c>
      <c r="L520" s="68">
        <v>1</v>
      </c>
      <c r="M520" s="68">
        <v>0</v>
      </c>
      <c r="N520" s="68">
        <v>0</v>
      </c>
    </row>
    <row r="521" spans="1:14">
      <c r="A521" t="s">
        <v>444</v>
      </c>
      <c r="B521" t="s">
        <v>445</v>
      </c>
      <c r="C521" t="s">
        <v>855</v>
      </c>
      <c r="D521" t="s">
        <v>277</v>
      </c>
      <c r="E521" t="s">
        <v>903</v>
      </c>
      <c r="F521" t="s">
        <v>452</v>
      </c>
      <c r="G521" s="68">
        <v>0</v>
      </c>
      <c r="H521" s="68">
        <v>1</v>
      </c>
      <c r="I521" s="68">
        <v>0</v>
      </c>
      <c r="J521" s="68">
        <v>1</v>
      </c>
      <c r="K521" s="68">
        <v>0</v>
      </c>
      <c r="L521" s="68">
        <v>0</v>
      </c>
      <c r="M521" s="68">
        <v>0</v>
      </c>
      <c r="N521" s="68">
        <v>0</v>
      </c>
    </row>
    <row r="522" spans="1:14">
      <c r="A522" t="s">
        <v>444</v>
      </c>
      <c r="B522" t="s">
        <v>445</v>
      </c>
      <c r="C522" t="s">
        <v>855</v>
      </c>
      <c r="D522" t="s">
        <v>276</v>
      </c>
      <c r="E522" t="s">
        <v>904</v>
      </c>
      <c r="F522" t="s">
        <v>452</v>
      </c>
      <c r="G522" s="68">
        <v>0</v>
      </c>
      <c r="H522" s="68">
        <v>3</v>
      </c>
      <c r="I522" s="68">
        <v>5</v>
      </c>
      <c r="J522" s="68">
        <v>4</v>
      </c>
      <c r="K522" s="68">
        <v>0</v>
      </c>
      <c r="L522" s="68">
        <v>2</v>
      </c>
      <c r="M522" s="68">
        <v>1</v>
      </c>
      <c r="N522" s="68">
        <v>0</v>
      </c>
    </row>
    <row r="523" spans="1:14">
      <c r="A523" t="s">
        <v>444</v>
      </c>
      <c r="B523" t="s">
        <v>445</v>
      </c>
      <c r="C523" t="s">
        <v>855</v>
      </c>
      <c r="D523" t="s">
        <v>276</v>
      </c>
      <c r="E523" t="s">
        <v>905</v>
      </c>
      <c r="F523" t="s">
        <v>452</v>
      </c>
      <c r="G523" s="68">
        <v>13</v>
      </c>
      <c r="H523" s="68">
        <v>24</v>
      </c>
      <c r="I523" s="68">
        <v>30</v>
      </c>
      <c r="J523" s="68">
        <v>20</v>
      </c>
      <c r="K523" s="68">
        <v>16</v>
      </c>
      <c r="L523" s="68">
        <v>30</v>
      </c>
      <c r="M523" s="68">
        <v>24</v>
      </c>
      <c r="N523" s="68">
        <v>25</v>
      </c>
    </row>
    <row r="524" spans="1:14">
      <c r="A524" t="s">
        <v>444</v>
      </c>
      <c r="B524" t="s">
        <v>445</v>
      </c>
      <c r="C524" t="s">
        <v>855</v>
      </c>
      <c r="D524" t="s">
        <v>276</v>
      </c>
      <c r="E524" t="s">
        <v>906</v>
      </c>
      <c r="F524" t="s">
        <v>452</v>
      </c>
      <c r="G524" s="68">
        <v>0</v>
      </c>
      <c r="H524" s="68">
        <v>1</v>
      </c>
      <c r="I524" s="68">
        <v>0</v>
      </c>
      <c r="J524" s="68">
        <v>3</v>
      </c>
      <c r="K524" s="68">
        <v>1</v>
      </c>
      <c r="L524" s="68">
        <v>2</v>
      </c>
      <c r="M524" s="68">
        <v>2</v>
      </c>
      <c r="N524" s="68">
        <v>0</v>
      </c>
    </row>
    <row r="525" spans="1:14">
      <c r="A525" t="s">
        <v>444</v>
      </c>
      <c r="B525" t="s">
        <v>445</v>
      </c>
      <c r="C525" t="s">
        <v>855</v>
      </c>
      <c r="D525" t="s">
        <v>275</v>
      </c>
      <c r="E525" t="s">
        <v>907</v>
      </c>
      <c r="F525" t="s">
        <v>452</v>
      </c>
      <c r="G525" s="68">
        <v>12</v>
      </c>
      <c r="H525" s="68">
        <v>3</v>
      </c>
      <c r="I525" s="68">
        <v>7</v>
      </c>
      <c r="J525" s="68">
        <v>3</v>
      </c>
      <c r="K525" s="68">
        <v>2</v>
      </c>
      <c r="L525" s="68">
        <v>0</v>
      </c>
      <c r="M525" s="68">
        <v>0</v>
      </c>
      <c r="N525" s="68">
        <v>0</v>
      </c>
    </row>
    <row r="526" spans="1:14">
      <c r="A526" t="s">
        <v>444</v>
      </c>
      <c r="B526" t="s">
        <v>445</v>
      </c>
      <c r="C526" t="s">
        <v>855</v>
      </c>
      <c r="D526" t="s">
        <v>275</v>
      </c>
      <c r="E526" t="s">
        <v>908</v>
      </c>
      <c r="F526" t="s">
        <v>452</v>
      </c>
      <c r="G526" s="68">
        <v>17</v>
      </c>
      <c r="H526" s="68">
        <v>35</v>
      </c>
      <c r="I526" s="68">
        <v>21</v>
      </c>
      <c r="J526" s="68">
        <v>33</v>
      </c>
      <c r="K526" s="68">
        <v>26</v>
      </c>
      <c r="L526" s="68">
        <v>50</v>
      </c>
      <c r="M526" s="68">
        <v>38</v>
      </c>
      <c r="N526" s="68">
        <v>36</v>
      </c>
    </row>
    <row r="527" spans="1:14">
      <c r="A527" t="s">
        <v>444</v>
      </c>
      <c r="B527" t="s">
        <v>445</v>
      </c>
      <c r="C527" t="s">
        <v>855</v>
      </c>
      <c r="D527" t="s">
        <v>275</v>
      </c>
      <c r="E527" t="s">
        <v>909</v>
      </c>
      <c r="F527" t="s">
        <v>452</v>
      </c>
      <c r="G527" s="68">
        <v>0</v>
      </c>
      <c r="H527" s="68">
        <v>0</v>
      </c>
      <c r="I527" s="68">
        <v>0</v>
      </c>
      <c r="J527" s="68">
        <v>0</v>
      </c>
      <c r="K527" s="68">
        <v>0</v>
      </c>
      <c r="L527" s="68">
        <v>0</v>
      </c>
      <c r="M527" s="68">
        <v>2</v>
      </c>
      <c r="N527" s="68">
        <v>2</v>
      </c>
    </row>
    <row r="528" spans="1:14">
      <c r="A528" t="s">
        <v>444</v>
      </c>
      <c r="B528" t="s">
        <v>445</v>
      </c>
      <c r="C528" t="s">
        <v>855</v>
      </c>
      <c r="D528" t="s">
        <v>275</v>
      </c>
      <c r="E528" t="s">
        <v>910</v>
      </c>
      <c r="F528" t="s">
        <v>452</v>
      </c>
      <c r="G528" s="68">
        <v>0</v>
      </c>
      <c r="H528" s="68">
        <v>30</v>
      </c>
      <c r="I528" s="68">
        <v>32</v>
      </c>
      <c r="J528" s="68">
        <v>27</v>
      </c>
      <c r="K528" s="68">
        <v>23</v>
      </c>
      <c r="L528" s="68">
        <v>20</v>
      </c>
      <c r="M528" s="68">
        <v>13</v>
      </c>
      <c r="N528" s="68">
        <v>15</v>
      </c>
    </row>
    <row r="529" spans="1:14">
      <c r="A529" t="s">
        <v>444</v>
      </c>
      <c r="B529" t="s">
        <v>445</v>
      </c>
      <c r="C529" t="s">
        <v>855</v>
      </c>
      <c r="D529" t="s">
        <v>275</v>
      </c>
      <c r="E529" t="s">
        <v>911</v>
      </c>
      <c r="F529" t="s">
        <v>452</v>
      </c>
      <c r="G529" s="68">
        <v>0</v>
      </c>
      <c r="H529" s="68">
        <v>1</v>
      </c>
      <c r="I529" s="68">
        <v>0</v>
      </c>
      <c r="J529" s="68">
        <v>0</v>
      </c>
      <c r="K529" s="68">
        <v>0</v>
      </c>
      <c r="L529" s="68">
        <v>0</v>
      </c>
      <c r="M529" s="68">
        <v>0</v>
      </c>
      <c r="N529" s="68">
        <v>1</v>
      </c>
    </row>
    <row r="530" spans="1:14">
      <c r="A530" t="s">
        <v>444</v>
      </c>
      <c r="B530" t="s">
        <v>445</v>
      </c>
      <c r="C530" t="s">
        <v>855</v>
      </c>
      <c r="D530" t="s">
        <v>274</v>
      </c>
      <c r="E530" t="s">
        <v>912</v>
      </c>
      <c r="F530" t="s">
        <v>452</v>
      </c>
      <c r="G530" s="68">
        <v>6</v>
      </c>
      <c r="H530" s="68">
        <v>14</v>
      </c>
      <c r="I530" s="68">
        <v>9</v>
      </c>
      <c r="J530" s="68">
        <v>4</v>
      </c>
      <c r="K530" s="68">
        <v>7</v>
      </c>
      <c r="L530" s="68">
        <v>10</v>
      </c>
      <c r="M530" s="68">
        <v>7</v>
      </c>
      <c r="N530" s="68">
        <v>7</v>
      </c>
    </row>
    <row r="531" spans="1:14">
      <c r="A531" t="s">
        <v>444</v>
      </c>
      <c r="B531" t="s">
        <v>445</v>
      </c>
      <c r="C531" t="s">
        <v>855</v>
      </c>
      <c r="D531" t="s">
        <v>274</v>
      </c>
      <c r="E531" t="s">
        <v>913</v>
      </c>
      <c r="F531" t="s">
        <v>452</v>
      </c>
      <c r="G531" s="68">
        <v>9</v>
      </c>
      <c r="H531" s="68">
        <v>16</v>
      </c>
      <c r="I531" s="68">
        <v>23</v>
      </c>
      <c r="J531" s="68">
        <v>14</v>
      </c>
      <c r="K531" s="68">
        <v>13</v>
      </c>
      <c r="L531" s="68">
        <v>14</v>
      </c>
      <c r="M531" s="68">
        <v>8</v>
      </c>
      <c r="N531" s="68">
        <v>12</v>
      </c>
    </row>
    <row r="532" spans="1:14">
      <c r="A532" t="s">
        <v>444</v>
      </c>
      <c r="B532" t="s">
        <v>445</v>
      </c>
      <c r="C532" t="s">
        <v>855</v>
      </c>
      <c r="D532" t="s">
        <v>272</v>
      </c>
      <c r="E532" t="s">
        <v>914</v>
      </c>
      <c r="F532" t="s">
        <v>452</v>
      </c>
      <c r="G532" s="68">
        <v>3</v>
      </c>
      <c r="H532" s="68">
        <v>6</v>
      </c>
      <c r="I532" s="68">
        <v>0</v>
      </c>
      <c r="J532" s="68">
        <v>8</v>
      </c>
      <c r="K532" s="68">
        <v>6</v>
      </c>
      <c r="L532" s="68">
        <v>3</v>
      </c>
      <c r="M532" s="68">
        <v>0</v>
      </c>
      <c r="N532" s="68">
        <v>0</v>
      </c>
    </row>
    <row r="533" spans="1:14">
      <c r="A533" t="s">
        <v>444</v>
      </c>
      <c r="B533" t="s">
        <v>445</v>
      </c>
      <c r="C533" t="s">
        <v>855</v>
      </c>
      <c r="D533" t="s">
        <v>272</v>
      </c>
      <c r="E533" t="s">
        <v>915</v>
      </c>
      <c r="F533" t="s">
        <v>452</v>
      </c>
      <c r="G533" s="68">
        <v>0</v>
      </c>
      <c r="H533" s="68">
        <v>0</v>
      </c>
      <c r="I533" s="68">
        <v>1</v>
      </c>
      <c r="J533" s="68">
        <v>0</v>
      </c>
      <c r="K533" s="68">
        <v>0</v>
      </c>
      <c r="L533" s="68">
        <v>0</v>
      </c>
      <c r="M533" s="68">
        <v>0</v>
      </c>
      <c r="N533" s="68">
        <v>0</v>
      </c>
    </row>
    <row r="534" spans="1:14">
      <c r="A534" t="s">
        <v>444</v>
      </c>
      <c r="B534" t="s">
        <v>445</v>
      </c>
      <c r="C534" t="s">
        <v>855</v>
      </c>
      <c r="D534" t="s">
        <v>272</v>
      </c>
      <c r="E534" t="s">
        <v>916</v>
      </c>
      <c r="F534" t="s">
        <v>452</v>
      </c>
      <c r="G534" s="68">
        <v>0</v>
      </c>
      <c r="H534" s="68">
        <v>0</v>
      </c>
      <c r="I534" s="68">
        <v>0</v>
      </c>
      <c r="J534" s="68">
        <v>0</v>
      </c>
      <c r="K534" s="68">
        <v>0</v>
      </c>
      <c r="L534" s="68">
        <v>0</v>
      </c>
      <c r="M534" s="68">
        <v>1</v>
      </c>
      <c r="N534" s="68">
        <v>5</v>
      </c>
    </row>
    <row r="535" spans="1:14">
      <c r="A535" t="s">
        <v>444</v>
      </c>
      <c r="B535" t="s">
        <v>445</v>
      </c>
      <c r="C535" t="s">
        <v>855</v>
      </c>
      <c r="D535" t="s">
        <v>158</v>
      </c>
      <c r="E535" t="s">
        <v>454</v>
      </c>
      <c r="F535" t="s">
        <v>472</v>
      </c>
      <c r="G535" s="68">
        <v>0</v>
      </c>
      <c r="H535" s="68">
        <v>0</v>
      </c>
      <c r="I535" s="68">
        <v>1</v>
      </c>
      <c r="J535" s="68">
        <v>0</v>
      </c>
      <c r="K535" s="68">
        <v>0</v>
      </c>
      <c r="L535" s="68">
        <v>0</v>
      </c>
      <c r="M535" s="68">
        <v>0</v>
      </c>
      <c r="N535" s="68">
        <v>0</v>
      </c>
    </row>
    <row r="536" spans="1:14">
      <c r="A536" t="s">
        <v>444</v>
      </c>
      <c r="B536" t="s">
        <v>445</v>
      </c>
      <c r="C536" t="s">
        <v>855</v>
      </c>
      <c r="D536" t="s">
        <v>110</v>
      </c>
      <c r="E536" t="s">
        <v>917</v>
      </c>
      <c r="F536" t="s">
        <v>447</v>
      </c>
      <c r="G536" s="68">
        <v>2</v>
      </c>
      <c r="H536" s="68">
        <v>4</v>
      </c>
      <c r="I536" s="68">
        <v>10</v>
      </c>
      <c r="J536" s="68">
        <v>6</v>
      </c>
      <c r="K536" s="68">
        <v>7</v>
      </c>
      <c r="L536" s="68">
        <v>7</v>
      </c>
      <c r="M536" s="68">
        <v>0</v>
      </c>
      <c r="N536" s="68">
        <v>0</v>
      </c>
    </row>
    <row r="537" spans="1:14">
      <c r="A537" t="s">
        <v>444</v>
      </c>
      <c r="B537" t="s">
        <v>445</v>
      </c>
      <c r="C537" t="s">
        <v>855</v>
      </c>
      <c r="D537" t="s">
        <v>110</v>
      </c>
      <c r="E537" t="s">
        <v>918</v>
      </c>
      <c r="F537" t="s">
        <v>447</v>
      </c>
      <c r="G537" s="68">
        <v>0</v>
      </c>
      <c r="H537" s="68">
        <v>0</v>
      </c>
      <c r="I537" s="68">
        <v>2</v>
      </c>
      <c r="J537" s="68">
        <v>5</v>
      </c>
      <c r="K537" s="68">
        <v>5</v>
      </c>
      <c r="L537" s="68">
        <v>4</v>
      </c>
      <c r="M537" s="68">
        <v>0</v>
      </c>
      <c r="N537" s="68">
        <v>2</v>
      </c>
    </row>
    <row r="538" spans="1:14">
      <c r="A538" t="s">
        <v>444</v>
      </c>
      <c r="B538" t="s">
        <v>445</v>
      </c>
      <c r="C538" t="s">
        <v>855</v>
      </c>
      <c r="D538" t="s">
        <v>110</v>
      </c>
      <c r="E538" t="s">
        <v>919</v>
      </c>
      <c r="F538" t="s">
        <v>447</v>
      </c>
      <c r="G538" s="68">
        <v>0</v>
      </c>
      <c r="H538" s="68">
        <v>0</v>
      </c>
      <c r="I538" s="68">
        <v>0</v>
      </c>
      <c r="J538" s="68">
        <v>0</v>
      </c>
      <c r="K538" s="68">
        <v>0</v>
      </c>
      <c r="L538" s="68">
        <v>0</v>
      </c>
      <c r="M538" s="68">
        <v>9</v>
      </c>
      <c r="N538" s="68">
        <v>6</v>
      </c>
    </row>
    <row r="539" spans="1:14">
      <c r="A539" t="s">
        <v>444</v>
      </c>
      <c r="B539" t="s">
        <v>445</v>
      </c>
      <c r="C539" t="s">
        <v>855</v>
      </c>
      <c r="D539" t="s">
        <v>110</v>
      </c>
      <c r="E539" t="s">
        <v>920</v>
      </c>
      <c r="F539" t="s">
        <v>447</v>
      </c>
      <c r="G539" s="68">
        <v>0</v>
      </c>
      <c r="H539" s="68">
        <v>4</v>
      </c>
      <c r="I539" s="68">
        <v>0</v>
      </c>
      <c r="J539" s="68">
        <v>0</v>
      </c>
      <c r="K539" s="68">
        <v>0</v>
      </c>
      <c r="L539" s="68">
        <v>0</v>
      </c>
      <c r="M539" s="68">
        <v>0</v>
      </c>
      <c r="N539" s="68">
        <v>0</v>
      </c>
    </row>
    <row r="540" spans="1:14">
      <c r="A540" t="s">
        <v>444</v>
      </c>
      <c r="B540" t="s">
        <v>445</v>
      </c>
      <c r="C540" t="s">
        <v>855</v>
      </c>
      <c r="D540" t="s">
        <v>110</v>
      </c>
      <c r="E540" t="s">
        <v>921</v>
      </c>
      <c r="F540" t="s">
        <v>447</v>
      </c>
      <c r="G540" s="68">
        <v>0</v>
      </c>
      <c r="H540" s="68">
        <v>0</v>
      </c>
      <c r="I540" s="68">
        <v>1</v>
      </c>
      <c r="J540" s="68">
        <v>0</v>
      </c>
      <c r="K540" s="68">
        <v>0</v>
      </c>
      <c r="L540" s="68">
        <v>0</v>
      </c>
      <c r="M540" s="68">
        <v>0</v>
      </c>
      <c r="N540" s="68">
        <v>0</v>
      </c>
    </row>
    <row r="541" spans="1:14">
      <c r="A541" t="s">
        <v>444</v>
      </c>
      <c r="B541" t="s">
        <v>445</v>
      </c>
      <c r="C541" t="s">
        <v>855</v>
      </c>
      <c r="D541" t="s">
        <v>110</v>
      </c>
      <c r="E541" t="s">
        <v>922</v>
      </c>
      <c r="F541" t="s">
        <v>447</v>
      </c>
      <c r="G541" s="68">
        <v>0</v>
      </c>
      <c r="H541" s="68">
        <v>0</v>
      </c>
      <c r="I541" s="68">
        <v>0</v>
      </c>
      <c r="J541" s="68">
        <v>0</v>
      </c>
      <c r="K541" s="68">
        <v>1</v>
      </c>
      <c r="L541" s="68">
        <v>0</v>
      </c>
      <c r="M541" s="68">
        <v>0</v>
      </c>
      <c r="N541" s="68">
        <v>0</v>
      </c>
    </row>
    <row r="542" spans="1:14">
      <c r="A542" t="s">
        <v>444</v>
      </c>
      <c r="B542" t="s">
        <v>445</v>
      </c>
      <c r="C542" t="s">
        <v>855</v>
      </c>
      <c r="D542" t="s">
        <v>110</v>
      </c>
      <c r="E542" t="s">
        <v>923</v>
      </c>
      <c r="F542" t="s">
        <v>447</v>
      </c>
      <c r="G542" s="68">
        <v>3</v>
      </c>
      <c r="H542" s="68">
        <v>9</v>
      </c>
      <c r="I542" s="68">
        <v>5</v>
      </c>
      <c r="J542" s="68">
        <v>4</v>
      </c>
      <c r="K542" s="68">
        <v>9</v>
      </c>
      <c r="L542" s="68">
        <v>2</v>
      </c>
      <c r="M542" s="68">
        <v>4</v>
      </c>
      <c r="N542" s="68">
        <v>5</v>
      </c>
    </row>
    <row r="543" spans="1:14">
      <c r="A543" t="s">
        <v>444</v>
      </c>
      <c r="B543" t="s">
        <v>445</v>
      </c>
      <c r="C543" t="s">
        <v>855</v>
      </c>
      <c r="D543" t="s">
        <v>91</v>
      </c>
      <c r="E543" t="s">
        <v>924</v>
      </c>
      <c r="F543" t="s">
        <v>536</v>
      </c>
      <c r="G543" s="68">
        <v>1</v>
      </c>
      <c r="H543" s="68">
        <v>0</v>
      </c>
      <c r="I543" s="68">
        <v>0</v>
      </c>
      <c r="J543" s="68">
        <v>0</v>
      </c>
      <c r="K543" s="68">
        <v>0</v>
      </c>
      <c r="L543" s="68">
        <v>3</v>
      </c>
      <c r="M543" s="68">
        <v>1</v>
      </c>
      <c r="N543" s="68">
        <v>1</v>
      </c>
    </row>
    <row r="544" spans="1:14">
      <c r="A544" t="s">
        <v>444</v>
      </c>
      <c r="B544" t="s">
        <v>445</v>
      </c>
      <c r="C544" t="s">
        <v>855</v>
      </c>
      <c r="D544" t="s">
        <v>49</v>
      </c>
      <c r="E544" t="s">
        <v>925</v>
      </c>
      <c r="F544" t="s">
        <v>630</v>
      </c>
      <c r="G544" s="68">
        <v>5</v>
      </c>
      <c r="H544" s="68">
        <v>6</v>
      </c>
      <c r="I544" s="68">
        <v>6</v>
      </c>
      <c r="J544" s="68">
        <v>28</v>
      </c>
      <c r="K544" s="68">
        <v>3</v>
      </c>
      <c r="L544" s="68">
        <v>8</v>
      </c>
      <c r="M544" s="68">
        <v>9</v>
      </c>
      <c r="N544" s="68">
        <v>2</v>
      </c>
    </row>
    <row r="545" spans="1:14">
      <c r="A545" t="s">
        <v>444</v>
      </c>
      <c r="B545" t="s">
        <v>445</v>
      </c>
      <c r="C545" t="s">
        <v>926</v>
      </c>
      <c r="D545" t="s">
        <v>340</v>
      </c>
      <c r="E545" t="s">
        <v>927</v>
      </c>
      <c r="F545" t="s">
        <v>536</v>
      </c>
      <c r="G545" s="68">
        <v>7</v>
      </c>
      <c r="H545" s="68">
        <v>7</v>
      </c>
      <c r="I545" s="68">
        <v>9</v>
      </c>
      <c r="J545" s="68">
        <v>6</v>
      </c>
      <c r="K545" s="68">
        <v>2</v>
      </c>
      <c r="L545" s="68">
        <v>8</v>
      </c>
      <c r="M545" s="68">
        <v>7</v>
      </c>
      <c r="N545" s="68">
        <v>2</v>
      </c>
    </row>
    <row r="546" spans="1:14">
      <c r="A546" t="s">
        <v>444</v>
      </c>
      <c r="B546" t="s">
        <v>445</v>
      </c>
      <c r="C546" t="s">
        <v>926</v>
      </c>
      <c r="D546" t="s">
        <v>313</v>
      </c>
      <c r="E546" t="s">
        <v>928</v>
      </c>
      <c r="F546" t="s">
        <v>469</v>
      </c>
      <c r="G546" s="68">
        <v>312</v>
      </c>
      <c r="H546" s="68">
        <v>657</v>
      </c>
      <c r="I546" s="68">
        <v>18</v>
      </c>
      <c r="J546" s="68">
        <v>14</v>
      </c>
      <c r="K546" s="68">
        <v>5</v>
      </c>
      <c r="L546" s="68">
        <v>4</v>
      </c>
      <c r="M546" s="68">
        <v>1</v>
      </c>
      <c r="N546" s="68">
        <v>3</v>
      </c>
    </row>
    <row r="547" spans="1:14">
      <c r="A547" t="s">
        <v>444</v>
      </c>
      <c r="B547" t="s">
        <v>445</v>
      </c>
      <c r="C547" t="s">
        <v>926</v>
      </c>
      <c r="D547" t="s">
        <v>309</v>
      </c>
      <c r="E547" t="s">
        <v>929</v>
      </c>
      <c r="F547" t="s">
        <v>469</v>
      </c>
      <c r="G547" s="68">
        <v>6</v>
      </c>
      <c r="H547" s="68">
        <v>19</v>
      </c>
      <c r="I547" s="68">
        <v>18</v>
      </c>
      <c r="J547" s="68">
        <v>4</v>
      </c>
      <c r="K547" s="68">
        <v>2</v>
      </c>
      <c r="L547" s="68">
        <v>1</v>
      </c>
      <c r="M547" s="68">
        <v>0</v>
      </c>
      <c r="N547" s="68">
        <v>0</v>
      </c>
    </row>
    <row r="548" spans="1:14">
      <c r="A548" t="s">
        <v>444</v>
      </c>
      <c r="B548" t="s">
        <v>445</v>
      </c>
      <c r="C548" t="s">
        <v>926</v>
      </c>
      <c r="D548" t="s">
        <v>250</v>
      </c>
      <c r="E548" t="s">
        <v>454</v>
      </c>
      <c r="F548" t="s">
        <v>452</v>
      </c>
      <c r="G548" s="68">
        <v>2</v>
      </c>
      <c r="H548" s="68">
        <v>2</v>
      </c>
      <c r="I548" s="68">
        <v>2</v>
      </c>
      <c r="J548" s="68">
        <v>5</v>
      </c>
      <c r="K548" s="68">
        <v>3</v>
      </c>
      <c r="L548" s="68">
        <v>1</v>
      </c>
      <c r="M548" s="68">
        <v>2</v>
      </c>
      <c r="N548" s="68">
        <v>1</v>
      </c>
    </row>
    <row r="549" spans="1:14">
      <c r="A549" t="s">
        <v>444</v>
      </c>
      <c r="B549" t="s">
        <v>445</v>
      </c>
      <c r="C549" t="s">
        <v>926</v>
      </c>
      <c r="D549" t="s">
        <v>250</v>
      </c>
      <c r="E549" t="s">
        <v>534</v>
      </c>
      <c r="F549" t="s">
        <v>452</v>
      </c>
      <c r="G549" s="68">
        <v>18</v>
      </c>
      <c r="H549" s="68">
        <v>18</v>
      </c>
      <c r="I549" s="68">
        <v>19</v>
      </c>
      <c r="J549" s="68">
        <v>20</v>
      </c>
      <c r="K549" s="68">
        <v>17</v>
      </c>
      <c r="L549" s="68">
        <v>12</v>
      </c>
      <c r="M549" s="68">
        <v>16</v>
      </c>
      <c r="N549" s="68">
        <v>15</v>
      </c>
    </row>
    <row r="550" spans="1:14">
      <c r="A550" t="s">
        <v>444</v>
      </c>
      <c r="B550" t="s">
        <v>445</v>
      </c>
      <c r="C550" t="s">
        <v>926</v>
      </c>
      <c r="D550" t="s">
        <v>238</v>
      </c>
      <c r="E550" t="s">
        <v>930</v>
      </c>
      <c r="F550" t="s">
        <v>449</v>
      </c>
      <c r="G550" s="68">
        <v>0</v>
      </c>
      <c r="H550" s="68">
        <v>0</v>
      </c>
      <c r="I550" s="68">
        <v>0</v>
      </c>
      <c r="J550" s="68">
        <v>0</v>
      </c>
      <c r="K550" s="68">
        <v>0</v>
      </c>
      <c r="L550" s="68">
        <v>42</v>
      </c>
      <c r="M550" s="68">
        <v>247</v>
      </c>
      <c r="N550" s="68">
        <v>187</v>
      </c>
    </row>
    <row r="551" spans="1:14">
      <c r="A551" t="s">
        <v>444</v>
      </c>
      <c r="B551" t="s">
        <v>445</v>
      </c>
      <c r="C551" t="s">
        <v>926</v>
      </c>
      <c r="D551" t="s">
        <v>237</v>
      </c>
      <c r="E551" t="s">
        <v>454</v>
      </c>
      <c r="F551" t="s">
        <v>452</v>
      </c>
      <c r="G551" s="68">
        <v>111</v>
      </c>
      <c r="H551" s="68">
        <v>419</v>
      </c>
      <c r="I551" s="68">
        <v>13</v>
      </c>
      <c r="J551" s="68">
        <v>23</v>
      </c>
      <c r="K551" s="68">
        <v>64</v>
      </c>
      <c r="L551" s="68">
        <v>323</v>
      </c>
      <c r="M551" s="68">
        <v>171</v>
      </c>
      <c r="N551" s="68">
        <v>127</v>
      </c>
    </row>
    <row r="552" spans="1:14">
      <c r="A552" t="s">
        <v>444</v>
      </c>
      <c r="B552" t="s">
        <v>445</v>
      </c>
      <c r="C552" t="s">
        <v>926</v>
      </c>
      <c r="D552" t="s">
        <v>196</v>
      </c>
      <c r="E552" t="s">
        <v>931</v>
      </c>
      <c r="F552" t="s">
        <v>630</v>
      </c>
      <c r="G552" s="68">
        <v>36</v>
      </c>
      <c r="H552" s="68">
        <v>108</v>
      </c>
      <c r="I552" s="68">
        <v>6</v>
      </c>
      <c r="J552" s="68">
        <v>21</v>
      </c>
      <c r="K552" s="68">
        <v>55</v>
      </c>
      <c r="L552" s="68">
        <v>95</v>
      </c>
      <c r="M552" s="68">
        <v>86</v>
      </c>
      <c r="N552" s="68">
        <v>74</v>
      </c>
    </row>
    <row r="553" spans="1:14">
      <c r="A553" t="s">
        <v>444</v>
      </c>
      <c r="B553" t="s">
        <v>445</v>
      </c>
      <c r="C553" t="s">
        <v>926</v>
      </c>
      <c r="D553" t="s">
        <v>195</v>
      </c>
      <c r="E553" t="s">
        <v>454</v>
      </c>
      <c r="F553" t="s">
        <v>630</v>
      </c>
      <c r="G553" s="68">
        <v>34</v>
      </c>
      <c r="H553" s="68">
        <v>68</v>
      </c>
      <c r="I553" s="68">
        <v>13</v>
      </c>
      <c r="J553" s="68">
        <v>22</v>
      </c>
      <c r="K553" s="68">
        <v>14</v>
      </c>
      <c r="L553" s="68">
        <v>5</v>
      </c>
      <c r="M553" s="68">
        <v>15</v>
      </c>
      <c r="N553" s="68">
        <v>63</v>
      </c>
    </row>
    <row r="554" spans="1:14">
      <c r="A554" t="s">
        <v>444</v>
      </c>
      <c r="B554" t="s">
        <v>445</v>
      </c>
      <c r="C554" t="s">
        <v>926</v>
      </c>
      <c r="D554" t="s">
        <v>189</v>
      </c>
      <c r="E554" t="s">
        <v>454</v>
      </c>
      <c r="F554" t="s">
        <v>449</v>
      </c>
      <c r="G554" s="68">
        <v>92</v>
      </c>
      <c r="H554" s="68">
        <v>136</v>
      </c>
      <c r="I554" s="68">
        <v>129</v>
      </c>
      <c r="J554" s="68">
        <v>118</v>
      </c>
      <c r="K554" s="68">
        <v>82</v>
      </c>
      <c r="L554" s="68">
        <v>110</v>
      </c>
      <c r="M554" s="68">
        <v>102</v>
      </c>
      <c r="N554" s="68">
        <v>87</v>
      </c>
    </row>
    <row r="555" spans="1:14">
      <c r="A555" t="s">
        <v>444</v>
      </c>
      <c r="B555" t="s">
        <v>445</v>
      </c>
      <c r="C555" t="s">
        <v>926</v>
      </c>
      <c r="D555" t="s">
        <v>188</v>
      </c>
      <c r="E555" t="s">
        <v>744</v>
      </c>
      <c r="F555" t="s">
        <v>449</v>
      </c>
      <c r="G555" s="68">
        <v>852</v>
      </c>
      <c r="H555" s="68">
        <v>2402</v>
      </c>
      <c r="I555" s="68">
        <v>346</v>
      </c>
      <c r="J555" s="68">
        <v>932</v>
      </c>
      <c r="K555" s="68">
        <v>857</v>
      </c>
      <c r="L555" s="68">
        <v>391</v>
      </c>
      <c r="M555" s="68">
        <v>1090</v>
      </c>
      <c r="N555" s="68">
        <v>875</v>
      </c>
    </row>
    <row r="556" spans="1:14">
      <c r="A556" t="s">
        <v>444</v>
      </c>
      <c r="B556" t="s">
        <v>445</v>
      </c>
      <c r="C556" t="s">
        <v>926</v>
      </c>
      <c r="D556" t="s">
        <v>187</v>
      </c>
      <c r="E556" t="s">
        <v>454</v>
      </c>
      <c r="F556" t="s">
        <v>449</v>
      </c>
      <c r="G556" s="68">
        <v>0</v>
      </c>
      <c r="H556" s="68">
        <v>0</v>
      </c>
      <c r="I556" s="68">
        <v>0</v>
      </c>
      <c r="J556" s="68">
        <v>0</v>
      </c>
      <c r="K556" s="68">
        <v>0</v>
      </c>
      <c r="L556" s="68">
        <v>0</v>
      </c>
      <c r="M556" s="68">
        <v>0</v>
      </c>
      <c r="N556" s="68">
        <v>3</v>
      </c>
    </row>
    <row r="557" spans="1:14">
      <c r="A557" t="s">
        <v>444</v>
      </c>
      <c r="B557" t="s">
        <v>445</v>
      </c>
      <c r="C557" t="s">
        <v>926</v>
      </c>
      <c r="D557" t="s">
        <v>186</v>
      </c>
      <c r="E557" t="s">
        <v>454</v>
      </c>
      <c r="F557" t="s">
        <v>447</v>
      </c>
      <c r="G557" s="68">
        <v>104</v>
      </c>
      <c r="H557" s="68">
        <v>127</v>
      </c>
      <c r="I557" s="68">
        <v>113</v>
      </c>
      <c r="J557" s="68">
        <v>115</v>
      </c>
      <c r="K557" s="68">
        <v>97</v>
      </c>
      <c r="L557" s="68">
        <v>88</v>
      </c>
      <c r="M557" s="68">
        <v>85</v>
      </c>
      <c r="N557" s="68">
        <v>81</v>
      </c>
    </row>
    <row r="558" spans="1:14">
      <c r="A558" t="s">
        <v>444</v>
      </c>
      <c r="B558" t="s">
        <v>445</v>
      </c>
      <c r="C558" t="s">
        <v>926</v>
      </c>
      <c r="D558" t="s">
        <v>116</v>
      </c>
      <c r="E558" t="s">
        <v>454</v>
      </c>
      <c r="F558" t="s">
        <v>452</v>
      </c>
      <c r="G558" s="68">
        <v>700</v>
      </c>
      <c r="H558" s="68">
        <v>0</v>
      </c>
      <c r="I558" s="68">
        <v>0</v>
      </c>
      <c r="J558" s="68">
        <v>0</v>
      </c>
      <c r="K558" s="68">
        <v>0</v>
      </c>
      <c r="L558" s="68">
        <v>0</v>
      </c>
      <c r="M558" s="68">
        <v>0</v>
      </c>
      <c r="N558" s="68">
        <v>0</v>
      </c>
    </row>
    <row r="559" spans="1:14">
      <c r="A559" t="s">
        <v>444</v>
      </c>
      <c r="B559" t="s">
        <v>445</v>
      </c>
      <c r="C559" t="s">
        <v>926</v>
      </c>
      <c r="D559" t="s">
        <v>116</v>
      </c>
      <c r="E559" t="s">
        <v>744</v>
      </c>
      <c r="F559" t="s">
        <v>452</v>
      </c>
      <c r="G559" s="68">
        <v>1</v>
      </c>
      <c r="H559" s="68">
        <v>2082</v>
      </c>
      <c r="I559" s="68">
        <v>127</v>
      </c>
      <c r="J559" s="68">
        <v>298</v>
      </c>
      <c r="K559" s="68">
        <v>900</v>
      </c>
      <c r="L559" s="68">
        <v>1775</v>
      </c>
      <c r="M559" s="68">
        <v>1159</v>
      </c>
      <c r="N559" s="68">
        <v>1295</v>
      </c>
    </row>
    <row r="560" spans="1:14">
      <c r="A560" t="s">
        <v>444</v>
      </c>
      <c r="B560" t="s">
        <v>445</v>
      </c>
      <c r="C560" t="s">
        <v>926</v>
      </c>
      <c r="D560" t="s">
        <v>41</v>
      </c>
      <c r="E560" t="s">
        <v>711</v>
      </c>
      <c r="F560" t="s">
        <v>452</v>
      </c>
      <c r="G560" s="68">
        <v>35</v>
      </c>
      <c r="H560" s="68">
        <v>57</v>
      </c>
      <c r="I560" s="68">
        <v>18</v>
      </c>
      <c r="J560" s="68">
        <v>18</v>
      </c>
      <c r="K560" s="68">
        <v>5</v>
      </c>
      <c r="L560" s="68">
        <v>9</v>
      </c>
      <c r="M560" s="68">
        <v>4</v>
      </c>
      <c r="N560" s="68">
        <v>2</v>
      </c>
    </row>
    <row r="561" spans="1:14">
      <c r="A561" t="s">
        <v>444</v>
      </c>
      <c r="B561" t="s">
        <v>445</v>
      </c>
      <c r="C561" t="s">
        <v>926</v>
      </c>
      <c r="D561" t="s">
        <v>13</v>
      </c>
      <c r="E561" t="s">
        <v>454</v>
      </c>
      <c r="F561" t="s">
        <v>452</v>
      </c>
      <c r="G561" s="68">
        <v>30</v>
      </c>
      <c r="H561" s="68">
        <v>30</v>
      </c>
      <c r="I561" s="68">
        <v>33</v>
      </c>
      <c r="J561" s="68">
        <v>39</v>
      </c>
      <c r="K561" s="68">
        <v>28</v>
      </c>
      <c r="L561" s="68">
        <v>34</v>
      </c>
      <c r="M561" s="68">
        <v>42</v>
      </c>
      <c r="N561" s="68">
        <v>44</v>
      </c>
    </row>
    <row r="562" spans="1:14">
      <c r="A562" t="s">
        <v>444</v>
      </c>
      <c r="B562" t="s">
        <v>445</v>
      </c>
      <c r="C562" t="s">
        <v>926</v>
      </c>
      <c r="D562" t="s">
        <v>13</v>
      </c>
      <c r="E562" t="s">
        <v>744</v>
      </c>
      <c r="F562" t="s">
        <v>452</v>
      </c>
      <c r="G562" s="68">
        <v>54</v>
      </c>
      <c r="H562" s="68">
        <v>115</v>
      </c>
      <c r="I562" s="68">
        <v>1</v>
      </c>
      <c r="J562" s="68">
        <v>2</v>
      </c>
      <c r="K562" s="68">
        <v>0</v>
      </c>
      <c r="L562" s="68">
        <v>0</v>
      </c>
      <c r="M562" s="68">
        <v>0</v>
      </c>
      <c r="N562" s="68">
        <v>0</v>
      </c>
    </row>
    <row r="563" spans="1:14">
      <c r="A563" t="s">
        <v>444</v>
      </c>
      <c r="B563" t="s">
        <v>445</v>
      </c>
      <c r="C563" t="s">
        <v>183</v>
      </c>
      <c r="D563" t="s">
        <v>402</v>
      </c>
      <c r="E563" t="s">
        <v>932</v>
      </c>
      <c r="F563" t="s">
        <v>452</v>
      </c>
      <c r="G563" s="68">
        <v>10</v>
      </c>
      <c r="H563" s="68">
        <v>5</v>
      </c>
      <c r="I563" s="68">
        <v>7</v>
      </c>
      <c r="J563" s="68">
        <v>6</v>
      </c>
      <c r="K563" s="68">
        <v>6</v>
      </c>
      <c r="L563" s="68">
        <v>5</v>
      </c>
      <c r="M563" s="68">
        <v>8</v>
      </c>
      <c r="N563" s="68">
        <v>11</v>
      </c>
    </row>
    <row r="564" spans="1:14">
      <c r="A564" t="s">
        <v>444</v>
      </c>
      <c r="B564" t="s">
        <v>445</v>
      </c>
      <c r="C564" t="s">
        <v>183</v>
      </c>
      <c r="D564" t="s">
        <v>402</v>
      </c>
      <c r="E564" t="s">
        <v>933</v>
      </c>
      <c r="F564" t="s">
        <v>452</v>
      </c>
      <c r="G564" s="68">
        <v>22</v>
      </c>
      <c r="H564" s="68">
        <v>45</v>
      </c>
      <c r="I564" s="68">
        <v>38</v>
      </c>
      <c r="J564" s="68">
        <v>41</v>
      </c>
      <c r="K564" s="68">
        <v>21</v>
      </c>
      <c r="L564" s="68">
        <v>49</v>
      </c>
      <c r="M564" s="68">
        <v>53</v>
      </c>
      <c r="N564" s="68">
        <v>57</v>
      </c>
    </row>
    <row r="565" spans="1:14">
      <c r="A565" t="s">
        <v>444</v>
      </c>
      <c r="B565" t="s">
        <v>445</v>
      </c>
      <c r="C565" t="s">
        <v>183</v>
      </c>
      <c r="D565" t="s">
        <v>359</v>
      </c>
      <c r="E565" t="s">
        <v>934</v>
      </c>
      <c r="F565" t="s">
        <v>469</v>
      </c>
      <c r="G565" s="68">
        <v>0</v>
      </c>
      <c r="H565" s="68">
        <v>0</v>
      </c>
      <c r="I565" s="68">
        <v>0</v>
      </c>
      <c r="J565" s="68">
        <v>0</v>
      </c>
      <c r="K565" s="68">
        <v>0</v>
      </c>
      <c r="L565" s="68">
        <v>0</v>
      </c>
      <c r="M565" s="68">
        <v>1</v>
      </c>
      <c r="N565" s="68">
        <v>0</v>
      </c>
    </row>
    <row r="566" spans="1:14">
      <c r="A566" t="s">
        <v>444</v>
      </c>
      <c r="B566" t="s">
        <v>445</v>
      </c>
      <c r="C566" t="s">
        <v>183</v>
      </c>
      <c r="D566" t="s">
        <v>355</v>
      </c>
      <c r="E566" t="s">
        <v>932</v>
      </c>
      <c r="F566" t="s">
        <v>449</v>
      </c>
      <c r="G566" s="68">
        <v>5</v>
      </c>
      <c r="H566" s="68">
        <v>0</v>
      </c>
      <c r="I566" s="68">
        <v>0</v>
      </c>
      <c r="J566" s="68">
        <v>0</v>
      </c>
      <c r="K566" s="68">
        <v>0</v>
      </c>
      <c r="L566" s="68">
        <v>0</v>
      </c>
      <c r="M566" s="68">
        <v>0</v>
      </c>
      <c r="N566" s="68">
        <v>0</v>
      </c>
    </row>
    <row r="567" spans="1:14">
      <c r="A567" t="s">
        <v>444</v>
      </c>
      <c r="B567" t="s">
        <v>445</v>
      </c>
      <c r="C567" t="s">
        <v>183</v>
      </c>
      <c r="D567" t="s">
        <v>355</v>
      </c>
      <c r="E567" t="s">
        <v>934</v>
      </c>
      <c r="F567" t="s">
        <v>449</v>
      </c>
      <c r="G567" s="68">
        <v>0</v>
      </c>
      <c r="H567" s="68">
        <v>0</v>
      </c>
      <c r="I567" s="68">
        <v>0</v>
      </c>
      <c r="J567" s="68">
        <v>0</v>
      </c>
      <c r="K567" s="68">
        <v>1</v>
      </c>
      <c r="L567" s="68">
        <v>0</v>
      </c>
      <c r="M567" s="68">
        <v>2</v>
      </c>
      <c r="N567" s="68">
        <v>0</v>
      </c>
    </row>
    <row r="568" spans="1:14">
      <c r="A568" t="s">
        <v>444</v>
      </c>
      <c r="B568" t="s">
        <v>445</v>
      </c>
      <c r="C568" t="s">
        <v>183</v>
      </c>
      <c r="D568" t="s">
        <v>355</v>
      </c>
      <c r="E568" t="s">
        <v>935</v>
      </c>
      <c r="F568" t="s">
        <v>449</v>
      </c>
      <c r="G568" s="68">
        <v>0</v>
      </c>
      <c r="H568" s="68">
        <v>0</v>
      </c>
      <c r="I568" s="68">
        <v>0</v>
      </c>
      <c r="J568" s="68">
        <v>2</v>
      </c>
      <c r="K568" s="68">
        <v>1</v>
      </c>
      <c r="L568" s="68">
        <v>0</v>
      </c>
      <c r="M568" s="68">
        <v>0</v>
      </c>
      <c r="N568" s="68">
        <v>0</v>
      </c>
    </row>
    <row r="569" spans="1:14">
      <c r="A569" t="s">
        <v>444</v>
      </c>
      <c r="B569" t="s">
        <v>445</v>
      </c>
      <c r="C569" t="s">
        <v>183</v>
      </c>
      <c r="D569" t="s">
        <v>355</v>
      </c>
      <c r="E569" t="s">
        <v>936</v>
      </c>
      <c r="F569" t="s">
        <v>536</v>
      </c>
      <c r="G569" s="68">
        <v>0</v>
      </c>
      <c r="H569" s="68">
        <v>1</v>
      </c>
      <c r="I569" s="68">
        <v>3</v>
      </c>
      <c r="J569" s="68">
        <v>3</v>
      </c>
      <c r="K569" s="68">
        <v>2</v>
      </c>
      <c r="L569" s="68">
        <v>2</v>
      </c>
      <c r="M569" s="68">
        <v>0</v>
      </c>
      <c r="N569" s="68">
        <v>2</v>
      </c>
    </row>
    <row r="570" spans="1:14">
      <c r="A570" t="s">
        <v>444</v>
      </c>
      <c r="B570" t="s">
        <v>445</v>
      </c>
      <c r="C570" t="s">
        <v>183</v>
      </c>
      <c r="D570" t="s">
        <v>355</v>
      </c>
      <c r="E570" t="s">
        <v>937</v>
      </c>
      <c r="F570" t="s">
        <v>536</v>
      </c>
      <c r="G570" s="68">
        <v>1</v>
      </c>
      <c r="H570" s="68">
        <v>1</v>
      </c>
      <c r="I570" s="68">
        <v>1</v>
      </c>
      <c r="J570" s="68">
        <v>3</v>
      </c>
      <c r="K570" s="68">
        <v>1</v>
      </c>
      <c r="L570" s="68">
        <v>0</v>
      </c>
      <c r="M570" s="68">
        <v>2</v>
      </c>
      <c r="N570" s="68">
        <v>2</v>
      </c>
    </row>
    <row r="571" spans="1:14">
      <c r="A571" t="s">
        <v>444</v>
      </c>
      <c r="B571" t="s">
        <v>445</v>
      </c>
      <c r="C571" t="s">
        <v>183</v>
      </c>
      <c r="D571" t="s">
        <v>355</v>
      </c>
      <c r="E571" t="s">
        <v>933</v>
      </c>
      <c r="F571" t="s">
        <v>472</v>
      </c>
      <c r="G571" s="68">
        <v>0</v>
      </c>
      <c r="H571" s="68">
        <v>45</v>
      </c>
      <c r="I571" s="68">
        <v>51</v>
      </c>
      <c r="J571" s="68">
        <v>43</v>
      </c>
      <c r="K571" s="68">
        <v>49</v>
      </c>
      <c r="L571" s="68">
        <v>83</v>
      </c>
      <c r="M571" s="68">
        <v>94</v>
      </c>
      <c r="N571" s="68">
        <v>64</v>
      </c>
    </row>
    <row r="572" spans="1:14">
      <c r="A572" t="s">
        <v>444</v>
      </c>
      <c r="B572" t="s">
        <v>445</v>
      </c>
      <c r="C572" t="s">
        <v>183</v>
      </c>
      <c r="D572" t="s">
        <v>355</v>
      </c>
      <c r="E572" t="s">
        <v>933</v>
      </c>
      <c r="F572" t="s">
        <v>449</v>
      </c>
      <c r="G572" s="68">
        <v>0</v>
      </c>
      <c r="H572" s="68">
        <v>1</v>
      </c>
      <c r="I572" s="68">
        <v>0</v>
      </c>
      <c r="J572" s="68">
        <v>0</v>
      </c>
      <c r="K572" s="68">
        <v>1</v>
      </c>
      <c r="L572" s="68">
        <v>0</v>
      </c>
      <c r="M572" s="68">
        <v>0</v>
      </c>
      <c r="N572" s="68">
        <v>1</v>
      </c>
    </row>
    <row r="573" spans="1:14">
      <c r="A573" t="s">
        <v>444</v>
      </c>
      <c r="B573" t="s">
        <v>445</v>
      </c>
      <c r="C573" t="s">
        <v>183</v>
      </c>
      <c r="D573" t="s">
        <v>349</v>
      </c>
      <c r="E573" t="s">
        <v>934</v>
      </c>
      <c r="F573" t="s">
        <v>452</v>
      </c>
      <c r="G573" s="68">
        <v>1</v>
      </c>
      <c r="H573" s="68">
        <v>3</v>
      </c>
      <c r="I573" s="68">
        <v>5</v>
      </c>
      <c r="J573" s="68">
        <v>5</v>
      </c>
      <c r="K573" s="68">
        <v>2</v>
      </c>
      <c r="L573" s="68">
        <v>0</v>
      </c>
      <c r="M573" s="68">
        <v>7</v>
      </c>
      <c r="N573" s="68">
        <v>1</v>
      </c>
    </row>
    <row r="574" spans="1:14">
      <c r="A574" t="s">
        <v>444</v>
      </c>
      <c r="B574" t="s">
        <v>445</v>
      </c>
      <c r="C574" t="s">
        <v>183</v>
      </c>
      <c r="D574" t="s">
        <v>349</v>
      </c>
      <c r="E574" t="s">
        <v>938</v>
      </c>
      <c r="F574" t="s">
        <v>452</v>
      </c>
      <c r="G574" s="68">
        <v>13</v>
      </c>
      <c r="H574" s="68">
        <v>24</v>
      </c>
      <c r="I574" s="68">
        <v>38</v>
      </c>
      <c r="J574" s="68">
        <v>23</v>
      </c>
      <c r="K574" s="68">
        <v>16</v>
      </c>
      <c r="L574" s="68">
        <v>25</v>
      </c>
      <c r="M574" s="68">
        <v>14</v>
      </c>
      <c r="N574" s="68">
        <v>18</v>
      </c>
    </row>
    <row r="575" spans="1:14">
      <c r="A575" t="s">
        <v>444</v>
      </c>
      <c r="B575" t="s">
        <v>445</v>
      </c>
      <c r="C575" t="s">
        <v>183</v>
      </c>
      <c r="D575" t="s">
        <v>349</v>
      </c>
      <c r="E575" t="s">
        <v>939</v>
      </c>
      <c r="F575" t="s">
        <v>452</v>
      </c>
      <c r="G575" s="68">
        <v>1</v>
      </c>
      <c r="H575" s="68">
        <v>0</v>
      </c>
      <c r="I575" s="68">
        <v>1</v>
      </c>
      <c r="J575" s="68">
        <v>0</v>
      </c>
      <c r="K575" s="68">
        <v>1</v>
      </c>
      <c r="L575" s="68">
        <v>0</v>
      </c>
      <c r="M575" s="68">
        <v>1</v>
      </c>
      <c r="N575" s="68">
        <v>0</v>
      </c>
    </row>
    <row r="576" spans="1:14">
      <c r="A576" t="s">
        <v>444</v>
      </c>
      <c r="B576" t="s">
        <v>445</v>
      </c>
      <c r="C576" t="s">
        <v>183</v>
      </c>
      <c r="D576" t="s">
        <v>183</v>
      </c>
      <c r="E576" t="s">
        <v>936</v>
      </c>
      <c r="F576" t="s">
        <v>536</v>
      </c>
      <c r="G576" s="68">
        <v>3</v>
      </c>
      <c r="H576" s="68">
        <v>0</v>
      </c>
      <c r="I576" s="68">
        <v>0</v>
      </c>
      <c r="J576" s="68">
        <v>0</v>
      </c>
      <c r="K576" s="68">
        <v>0</v>
      </c>
      <c r="L576" s="68">
        <v>0</v>
      </c>
      <c r="M576" s="68">
        <v>0</v>
      </c>
      <c r="N576" s="68">
        <v>0</v>
      </c>
    </row>
    <row r="577" spans="1:14">
      <c r="A577" t="s">
        <v>444</v>
      </c>
      <c r="B577" t="s">
        <v>445</v>
      </c>
      <c r="C577" t="s">
        <v>183</v>
      </c>
      <c r="D577" t="s">
        <v>183</v>
      </c>
      <c r="E577" t="s">
        <v>933</v>
      </c>
      <c r="F577" t="s">
        <v>472</v>
      </c>
      <c r="G577" s="68">
        <v>25</v>
      </c>
      <c r="H577" s="68">
        <v>0</v>
      </c>
      <c r="I577" s="68">
        <v>0</v>
      </c>
      <c r="J577" s="68">
        <v>0</v>
      </c>
      <c r="K577" s="68">
        <v>0</v>
      </c>
      <c r="L577" s="68">
        <v>0</v>
      </c>
      <c r="M577" s="68">
        <v>0</v>
      </c>
      <c r="N577" s="68">
        <v>0</v>
      </c>
    </row>
    <row r="578" spans="1:14">
      <c r="A578" t="s">
        <v>444</v>
      </c>
      <c r="B578" t="s">
        <v>445</v>
      </c>
      <c r="C578" t="s">
        <v>183</v>
      </c>
      <c r="D578" t="s">
        <v>158</v>
      </c>
      <c r="E578" t="s">
        <v>940</v>
      </c>
      <c r="F578" t="s">
        <v>472</v>
      </c>
      <c r="G578" s="68">
        <v>0</v>
      </c>
      <c r="H578" s="68">
        <v>22</v>
      </c>
      <c r="I578" s="68">
        <v>14</v>
      </c>
      <c r="J578" s="68">
        <v>13</v>
      </c>
      <c r="K578" s="68">
        <v>8</v>
      </c>
      <c r="L578" s="68">
        <v>15</v>
      </c>
      <c r="M578" s="68">
        <v>13</v>
      </c>
      <c r="N578" s="68">
        <v>15</v>
      </c>
    </row>
    <row r="579" spans="1:14">
      <c r="A579" t="s">
        <v>444</v>
      </c>
      <c r="B579" t="s">
        <v>445</v>
      </c>
      <c r="C579" t="s">
        <v>183</v>
      </c>
      <c r="D579" t="s">
        <v>158</v>
      </c>
      <c r="E579" t="s">
        <v>935</v>
      </c>
      <c r="F579" t="s">
        <v>472</v>
      </c>
      <c r="G579" s="68">
        <v>2</v>
      </c>
      <c r="H579" s="68">
        <v>4</v>
      </c>
      <c r="I579" s="68">
        <v>0</v>
      </c>
      <c r="J579" s="68">
        <v>4</v>
      </c>
      <c r="K579" s="68">
        <v>2</v>
      </c>
      <c r="L579" s="68">
        <v>3</v>
      </c>
      <c r="M579" s="68">
        <v>0</v>
      </c>
      <c r="N579" s="68">
        <v>0</v>
      </c>
    </row>
    <row r="580" spans="1:14">
      <c r="A580" t="s">
        <v>444</v>
      </c>
      <c r="B580" t="s">
        <v>445</v>
      </c>
      <c r="C580" t="s">
        <v>183</v>
      </c>
      <c r="D580" t="s">
        <v>155</v>
      </c>
      <c r="E580" t="s">
        <v>941</v>
      </c>
      <c r="F580" t="s">
        <v>449</v>
      </c>
      <c r="G580" s="68">
        <v>0</v>
      </c>
      <c r="H580" s="68">
        <v>0</v>
      </c>
      <c r="I580" s="68">
        <v>0</v>
      </c>
      <c r="J580" s="68">
        <v>0</v>
      </c>
      <c r="K580" s="68">
        <v>1</v>
      </c>
      <c r="L580" s="68">
        <v>0</v>
      </c>
      <c r="M580" s="68">
        <v>0</v>
      </c>
      <c r="N580" s="68">
        <v>0</v>
      </c>
    </row>
    <row r="581" spans="1:14">
      <c r="A581" t="s">
        <v>444</v>
      </c>
      <c r="B581" t="s">
        <v>445</v>
      </c>
      <c r="C581" t="s">
        <v>942</v>
      </c>
      <c r="D581" t="s">
        <v>390</v>
      </c>
      <c r="E581" t="s">
        <v>454</v>
      </c>
      <c r="F581" t="s">
        <v>447</v>
      </c>
      <c r="G581" s="68">
        <v>124</v>
      </c>
      <c r="H581" s="68">
        <v>215</v>
      </c>
      <c r="I581" s="68">
        <v>218</v>
      </c>
      <c r="J581" s="68">
        <v>307</v>
      </c>
      <c r="K581" s="68">
        <v>231</v>
      </c>
      <c r="L581" s="68">
        <v>204</v>
      </c>
      <c r="M581" s="68">
        <v>179</v>
      </c>
      <c r="N581" s="68">
        <v>183</v>
      </c>
    </row>
    <row r="582" spans="1:14">
      <c r="A582" t="s">
        <v>444</v>
      </c>
      <c r="B582" t="s">
        <v>445</v>
      </c>
      <c r="C582" t="s">
        <v>942</v>
      </c>
      <c r="D582" t="s">
        <v>218</v>
      </c>
      <c r="E582" t="s">
        <v>943</v>
      </c>
      <c r="F582" t="s">
        <v>447</v>
      </c>
      <c r="G582" s="68">
        <v>0</v>
      </c>
      <c r="H582" s="68">
        <v>0</v>
      </c>
      <c r="I582" s="68">
        <v>1</v>
      </c>
      <c r="J582" s="68">
        <v>0</v>
      </c>
      <c r="K582" s="68">
        <v>0</v>
      </c>
      <c r="L582" s="68">
        <v>0</v>
      </c>
      <c r="M582" s="68">
        <v>0</v>
      </c>
      <c r="N582" s="68">
        <v>0</v>
      </c>
    </row>
    <row r="583" spans="1:14">
      <c r="A583" t="s">
        <v>444</v>
      </c>
      <c r="B583" t="s">
        <v>445</v>
      </c>
      <c r="C583" t="s">
        <v>942</v>
      </c>
      <c r="D583" t="s">
        <v>181</v>
      </c>
      <c r="E583" t="s">
        <v>454</v>
      </c>
      <c r="F583" t="s">
        <v>449</v>
      </c>
      <c r="G583" s="68">
        <v>127</v>
      </c>
      <c r="H583" s="68">
        <v>159</v>
      </c>
      <c r="I583" s="68">
        <v>96</v>
      </c>
      <c r="J583" s="68">
        <v>117</v>
      </c>
      <c r="K583" s="68">
        <v>113</v>
      </c>
      <c r="L583" s="68">
        <v>123</v>
      </c>
      <c r="M583" s="68">
        <v>126</v>
      </c>
      <c r="N583" s="68">
        <v>155</v>
      </c>
    </row>
    <row r="584" spans="1:14">
      <c r="A584" t="s">
        <v>444</v>
      </c>
      <c r="B584" t="s">
        <v>445</v>
      </c>
      <c r="C584" t="s">
        <v>942</v>
      </c>
      <c r="D584" t="s">
        <v>158</v>
      </c>
      <c r="E584" t="s">
        <v>454</v>
      </c>
      <c r="F584" t="s">
        <v>472</v>
      </c>
      <c r="G584" s="68">
        <v>0</v>
      </c>
      <c r="H584" s="68">
        <v>0</v>
      </c>
      <c r="I584" s="68">
        <v>0</v>
      </c>
      <c r="J584" s="68">
        <v>1</v>
      </c>
      <c r="K584" s="68">
        <v>0</v>
      </c>
      <c r="L584" s="68">
        <v>0</v>
      </c>
      <c r="M584" s="68">
        <v>1</v>
      </c>
      <c r="N584" s="68">
        <v>0</v>
      </c>
    </row>
    <row r="585" spans="1:14">
      <c r="A585" t="s">
        <v>444</v>
      </c>
      <c r="B585" t="s">
        <v>445</v>
      </c>
      <c r="C585" t="s">
        <v>942</v>
      </c>
      <c r="D585" t="s">
        <v>158</v>
      </c>
      <c r="E585" t="s">
        <v>944</v>
      </c>
      <c r="F585" t="s">
        <v>472</v>
      </c>
      <c r="G585" s="68">
        <v>0</v>
      </c>
      <c r="H585" s="68">
        <v>1</v>
      </c>
      <c r="I585" s="68">
        <v>0</v>
      </c>
      <c r="J585" s="68">
        <v>0</v>
      </c>
      <c r="K585" s="68">
        <v>0</v>
      </c>
      <c r="L585" s="68">
        <v>0</v>
      </c>
      <c r="M585" s="68">
        <v>0</v>
      </c>
      <c r="N585" s="68">
        <v>0</v>
      </c>
    </row>
    <row r="586" spans="1:14">
      <c r="A586" t="s">
        <v>444</v>
      </c>
      <c r="B586" t="s">
        <v>445</v>
      </c>
      <c r="C586" t="s">
        <v>942</v>
      </c>
      <c r="D586" t="s">
        <v>156</v>
      </c>
      <c r="E586" t="s">
        <v>454</v>
      </c>
      <c r="F586" t="s">
        <v>452</v>
      </c>
      <c r="G586" s="68">
        <v>0</v>
      </c>
      <c r="H586" s="68">
        <v>1</v>
      </c>
      <c r="I586" s="68">
        <v>0</v>
      </c>
      <c r="J586" s="68">
        <v>1</v>
      </c>
      <c r="K586" s="68">
        <v>2</v>
      </c>
      <c r="L586" s="68">
        <v>2</v>
      </c>
      <c r="M586" s="68">
        <v>0</v>
      </c>
      <c r="N586" s="68">
        <v>2</v>
      </c>
    </row>
    <row r="587" spans="1:14">
      <c r="A587" t="s">
        <v>444</v>
      </c>
      <c r="B587" t="s">
        <v>445</v>
      </c>
      <c r="C587" t="s">
        <v>942</v>
      </c>
      <c r="D587" t="s">
        <v>154</v>
      </c>
      <c r="E587" t="s">
        <v>454</v>
      </c>
      <c r="F587" t="s">
        <v>452</v>
      </c>
      <c r="G587" s="68">
        <v>93</v>
      </c>
      <c r="H587" s="68">
        <v>183</v>
      </c>
      <c r="I587" s="68">
        <v>199</v>
      </c>
      <c r="J587" s="68">
        <v>177</v>
      </c>
      <c r="K587" s="68">
        <v>135</v>
      </c>
      <c r="L587" s="68">
        <v>129</v>
      </c>
      <c r="M587" s="68">
        <v>127</v>
      </c>
      <c r="N587" s="68">
        <v>89</v>
      </c>
    </row>
    <row r="588" spans="1:14">
      <c r="A588" t="s">
        <v>444</v>
      </c>
      <c r="B588" t="s">
        <v>445</v>
      </c>
      <c r="C588" t="s">
        <v>942</v>
      </c>
      <c r="D588" t="s">
        <v>25</v>
      </c>
      <c r="E588" t="s">
        <v>454</v>
      </c>
      <c r="F588" t="s">
        <v>452</v>
      </c>
      <c r="G588" s="68">
        <v>0</v>
      </c>
      <c r="H588" s="68">
        <v>910</v>
      </c>
      <c r="I588" s="68">
        <v>799</v>
      </c>
      <c r="J588" s="68">
        <v>955</v>
      </c>
      <c r="K588" s="68">
        <v>801</v>
      </c>
      <c r="L588" s="68">
        <v>1083</v>
      </c>
      <c r="M588" s="68">
        <v>756</v>
      </c>
      <c r="N588" s="68">
        <v>718</v>
      </c>
    </row>
    <row r="589" spans="1:14">
      <c r="A589" t="s">
        <v>444</v>
      </c>
      <c r="B589" t="s">
        <v>445</v>
      </c>
      <c r="C589" t="s">
        <v>942</v>
      </c>
      <c r="D589" t="s">
        <v>25</v>
      </c>
      <c r="E589" t="s">
        <v>711</v>
      </c>
      <c r="F589" t="s">
        <v>452</v>
      </c>
      <c r="G589" s="68">
        <v>419</v>
      </c>
      <c r="H589" s="68">
        <v>0</v>
      </c>
      <c r="I589" s="68">
        <v>0</v>
      </c>
      <c r="J589" s="68">
        <v>0</v>
      </c>
      <c r="K589" s="68">
        <v>0</v>
      </c>
      <c r="L589" s="68">
        <v>0</v>
      </c>
      <c r="M589" s="68">
        <v>0</v>
      </c>
      <c r="N589" s="68">
        <v>0</v>
      </c>
    </row>
    <row r="590" spans="1:14">
      <c r="A590" t="s">
        <v>444</v>
      </c>
      <c r="B590" t="s">
        <v>445</v>
      </c>
      <c r="C590" t="s">
        <v>942</v>
      </c>
      <c r="D590" t="s">
        <v>22</v>
      </c>
      <c r="E590" t="s">
        <v>454</v>
      </c>
      <c r="F590" t="s">
        <v>630</v>
      </c>
      <c r="G590" s="68">
        <v>12</v>
      </c>
      <c r="H590" s="68">
        <v>102</v>
      </c>
      <c r="I590" s="68">
        <v>104</v>
      </c>
      <c r="J590" s="68">
        <v>74</v>
      </c>
      <c r="K590" s="68">
        <v>68</v>
      </c>
      <c r="L590" s="68">
        <v>119</v>
      </c>
      <c r="M590" s="68">
        <v>52</v>
      </c>
      <c r="N590" s="68">
        <v>64</v>
      </c>
    </row>
    <row r="591" spans="1:14">
      <c r="A591" t="s">
        <v>444</v>
      </c>
      <c r="B591" t="s">
        <v>445</v>
      </c>
      <c r="C591" t="s">
        <v>942</v>
      </c>
      <c r="D591" t="s">
        <v>22</v>
      </c>
      <c r="E591" t="s">
        <v>945</v>
      </c>
      <c r="F591" t="s">
        <v>630</v>
      </c>
      <c r="G591" s="68">
        <v>215</v>
      </c>
      <c r="H591" s="68">
        <v>361</v>
      </c>
      <c r="I591" s="68">
        <v>365</v>
      </c>
      <c r="J591" s="68">
        <v>438</v>
      </c>
      <c r="K591" s="68">
        <v>370</v>
      </c>
      <c r="L591" s="68">
        <v>456</v>
      </c>
      <c r="M591" s="68">
        <v>334</v>
      </c>
      <c r="N591" s="68">
        <v>308</v>
      </c>
    </row>
    <row r="592" spans="1:14">
      <c r="A592" t="s">
        <v>444</v>
      </c>
      <c r="B592" t="s">
        <v>445</v>
      </c>
      <c r="C592" t="s">
        <v>942</v>
      </c>
      <c r="D592" t="s">
        <v>22</v>
      </c>
      <c r="E592" t="s">
        <v>711</v>
      </c>
      <c r="F592" t="s">
        <v>630</v>
      </c>
      <c r="G592" s="68">
        <v>61</v>
      </c>
      <c r="H592" s="68">
        <v>0</v>
      </c>
      <c r="I592" s="68">
        <v>0</v>
      </c>
      <c r="J592" s="68">
        <v>0</v>
      </c>
      <c r="K592" s="68">
        <v>0</v>
      </c>
      <c r="L592" s="68">
        <v>0</v>
      </c>
      <c r="M592" s="68">
        <v>0</v>
      </c>
      <c r="N592" s="68">
        <v>0</v>
      </c>
    </row>
    <row r="593" spans="1:14">
      <c r="A593" t="s">
        <v>444</v>
      </c>
      <c r="B593" t="s">
        <v>445</v>
      </c>
      <c r="C593" t="s">
        <v>946</v>
      </c>
      <c r="D593" t="s">
        <v>158</v>
      </c>
      <c r="E593" t="s">
        <v>454</v>
      </c>
      <c r="F593" t="s">
        <v>472</v>
      </c>
      <c r="G593" s="68">
        <v>0</v>
      </c>
      <c r="H593" s="68">
        <v>0</v>
      </c>
      <c r="I593" s="68">
        <v>0</v>
      </c>
      <c r="J593" s="68">
        <v>0</v>
      </c>
      <c r="K593" s="68">
        <v>0</v>
      </c>
      <c r="L593" s="68">
        <v>0</v>
      </c>
      <c r="M593" s="68">
        <v>1</v>
      </c>
      <c r="N593" s="68">
        <v>0</v>
      </c>
    </row>
    <row r="594" spans="1:14">
      <c r="A594" t="s">
        <v>444</v>
      </c>
      <c r="B594" t="s">
        <v>445</v>
      </c>
      <c r="C594" t="s">
        <v>947</v>
      </c>
      <c r="D594" t="s">
        <v>45</v>
      </c>
      <c r="E594" t="s">
        <v>454</v>
      </c>
      <c r="F594" t="s">
        <v>452</v>
      </c>
      <c r="G594" s="68">
        <v>51</v>
      </c>
      <c r="H594" s="68">
        <v>64</v>
      </c>
      <c r="I594" s="68">
        <v>14</v>
      </c>
      <c r="J594" s="68">
        <v>54</v>
      </c>
      <c r="K594" s="68">
        <v>39</v>
      </c>
      <c r="L594" s="68">
        <v>22</v>
      </c>
      <c r="M594" s="68">
        <v>61</v>
      </c>
      <c r="N594" s="68">
        <v>10</v>
      </c>
    </row>
    <row r="595" spans="1:14">
      <c r="A595" t="s">
        <v>444</v>
      </c>
      <c r="B595" t="s">
        <v>445</v>
      </c>
      <c r="C595" t="s">
        <v>947</v>
      </c>
      <c r="D595" t="s">
        <v>37</v>
      </c>
      <c r="E595" t="s">
        <v>454</v>
      </c>
      <c r="F595" t="s">
        <v>452</v>
      </c>
      <c r="G595" s="68">
        <v>3</v>
      </c>
      <c r="H595" s="68">
        <v>0</v>
      </c>
      <c r="I595" s="68">
        <v>3</v>
      </c>
      <c r="J595" s="68">
        <v>5</v>
      </c>
      <c r="K595" s="68">
        <v>4</v>
      </c>
      <c r="L595" s="68">
        <v>0</v>
      </c>
      <c r="M595" s="68">
        <v>0</v>
      </c>
      <c r="N595" s="68">
        <v>1</v>
      </c>
    </row>
    <row r="596" spans="1:14">
      <c r="A596" t="s">
        <v>444</v>
      </c>
      <c r="B596" t="s">
        <v>445</v>
      </c>
      <c r="C596" t="s">
        <v>948</v>
      </c>
      <c r="D596" t="s">
        <v>398</v>
      </c>
      <c r="E596" t="s">
        <v>454</v>
      </c>
      <c r="F596" t="s">
        <v>447</v>
      </c>
      <c r="G596" s="68">
        <v>88</v>
      </c>
      <c r="H596" s="68">
        <v>197</v>
      </c>
      <c r="I596" s="68">
        <v>136</v>
      </c>
      <c r="J596" s="68">
        <v>139</v>
      </c>
      <c r="K596" s="68">
        <v>108</v>
      </c>
      <c r="L596" s="68">
        <v>156</v>
      </c>
      <c r="M596" s="68">
        <v>161</v>
      </c>
      <c r="N596" s="68">
        <v>149</v>
      </c>
    </row>
    <row r="597" spans="1:14">
      <c r="A597" t="s">
        <v>444</v>
      </c>
      <c r="B597" t="s">
        <v>445</v>
      </c>
      <c r="C597" t="s">
        <v>948</v>
      </c>
      <c r="D597" t="s">
        <v>318</v>
      </c>
      <c r="E597" t="s">
        <v>949</v>
      </c>
      <c r="F597" t="s">
        <v>472</v>
      </c>
      <c r="G597" s="68">
        <v>1</v>
      </c>
      <c r="H597" s="68">
        <v>0</v>
      </c>
      <c r="I597" s="68">
        <v>0</v>
      </c>
      <c r="J597" s="68">
        <v>0</v>
      </c>
      <c r="K597" s="68">
        <v>0</v>
      </c>
      <c r="L597" s="68">
        <v>0</v>
      </c>
      <c r="M597" s="68">
        <v>0</v>
      </c>
      <c r="N597" s="68">
        <v>0</v>
      </c>
    </row>
    <row r="598" spans="1:14">
      <c r="A598" t="s">
        <v>444</v>
      </c>
      <c r="B598" t="s">
        <v>445</v>
      </c>
      <c r="C598" t="s">
        <v>948</v>
      </c>
      <c r="D598" t="s">
        <v>296</v>
      </c>
      <c r="E598" t="s">
        <v>454</v>
      </c>
      <c r="F598" t="s">
        <v>472</v>
      </c>
      <c r="G598" s="68">
        <v>0</v>
      </c>
      <c r="H598" s="68">
        <v>1</v>
      </c>
      <c r="I598" s="68">
        <v>0</v>
      </c>
      <c r="J598" s="68">
        <v>0</v>
      </c>
      <c r="K598" s="68">
        <v>0</v>
      </c>
      <c r="L598" s="68">
        <v>0</v>
      </c>
      <c r="M598" s="68">
        <v>0</v>
      </c>
      <c r="N598" s="68">
        <v>1</v>
      </c>
    </row>
    <row r="599" spans="1:14">
      <c r="A599" t="s">
        <v>444</v>
      </c>
      <c r="B599" t="s">
        <v>445</v>
      </c>
      <c r="C599" t="s">
        <v>948</v>
      </c>
      <c r="D599" t="s">
        <v>296</v>
      </c>
      <c r="E599" t="s">
        <v>950</v>
      </c>
      <c r="F599" t="s">
        <v>472</v>
      </c>
      <c r="G599" s="68">
        <v>0</v>
      </c>
      <c r="H599" s="68">
        <v>0</v>
      </c>
      <c r="I599" s="68">
        <v>1</v>
      </c>
      <c r="J599" s="68">
        <v>0</v>
      </c>
      <c r="K599" s="68">
        <v>0</v>
      </c>
      <c r="L599" s="68">
        <v>0</v>
      </c>
      <c r="M599" s="68">
        <v>0</v>
      </c>
      <c r="N599" s="68">
        <v>0</v>
      </c>
    </row>
    <row r="600" spans="1:14">
      <c r="A600" t="s">
        <v>444</v>
      </c>
      <c r="B600" t="s">
        <v>445</v>
      </c>
      <c r="C600" t="s">
        <v>948</v>
      </c>
      <c r="D600" t="s">
        <v>296</v>
      </c>
      <c r="E600" t="s">
        <v>951</v>
      </c>
      <c r="F600" t="s">
        <v>472</v>
      </c>
      <c r="G600" s="68">
        <v>0</v>
      </c>
      <c r="H600" s="68">
        <v>0</v>
      </c>
      <c r="I600" s="68">
        <v>0</v>
      </c>
      <c r="J600" s="68">
        <v>0</v>
      </c>
      <c r="K600" s="68">
        <v>1</v>
      </c>
      <c r="L600" s="68">
        <v>0</v>
      </c>
      <c r="M600" s="68">
        <v>0</v>
      </c>
      <c r="N600" s="68">
        <v>0</v>
      </c>
    </row>
    <row r="601" spans="1:14">
      <c r="A601" t="s">
        <v>444</v>
      </c>
      <c r="B601" t="s">
        <v>445</v>
      </c>
      <c r="C601" t="s">
        <v>948</v>
      </c>
      <c r="D601" t="s">
        <v>296</v>
      </c>
      <c r="E601" t="s">
        <v>952</v>
      </c>
      <c r="F601" t="s">
        <v>472</v>
      </c>
      <c r="G601" s="68">
        <v>0</v>
      </c>
      <c r="H601" s="68">
        <v>0</v>
      </c>
      <c r="I601" s="68">
        <v>1</v>
      </c>
      <c r="J601" s="68">
        <v>0</v>
      </c>
      <c r="K601" s="68">
        <v>0</v>
      </c>
      <c r="L601" s="68">
        <v>0</v>
      </c>
      <c r="M601" s="68">
        <v>0</v>
      </c>
      <c r="N601" s="68">
        <v>0</v>
      </c>
    </row>
    <row r="602" spans="1:14">
      <c r="A602" t="s">
        <v>444</v>
      </c>
      <c r="B602" t="s">
        <v>445</v>
      </c>
      <c r="C602" t="s">
        <v>948</v>
      </c>
      <c r="D602" t="s">
        <v>264</v>
      </c>
      <c r="E602" t="s">
        <v>953</v>
      </c>
      <c r="F602" t="s">
        <v>459</v>
      </c>
      <c r="G602" s="68">
        <v>0</v>
      </c>
      <c r="H602" s="68">
        <v>0</v>
      </c>
      <c r="I602" s="68">
        <v>2</v>
      </c>
      <c r="J602" s="68">
        <v>0</v>
      </c>
      <c r="K602" s="68">
        <v>0</v>
      </c>
      <c r="L602" s="68">
        <v>0</v>
      </c>
      <c r="M602" s="68">
        <v>0</v>
      </c>
      <c r="N602" s="68">
        <v>0</v>
      </c>
    </row>
    <row r="603" spans="1:14">
      <c r="A603" t="s">
        <v>444</v>
      </c>
      <c r="B603" t="s">
        <v>445</v>
      </c>
      <c r="C603" t="s">
        <v>948</v>
      </c>
      <c r="D603" t="s">
        <v>264</v>
      </c>
      <c r="E603" t="s">
        <v>954</v>
      </c>
      <c r="F603" t="s">
        <v>459</v>
      </c>
      <c r="G603" s="68">
        <v>0</v>
      </c>
      <c r="H603" s="68">
        <v>1</v>
      </c>
      <c r="I603" s="68">
        <v>0</v>
      </c>
      <c r="J603" s="68">
        <v>1</v>
      </c>
      <c r="K603" s="68">
        <v>0</v>
      </c>
      <c r="L603" s="68">
        <v>1</v>
      </c>
      <c r="M603" s="68">
        <v>0</v>
      </c>
      <c r="N603" s="68">
        <v>1</v>
      </c>
    </row>
    <row r="604" spans="1:14">
      <c r="A604" t="s">
        <v>444</v>
      </c>
      <c r="B604" t="s">
        <v>445</v>
      </c>
      <c r="C604" t="s">
        <v>948</v>
      </c>
      <c r="D604" t="s">
        <v>264</v>
      </c>
      <c r="E604" t="s">
        <v>950</v>
      </c>
      <c r="F604" t="s">
        <v>459</v>
      </c>
      <c r="G604" s="68">
        <v>0</v>
      </c>
      <c r="H604" s="68">
        <v>0</v>
      </c>
      <c r="I604" s="68">
        <v>0</v>
      </c>
      <c r="J604" s="68">
        <v>1</v>
      </c>
      <c r="K604" s="68">
        <v>0</v>
      </c>
      <c r="L604" s="68">
        <v>0</v>
      </c>
      <c r="M604" s="68">
        <v>0</v>
      </c>
      <c r="N604" s="68">
        <v>1</v>
      </c>
    </row>
    <row r="605" spans="1:14">
      <c r="A605" t="s">
        <v>444</v>
      </c>
      <c r="B605" t="s">
        <v>445</v>
      </c>
      <c r="C605" t="s">
        <v>948</v>
      </c>
      <c r="D605" t="s">
        <v>264</v>
      </c>
      <c r="E605" t="s">
        <v>955</v>
      </c>
      <c r="F605" t="s">
        <v>459</v>
      </c>
      <c r="G605" s="68">
        <v>0</v>
      </c>
      <c r="H605" s="68">
        <v>0</v>
      </c>
      <c r="I605" s="68">
        <v>1</v>
      </c>
      <c r="J605" s="68">
        <v>0</v>
      </c>
      <c r="K605" s="68">
        <v>0</v>
      </c>
      <c r="L605" s="68">
        <v>0</v>
      </c>
      <c r="M605" s="68">
        <v>0</v>
      </c>
      <c r="N605" s="68">
        <v>0</v>
      </c>
    </row>
    <row r="606" spans="1:14">
      <c r="A606" t="s">
        <v>444</v>
      </c>
      <c r="B606" t="s">
        <v>445</v>
      </c>
      <c r="C606" t="s">
        <v>948</v>
      </c>
      <c r="D606" t="s">
        <v>264</v>
      </c>
      <c r="E606" t="s">
        <v>956</v>
      </c>
      <c r="F606" t="s">
        <v>459</v>
      </c>
      <c r="G606" s="68">
        <v>0</v>
      </c>
      <c r="H606" s="68">
        <v>0</v>
      </c>
      <c r="I606" s="68">
        <v>1</v>
      </c>
      <c r="J606" s="68">
        <v>0</v>
      </c>
      <c r="K606" s="68">
        <v>0</v>
      </c>
      <c r="L606" s="68">
        <v>0</v>
      </c>
      <c r="M606" s="68">
        <v>0</v>
      </c>
      <c r="N606" s="68">
        <v>0</v>
      </c>
    </row>
    <row r="607" spans="1:14">
      <c r="A607" t="s">
        <v>444</v>
      </c>
      <c r="B607" t="s">
        <v>445</v>
      </c>
      <c r="C607" t="s">
        <v>948</v>
      </c>
      <c r="D607" t="s">
        <v>264</v>
      </c>
      <c r="E607" t="s">
        <v>957</v>
      </c>
      <c r="F607" t="s">
        <v>459</v>
      </c>
      <c r="G607" s="68">
        <v>0</v>
      </c>
      <c r="H607" s="68">
        <v>0</v>
      </c>
      <c r="I607" s="68">
        <v>1</v>
      </c>
      <c r="J607" s="68">
        <v>0</v>
      </c>
      <c r="K607" s="68">
        <v>1</v>
      </c>
      <c r="L607" s="68">
        <v>0</v>
      </c>
      <c r="M607" s="68">
        <v>0</v>
      </c>
      <c r="N607" s="68">
        <v>0</v>
      </c>
    </row>
    <row r="608" spans="1:14">
      <c r="A608" t="s">
        <v>444</v>
      </c>
      <c r="B608" t="s">
        <v>445</v>
      </c>
      <c r="C608" t="s">
        <v>948</v>
      </c>
      <c r="D608" t="s">
        <v>264</v>
      </c>
      <c r="E608" t="s">
        <v>958</v>
      </c>
      <c r="F608" t="s">
        <v>459</v>
      </c>
      <c r="G608" s="68">
        <v>2</v>
      </c>
      <c r="H608" s="68">
        <v>2</v>
      </c>
      <c r="I608" s="68">
        <v>1</v>
      </c>
      <c r="J608" s="68">
        <v>3</v>
      </c>
      <c r="K608" s="68">
        <v>3</v>
      </c>
      <c r="L608" s="68">
        <v>0</v>
      </c>
      <c r="M608" s="68">
        <v>1</v>
      </c>
      <c r="N608" s="68">
        <v>1</v>
      </c>
    </row>
    <row r="609" spans="1:14">
      <c r="A609" t="s">
        <v>444</v>
      </c>
      <c r="B609" t="s">
        <v>445</v>
      </c>
      <c r="C609" t="s">
        <v>948</v>
      </c>
      <c r="D609" t="s">
        <v>220</v>
      </c>
      <c r="E609" t="s">
        <v>454</v>
      </c>
      <c r="F609" t="s">
        <v>452</v>
      </c>
      <c r="G609" s="68">
        <v>91</v>
      </c>
      <c r="H609" s="68">
        <v>249</v>
      </c>
      <c r="I609" s="68">
        <v>225</v>
      </c>
      <c r="J609" s="68">
        <v>231</v>
      </c>
      <c r="K609" s="68">
        <v>114</v>
      </c>
      <c r="L609" s="68">
        <v>99</v>
      </c>
      <c r="M609" s="68">
        <v>217</v>
      </c>
      <c r="N609" s="68">
        <v>227</v>
      </c>
    </row>
    <row r="610" spans="1:14">
      <c r="A610" t="s">
        <v>444</v>
      </c>
      <c r="B610" t="s">
        <v>445</v>
      </c>
      <c r="C610" t="s">
        <v>948</v>
      </c>
      <c r="D610" t="s">
        <v>205</v>
      </c>
      <c r="E610" t="s">
        <v>959</v>
      </c>
      <c r="F610" t="s">
        <v>449</v>
      </c>
      <c r="G610" s="68">
        <v>0</v>
      </c>
      <c r="H610" s="68">
        <v>0</v>
      </c>
      <c r="I610" s="68">
        <v>0</v>
      </c>
      <c r="J610" s="68">
        <v>0</v>
      </c>
      <c r="K610" s="68">
        <v>0</v>
      </c>
      <c r="L610" s="68">
        <v>1</v>
      </c>
      <c r="M610" s="68">
        <v>1</v>
      </c>
      <c r="N610" s="68">
        <v>0</v>
      </c>
    </row>
    <row r="611" spans="1:14">
      <c r="A611" t="s">
        <v>444</v>
      </c>
      <c r="B611" t="s">
        <v>445</v>
      </c>
      <c r="C611" t="s">
        <v>948</v>
      </c>
      <c r="D611" t="s">
        <v>429</v>
      </c>
      <c r="E611" t="s">
        <v>454</v>
      </c>
      <c r="F611" t="s">
        <v>449</v>
      </c>
      <c r="G611" s="68">
        <v>0</v>
      </c>
      <c r="H611" s="68">
        <v>0</v>
      </c>
      <c r="I611" s="68">
        <v>0</v>
      </c>
      <c r="J611" s="68">
        <v>0</v>
      </c>
      <c r="K611" s="68">
        <v>0</v>
      </c>
      <c r="L611" s="68">
        <v>0</v>
      </c>
      <c r="M611" s="68">
        <v>1</v>
      </c>
      <c r="N611" s="68">
        <v>0</v>
      </c>
    </row>
    <row r="612" spans="1:14">
      <c r="A612" t="s">
        <v>444</v>
      </c>
      <c r="B612" t="s">
        <v>445</v>
      </c>
      <c r="C612" t="s">
        <v>948</v>
      </c>
      <c r="D612" t="s">
        <v>165</v>
      </c>
      <c r="E612" t="s">
        <v>454</v>
      </c>
      <c r="F612" t="s">
        <v>449</v>
      </c>
      <c r="G612" s="68">
        <v>1</v>
      </c>
      <c r="H612" s="68">
        <v>0</v>
      </c>
      <c r="I612" s="68">
        <v>0</v>
      </c>
      <c r="J612" s="68">
        <v>0</v>
      </c>
      <c r="K612" s="68">
        <v>0</v>
      </c>
      <c r="L612" s="68">
        <v>0</v>
      </c>
      <c r="M612" s="68">
        <v>0</v>
      </c>
      <c r="N612" s="68">
        <v>0</v>
      </c>
    </row>
    <row r="613" spans="1:14">
      <c r="A613" t="s">
        <v>444</v>
      </c>
      <c r="B613" t="s">
        <v>445</v>
      </c>
      <c r="C613" t="s">
        <v>948</v>
      </c>
      <c r="D613" t="s">
        <v>158</v>
      </c>
      <c r="E613" t="s">
        <v>454</v>
      </c>
      <c r="F613" t="s">
        <v>472</v>
      </c>
      <c r="G613" s="68">
        <v>1</v>
      </c>
      <c r="H613" s="68">
        <v>0</v>
      </c>
      <c r="I613" s="68">
        <v>0</v>
      </c>
      <c r="J613" s="68">
        <v>3</v>
      </c>
      <c r="K613" s="68">
        <v>0</v>
      </c>
      <c r="L613" s="68">
        <v>1</v>
      </c>
      <c r="M613" s="68">
        <v>0</v>
      </c>
      <c r="N613" s="68">
        <v>1</v>
      </c>
    </row>
    <row r="614" spans="1:14">
      <c r="A614" t="s">
        <v>444</v>
      </c>
      <c r="B614" t="s">
        <v>445</v>
      </c>
      <c r="C614" t="s">
        <v>948</v>
      </c>
      <c r="D614" t="s">
        <v>158</v>
      </c>
      <c r="E614" t="s">
        <v>960</v>
      </c>
      <c r="F614" t="s">
        <v>472</v>
      </c>
      <c r="G614" s="68">
        <v>0</v>
      </c>
      <c r="H614" s="68">
        <v>1</v>
      </c>
      <c r="I614" s="68">
        <v>0</v>
      </c>
      <c r="J614" s="68">
        <v>0</v>
      </c>
      <c r="K614" s="68">
        <v>0</v>
      </c>
      <c r="L614" s="68">
        <v>0</v>
      </c>
      <c r="M614" s="68">
        <v>0</v>
      </c>
      <c r="N614" s="68">
        <v>0</v>
      </c>
    </row>
    <row r="615" spans="1:14">
      <c r="A615" t="s">
        <v>444</v>
      </c>
      <c r="B615" t="s">
        <v>445</v>
      </c>
      <c r="C615" t="s">
        <v>948</v>
      </c>
      <c r="D615" t="s">
        <v>158</v>
      </c>
      <c r="E615" t="s">
        <v>961</v>
      </c>
      <c r="F615" t="s">
        <v>472</v>
      </c>
      <c r="G615" s="68">
        <v>0</v>
      </c>
      <c r="H615" s="68">
        <v>0</v>
      </c>
      <c r="I615" s="68">
        <v>1</v>
      </c>
      <c r="J615" s="68">
        <v>0</v>
      </c>
      <c r="K615" s="68">
        <v>0</v>
      </c>
      <c r="L615" s="68">
        <v>0</v>
      </c>
      <c r="M615" s="68">
        <v>0</v>
      </c>
      <c r="N615" s="68">
        <v>0</v>
      </c>
    </row>
    <row r="616" spans="1:14">
      <c r="A616" t="s">
        <v>444</v>
      </c>
      <c r="B616" t="s">
        <v>445</v>
      </c>
      <c r="C616" t="s">
        <v>948</v>
      </c>
      <c r="D616" t="s">
        <v>103</v>
      </c>
      <c r="E616" t="s">
        <v>454</v>
      </c>
      <c r="F616" t="s">
        <v>630</v>
      </c>
      <c r="G616" s="68">
        <v>18</v>
      </c>
      <c r="H616" s="68">
        <v>51</v>
      </c>
      <c r="I616" s="68">
        <v>40</v>
      </c>
      <c r="J616" s="68">
        <v>50</v>
      </c>
      <c r="K616" s="68">
        <v>35</v>
      </c>
      <c r="L616" s="68">
        <v>47</v>
      </c>
      <c r="M616" s="68">
        <v>53</v>
      </c>
      <c r="N616" s="68">
        <v>30</v>
      </c>
    </row>
    <row r="617" spans="1:14">
      <c r="A617" t="s">
        <v>444</v>
      </c>
      <c r="B617" t="s">
        <v>445</v>
      </c>
      <c r="C617" t="s">
        <v>948</v>
      </c>
      <c r="D617" t="s">
        <v>103</v>
      </c>
      <c r="E617" t="s">
        <v>962</v>
      </c>
      <c r="F617" t="s">
        <v>630</v>
      </c>
      <c r="G617" s="68">
        <v>106</v>
      </c>
      <c r="H617" s="68">
        <v>217</v>
      </c>
      <c r="I617" s="68">
        <v>201</v>
      </c>
      <c r="J617" s="68">
        <v>171</v>
      </c>
      <c r="K617" s="68">
        <v>114</v>
      </c>
      <c r="L617" s="68">
        <v>181</v>
      </c>
      <c r="M617" s="68">
        <v>113</v>
      </c>
      <c r="N617" s="68">
        <v>113</v>
      </c>
    </row>
    <row r="618" spans="1:14">
      <c r="A618" t="s">
        <v>444</v>
      </c>
      <c r="B618" t="s">
        <v>445</v>
      </c>
      <c r="C618" t="s">
        <v>948</v>
      </c>
      <c r="D618" t="s">
        <v>78</v>
      </c>
      <c r="E618" t="s">
        <v>963</v>
      </c>
      <c r="F618" t="s">
        <v>447</v>
      </c>
      <c r="G618" s="68">
        <v>3</v>
      </c>
      <c r="H618" s="68">
        <v>2</v>
      </c>
      <c r="I618" s="68">
        <v>2</v>
      </c>
      <c r="J618" s="68">
        <v>4</v>
      </c>
      <c r="K618" s="68">
        <v>0</v>
      </c>
      <c r="L618" s="68">
        <v>0</v>
      </c>
      <c r="M618" s="68">
        <v>0</v>
      </c>
      <c r="N618" s="68">
        <v>4</v>
      </c>
    </row>
    <row r="619" spans="1:14">
      <c r="A619" t="s">
        <v>444</v>
      </c>
      <c r="B619" t="s">
        <v>445</v>
      </c>
      <c r="C619" t="s">
        <v>948</v>
      </c>
      <c r="D619" t="s">
        <v>78</v>
      </c>
      <c r="E619" t="s">
        <v>964</v>
      </c>
      <c r="F619" t="s">
        <v>447</v>
      </c>
      <c r="G619" s="68">
        <v>0</v>
      </c>
      <c r="H619" s="68">
        <v>0</v>
      </c>
      <c r="I619" s="68">
        <v>2</v>
      </c>
      <c r="J619" s="68">
        <v>0</v>
      </c>
      <c r="K619" s="68">
        <v>0</v>
      </c>
      <c r="L619" s="68">
        <v>0</v>
      </c>
      <c r="M619" s="68">
        <v>0</v>
      </c>
      <c r="N619" s="68">
        <v>0</v>
      </c>
    </row>
    <row r="620" spans="1:14">
      <c r="A620" t="s">
        <v>444</v>
      </c>
      <c r="B620" t="s">
        <v>445</v>
      </c>
      <c r="C620" t="s">
        <v>948</v>
      </c>
      <c r="D620" t="s">
        <v>70</v>
      </c>
      <c r="E620" t="s">
        <v>454</v>
      </c>
      <c r="F620" t="s">
        <v>447</v>
      </c>
      <c r="G620" s="68">
        <v>0</v>
      </c>
      <c r="H620" s="68">
        <v>1</v>
      </c>
      <c r="I620" s="68">
        <v>0</v>
      </c>
      <c r="J620" s="68">
        <v>0</v>
      </c>
      <c r="K620" s="68">
        <v>0</v>
      </c>
      <c r="L620" s="68">
        <v>0</v>
      </c>
      <c r="M620" s="68">
        <v>1</v>
      </c>
      <c r="N620" s="68">
        <v>0</v>
      </c>
    </row>
    <row r="621" spans="1:14">
      <c r="A621" t="s">
        <v>444</v>
      </c>
      <c r="B621" t="s">
        <v>445</v>
      </c>
      <c r="C621" t="s">
        <v>948</v>
      </c>
      <c r="D621" t="s">
        <v>68</v>
      </c>
      <c r="E621" t="s">
        <v>454</v>
      </c>
      <c r="F621" t="s">
        <v>452</v>
      </c>
      <c r="G621" s="68">
        <v>9</v>
      </c>
      <c r="H621" s="68">
        <v>5</v>
      </c>
      <c r="I621" s="68">
        <v>4</v>
      </c>
      <c r="J621" s="68">
        <v>3</v>
      </c>
      <c r="K621" s="68">
        <v>1</v>
      </c>
      <c r="L621" s="68">
        <v>0</v>
      </c>
      <c r="M621" s="68">
        <v>2</v>
      </c>
      <c r="N621" s="68">
        <v>1</v>
      </c>
    </row>
    <row r="622" spans="1:14">
      <c r="A622" t="s">
        <v>444</v>
      </c>
      <c r="B622" t="s">
        <v>445</v>
      </c>
      <c r="C622" t="s">
        <v>948</v>
      </c>
      <c r="D622" t="s">
        <v>21</v>
      </c>
      <c r="E622" t="s">
        <v>965</v>
      </c>
      <c r="F622" t="s">
        <v>452</v>
      </c>
      <c r="G622" s="68">
        <v>4</v>
      </c>
      <c r="H622" s="68">
        <v>25</v>
      </c>
      <c r="I622" s="68">
        <v>33</v>
      </c>
      <c r="J622" s="68">
        <v>41</v>
      </c>
      <c r="K622" s="68">
        <v>48</v>
      </c>
      <c r="L622" s="68">
        <v>31</v>
      </c>
      <c r="M622" s="68">
        <v>35</v>
      </c>
      <c r="N622" s="68">
        <v>23</v>
      </c>
    </row>
    <row r="623" spans="1:14">
      <c r="A623" t="s">
        <v>444</v>
      </c>
      <c r="B623" t="s">
        <v>445</v>
      </c>
      <c r="C623" t="s">
        <v>966</v>
      </c>
      <c r="D623" t="s">
        <v>379</v>
      </c>
      <c r="E623" t="s">
        <v>967</v>
      </c>
      <c r="F623" t="s">
        <v>452</v>
      </c>
      <c r="G623" s="68">
        <v>0</v>
      </c>
      <c r="H623" s="68">
        <v>26</v>
      </c>
      <c r="I623" s="68">
        <v>0</v>
      </c>
      <c r="J623" s="68">
        <v>0</v>
      </c>
      <c r="K623" s="68">
        <v>4</v>
      </c>
      <c r="L623" s="68">
        <v>6</v>
      </c>
      <c r="M623" s="68">
        <v>5</v>
      </c>
      <c r="N623" s="68">
        <v>0</v>
      </c>
    </row>
    <row r="624" spans="1:14">
      <c r="A624" t="s">
        <v>444</v>
      </c>
      <c r="B624" t="s">
        <v>445</v>
      </c>
      <c r="C624" t="s">
        <v>966</v>
      </c>
      <c r="D624" t="s">
        <v>379</v>
      </c>
      <c r="E624" t="s">
        <v>746</v>
      </c>
      <c r="F624" t="s">
        <v>452</v>
      </c>
      <c r="G624" s="68">
        <v>0</v>
      </c>
      <c r="H624" s="68">
        <v>0</v>
      </c>
      <c r="I624" s="68">
        <v>0</v>
      </c>
      <c r="J624" s="68">
        <v>0</v>
      </c>
      <c r="K624" s="68">
        <v>0</v>
      </c>
      <c r="L624" s="68">
        <v>0</v>
      </c>
      <c r="M624" s="68">
        <v>180</v>
      </c>
      <c r="N624" s="68">
        <v>484</v>
      </c>
    </row>
    <row r="625" spans="1:14">
      <c r="A625" t="s">
        <v>444</v>
      </c>
      <c r="B625" t="s">
        <v>445</v>
      </c>
      <c r="C625" t="s">
        <v>966</v>
      </c>
      <c r="D625" t="s">
        <v>379</v>
      </c>
      <c r="E625" t="s">
        <v>968</v>
      </c>
      <c r="F625" t="s">
        <v>452</v>
      </c>
      <c r="G625" s="68">
        <v>0</v>
      </c>
      <c r="H625" s="68">
        <v>56</v>
      </c>
      <c r="I625" s="68">
        <v>2</v>
      </c>
      <c r="J625" s="68">
        <v>2</v>
      </c>
      <c r="K625" s="68">
        <v>2</v>
      </c>
      <c r="L625" s="68">
        <v>0</v>
      </c>
      <c r="M625" s="68">
        <v>0</v>
      </c>
      <c r="N625" s="68">
        <v>0</v>
      </c>
    </row>
    <row r="626" spans="1:14">
      <c r="A626" t="s">
        <v>444</v>
      </c>
      <c r="B626" t="s">
        <v>445</v>
      </c>
      <c r="C626" t="s">
        <v>966</v>
      </c>
      <c r="D626" t="s">
        <v>379</v>
      </c>
      <c r="E626" t="s">
        <v>747</v>
      </c>
      <c r="F626" t="s">
        <v>452</v>
      </c>
      <c r="G626" s="68">
        <v>0</v>
      </c>
      <c r="H626" s="68">
        <v>0</v>
      </c>
      <c r="I626" s="68">
        <v>0</v>
      </c>
      <c r="J626" s="68">
        <v>0</v>
      </c>
      <c r="K626" s="68">
        <v>0</v>
      </c>
      <c r="L626" s="68">
        <v>13</v>
      </c>
      <c r="M626" s="68">
        <v>6</v>
      </c>
      <c r="N626" s="68">
        <v>2</v>
      </c>
    </row>
    <row r="627" spans="1:14">
      <c r="A627" t="s">
        <v>444</v>
      </c>
      <c r="B627" t="s">
        <v>445</v>
      </c>
      <c r="C627" t="s">
        <v>966</v>
      </c>
      <c r="D627" t="s">
        <v>379</v>
      </c>
      <c r="E627" t="s">
        <v>969</v>
      </c>
      <c r="F627" t="s">
        <v>452</v>
      </c>
      <c r="G627" s="68">
        <v>0</v>
      </c>
      <c r="H627" s="68">
        <v>126</v>
      </c>
      <c r="I627" s="68">
        <v>4</v>
      </c>
      <c r="J627" s="68">
        <v>6</v>
      </c>
      <c r="K627" s="68">
        <v>1</v>
      </c>
      <c r="L627" s="68">
        <v>0</v>
      </c>
      <c r="M627" s="68">
        <v>0</v>
      </c>
      <c r="N627" s="68">
        <v>0</v>
      </c>
    </row>
    <row r="628" spans="1:14">
      <c r="A628" t="s">
        <v>444</v>
      </c>
      <c r="B628" t="s">
        <v>445</v>
      </c>
      <c r="C628" t="s">
        <v>966</v>
      </c>
      <c r="D628" t="s">
        <v>379</v>
      </c>
      <c r="E628" t="s">
        <v>970</v>
      </c>
      <c r="F628" t="s">
        <v>452</v>
      </c>
      <c r="G628" s="68">
        <v>295</v>
      </c>
      <c r="H628" s="68">
        <v>0</v>
      </c>
      <c r="I628" s="68">
        <v>0</v>
      </c>
      <c r="J628" s="68">
        <v>0</v>
      </c>
      <c r="K628" s="68">
        <v>0</v>
      </c>
      <c r="L628" s="68">
        <v>0</v>
      </c>
      <c r="M628" s="68">
        <v>0</v>
      </c>
      <c r="N628" s="68">
        <v>0</v>
      </c>
    </row>
    <row r="629" spans="1:14">
      <c r="A629" t="s">
        <v>444</v>
      </c>
      <c r="B629" t="s">
        <v>445</v>
      </c>
      <c r="C629" t="s">
        <v>966</v>
      </c>
      <c r="D629" t="s">
        <v>379</v>
      </c>
      <c r="E629" t="s">
        <v>971</v>
      </c>
      <c r="F629" t="s">
        <v>452</v>
      </c>
      <c r="G629" s="68">
        <v>0</v>
      </c>
      <c r="H629" s="68">
        <v>0</v>
      </c>
      <c r="I629" s="68">
        <v>0</v>
      </c>
      <c r="J629" s="68">
        <v>0</v>
      </c>
      <c r="K629" s="68">
        <v>0</v>
      </c>
      <c r="L629" s="68">
        <v>0</v>
      </c>
      <c r="M629" s="68">
        <v>0</v>
      </c>
      <c r="N629" s="68">
        <v>1</v>
      </c>
    </row>
    <row r="630" spans="1:14">
      <c r="A630" t="s">
        <v>444</v>
      </c>
      <c r="B630" t="s">
        <v>445</v>
      </c>
      <c r="C630" t="s">
        <v>966</v>
      </c>
      <c r="D630" t="s">
        <v>379</v>
      </c>
      <c r="E630" t="s">
        <v>972</v>
      </c>
      <c r="F630" t="s">
        <v>452</v>
      </c>
      <c r="G630" s="68">
        <v>18</v>
      </c>
      <c r="H630" s="68">
        <v>0</v>
      </c>
      <c r="I630" s="68">
        <v>0</v>
      </c>
      <c r="J630" s="68">
        <v>0</v>
      </c>
      <c r="K630" s="68">
        <v>0</v>
      </c>
      <c r="L630" s="68">
        <v>0</v>
      </c>
      <c r="M630" s="68">
        <v>0</v>
      </c>
      <c r="N630" s="68">
        <v>0</v>
      </c>
    </row>
    <row r="631" spans="1:14">
      <c r="A631" t="s">
        <v>444</v>
      </c>
      <c r="B631" t="s">
        <v>445</v>
      </c>
      <c r="C631" t="s">
        <v>966</v>
      </c>
      <c r="D631" t="s">
        <v>379</v>
      </c>
      <c r="E631" t="s">
        <v>973</v>
      </c>
      <c r="F631" t="s">
        <v>452</v>
      </c>
      <c r="G631" s="68">
        <v>18</v>
      </c>
      <c r="H631" s="68">
        <v>0</v>
      </c>
      <c r="I631" s="68">
        <v>0</v>
      </c>
      <c r="J631" s="68">
        <v>0</v>
      </c>
      <c r="K631" s="68">
        <v>0</v>
      </c>
      <c r="L631" s="68">
        <v>0</v>
      </c>
      <c r="M631" s="68">
        <v>0</v>
      </c>
      <c r="N631" s="68">
        <v>0</v>
      </c>
    </row>
    <row r="632" spans="1:14">
      <c r="A632" t="s">
        <v>444</v>
      </c>
      <c r="B632" t="s">
        <v>445</v>
      </c>
      <c r="C632" t="s">
        <v>974</v>
      </c>
      <c r="D632" t="s">
        <v>427</v>
      </c>
      <c r="E632" t="s">
        <v>454</v>
      </c>
      <c r="F632" t="s">
        <v>447</v>
      </c>
      <c r="G632" s="68">
        <v>20</v>
      </c>
      <c r="H632" s="68">
        <v>31</v>
      </c>
      <c r="I632" s="68">
        <v>1</v>
      </c>
      <c r="J632" s="68">
        <v>0</v>
      </c>
      <c r="K632" s="68">
        <v>0</v>
      </c>
      <c r="L632" s="68">
        <v>0</v>
      </c>
      <c r="M632" s="68">
        <v>0</v>
      </c>
      <c r="N632" s="68">
        <v>0</v>
      </c>
    </row>
    <row r="633" spans="1:14">
      <c r="A633" t="s">
        <v>444</v>
      </c>
      <c r="B633" t="s">
        <v>445</v>
      </c>
      <c r="C633" t="s">
        <v>974</v>
      </c>
      <c r="D633" t="s">
        <v>270</v>
      </c>
      <c r="E633" t="s">
        <v>454</v>
      </c>
      <c r="F633" t="s">
        <v>449</v>
      </c>
      <c r="G633" s="68">
        <v>580</v>
      </c>
      <c r="H633" s="68">
        <v>1904</v>
      </c>
      <c r="I633" s="68">
        <v>3</v>
      </c>
      <c r="J633" s="68">
        <v>0</v>
      </c>
      <c r="K633" s="68">
        <v>1</v>
      </c>
      <c r="L633" s="68">
        <v>0</v>
      </c>
      <c r="M633" s="68">
        <v>0</v>
      </c>
      <c r="N633" s="68">
        <v>0</v>
      </c>
    </row>
    <row r="634" spans="1:14">
      <c r="A634" t="s">
        <v>444</v>
      </c>
      <c r="B634" t="s">
        <v>445</v>
      </c>
      <c r="C634" t="s">
        <v>158</v>
      </c>
      <c r="D634" t="s">
        <v>158</v>
      </c>
      <c r="E634" t="s">
        <v>454</v>
      </c>
      <c r="F634" t="s">
        <v>472</v>
      </c>
      <c r="G634" s="68">
        <v>1</v>
      </c>
      <c r="H634" s="68">
        <v>0</v>
      </c>
      <c r="I634" s="68">
        <v>0</v>
      </c>
      <c r="J634" s="68">
        <v>3</v>
      </c>
      <c r="K634" s="68">
        <v>0</v>
      </c>
      <c r="L634" s="68">
        <v>0</v>
      </c>
      <c r="M634" s="68">
        <v>0</v>
      </c>
      <c r="N634" s="68">
        <v>0</v>
      </c>
    </row>
    <row r="635" spans="1:14">
      <c r="A635" t="s">
        <v>444</v>
      </c>
      <c r="B635" t="s">
        <v>445</v>
      </c>
      <c r="C635" t="s">
        <v>158</v>
      </c>
      <c r="D635" t="s">
        <v>158</v>
      </c>
      <c r="E635" t="s">
        <v>975</v>
      </c>
      <c r="F635" t="s">
        <v>472</v>
      </c>
      <c r="G635" s="68">
        <v>0</v>
      </c>
      <c r="H635" s="68">
        <v>0</v>
      </c>
      <c r="I635" s="68">
        <v>2</v>
      </c>
      <c r="J635" s="68">
        <v>0</v>
      </c>
      <c r="K635" s="68">
        <v>0</v>
      </c>
      <c r="L635" s="68">
        <v>0</v>
      </c>
      <c r="M635" s="68">
        <v>0</v>
      </c>
      <c r="N635" s="68">
        <v>0</v>
      </c>
    </row>
    <row r="636" spans="1:14">
      <c r="A636" t="s">
        <v>444</v>
      </c>
      <c r="B636" t="s">
        <v>445</v>
      </c>
      <c r="C636" t="s">
        <v>158</v>
      </c>
      <c r="D636" t="s">
        <v>158</v>
      </c>
      <c r="E636" t="s">
        <v>976</v>
      </c>
      <c r="F636" t="s">
        <v>472</v>
      </c>
      <c r="G636" s="68">
        <v>0</v>
      </c>
      <c r="H636" s="68">
        <v>0</v>
      </c>
      <c r="I636" s="68">
        <v>1</v>
      </c>
      <c r="J636" s="68">
        <v>0</v>
      </c>
      <c r="K636" s="68">
        <v>0</v>
      </c>
      <c r="L636" s="68">
        <v>0</v>
      </c>
      <c r="M636" s="68">
        <v>0</v>
      </c>
      <c r="N636" s="68">
        <v>0</v>
      </c>
    </row>
    <row r="637" spans="1:14">
      <c r="A637" t="s">
        <v>444</v>
      </c>
      <c r="B637" t="s">
        <v>445</v>
      </c>
      <c r="C637" t="s">
        <v>158</v>
      </c>
      <c r="D637" t="s">
        <v>158</v>
      </c>
      <c r="E637" t="s">
        <v>977</v>
      </c>
      <c r="F637" t="s">
        <v>472</v>
      </c>
      <c r="G637" s="68">
        <v>0</v>
      </c>
      <c r="H637" s="68">
        <v>0</v>
      </c>
      <c r="I637" s="68">
        <v>1</v>
      </c>
      <c r="J637" s="68">
        <v>0</v>
      </c>
      <c r="K637" s="68">
        <v>0</v>
      </c>
      <c r="L637" s="68">
        <v>0</v>
      </c>
      <c r="M637" s="68">
        <v>0</v>
      </c>
      <c r="N637" s="68">
        <v>0</v>
      </c>
    </row>
    <row r="638" spans="1:14">
      <c r="A638" t="s">
        <v>444</v>
      </c>
      <c r="B638" t="s">
        <v>445</v>
      </c>
      <c r="C638" t="s">
        <v>158</v>
      </c>
      <c r="D638" t="s">
        <v>158</v>
      </c>
      <c r="E638" t="s">
        <v>978</v>
      </c>
      <c r="F638" t="s">
        <v>472</v>
      </c>
      <c r="G638" s="68">
        <v>1</v>
      </c>
      <c r="H638" s="68">
        <v>0</v>
      </c>
      <c r="I638" s="68">
        <v>0</v>
      </c>
      <c r="J638" s="68">
        <v>0</v>
      </c>
      <c r="K638" s="68">
        <v>0</v>
      </c>
      <c r="L638" s="68">
        <v>0</v>
      </c>
      <c r="M638" s="68">
        <v>0</v>
      </c>
      <c r="N638" s="68">
        <v>0</v>
      </c>
    </row>
    <row r="639" spans="1:14">
      <c r="A639" t="s">
        <v>444</v>
      </c>
      <c r="B639" t="s">
        <v>445</v>
      </c>
      <c r="C639" t="s">
        <v>979</v>
      </c>
      <c r="D639" t="s">
        <v>424</v>
      </c>
      <c r="E639" t="s">
        <v>980</v>
      </c>
      <c r="F639" t="s">
        <v>452</v>
      </c>
      <c r="G639" s="68">
        <v>6</v>
      </c>
      <c r="H639" s="68">
        <v>14</v>
      </c>
      <c r="I639" s="68">
        <v>3</v>
      </c>
      <c r="J639" s="68">
        <v>7</v>
      </c>
      <c r="K639" s="68">
        <v>0</v>
      </c>
      <c r="L639" s="68">
        <v>1</v>
      </c>
      <c r="M639" s="68">
        <v>1</v>
      </c>
      <c r="N639" s="68">
        <v>5</v>
      </c>
    </row>
    <row r="640" spans="1:14">
      <c r="A640" t="s">
        <v>444</v>
      </c>
      <c r="B640" t="s">
        <v>445</v>
      </c>
      <c r="C640" t="s">
        <v>979</v>
      </c>
      <c r="D640" t="s">
        <v>422</v>
      </c>
      <c r="E640" t="s">
        <v>981</v>
      </c>
      <c r="F640" t="s">
        <v>452</v>
      </c>
      <c r="G640" s="68">
        <v>0</v>
      </c>
      <c r="H640" s="68">
        <v>18</v>
      </c>
      <c r="I640" s="68">
        <v>5</v>
      </c>
      <c r="J640" s="68">
        <v>5</v>
      </c>
      <c r="K640" s="68">
        <v>0</v>
      </c>
      <c r="L640" s="68">
        <v>2</v>
      </c>
      <c r="M640" s="68">
        <v>1</v>
      </c>
      <c r="N640" s="68">
        <v>5</v>
      </c>
    </row>
    <row r="641" spans="1:14">
      <c r="A641" t="s">
        <v>444</v>
      </c>
      <c r="B641" t="s">
        <v>445</v>
      </c>
      <c r="C641" t="s">
        <v>979</v>
      </c>
      <c r="D641" t="s">
        <v>421</v>
      </c>
      <c r="E641" t="s">
        <v>454</v>
      </c>
      <c r="F641" t="s">
        <v>449</v>
      </c>
      <c r="G641" s="68">
        <v>0</v>
      </c>
      <c r="H641" s="68">
        <v>0</v>
      </c>
      <c r="I641" s="68">
        <v>1</v>
      </c>
      <c r="J641" s="68">
        <v>1</v>
      </c>
      <c r="K641" s="68">
        <v>0</v>
      </c>
      <c r="L641" s="68">
        <v>0</v>
      </c>
      <c r="M641" s="68">
        <v>0</v>
      </c>
      <c r="N641" s="68">
        <v>0</v>
      </c>
    </row>
    <row r="642" spans="1:14">
      <c r="A642" t="s">
        <v>444</v>
      </c>
      <c r="B642" t="s">
        <v>445</v>
      </c>
      <c r="C642" t="s">
        <v>979</v>
      </c>
      <c r="D642" t="s">
        <v>418</v>
      </c>
      <c r="E642" t="s">
        <v>981</v>
      </c>
      <c r="F642" t="s">
        <v>452</v>
      </c>
      <c r="G642" s="68">
        <v>2</v>
      </c>
      <c r="H642" s="68">
        <v>0</v>
      </c>
      <c r="I642" s="68">
        <v>0</v>
      </c>
      <c r="J642" s="68">
        <v>0</v>
      </c>
      <c r="K642" s="68">
        <v>0</v>
      </c>
      <c r="L642" s="68">
        <v>0</v>
      </c>
      <c r="M642" s="68">
        <v>1</v>
      </c>
      <c r="N642" s="68">
        <v>1</v>
      </c>
    </row>
    <row r="643" spans="1:14">
      <c r="A643" t="s">
        <v>444</v>
      </c>
      <c r="B643" t="s">
        <v>445</v>
      </c>
      <c r="C643" t="s">
        <v>982</v>
      </c>
      <c r="D643" t="s">
        <v>327</v>
      </c>
      <c r="E643" t="s">
        <v>454</v>
      </c>
      <c r="F643" t="s">
        <v>472</v>
      </c>
      <c r="G643" s="68">
        <v>0</v>
      </c>
      <c r="H643" s="68">
        <v>0</v>
      </c>
      <c r="I643" s="68">
        <v>0</v>
      </c>
      <c r="J643" s="68">
        <v>0</v>
      </c>
      <c r="K643" s="68">
        <v>1</v>
      </c>
      <c r="L643" s="68">
        <v>0</v>
      </c>
      <c r="M643" s="68">
        <v>0</v>
      </c>
      <c r="N643" s="68">
        <v>0</v>
      </c>
    </row>
    <row r="644" spans="1:14">
      <c r="A644" t="s">
        <v>444</v>
      </c>
      <c r="B644" t="s">
        <v>445</v>
      </c>
      <c r="C644" t="s">
        <v>982</v>
      </c>
      <c r="D644" t="s">
        <v>190</v>
      </c>
      <c r="E644" t="s">
        <v>454</v>
      </c>
      <c r="F644" t="s">
        <v>472</v>
      </c>
      <c r="G644" s="68">
        <v>1</v>
      </c>
      <c r="H644" s="68">
        <v>0</v>
      </c>
      <c r="I644" s="68">
        <v>1</v>
      </c>
      <c r="J644" s="68">
        <v>3</v>
      </c>
      <c r="K644" s="68">
        <v>0</v>
      </c>
      <c r="L644" s="68">
        <v>0</v>
      </c>
      <c r="M644" s="68">
        <v>0</v>
      </c>
      <c r="N644" s="68">
        <v>0</v>
      </c>
    </row>
    <row r="645" spans="1:14">
      <c r="A645" t="s">
        <v>444</v>
      </c>
      <c r="B645" t="s">
        <v>445</v>
      </c>
      <c r="C645" t="s">
        <v>983</v>
      </c>
      <c r="D645" t="s">
        <v>415</v>
      </c>
      <c r="E645" t="s">
        <v>984</v>
      </c>
      <c r="F645" t="s">
        <v>536</v>
      </c>
      <c r="G645" s="68">
        <v>0</v>
      </c>
      <c r="H645" s="68">
        <v>0</v>
      </c>
      <c r="I645" s="68">
        <v>0</v>
      </c>
      <c r="J645" s="68">
        <v>0</v>
      </c>
      <c r="K645" s="68">
        <v>0</v>
      </c>
      <c r="L645" s="68">
        <v>0</v>
      </c>
      <c r="M645" s="68">
        <v>0</v>
      </c>
      <c r="N645" s="68">
        <v>1</v>
      </c>
    </row>
    <row r="646" spans="1:14">
      <c r="A646" t="s">
        <v>444</v>
      </c>
      <c r="B646" t="s">
        <v>445</v>
      </c>
      <c r="C646" t="s">
        <v>983</v>
      </c>
      <c r="D646" t="s">
        <v>415</v>
      </c>
      <c r="E646" t="s">
        <v>985</v>
      </c>
      <c r="F646" t="s">
        <v>536</v>
      </c>
      <c r="G646" s="68">
        <v>1</v>
      </c>
      <c r="H646" s="68">
        <v>2</v>
      </c>
      <c r="I646" s="68">
        <v>1</v>
      </c>
      <c r="J646" s="68">
        <v>1</v>
      </c>
      <c r="K646" s="68">
        <v>0</v>
      </c>
      <c r="L646" s="68">
        <v>1</v>
      </c>
      <c r="M646" s="68">
        <v>0</v>
      </c>
      <c r="N646" s="68">
        <v>1</v>
      </c>
    </row>
    <row r="647" spans="1:14">
      <c r="A647" t="s">
        <v>444</v>
      </c>
      <c r="B647" t="s">
        <v>445</v>
      </c>
      <c r="C647" t="s">
        <v>983</v>
      </c>
      <c r="D647" t="s">
        <v>415</v>
      </c>
      <c r="E647" t="s">
        <v>986</v>
      </c>
      <c r="F647" t="s">
        <v>536</v>
      </c>
      <c r="G647" s="68">
        <v>0</v>
      </c>
      <c r="H647" s="68">
        <v>0</v>
      </c>
      <c r="I647" s="68">
        <v>0</v>
      </c>
      <c r="J647" s="68">
        <v>1</v>
      </c>
      <c r="K647" s="68">
        <v>1</v>
      </c>
      <c r="L647" s="68">
        <v>0</v>
      </c>
      <c r="M647" s="68">
        <v>0</v>
      </c>
      <c r="N647" s="68">
        <v>1</v>
      </c>
    </row>
    <row r="648" spans="1:14">
      <c r="A648" t="s">
        <v>444</v>
      </c>
      <c r="B648" t="s">
        <v>445</v>
      </c>
      <c r="C648" t="s">
        <v>983</v>
      </c>
      <c r="D648" t="s">
        <v>415</v>
      </c>
      <c r="E648" t="s">
        <v>987</v>
      </c>
      <c r="F648" t="s">
        <v>536</v>
      </c>
      <c r="G648" s="68">
        <v>0</v>
      </c>
      <c r="H648" s="68">
        <v>0</v>
      </c>
      <c r="I648" s="68">
        <v>3</v>
      </c>
      <c r="J648" s="68">
        <v>1</v>
      </c>
      <c r="K648" s="68">
        <v>5</v>
      </c>
      <c r="L648" s="68">
        <v>0</v>
      </c>
      <c r="M648" s="68">
        <v>1</v>
      </c>
      <c r="N648" s="68">
        <v>2</v>
      </c>
    </row>
    <row r="649" spans="1:14">
      <c r="A649" t="s">
        <v>444</v>
      </c>
      <c r="B649" t="s">
        <v>445</v>
      </c>
      <c r="C649" t="s">
        <v>983</v>
      </c>
      <c r="D649" t="s">
        <v>415</v>
      </c>
      <c r="E649" t="s">
        <v>988</v>
      </c>
      <c r="F649" t="s">
        <v>459</v>
      </c>
      <c r="G649" s="68">
        <v>0</v>
      </c>
      <c r="H649" s="68">
        <v>0</v>
      </c>
      <c r="I649" s="68">
        <v>0</v>
      </c>
      <c r="J649" s="68">
        <v>1</v>
      </c>
      <c r="K649" s="68">
        <v>0</v>
      </c>
      <c r="L649" s="68">
        <v>0</v>
      </c>
      <c r="M649" s="68">
        <v>0</v>
      </c>
      <c r="N649" s="68">
        <v>0</v>
      </c>
    </row>
    <row r="650" spans="1:14">
      <c r="A650" t="s">
        <v>444</v>
      </c>
      <c r="B650" t="s">
        <v>445</v>
      </c>
      <c r="C650" t="s">
        <v>983</v>
      </c>
      <c r="D650" t="s">
        <v>415</v>
      </c>
      <c r="E650" t="s">
        <v>989</v>
      </c>
      <c r="F650" t="s">
        <v>472</v>
      </c>
      <c r="G650" s="68">
        <v>1</v>
      </c>
      <c r="H650" s="68">
        <v>0</v>
      </c>
      <c r="I650" s="68">
        <v>0</v>
      </c>
      <c r="J650" s="68">
        <v>0</v>
      </c>
      <c r="K650" s="68">
        <v>0</v>
      </c>
      <c r="L650" s="68">
        <v>0</v>
      </c>
      <c r="M650" s="68">
        <v>0</v>
      </c>
      <c r="N650" s="68">
        <v>0</v>
      </c>
    </row>
    <row r="651" spans="1:14">
      <c r="A651" t="s">
        <v>444</v>
      </c>
      <c r="B651" t="s">
        <v>445</v>
      </c>
      <c r="C651" t="s">
        <v>983</v>
      </c>
      <c r="D651" t="s">
        <v>415</v>
      </c>
      <c r="E651" t="s">
        <v>990</v>
      </c>
      <c r="F651" t="s">
        <v>459</v>
      </c>
      <c r="G651" s="68">
        <v>0</v>
      </c>
      <c r="H651" s="68">
        <v>0</v>
      </c>
      <c r="I651" s="68">
        <v>0</v>
      </c>
      <c r="J651" s="68">
        <v>0</v>
      </c>
      <c r="K651" s="68">
        <v>2</v>
      </c>
      <c r="L651" s="68">
        <v>1</v>
      </c>
      <c r="M651" s="68">
        <v>0</v>
      </c>
      <c r="N651" s="68">
        <v>0</v>
      </c>
    </row>
    <row r="652" spans="1:14">
      <c r="A652" t="s">
        <v>444</v>
      </c>
      <c r="B652" t="s">
        <v>445</v>
      </c>
      <c r="C652" t="s">
        <v>983</v>
      </c>
      <c r="D652" t="s">
        <v>415</v>
      </c>
      <c r="E652" t="s">
        <v>991</v>
      </c>
      <c r="F652" t="s">
        <v>459</v>
      </c>
      <c r="G652" s="68">
        <v>0</v>
      </c>
      <c r="H652" s="68">
        <v>0</v>
      </c>
      <c r="I652" s="68">
        <v>0</v>
      </c>
      <c r="J652" s="68">
        <v>1</v>
      </c>
      <c r="K652" s="68">
        <v>0</v>
      </c>
      <c r="L652" s="68">
        <v>0</v>
      </c>
      <c r="M652" s="68">
        <v>0</v>
      </c>
      <c r="N652" s="68">
        <v>0</v>
      </c>
    </row>
    <row r="653" spans="1:14">
      <c r="A653" t="s">
        <v>444</v>
      </c>
      <c r="B653" t="s">
        <v>445</v>
      </c>
      <c r="C653" t="s">
        <v>983</v>
      </c>
      <c r="D653" t="s">
        <v>415</v>
      </c>
      <c r="E653" t="s">
        <v>992</v>
      </c>
      <c r="F653" t="s">
        <v>459</v>
      </c>
      <c r="G653" s="68">
        <v>2</v>
      </c>
      <c r="H653" s="68">
        <v>4</v>
      </c>
      <c r="I653" s="68">
        <v>5</v>
      </c>
      <c r="J653" s="68">
        <v>5</v>
      </c>
      <c r="K653" s="68">
        <v>1</v>
      </c>
      <c r="L653" s="68">
        <v>3</v>
      </c>
      <c r="M653" s="68">
        <v>2</v>
      </c>
      <c r="N653" s="68">
        <v>6</v>
      </c>
    </row>
    <row r="654" spans="1:14">
      <c r="A654" t="s">
        <v>444</v>
      </c>
      <c r="B654" t="s">
        <v>445</v>
      </c>
      <c r="C654" t="s">
        <v>983</v>
      </c>
      <c r="D654" t="s">
        <v>415</v>
      </c>
      <c r="E654" t="s">
        <v>993</v>
      </c>
      <c r="F654" t="s">
        <v>472</v>
      </c>
      <c r="G654" s="68">
        <v>0</v>
      </c>
      <c r="H654" s="68">
        <v>1</v>
      </c>
      <c r="I654" s="68">
        <v>0</v>
      </c>
      <c r="J654" s="68">
        <v>0</v>
      </c>
      <c r="K654" s="68">
        <v>0</v>
      </c>
      <c r="L654" s="68">
        <v>0</v>
      </c>
      <c r="M654" s="68">
        <v>0</v>
      </c>
      <c r="N654" s="68">
        <v>0</v>
      </c>
    </row>
    <row r="655" spans="1:14">
      <c r="A655" t="s">
        <v>444</v>
      </c>
      <c r="B655" t="s">
        <v>445</v>
      </c>
      <c r="C655" t="s">
        <v>983</v>
      </c>
      <c r="D655" t="s">
        <v>415</v>
      </c>
      <c r="E655" t="s">
        <v>994</v>
      </c>
      <c r="F655" t="s">
        <v>536</v>
      </c>
      <c r="G655" s="68">
        <v>0</v>
      </c>
      <c r="H655" s="68">
        <v>0</v>
      </c>
      <c r="I655" s="68">
        <v>2</v>
      </c>
      <c r="J655" s="68">
        <v>0</v>
      </c>
      <c r="K655" s="68">
        <v>0</v>
      </c>
      <c r="L655" s="68">
        <v>0</v>
      </c>
      <c r="M655" s="68">
        <v>1</v>
      </c>
      <c r="N655" s="68">
        <v>1</v>
      </c>
    </row>
    <row r="656" spans="1:14">
      <c r="A656" t="s">
        <v>444</v>
      </c>
      <c r="B656" t="s">
        <v>445</v>
      </c>
      <c r="C656" t="s">
        <v>983</v>
      </c>
      <c r="D656" t="s">
        <v>412</v>
      </c>
      <c r="E656" t="s">
        <v>454</v>
      </c>
      <c r="F656" t="s">
        <v>472</v>
      </c>
      <c r="G656" s="68">
        <v>1</v>
      </c>
      <c r="H656" s="68">
        <v>0</v>
      </c>
      <c r="I656" s="68">
        <v>0</v>
      </c>
      <c r="J656" s="68">
        <v>0</v>
      </c>
      <c r="K656" s="68">
        <v>0</v>
      </c>
      <c r="L656" s="68">
        <v>0</v>
      </c>
      <c r="M656" s="68">
        <v>0</v>
      </c>
      <c r="N656" s="68">
        <v>0</v>
      </c>
    </row>
    <row r="657" spans="1:14">
      <c r="A657" t="s">
        <v>444</v>
      </c>
      <c r="B657" t="s">
        <v>445</v>
      </c>
      <c r="C657" t="s">
        <v>983</v>
      </c>
      <c r="D657" t="s">
        <v>412</v>
      </c>
      <c r="E657" t="s">
        <v>995</v>
      </c>
      <c r="F657" t="s">
        <v>536</v>
      </c>
      <c r="G657" s="68">
        <v>0</v>
      </c>
      <c r="H657" s="68">
        <v>0</v>
      </c>
      <c r="I657" s="68">
        <v>0</v>
      </c>
      <c r="J657" s="68">
        <v>0</v>
      </c>
      <c r="K657" s="68">
        <v>1</v>
      </c>
      <c r="L657" s="68">
        <v>0</v>
      </c>
      <c r="M657" s="68">
        <v>0</v>
      </c>
      <c r="N657" s="68">
        <v>0</v>
      </c>
    </row>
    <row r="658" spans="1:14">
      <c r="A658" t="s">
        <v>444</v>
      </c>
      <c r="B658" t="s">
        <v>445</v>
      </c>
      <c r="C658" t="s">
        <v>983</v>
      </c>
      <c r="D658" t="s">
        <v>412</v>
      </c>
      <c r="E658" t="s">
        <v>996</v>
      </c>
      <c r="F658" t="s">
        <v>536</v>
      </c>
      <c r="G658" s="68">
        <v>0</v>
      </c>
      <c r="H658" s="68">
        <v>0</v>
      </c>
      <c r="I658" s="68">
        <v>0</v>
      </c>
      <c r="J658" s="68">
        <v>0</v>
      </c>
      <c r="K658" s="68">
        <v>0</v>
      </c>
      <c r="L658" s="68">
        <v>1</v>
      </c>
      <c r="M658" s="68">
        <v>0</v>
      </c>
      <c r="N658" s="68">
        <v>0</v>
      </c>
    </row>
    <row r="659" spans="1:14">
      <c r="A659" t="s">
        <v>444</v>
      </c>
      <c r="B659" t="s">
        <v>445</v>
      </c>
      <c r="C659" t="s">
        <v>983</v>
      </c>
      <c r="D659" t="s">
        <v>412</v>
      </c>
      <c r="E659" t="s">
        <v>997</v>
      </c>
      <c r="F659" t="s">
        <v>459</v>
      </c>
      <c r="G659" s="68">
        <v>1</v>
      </c>
      <c r="H659" s="68">
        <v>0</v>
      </c>
      <c r="I659" s="68">
        <v>1</v>
      </c>
      <c r="J659" s="68">
        <v>0</v>
      </c>
      <c r="K659" s="68">
        <v>0</v>
      </c>
      <c r="L659" s="68">
        <v>1</v>
      </c>
      <c r="M659" s="68">
        <v>1</v>
      </c>
      <c r="N659" s="68">
        <v>0</v>
      </c>
    </row>
    <row r="660" spans="1:14">
      <c r="A660" t="s">
        <v>444</v>
      </c>
      <c r="B660" t="s">
        <v>445</v>
      </c>
      <c r="C660" t="s">
        <v>983</v>
      </c>
      <c r="D660" t="s">
        <v>412</v>
      </c>
      <c r="E660" t="s">
        <v>998</v>
      </c>
      <c r="F660" t="s">
        <v>657</v>
      </c>
      <c r="G660" s="68">
        <v>1</v>
      </c>
      <c r="H660" s="68">
        <v>0</v>
      </c>
      <c r="I660" s="68">
        <v>2</v>
      </c>
      <c r="J660" s="68">
        <v>0</v>
      </c>
      <c r="K660" s="68">
        <v>1</v>
      </c>
      <c r="L660" s="68">
        <v>0</v>
      </c>
      <c r="M660" s="68">
        <v>0</v>
      </c>
      <c r="N660" s="68">
        <v>0</v>
      </c>
    </row>
    <row r="661" spans="1:14">
      <c r="A661" t="s">
        <v>444</v>
      </c>
      <c r="B661" t="s">
        <v>445</v>
      </c>
      <c r="C661" t="s">
        <v>983</v>
      </c>
      <c r="D661" t="s">
        <v>412</v>
      </c>
      <c r="E661" t="s">
        <v>999</v>
      </c>
      <c r="F661" t="s">
        <v>657</v>
      </c>
      <c r="G661" s="68">
        <v>0</v>
      </c>
      <c r="H661" s="68">
        <v>0</v>
      </c>
      <c r="I661" s="68">
        <v>0</v>
      </c>
      <c r="J661" s="68">
        <v>1</v>
      </c>
      <c r="K661" s="68">
        <v>1</v>
      </c>
      <c r="L661" s="68">
        <v>2</v>
      </c>
      <c r="M661" s="68">
        <v>0</v>
      </c>
      <c r="N661" s="68">
        <v>0</v>
      </c>
    </row>
    <row r="662" spans="1:14">
      <c r="A662" t="s">
        <v>444</v>
      </c>
      <c r="B662" t="s">
        <v>445</v>
      </c>
      <c r="C662" t="s">
        <v>983</v>
      </c>
      <c r="D662" t="s">
        <v>412</v>
      </c>
      <c r="E662" t="s">
        <v>1000</v>
      </c>
      <c r="F662" t="s">
        <v>536</v>
      </c>
      <c r="G662" s="68">
        <v>0</v>
      </c>
      <c r="H662" s="68">
        <v>0</v>
      </c>
      <c r="I662" s="68">
        <v>0</v>
      </c>
      <c r="J662" s="68">
        <v>0</v>
      </c>
      <c r="K662" s="68">
        <v>0</v>
      </c>
      <c r="L662" s="68">
        <v>1</v>
      </c>
      <c r="M662" s="68">
        <v>0</v>
      </c>
      <c r="N662" s="68">
        <v>0</v>
      </c>
    </row>
    <row r="663" spans="1:14">
      <c r="A663" t="s">
        <v>444</v>
      </c>
      <c r="B663" t="s">
        <v>445</v>
      </c>
      <c r="C663" t="s">
        <v>983</v>
      </c>
      <c r="D663" t="s">
        <v>412</v>
      </c>
      <c r="E663" t="s">
        <v>1001</v>
      </c>
      <c r="F663" t="s">
        <v>536</v>
      </c>
      <c r="G663" s="68">
        <v>0</v>
      </c>
      <c r="H663" s="68">
        <v>0</v>
      </c>
      <c r="I663" s="68">
        <v>0</v>
      </c>
      <c r="J663" s="68">
        <v>0</v>
      </c>
      <c r="K663" s="68">
        <v>1</v>
      </c>
      <c r="L663" s="68">
        <v>1</v>
      </c>
      <c r="M663" s="68">
        <v>0</v>
      </c>
      <c r="N663" s="68">
        <v>0</v>
      </c>
    </row>
    <row r="664" spans="1:14">
      <c r="A664" t="s">
        <v>444</v>
      </c>
      <c r="B664" t="s">
        <v>445</v>
      </c>
      <c r="C664" t="s">
        <v>983</v>
      </c>
      <c r="D664" t="s">
        <v>412</v>
      </c>
      <c r="E664" t="s">
        <v>1002</v>
      </c>
      <c r="F664" t="s">
        <v>657</v>
      </c>
      <c r="G664" s="68">
        <v>0</v>
      </c>
      <c r="H664" s="68">
        <v>0</v>
      </c>
      <c r="I664" s="68">
        <v>0</v>
      </c>
      <c r="J664" s="68">
        <v>0</v>
      </c>
      <c r="K664" s="68">
        <v>0</v>
      </c>
      <c r="L664" s="68">
        <v>1</v>
      </c>
      <c r="M664" s="68">
        <v>0</v>
      </c>
      <c r="N664" s="68">
        <v>0</v>
      </c>
    </row>
    <row r="665" spans="1:14">
      <c r="A665" t="s">
        <v>444</v>
      </c>
      <c r="B665" t="s">
        <v>445</v>
      </c>
      <c r="C665" t="s">
        <v>983</v>
      </c>
      <c r="D665" t="s">
        <v>412</v>
      </c>
      <c r="E665" t="s">
        <v>1003</v>
      </c>
      <c r="F665" t="s">
        <v>459</v>
      </c>
      <c r="G665" s="68">
        <v>1</v>
      </c>
      <c r="H665" s="68">
        <v>0</v>
      </c>
      <c r="I665" s="68">
        <v>0</v>
      </c>
      <c r="J665" s="68">
        <v>0</v>
      </c>
      <c r="K665" s="68">
        <v>1</v>
      </c>
      <c r="L665" s="68">
        <v>0</v>
      </c>
      <c r="M665" s="68">
        <v>0</v>
      </c>
      <c r="N665" s="68">
        <v>0</v>
      </c>
    </row>
    <row r="666" spans="1:14">
      <c r="A666" t="s">
        <v>444</v>
      </c>
      <c r="B666" t="s">
        <v>445</v>
      </c>
      <c r="C666" t="s">
        <v>983</v>
      </c>
      <c r="D666" t="s">
        <v>412</v>
      </c>
      <c r="E666" t="s">
        <v>1004</v>
      </c>
      <c r="F666" t="s">
        <v>459</v>
      </c>
      <c r="G666" s="68">
        <v>0</v>
      </c>
      <c r="H666" s="68">
        <v>2</v>
      </c>
      <c r="I666" s="68">
        <v>1</v>
      </c>
      <c r="J666" s="68">
        <v>0</v>
      </c>
      <c r="K666" s="68">
        <v>0</v>
      </c>
      <c r="L666" s="68">
        <v>1</v>
      </c>
      <c r="M666" s="68">
        <v>0</v>
      </c>
      <c r="N666" s="68">
        <v>0</v>
      </c>
    </row>
    <row r="667" spans="1:14">
      <c r="A667" t="s">
        <v>444</v>
      </c>
      <c r="B667" t="s">
        <v>445</v>
      </c>
      <c r="C667" t="s">
        <v>983</v>
      </c>
      <c r="D667" t="s">
        <v>412</v>
      </c>
      <c r="E667" t="s">
        <v>1005</v>
      </c>
      <c r="F667" t="s">
        <v>459</v>
      </c>
      <c r="G667" s="68">
        <v>1</v>
      </c>
      <c r="H667" s="68">
        <v>0</v>
      </c>
      <c r="I667" s="68">
        <v>0</v>
      </c>
      <c r="J667" s="68">
        <v>0</v>
      </c>
      <c r="K667" s="68">
        <v>0</v>
      </c>
      <c r="L667" s="68">
        <v>1</v>
      </c>
      <c r="M667" s="68">
        <v>0</v>
      </c>
      <c r="N667" s="68">
        <v>1</v>
      </c>
    </row>
    <row r="668" spans="1:14">
      <c r="A668" t="s">
        <v>444</v>
      </c>
      <c r="B668" t="s">
        <v>445</v>
      </c>
      <c r="C668" t="s">
        <v>983</v>
      </c>
      <c r="D668" t="s">
        <v>412</v>
      </c>
      <c r="E668" t="s">
        <v>1006</v>
      </c>
      <c r="F668" t="s">
        <v>459</v>
      </c>
      <c r="G668" s="68">
        <v>0</v>
      </c>
      <c r="H668" s="68">
        <v>1</v>
      </c>
      <c r="I668" s="68">
        <v>1</v>
      </c>
      <c r="J668" s="68">
        <v>3</v>
      </c>
      <c r="K668" s="68">
        <v>2</v>
      </c>
      <c r="L668" s="68">
        <v>0</v>
      </c>
      <c r="M668" s="68">
        <v>0</v>
      </c>
      <c r="N668" s="68">
        <v>1</v>
      </c>
    </row>
    <row r="669" spans="1:14">
      <c r="A669" t="s">
        <v>444</v>
      </c>
      <c r="B669" t="s">
        <v>445</v>
      </c>
      <c r="C669" t="s">
        <v>983</v>
      </c>
      <c r="D669" t="s">
        <v>412</v>
      </c>
      <c r="E669" t="s">
        <v>1007</v>
      </c>
      <c r="F669" t="s">
        <v>472</v>
      </c>
      <c r="G669" s="68">
        <v>3</v>
      </c>
      <c r="H669" s="68">
        <v>4</v>
      </c>
      <c r="I669" s="68">
        <v>6</v>
      </c>
      <c r="J669" s="68">
        <v>5</v>
      </c>
      <c r="K669" s="68">
        <v>2</v>
      </c>
      <c r="L669" s="68">
        <v>7</v>
      </c>
      <c r="M669" s="68">
        <v>2</v>
      </c>
      <c r="N669" s="68">
        <v>1</v>
      </c>
    </row>
    <row r="670" spans="1:14">
      <c r="A670" t="s">
        <v>444</v>
      </c>
      <c r="B670" t="s">
        <v>445</v>
      </c>
      <c r="C670" t="s">
        <v>983</v>
      </c>
      <c r="D670" t="s">
        <v>412</v>
      </c>
      <c r="E670" t="s">
        <v>1008</v>
      </c>
      <c r="F670" t="s">
        <v>536</v>
      </c>
      <c r="G670" s="68">
        <v>0</v>
      </c>
      <c r="H670" s="68">
        <v>0</v>
      </c>
      <c r="I670" s="68">
        <v>2</v>
      </c>
      <c r="J670" s="68">
        <v>0</v>
      </c>
      <c r="K670" s="68">
        <v>0</v>
      </c>
      <c r="L670" s="68">
        <v>0</v>
      </c>
      <c r="M670" s="68">
        <v>0</v>
      </c>
      <c r="N670" s="68">
        <v>0</v>
      </c>
    </row>
    <row r="671" spans="1:14">
      <c r="A671" t="s">
        <v>444</v>
      </c>
      <c r="B671" t="s">
        <v>445</v>
      </c>
      <c r="C671" t="s">
        <v>983</v>
      </c>
      <c r="D671" t="s">
        <v>412</v>
      </c>
      <c r="E671" t="s">
        <v>1009</v>
      </c>
      <c r="F671" t="s">
        <v>459</v>
      </c>
      <c r="G671" s="68">
        <v>1</v>
      </c>
      <c r="H671" s="68">
        <v>0</v>
      </c>
      <c r="I671" s="68">
        <v>0</v>
      </c>
      <c r="J671" s="68">
        <v>0</v>
      </c>
      <c r="K671" s="68">
        <v>0</v>
      </c>
      <c r="L671" s="68">
        <v>0</v>
      </c>
      <c r="M671" s="68">
        <v>1</v>
      </c>
      <c r="N671" s="68">
        <v>0</v>
      </c>
    </row>
    <row r="672" spans="1:14">
      <c r="A672" t="s">
        <v>444</v>
      </c>
      <c r="B672" t="s">
        <v>445</v>
      </c>
      <c r="C672" t="s">
        <v>983</v>
      </c>
      <c r="D672" t="s">
        <v>412</v>
      </c>
      <c r="E672" t="s">
        <v>1010</v>
      </c>
      <c r="F672" t="s">
        <v>472</v>
      </c>
      <c r="G672" s="68">
        <v>1</v>
      </c>
      <c r="H672" s="68">
        <v>2</v>
      </c>
      <c r="I672" s="68">
        <v>0</v>
      </c>
      <c r="J672" s="68">
        <v>0</v>
      </c>
      <c r="K672" s="68">
        <v>1</v>
      </c>
      <c r="L672" s="68">
        <v>1</v>
      </c>
      <c r="M672" s="68">
        <v>1</v>
      </c>
      <c r="N672" s="68">
        <v>0</v>
      </c>
    </row>
    <row r="673" spans="1:14">
      <c r="A673" t="s">
        <v>444</v>
      </c>
      <c r="B673" t="s">
        <v>445</v>
      </c>
      <c r="C673" t="s">
        <v>983</v>
      </c>
      <c r="D673" t="s">
        <v>412</v>
      </c>
      <c r="E673" t="s">
        <v>1011</v>
      </c>
      <c r="F673" t="s">
        <v>459</v>
      </c>
      <c r="G673" s="68">
        <v>0</v>
      </c>
      <c r="H673" s="68">
        <v>1</v>
      </c>
      <c r="I673" s="68">
        <v>0</v>
      </c>
      <c r="J673" s="68">
        <v>0</v>
      </c>
      <c r="K673" s="68">
        <v>0</v>
      </c>
      <c r="L673" s="68">
        <v>0</v>
      </c>
      <c r="M673" s="68">
        <v>0</v>
      </c>
      <c r="N673" s="68">
        <v>0</v>
      </c>
    </row>
    <row r="674" spans="1:14">
      <c r="A674" t="s">
        <v>444</v>
      </c>
      <c r="B674" t="s">
        <v>445</v>
      </c>
      <c r="C674" t="s">
        <v>983</v>
      </c>
      <c r="D674" t="s">
        <v>412</v>
      </c>
      <c r="E674" t="s">
        <v>1012</v>
      </c>
      <c r="F674" t="s">
        <v>472</v>
      </c>
      <c r="G674" s="68">
        <v>0</v>
      </c>
      <c r="H674" s="68">
        <v>2</v>
      </c>
      <c r="I674" s="68">
        <v>4</v>
      </c>
      <c r="J674" s="68">
        <v>1</v>
      </c>
      <c r="K674" s="68">
        <v>1</v>
      </c>
      <c r="L674" s="68">
        <v>2</v>
      </c>
      <c r="M674" s="68">
        <v>0</v>
      </c>
      <c r="N674" s="68">
        <v>0</v>
      </c>
    </row>
    <row r="675" spans="1:14">
      <c r="A675" t="s">
        <v>444</v>
      </c>
      <c r="B675" t="s">
        <v>445</v>
      </c>
      <c r="C675" t="s">
        <v>983</v>
      </c>
      <c r="D675" t="s">
        <v>412</v>
      </c>
      <c r="E675" t="s">
        <v>1013</v>
      </c>
      <c r="F675" t="s">
        <v>536</v>
      </c>
      <c r="G675" s="68">
        <v>0</v>
      </c>
      <c r="H675" s="68">
        <v>0</v>
      </c>
      <c r="I675" s="68">
        <v>1</v>
      </c>
      <c r="J675" s="68">
        <v>0</v>
      </c>
      <c r="K675" s="68">
        <v>2</v>
      </c>
      <c r="L675" s="68">
        <v>0</v>
      </c>
      <c r="M675" s="68">
        <v>0</v>
      </c>
      <c r="N675" s="68">
        <v>0</v>
      </c>
    </row>
    <row r="676" spans="1:14">
      <c r="A676" t="s">
        <v>444</v>
      </c>
      <c r="B676" t="s">
        <v>445</v>
      </c>
      <c r="C676" t="s">
        <v>983</v>
      </c>
      <c r="D676" t="s">
        <v>412</v>
      </c>
      <c r="E676" t="s">
        <v>1014</v>
      </c>
      <c r="F676" t="s">
        <v>536</v>
      </c>
      <c r="G676" s="68">
        <v>0</v>
      </c>
      <c r="H676" s="68">
        <v>0</v>
      </c>
      <c r="I676" s="68">
        <v>1</v>
      </c>
      <c r="J676" s="68">
        <v>0</v>
      </c>
      <c r="K676" s="68">
        <v>0</v>
      </c>
      <c r="L676" s="68">
        <v>0</v>
      </c>
      <c r="M676" s="68">
        <v>0</v>
      </c>
      <c r="N676" s="68">
        <v>0</v>
      </c>
    </row>
    <row r="677" spans="1:14">
      <c r="A677" t="s">
        <v>444</v>
      </c>
      <c r="B677" t="s">
        <v>445</v>
      </c>
      <c r="C677" t="s">
        <v>983</v>
      </c>
      <c r="D677" t="s">
        <v>412</v>
      </c>
      <c r="E677" t="s">
        <v>1015</v>
      </c>
      <c r="F677" t="s">
        <v>459</v>
      </c>
      <c r="G677" s="68">
        <v>0</v>
      </c>
      <c r="H677" s="68">
        <v>0</v>
      </c>
      <c r="I677" s="68">
        <v>0</v>
      </c>
      <c r="J677" s="68">
        <v>0</v>
      </c>
      <c r="K677" s="68">
        <v>0</v>
      </c>
      <c r="L677" s="68">
        <v>2</v>
      </c>
      <c r="M677" s="68">
        <v>0</v>
      </c>
      <c r="N677" s="68">
        <v>1</v>
      </c>
    </row>
    <row r="678" spans="1:14">
      <c r="A678" t="s">
        <v>444</v>
      </c>
      <c r="B678" t="s">
        <v>445</v>
      </c>
      <c r="C678" t="s">
        <v>983</v>
      </c>
      <c r="D678" t="s">
        <v>412</v>
      </c>
      <c r="E678" t="s">
        <v>1016</v>
      </c>
      <c r="F678" t="s">
        <v>472</v>
      </c>
      <c r="G678" s="68">
        <v>1</v>
      </c>
      <c r="H678" s="68">
        <v>0</v>
      </c>
      <c r="I678" s="68">
        <v>1</v>
      </c>
      <c r="J678" s="68">
        <v>1</v>
      </c>
      <c r="K678" s="68">
        <v>3</v>
      </c>
      <c r="L678" s="68">
        <v>1</v>
      </c>
      <c r="M678" s="68">
        <v>2</v>
      </c>
      <c r="N678" s="68">
        <v>0</v>
      </c>
    </row>
    <row r="679" spans="1:14">
      <c r="A679" t="s">
        <v>444</v>
      </c>
      <c r="B679" t="s">
        <v>445</v>
      </c>
      <c r="C679" t="s">
        <v>983</v>
      </c>
      <c r="D679" t="s">
        <v>412</v>
      </c>
      <c r="E679" t="s">
        <v>1017</v>
      </c>
      <c r="F679" t="s">
        <v>459</v>
      </c>
      <c r="G679" s="68">
        <v>0</v>
      </c>
      <c r="H679" s="68">
        <v>0</v>
      </c>
      <c r="I679" s="68">
        <v>0</v>
      </c>
      <c r="J679" s="68">
        <v>0</v>
      </c>
      <c r="K679" s="68">
        <v>0</v>
      </c>
      <c r="L679" s="68">
        <v>0</v>
      </c>
      <c r="M679" s="68">
        <v>1</v>
      </c>
      <c r="N679" s="68">
        <v>2</v>
      </c>
    </row>
    <row r="680" spans="1:14">
      <c r="A680" t="s">
        <v>444</v>
      </c>
      <c r="B680" t="s">
        <v>445</v>
      </c>
      <c r="C680" t="s">
        <v>983</v>
      </c>
      <c r="D680" t="s">
        <v>412</v>
      </c>
      <c r="E680" t="s">
        <v>1018</v>
      </c>
      <c r="F680" t="s">
        <v>459</v>
      </c>
      <c r="G680" s="68">
        <v>0</v>
      </c>
      <c r="H680" s="68">
        <v>1</v>
      </c>
      <c r="I680" s="68">
        <v>1</v>
      </c>
      <c r="J680" s="68">
        <v>1</v>
      </c>
      <c r="K680" s="68">
        <v>2</v>
      </c>
      <c r="L680" s="68">
        <v>1</v>
      </c>
      <c r="M680" s="68">
        <v>2</v>
      </c>
      <c r="N680" s="68">
        <v>2</v>
      </c>
    </row>
    <row r="681" spans="1:14">
      <c r="A681" t="s">
        <v>444</v>
      </c>
      <c r="B681" t="s">
        <v>445</v>
      </c>
      <c r="C681" t="s">
        <v>983</v>
      </c>
      <c r="D681" t="s">
        <v>412</v>
      </c>
      <c r="E681" t="s">
        <v>1019</v>
      </c>
      <c r="F681" t="s">
        <v>536</v>
      </c>
      <c r="G681" s="68">
        <v>0</v>
      </c>
      <c r="H681" s="68">
        <v>0</v>
      </c>
      <c r="I681" s="68">
        <v>0</v>
      </c>
      <c r="J681" s="68">
        <v>0</v>
      </c>
      <c r="K681" s="68">
        <v>0</v>
      </c>
      <c r="L681" s="68">
        <v>1</v>
      </c>
      <c r="M681" s="68">
        <v>0</v>
      </c>
      <c r="N681" s="68">
        <v>0</v>
      </c>
    </row>
    <row r="682" spans="1:14">
      <c r="A682" t="s">
        <v>444</v>
      </c>
      <c r="B682" t="s">
        <v>445</v>
      </c>
      <c r="C682" t="s">
        <v>983</v>
      </c>
      <c r="D682" t="s">
        <v>412</v>
      </c>
      <c r="E682" t="s">
        <v>1020</v>
      </c>
      <c r="F682" t="s">
        <v>536</v>
      </c>
      <c r="G682" s="68">
        <v>0</v>
      </c>
      <c r="H682" s="68">
        <v>0</v>
      </c>
      <c r="I682" s="68">
        <v>0</v>
      </c>
      <c r="J682" s="68">
        <v>0</v>
      </c>
      <c r="K682" s="68">
        <v>0</v>
      </c>
      <c r="L682" s="68">
        <v>0</v>
      </c>
      <c r="M682" s="68">
        <v>1</v>
      </c>
      <c r="N682" s="68">
        <v>0</v>
      </c>
    </row>
    <row r="683" spans="1:14">
      <c r="A683" t="s">
        <v>444</v>
      </c>
      <c r="B683" t="s">
        <v>445</v>
      </c>
      <c r="C683" t="s">
        <v>983</v>
      </c>
      <c r="D683" t="s">
        <v>412</v>
      </c>
      <c r="E683" t="s">
        <v>1021</v>
      </c>
      <c r="F683" t="s">
        <v>472</v>
      </c>
      <c r="G683" s="68">
        <v>0</v>
      </c>
      <c r="H683" s="68">
        <v>1</v>
      </c>
      <c r="I683" s="68">
        <v>0</v>
      </c>
      <c r="J683" s="68">
        <v>0</v>
      </c>
      <c r="K683" s="68">
        <v>0</v>
      </c>
      <c r="L683" s="68">
        <v>0</v>
      </c>
      <c r="M683" s="68">
        <v>0</v>
      </c>
      <c r="N683" s="68">
        <v>0</v>
      </c>
    </row>
    <row r="684" spans="1:14">
      <c r="A684" t="s">
        <v>444</v>
      </c>
      <c r="B684" t="s">
        <v>445</v>
      </c>
      <c r="C684" t="s">
        <v>983</v>
      </c>
      <c r="D684" t="s">
        <v>412</v>
      </c>
      <c r="E684" t="s">
        <v>1022</v>
      </c>
      <c r="F684" t="s">
        <v>657</v>
      </c>
      <c r="G684" s="68">
        <v>1</v>
      </c>
      <c r="H684" s="68">
        <v>1</v>
      </c>
      <c r="I684" s="68">
        <v>1</v>
      </c>
      <c r="J684" s="68">
        <v>0</v>
      </c>
      <c r="K684" s="68">
        <v>0</v>
      </c>
      <c r="L684" s="68">
        <v>0</v>
      </c>
      <c r="M684" s="68">
        <v>0</v>
      </c>
      <c r="N684" s="68">
        <v>0</v>
      </c>
    </row>
    <row r="685" spans="1:14">
      <c r="A685" t="s">
        <v>444</v>
      </c>
      <c r="B685" t="s">
        <v>445</v>
      </c>
      <c r="C685" t="s">
        <v>983</v>
      </c>
      <c r="D685" t="s">
        <v>412</v>
      </c>
      <c r="E685" t="s">
        <v>1023</v>
      </c>
      <c r="F685" t="s">
        <v>472</v>
      </c>
      <c r="G685" s="68">
        <v>0</v>
      </c>
      <c r="H685" s="68">
        <v>0</v>
      </c>
      <c r="I685" s="68">
        <v>1</v>
      </c>
      <c r="J685" s="68">
        <v>0</v>
      </c>
      <c r="K685" s="68">
        <v>0</v>
      </c>
      <c r="L685" s="68">
        <v>0</v>
      </c>
      <c r="M685" s="68">
        <v>0</v>
      </c>
      <c r="N685" s="68">
        <v>0</v>
      </c>
    </row>
    <row r="686" spans="1:14">
      <c r="A686" t="s">
        <v>444</v>
      </c>
      <c r="B686" t="s">
        <v>445</v>
      </c>
      <c r="C686" t="s">
        <v>983</v>
      </c>
      <c r="D686" t="s">
        <v>412</v>
      </c>
      <c r="E686" t="s">
        <v>1024</v>
      </c>
      <c r="F686" t="s">
        <v>472</v>
      </c>
      <c r="G686" s="68">
        <v>2</v>
      </c>
      <c r="H686" s="68">
        <v>1</v>
      </c>
      <c r="I686" s="68">
        <v>0</v>
      </c>
      <c r="J686" s="68">
        <v>0</v>
      </c>
      <c r="K686" s="68">
        <v>0</v>
      </c>
      <c r="L686" s="68">
        <v>0</v>
      </c>
      <c r="M686" s="68">
        <v>0</v>
      </c>
      <c r="N686" s="68">
        <v>0</v>
      </c>
    </row>
    <row r="687" spans="1:14">
      <c r="A687" t="s">
        <v>444</v>
      </c>
      <c r="B687" t="s">
        <v>445</v>
      </c>
      <c r="C687" t="s">
        <v>983</v>
      </c>
      <c r="D687" t="s">
        <v>371</v>
      </c>
      <c r="E687" t="s">
        <v>454</v>
      </c>
      <c r="F687" t="s">
        <v>452</v>
      </c>
      <c r="G687" s="68">
        <v>0</v>
      </c>
      <c r="H687" s="68">
        <v>0</v>
      </c>
      <c r="I687" s="68">
        <v>5</v>
      </c>
      <c r="J687" s="68">
        <v>3</v>
      </c>
      <c r="K687" s="68">
        <v>2</v>
      </c>
      <c r="L687" s="68">
        <v>0</v>
      </c>
      <c r="M687" s="68">
        <v>5</v>
      </c>
      <c r="N687" s="68">
        <v>3</v>
      </c>
    </row>
    <row r="688" spans="1:14">
      <c r="A688" t="s">
        <v>444</v>
      </c>
      <c r="B688" t="s">
        <v>445</v>
      </c>
      <c r="C688" t="s">
        <v>983</v>
      </c>
      <c r="D688" t="s">
        <v>371</v>
      </c>
      <c r="E688" t="s">
        <v>954</v>
      </c>
      <c r="F688" t="s">
        <v>452</v>
      </c>
      <c r="G688" s="68">
        <v>0</v>
      </c>
      <c r="H688" s="68">
        <v>0</v>
      </c>
      <c r="I688" s="68">
        <v>0</v>
      </c>
      <c r="J688" s="68">
        <v>0</v>
      </c>
      <c r="K688" s="68">
        <v>0</v>
      </c>
      <c r="L688" s="68">
        <v>0</v>
      </c>
      <c r="M688" s="68">
        <v>0</v>
      </c>
      <c r="N688" s="68">
        <v>1</v>
      </c>
    </row>
    <row r="689" spans="1:14">
      <c r="A689" t="s">
        <v>444</v>
      </c>
      <c r="B689" t="s">
        <v>445</v>
      </c>
      <c r="C689" t="s">
        <v>983</v>
      </c>
      <c r="D689" t="s">
        <v>371</v>
      </c>
      <c r="E689" t="s">
        <v>1025</v>
      </c>
      <c r="F689" t="s">
        <v>452</v>
      </c>
      <c r="G689" s="68">
        <v>1</v>
      </c>
      <c r="H689" s="68">
        <v>1</v>
      </c>
      <c r="I689" s="68">
        <v>1</v>
      </c>
      <c r="J689" s="68">
        <v>0</v>
      </c>
      <c r="K689" s="68">
        <v>0</v>
      </c>
      <c r="L689" s="68">
        <v>1</v>
      </c>
      <c r="M689" s="68">
        <v>0</v>
      </c>
      <c r="N689" s="68">
        <v>0</v>
      </c>
    </row>
    <row r="690" spans="1:14">
      <c r="A690" t="s">
        <v>444</v>
      </c>
      <c r="B690" t="s">
        <v>445</v>
      </c>
      <c r="C690" t="s">
        <v>983</v>
      </c>
      <c r="D690" t="s">
        <v>371</v>
      </c>
      <c r="E690" t="s">
        <v>534</v>
      </c>
      <c r="F690" t="s">
        <v>452</v>
      </c>
      <c r="G690" s="68">
        <v>4</v>
      </c>
      <c r="H690" s="68">
        <v>0</v>
      </c>
      <c r="I690" s="68">
        <v>0</v>
      </c>
      <c r="J690" s="68">
        <v>0</v>
      </c>
      <c r="K690" s="68">
        <v>0</v>
      </c>
      <c r="L690" s="68">
        <v>0</v>
      </c>
      <c r="M690" s="68">
        <v>0</v>
      </c>
      <c r="N690" s="68">
        <v>0</v>
      </c>
    </row>
    <row r="691" spans="1:14">
      <c r="A691" t="s">
        <v>444</v>
      </c>
      <c r="B691" t="s">
        <v>445</v>
      </c>
      <c r="C691" t="s">
        <v>983</v>
      </c>
      <c r="D691" t="s">
        <v>370</v>
      </c>
      <c r="E691" t="s">
        <v>454</v>
      </c>
      <c r="F691" t="s">
        <v>452</v>
      </c>
      <c r="G691" s="68">
        <v>0</v>
      </c>
      <c r="H691" s="68">
        <v>9</v>
      </c>
      <c r="I691" s="68">
        <v>4</v>
      </c>
      <c r="J691" s="68">
        <v>11</v>
      </c>
      <c r="K691" s="68">
        <v>9</v>
      </c>
      <c r="L691" s="68">
        <v>7</v>
      </c>
      <c r="M691" s="68">
        <v>9</v>
      </c>
      <c r="N691" s="68">
        <v>4</v>
      </c>
    </row>
    <row r="692" spans="1:14">
      <c r="A692" t="s">
        <v>444</v>
      </c>
      <c r="B692" t="s">
        <v>445</v>
      </c>
      <c r="C692" t="s">
        <v>983</v>
      </c>
      <c r="D692" t="s">
        <v>370</v>
      </c>
      <c r="E692" t="s">
        <v>1026</v>
      </c>
      <c r="F692" t="s">
        <v>452</v>
      </c>
      <c r="G692" s="68">
        <v>0</v>
      </c>
      <c r="H692" s="68">
        <v>43</v>
      </c>
      <c r="I692" s="68">
        <v>0</v>
      </c>
      <c r="J692" s="68">
        <v>0</v>
      </c>
      <c r="K692" s="68">
        <v>0</v>
      </c>
      <c r="L692" s="68">
        <v>0</v>
      </c>
      <c r="M692" s="68">
        <v>0</v>
      </c>
      <c r="N692" s="68">
        <v>0</v>
      </c>
    </row>
    <row r="693" spans="1:14">
      <c r="A693" t="s">
        <v>444</v>
      </c>
      <c r="B693" t="s">
        <v>445</v>
      </c>
      <c r="C693" t="s">
        <v>983</v>
      </c>
      <c r="D693" t="s">
        <v>370</v>
      </c>
      <c r="E693" t="s">
        <v>1027</v>
      </c>
      <c r="F693" t="s">
        <v>452</v>
      </c>
      <c r="G693" s="68">
        <v>0</v>
      </c>
      <c r="H693" s="68">
        <v>1</v>
      </c>
      <c r="I693" s="68">
        <v>0</v>
      </c>
      <c r="J693" s="68">
        <v>0</v>
      </c>
      <c r="K693" s="68">
        <v>0</v>
      </c>
      <c r="L693" s="68">
        <v>0</v>
      </c>
      <c r="M693" s="68">
        <v>0</v>
      </c>
      <c r="N693" s="68">
        <v>0</v>
      </c>
    </row>
    <row r="694" spans="1:14">
      <c r="A694" t="s">
        <v>444</v>
      </c>
      <c r="B694" t="s">
        <v>445</v>
      </c>
      <c r="C694" t="s">
        <v>983</v>
      </c>
      <c r="D694" t="s">
        <v>370</v>
      </c>
      <c r="E694" t="s">
        <v>1028</v>
      </c>
      <c r="F694" t="s">
        <v>452</v>
      </c>
      <c r="G694" s="68">
        <v>0</v>
      </c>
      <c r="H694" s="68">
        <v>0</v>
      </c>
      <c r="I694" s="68">
        <v>0</v>
      </c>
      <c r="J694" s="68">
        <v>1</v>
      </c>
      <c r="K694" s="68">
        <v>0</v>
      </c>
      <c r="L694" s="68">
        <v>0</v>
      </c>
      <c r="M694" s="68">
        <v>0</v>
      </c>
      <c r="N694" s="68">
        <v>0</v>
      </c>
    </row>
    <row r="695" spans="1:14">
      <c r="A695" t="s">
        <v>444</v>
      </c>
      <c r="B695" t="s">
        <v>445</v>
      </c>
      <c r="C695" t="s">
        <v>983</v>
      </c>
      <c r="D695" t="s">
        <v>370</v>
      </c>
      <c r="E695" t="s">
        <v>1029</v>
      </c>
      <c r="F695" t="s">
        <v>452</v>
      </c>
      <c r="G695" s="68">
        <v>0</v>
      </c>
      <c r="H695" s="68">
        <v>1</v>
      </c>
      <c r="I695" s="68">
        <v>0</v>
      </c>
      <c r="J695" s="68">
        <v>0</v>
      </c>
      <c r="K695" s="68">
        <v>0</v>
      </c>
      <c r="L695" s="68">
        <v>0</v>
      </c>
      <c r="M695" s="68">
        <v>0</v>
      </c>
      <c r="N695" s="68">
        <v>0</v>
      </c>
    </row>
    <row r="696" spans="1:14">
      <c r="A696" t="s">
        <v>444</v>
      </c>
      <c r="B696" t="s">
        <v>445</v>
      </c>
      <c r="C696" t="s">
        <v>983</v>
      </c>
      <c r="D696" t="s">
        <v>370</v>
      </c>
      <c r="E696" t="s">
        <v>1025</v>
      </c>
      <c r="F696" t="s">
        <v>452</v>
      </c>
      <c r="G696" s="68">
        <v>0</v>
      </c>
      <c r="H696" s="68">
        <v>1</v>
      </c>
      <c r="I696" s="68">
        <v>1</v>
      </c>
      <c r="J696" s="68">
        <v>2</v>
      </c>
      <c r="K696" s="68">
        <v>2</v>
      </c>
      <c r="L696" s="68">
        <v>1</v>
      </c>
      <c r="M696" s="68">
        <v>0</v>
      </c>
      <c r="N696" s="68">
        <v>2</v>
      </c>
    </row>
    <row r="697" spans="1:14">
      <c r="A697" t="s">
        <v>444</v>
      </c>
      <c r="B697" t="s">
        <v>445</v>
      </c>
      <c r="C697" t="s">
        <v>983</v>
      </c>
      <c r="D697" t="s">
        <v>370</v>
      </c>
      <c r="E697" t="s">
        <v>534</v>
      </c>
      <c r="F697" t="s">
        <v>452</v>
      </c>
      <c r="G697" s="68">
        <v>14</v>
      </c>
      <c r="H697" s="68">
        <v>0</v>
      </c>
      <c r="I697" s="68">
        <v>0</v>
      </c>
      <c r="J697" s="68">
        <v>0</v>
      </c>
      <c r="K697" s="68">
        <v>0</v>
      </c>
      <c r="L697" s="68">
        <v>0</v>
      </c>
      <c r="M697" s="68">
        <v>0</v>
      </c>
      <c r="N697" s="68">
        <v>0</v>
      </c>
    </row>
    <row r="698" spans="1:14">
      <c r="A698" t="s">
        <v>444</v>
      </c>
      <c r="B698" t="s">
        <v>445</v>
      </c>
      <c r="C698" t="s">
        <v>983</v>
      </c>
      <c r="D698" t="s">
        <v>370</v>
      </c>
      <c r="E698" t="s">
        <v>1030</v>
      </c>
      <c r="F698" t="s">
        <v>452</v>
      </c>
      <c r="G698" s="68">
        <v>43</v>
      </c>
      <c r="H698" s="68">
        <v>0</v>
      </c>
      <c r="I698" s="68">
        <v>0</v>
      </c>
      <c r="J698" s="68">
        <v>0</v>
      </c>
      <c r="K698" s="68">
        <v>0</v>
      </c>
      <c r="L698" s="68">
        <v>0</v>
      </c>
      <c r="M698" s="68">
        <v>0</v>
      </c>
      <c r="N698" s="68">
        <v>0</v>
      </c>
    </row>
    <row r="699" spans="1:14">
      <c r="A699" t="s">
        <v>444</v>
      </c>
      <c r="B699" t="s">
        <v>445</v>
      </c>
      <c r="C699" t="s">
        <v>983</v>
      </c>
      <c r="D699" t="s">
        <v>370</v>
      </c>
      <c r="E699" t="s">
        <v>1031</v>
      </c>
      <c r="F699" t="s">
        <v>452</v>
      </c>
      <c r="G699" s="68">
        <v>0</v>
      </c>
      <c r="H699" s="68">
        <v>0</v>
      </c>
      <c r="I699" s="68">
        <v>98</v>
      </c>
      <c r="J699" s="68">
        <v>59</v>
      </c>
      <c r="K699" s="68">
        <v>52</v>
      </c>
      <c r="L699" s="68">
        <v>53</v>
      </c>
      <c r="M699" s="68">
        <v>64</v>
      </c>
      <c r="N699" s="68">
        <v>46</v>
      </c>
    </row>
    <row r="700" spans="1:14">
      <c r="A700" t="s">
        <v>444</v>
      </c>
      <c r="B700" t="s">
        <v>445</v>
      </c>
      <c r="C700" t="s">
        <v>983</v>
      </c>
      <c r="D700" t="s">
        <v>369</v>
      </c>
      <c r="E700" t="s">
        <v>454</v>
      </c>
      <c r="F700" t="s">
        <v>452</v>
      </c>
      <c r="G700" s="68">
        <v>0</v>
      </c>
      <c r="H700" s="68">
        <v>0</v>
      </c>
      <c r="I700" s="68">
        <v>0</v>
      </c>
      <c r="J700" s="68">
        <v>0</v>
      </c>
      <c r="K700" s="68">
        <v>0</v>
      </c>
      <c r="L700" s="68">
        <v>1</v>
      </c>
      <c r="M700" s="68">
        <v>0</v>
      </c>
      <c r="N700" s="68">
        <v>0</v>
      </c>
    </row>
    <row r="701" spans="1:14">
      <c r="A701" t="s">
        <v>444</v>
      </c>
      <c r="B701" t="s">
        <v>445</v>
      </c>
      <c r="C701" t="s">
        <v>983</v>
      </c>
      <c r="D701" t="s">
        <v>198</v>
      </c>
      <c r="E701" t="s">
        <v>454</v>
      </c>
      <c r="F701" t="s">
        <v>452</v>
      </c>
      <c r="G701" s="68">
        <v>8</v>
      </c>
      <c r="H701" s="68">
        <v>5</v>
      </c>
      <c r="I701" s="68">
        <v>16</v>
      </c>
      <c r="J701" s="68">
        <v>11</v>
      </c>
      <c r="K701" s="68">
        <v>9</v>
      </c>
      <c r="L701" s="68">
        <v>10</v>
      </c>
      <c r="M701" s="68">
        <v>10</v>
      </c>
      <c r="N701" s="68">
        <v>9</v>
      </c>
    </row>
    <row r="702" spans="1:14">
      <c r="A702" t="s">
        <v>444</v>
      </c>
      <c r="B702" t="s">
        <v>445</v>
      </c>
      <c r="C702" t="s">
        <v>983</v>
      </c>
      <c r="D702" t="s">
        <v>198</v>
      </c>
      <c r="E702" t="s">
        <v>1032</v>
      </c>
      <c r="F702" t="s">
        <v>452</v>
      </c>
      <c r="G702" s="68">
        <v>0</v>
      </c>
      <c r="H702" s="68">
        <v>0</v>
      </c>
      <c r="I702" s="68">
        <v>1</v>
      </c>
      <c r="J702" s="68">
        <v>0</v>
      </c>
      <c r="K702" s="68">
        <v>0</v>
      </c>
      <c r="L702" s="68">
        <v>0</v>
      </c>
      <c r="M702" s="68">
        <v>1</v>
      </c>
      <c r="N702" s="68">
        <v>1</v>
      </c>
    </row>
    <row r="703" spans="1:14">
      <c r="A703" t="s">
        <v>444</v>
      </c>
      <c r="B703" t="s">
        <v>445</v>
      </c>
      <c r="C703" t="s">
        <v>983</v>
      </c>
      <c r="D703" t="s">
        <v>198</v>
      </c>
      <c r="E703" t="s">
        <v>1033</v>
      </c>
      <c r="F703" t="s">
        <v>452</v>
      </c>
      <c r="G703" s="68">
        <v>0</v>
      </c>
      <c r="H703" s="68">
        <v>0</v>
      </c>
      <c r="I703" s="68">
        <v>0</v>
      </c>
      <c r="J703" s="68">
        <v>1</v>
      </c>
      <c r="K703" s="68">
        <v>0</v>
      </c>
      <c r="L703" s="68">
        <v>0</v>
      </c>
      <c r="M703" s="68">
        <v>0</v>
      </c>
      <c r="N703" s="68">
        <v>0</v>
      </c>
    </row>
    <row r="704" spans="1:14">
      <c r="A704" t="s">
        <v>444</v>
      </c>
      <c r="B704" t="s">
        <v>445</v>
      </c>
      <c r="C704" t="s">
        <v>983</v>
      </c>
      <c r="D704" t="s">
        <v>198</v>
      </c>
      <c r="E704" t="s">
        <v>263</v>
      </c>
      <c r="F704" t="s">
        <v>452</v>
      </c>
      <c r="G704" s="68">
        <v>0</v>
      </c>
      <c r="H704" s="68">
        <v>0</v>
      </c>
      <c r="I704" s="68">
        <v>0</v>
      </c>
      <c r="J704" s="68">
        <v>0</v>
      </c>
      <c r="K704" s="68">
        <v>0</v>
      </c>
      <c r="L704" s="68">
        <v>0</v>
      </c>
      <c r="M704" s="68">
        <v>1</v>
      </c>
      <c r="N704" s="68">
        <v>1</v>
      </c>
    </row>
    <row r="705" spans="1:14">
      <c r="A705" t="s">
        <v>444</v>
      </c>
      <c r="B705" t="s">
        <v>445</v>
      </c>
      <c r="C705" t="s">
        <v>983</v>
      </c>
      <c r="D705" t="s">
        <v>198</v>
      </c>
      <c r="E705" t="s">
        <v>462</v>
      </c>
      <c r="F705" t="s">
        <v>452</v>
      </c>
      <c r="G705" s="68">
        <v>2</v>
      </c>
      <c r="H705" s="68">
        <v>0</v>
      </c>
      <c r="I705" s="68">
        <v>0</v>
      </c>
      <c r="J705" s="68">
        <v>1</v>
      </c>
      <c r="K705" s="68">
        <v>1</v>
      </c>
      <c r="L705" s="68">
        <v>0</v>
      </c>
      <c r="M705" s="68">
        <v>0</v>
      </c>
      <c r="N705" s="68">
        <v>0</v>
      </c>
    </row>
    <row r="706" spans="1:14">
      <c r="A706" t="s">
        <v>444</v>
      </c>
      <c r="B706" t="s">
        <v>445</v>
      </c>
      <c r="C706" t="s">
        <v>983</v>
      </c>
      <c r="D706" t="s">
        <v>152</v>
      </c>
      <c r="E706" t="s">
        <v>1034</v>
      </c>
      <c r="F706" t="s">
        <v>449</v>
      </c>
      <c r="G706" s="68">
        <v>0</v>
      </c>
      <c r="H706" s="68">
        <v>0</v>
      </c>
      <c r="I706" s="68">
        <v>0</v>
      </c>
      <c r="J706" s="68">
        <v>8</v>
      </c>
      <c r="K706" s="68">
        <v>2</v>
      </c>
      <c r="L706" s="68">
        <v>4</v>
      </c>
      <c r="M706" s="68">
        <v>1</v>
      </c>
      <c r="N706" s="68">
        <v>0</v>
      </c>
    </row>
    <row r="707" spans="1:14">
      <c r="A707" t="s">
        <v>444</v>
      </c>
      <c r="B707" t="s">
        <v>445</v>
      </c>
      <c r="C707" t="s">
        <v>983</v>
      </c>
      <c r="D707" t="s">
        <v>152</v>
      </c>
      <c r="E707" t="s">
        <v>1035</v>
      </c>
      <c r="F707" t="s">
        <v>449</v>
      </c>
      <c r="G707" s="68">
        <v>0</v>
      </c>
      <c r="H707" s="68">
        <v>0</v>
      </c>
      <c r="I707" s="68">
        <v>0</v>
      </c>
      <c r="J707" s="68">
        <v>1</v>
      </c>
      <c r="K707" s="68">
        <v>1</v>
      </c>
      <c r="L707" s="68">
        <v>0</v>
      </c>
      <c r="M707" s="68">
        <v>1</v>
      </c>
      <c r="N707" s="68">
        <v>0</v>
      </c>
    </row>
    <row r="708" spans="1:14">
      <c r="A708" t="s">
        <v>444</v>
      </c>
      <c r="B708" t="s">
        <v>445</v>
      </c>
      <c r="C708" t="s">
        <v>983</v>
      </c>
      <c r="D708" t="s">
        <v>152</v>
      </c>
      <c r="E708" t="s">
        <v>1036</v>
      </c>
      <c r="F708" t="s">
        <v>449</v>
      </c>
      <c r="G708" s="68">
        <v>0</v>
      </c>
      <c r="H708" s="68">
        <v>3</v>
      </c>
      <c r="I708" s="68">
        <v>0</v>
      </c>
      <c r="J708" s="68">
        <v>0</v>
      </c>
      <c r="K708" s="68">
        <v>0</v>
      </c>
      <c r="L708" s="68">
        <v>0</v>
      </c>
      <c r="M708" s="68">
        <v>0</v>
      </c>
      <c r="N708" s="68">
        <v>0</v>
      </c>
    </row>
    <row r="709" spans="1:14">
      <c r="A709" t="s">
        <v>444</v>
      </c>
      <c r="B709" t="s">
        <v>445</v>
      </c>
      <c r="C709" t="s">
        <v>983</v>
      </c>
      <c r="D709" t="s">
        <v>152</v>
      </c>
      <c r="E709" t="s">
        <v>1037</v>
      </c>
      <c r="F709" t="s">
        <v>449</v>
      </c>
      <c r="G709" s="68">
        <v>10</v>
      </c>
      <c r="H709" s="68">
        <v>10</v>
      </c>
      <c r="I709" s="68">
        <v>18</v>
      </c>
      <c r="J709" s="68">
        <v>14</v>
      </c>
      <c r="K709" s="68">
        <v>9</v>
      </c>
      <c r="L709" s="68">
        <v>9</v>
      </c>
      <c r="M709" s="68">
        <v>7</v>
      </c>
      <c r="N709" s="68">
        <v>8</v>
      </c>
    </row>
    <row r="710" spans="1:14">
      <c r="A710" t="s">
        <v>444</v>
      </c>
      <c r="B710" t="s">
        <v>445</v>
      </c>
      <c r="C710" t="s">
        <v>983</v>
      </c>
      <c r="D710" t="s">
        <v>152</v>
      </c>
      <c r="E710" t="s">
        <v>1038</v>
      </c>
      <c r="F710" t="s">
        <v>449</v>
      </c>
      <c r="G710" s="68">
        <v>4</v>
      </c>
      <c r="H710" s="68">
        <v>8</v>
      </c>
      <c r="I710" s="68">
        <v>4</v>
      </c>
      <c r="J710" s="68">
        <v>0</v>
      </c>
      <c r="K710" s="68">
        <v>0</v>
      </c>
      <c r="L710" s="68">
        <v>0</v>
      </c>
      <c r="M710" s="68">
        <v>0</v>
      </c>
      <c r="N710" s="68">
        <v>2</v>
      </c>
    </row>
    <row r="711" spans="1:14">
      <c r="A711" t="s">
        <v>444</v>
      </c>
      <c r="B711" t="s">
        <v>445</v>
      </c>
      <c r="C711" t="s">
        <v>983</v>
      </c>
      <c r="D711" t="s">
        <v>152</v>
      </c>
      <c r="E711" t="s">
        <v>1039</v>
      </c>
      <c r="F711" t="s">
        <v>449</v>
      </c>
      <c r="G711" s="68">
        <v>0</v>
      </c>
      <c r="H711" s="68">
        <v>0</v>
      </c>
      <c r="I711" s="68">
        <v>0</v>
      </c>
      <c r="J711" s="68">
        <v>0</v>
      </c>
      <c r="K711" s="68">
        <v>0</v>
      </c>
      <c r="L711" s="68">
        <v>1</v>
      </c>
      <c r="M711" s="68">
        <v>0</v>
      </c>
      <c r="N711" s="68">
        <v>1</v>
      </c>
    </row>
    <row r="712" spans="1:14">
      <c r="A712" t="s">
        <v>444</v>
      </c>
      <c r="B712" t="s">
        <v>445</v>
      </c>
      <c r="C712" t="s">
        <v>983</v>
      </c>
      <c r="D712" t="s">
        <v>152</v>
      </c>
      <c r="E712" t="s">
        <v>1040</v>
      </c>
      <c r="F712" t="s">
        <v>449</v>
      </c>
      <c r="G712" s="68">
        <v>0</v>
      </c>
      <c r="H712" s="68">
        <v>0</v>
      </c>
      <c r="I712" s="68">
        <v>0</v>
      </c>
      <c r="J712" s="68">
        <v>0</v>
      </c>
      <c r="K712" s="68">
        <v>0</v>
      </c>
      <c r="L712" s="68">
        <v>0</v>
      </c>
      <c r="M712" s="68">
        <v>1</v>
      </c>
      <c r="N712" s="68">
        <v>0</v>
      </c>
    </row>
    <row r="713" spans="1:14">
      <c r="A713" t="s">
        <v>444</v>
      </c>
      <c r="B713" t="s">
        <v>445</v>
      </c>
      <c r="C713" t="s">
        <v>983</v>
      </c>
      <c r="D713" t="s">
        <v>152</v>
      </c>
      <c r="E713" t="s">
        <v>1041</v>
      </c>
      <c r="F713" t="s">
        <v>449</v>
      </c>
      <c r="G713" s="68">
        <v>0</v>
      </c>
      <c r="H713" s="68">
        <v>1</v>
      </c>
      <c r="I713" s="68">
        <v>2</v>
      </c>
      <c r="J713" s="68">
        <v>0</v>
      </c>
      <c r="K713" s="68">
        <v>0</v>
      </c>
      <c r="L713" s="68">
        <v>0</v>
      </c>
      <c r="M713" s="68">
        <v>0</v>
      </c>
      <c r="N713" s="68">
        <v>1</v>
      </c>
    </row>
    <row r="714" spans="1:14">
      <c r="A714" t="s">
        <v>444</v>
      </c>
      <c r="B714" t="s">
        <v>445</v>
      </c>
      <c r="C714" t="s">
        <v>983</v>
      </c>
      <c r="D714" t="s">
        <v>152</v>
      </c>
      <c r="E714" t="s">
        <v>1042</v>
      </c>
      <c r="F714" t="s">
        <v>472</v>
      </c>
      <c r="G714" s="68">
        <v>0</v>
      </c>
      <c r="H714" s="68">
        <v>0</v>
      </c>
      <c r="I714" s="68">
        <v>3</v>
      </c>
      <c r="J714" s="68">
        <v>3</v>
      </c>
      <c r="K714" s="68">
        <v>1</v>
      </c>
      <c r="L714" s="68">
        <v>0</v>
      </c>
      <c r="M714" s="68">
        <v>0</v>
      </c>
      <c r="N714" s="68">
        <v>2</v>
      </c>
    </row>
    <row r="715" spans="1:14">
      <c r="A715" t="s">
        <v>444</v>
      </c>
      <c r="B715" t="s">
        <v>445</v>
      </c>
      <c r="C715" t="s">
        <v>983</v>
      </c>
      <c r="D715" t="s">
        <v>72</v>
      </c>
      <c r="E715" t="s">
        <v>454</v>
      </c>
      <c r="F715" t="s">
        <v>472</v>
      </c>
      <c r="G715" s="68">
        <v>1</v>
      </c>
      <c r="H715" s="68">
        <v>5</v>
      </c>
      <c r="I715" s="68">
        <v>8</v>
      </c>
      <c r="J715" s="68">
        <v>6</v>
      </c>
      <c r="K715" s="68">
        <v>7</v>
      </c>
      <c r="L715" s="68">
        <v>9</v>
      </c>
      <c r="M715" s="68">
        <v>13</v>
      </c>
      <c r="N715" s="68">
        <v>5</v>
      </c>
    </row>
    <row r="716" spans="1:14">
      <c r="A716" t="s">
        <v>444</v>
      </c>
      <c r="B716" t="s">
        <v>445</v>
      </c>
      <c r="C716" t="s">
        <v>983</v>
      </c>
      <c r="D716" t="s">
        <v>72</v>
      </c>
      <c r="E716" s="70">
        <v>4</v>
      </c>
      <c r="F716" t="s">
        <v>472</v>
      </c>
      <c r="G716" s="68">
        <v>0</v>
      </c>
      <c r="H716" s="68">
        <v>0</v>
      </c>
      <c r="I716" s="68">
        <v>0</v>
      </c>
      <c r="J716" s="68">
        <v>1</v>
      </c>
      <c r="K716" s="68">
        <v>0</v>
      </c>
      <c r="L716" s="68">
        <v>2</v>
      </c>
      <c r="M716" s="68">
        <v>2</v>
      </c>
      <c r="N716" s="68">
        <v>0</v>
      </c>
    </row>
    <row r="717" spans="1:14">
      <c r="A717" t="s">
        <v>444</v>
      </c>
      <c r="B717" t="s">
        <v>445</v>
      </c>
      <c r="C717" t="s">
        <v>983</v>
      </c>
      <c r="D717" t="s">
        <v>72</v>
      </c>
      <c r="E717" t="s">
        <v>1043</v>
      </c>
      <c r="F717" t="s">
        <v>472</v>
      </c>
      <c r="G717" s="68">
        <v>1</v>
      </c>
      <c r="H717" s="68">
        <v>2</v>
      </c>
      <c r="I717" s="68">
        <v>2</v>
      </c>
      <c r="J717" s="68">
        <v>3</v>
      </c>
      <c r="K717" s="68">
        <v>1</v>
      </c>
      <c r="L717" s="68">
        <v>4</v>
      </c>
      <c r="M717" s="68">
        <v>4</v>
      </c>
      <c r="N717" s="68">
        <v>2</v>
      </c>
    </row>
    <row r="718" spans="1:14">
      <c r="A718" t="s">
        <v>444</v>
      </c>
      <c r="B718" t="s">
        <v>445</v>
      </c>
      <c r="C718" t="s">
        <v>983</v>
      </c>
      <c r="D718" t="s">
        <v>72</v>
      </c>
      <c r="E718" t="s">
        <v>1044</v>
      </c>
      <c r="F718" t="s">
        <v>469</v>
      </c>
      <c r="G718" s="68">
        <v>0</v>
      </c>
      <c r="H718" s="68">
        <v>0</v>
      </c>
      <c r="I718" s="68">
        <v>1</v>
      </c>
      <c r="J718" s="68">
        <v>0</v>
      </c>
      <c r="K718" s="68">
        <v>0</v>
      </c>
      <c r="L718" s="68">
        <v>0</v>
      </c>
      <c r="M718" s="68">
        <v>0</v>
      </c>
      <c r="N718" s="68">
        <v>0</v>
      </c>
    </row>
    <row r="719" spans="1:14">
      <c r="A719" t="s">
        <v>444</v>
      </c>
      <c r="B719" t="s">
        <v>445</v>
      </c>
      <c r="C719" t="s">
        <v>983</v>
      </c>
      <c r="D719" t="s">
        <v>72</v>
      </c>
      <c r="E719" t="s">
        <v>1045</v>
      </c>
      <c r="F719" t="s">
        <v>447</v>
      </c>
      <c r="G719" s="68">
        <v>0</v>
      </c>
      <c r="H719" s="68">
        <v>1</v>
      </c>
      <c r="I719" s="68">
        <v>0</v>
      </c>
      <c r="J719" s="68">
        <v>0</v>
      </c>
      <c r="K719" s="68">
        <v>1</v>
      </c>
      <c r="L719" s="68">
        <v>0</v>
      </c>
      <c r="M719" s="68">
        <v>0</v>
      </c>
      <c r="N719" s="68">
        <v>0</v>
      </c>
    </row>
    <row r="720" spans="1:14">
      <c r="A720" t="s">
        <v>444</v>
      </c>
      <c r="B720" t="s">
        <v>445</v>
      </c>
      <c r="C720" t="s">
        <v>983</v>
      </c>
      <c r="D720" t="s">
        <v>72</v>
      </c>
      <c r="E720" t="s">
        <v>1046</v>
      </c>
      <c r="F720" t="s">
        <v>469</v>
      </c>
      <c r="G720" s="68">
        <v>0</v>
      </c>
      <c r="H720" s="68">
        <v>0</v>
      </c>
      <c r="I720" s="68">
        <v>1</v>
      </c>
      <c r="J720" s="68">
        <v>0</v>
      </c>
      <c r="K720" s="68">
        <v>0</v>
      </c>
      <c r="L720" s="68">
        <v>0</v>
      </c>
      <c r="M720" s="68">
        <v>0</v>
      </c>
      <c r="N720" s="68">
        <v>0</v>
      </c>
    </row>
    <row r="721" spans="1:14">
      <c r="A721" t="s">
        <v>444</v>
      </c>
      <c r="B721" t="s">
        <v>445</v>
      </c>
      <c r="C721" t="s">
        <v>983</v>
      </c>
      <c r="D721" t="s">
        <v>72</v>
      </c>
      <c r="E721" t="s">
        <v>1047</v>
      </c>
      <c r="F721" t="s">
        <v>447</v>
      </c>
      <c r="G721" s="68">
        <v>0</v>
      </c>
      <c r="H721" s="68">
        <v>0</v>
      </c>
      <c r="I721" s="68">
        <v>1</v>
      </c>
      <c r="J721" s="68">
        <v>0</v>
      </c>
      <c r="K721" s="68">
        <v>0</v>
      </c>
      <c r="L721" s="68">
        <v>0</v>
      </c>
      <c r="M721" s="68">
        <v>0</v>
      </c>
      <c r="N721" s="68">
        <v>1</v>
      </c>
    </row>
    <row r="722" spans="1:14">
      <c r="A722" t="s">
        <v>444</v>
      </c>
      <c r="B722" t="s">
        <v>445</v>
      </c>
      <c r="C722" t="s">
        <v>983</v>
      </c>
      <c r="D722" t="s">
        <v>72</v>
      </c>
      <c r="E722" t="s">
        <v>1048</v>
      </c>
      <c r="F722" t="s">
        <v>447</v>
      </c>
      <c r="G722" s="68">
        <v>0</v>
      </c>
      <c r="H722" s="68">
        <v>0</v>
      </c>
      <c r="I722" s="68">
        <v>0</v>
      </c>
      <c r="J722" s="68">
        <v>0</v>
      </c>
      <c r="K722" s="68">
        <v>0</v>
      </c>
      <c r="L722" s="68">
        <v>1</v>
      </c>
      <c r="M722" s="68">
        <v>0</v>
      </c>
      <c r="N722" s="68">
        <v>0</v>
      </c>
    </row>
    <row r="723" spans="1:14">
      <c r="A723" t="s">
        <v>444</v>
      </c>
      <c r="B723" t="s">
        <v>445</v>
      </c>
      <c r="C723" t="s">
        <v>983</v>
      </c>
      <c r="D723" t="s">
        <v>72</v>
      </c>
      <c r="E723" t="s">
        <v>1049</v>
      </c>
      <c r="F723" t="s">
        <v>469</v>
      </c>
      <c r="G723" s="68">
        <v>0</v>
      </c>
      <c r="H723" s="68">
        <v>1</v>
      </c>
      <c r="I723" s="68">
        <v>1</v>
      </c>
      <c r="J723" s="68">
        <v>1</v>
      </c>
      <c r="K723" s="68">
        <v>1</v>
      </c>
      <c r="L723" s="68">
        <v>0</v>
      </c>
      <c r="M723" s="68">
        <v>1</v>
      </c>
      <c r="N723" s="68">
        <v>0</v>
      </c>
    </row>
    <row r="724" spans="1:14">
      <c r="A724" t="s">
        <v>444</v>
      </c>
      <c r="B724" t="s">
        <v>445</v>
      </c>
      <c r="C724" t="s">
        <v>983</v>
      </c>
      <c r="D724" t="s">
        <v>72</v>
      </c>
      <c r="E724" t="s">
        <v>1023</v>
      </c>
      <c r="F724" t="s">
        <v>472</v>
      </c>
      <c r="G724" s="68">
        <v>0</v>
      </c>
      <c r="H724" s="68">
        <v>0</v>
      </c>
      <c r="I724" s="68">
        <v>0</v>
      </c>
      <c r="J724" s="68">
        <v>0</v>
      </c>
      <c r="K724" s="68">
        <v>0</v>
      </c>
      <c r="L724" s="68">
        <v>0</v>
      </c>
      <c r="M724" s="68">
        <v>0</v>
      </c>
      <c r="N724" s="68">
        <v>2</v>
      </c>
    </row>
    <row r="725" spans="1:14">
      <c r="A725" t="s">
        <v>444</v>
      </c>
      <c r="B725" t="s">
        <v>445</v>
      </c>
      <c r="C725" t="s">
        <v>1050</v>
      </c>
      <c r="D725" t="s">
        <v>146</v>
      </c>
      <c r="E725" t="s">
        <v>454</v>
      </c>
      <c r="F725" t="s">
        <v>447</v>
      </c>
      <c r="G725" s="68">
        <v>0</v>
      </c>
      <c r="H725" s="68">
        <v>0</v>
      </c>
      <c r="I725" s="68">
        <v>1</v>
      </c>
      <c r="J725" s="68">
        <v>0</v>
      </c>
      <c r="K725" s="68">
        <v>0</v>
      </c>
      <c r="L725" s="68">
        <v>0</v>
      </c>
      <c r="M725" s="68">
        <v>0</v>
      </c>
      <c r="N725" s="68">
        <v>0</v>
      </c>
    </row>
    <row r="726" spans="1:14">
      <c r="A726" t="s">
        <v>444</v>
      </c>
      <c r="B726" t="s">
        <v>445</v>
      </c>
      <c r="C726" t="s">
        <v>1051</v>
      </c>
      <c r="D726" t="s">
        <v>345</v>
      </c>
      <c r="E726" t="s">
        <v>1052</v>
      </c>
      <c r="F726" t="s">
        <v>452</v>
      </c>
      <c r="G726" s="68">
        <v>0</v>
      </c>
      <c r="H726" s="68">
        <v>0</v>
      </c>
      <c r="I726" s="68">
        <v>0</v>
      </c>
      <c r="J726" s="68">
        <v>0</v>
      </c>
      <c r="K726" s="68">
        <v>0</v>
      </c>
      <c r="L726" s="68">
        <v>1</v>
      </c>
      <c r="M726" s="68">
        <v>0</v>
      </c>
      <c r="N726" s="68">
        <v>0</v>
      </c>
    </row>
    <row r="727" spans="1:14">
      <c r="A727" t="s">
        <v>444</v>
      </c>
      <c r="B727" t="s">
        <v>445</v>
      </c>
      <c r="C727" t="s">
        <v>1051</v>
      </c>
      <c r="D727" t="s">
        <v>280</v>
      </c>
      <c r="E727" t="s">
        <v>454</v>
      </c>
      <c r="F727" t="s">
        <v>447</v>
      </c>
      <c r="G727" s="68">
        <v>0</v>
      </c>
      <c r="H727" s="68">
        <v>0</v>
      </c>
      <c r="I727" s="68">
        <v>1</v>
      </c>
      <c r="J727" s="68">
        <v>0</v>
      </c>
      <c r="K727" s="68">
        <v>0</v>
      </c>
      <c r="L727" s="68">
        <v>0</v>
      </c>
      <c r="M727" s="68">
        <v>2</v>
      </c>
      <c r="N727" s="68">
        <v>1</v>
      </c>
    </row>
    <row r="728" spans="1:14">
      <c r="A728" t="s">
        <v>444</v>
      </c>
      <c r="B728" t="s">
        <v>445</v>
      </c>
      <c r="C728" t="s">
        <v>1051</v>
      </c>
      <c r="D728" t="s">
        <v>280</v>
      </c>
      <c r="E728" t="s">
        <v>1053</v>
      </c>
      <c r="F728" t="s">
        <v>447</v>
      </c>
      <c r="G728" s="68">
        <v>1</v>
      </c>
      <c r="H728" s="68">
        <v>1</v>
      </c>
      <c r="I728" s="68">
        <v>2</v>
      </c>
      <c r="J728" s="68">
        <v>1</v>
      </c>
      <c r="K728" s="68">
        <v>0</v>
      </c>
      <c r="L728" s="68">
        <v>0</v>
      </c>
      <c r="M728" s="68">
        <v>0</v>
      </c>
      <c r="N728" s="68">
        <v>0</v>
      </c>
    </row>
    <row r="729" spans="1:14">
      <c r="A729" t="s">
        <v>444</v>
      </c>
      <c r="B729" t="s">
        <v>445</v>
      </c>
      <c r="C729" t="s">
        <v>1051</v>
      </c>
      <c r="D729" t="s">
        <v>151</v>
      </c>
      <c r="E729" t="s">
        <v>454</v>
      </c>
      <c r="F729" t="s">
        <v>447</v>
      </c>
      <c r="G729" s="68">
        <v>0</v>
      </c>
      <c r="H729" s="68">
        <v>0</v>
      </c>
      <c r="I729" s="68">
        <v>0</v>
      </c>
      <c r="J729" s="68">
        <v>0</v>
      </c>
      <c r="K729" s="68">
        <v>1</v>
      </c>
      <c r="L729" s="68">
        <v>0</v>
      </c>
      <c r="M729" s="68">
        <v>0</v>
      </c>
      <c r="N729" s="68">
        <v>0</v>
      </c>
    </row>
    <row r="730" spans="1:14">
      <c r="A730" t="s">
        <v>444</v>
      </c>
      <c r="B730" t="s">
        <v>445</v>
      </c>
      <c r="C730" t="s">
        <v>1051</v>
      </c>
      <c r="D730" t="s">
        <v>151</v>
      </c>
      <c r="E730" t="s">
        <v>1053</v>
      </c>
      <c r="F730" t="s">
        <v>447</v>
      </c>
      <c r="G730" s="68">
        <v>0</v>
      </c>
      <c r="H730" s="68">
        <v>0</v>
      </c>
      <c r="I730" s="68">
        <v>1</v>
      </c>
      <c r="J730" s="68">
        <v>0</v>
      </c>
      <c r="K730" s="68">
        <v>0</v>
      </c>
      <c r="L730" s="68">
        <v>0</v>
      </c>
      <c r="M730" s="68">
        <v>0</v>
      </c>
      <c r="N730" s="68">
        <v>0</v>
      </c>
    </row>
    <row r="731" spans="1:14">
      <c r="A731" t="s">
        <v>444</v>
      </c>
      <c r="B731" t="s">
        <v>445</v>
      </c>
      <c r="C731" t="s">
        <v>1051</v>
      </c>
      <c r="D731" t="s">
        <v>88</v>
      </c>
      <c r="E731" t="s">
        <v>454</v>
      </c>
      <c r="F731" t="s">
        <v>459</v>
      </c>
      <c r="G731" s="68">
        <v>1</v>
      </c>
      <c r="H731" s="68">
        <v>0</v>
      </c>
      <c r="I731" s="68">
        <v>0</v>
      </c>
      <c r="J731" s="68">
        <v>0</v>
      </c>
      <c r="K731" s="68">
        <v>2</v>
      </c>
      <c r="L731" s="68">
        <v>0</v>
      </c>
      <c r="M731" s="68">
        <v>0</v>
      </c>
      <c r="N731" s="68">
        <v>1</v>
      </c>
    </row>
    <row r="732" spans="1:14">
      <c r="A732" t="s">
        <v>444</v>
      </c>
      <c r="B732" t="s">
        <v>445</v>
      </c>
      <c r="C732" t="s">
        <v>1051</v>
      </c>
      <c r="D732" t="s">
        <v>88</v>
      </c>
      <c r="E732" t="s">
        <v>1054</v>
      </c>
      <c r="F732" t="s">
        <v>459</v>
      </c>
      <c r="G732" s="68">
        <v>0</v>
      </c>
      <c r="H732" s="68">
        <v>0</v>
      </c>
      <c r="I732" s="68">
        <v>1</v>
      </c>
      <c r="J732" s="68">
        <v>0</v>
      </c>
      <c r="K732" s="68">
        <v>0</v>
      </c>
      <c r="L732" s="68">
        <v>0</v>
      </c>
      <c r="M732" s="68">
        <v>0</v>
      </c>
      <c r="N732" s="68">
        <v>0</v>
      </c>
    </row>
    <row r="733" spans="1:14">
      <c r="A733" t="s">
        <v>444</v>
      </c>
      <c r="B733" t="s">
        <v>445</v>
      </c>
      <c r="C733" t="s">
        <v>1055</v>
      </c>
      <c r="D733" t="s">
        <v>288</v>
      </c>
      <c r="E733" t="s">
        <v>1056</v>
      </c>
      <c r="F733" t="s">
        <v>1057</v>
      </c>
      <c r="G733" s="68">
        <v>0</v>
      </c>
      <c r="H733" s="68">
        <v>0</v>
      </c>
      <c r="I733" s="68">
        <v>0</v>
      </c>
      <c r="J733" s="68">
        <v>0</v>
      </c>
      <c r="K733" s="68">
        <v>0</v>
      </c>
      <c r="L733" s="68">
        <v>0</v>
      </c>
      <c r="M733" s="68">
        <v>0</v>
      </c>
      <c r="N733" s="68">
        <v>1</v>
      </c>
    </row>
    <row r="734" spans="1:14">
      <c r="A734" t="s">
        <v>444</v>
      </c>
      <c r="B734" t="s">
        <v>445</v>
      </c>
      <c r="C734" t="s">
        <v>1058</v>
      </c>
      <c r="D734" t="s">
        <v>384</v>
      </c>
      <c r="E734" t="s">
        <v>454</v>
      </c>
      <c r="F734" t="s">
        <v>459</v>
      </c>
      <c r="G734" s="68">
        <v>0</v>
      </c>
      <c r="H734" s="68">
        <v>0</v>
      </c>
      <c r="I734" s="68">
        <v>0</v>
      </c>
      <c r="J734" s="68">
        <v>0</v>
      </c>
      <c r="K734" s="68">
        <v>0</v>
      </c>
      <c r="L734" s="68">
        <v>2</v>
      </c>
      <c r="M734" s="68">
        <v>0</v>
      </c>
      <c r="N734" s="68">
        <v>0</v>
      </c>
    </row>
    <row r="735" spans="1:14">
      <c r="A735" t="s">
        <v>444</v>
      </c>
      <c r="B735" t="s">
        <v>445</v>
      </c>
      <c r="C735" t="s">
        <v>1058</v>
      </c>
      <c r="D735" t="s">
        <v>384</v>
      </c>
      <c r="E735" s="69">
        <v>2</v>
      </c>
      <c r="F735" t="s">
        <v>459</v>
      </c>
      <c r="G735" s="68">
        <v>0</v>
      </c>
      <c r="H735" s="68">
        <v>0</v>
      </c>
      <c r="I735" s="68">
        <v>0</v>
      </c>
      <c r="J735" s="68">
        <v>0</v>
      </c>
      <c r="K735" s="68">
        <v>0</v>
      </c>
      <c r="L735" s="68">
        <v>1</v>
      </c>
      <c r="M735" s="68">
        <v>0</v>
      </c>
      <c r="N735" s="68">
        <v>0</v>
      </c>
    </row>
    <row r="736" spans="1:14">
      <c r="A736" t="s">
        <v>444</v>
      </c>
      <c r="B736" t="s">
        <v>445</v>
      </c>
      <c r="C736" t="s">
        <v>1058</v>
      </c>
      <c r="D736" t="s">
        <v>384</v>
      </c>
      <c r="E736" t="s">
        <v>1059</v>
      </c>
      <c r="F736" t="s">
        <v>459</v>
      </c>
      <c r="G736" s="68">
        <v>1</v>
      </c>
      <c r="H736" s="68">
        <v>0</v>
      </c>
      <c r="I736" s="68">
        <v>0</v>
      </c>
      <c r="J736" s="68">
        <v>0</v>
      </c>
      <c r="K736" s="68">
        <v>0</v>
      </c>
      <c r="L736" s="68">
        <v>0</v>
      </c>
      <c r="M736" s="68">
        <v>0</v>
      </c>
      <c r="N736" s="68">
        <v>0</v>
      </c>
    </row>
    <row r="737" spans="1:14">
      <c r="A737" t="s">
        <v>444</v>
      </c>
      <c r="B737" t="s">
        <v>445</v>
      </c>
      <c r="C737" t="s">
        <v>1058</v>
      </c>
      <c r="D737" t="s">
        <v>384</v>
      </c>
      <c r="E737" t="s">
        <v>1060</v>
      </c>
      <c r="F737" t="s">
        <v>459</v>
      </c>
      <c r="G737" s="68">
        <v>0</v>
      </c>
      <c r="H737" s="68">
        <v>2</v>
      </c>
      <c r="I737" s="68">
        <v>0</v>
      </c>
      <c r="J737" s="68">
        <v>2</v>
      </c>
      <c r="K737" s="68">
        <v>2</v>
      </c>
      <c r="L737" s="68">
        <v>0</v>
      </c>
      <c r="M737" s="68">
        <v>1</v>
      </c>
      <c r="N737" s="68">
        <v>0</v>
      </c>
    </row>
    <row r="738" spans="1:14">
      <c r="A738" t="s">
        <v>444</v>
      </c>
      <c r="B738" t="s">
        <v>445</v>
      </c>
      <c r="C738" t="s">
        <v>1058</v>
      </c>
      <c r="D738" t="s">
        <v>384</v>
      </c>
      <c r="E738" t="s">
        <v>1061</v>
      </c>
      <c r="F738" t="s">
        <v>459</v>
      </c>
      <c r="G738" s="68">
        <v>0</v>
      </c>
      <c r="H738" s="68">
        <v>1</v>
      </c>
      <c r="I738" s="68">
        <v>0</v>
      </c>
      <c r="J738" s="68">
        <v>0</v>
      </c>
      <c r="K738" s="68">
        <v>0</v>
      </c>
      <c r="L738" s="68">
        <v>0</v>
      </c>
      <c r="M738" s="68">
        <v>0</v>
      </c>
      <c r="N738" s="68">
        <v>0</v>
      </c>
    </row>
    <row r="739" spans="1:14">
      <c r="A739" t="s">
        <v>444</v>
      </c>
      <c r="B739" t="s">
        <v>445</v>
      </c>
      <c r="C739" t="s">
        <v>1058</v>
      </c>
      <c r="D739" t="s">
        <v>384</v>
      </c>
      <c r="E739" t="s">
        <v>1062</v>
      </c>
      <c r="F739" t="s">
        <v>459</v>
      </c>
      <c r="G739" s="68">
        <v>0</v>
      </c>
      <c r="H739" s="68">
        <v>0</v>
      </c>
      <c r="I739" s="68">
        <v>0</v>
      </c>
      <c r="J739" s="68">
        <v>1</v>
      </c>
      <c r="K739" s="68">
        <v>0</v>
      </c>
      <c r="L739" s="68">
        <v>0</v>
      </c>
      <c r="M739" s="68">
        <v>0</v>
      </c>
      <c r="N739" s="68">
        <v>0</v>
      </c>
    </row>
    <row r="740" spans="1:14">
      <c r="A740" t="s">
        <v>444</v>
      </c>
      <c r="B740" t="s">
        <v>445</v>
      </c>
      <c r="C740" t="s">
        <v>1058</v>
      </c>
      <c r="D740" t="s">
        <v>291</v>
      </c>
      <c r="E740" t="s">
        <v>1063</v>
      </c>
      <c r="F740" t="s">
        <v>452</v>
      </c>
      <c r="G740" s="68">
        <v>4</v>
      </c>
      <c r="H740" s="68">
        <v>0</v>
      </c>
      <c r="I740" s="68">
        <v>0</v>
      </c>
      <c r="J740" s="68">
        <v>0</v>
      </c>
      <c r="K740" s="68">
        <v>0</v>
      </c>
      <c r="L740" s="68">
        <v>0</v>
      </c>
      <c r="M740" s="68">
        <v>0</v>
      </c>
      <c r="N740" s="68">
        <v>0</v>
      </c>
    </row>
    <row r="741" spans="1:14">
      <c r="A741" t="s">
        <v>444</v>
      </c>
      <c r="B741" t="s">
        <v>445</v>
      </c>
      <c r="C741" t="s">
        <v>1058</v>
      </c>
      <c r="D741" t="s">
        <v>291</v>
      </c>
      <c r="E741" t="s">
        <v>1064</v>
      </c>
      <c r="F741" t="s">
        <v>452</v>
      </c>
      <c r="G741" s="68">
        <v>0</v>
      </c>
      <c r="H741" s="68">
        <v>7</v>
      </c>
      <c r="I741" s="68">
        <v>5</v>
      </c>
      <c r="J741" s="68">
        <v>5</v>
      </c>
      <c r="K741" s="68">
        <v>2</v>
      </c>
      <c r="L741" s="68">
        <v>3</v>
      </c>
      <c r="M741" s="68">
        <v>2</v>
      </c>
      <c r="N741" s="68">
        <v>1</v>
      </c>
    </row>
    <row r="742" spans="1:14">
      <c r="A742" t="s">
        <v>444</v>
      </c>
      <c r="B742" t="s">
        <v>445</v>
      </c>
      <c r="C742" t="s">
        <v>1058</v>
      </c>
      <c r="D742" t="s">
        <v>291</v>
      </c>
      <c r="E742" t="s">
        <v>1065</v>
      </c>
      <c r="F742" t="s">
        <v>452</v>
      </c>
      <c r="G742" s="68">
        <v>6</v>
      </c>
      <c r="H742" s="68">
        <v>0</v>
      </c>
      <c r="I742" s="68">
        <v>0</v>
      </c>
      <c r="J742" s="68">
        <v>0</v>
      </c>
      <c r="K742" s="68">
        <v>0</v>
      </c>
      <c r="L742" s="68">
        <v>0</v>
      </c>
      <c r="M742" s="68">
        <v>0</v>
      </c>
      <c r="N742" s="68">
        <v>0</v>
      </c>
    </row>
    <row r="743" spans="1:14">
      <c r="A743" t="s">
        <v>444</v>
      </c>
      <c r="B743" t="s">
        <v>445</v>
      </c>
      <c r="C743" t="s">
        <v>1058</v>
      </c>
      <c r="D743" t="s">
        <v>291</v>
      </c>
      <c r="E743" t="s">
        <v>1066</v>
      </c>
      <c r="F743" t="s">
        <v>452</v>
      </c>
      <c r="G743" s="68">
        <v>0</v>
      </c>
      <c r="H743" s="68">
        <v>10</v>
      </c>
      <c r="I743" s="68">
        <v>6</v>
      </c>
      <c r="J743" s="68">
        <v>7</v>
      </c>
      <c r="K743" s="68">
        <v>3</v>
      </c>
      <c r="L743" s="68">
        <v>0</v>
      </c>
      <c r="M743" s="68">
        <v>2</v>
      </c>
      <c r="N743" s="68">
        <v>2</v>
      </c>
    </row>
    <row r="744" spans="1:14">
      <c r="A744" t="s">
        <v>444</v>
      </c>
      <c r="B744" t="s">
        <v>445</v>
      </c>
      <c r="C744" t="s">
        <v>1058</v>
      </c>
      <c r="D744" t="s">
        <v>291</v>
      </c>
      <c r="E744" t="s">
        <v>1067</v>
      </c>
      <c r="F744" t="s">
        <v>452</v>
      </c>
      <c r="G744" s="68">
        <v>2</v>
      </c>
      <c r="H744" s="68">
        <v>3</v>
      </c>
      <c r="I744" s="68">
        <v>1</v>
      </c>
      <c r="J744" s="68">
        <v>5</v>
      </c>
      <c r="K744" s="68">
        <v>3</v>
      </c>
      <c r="L744" s="68">
        <v>1</v>
      </c>
      <c r="M744" s="68">
        <v>5</v>
      </c>
      <c r="N744" s="68">
        <v>7</v>
      </c>
    </row>
    <row r="745" spans="1:14">
      <c r="A745" t="s">
        <v>444</v>
      </c>
      <c r="B745" t="s">
        <v>445</v>
      </c>
      <c r="C745" t="s">
        <v>1058</v>
      </c>
      <c r="D745" t="s">
        <v>158</v>
      </c>
      <c r="E745" t="s">
        <v>454</v>
      </c>
      <c r="F745" t="s">
        <v>472</v>
      </c>
      <c r="G745" s="68">
        <v>0</v>
      </c>
      <c r="H745" s="68">
        <v>1</v>
      </c>
      <c r="I745" s="68">
        <v>0</v>
      </c>
      <c r="J745" s="68">
        <v>0</v>
      </c>
      <c r="K745" s="68">
        <v>0</v>
      </c>
      <c r="L745" s="68">
        <v>0</v>
      </c>
      <c r="M745" s="68">
        <v>0</v>
      </c>
      <c r="N745" s="68">
        <v>0</v>
      </c>
    </row>
    <row r="746" spans="1:14">
      <c r="A746" t="s">
        <v>444</v>
      </c>
      <c r="B746" t="s">
        <v>445</v>
      </c>
      <c r="C746" t="s">
        <v>1058</v>
      </c>
      <c r="D746" t="s">
        <v>157</v>
      </c>
      <c r="E746" t="s">
        <v>1068</v>
      </c>
      <c r="F746" t="s">
        <v>469</v>
      </c>
      <c r="G746" s="68">
        <v>1</v>
      </c>
      <c r="H746" s="68">
        <v>1</v>
      </c>
      <c r="I746" s="68">
        <v>2</v>
      </c>
      <c r="J746" s="68">
        <v>0</v>
      </c>
      <c r="K746" s="68">
        <v>1</v>
      </c>
      <c r="L746" s="68">
        <v>1</v>
      </c>
      <c r="M746" s="68">
        <v>0</v>
      </c>
      <c r="N746" s="68">
        <v>0</v>
      </c>
    </row>
    <row r="747" spans="1:14">
      <c r="A747" t="s">
        <v>444</v>
      </c>
      <c r="B747" t="s">
        <v>445</v>
      </c>
      <c r="C747" t="s">
        <v>1058</v>
      </c>
      <c r="D747" t="s">
        <v>38</v>
      </c>
      <c r="E747" t="s">
        <v>454</v>
      </c>
      <c r="F747" t="s">
        <v>472</v>
      </c>
      <c r="G747" s="68">
        <v>0</v>
      </c>
      <c r="H747" s="68">
        <v>0</v>
      </c>
      <c r="I747" s="68">
        <v>0</v>
      </c>
      <c r="J747" s="68">
        <v>0</v>
      </c>
      <c r="K747" s="68">
        <v>0</v>
      </c>
      <c r="L747" s="68">
        <v>3</v>
      </c>
      <c r="M747" s="68">
        <v>1</v>
      </c>
      <c r="N747" s="68">
        <v>0</v>
      </c>
    </row>
    <row r="748" spans="1:14">
      <c r="A748" t="s">
        <v>444</v>
      </c>
      <c r="B748" t="s">
        <v>445</v>
      </c>
      <c r="C748" t="s">
        <v>1058</v>
      </c>
      <c r="D748" t="s">
        <v>38</v>
      </c>
      <c r="E748" t="s">
        <v>1069</v>
      </c>
      <c r="F748" t="s">
        <v>472</v>
      </c>
      <c r="G748" s="68">
        <v>0</v>
      </c>
      <c r="H748" s="68">
        <v>0</v>
      </c>
      <c r="I748" s="68">
        <v>0</v>
      </c>
      <c r="J748" s="68">
        <v>0</v>
      </c>
      <c r="K748" s="68">
        <v>0</v>
      </c>
      <c r="L748" s="68">
        <v>0</v>
      </c>
      <c r="M748" s="68">
        <v>0</v>
      </c>
      <c r="N748" s="68">
        <v>1</v>
      </c>
    </row>
    <row r="749" spans="1:14">
      <c r="A749" t="s">
        <v>444</v>
      </c>
      <c r="B749" t="s">
        <v>445</v>
      </c>
      <c r="C749" t="s">
        <v>1058</v>
      </c>
      <c r="D749" t="s">
        <v>38</v>
      </c>
      <c r="E749" t="s">
        <v>1070</v>
      </c>
      <c r="F749" t="s">
        <v>447</v>
      </c>
      <c r="G749" s="68">
        <v>0</v>
      </c>
      <c r="H749" s="68">
        <v>0</v>
      </c>
      <c r="I749" s="68">
        <v>0</v>
      </c>
      <c r="J749" s="68">
        <v>0</v>
      </c>
      <c r="K749" s="68">
        <v>0</v>
      </c>
      <c r="L749" s="68">
        <v>0</v>
      </c>
      <c r="M749" s="68">
        <v>1</v>
      </c>
      <c r="N749" s="68">
        <v>0</v>
      </c>
    </row>
    <row r="750" spans="1:14">
      <c r="A750" t="s">
        <v>444</v>
      </c>
      <c r="B750" t="s">
        <v>445</v>
      </c>
      <c r="C750" t="s">
        <v>1058</v>
      </c>
      <c r="D750" t="s">
        <v>38</v>
      </c>
      <c r="E750" t="s">
        <v>1071</v>
      </c>
      <c r="F750" t="s">
        <v>469</v>
      </c>
      <c r="G750" s="68">
        <v>1</v>
      </c>
      <c r="H750" s="68">
        <v>0</v>
      </c>
      <c r="I750" s="68">
        <v>1</v>
      </c>
      <c r="J750" s="68">
        <v>0</v>
      </c>
      <c r="K750" s="68">
        <v>0</v>
      </c>
      <c r="L750" s="68">
        <v>0</v>
      </c>
      <c r="M750" s="68">
        <v>0</v>
      </c>
      <c r="N750" s="68">
        <v>0</v>
      </c>
    </row>
    <row r="751" spans="1:14">
      <c r="A751" t="s">
        <v>444</v>
      </c>
      <c r="B751" t="s">
        <v>445</v>
      </c>
      <c r="C751" t="s">
        <v>1058</v>
      </c>
      <c r="D751" t="s">
        <v>20</v>
      </c>
      <c r="E751" t="s">
        <v>1072</v>
      </c>
      <c r="F751" t="s">
        <v>452</v>
      </c>
      <c r="G751" s="68">
        <v>7</v>
      </c>
      <c r="H751" s="68">
        <v>0</v>
      </c>
      <c r="I751" s="68">
        <v>0</v>
      </c>
      <c r="J751" s="68">
        <v>0</v>
      </c>
      <c r="K751" s="68">
        <v>0</v>
      </c>
      <c r="L751" s="68">
        <v>0</v>
      </c>
      <c r="M751" s="68">
        <v>1</v>
      </c>
      <c r="N751" s="68">
        <v>0</v>
      </c>
    </row>
    <row r="752" spans="1:14">
      <c r="A752" t="s">
        <v>444</v>
      </c>
      <c r="B752" t="s">
        <v>445</v>
      </c>
      <c r="C752" t="s">
        <v>1058</v>
      </c>
      <c r="D752" t="s">
        <v>20</v>
      </c>
      <c r="E752" t="s">
        <v>1073</v>
      </c>
      <c r="F752" t="s">
        <v>452</v>
      </c>
      <c r="G752" s="68">
        <v>0</v>
      </c>
      <c r="H752" s="68">
        <v>34</v>
      </c>
      <c r="I752" s="68">
        <v>20</v>
      </c>
      <c r="J752" s="68">
        <v>17</v>
      </c>
      <c r="K752" s="68">
        <v>6</v>
      </c>
      <c r="L752" s="68">
        <v>5</v>
      </c>
      <c r="M752" s="68">
        <v>2</v>
      </c>
      <c r="N752" s="68">
        <v>0</v>
      </c>
    </row>
    <row r="753" spans="1:14">
      <c r="A753" t="s">
        <v>444</v>
      </c>
      <c r="B753" t="s">
        <v>445</v>
      </c>
      <c r="C753" t="s">
        <v>1074</v>
      </c>
      <c r="D753" t="s">
        <v>367</v>
      </c>
      <c r="E753" t="s">
        <v>454</v>
      </c>
      <c r="F753" t="s">
        <v>449</v>
      </c>
      <c r="G753" s="68">
        <v>3</v>
      </c>
      <c r="H753" s="68">
        <v>0</v>
      </c>
      <c r="I753" s="68">
        <v>0</v>
      </c>
      <c r="J753" s="68">
        <v>0</v>
      </c>
      <c r="K753" s="68">
        <v>0</v>
      </c>
      <c r="L753" s="68">
        <v>0</v>
      </c>
      <c r="M753" s="68">
        <v>0</v>
      </c>
      <c r="N753" s="68">
        <v>0</v>
      </c>
    </row>
    <row r="754" spans="1:14">
      <c r="A754" t="s">
        <v>444</v>
      </c>
      <c r="B754" t="s">
        <v>445</v>
      </c>
      <c r="C754" t="s">
        <v>1074</v>
      </c>
      <c r="D754" t="s">
        <v>367</v>
      </c>
      <c r="E754" t="s">
        <v>1075</v>
      </c>
      <c r="F754" t="s">
        <v>449</v>
      </c>
      <c r="G754" s="68">
        <v>9</v>
      </c>
      <c r="H754" s="68">
        <v>15</v>
      </c>
      <c r="I754" s="68">
        <v>9</v>
      </c>
      <c r="J754" s="68">
        <v>5</v>
      </c>
      <c r="K754" s="68">
        <v>4</v>
      </c>
      <c r="L754" s="68">
        <v>4</v>
      </c>
      <c r="M754" s="68">
        <v>2</v>
      </c>
      <c r="N754" s="68">
        <v>2</v>
      </c>
    </row>
    <row r="755" spans="1:14">
      <c r="A755" t="s">
        <v>444</v>
      </c>
      <c r="B755" t="s">
        <v>445</v>
      </c>
      <c r="C755" t="s">
        <v>1074</v>
      </c>
      <c r="D755" t="s">
        <v>367</v>
      </c>
      <c r="E755" t="s">
        <v>1076</v>
      </c>
      <c r="F755" t="s">
        <v>449</v>
      </c>
      <c r="G755" s="68">
        <v>0</v>
      </c>
      <c r="H755" s="68">
        <v>0</v>
      </c>
      <c r="I755" s="68">
        <v>0</v>
      </c>
      <c r="J755" s="68">
        <v>0</v>
      </c>
      <c r="K755" s="68">
        <v>1</v>
      </c>
      <c r="L755" s="68">
        <v>1</v>
      </c>
      <c r="M755" s="68">
        <v>1</v>
      </c>
      <c r="N755" s="68">
        <v>1</v>
      </c>
    </row>
    <row r="756" spans="1:14">
      <c r="A756" t="s">
        <v>444</v>
      </c>
      <c r="B756" t="s">
        <v>445</v>
      </c>
      <c r="C756" t="s">
        <v>1074</v>
      </c>
      <c r="D756" t="s">
        <v>367</v>
      </c>
      <c r="E756" t="s">
        <v>1077</v>
      </c>
      <c r="F756" t="s">
        <v>449</v>
      </c>
      <c r="G756" s="68">
        <v>27</v>
      </c>
      <c r="H756" s="68">
        <v>24</v>
      </c>
      <c r="I756" s="68">
        <v>22</v>
      </c>
      <c r="J756" s="68">
        <v>17</v>
      </c>
      <c r="K756" s="68">
        <v>12</v>
      </c>
      <c r="L756" s="68">
        <v>4</v>
      </c>
      <c r="M756" s="68">
        <v>3</v>
      </c>
      <c r="N756" s="68">
        <v>2</v>
      </c>
    </row>
    <row r="757" spans="1:14">
      <c r="A757" t="s">
        <v>444</v>
      </c>
      <c r="B757" t="s">
        <v>445</v>
      </c>
      <c r="C757" t="s">
        <v>1074</v>
      </c>
      <c r="D757" t="s">
        <v>367</v>
      </c>
      <c r="E757" t="s">
        <v>1078</v>
      </c>
      <c r="F757" t="s">
        <v>449</v>
      </c>
      <c r="G757" s="68">
        <v>0</v>
      </c>
      <c r="H757" s="68">
        <v>12</v>
      </c>
      <c r="I757" s="68">
        <v>6</v>
      </c>
      <c r="J757" s="68">
        <v>9</v>
      </c>
      <c r="K757" s="68">
        <v>4</v>
      </c>
      <c r="L757" s="68">
        <v>4</v>
      </c>
      <c r="M757" s="68">
        <v>0</v>
      </c>
      <c r="N757" s="68">
        <v>2</v>
      </c>
    </row>
    <row r="758" spans="1:14">
      <c r="A758" t="s">
        <v>444</v>
      </c>
      <c r="B758" t="s">
        <v>445</v>
      </c>
      <c r="C758" t="s">
        <v>1074</v>
      </c>
      <c r="D758" t="s">
        <v>367</v>
      </c>
      <c r="E758" t="s">
        <v>1079</v>
      </c>
      <c r="F758" t="s">
        <v>449</v>
      </c>
      <c r="G758" s="68">
        <v>0</v>
      </c>
      <c r="H758" s="68">
        <v>0</v>
      </c>
      <c r="I758" s="68">
        <v>0</v>
      </c>
      <c r="J758" s="68">
        <v>0</v>
      </c>
      <c r="K758" s="68">
        <v>0</v>
      </c>
      <c r="L758" s="68">
        <v>0</v>
      </c>
      <c r="M758" s="68">
        <v>2</v>
      </c>
      <c r="N758" s="68">
        <v>0</v>
      </c>
    </row>
    <row r="759" spans="1:14">
      <c r="A759" t="s">
        <v>444</v>
      </c>
      <c r="B759" t="s">
        <v>445</v>
      </c>
      <c r="C759" t="s">
        <v>1074</v>
      </c>
      <c r="D759" t="s">
        <v>367</v>
      </c>
      <c r="E759" t="s">
        <v>1080</v>
      </c>
      <c r="F759" t="s">
        <v>449</v>
      </c>
      <c r="G759" s="68">
        <v>20</v>
      </c>
      <c r="H759" s="68">
        <v>25</v>
      </c>
      <c r="I759" s="68">
        <v>17</v>
      </c>
      <c r="J759" s="68">
        <v>8</v>
      </c>
      <c r="K759" s="68">
        <v>2</v>
      </c>
      <c r="L759" s="68">
        <v>1</v>
      </c>
      <c r="M759" s="68">
        <v>2</v>
      </c>
      <c r="N759" s="68">
        <v>2</v>
      </c>
    </row>
    <row r="760" spans="1:14">
      <c r="A760" t="s">
        <v>444</v>
      </c>
      <c r="B760" t="s">
        <v>445</v>
      </c>
      <c r="C760" t="s">
        <v>1074</v>
      </c>
      <c r="D760" t="s">
        <v>365</v>
      </c>
      <c r="E760" t="s">
        <v>1081</v>
      </c>
      <c r="F760" t="s">
        <v>447</v>
      </c>
      <c r="G760" s="68">
        <v>0</v>
      </c>
      <c r="H760" s="68">
        <v>0</v>
      </c>
      <c r="I760" s="68">
        <v>1</v>
      </c>
      <c r="J760" s="68">
        <v>0</v>
      </c>
      <c r="K760" s="68">
        <v>0</v>
      </c>
      <c r="L760" s="68">
        <v>0</v>
      </c>
      <c r="M760" s="68">
        <v>1</v>
      </c>
      <c r="N760" s="68">
        <v>0</v>
      </c>
    </row>
    <row r="761" spans="1:14">
      <c r="A761" t="s">
        <v>444</v>
      </c>
      <c r="B761" t="s">
        <v>445</v>
      </c>
      <c r="C761" t="s">
        <v>1074</v>
      </c>
      <c r="D761" t="s">
        <v>365</v>
      </c>
      <c r="E761" t="s">
        <v>1082</v>
      </c>
      <c r="F761" t="s">
        <v>447</v>
      </c>
      <c r="G761" s="68">
        <v>0</v>
      </c>
      <c r="H761" s="68">
        <v>0</v>
      </c>
      <c r="I761" s="68">
        <v>1</v>
      </c>
      <c r="J761" s="68">
        <v>0</v>
      </c>
      <c r="K761" s="68">
        <v>1</v>
      </c>
      <c r="L761" s="68">
        <v>0</v>
      </c>
      <c r="M761" s="68">
        <v>1</v>
      </c>
      <c r="N761" s="68">
        <v>0</v>
      </c>
    </row>
    <row r="762" spans="1:14">
      <c r="A762" t="s">
        <v>444</v>
      </c>
      <c r="B762" t="s">
        <v>445</v>
      </c>
      <c r="C762" t="s">
        <v>1074</v>
      </c>
      <c r="D762" t="s">
        <v>326</v>
      </c>
      <c r="E762" t="s">
        <v>1083</v>
      </c>
      <c r="F762" t="s">
        <v>452</v>
      </c>
      <c r="G762" s="68">
        <v>0</v>
      </c>
      <c r="H762" s="68">
        <v>0</v>
      </c>
      <c r="I762" s="68">
        <v>0</v>
      </c>
      <c r="J762" s="68">
        <v>0</v>
      </c>
      <c r="K762" s="68">
        <v>0</v>
      </c>
      <c r="L762" s="68">
        <v>0</v>
      </c>
      <c r="M762" s="68">
        <v>1</v>
      </c>
      <c r="N762" s="68">
        <v>0</v>
      </c>
    </row>
    <row r="763" spans="1:14">
      <c r="A763" t="s">
        <v>444</v>
      </c>
      <c r="B763" t="s">
        <v>445</v>
      </c>
      <c r="C763" t="s">
        <v>1074</v>
      </c>
      <c r="D763" t="s">
        <v>310</v>
      </c>
      <c r="E763" t="s">
        <v>1084</v>
      </c>
      <c r="F763" t="s">
        <v>628</v>
      </c>
      <c r="G763" s="68">
        <v>0</v>
      </c>
      <c r="H763" s="68">
        <v>1</v>
      </c>
      <c r="I763" s="68">
        <v>0</v>
      </c>
      <c r="J763" s="68">
        <v>0</v>
      </c>
      <c r="K763" s="68">
        <v>0</v>
      </c>
      <c r="L763" s="68">
        <v>0</v>
      </c>
      <c r="M763" s="68">
        <v>0</v>
      </c>
      <c r="N763" s="68">
        <v>0</v>
      </c>
    </row>
    <row r="764" spans="1:14">
      <c r="A764" t="s">
        <v>444</v>
      </c>
      <c r="B764" t="s">
        <v>445</v>
      </c>
      <c r="C764" t="s">
        <v>1074</v>
      </c>
      <c r="D764" t="s">
        <v>310</v>
      </c>
      <c r="E764" t="s">
        <v>1085</v>
      </c>
      <c r="F764" t="s">
        <v>628</v>
      </c>
      <c r="G764" s="68">
        <v>0</v>
      </c>
      <c r="H764" s="68">
        <v>0</v>
      </c>
      <c r="I764" s="68">
        <v>0</v>
      </c>
      <c r="J764" s="68">
        <v>1</v>
      </c>
      <c r="K764" s="68">
        <v>1</v>
      </c>
      <c r="L764" s="68">
        <v>0</v>
      </c>
      <c r="M764" s="68">
        <v>2</v>
      </c>
      <c r="N764" s="68">
        <v>0</v>
      </c>
    </row>
    <row r="765" spans="1:14">
      <c r="A765" t="s">
        <v>444</v>
      </c>
      <c r="B765" t="s">
        <v>445</v>
      </c>
      <c r="C765" t="s">
        <v>1074</v>
      </c>
      <c r="D765" t="s">
        <v>286</v>
      </c>
      <c r="E765" s="69">
        <v>1.5</v>
      </c>
      <c r="F765" t="s">
        <v>452</v>
      </c>
      <c r="G765" s="68">
        <v>48</v>
      </c>
      <c r="H765" s="68">
        <v>84</v>
      </c>
      <c r="I765" s="68">
        <v>88</v>
      </c>
      <c r="J765" s="68">
        <v>69</v>
      </c>
      <c r="K765" s="68">
        <v>56</v>
      </c>
      <c r="L765" s="68">
        <v>80</v>
      </c>
      <c r="M765" s="68">
        <v>80</v>
      </c>
      <c r="N765" s="68">
        <v>83</v>
      </c>
    </row>
    <row r="766" spans="1:14">
      <c r="A766" t="s">
        <v>444</v>
      </c>
      <c r="B766" t="s">
        <v>445</v>
      </c>
      <c r="C766" t="s">
        <v>1074</v>
      </c>
      <c r="D766" t="s">
        <v>245</v>
      </c>
      <c r="E766" t="s">
        <v>1086</v>
      </c>
      <c r="F766" t="s">
        <v>472</v>
      </c>
      <c r="G766" s="68">
        <v>2</v>
      </c>
      <c r="H766" s="68">
        <v>0</v>
      </c>
      <c r="I766" s="68">
        <v>0</v>
      </c>
      <c r="J766" s="68">
        <v>0</v>
      </c>
      <c r="K766" s="68">
        <v>0</v>
      </c>
      <c r="L766" s="68">
        <v>0</v>
      </c>
      <c r="M766" s="68">
        <v>0</v>
      </c>
      <c r="N766" s="68">
        <v>0</v>
      </c>
    </row>
    <row r="767" spans="1:14">
      <c r="A767" t="s">
        <v>444</v>
      </c>
      <c r="B767" t="s">
        <v>445</v>
      </c>
      <c r="C767" t="s">
        <v>1074</v>
      </c>
      <c r="D767" t="s">
        <v>225</v>
      </c>
      <c r="E767" t="s">
        <v>1087</v>
      </c>
      <c r="F767" t="s">
        <v>452</v>
      </c>
      <c r="G767" s="68">
        <v>9</v>
      </c>
      <c r="H767" s="68">
        <v>0</v>
      </c>
      <c r="I767" s="68">
        <v>0</v>
      </c>
      <c r="J767" s="68">
        <v>0</v>
      </c>
      <c r="K767" s="68">
        <v>0</v>
      </c>
      <c r="L767" s="68">
        <v>0</v>
      </c>
      <c r="M767" s="68">
        <v>0</v>
      </c>
      <c r="N767" s="68">
        <v>0</v>
      </c>
    </row>
    <row r="768" spans="1:14">
      <c r="A768" t="s">
        <v>444</v>
      </c>
      <c r="B768" t="s">
        <v>445</v>
      </c>
      <c r="C768" t="s">
        <v>1074</v>
      </c>
      <c r="D768" t="s">
        <v>225</v>
      </c>
      <c r="E768" t="s">
        <v>1088</v>
      </c>
      <c r="F768" t="s">
        <v>452</v>
      </c>
      <c r="G768" s="68">
        <v>0</v>
      </c>
      <c r="H768" s="68">
        <v>25</v>
      </c>
      <c r="I768" s="68">
        <v>25</v>
      </c>
      <c r="J768" s="68">
        <v>13</v>
      </c>
      <c r="K768" s="68">
        <v>6</v>
      </c>
      <c r="L768" s="68">
        <v>6</v>
      </c>
      <c r="M768" s="68">
        <v>3</v>
      </c>
      <c r="N768" s="68">
        <v>14</v>
      </c>
    </row>
    <row r="769" spans="1:14">
      <c r="A769" t="s">
        <v>444</v>
      </c>
      <c r="B769" t="s">
        <v>445</v>
      </c>
      <c r="C769" t="s">
        <v>1074</v>
      </c>
      <c r="D769" t="s">
        <v>225</v>
      </c>
      <c r="E769" t="s">
        <v>828</v>
      </c>
      <c r="F769" t="s">
        <v>452</v>
      </c>
      <c r="G769" s="68">
        <v>0</v>
      </c>
      <c r="H769" s="68">
        <v>0</v>
      </c>
      <c r="I769" s="68">
        <v>0</v>
      </c>
      <c r="J769" s="68">
        <v>1</v>
      </c>
      <c r="K769" s="68">
        <v>0</v>
      </c>
      <c r="L769" s="68">
        <v>0</v>
      </c>
      <c r="M769" s="68">
        <v>0</v>
      </c>
      <c r="N769" s="68">
        <v>0</v>
      </c>
    </row>
    <row r="770" spans="1:14">
      <c r="A770" t="s">
        <v>444</v>
      </c>
      <c r="B770" t="s">
        <v>445</v>
      </c>
      <c r="C770" t="s">
        <v>1074</v>
      </c>
      <c r="D770" t="s">
        <v>225</v>
      </c>
      <c r="E770" t="s">
        <v>1089</v>
      </c>
      <c r="F770" t="s">
        <v>452</v>
      </c>
      <c r="G770" s="68">
        <v>1</v>
      </c>
      <c r="H770" s="68">
        <v>0</v>
      </c>
      <c r="I770" s="68">
        <v>0</v>
      </c>
      <c r="J770" s="68">
        <v>2</v>
      </c>
      <c r="K770" s="68">
        <v>0</v>
      </c>
      <c r="L770" s="68">
        <v>0</v>
      </c>
      <c r="M770" s="68">
        <v>0</v>
      </c>
      <c r="N770" s="68">
        <v>0</v>
      </c>
    </row>
    <row r="771" spans="1:14">
      <c r="A771" t="s">
        <v>444</v>
      </c>
      <c r="B771" t="s">
        <v>445</v>
      </c>
      <c r="C771" t="s">
        <v>1074</v>
      </c>
      <c r="D771" t="s">
        <v>225</v>
      </c>
      <c r="E771" t="s">
        <v>1090</v>
      </c>
      <c r="F771" t="s">
        <v>452</v>
      </c>
      <c r="G771" s="68">
        <v>1</v>
      </c>
      <c r="H771" s="68">
        <v>0</v>
      </c>
      <c r="I771" s="68">
        <v>0</v>
      </c>
      <c r="J771" s="68">
        <v>0</v>
      </c>
      <c r="K771" s="68">
        <v>0</v>
      </c>
      <c r="L771" s="68">
        <v>0</v>
      </c>
      <c r="M771" s="68">
        <v>0</v>
      </c>
      <c r="N771" s="68">
        <v>0</v>
      </c>
    </row>
    <row r="772" spans="1:14">
      <c r="A772" t="s">
        <v>444</v>
      </c>
      <c r="B772" t="s">
        <v>445</v>
      </c>
      <c r="C772" t="s">
        <v>1074</v>
      </c>
      <c r="D772" t="s">
        <v>224</v>
      </c>
      <c r="E772" t="s">
        <v>1091</v>
      </c>
      <c r="F772" t="s">
        <v>472</v>
      </c>
      <c r="G772" s="68">
        <v>0</v>
      </c>
      <c r="H772" s="68">
        <v>0</v>
      </c>
      <c r="I772" s="68">
        <v>0</v>
      </c>
      <c r="J772" s="68">
        <v>0</v>
      </c>
      <c r="K772" s="68">
        <v>1</v>
      </c>
      <c r="L772" s="68">
        <v>0</v>
      </c>
      <c r="M772" s="68">
        <v>0</v>
      </c>
      <c r="N772" s="68">
        <v>0</v>
      </c>
    </row>
    <row r="773" spans="1:14">
      <c r="A773" t="s">
        <v>444</v>
      </c>
      <c r="B773" t="s">
        <v>445</v>
      </c>
      <c r="C773" t="s">
        <v>1074</v>
      </c>
      <c r="D773" t="s">
        <v>224</v>
      </c>
      <c r="E773" t="s">
        <v>1092</v>
      </c>
      <c r="F773" t="s">
        <v>472</v>
      </c>
      <c r="G773" s="68">
        <v>0</v>
      </c>
      <c r="H773" s="68">
        <v>0</v>
      </c>
      <c r="I773" s="68">
        <v>0</v>
      </c>
      <c r="J773" s="68">
        <v>0</v>
      </c>
      <c r="K773" s="68">
        <v>1</v>
      </c>
      <c r="L773" s="68">
        <v>0</v>
      </c>
      <c r="M773" s="68">
        <v>0</v>
      </c>
      <c r="N773" s="68">
        <v>1</v>
      </c>
    </row>
    <row r="774" spans="1:14">
      <c r="A774" t="s">
        <v>444</v>
      </c>
      <c r="B774" t="s">
        <v>445</v>
      </c>
      <c r="C774" t="s">
        <v>1074</v>
      </c>
      <c r="D774" t="s">
        <v>223</v>
      </c>
      <c r="E774" t="s">
        <v>454</v>
      </c>
      <c r="F774" t="s">
        <v>472</v>
      </c>
      <c r="G774" s="68">
        <v>0</v>
      </c>
      <c r="H774" s="68">
        <v>2</v>
      </c>
      <c r="I774" s="68">
        <v>4</v>
      </c>
      <c r="J774" s="68">
        <v>7</v>
      </c>
      <c r="K774" s="68">
        <v>5</v>
      </c>
      <c r="L774" s="68">
        <v>7</v>
      </c>
      <c r="M774" s="68">
        <v>4</v>
      </c>
      <c r="N774" s="68">
        <v>0</v>
      </c>
    </row>
    <row r="775" spans="1:14">
      <c r="A775" t="s">
        <v>444</v>
      </c>
      <c r="B775" t="s">
        <v>445</v>
      </c>
      <c r="C775" t="s">
        <v>1074</v>
      </c>
      <c r="D775" t="s">
        <v>223</v>
      </c>
      <c r="E775" t="s">
        <v>1093</v>
      </c>
      <c r="F775" t="s">
        <v>472</v>
      </c>
      <c r="G775" s="68">
        <v>3</v>
      </c>
      <c r="H775" s="68">
        <v>1</v>
      </c>
      <c r="I775" s="68">
        <v>1</v>
      </c>
      <c r="J775" s="68">
        <v>2</v>
      </c>
      <c r="K775" s="68">
        <v>0</v>
      </c>
      <c r="L775" s="68">
        <v>0</v>
      </c>
      <c r="M775" s="68">
        <v>2</v>
      </c>
      <c r="N775" s="68">
        <v>1</v>
      </c>
    </row>
    <row r="776" spans="1:14">
      <c r="A776" t="s">
        <v>444</v>
      </c>
      <c r="B776" t="s">
        <v>445</v>
      </c>
      <c r="C776" t="s">
        <v>1074</v>
      </c>
      <c r="D776" t="s">
        <v>223</v>
      </c>
      <c r="E776" t="s">
        <v>1094</v>
      </c>
      <c r="F776" t="s">
        <v>472</v>
      </c>
      <c r="G776" s="68">
        <v>0</v>
      </c>
      <c r="H776" s="68">
        <v>1</v>
      </c>
      <c r="I776" s="68">
        <v>0</v>
      </c>
      <c r="J776" s="68">
        <v>0</v>
      </c>
      <c r="K776" s="68">
        <v>0</v>
      </c>
      <c r="L776" s="68">
        <v>0</v>
      </c>
      <c r="M776" s="68">
        <v>0</v>
      </c>
      <c r="N776" s="68">
        <v>0</v>
      </c>
    </row>
    <row r="777" spans="1:14">
      <c r="A777" t="s">
        <v>444</v>
      </c>
      <c r="B777" t="s">
        <v>445</v>
      </c>
      <c r="C777" t="s">
        <v>1074</v>
      </c>
      <c r="D777" t="s">
        <v>223</v>
      </c>
      <c r="E777" t="s">
        <v>1095</v>
      </c>
      <c r="F777" t="s">
        <v>472</v>
      </c>
      <c r="G777" s="68">
        <v>1</v>
      </c>
      <c r="H777" s="68">
        <v>0</v>
      </c>
      <c r="I777" s="68">
        <v>0</v>
      </c>
      <c r="J777" s="68">
        <v>0</v>
      </c>
      <c r="K777" s="68">
        <v>0</v>
      </c>
      <c r="L777" s="68">
        <v>0</v>
      </c>
      <c r="M777" s="68">
        <v>0</v>
      </c>
      <c r="N777" s="68">
        <v>0</v>
      </c>
    </row>
    <row r="778" spans="1:14">
      <c r="A778" t="s">
        <v>444</v>
      </c>
      <c r="B778" t="s">
        <v>445</v>
      </c>
      <c r="C778" t="s">
        <v>1074</v>
      </c>
      <c r="D778" t="s">
        <v>223</v>
      </c>
      <c r="E778" t="s">
        <v>1096</v>
      </c>
      <c r="F778" t="s">
        <v>472</v>
      </c>
      <c r="G778" s="68">
        <v>3</v>
      </c>
      <c r="H778" s="68">
        <v>1</v>
      </c>
      <c r="I778" s="68">
        <v>2</v>
      </c>
      <c r="J778" s="68">
        <v>4</v>
      </c>
      <c r="K778" s="68">
        <v>0</v>
      </c>
      <c r="L778" s="68">
        <v>0</v>
      </c>
      <c r="M778" s="68">
        <v>1</v>
      </c>
      <c r="N778" s="68">
        <v>0</v>
      </c>
    </row>
    <row r="779" spans="1:14">
      <c r="A779" t="s">
        <v>444</v>
      </c>
      <c r="B779" t="s">
        <v>445</v>
      </c>
      <c r="C779" t="s">
        <v>1074</v>
      </c>
      <c r="D779" t="s">
        <v>223</v>
      </c>
      <c r="E779" t="s">
        <v>1097</v>
      </c>
      <c r="F779" t="s">
        <v>472</v>
      </c>
      <c r="G779" s="68">
        <v>3</v>
      </c>
      <c r="H779" s="68">
        <v>3</v>
      </c>
      <c r="I779" s="68">
        <v>0</v>
      </c>
      <c r="J779" s="68">
        <v>3</v>
      </c>
      <c r="K779" s="68">
        <v>1</v>
      </c>
      <c r="L779" s="68">
        <v>2</v>
      </c>
      <c r="M779" s="68">
        <v>3</v>
      </c>
      <c r="N779" s="68">
        <v>3</v>
      </c>
    </row>
    <row r="780" spans="1:14">
      <c r="A780" t="s">
        <v>444</v>
      </c>
      <c r="B780" t="s">
        <v>445</v>
      </c>
      <c r="C780" t="s">
        <v>1074</v>
      </c>
      <c r="D780" t="s">
        <v>89</v>
      </c>
      <c r="E780" t="s">
        <v>1098</v>
      </c>
      <c r="F780" t="s">
        <v>472</v>
      </c>
      <c r="G780" s="68">
        <v>1</v>
      </c>
      <c r="H780" s="68">
        <v>0</v>
      </c>
      <c r="I780" s="68">
        <v>1</v>
      </c>
      <c r="J780" s="68">
        <v>1</v>
      </c>
      <c r="K780" s="68">
        <v>0</v>
      </c>
      <c r="L780" s="68">
        <v>0</v>
      </c>
      <c r="M780" s="68">
        <v>1</v>
      </c>
      <c r="N780" s="68">
        <v>0</v>
      </c>
    </row>
    <row r="781" spans="1:14">
      <c r="A781" t="s">
        <v>444</v>
      </c>
      <c r="B781" t="s">
        <v>445</v>
      </c>
      <c r="C781" t="s">
        <v>1074</v>
      </c>
      <c r="D781" t="s">
        <v>79</v>
      </c>
      <c r="E781" t="s">
        <v>1081</v>
      </c>
      <c r="F781" t="s">
        <v>449</v>
      </c>
      <c r="G781" s="68">
        <v>49</v>
      </c>
      <c r="H781" s="68">
        <v>84</v>
      </c>
      <c r="I781" s="68">
        <v>121</v>
      </c>
      <c r="J781" s="68">
        <v>146</v>
      </c>
      <c r="K781" s="68">
        <v>132</v>
      </c>
      <c r="L781" s="68">
        <v>89</v>
      </c>
      <c r="M781" s="68">
        <v>80</v>
      </c>
      <c r="N781" s="68">
        <v>60</v>
      </c>
    </row>
    <row r="782" spans="1:14">
      <c r="A782" t="s">
        <v>444</v>
      </c>
      <c r="B782" t="s">
        <v>445</v>
      </c>
      <c r="C782" t="s">
        <v>1074</v>
      </c>
      <c r="D782" t="s">
        <v>79</v>
      </c>
      <c r="E782" t="s">
        <v>1099</v>
      </c>
      <c r="F782" t="s">
        <v>449</v>
      </c>
      <c r="G782" s="68">
        <v>18</v>
      </c>
      <c r="H782" s="68">
        <v>46</v>
      </c>
      <c r="I782" s="68">
        <v>31</v>
      </c>
      <c r="J782" s="68">
        <v>36</v>
      </c>
      <c r="K782" s="68">
        <v>22</v>
      </c>
      <c r="L782" s="68">
        <v>26</v>
      </c>
      <c r="M782" s="68">
        <v>20</v>
      </c>
      <c r="N782" s="68">
        <v>15</v>
      </c>
    </row>
    <row r="783" spans="1:14">
      <c r="A783" t="s">
        <v>444</v>
      </c>
      <c r="B783" t="s">
        <v>445</v>
      </c>
      <c r="C783" t="s">
        <v>1074</v>
      </c>
      <c r="D783" t="s">
        <v>79</v>
      </c>
      <c r="E783" t="s">
        <v>1100</v>
      </c>
      <c r="F783" t="s">
        <v>449</v>
      </c>
      <c r="G783" s="68">
        <v>0</v>
      </c>
      <c r="H783" s="68">
        <v>0</v>
      </c>
      <c r="I783" s="68">
        <v>0</v>
      </c>
      <c r="J783" s="68">
        <v>0</v>
      </c>
      <c r="K783" s="68">
        <v>0</v>
      </c>
      <c r="L783" s="68">
        <v>0</v>
      </c>
      <c r="M783" s="68">
        <v>1</v>
      </c>
      <c r="N783" s="68">
        <v>2</v>
      </c>
    </row>
    <row r="784" spans="1:14">
      <c r="A784" t="s">
        <v>444</v>
      </c>
      <c r="B784" t="s">
        <v>445</v>
      </c>
      <c r="C784" t="s">
        <v>1074</v>
      </c>
      <c r="D784" t="s">
        <v>79</v>
      </c>
      <c r="E784" t="s">
        <v>1101</v>
      </c>
      <c r="F784" t="s">
        <v>449</v>
      </c>
      <c r="G784" s="68">
        <v>61</v>
      </c>
      <c r="H784" s="68">
        <v>109</v>
      </c>
      <c r="I784" s="68">
        <v>173</v>
      </c>
      <c r="J784" s="68">
        <v>181</v>
      </c>
      <c r="K784" s="68">
        <v>203</v>
      </c>
      <c r="L784" s="68">
        <v>115</v>
      </c>
      <c r="M784" s="68">
        <v>73</v>
      </c>
      <c r="N784" s="68">
        <v>38</v>
      </c>
    </row>
    <row r="785" spans="1:14">
      <c r="A785" t="s">
        <v>444</v>
      </c>
      <c r="B785" t="s">
        <v>445</v>
      </c>
      <c r="C785" t="s">
        <v>1074</v>
      </c>
      <c r="D785" t="s">
        <v>79</v>
      </c>
      <c r="E785" t="s">
        <v>1102</v>
      </c>
      <c r="F785" t="s">
        <v>449</v>
      </c>
      <c r="G785" s="68">
        <v>0</v>
      </c>
      <c r="H785" s="68">
        <v>0</v>
      </c>
      <c r="I785" s="68">
        <v>1</v>
      </c>
      <c r="J785" s="68">
        <v>0</v>
      </c>
      <c r="K785" s="68">
        <v>0</v>
      </c>
      <c r="L785" s="68">
        <v>0</v>
      </c>
      <c r="M785" s="68">
        <v>0</v>
      </c>
      <c r="N785" s="68">
        <v>0</v>
      </c>
    </row>
    <row r="786" spans="1:14">
      <c r="A786" t="s">
        <v>444</v>
      </c>
      <c r="B786" t="s">
        <v>445</v>
      </c>
      <c r="C786" t="s">
        <v>1074</v>
      </c>
      <c r="D786" t="s">
        <v>79</v>
      </c>
      <c r="E786" t="s">
        <v>1103</v>
      </c>
      <c r="F786" t="s">
        <v>449</v>
      </c>
      <c r="G786" s="68">
        <v>0</v>
      </c>
      <c r="H786" s="68">
        <v>0</v>
      </c>
      <c r="I786" s="68">
        <v>0</v>
      </c>
      <c r="J786" s="68">
        <v>1</v>
      </c>
      <c r="K786" s="68">
        <v>0</v>
      </c>
      <c r="L786" s="68">
        <v>0</v>
      </c>
      <c r="M786" s="68">
        <v>0</v>
      </c>
      <c r="N786" s="68">
        <v>0</v>
      </c>
    </row>
    <row r="787" spans="1:14">
      <c r="A787" t="s">
        <v>444</v>
      </c>
      <c r="B787" t="s">
        <v>445</v>
      </c>
      <c r="C787" t="s">
        <v>1074</v>
      </c>
      <c r="D787" t="s">
        <v>24</v>
      </c>
      <c r="E787" s="69">
        <v>1.5</v>
      </c>
      <c r="F787" t="s">
        <v>452</v>
      </c>
      <c r="G787" s="68">
        <v>0</v>
      </c>
      <c r="H787" s="68">
        <v>0</v>
      </c>
      <c r="I787" s="68">
        <v>17</v>
      </c>
      <c r="J787" s="68">
        <v>19</v>
      </c>
      <c r="K787" s="68">
        <v>15</v>
      </c>
      <c r="L787" s="68">
        <v>10</v>
      </c>
      <c r="M787" s="68">
        <v>13</v>
      </c>
      <c r="N787" s="68">
        <v>12</v>
      </c>
    </row>
    <row r="788" spans="1:14">
      <c r="A788" t="s">
        <v>444</v>
      </c>
      <c r="B788" t="s">
        <v>445</v>
      </c>
      <c r="C788" t="s">
        <v>1074</v>
      </c>
      <c r="D788" t="s">
        <v>24</v>
      </c>
      <c r="E788" t="s">
        <v>1104</v>
      </c>
      <c r="F788" t="s">
        <v>452</v>
      </c>
      <c r="G788" s="68">
        <v>12</v>
      </c>
      <c r="H788" s="68">
        <v>11</v>
      </c>
      <c r="I788" s="68">
        <v>0</v>
      </c>
      <c r="J788" s="68">
        <v>0</v>
      </c>
      <c r="K788" s="68">
        <v>0</v>
      </c>
      <c r="L788" s="68">
        <v>0</v>
      </c>
      <c r="M788" s="68">
        <v>0</v>
      </c>
      <c r="N788" s="68">
        <v>0</v>
      </c>
    </row>
    <row r="789" spans="1:14">
      <c r="A789" t="s">
        <v>444</v>
      </c>
      <c r="B789" t="s">
        <v>445</v>
      </c>
      <c r="C789" t="s">
        <v>1105</v>
      </c>
      <c r="D789" t="s">
        <v>179</v>
      </c>
      <c r="E789" t="s">
        <v>454</v>
      </c>
      <c r="F789" t="s">
        <v>447</v>
      </c>
      <c r="G789" s="68">
        <v>0</v>
      </c>
      <c r="H789" s="68">
        <v>0</v>
      </c>
      <c r="I789" s="68">
        <v>0</v>
      </c>
      <c r="J789" s="68">
        <v>0</v>
      </c>
      <c r="K789" s="68">
        <v>0</v>
      </c>
      <c r="L789" s="68">
        <v>0</v>
      </c>
      <c r="M789" s="68">
        <v>0</v>
      </c>
      <c r="N789" s="68">
        <v>552</v>
      </c>
    </row>
    <row r="790" spans="1:14">
      <c r="A790" t="s">
        <v>444</v>
      </c>
      <c r="B790" t="s">
        <v>445</v>
      </c>
      <c r="C790" t="s">
        <v>1105</v>
      </c>
      <c r="D790" t="s">
        <v>179</v>
      </c>
      <c r="E790" t="s">
        <v>1106</v>
      </c>
      <c r="F790" t="s">
        <v>447</v>
      </c>
      <c r="G790" s="68">
        <v>48</v>
      </c>
      <c r="H790" s="68">
        <v>0</v>
      </c>
      <c r="I790" s="68">
        <v>0</v>
      </c>
      <c r="J790" s="68">
        <v>0</v>
      </c>
      <c r="K790" s="68">
        <v>0</v>
      </c>
      <c r="L790" s="68">
        <v>0</v>
      </c>
      <c r="M790" s="68">
        <v>0</v>
      </c>
      <c r="N790" s="68">
        <v>0</v>
      </c>
    </row>
    <row r="791" spans="1:14">
      <c r="A791" t="s">
        <v>444</v>
      </c>
      <c r="B791" t="s">
        <v>445</v>
      </c>
      <c r="C791" t="s">
        <v>1105</v>
      </c>
      <c r="D791" t="s">
        <v>179</v>
      </c>
      <c r="E791" t="s">
        <v>1107</v>
      </c>
      <c r="F791" t="s">
        <v>447</v>
      </c>
      <c r="G791" s="68">
        <v>0</v>
      </c>
      <c r="H791" s="68">
        <v>0</v>
      </c>
      <c r="I791" s="68">
        <v>191</v>
      </c>
      <c r="J791" s="68">
        <v>656</v>
      </c>
      <c r="K791" s="68">
        <v>402</v>
      </c>
      <c r="L791" s="68">
        <v>497</v>
      </c>
      <c r="M791" s="68">
        <v>531</v>
      </c>
      <c r="N791" s="68">
        <v>8</v>
      </c>
    </row>
    <row r="792" spans="1:14">
      <c r="A792" t="s">
        <v>444</v>
      </c>
      <c r="B792" t="s">
        <v>445</v>
      </c>
      <c r="C792" t="s">
        <v>1105</v>
      </c>
      <c r="D792" t="s">
        <v>179</v>
      </c>
      <c r="E792" t="s">
        <v>1108</v>
      </c>
      <c r="F792" t="s">
        <v>447</v>
      </c>
      <c r="G792" s="68">
        <v>0</v>
      </c>
      <c r="H792" s="68">
        <v>1</v>
      </c>
      <c r="I792" s="68">
        <v>2</v>
      </c>
      <c r="J792" s="68">
        <v>34</v>
      </c>
      <c r="K792" s="68">
        <v>7</v>
      </c>
      <c r="L792" s="68">
        <v>7</v>
      </c>
      <c r="M792" s="68">
        <v>6</v>
      </c>
      <c r="N792" s="68">
        <v>1</v>
      </c>
    </row>
    <row r="793" spans="1:14">
      <c r="A793" t="s">
        <v>444</v>
      </c>
      <c r="B793" t="s">
        <v>445</v>
      </c>
      <c r="C793" t="s">
        <v>1105</v>
      </c>
      <c r="D793" t="s">
        <v>179</v>
      </c>
      <c r="E793" t="s">
        <v>1109</v>
      </c>
      <c r="F793" t="s">
        <v>447</v>
      </c>
      <c r="G793" s="68">
        <v>5</v>
      </c>
      <c r="H793" s="68">
        <v>0</v>
      </c>
      <c r="I793" s="68">
        <v>0</v>
      </c>
      <c r="J793" s="68">
        <v>0</v>
      </c>
      <c r="K793" s="68">
        <v>0</v>
      </c>
      <c r="L793" s="68">
        <v>0</v>
      </c>
      <c r="M793" s="68">
        <v>0</v>
      </c>
      <c r="N793" s="68">
        <v>0</v>
      </c>
    </row>
    <row r="794" spans="1:14">
      <c r="A794" t="s">
        <v>444</v>
      </c>
      <c r="B794" t="s">
        <v>445</v>
      </c>
      <c r="C794" t="s">
        <v>1105</v>
      </c>
      <c r="D794" t="s">
        <v>179</v>
      </c>
      <c r="E794" t="s">
        <v>1110</v>
      </c>
      <c r="F794" t="s">
        <v>447</v>
      </c>
      <c r="G794" s="68">
        <v>0</v>
      </c>
      <c r="H794" s="68">
        <v>98</v>
      </c>
      <c r="I794" s="68">
        <v>22</v>
      </c>
      <c r="J794" s="68">
        <v>80</v>
      </c>
      <c r="K794" s="68">
        <v>75</v>
      </c>
      <c r="L794" s="68">
        <v>93</v>
      </c>
      <c r="M794" s="68">
        <v>25</v>
      </c>
      <c r="N794" s="68">
        <v>1</v>
      </c>
    </row>
    <row r="795" spans="1:14">
      <c r="A795" t="s">
        <v>444</v>
      </c>
      <c r="B795" t="s">
        <v>445</v>
      </c>
      <c r="C795" t="s">
        <v>1105</v>
      </c>
      <c r="D795" t="s">
        <v>179</v>
      </c>
      <c r="E795" t="s">
        <v>1111</v>
      </c>
      <c r="F795" t="s">
        <v>447</v>
      </c>
      <c r="G795" s="68">
        <v>18</v>
      </c>
      <c r="H795" s="68">
        <v>13</v>
      </c>
      <c r="I795" s="68">
        <v>8</v>
      </c>
      <c r="J795" s="68">
        <v>30</v>
      </c>
      <c r="K795" s="68">
        <v>9</v>
      </c>
      <c r="L795" s="68">
        <v>9</v>
      </c>
      <c r="M795" s="68">
        <v>9</v>
      </c>
      <c r="N795" s="68">
        <v>28</v>
      </c>
    </row>
    <row r="796" spans="1:14">
      <c r="A796" t="s">
        <v>444</v>
      </c>
      <c r="B796" t="s">
        <v>445</v>
      </c>
      <c r="C796" t="s">
        <v>1105</v>
      </c>
      <c r="D796" t="s">
        <v>179</v>
      </c>
      <c r="E796" t="s">
        <v>1112</v>
      </c>
      <c r="F796" t="s">
        <v>447</v>
      </c>
      <c r="G796" s="68">
        <v>75</v>
      </c>
      <c r="H796" s="68">
        <v>0</v>
      </c>
      <c r="I796" s="68">
        <v>0</v>
      </c>
      <c r="J796" s="68">
        <v>0</v>
      </c>
      <c r="K796" s="68">
        <v>0</v>
      </c>
      <c r="L796" s="68">
        <v>0</v>
      </c>
      <c r="M796" s="68">
        <v>0</v>
      </c>
      <c r="N796" s="68">
        <v>0</v>
      </c>
    </row>
    <row r="797" spans="1:14">
      <c r="A797" t="s">
        <v>444</v>
      </c>
      <c r="B797" t="s">
        <v>445</v>
      </c>
      <c r="C797" t="s">
        <v>1105</v>
      </c>
      <c r="D797" t="s">
        <v>179</v>
      </c>
      <c r="E797" t="s">
        <v>1113</v>
      </c>
      <c r="F797" t="s">
        <v>447</v>
      </c>
      <c r="G797" s="68">
        <v>0</v>
      </c>
      <c r="H797" s="68">
        <v>3</v>
      </c>
      <c r="I797" s="68">
        <v>0</v>
      </c>
      <c r="J797" s="68">
        <v>293</v>
      </c>
      <c r="K797" s="68">
        <v>117</v>
      </c>
      <c r="L797" s="68">
        <v>147</v>
      </c>
      <c r="M797" s="68">
        <v>76</v>
      </c>
      <c r="N797" s="68">
        <v>2</v>
      </c>
    </row>
    <row r="798" spans="1:14">
      <c r="A798" t="s">
        <v>444</v>
      </c>
      <c r="B798" t="s">
        <v>445</v>
      </c>
      <c r="C798" t="s">
        <v>1105</v>
      </c>
      <c r="D798" t="s">
        <v>178</v>
      </c>
      <c r="E798" t="s">
        <v>1114</v>
      </c>
      <c r="F798" t="s">
        <v>452</v>
      </c>
      <c r="G798" s="68">
        <v>0</v>
      </c>
      <c r="H798" s="68">
        <v>0</v>
      </c>
      <c r="I798" s="68">
        <v>0</v>
      </c>
      <c r="J798" s="68">
        <v>1</v>
      </c>
      <c r="K798" s="68">
        <v>0</v>
      </c>
      <c r="L798" s="68">
        <v>0</v>
      </c>
      <c r="M798" s="68">
        <v>0</v>
      </c>
      <c r="N798" s="68">
        <v>0</v>
      </c>
    </row>
    <row r="799" spans="1:14">
      <c r="A799" t="s">
        <v>444</v>
      </c>
      <c r="B799" t="s">
        <v>445</v>
      </c>
      <c r="C799" t="s">
        <v>1105</v>
      </c>
      <c r="D799" t="s">
        <v>177</v>
      </c>
      <c r="E799" t="s">
        <v>454</v>
      </c>
      <c r="F799" t="s">
        <v>452</v>
      </c>
      <c r="G799" s="68">
        <v>0</v>
      </c>
      <c r="H799" s="68">
        <v>0</v>
      </c>
      <c r="I799" s="68">
        <v>0</v>
      </c>
      <c r="J799" s="68">
        <v>0</v>
      </c>
      <c r="K799" s="68">
        <v>54</v>
      </c>
      <c r="L799" s="68">
        <v>465</v>
      </c>
      <c r="M799" s="68">
        <v>729</v>
      </c>
      <c r="N799" s="68">
        <v>418</v>
      </c>
    </row>
    <row r="800" spans="1:14">
      <c r="A800" t="s">
        <v>444</v>
      </c>
      <c r="B800" t="s">
        <v>445</v>
      </c>
      <c r="C800" t="s">
        <v>1105</v>
      </c>
      <c r="D800" t="s">
        <v>177</v>
      </c>
      <c r="E800" t="s">
        <v>1115</v>
      </c>
      <c r="F800" t="s">
        <v>452</v>
      </c>
      <c r="G800" s="68">
        <v>175</v>
      </c>
      <c r="H800" s="68">
        <v>0</v>
      </c>
      <c r="I800" s="68">
        <v>0</v>
      </c>
      <c r="J800" s="68">
        <v>0</v>
      </c>
      <c r="K800" s="68">
        <v>0</v>
      </c>
      <c r="L800" s="68">
        <v>0</v>
      </c>
      <c r="M800" s="68">
        <v>0</v>
      </c>
      <c r="N800" s="68">
        <v>0</v>
      </c>
    </row>
    <row r="801" spans="1:14">
      <c r="A801" t="s">
        <v>444</v>
      </c>
      <c r="B801" t="s">
        <v>445</v>
      </c>
      <c r="C801" t="s">
        <v>1105</v>
      </c>
      <c r="D801" t="s">
        <v>177</v>
      </c>
      <c r="E801" t="s">
        <v>1116</v>
      </c>
      <c r="F801" t="s">
        <v>452</v>
      </c>
      <c r="G801" s="68">
        <v>152</v>
      </c>
      <c r="H801" s="68">
        <v>0</v>
      </c>
      <c r="I801" s="68">
        <v>0</v>
      </c>
      <c r="J801" s="68">
        <v>0</v>
      </c>
      <c r="K801" s="68">
        <v>0</v>
      </c>
      <c r="L801" s="68">
        <v>0</v>
      </c>
      <c r="M801" s="68">
        <v>0</v>
      </c>
      <c r="N801" s="68">
        <v>0</v>
      </c>
    </row>
    <row r="802" spans="1:14">
      <c r="A802" t="s">
        <v>444</v>
      </c>
      <c r="B802" t="s">
        <v>445</v>
      </c>
      <c r="C802" t="s">
        <v>1105</v>
      </c>
      <c r="D802" t="s">
        <v>177</v>
      </c>
      <c r="E802" t="s">
        <v>1108</v>
      </c>
      <c r="F802" t="s">
        <v>452</v>
      </c>
      <c r="G802" s="68">
        <v>0</v>
      </c>
      <c r="H802" s="68">
        <v>15</v>
      </c>
      <c r="I802" s="68">
        <v>58</v>
      </c>
      <c r="J802" s="68">
        <v>75</v>
      </c>
      <c r="K802" s="68">
        <v>1</v>
      </c>
      <c r="L802" s="68">
        <v>0</v>
      </c>
      <c r="M802" s="68">
        <v>62</v>
      </c>
      <c r="N802" s="68">
        <v>4</v>
      </c>
    </row>
    <row r="803" spans="1:14">
      <c r="A803" t="s">
        <v>444</v>
      </c>
      <c r="B803" t="s">
        <v>445</v>
      </c>
      <c r="C803" t="s">
        <v>1105</v>
      </c>
      <c r="D803" t="s">
        <v>177</v>
      </c>
      <c r="E803" t="s">
        <v>1110</v>
      </c>
      <c r="F803" t="s">
        <v>452</v>
      </c>
      <c r="G803" s="68">
        <v>0</v>
      </c>
      <c r="H803" s="68">
        <v>0</v>
      </c>
      <c r="I803" s="68">
        <v>104</v>
      </c>
      <c r="J803" s="68">
        <v>221</v>
      </c>
      <c r="K803" s="68">
        <v>5</v>
      </c>
      <c r="L803" s="68">
        <v>172</v>
      </c>
      <c r="M803" s="68">
        <v>94</v>
      </c>
      <c r="N803" s="68">
        <v>3</v>
      </c>
    </row>
    <row r="804" spans="1:14">
      <c r="A804" t="s">
        <v>444</v>
      </c>
      <c r="B804" t="s">
        <v>445</v>
      </c>
      <c r="C804" t="s">
        <v>1105</v>
      </c>
      <c r="D804" t="s">
        <v>177</v>
      </c>
      <c r="E804" t="s">
        <v>633</v>
      </c>
      <c r="F804" t="s">
        <v>452</v>
      </c>
      <c r="G804" s="68">
        <v>0</v>
      </c>
      <c r="H804" s="68">
        <v>52</v>
      </c>
      <c r="I804" s="68">
        <v>62</v>
      </c>
      <c r="J804" s="68">
        <v>68</v>
      </c>
      <c r="K804" s="68">
        <v>4</v>
      </c>
      <c r="L804" s="68">
        <v>142</v>
      </c>
      <c r="M804" s="68">
        <v>93</v>
      </c>
      <c r="N804" s="68">
        <v>5</v>
      </c>
    </row>
    <row r="805" spans="1:14">
      <c r="A805" t="s">
        <v>444</v>
      </c>
      <c r="B805" t="s">
        <v>445</v>
      </c>
      <c r="C805" t="s">
        <v>1105</v>
      </c>
      <c r="D805" t="s">
        <v>177</v>
      </c>
      <c r="E805" t="s">
        <v>1117</v>
      </c>
      <c r="F805" t="s">
        <v>452</v>
      </c>
      <c r="G805" s="68">
        <v>0</v>
      </c>
      <c r="H805" s="68">
        <v>0</v>
      </c>
      <c r="I805" s="68">
        <v>0</v>
      </c>
      <c r="J805" s="68">
        <v>0</v>
      </c>
      <c r="K805" s="68">
        <v>0</v>
      </c>
      <c r="L805" s="68">
        <v>0</v>
      </c>
      <c r="M805" s="68">
        <v>1</v>
      </c>
      <c r="N805" s="68">
        <v>0</v>
      </c>
    </row>
    <row r="806" spans="1:14">
      <c r="A806" t="s">
        <v>444</v>
      </c>
      <c r="B806" t="s">
        <v>445</v>
      </c>
      <c r="C806" t="s">
        <v>1118</v>
      </c>
      <c r="D806" t="s">
        <v>65</v>
      </c>
      <c r="E806" t="s">
        <v>454</v>
      </c>
      <c r="F806" t="s">
        <v>452</v>
      </c>
      <c r="G806" s="68">
        <v>1</v>
      </c>
      <c r="H806" s="68">
        <v>0</v>
      </c>
      <c r="I806" s="68">
        <v>1</v>
      </c>
      <c r="J806" s="68">
        <v>2</v>
      </c>
      <c r="K806" s="68">
        <v>0</v>
      </c>
      <c r="L806" s="68">
        <v>0</v>
      </c>
      <c r="M806" s="68">
        <v>0</v>
      </c>
      <c r="N806" s="68">
        <v>0</v>
      </c>
    </row>
    <row r="807" spans="1:14">
      <c r="A807" t="s">
        <v>444</v>
      </c>
      <c r="B807" t="s">
        <v>445</v>
      </c>
      <c r="C807" t="s">
        <v>1118</v>
      </c>
      <c r="D807" t="s">
        <v>64</v>
      </c>
      <c r="E807" t="s">
        <v>454</v>
      </c>
      <c r="F807" t="s">
        <v>452</v>
      </c>
      <c r="G807" s="68">
        <v>0</v>
      </c>
      <c r="H807" s="68">
        <v>0</v>
      </c>
      <c r="I807" s="68">
        <v>1</v>
      </c>
      <c r="J807" s="68">
        <v>0</v>
      </c>
      <c r="K807" s="68">
        <v>1</v>
      </c>
      <c r="L807" s="68">
        <v>0</v>
      </c>
      <c r="M807" s="68">
        <v>0</v>
      </c>
      <c r="N807" s="68">
        <v>0</v>
      </c>
    </row>
    <row r="808" spans="1:14">
      <c r="A808" t="s">
        <v>444</v>
      </c>
      <c r="B808" t="s">
        <v>445</v>
      </c>
      <c r="C808" t="s">
        <v>1119</v>
      </c>
      <c r="D808" t="s">
        <v>397</v>
      </c>
      <c r="E808" t="s">
        <v>454</v>
      </c>
      <c r="F808" t="s">
        <v>630</v>
      </c>
      <c r="G808" s="68">
        <v>47</v>
      </c>
      <c r="H808" s="68">
        <v>61</v>
      </c>
      <c r="I808" s="68">
        <v>61</v>
      </c>
      <c r="J808" s="68">
        <v>68</v>
      </c>
      <c r="K808" s="68">
        <v>52</v>
      </c>
      <c r="L808" s="68">
        <v>83</v>
      </c>
      <c r="M808" s="68">
        <v>38</v>
      </c>
      <c r="N808" s="68">
        <v>38</v>
      </c>
    </row>
    <row r="809" spans="1:14">
      <c r="A809" t="s">
        <v>444</v>
      </c>
      <c r="B809" t="s">
        <v>445</v>
      </c>
      <c r="C809" t="s">
        <v>1119</v>
      </c>
      <c r="D809" t="s">
        <v>397</v>
      </c>
      <c r="E809" t="s">
        <v>1120</v>
      </c>
      <c r="F809" t="s">
        <v>630</v>
      </c>
      <c r="G809" s="68">
        <v>0</v>
      </c>
      <c r="H809" s="68">
        <v>2</v>
      </c>
      <c r="I809" s="68">
        <v>0</v>
      </c>
      <c r="J809" s="68">
        <v>0</v>
      </c>
      <c r="K809" s="68">
        <v>0</v>
      </c>
      <c r="L809" s="68">
        <v>0</v>
      </c>
      <c r="M809" s="68">
        <v>0</v>
      </c>
      <c r="N809" s="68">
        <v>0</v>
      </c>
    </row>
    <row r="810" spans="1:14">
      <c r="A810" t="s">
        <v>444</v>
      </c>
      <c r="B810" t="s">
        <v>445</v>
      </c>
      <c r="C810" t="s">
        <v>1119</v>
      </c>
      <c r="D810" t="s">
        <v>397</v>
      </c>
      <c r="E810" t="s">
        <v>1121</v>
      </c>
      <c r="F810" t="s">
        <v>630</v>
      </c>
      <c r="G810" s="68">
        <v>3</v>
      </c>
      <c r="H810" s="68">
        <v>3</v>
      </c>
      <c r="I810" s="68">
        <v>0</v>
      </c>
      <c r="J810" s="68">
        <v>7</v>
      </c>
      <c r="K810" s="68">
        <v>4</v>
      </c>
      <c r="L810" s="68">
        <v>12</v>
      </c>
      <c r="M810" s="68">
        <v>11</v>
      </c>
      <c r="N810" s="68">
        <v>6</v>
      </c>
    </row>
    <row r="811" spans="1:14">
      <c r="A811" t="s">
        <v>444</v>
      </c>
      <c r="B811" t="s">
        <v>445</v>
      </c>
      <c r="C811" t="s">
        <v>1119</v>
      </c>
      <c r="D811" t="s">
        <v>397</v>
      </c>
      <c r="E811" t="s">
        <v>1122</v>
      </c>
      <c r="F811" t="s">
        <v>630</v>
      </c>
      <c r="G811" s="68">
        <v>19</v>
      </c>
      <c r="H811" s="68">
        <v>32</v>
      </c>
      <c r="I811" s="68">
        <v>31</v>
      </c>
      <c r="J811" s="68">
        <v>42</v>
      </c>
      <c r="K811" s="68">
        <v>27</v>
      </c>
      <c r="L811" s="68">
        <v>43</v>
      </c>
      <c r="M811" s="68">
        <v>37</v>
      </c>
      <c r="N811" s="68">
        <v>29</v>
      </c>
    </row>
    <row r="812" spans="1:14">
      <c r="A812" t="s">
        <v>444</v>
      </c>
      <c r="B812" t="s">
        <v>445</v>
      </c>
      <c r="C812" t="s">
        <v>1119</v>
      </c>
      <c r="D812" t="s">
        <v>397</v>
      </c>
      <c r="E812" t="s">
        <v>1123</v>
      </c>
      <c r="F812" t="s">
        <v>630</v>
      </c>
      <c r="G812" s="68">
        <v>6</v>
      </c>
      <c r="H812" s="68">
        <v>0</v>
      </c>
      <c r="I812" s="68">
        <v>5</v>
      </c>
      <c r="J812" s="68">
        <v>3</v>
      </c>
      <c r="K812" s="68">
        <v>2</v>
      </c>
      <c r="L812" s="68">
        <v>1</v>
      </c>
      <c r="M812" s="68">
        <v>5</v>
      </c>
      <c r="N812" s="68">
        <v>5</v>
      </c>
    </row>
    <row r="813" spans="1:14">
      <c r="A813" t="s">
        <v>444</v>
      </c>
      <c r="B813" t="s">
        <v>445</v>
      </c>
      <c r="C813" t="s">
        <v>1119</v>
      </c>
      <c r="D813" t="s">
        <v>397</v>
      </c>
      <c r="E813" t="s">
        <v>1124</v>
      </c>
      <c r="F813" t="s">
        <v>630</v>
      </c>
      <c r="G813" s="68">
        <v>0</v>
      </c>
      <c r="H813" s="68">
        <v>0</v>
      </c>
      <c r="I813" s="68">
        <v>0</v>
      </c>
      <c r="J813" s="68">
        <v>0</v>
      </c>
      <c r="K813" s="68">
        <v>1</v>
      </c>
      <c r="L813" s="68">
        <v>0</v>
      </c>
      <c r="M813" s="68">
        <v>0</v>
      </c>
      <c r="N813" s="68">
        <v>0</v>
      </c>
    </row>
    <row r="814" spans="1:14">
      <c r="A814" t="s">
        <v>444</v>
      </c>
      <c r="B814" t="s">
        <v>445</v>
      </c>
      <c r="C814" t="s">
        <v>1119</v>
      </c>
      <c r="D814" t="s">
        <v>397</v>
      </c>
      <c r="E814" t="s">
        <v>1125</v>
      </c>
      <c r="F814" t="s">
        <v>630</v>
      </c>
      <c r="G814" s="68">
        <v>0</v>
      </c>
      <c r="H814" s="68">
        <v>0</v>
      </c>
      <c r="I814" s="68">
        <v>0</v>
      </c>
      <c r="J814" s="68">
        <v>0</v>
      </c>
      <c r="K814" s="68">
        <v>1</v>
      </c>
      <c r="L814" s="68">
        <v>0</v>
      </c>
      <c r="M814" s="68">
        <v>0</v>
      </c>
      <c r="N814" s="68">
        <v>0</v>
      </c>
    </row>
    <row r="815" spans="1:14">
      <c r="A815" t="s">
        <v>444</v>
      </c>
      <c r="B815" t="s">
        <v>445</v>
      </c>
      <c r="C815" t="s">
        <v>1119</v>
      </c>
      <c r="D815" t="s">
        <v>397</v>
      </c>
      <c r="E815" t="s">
        <v>1126</v>
      </c>
      <c r="F815" t="s">
        <v>630</v>
      </c>
      <c r="G815" s="68">
        <v>0</v>
      </c>
      <c r="H815" s="68">
        <v>0</v>
      </c>
      <c r="I815" s="68">
        <v>0</v>
      </c>
      <c r="J815" s="68">
        <v>0</v>
      </c>
      <c r="K815" s="68">
        <v>0</v>
      </c>
      <c r="L815" s="68">
        <v>0</v>
      </c>
      <c r="M815" s="68">
        <v>0</v>
      </c>
      <c r="N815" s="68">
        <v>1</v>
      </c>
    </row>
    <row r="816" spans="1:14">
      <c r="A816" t="s">
        <v>444</v>
      </c>
      <c r="B816" t="s">
        <v>445</v>
      </c>
      <c r="C816" t="s">
        <v>1119</v>
      </c>
      <c r="D816" t="s">
        <v>397</v>
      </c>
      <c r="E816" t="s">
        <v>1127</v>
      </c>
      <c r="F816" t="s">
        <v>630</v>
      </c>
      <c r="G816" s="68">
        <v>2</v>
      </c>
      <c r="H816" s="68">
        <v>6</v>
      </c>
      <c r="I816" s="68">
        <v>1</v>
      </c>
      <c r="J816" s="68">
        <v>2</v>
      </c>
      <c r="K816" s="68">
        <v>2</v>
      </c>
      <c r="L816" s="68">
        <v>1</v>
      </c>
      <c r="M816" s="68">
        <v>2</v>
      </c>
      <c r="N816" s="68">
        <v>0</v>
      </c>
    </row>
    <row r="817" spans="1:14">
      <c r="A817" t="s">
        <v>444</v>
      </c>
      <c r="B817" t="s">
        <v>445</v>
      </c>
      <c r="C817" t="s">
        <v>1119</v>
      </c>
      <c r="D817" t="s">
        <v>397</v>
      </c>
      <c r="E817" t="s">
        <v>1128</v>
      </c>
      <c r="F817" t="s">
        <v>630</v>
      </c>
      <c r="G817" s="68">
        <v>11</v>
      </c>
      <c r="H817" s="68">
        <v>14</v>
      </c>
      <c r="I817" s="68">
        <v>15</v>
      </c>
      <c r="J817" s="68">
        <v>11</v>
      </c>
      <c r="K817" s="68">
        <v>14</v>
      </c>
      <c r="L817" s="68">
        <v>19</v>
      </c>
      <c r="M817" s="68">
        <v>14</v>
      </c>
      <c r="N817" s="68">
        <v>8</v>
      </c>
    </row>
    <row r="818" spans="1:14">
      <c r="A818" t="s">
        <v>444</v>
      </c>
      <c r="B818" t="s">
        <v>445</v>
      </c>
      <c r="C818" t="s">
        <v>1119</v>
      </c>
      <c r="D818" t="s">
        <v>397</v>
      </c>
      <c r="E818" t="s">
        <v>1129</v>
      </c>
      <c r="F818" t="s">
        <v>630</v>
      </c>
      <c r="G818" s="68">
        <v>0</v>
      </c>
      <c r="H818" s="68">
        <v>1</v>
      </c>
      <c r="I818" s="68">
        <v>0</v>
      </c>
      <c r="J818" s="68">
        <v>1</v>
      </c>
      <c r="K818" s="68">
        <v>2</v>
      </c>
      <c r="L818" s="68">
        <v>1</v>
      </c>
      <c r="M818" s="68">
        <v>0</v>
      </c>
      <c r="N818" s="68">
        <v>2</v>
      </c>
    </row>
    <row r="819" spans="1:14">
      <c r="A819" t="s">
        <v>444</v>
      </c>
      <c r="B819" t="s">
        <v>445</v>
      </c>
      <c r="C819" t="s">
        <v>1119</v>
      </c>
      <c r="D819" t="s">
        <v>397</v>
      </c>
      <c r="E819" t="s">
        <v>711</v>
      </c>
      <c r="F819" t="s">
        <v>630</v>
      </c>
      <c r="G819" s="68">
        <v>2</v>
      </c>
      <c r="H819" s="68">
        <v>0</v>
      </c>
      <c r="I819" s="68">
        <v>0</v>
      </c>
      <c r="J819" s="68">
        <v>0</v>
      </c>
      <c r="K819" s="68">
        <v>0</v>
      </c>
      <c r="L819" s="68">
        <v>0</v>
      </c>
      <c r="M819" s="68">
        <v>0</v>
      </c>
      <c r="N819" s="68">
        <v>0</v>
      </c>
    </row>
    <row r="820" spans="1:14">
      <c r="A820" t="s">
        <v>444</v>
      </c>
      <c r="B820" t="s">
        <v>445</v>
      </c>
      <c r="C820" t="s">
        <v>1119</v>
      </c>
      <c r="D820" t="s">
        <v>397</v>
      </c>
      <c r="E820" t="s">
        <v>1130</v>
      </c>
      <c r="F820" t="s">
        <v>630</v>
      </c>
      <c r="G820" s="68">
        <v>0</v>
      </c>
      <c r="H820" s="68">
        <v>8</v>
      </c>
      <c r="I820" s="68">
        <v>10</v>
      </c>
      <c r="J820" s="68">
        <v>12</v>
      </c>
      <c r="K820" s="68">
        <v>6</v>
      </c>
      <c r="L820" s="68">
        <v>4</v>
      </c>
      <c r="M820" s="68">
        <v>6</v>
      </c>
      <c r="N820" s="68">
        <v>3</v>
      </c>
    </row>
    <row r="821" spans="1:14">
      <c r="A821" t="s">
        <v>444</v>
      </c>
      <c r="B821" t="s">
        <v>445</v>
      </c>
      <c r="C821" t="s">
        <v>1119</v>
      </c>
      <c r="D821" t="s">
        <v>397</v>
      </c>
      <c r="E821" t="s">
        <v>1131</v>
      </c>
      <c r="F821" t="s">
        <v>630</v>
      </c>
      <c r="G821" s="68">
        <v>0</v>
      </c>
      <c r="H821" s="68">
        <v>0</v>
      </c>
      <c r="I821" s="68">
        <v>1</v>
      </c>
      <c r="J821" s="68">
        <v>0</v>
      </c>
      <c r="K821" s="68">
        <v>0</v>
      </c>
      <c r="L821" s="68">
        <v>0</v>
      </c>
      <c r="M821" s="68">
        <v>1</v>
      </c>
      <c r="N821" s="68">
        <v>0</v>
      </c>
    </row>
    <row r="822" spans="1:14">
      <c r="A822" t="s">
        <v>444</v>
      </c>
      <c r="B822" t="s">
        <v>445</v>
      </c>
      <c r="C822" t="s">
        <v>1119</v>
      </c>
      <c r="D822" t="s">
        <v>397</v>
      </c>
      <c r="E822" t="s">
        <v>1132</v>
      </c>
      <c r="F822" t="s">
        <v>630</v>
      </c>
      <c r="G822" s="68">
        <v>6</v>
      </c>
      <c r="H822" s="68">
        <v>6</v>
      </c>
      <c r="I822" s="68">
        <v>8</v>
      </c>
      <c r="J822" s="68">
        <v>20</v>
      </c>
      <c r="K822" s="68">
        <v>15</v>
      </c>
      <c r="L822" s="68">
        <v>13</v>
      </c>
      <c r="M822" s="68">
        <v>28</v>
      </c>
      <c r="N822" s="68">
        <v>22</v>
      </c>
    </row>
    <row r="823" spans="1:14">
      <c r="A823" t="s">
        <v>444</v>
      </c>
      <c r="B823" t="s">
        <v>445</v>
      </c>
      <c r="C823" t="s">
        <v>1119</v>
      </c>
      <c r="D823" t="s">
        <v>397</v>
      </c>
      <c r="E823" t="s">
        <v>1133</v>
      </c>
      <c r="F823" t="s">
        <v>630</v>
      </c>
      <c r="G823" s="68">
        <v>0</v>
      </c>
      <c r="H823" s="68">
        <v>0</v>
      </c>
      <c r="I823" s="68">
        <v>0</v>
      </c>
      <c r="J823" s="68">
        <v>2</v>
      </c>
      <c r="K823" s="68">
        <v>1</v>
      </c>
      <c r="L823" s="68">
        <v>5</v>
      </c>
      <c r="M823" s="68">
        <v>2</v>
      </c>
      <c r="N823" s="68">
        <v>4</v>
      </c>
    </row>
    <row r="824" spans="1:14">
      <c r="A824" t="s">
        <v>444</v>
      </c>
      <c r="B824" t="s">
        <v>445</v>
      </c>
      <c r="C824" t="s">
        <v>1119</v>
      </c>
      <c r="D824" t="s">
        <v>397</v>
      </c>
      <c r="E824" t="s">
        <v>1134</v>
      </c>
      <c r="F824" t="s">
        <v>630</v>
      </c>
      <c r="G824" s="68">
        <v>59</v>
      </c>
      <c r="H824" s="68">
        <v>78</v>
      </c>
      <c r="I824" s="68">
        <v>85</v>
      </c>
      <c r="J824" s="68">
        <v>94</v>
      </c>
      <c r="K824" s="68">
        <v>87</v>
      </c>
      <c r="L824" s="68">
        <v>125</v>
      </c>
      <c r="M824" s="68">
        <v>132</v>
      </c>
      <c r="N824" s="68">
        <v>102</v>
      </c>
    </row>
    <row r="825" spans="1:14">
      <c r="A825" t="s">
        <v>444</v>
      </c>
      <c r="B825" t="s">
        <v>445</v>
      </c>
      <c r="C825" t="s">
        <v>1119</v>
      </c>
      <c r="D825" t="s">
        <v>397</v>
      </c>
      <c r="E825" t="s">
        <v>1135</v>
      </c>
      <c r="F825" t="s">
        <v>630</v>
      </c>
      <c r="G825" s="68">
        <v>11</v>
      </c>
      <c r="H825" s="68">
        <v>19</v>
      </c>
      <c r="I825" s="68">
        <v>7</v>
      </c>
      <c r="J825" s="68">
        <v>11</v>
      </c>
      <c r="K825" s="68">
        <v>17</v>
      </c>
      <c r="L825" s="68">
        <v>9</v>
      </c>
      <c r="M825" s="68">
        <v>18</v>
      </c>
      <c r="N825" s="68">
        <v>9</v>
      </c>
    </row>
    <row r="826" spans="1:14">
      <c r="A826" t="s">
        <v>444</v>
      </c>
      <c r="B826" t="s">
        <v>445</v>
      </c>
      <c r="C826" t="s">
        <v>1119</v>
      </c>
      <c r="D826" t="s">
        <v>397</v>
      </c>
      <c r="E826" t="s">
        <v>1136</v>
      </c>
      <c r="F826" t="s">
        <v>630</v>
      </c>
      <c r="G826" s="68">
        <v>0</v>
      </c>
      <c r="H826" s="68">
        <v>0</v>
      </c>
      <c r="I826" s="68">
        <v>1</v>
      </c>
      <c r="J826" s="68">
        <v>0</v>
      </c>
      <c r="K826" s="68">
        <v>0</v>
      </c>
      <c r="L826" s="68">
        <v>0</v>
      </c>
      <c r="M826" s="68">
        <v>0</v>
      </c>
      <c r="N826" s="68">
        <v>0</v>
      </c>
    </row>
    <row r="827" spans="1:14">
      <c r="A827" t="s">
        <v>444</v>
      </c>
      <c r="B827" t="s">
        <v>445</v>
      </c>
      <c r="C827" t="s">
        <v>1119</v>
      </c>
      <c r="D827" t="s">
        <v>397</v>
      </c>
      <c r="E827" t="s">
        <v>1137</v>
      </c>
      <c r="F827" t="s">
        <v>630</v>
      </c>
      <c r="G827" s="68">
        <v>0</v>
      </c>
      <c r="H827" s="68">
        <v>0</v>
      </c>
      <c r="I827" s="68">
        <v>0</v>
      </c>
      <c r="J827" s="68">
        <v>1</v>
      </c>
      <c r="K827" s="68">
        <v>0</v>
      </c>
      <c r="L827" s="68">
        <v>0</v>
      </c>
      <c r="M827" s="68">
        <v>0</v>
      </c>
      <c r="N827" s="68">
        <v>0</v>
      </c>
    </row>
    <row r="828" spans="1:14">
      <c r="A828" t="s">
        <v>444</v>
      </c>
      <c r="B828" t="s">
        <v>445</v>
      </c>
      <c r="C828" t="s">
        <v>1119</v>
      </c>
      <c r="D828" t="s">
        <v>397</v>
      </c>
      <c r="E828" t="s">
        <v>1138</v>
      </c>
      <c r="F828" t="s">
        <v>630</v>
      </c>
      <c r="G828" s="68">
        <v>0</v>
      </c>
      <c r="H828" s="68">
        <v>0</v>
      </c>
      <c r="I828" s="68">
        <v>0</v>
      </c>
      <c r="J828" s="68">
        <v>1</v>
      </c>
      <c r="K828" s="68">
        <v>0</v>
      </c>
      <c r="L828" s="68">
        <v>0</v>
      </c>
      <c r="M828" s="68">
        <v>0</v>
      </c>
      <c r="N828" s="68">
        <v>0</v>
      </c>
    </row>
    <row r="829" spans="1:14">
      <c r="A829" t="s">
        <v>444</v>
      </c>
      <c r="B829" t="s">
        <v>445</v>
      </c>
      <c r="C829" t="s">
        <v>1119</v>
      </c>
      <c r="D829" t="s">
        <v>397</v>
      </c>
      <c r="E829" t="s">
        <v>1139</v>
      </c>
      <c r="F829" t="s">
        <v>630</v>
      </c>
      <c r="G829" s="68">
        <v>0</v>
      </c>
      <c r="H829" s="68">
        <v>0</v>
      </c>
      <c r="I829" s="68">
        <v>0</v>
      </c>
      <c r="J829" s="68">
        <v>0</v>
      </c>
      <c r="K829" s="68">
        <v>0</v>
      </c>
      <c r="L829" s="68">
        <v>1</v>
      </c>
      <c r="M829" s="68">
        <v>0</v>
      </c>
      <c r="N829" s="68">
        <v>1</v>
      </c>
    </row>
    <row r="830" spans="1:14">
      <c r="A830" t="s">
        <v>444</v>
      </c>
      <c r="B830" t="s">
        <v>445</v>
      </c>
      <c r="C830" t="s">
        <v>1119</v>
      </c>
      <c r="D830" t="s">
        <v>397</v>
      </c>
      <c r="E830" t="s">
        <v>1140</v>
      </c>
      <c r="F830" t="s">
        <v>630</v>
      </c>
      <c r="G830" s="68">
        <v>2</v>
      </c>
      <c r="H830" s="68">
        <v>1</v>
      </c>
      <c r="I830" s="68">
        <v>1</v>
      </c>
      <c r="J830" s="68">
        <v>1</v>
      </c>
      <c r="K830" s="68">
        <v>1</v>
      </c>
      <c r="L830" s="68">
        <v>0</v>
      </c>
      <c r="M830" s="68">
        <v>0</v>
      </c>
      <c r="N830" s="68">
        <v>1</v>
      </c>
    </row>
    <row r="831" spans="1:14">
      <c r="A831" t="s">
        <v>444</v>
      </c>
      <c r="B831" t="s">
        <v>445</v>
      </c>
      <c r="C831" t="s">
        <v>1119</v>
      </c>
      <c r="D831" t="s">
        <v>397</v>
      </c>
      <c r="E831" t="s">
        <v>1141</v>
      </c>
      <c r="F831" t="s">
        <v>630</v>
      </c>
      <c r="G831" s="68">
        <v>23</v>
      </c>
      <c r="H831" s="68">
        <v>29</v>
      </c>
      <c r="I831" s="68">
        <v>43</v>
      </c>
      <c r="J831" s="68">
        <v>34</v>
      </c>
      <c r="K831" s="68">
        <v>21</v>
      </c>
      <c r="L831" s="68">
        <v>22</v>
      </c>
      <c r="M831" s="68">
        <v>25</v>
      </c>
      <c r="N831" s="68">
        <v>23</v>
      </c>
    </row>
    <row r="832" spans="1:14">
      <c r="A832" t="s">
        <v>444</v>
      </c>
      <c r="B832" t="s">
        <v>445</v>
      </c>
      <c r="C832" t="s">
        <v>1119</v>
      </c>
      <c r="D832" t="s">
        <v>382</v>
      </c>
      <c r="E832" t="s">
        <v>454</v>
      </c>
      <c r="F832" t="s">
        <v>452</v>
      </c>
      <c r="G832" s="68">
        <v>2</v>
      </c>
      <c r="H832" s="68">
        <v>320</v>
      </c>
      <c r="I832" s="68">
        <v>43</v>
      </c>
      <c r="J832" s="68">
        <v>46</v>
      </c>
      <c r="K832" s="68">
        <v>70</v>
      </c>
      <c r="L832" s="68">
        <v>213</v>
      </c>
      <c r="M832" s="68">
        <v>129</v>
      </c>
      <c r="N832" s="68">
        <v>86</v>
      </c>
    </row>
    <row r="833" spans="1:14">
      <c r="A833" t="s">
        <v>444</v>
      </c>
      <c r="B833" t="s">
        <v>445</v>
      </c>
      <c r="C833" t="s">
        <v>1119</v>
      </c>
      <c r="D833" t="s">
        <v>377</v>
      </c>
      <c r="E833" t="s">
        <v>454</v>
      </c>
      <c r="F833" t="s">
        <v>447</v>
      </c>
      <c r="G833" s="68">
        <v>340</v>
      </c>
      <c r="H833" s="68">
        <v>524</v>
      </c>
      <c r="I833" s="68">
        <v>457</v>
      </c>
      <c r="J833" s="68">
        <v>443</v>
      </c>
      <c r="K833" s="68">
        <v>319</v>
      </c>
      <c r="L833" s="68">
        <v>385</v>
      </c>
      <c r="M833" s="68">
        <v>405</v>
      </c>
      <c r="N833" s="68">
        <v>412</v>
      </c>
    </row>
    <row r="834" spans="1:14">
      <c r="A834" t="s">
        <v>444</v>
      </c>
      <c r="B834" t="s">
        <v>445</v>
      </c>
      <c r="C834" t="s">
        <v>1119</v>
      </c>
      <c r="D834" t="s">
        <v>366</v>
      </c>
      <c r="E834" t="s">
        <v>454</v>
      </c>
      <c r="F834" t="s">
        <v>449</v>
      </c>
      <c r="G834" s="68">
        <v>0</v>
      </c>
      <c r="H834" s="68">
        <v>17</v>
      </c>
      <c r="I834" s="68">
        <v>10</v>
      </c>
      <c r="J834" s="68">
        <v>8</v>
      </c>
      <c r="K834" s="68">
        <v>0</v>
      </c>
      <c r="L834" s="68">
        <v>1</v>
      </c>
      <c r="M834" s="68">
        <v>0</v>
      </c>
      <c r="N834" s="68">
        <v>1</v>
      </c>
    </row>
    <row r="835" spans="1:14">
      <c r="A835" t="s">
        <v>444</v>
      </c>
      <c r="B835" t="s">
        <v>445</v>
      </c>
      <c r="C835" t="s">
        <v>1119</v>
      </c>
      <c r="D835" t="s">
        <v>353</v>
      </c>
      <c r="E835" t="s">
        <v>1142</v>
      </c>
      <c r="F835" t="s">
        <v>449</v>
      </c>
      <c r="G835" s="68">
        <v>1</v>
      </c>
      <c r="H835" s="68">
        <v>0</v>
      </c>
      <c r="I835" s="68">
        <v>1</v>
      </c>
      <c r="J835" s="68">
        <v>1</v>
      </c>
      <c r="K835" s="68">
        <v>0</v>
      </c>
      <c r="L835" s="68">
        <v>1</v>
      </c>
      <c r="M835" s="68">
        <v>1</v>
      </c>
      <c r="N835" s="68">
        <v>0</v>
      </c>
    </row>
    <row r="836" spans="1:14">
      <c r="A836" t="s">
        <v>444</v>
      </c>
      <c r="B836" t="s">
        <v>445</v>
      </c>
      <c r="C836" t="s">
        <v>1119</v>
      </c>
      <c r="D836" t="s">
        <v>353</v>
      </c>
      <c r="E836" t="s">
        <v>1143</v>
      </c>
      <c r="F836" t="s">
        <v>472</v>
      </c>
      <c r="G836" s="68">
        <v>0</v>
      </c>
      <c r="H836" s="68">
        <v>1</v>
      </c>
      <c r="I836" s="68">
        <v>2</v>
      </c>
      <c r="J836" s="68">
        <v>0</v>
      </c>
      <c r="K836" s="68">
        <v>0</v>
      </c>
      <c r="L836" s="68">
        <v>1</v>
      </c>
      <c r="M836" s="68">
        <v>0</v>
      </c>
      <c r="N836" s="68">
        <v>0</v>
      </c>
    </row>
    <row r="837" spans="1:14">
      <c r="A837" t="s">
        <v>444</v>
      </c>
      <c r="B837" t="s">
        <v>445</v>
      </c>
      <c r="C837" t="s">
        <v>1119</v>
      </c>
      <c r="D837" t="s">
        <v>353</v>
      </c>
      <c r="E837" t="s">
        <v>1144</v>
      </c>
      <c r="F837" t="s">
        <v>472</v>
      </c>
      <c r="G837" s="68">
        <v>0</v>
      </c>
      <c r="H837" s="68">
        <v>0</v>
      </c>
      <c r="I837" s="68">
        <v>0</v>
      </c>
      <c r="J837" s="68">
        <v>0</v>
      </c>
      <c r="K837" s="68">
        <v>1</v>
      </c>
      <c r="L837" s="68">
        <v>0</v>
      </c>
      <c r="M837" s="68">
        <v>0</v>
      </c>
      <c r="N837" s="68">
        <v>0</v>
      </c>
    </row>
    <row r="838" spans="1:14">
      <c r="A838" t="s">
        <v>444</v>
      </c>
      <c r="B838" t="s">
        <v>445</v>
      </c>
      <c r="C838" t="s">
        <v>1119</v>
      </c>
      <c r="D838" t="s">
        <v>352</v>
      </c>
      <c r="E838" t="s">
        <v>454</v>
      </c>
      <c r="F838" t="s">
        <v>447</v>
      </c>
      <c r="G838" s="68">
        <v>246</v>
      </c>
      <c r="H838" s="68">
        <v>241</v>
      </c>
      <c r="I838" s="68">
        <v>163</v>
      </c>
      <c r="J838" s="68">
        <v>302</v>
      </c>
      <c r="K838" s="68">
        <v>115</v>
      </c>
      <c r="L838" s="68">
        <v>120</v>
      </c>
      <c r="M838" s="68">
        <v>231</v>
      </c>
      <c r="N838" s="68">
        <v>140</v>
      </c>
    </row>
    <row r="839" spans="1:14">
      <c r="A839" t="s">
        <v>444</v>
      </c>
      <c r="B839" t="s">
        <v>445</v>
      </c>
      <c r="C839" t="s">
        <v>1119</v>
      </c>
      <c r="D839" t="s">
        <v>351</v>
      </c>
      <c r="E839" t="s">
        <v>454</v>
      </c>
      <c r="F839" t="s">
        <v>452</v>
      </c>
      <c r="G839" s="68">
        <v>781</v>
      </c>
      <c r="H839" s="68">
        <v>1468</v>
      </c>
      <c r="I839" s="68">
        <v>1170</v>
      </c>
      <c r="J839" s="68">
        <v>1656</v>
      </c>
      <c r="K839" s="68">
        <v>1203</v>
      </c>
      <c r="L839" s="68">
        <v>1413</v>
      </c>
      <c r="M839" s="68">
        <v>1567</v>
      </c>
      <c r="N839" s="68">
        <v>1418</v>
      </c>
    </row>
    <row r="840" spans="1:14">
      <c r="A840" t="s">
        <v>444</v>
      </c>
      <c r="B840" t="s">
        <v>445</v>
      </c>
      <c r="C840" t="s">
        <v>1119</v>
      </c>
      <c r="D840" t="s">
        <v>347</v>
      </c>
      <c r="E840" t="s">
        <v>454</v>
      </c>
      <c r="F840" t="s">
        <v>447</v>
      </c>
      <c r="G840" s="68">
        <v>0</v>
      </c>
      <c r="H840" s="68">
        <v>0</v>
      </c>
      <c r="I840" s="68">
        <v>2</v>
      </c>
      <c r="J840" s="68">
        <v>0</v>
      </c>
      <c r="K840" s="68">
        <v>0</v>
      </c>
      <c r="L840" s="68">
        <v>0</v>
      </c>
      <c r="M840" s="68">
        <v>0</v>
      </c>
      <c r="N840" s="68">
        <v>0</v>
      </c>
    </row>
    <row r="841" spans="1:14">
      <c r="A841" t="s">
        <v>444</v>
      </c>
      <c r="B841" t="s">
        <v>445</v>
      </c>
      <c r="C841" t="s">
        <v>1119</v>
      </c>
      <c r="D841" t="s">
        <v>347</v>
      </c>
      <c r="E841" t="s">
        <v>1145</v>
      </c>
      <c r="F841" t="s">
        <v>447</v>
      </c>
      <c r="G841" s="68">
        <v>0</v>
      </c>
      <c r="H841" s="68">
        <v>0</v>
      </c>
      <c r="I841" s="68">
        <v>0</v>
      </c>
      <c r="J841" s="68">
        <v>0</v>
      </c>
      <c r="K841" s="68">
        <v>1</v>
      </c>
      <c r="L841" s="68">
        <v>0</v>
      </c>
      <c r="M841" s="68">
        <v>0</v>
      </c>
      <c r="N841" s="68">
        <v>0</v>
      </c>
    </row>
    <row r="842" spans="1:14">
      <c r="A842" t="s">
        <v>444</v>
      </c>
      <c r="B842" t="s">
        <v>445</v>
      </c>
      <c r="C842" t="s">
        <v>1119</v>
      </c>
      <c r="D842" t="s">
        <v>347</v>
      </c>
      <c r="E842" t="s">
        <v>1146</v>
      </c>
      <c r="F842" t="s">
        <v>447</v>
      </c>
      <c r="G842" s="68">
        <v>0</v>
      </c>
      <c r="H842" s="68">
        <v>0</v>
      </c>
      <c r="I842" s="68">
        <v>0</v>
      </c>
      <c r="J842" s="68">
        <v>0</v>
      </c>
      <c r="K842" s="68">
        <v>0</v>
      </c>
      <c r="L842" s="68">
        <v>1</v>
      </c>
      <c r="M842" s="68">
        <v>0</v>
      </c>
      <c r="N842" s="68">
        <v>0</v>
      </c>
    </row>
    <row r="843" spans="1:14">
      <c r="A843" t="s">
        <v>444</v>
      </c>
      <c r="B843" t="s">
        <v>445</v>
      </c>
      <c r="C843" t="s">
        <v>1119</v>
      </c>
      <c r="D843" t="s">
        <v>347</v>
      </c>
      <c r="E843" t="s">
        <v>1147</v>
      </c>
      <c r="F843" t="s">
        <v>447</v>
      </c>
      <c r="G843" s="68">
        <v>0</v>
      </c>
      <c r="H843" s="68">
        <v>2</v>
      </c>
      <c r="I843" s="68">
        <v>2</v>
      </c>
      <c r="J843" s="68">
        <v>1</v>
      </c>
      <c r="K843" s="68">
        <v>0</v>
      </c>
      <c r="L843" s="68">
        <v>2</v>
      </c>
      <c r="M843" s="68">
        <v>2</v>
      </c>
      <c r="N843" s="68">
        <v>2</v>
      </c>
    </row>
    <row r="844" spans="1:14">
      <c r="A844" t="s">
        <v>444</v>
      </c>
      <c r="B844" t="s">
        <v>445</v>
      </c>
      <c r="C844" t="s">
        <v>1119</v>
      </c>
      <c r="D844" t="s">
        <v>347</v>
      </c>
      <c r="E844" t="s">
        <v>1148</v>
      </c>
      <c r="F844" t="s">
        <v>447</v>
      </c>
      <c r="G844" s="68">
        <v>0</v>
      </c>
      <c r="H844" s="68">
        <v>0</v>
      </c>
      <c r="I844" s="68">
        <v>0</v>
      </c>
      <c r="J844" s="68">
        <v>0</v>
      </c>
      <c r="K844" s="68">
        <v>0</v>
      </c>
      <c r="L844" s="68">
        <v>0</v>
      </c>
      <c r="M844" s="68">
        <v>0</v>
      </c>
      <c r="N844" s="68">
        <v>1</v>
      </c>
    </row>
    <row r="845" spans="1:14">
      <c r="A845" t="s">
        <v>444</v>
      </c>
      <c r="B845" t="s">
        <v>445</v>
      </c>
      <c r="C845" t="s">
        <v>1119</v>
      </c>
      <c r="D845" t="s">
        <v>347</v>
      </c>
      <c r="E845" t="s">
        <v>1149</v>
      </c>
      <c r="F845" t="s">
        <v>447</v>
      </c>
      <c r="G845" s="68">
        <v>0</v>
      </c>
      <c r="H845" s="68">
        <v>0</v>
      </c>
      <c r="I845" s="68">
        <v>0</v>
      </c>
      <c r="J845" s="68">
        <v>1</v>
      </c>
      <c r="K845" s="68">
        <v>0</v>
      </c>
      <c r="L845" s="68">
        <v>0</v>
      </c>
      <c r="M845" s="68">
        <v>0</v>
      </c>
      <c r="N845" s="68">
        <v>2</v>
      </c>
    </row>
    <row r="846" spans="1:14">
      <c r="A846" t="s">
        <v>444</v>
      </c>
      <c r="B846" t="s">
        <v>445</v>
      </c>
      <c r="C846" t="s">
        <v>1119</v>
      </c>
      <c r="D846" t="s">
        <v>347</v>
      </c>
      <c r="E846" t="s">
        <v>1150</v>
      </c>
      <c r="F846" t="s">
        <v>447</v>
      </c>
      <c r="G846" s="68">
        <v>0</v>
      </c>
      <c r="H846" s="68">
        <v>0</v>
      </c>
      <c r="I846" s="68">
        <v>0</v>
      </c>
      <c r="J846" s="68">
        <v>0</v>
      </c>
      <c r="K846" s="68">
        <v>1</v>
      </c>
      <c r="L846" s="68">
        <v>0</v>
      </c>
      <c r="M846" s="68">
        <v>0</v>
      </c>
      <c r="N846" s="68">
        <v>0</v>
      </c>
    </row>
    <row r="847" spans="1:14">
      <c r="A847" t="s">
        <v>444</v>
      </c>
      <c r="B847" t="s">
        <v>445</v>
      </c>
      <c r="C847" t="s">
        <v>1119</v>
      </c>
      <c r="D847" t="s">
        <v>347</v>
      </c>
      <c r="E847" t="s">
        <v>1151</v>
      </c>
      <c r="F847" t="s">
        <v>447</v>
      </c>
      <c r="G847" s="68">
        <v>0</v>
      </c>
      <c r="H847" s="68">
        <v>0</v>
      </c>
      <c r="I847" s="68">
        <v>0</v>
      </c>
      <c r="J847" s="68">
        <v>0</v>
      </c>
      <c r="K847" s="68">
        <v>1</v>
      </c>
      <c r="L847" s="68">
        <v>0</v>
      </c>
      <c r="M847" s="68">
        <v>0</v>
      </c>
      <c r="N847" s="68">
        <v>0</v>
      </c>
    </row>
    <row r="848" spans="1:14">
      <c r="A848" t="s">
        <v>444</v>
      </c>
      <c r="B848" t="s">
        <v>445</v>
      </c>
      <c r="C848" t="s">
        <v>1119</v>
      </c>
      <c r="D848" t="s">
        <v>347</v>
      </c>
      <c r="E848" t="s">
        <v>1152</v>
      </c>
      <c r="F848" t="s">
        <v>447</v>
      </c>
      <c r="G848" s="68">
        <v>0</v>
      </c>
      <c r="H848" s="68">
        <v>0</v>
      </c>
      <c r="I848" s="68">
        <v>0</v>
      </c>
      <c r="J848" s="68">
        <v>1</v>
      </c>
      <c r="K848" s="68">
        <v>0</v>
      </c>
      <c r="L848" s="68">
        <v>0</v>
      </c>
      <c r="M848" s="68">
        <v>0</v>
      </c>
      <c r="N848" s="68">
        <v>0</v>
      </c>
    </row>
    <row r="849" spans="1:14">
      <c r="A849" t="s">
        <v>444</v>
      </c>
      <c r="B849" t="s">
        <v>445</v>
      </c>
      <c r="C849" t="s">
        <v>1119</v>
      </c>
      <c r="D849" t="s">
        <v>347</v>
      </c>
      <c r="E849" t="s">
        <v>1153</v>
      </c>
      <c r="F849" t="s">
        <v>447</v>
      </c>
      <c r="G849" s="68">
        <v>0</v>
      </c>
      <c r="H849" s="68">
        <v>3</v>
      </c>
      <c r="I849" s="68">
        <v>0</v>
      </c>
      <c r="J849" s="68">
        <v>0</v>
      </c>
      <c r="K849" s="68">
        <v>0</v>
      </c>
      <c r="L849" s="68">
        <v>1</v>
      </c>
      <c r="M849" s="68">
        <v>1</v>
      </c>
      <c r="N849" s="68">
        <v>1</v>
      </c>
    </row>
    <row r="850" spans="1:14">
      <c r="A850" t="s">
        <v>444</v>
      </c>
      <c r="B850" t="s">
        <v>445</v>
      </c>
      <c r="C850" t="s">
        <v>1119</v>
      </c>
      <c r="D850" t="s">
        <v>347</v>
      </c>
      <c r="E850" t="s">
        <v>1154</v>
      </c>
      <c r="F850" t="s">
        <v>447</v>
      </c>
      <c r="G850" s="68">
        <v>0</v>
      </c>
      <c r="H850" s="68">
        <v>0</v>
      </c>
      <c r="I850" s="68">
        <v>0</v>
      </c>
      <c r="J850" s="68">
        <v>0</v>
      </c>
      <c r="K850" s="68">
        <v>0</v>
      </c>
      <c r="L850" s="68">
        <v>0</v>
      </c>
      <c r="M850" s="68">
        <v>1</v>
      </c>
      <c r="N850" s="68">
        <v>0</v>
      </c>
    </row>
    <row r="851" spans="1:14">
      <c r="A851" t="s">
        <v>444</v>
      </c>
      <c r="B851" t="s">
        <v>445</v>
      </c>
      <c r="C851" t="s">
        <v>1119</v>
      </c>
      <c r="D851" t="s">
        <v>347</v>
      </c>
      <c r="E851" t="s">
        <v>1141</v>
      </c>
      <c r="F851" t="s">
        <v>447</v>
      </c>
      <c r="G851" s="68">
        <v>2</v>
      </c>
      <c r="H851" s="68">
        <v>1</v>
      </c>
      <c r="I851" s="68">
        <v>0</v>
      </c>
      <c r="J851" s="68">
        <v>0</v>
      </c>
      <c r="K851" s="68">
        <v>0</v>
      </c>
      <c r="L851" s="68">
        <v>0</v>
      </c>
      <c r="M851" s="68">
        <v>0</v>
      </c>
      <c r="N851" s="68">
        <v>0</v>
      </c>
    </row>
    <row r="852" spans="1:14">
      <c r="A852" t="s">
        <v>444</v>
      </c>
      <c r="B852" t="s">
        <v>445</v>
      </c>
      <c r="C852" t="s">
        <v>1119</v>
      </c>
      <c r="D852" t="s">
        <v>289</v>
      </c>
      <c r="E852" t="s">
        <v>454</v>
      </c>
      <c r="F852" t="s">
        <v>452</v>
      </c>
      <c r="G852" s="68">
        <v>815</v>
      </c>
      <c r="H852" s="68">
        <v>1445</v>
      </c>
      <c r="I852" s="68">
        <v>1314</v>
      </c>
      <c r="J852" s="68">
        <v>1637</v>
      </c>
      <c r="K852" s="68">
        <v>1391</v>
      </c>
      <c r="L852" s="68">
        <v>1279</v>
      </c>
      <c r="M852" s="68">
        <v>1057</v>
      </c>
      <c r="N852" s="68">
        <v>957</v>
      </c>
    </row>
    <row r="853" spans="1:14">
      <c r="A853" t="s">
        <v>444</v>
      </c>
      <c r="B853" t="s">
        <v>445</v>
      </c>
      <c r="C853" t="s">
        <v>1119</v>
      </c>
      <c r="D853" t="s">
        <v>269</v>
      </c>
      <c r="E853" t="s">
        <v>1155</v>
      </c>
      <c r="F853" t="s">
        <v>459</v>
      </c>
      <c r="G853" s="68">
        <v>4</v>
      </c>
      <c r="H853" s="68">
        <v>0</v>
      </c>
      <c r="I853" s="68">
        <v>0</v>
      </c>
      <c r="J853" s="68">
        <v>2</v>
      </c>
      <c r="K853" s="68">
        <v>2</v>
      </c>
      <c r="L853" s="68">
        <v>1</v>
      </c>
      <c r="M853" s="68">
        <v>1</v>
      </c>
      <c r="N853" s="68">
        <v>3</v>
      </c>
    </row>
    <row r="854" spans="1:14">
      <c r="A854" t="s">
        <v>444</v>
      </c>
      <c r="B854" t="s">
        <v>445</v>
      </c>
      <c r="C854" t="s">
        <v>1119</v>
      </c>
      <c r="D854" t="s">
        <v>269</v>
      </c>
      <c r="E854" t="s">
        <v>1156</v>
      </c>
      <c r="F854" t="s">
        <v>459</v>
      </c>
      <c r="G854" s="68">
        <v>0</v>
      </c>
      <c r="H854" s="68">
        <v>0</v>
      </c>
      <c r="I854" s="68">
        <v>1</v>
      </c>
      <c r="J854" s="68">
        <v>0</v>
      </c>
      <c r="K854" s="68">
        <v>1</v>
      </c>
      <c r="L854" s="68">
        <v>0</v>
      </c>
      <c r="M854" s="68">
        <v>0</v>
      </c>
      <c r="N854" s="68">
        <v>0</v>
      </c>
    </row>
    <row r="855" spans="1:14">
      <c r="A855" t="s">
        <v>444</v>
      </c>
      <c r="B855" t="s">
        <v>445</v>
      </c>
      <c r="C855" t="s">
        <v>1119</v>
      </c>
      <c r="D855" t="s">
        <v>269</v>
      </c>
      <c r="E855" t="s">
        <v>126</v>
      </c>
      <c r="F855" t="s">
        <v>459</v>
      </c>
      <c r="G855" s="68">
        <v>0</v>
      </c>
      <c r="H855" s="68">
        <v>4</v>
      </c>
      <c r="I855" s="68">
        <v>4</v>
      </c>
      <c r="J855" s="68">
        <v>3</v>
      </c>
      <c r="K855" s="68">
        <v>1</v>
      </c>
      <c r="L855" s="68">
        <v>1</v>
      </c>
      <c r="M855" s="68">
        <v>4</v>
      </c>
      <c r="N855" s="68">
        <v>0</v>
      </c>
    </row>
    <row r="856" spans="1:14">
      <c r="A856" t="s">
        <v>444</v>
      </c>
      <c r="B856" t="s">
        <v>445</v>
      </c>
      <c r="C856" t="s">
        <v>1119</v>
      </c>
      <c r="D856" t="s">
        <v>269</v>
      </c>
      <c r="E856" t="s">
        <v>119</v>
      </c>
      <c r="F856" t="s">
        <v>459</v>
      </c>
      <c r="G856" s="68">
        <v>0</v>
      </c>
      <c r="H856" s="68">
        <v>5</v>
      </c>
      <c r="I856" s="68">
        <v>1</v>
      </c>
      <c r="J856" s="68">
        <v>4</v>
      </c>
      <c r="K856" s="68">
        <v>4</v>
      </c>
      <c r="L856" s="68">
        <v>3</v>
      </c>
      <c r="M856" s="68">
        <v>4</v>
      </c>
      <c r="N856" s="68">
        <v>1</v>
      </c>
    </row>
    <row r="857" spans="1:14">
      <c r="A857" t="s">
        <v>444</v>
      </c>
      <c r="B857" t="s">
        <v>445</v>
      </c>
      <c r="C857" t="s">
        <v>1119</v>
      </c>
      <c r="D857" t="s">
        <v>269</v>
      </c>
      <c r="E857" t="s">
        <v>1157</v>
      </c>
      <c r="F857" t="s">
        <v>459</v>
      </c>
      <c r="G857" s="68">
        <v>0</v>
      </c>
      <c r="H857" s="68">
        <v>0</v>
      </c>
      <c r="I857" s="68">
        <v>0</v>
      </c>
      <c r="J857" s="68">
        <v>0</v>
      </c>
      <c r="K857" s="68">
        <v>1</v>
      </c>
      <c r="L857" s="68">
        <v>0</v>
      </c>
      <c r="M857" s="68">
        <v>0</v>
      </c>
      <c r="N857" s="68">
        <v>0</v>
      </c>
    </row>
    <row r="858" spans="1:14">
      <c r="A858" t="s">
        <v>444</v>
      </c>
      <c r="B858" t="s">
        <v>445</v>
      </c>
      <c r="C858" t="s">
        <v>1119</v>
      </c>
      <c r="D858" t="s">
        <v>269</v>
      </c>
      <c r="E858" t="s">
        <v>1158</v>
      </c>
      <c r="F858" t="s">
        <v>459</v>
      </c>
      <c r="G858" s="68">
        <v>0</v>
      </c>
      <c r="H858" s="68">
        <v>1</v>
      </c>
      <c r="I858" s="68">
        <v>0</v>
      </c>
      <c r="J858" s="68">
        <v>0</v>
      </c>
      <c r="K858" s="68">
        <v>0</v>
      </c>
      <c r="L858" s="68">
        <v>0</v>
      </c>
      <c r="M858" s="68">
        <v>1</v>
      </c>
      <c r="N858" s="68">
        <v>0</v>
      </c>
    </row>
    <row r="859" spans="1:14">
      <c r="A859" t="s">
        <v>444</v>
      </c>
      <c r="B859" t="s">
        <v>445</v>
      </c>
      <c r="C859" t="s">
        <v>1119</v>
      </c>
      <c r="D859" t="s">
        <v>269</v>
      </c>
      <c r="E859" t="s">
        <v>1159</v>
      </c>
      <c r="F859" t="s">
        <v>459</v>
      </c>
      <c r="G859" s="68">
        <v>0</v>
      </c>
      <c r="H859" s="68">
        <v>0</v>
      </c>
      <c r="I859" s="68">
        <v>0</v>
      </c>
      <c r="J859" s="68">
        <v>1</v>
      </c>
      <c r="K859" s="68">
        <v>0</v>
      </c>
      <c r="L859" s="68">
        <v>0</v>
      </c>
      <c r="M859" s="68">
        <v>0</v>
      </c>
      <c r="N859" s="68">
        <v>1</v>
      </c>
    </row>
    <row r="860" spans="1:14">
      <c r="A860" t="s">
        <v>444</v>
      </c>
      <c r="B860" t="s">
        <v>445</v>
      </c>
      <c r="C860" t="s">
        <v>1119</v>
      </c>
      <c r="D860" t="s">
        <v>269</v>
      </c>
      <c r="E860" t="s">
        <v>1160</v>
      </c>
      <c r="F860" t="s">
        <v>459</v>
      </c>
      <c r="G860" s="68">
        <v>0</v>
      </c>
      <c r="H860" s="68">
        <v>1</v>
      </c>
      <c r="I860" s="68">
        <v>1</v>
      </c>
      <c r="J860" s="68">
        <v>1</v>
      </c>
      <c r="K860" s="68">
        <v>0</v>
      </c>
      <c r="L860" s="68">
        <v>0</v>
      </c>
      <c r="M860" s="68">
        <v>1</v>
      </c>
      <c r="N860" s="68">
        <v>0</v>
      </c>
    </row>
    <row r="861" spans="1:14">
      <c r="A861" t="s">
        <v>444</v>
      </c>
      <c r="B861" t="s">
        <v>445</v>
      </c>
      <c r="C861" t="s">
        <v>1119</v>
      </c>
      <c r="D861" t="s">
        <v>260</v>
      </c>
      <c r="E861" t="s">
        <v>711</v>
      </c>
      <c r="F861" t="s">
        <v>452</v>
      </c>
      <c r="G861" s="68">
        <v>1</v>
      </c>
      <c r="H861" s="68">
        <v>0</v>
      </c>
      <c r="I861" s="68">
        <v>0</v>
      </c>
      <c r="J861" s="68">
        <v>0</v>
      </c>
      <c r="K861" s="68">
        <v>0</v>
      </c>
      <c r="L861" s="68">
        <v>0</v>
      </c>
      <c r="M861" s="68">
        <v>0</v>
      </c>
      <c r="N861" s="68">
        <v>0</v>
      </c>
    </row>
    <row r="862" spans="1:14">
      <c r="A862" t="s">
        <v>444</v>
      </c>
      <c r="B862" t="s">
        <v>445</v>
      </c>
      <c r="C862" t="s">
        <v>1119</v>
      </c>
      <c r="D862" t="s">
        <v>260</v>
      </c>
      <c r="E862" t="s">
        <v>1161</v>
      </c>
      <c r="F862" t="s">
        <v>452</v>
      </c>
      <c r="G862" s="68">
        <v>0</v>
      </c>
      <c r="H862" s="68">
        <v>1</v>
      </c>
      <c r="I862" s="68">
        <v>0</v>
      </c>
      <c r="J862" s="68">
        <v>0</v>
      </c>
      <c r="K862" s="68">
        <v>0</v>
      </c>
      <c r="L862" s="68">
        <v>0</v>
      </c>
      <c r="M862" s="68">
        <v>0</v>
      </c>
      <c r="N862" s="68">
        <v>0</v>
      </c>
    </row>
    <row r="863" spans="1:14">
      <c r="A863" t="s">
        <v>444</v>
      </c>
      <c r="B863" t="s">
        <v>445</v>
      </c>
      <c r="C863" t="s">
        <v>1119</v>
      </c>
      <c r="D863" t="s">
        <v>260</v>
      </c>
      <c r="E863" t="s">
        <v>1162</v>
      </c>
      <c r="F863" t="s">
        <v>452</v>
      </c>
      <c r="G863" s="68">
        <v>0</v>
      </c>
      <c r="H863" s="68">
        <v>0</v>
      </c>
      <c r="I863" s="68">
        <v>1</v>
      </c>
      <c r="J863" s="68">
        <v>3</v>
      </c>
      <c r="K863" s="68">
        <v>1</v>
      </c>
      <c r="L863" s="68">
        <v>2</v>
      </c>
      <c r="M863" s="68">
        <v>3</v>
      </c>
      <c r="N863" s="68">
        <v>1</v>
      </c>
    </row>
    <row r="864" spans="1:14">
      <c r="A864" t="s">
        <v>444</v>
      </c>
      <c r="B864" t="s">
        <v>445</v>
      </c>
      <c r="C864" t="s">
        <v>1119</v>
      </c>
      <c r="D864" t="s">
        <v>236</v>
      </c>
      <c r="E864" t="s">
        <v>454</v>
      </c>
      <c r="F864" t="s">
        <v>630</v>
      </c>
      <c r="G864" s="68">
        <v>0</v>
      </c>
      <c r="H864" s="68">
        <v>0</v>
      </c>
      <c r="I864" s="68">
        <v>0</v>
      </c>
      <c r="J864" s="68">
        <v>0</v>
      </c>
      <c r="K864" s="68">
        <v>1</v>
      </c>
      <c r="L864" s="68">
        <v>0</v>
      </c>
      <c r="M864" s="68">
        <v>0</v>
      </c>
      <c r="N864" s="68">
        <v>1</v>
      </c>
    </row>
    <row r="865" spans="1:14">
      <c r="A865" t="s">
        <v>444</v>
      </c>
      <c r="B865" t="s">
        <v>445</v>
      </c>
      <c r="C865" t="s">
        <v>1119</v>
      </c>
      <c r="D865" t="s">
        <v>235</v>
      </c>
      <c r="E865" t="s">
        <v>454</v>
      </c>
      <c r="F865" t="s">
        <v>630</v>
      </c>
      <c r="G865" s="68">
        <v>109</v>
      </c>
      <c r="H865" s="68">
        <v>151</v>
      </c>
      <c r="I865" s="68">
        <v>115</v>
      </c>
      <c r="J865" s="68">
        <v>161</v>
      </c>
      <c r="K865" s="68">
        <v>134</v>
      </c>
      <c r="L865" s="68">
        <v>138</v>
      </c>
      <c r="M865" s="68">
        <v>110</v>
      </c>
      <c r="N865" s="68">
        <v>103</v>
      </c>
    </row>
    <row r="866" spans="1:14">
      <c r="A866" t="s">
        <v>444</v>
      </c>
      <c r="B866" t="s">
        <v>445</v>
      </c>
      <c r="C866" t="s">
        <v>1119</v>
      </c>
      <c r="D866" t="s">
        <v>217</v>
      </c>
      <c r="E866" t="s">
        <v>1163</v>
      </c>
      <c r="F866" t="s">
        <v>452</v>
      </c>
      <c r="G866" s="68">
        <v>0</v>
      </c>
      <c r="H866" s="68">
        <v>1</v>
      </c>
      <c r="I866" s="68">
        <v>0</v>
      </c>
      <c r="J866" s="68">
        <v>1</v>
      </c>
      <c r="K866" s="68">
        <v>0</v>
      </c>
      <c r="L866" s="68">
        <v>2</v>
      </c>
      <c r="M866" s="68">
        <v>2</v>
      </c>
      <c r="N866" s="68">
        <v>1</v>
      </c>
    </row>
    <row r="867" spans="1:14">
      <c r="A867" t="s">
        <v>444</v>
      </c>
      <c r="B867" t="s">
        <v>445</v>
      </c>
      <c r="C867" t="s">
        <v>1119</v>
      </c>
      <c r="D867" t="s">
        <v>217</v>
      </c>
      <c r="E867" t="s">
        <v>1164</v>
      </c>
      <c r="F867" t="s">
        <v>452</v>
      </c>
      <c r="G867" s="68">
        <v>0</v>
      </c>
      <c r="H867" s="68">
        <v>1</v>
      </c>
      <c r="I867" s="68">
        <v>1</v>
      </c>
      <c r="J867" s="68">
        <v>0</v>
      </c>
      <c r="K867" s="68">
        <v>0</v>
      </c>
      <c r="L867" s="68">
        <v>0</v>
      </c>
      <c r="M867" s="68">
        <v>0</v>
      </c>
      <c r="N867" s="68">
        <v>0</v>
      </c>
    </row>
    <row r="868" spans="1:14">
      <c r="A868" t="s">
        <v>444</v>
      </c>
      <c r="B868" t="s">
        <v>445</v>
      </c>
      <c r="C868" t="s">
        <v>1119</v>
      </c>
      <c r="D868" t="s">
        <v>217</v>
      </c>
      <c r="E868" t="s">
        <v>1165</v>
      </c>
      <c r="F868" t="s">
        <v>452</v>
      </c>
      <c r="G868" s="68">
        <v>0</v>
      </c>
      <c r="H868" s="68">
        <v>0</v>
      </c>
      <c r="I868" s="68">
        <v>0</v>
      </c>
      <c r="J868" s="68">
        <v>0</v>
      </c>
      <c r="K868" s="68">
        <v>0</v>
      </c>
      <c r="L868" s="68">
        <v>2</v>
      </c>
      <c r="M868" s="68">
        <v>0</v>
      </c>
      <c r="N868" s="68">
        <v>1</v>
      </c>
    </row>
    <row r="869" spans="1:14">
      <c r="A869" t="s">
        <v>444</v>
      </c>
      <c r="B869" t="s">
        <v>445</v>
      </c>
      <c r="C869" t="s">
        <v>1119</v>
      </c>
      <c r="D869" t="s">
        <v>216</v>
      </c>
      <c r="E869" t="s">
        <v>1166</v>
      </c>
      <c r="F869" t="s">
        <v>452</v>
      </c>
      <c r="G869" s="68">
        <v>0</v>
      </c>
      <c r="H869" s="68">
        <v>1</v>
      </c>
      <c r="I869" s="68">
        <v>1</v>
      </c>
      <c r="J869" s="68">
        <v>2</v>
      </c>
      <c r="K869" s="68">
        <v>2</v>
      </c>
      <c r="L869" s="68">
        <v>2</v>
      </c>
      <c r="M869" s="68">
        <v>3</v>
      </c>
      <c r="N869" s="68">
        <v>1</v>
      </c>
    </row>
    <row r="870" spans="1:14">
      <c r="A870" t="s">
        <v>444</v>
      </c>
      <c r="B870" t="s">
        <v>445</v>
      </c>
      <c r="C870" t="s">
        <v>1119</v>
      </c>
      <c r="D870" t="s">
        <v>216</v>
      </c>
      <c r="E870" t="s">
        <v>1167</v>
      </c>
      <c r="F870" t="s">
        <v>452</v>
      </c>
      <c r="G870" s="68">
        <v>0</v>
      </c>
      <c r="H870" s="68">
        <v>1</v>
      </c>
      <c r="I870" s="68">
        <v>2</v>
      </c>
      <c r="J870" s="68">
        <v>0</v>
      </c>
      <c r="K870" s="68">
        <v>3</v>
      </c>
      <c r="L870" s="68">
        <v>1</v>
      </c>
      <c r="M870" s="68">
        <v>1</v>
      </c>
      <c r="N870" s="68">
        <v>1</v>
      </c>
    </row>
    <row r="871" spans="1:14">
      <c r="A871" t="s">
        <v>444</v>
      </c>
      <c r="B871" t="s">
        <v>445</v>
      </c>
      <c r="C871" t="s">
        <v>1119</v>
      </c>
      <c r="D871" t="s">
        <v>216</v>
      </c>
      <c r="E871" t="s">
        <v>1168</v>
      </c>
      <c r="F871" t="s">
        <v>452</v>
      </c>
      <c r="G871" s="68">
        <v>0</v>
      </c>
      <c r="H871" s="68">
        <v>3</v>
      </c>
      <c r="I871" s="68">
        <v>0</v>
      </c>
      <c r="J871" s="68">
        <v>1</v>
      </c>
      <c r="K871" s="68">
        <v>1</v>
      </c>
      <c r="L871" s="68">
        <v>1</v>
      </c>
      <c r="M871" s="68">
        <v>2</v>
      </c>
      <c r="N871" s="68">
        <v>4</v>
      </c>
    </row>
    <row r="872" spans="1:14">
      <c r="A872" t="s">
        <v>444</v>
      </c>
      <c r="B872" t="s">
        <v>445</v>
      </c>
      <c r="C872" t="s">
        <v>1119</v>
      </c>
      <c r="D872" t="s">
        <v>216</v>
      </c>
      <c r="E872" t="s">
        <v>1165</v>
      </c>
      <c r="F872" t="s">
        <v>452</v>
      </c>
      <c r="G872" s="68">
        <v>0</v>
      </c>
      <c r="H872" s="68">
        <v>6</v>
      </c>
      <c r="I872" s="68">
        <v>7</v>
      </c>
      <c r="J872" s="68">
        <v>4</v>
      </c>
      <c r="K872" s="68">
        <v>2</v>
      </c>
      <c r="L872" s="68">
        <v>10</v>
      </c>
      <c r="M872" s="68">
        <v>9</v>
      </c>
      <c r="N872" s="68">
        <v>6</v>
      </c>
    </row>
    <row r="873" spans="1:14">
      <c r="A873" t="s">
        <v>444</v>
      </c>
      <c r="B873" t="s">
        <v>445</v>
      </c>
      <c r="C873" t="s">
        <v>1119</v>
      </c>
      <c r="D873" t="s">
        <v>215</v>
      </c>
      <c r="E873" t="s">
        <v>1169</v>
      </c>
      <c r="F873" t="s">
        <v>452</v>
      </c>
      <c r="G873" s="68">
        <v>0</v>
      </c>
      <c r="H873" s="68">
        <v>0</v>
      </c>
      <c r="I873" s="68">
        <v>0</v>
      </c>
      <c r="J873" s="68">
        <v>0</v>
      </c>
      <c r="K873" s="68">
        <v>0</v>
      </c>
      <c r="L873" s="68">
        <v>34</v>
      </c>
      <c r="M873" s="68">
        <v>279</v>
      </c>
      <c r="N873" s="68">
        <v>380</v>
      </c>
    </row>
    <row r="874" spans="1:14">
      <c r="A874" t="s">
        <v>444</v>
      </c>
      <c r="B874" t="s">
        <v>445</v>
      </c>
      <c r="C874" t="s">
        <v>1119</v>
      </c>
      <c r="D874" t="s">
        <v>214</v>
      </c>
      <c r="E874" t="s">
        <v>1170</v>
      </c>
      <c r="F874" t="s">
        <v>452</v>
      </c>
      <c r="G874" s="68">
        <v>0</v>
      </c>
      <c r="H874" s="68">
        <v>0</v>
      </c>
      <c r="I874" s="68">
        <v>1</v>
      </c>
      <c r="J874" s="68">
        <v>0</v>
      </c>
      <c r="K874" s="68">
        <v>0</v>
      </c>
      <c r="L874" s="68">
        <v>0</v>
      </c>
      <c r="M874" s="68">
        <v>0</v>
      </c>
      <c r="N874" s="68">
        <v>0</v>
      </c>
    </row>
    <row r="875" spans="1:14">
      <c r="A875" t="s">
        <v>444</v>
      </c>
      <c r="B875" t="s">
        <v>445</v>
      </c>
      <c r="C875" t="s">
        <v>1119</v>
      </c>
      <c r="D875" t="s">
        <v>214</v>
      </c>
      <c r="E875" t="s">
        <v>1171</v>
      </c>
      <c r="F875" t="s">
        <v>452</v>
      </c>
      <c r="G875" s="68">
        <v>0</v>
      </c>
      <c r="H875" s="68">
        <v>0</v>
      </c>
      <c r="I875" s="68">
        <v>1</v>
      </c>
      <c r="J875" s="68">
        <v>0</v>
      </c>
      <c r="K875" s="68">
        <v>0</v>
      </c>
      <c r="L875" s="68">
        <v>0</v>
      </c>
      <c r="M875" s="68">
        <v>0</v>
      </c>
      <c r="N875" s="68">
        <v>0</v>
      </c>
    </row>
    <row r="876" spans="1:14">
      <c r="A876" t="s">
        <v>444</v>
      </c>
      <c r="B876" t="s">
        <v>445</v>
      </c>
      <c r="C876" t="s">
        <v>1119</v>
      </c>
      <c r="D876" t="s">
        <v>213</v>
      </c>
      <c r="E876" t="s">
        <v>55</v>
      </c>
      <c r="F876" t="s">
        <v>472</v>
      </c>
      <c r="G876" s="68">
        <v>1</v>
      </c>
      <c r="H876" s="68">
        <v>0</v>
      </c>
      <c r="I876" s="68">
        <v>0</v>
      </c>
      <c r="J876" s="68">
        <v>0</v>
      </c>
      <c r="K876" s="68">
        <v>0</v>
      </c>
      <c r="L876" s="68">
        <v>0</v>
      </c>
      <c r="M876" s="68">
        <v>0</v>
      </c>
      <c r="N876" s="68">
        <v>0</v>
      </c>
    </row>
    <row r="877" spans="1:14">
      <c r="A877" t="s">
        <v>444</v>
      </c>
      <c r="B877" t="s">
        <v>445</v>
      </c>
      <c r="C877" t="s">
        <v>1119</v>
      </c>
      <c r="D877" t="s">
        <v>213</v>
      </c>
      <c r="E877" t="s">
        <v>1165</v>
      </c>
      <c r="F877" t="s">
        <v>472</v>
      </c>
      <c r="G877" s="68">
        <v>4</v>
      </c>
      <c r="H877" s="68">
        <v>0</v>
      </c>
      <c r="I877" s="68">
        <v>0</v>
      </c>
      <c r="J877" s="68">
        <v>0</v>
      </c>
      <c r="K877" s="68">
        <v>0</v>
      </c>
      <c r="L877" s="68">
        <v>0</v>
      </c>
      <c r="M877" s="68">
        <v>0</v>
      </c>
      <c r="N877" s="68">
        <v>0</v>
      </c>
    </row>
    <row r="878" spans="1:14">
      <c r="A878" t="s">
        <v>444</v>
      </c>
      <c r="B878" t="s">
        <v>445</v>
      </c>
      <c r="C878" t="s">
        <v>1119</v>
      </c>
      <c r="D878" t="s">
        <v>213</v>
      </c>
      <c r="E878" t="s">
        <v>1172</v>
      </c>
      <c r="F878" t="s">
        <v>472</v>
      </c>
      <c r="G878" s="68">
        <v>0</v>
      </c>
      <c r="H878" s="68">
        <v>6</v>
      </c>
      <c r="I878" s="68">
        <v>1</v>
      </c>
      <c r="J878" s="68">
        <v>4</v>
      </c>
      <c r="K878" s="68">
        <v>2</v>
      </c>
      <c r="L878" s="68">
        <v>2</v>
      </c>
      <c r="M878" s="68">
        <v>3</v>
      </c>
      <c r="N878" s="68">
        <v>3</v>
      </c>
    </row>
    <row r="879" spans="1:14">
      <c r="A879" t="s">
        <v>444</v>
      </c>
      <c r="B879" t="s">
        <v>445</v>
      </c>
      <c r="C879" t="s">
        <v>1119</v>
      </c>
      <c r="D879" t="s">
        <v>213</v>
      </c>
      <c r="E879" t="s">
        <v>1173</v>
      </c>
      <c r="F879" t="s">
        <v>472</v>
      </c>
      <c r="G879" s="68">
        <v>2</v>
      </c>
      <c r="H879" s="68">
        <v>0</v>
      </c>
      <c r="I879" s="68">
        <v>0</v>
      </c>
      <c r="J879" s="68">
        <v>0</v>
      </c>
      <c r="K879" s="68">
        <v>0</v>
      </c>
      <c r="L879" s="68">
        <v>0</v>
      </c>
      <c r="M879" s="68">
        <v>0</v>
      </c>
      <c r="N879" s="68">
        <v>0</v>
      </c>
    </row>
    <row r="880" spans="1:14">
      <c r="A880" t="s">
        <v>444</v>
      </c>
      <c r="B880" t="s">
        <v>445</v>
      </c>
      <c r="C880" t="s">
        <v>1119</v>
      </c>
      <c r="D880" t="s">
        <v>212</v>
      </c>
      <c r="E880" s="69">
        <v>3.3</v>
      </c>
      <c r="F880" t="s">
        <v>452</v>
      </c>
      <c r="G880" s="68">
        <v>1</v>
      </c>
      <c r="H880" s="68">
        <v>0</v>
      </c>
      <c r="I880" s="68">
        <v>0</v>
      </c>
      <c r="J880" s="68">
        <v>0</v>
      </c>
      <c r="K880" s="68">
        <v>0</v>
      </c>
      <c r="L880" s="68">
        <v>0</v>
      </c>
      <c r="M880" s="68">
        <v>0</v>
      </c>
      <c r="N880" s="68">
        <v>0</v>
      </c>
    </row>
    <row r="881" spans="1:14">
      <c r="A881" t="s">
        <v>444</v>
      </c>
      <c r="B881" t="s">
        <v>445</v>
      </c>
      <c r="C881" t="s">
        <v>1119</v>
      </c>
      <c r="D881" t="s">
        <v>212</v>
      </c>
      <c r="E881" t="s">
        <v>1174</v>
      </c>
      <c r="F881" t="s">
        <v>452</v>
      </c>
      <c r="G881" s="68">
        <v>0</v>
      </c>
      <c r="H881" s="68">
        <v>0</v>
      </c>
      <c r="I881" s="68">
        <v>0</v>
      </c>
      <c r="J881" s="68">
        <v>0</v>
      </c>
      <c r="K881" s="68">
        <v>0</v>
      </c>
      <c r="L881" s="68">
        <v>0</v>
      </c>
      <c r="M881" s="68">
        <v>1</v>
      </c>
      <c r="N881" s="68">
        <v>1</v>
      </c>
    </row>
    <row r="882" spans="1:14">
      <c r="A882" t="s">
        <v>444</v>
      </c>
      <c r="B882" t="s">
        <v>445</v>
      </c>
      <c r="C882" t="s">
        <v>1119</v>
      </c>
      <c r="D882" t="s">
        <v>212</v>
      </c>
      <c r="E882" t="s">
        <v>1164</v>
      </c>
      <c r="F882" t="s">
        <v>452</v>
      </c>
      <c r="G882" s="68">
        <v>0</v>
      </c>
      <c r="H882" s="68">
        <v>2</v>
      </c>
      <c r="I882" s="68">
        <v>1</v>
      </c>
      <c r="J882" s="68">
        <v>2</v>
      </c>
      <c r="K882" s="68">
        <v>1</v>
      </c>
      <c r="L882" s="68">
        <v>0</v>
      </c>
      <c r="M882" s="68">
        <v>2</v>
      </c>
      <c r="N882" s="68">
        <v>2</v>
      </c>
    </row>
    <row r="883" spans="1:14">
      <c r="A883" t="s">
        <v>444</v>
      </c>
      <c r="B883" t="s">
        <v>445</v>
      </c>
      <c r="C883" t="s">
        <v>1119</v>
      </c>
      <c r="D883" t="s">
        <v>212</v>
      </c>
      <c r="E883" t="s">
        <v>1165</v>
      </c>
      <c r="F883" t="s">
        <v>452</v>
      </c>
      <c r="G883" s="68">
        <v>2</v>
      </c>
      <c r="H883" s="68">
        <v>4</v>
      </c>
      <c r="I883" s="68">
        <v>4</v>
      </c>
      <c r="J883" s="68">
        <v>3</v>
      </c>
      <c r="K883" s="68">
        <v>1</v>
      </c>
      <c r="L883" s="68">
        <v>2</v>
      </c>
      <c r="M883" s="68">
        <v>2</v>
      </c>
      <c r="N883" s="68">
        <v>1</v>
      </c>
    </row>
    <row r="884" spans="1:14">
      <c r="A884" t="s">
        <v>444</v>
      </c>
      <c r="B884" t="s">
        <v>445</v>
      </c>
      <c r="C884" t="s">
        <v>1119</v>
      </c>
      <c r="D884" t="s">
        <v>211</v>
      </c>
      <c r="E884" t="s">
        <v>454</v>
      </c>
      <c r="F884" t="s">
        <v>472</v>
      </c>
      <c r="G884" s="68">
        <v>1</v>
      </c>
      <c r="H884" s="68">
        <v>0</v>
      </c>
      <c r="I884" s="68">
        <v>0</v>
      </c>
      <c r="J884" s="68">
        <v>0</v>
      </c>
      <c r="K884" s="68">
        <v>0</v>
      </c>
      <c r="L884" s="68">
        <v>0</v>
      </c>
      <c r="M884" s="68">
        <v>0</v>
      </c>
      <c r="N884" s="68">
        <v>0</v>
      </c>
    </row>
    <row r="885" spans="1:14">
      <c r="A885" t="s">
        <v>444</v>
      </c>
      <c r="B885" t="s">
        <v>445</v>
      </c>
      <c r="C885" t="s">
        <v>1119</v>
      </c>
      <c r="D885" t="s">
        <v>211</v>
      </c>
      <c r="E885" t="s">
        <v>1175</v>
      </c>
      <c r="F885" t="s">
        <v>472</v>
      </c>
      <c r="G885" s="68">
        <v>0</v>
      </c>
      <c r="H885" s="68">
        <v>3</v>
      </c>
      <c r="I885" s="68">
        <v>3</v>
      </c>
      <c r="J885" s="68">
        <v>2</v>
      </c>
      <c r="K885" s="68">
        <v>4</v>
      </c>
      <c r="L885" s="68">
        <v>7</v>
      </c>
      <c r="M885" s="68">
        <v>5</v>
      </c>
      <c r="N885" s="68">
        <v>7</v>
      </c>
    </row>
    <row r="886" spans="1:14">
      <c r="A886" t="s">
        <v>444</v>
      </c>
      <c r="B886" t="s">
        <v>445</v>
      </c>
      <c r="C886" t="s">
        <v>1119</v>
      </c>
      <c r="D886" t="s">
        <v>210</v>
      </c>
      <c r="E886" t="s">
        <v>676</v>
      </c>
      <c r="F886" t="s">
        <v>472</v>
      </c>
      <c r="G886" s="68">
        <v>0</v>
      </c>
      <c r="H886" s="68">
        <v>0</v>
      </c>
      <c r="I886" s="68">
        <v>1</v>
      </c>
      <c r="J886" s="68">
        <v>0</v>
      </c>
      <c r="K886" s="68">
        <v>0</v>
      </c>
      <c r="L886" s="68">
        <v>0</v>
      </c>
      <c r="M886" s="68">
        <v>0</v>
      </c>
      <c r="N886" s="68">
        <v>1</v>
      </c>
    </row>
    <row r="887" spans="1:14">
      <c r="A887" t="s">
        <v>444</v>
      </c>
      <c r="B887" t="s">
        <v>445</v>
      </c>
      <c r="C887" t="s">
        <v>1119</v>
      </c>
      <c r="D887" t="s">
        <v>208</v>
      </c>
      <c r="E887" t="s">
        <v>1176</v>
      </c>
      <c r="F887" t="s">
        <v>452</v>
      </c>
      <c r="G887" s="68">
        <v>0</v>
      </c>
      <c r="H887" s="68">
        <v>0</v>
      </c>
      <c r="I887" s="68">
        <v>0</v>
      </c>
      <c r="J887" s="68">
        <v>0</v>
      </c>
      <c r="K887" s="68">
        <v>0</v>
      </c>
      <c r="L887" s="68">
        <v>0</v>
      </c>
      <c r="M887" s="68">
        <v>0</v>
      </c>
      <c r="N887" s="68">
        <v>1</v>
      </c>
    </row>
    <row r="888" spans="1:14">
      <c r="A888" t="s">
        <v>444</v>
      </c>
      <c r="B888" t="s">
        <v>445</v>
      </c>
      <c r="C888" t="s">
        <v>1119</v>
      </c>
      <c r="D888" t="s">
        <v>197</v>
      </c>
      <c r="E888" t="s">
        <v>454</v>
      </c>
      <c r="F888" t="s">
        <v>630</v>
      </c>
      <c r="G888" s="68">
        <v>134</v>
      </c>
      <c r="H888" s="68">
        <v>170</v>
      </c>
      <c r="I888" s="68">
        <v>145</v>
      </c>
      <c r="J888" s="68">
        <v>156</v>
      </c>
      <c r="K888" s="68">
        <v>131</v>
      </c>
      <c r="L888" s="68">
        <v>133</v>
      </c>
      <c r="M888" s="68">
        <v>108</v>
      </c>
      <c r="N888" s="68">
        <v>147</v>
      </c>
    </row>
    <row r="889" spans="1:14">
      <c r="A889" t="s">
        <v>444</v>
      </c>
      <c r="B889" t="s">
        <v>445</v>
      </c>
      <c r="C889" t="s">
        <v>1119</v>
      </c>
      <c r="D889" t="s">
        <v>166</v>
      </c>
      <c r="E889" t="s">
        <v>454</v>
      </c>
      <c r="F889" t="s">
        <v>472</v>
      </c>
      <c r="G889" s="68">
        <v>1</v>
      </c>
      <c r="H889" s="68">
        <v>0</v>
      </c>
      <c r="I889" s="68">
        <v>0</v>
      </c>
      <c r="J889" s="68">
        <v>0</v>
      </c>
      <c r="K889" s="68">
        <v>0</v>
      </c>
      <c r="L889" s="68">
        <v>0</v>
      </c>
      <c r="M889" s="68">
        <v>0</v>
      </c>
      <c r="N889" s="68">
        <v>0</v>
      </c>
    </row>
    <row r="890" spans="1:14">
      <c r="A890" t="s">
        <v>444</v>
      </c>
      <c r="B890" t="s">
        <v>445</v>
      </c>
      <c r="C890" t="s">
        <v>1119</v>
      </c>
      <c r="D890" t="s">
        <v>166</v>
      </c>
      <c r="E890" t="s">
        <v>711</v>
      </c>
      <c r="F890" t="s">
        <v>472</v>
      </c>
      <c r="G890" s="68">
        <v>1</v>
      </c>
      <c r="H890" s="68">
        <v>0</v>
      </c>
      <c r="I890" s="68">
        <v>0</v>
      </c>
      <c r="J890" s="68">
        <v>0</v>
      </c>
      <c r="K890" s="68">
        <v>0</v>
      </c>
      <c r="L890" s="68">
        <v>0</v>
      </c>
      <c r="M890" s="68">
        <v>0</v>
      </c>
      <c r="N890" s="68">
        <v>0</v>
      </c>
    </row>
    <row r="891" spans="1:14">
      <c r="A891" t="s">
        <v>444</v>
      </c>
      <c r="B891" t="s">
        <v>445</v>
      </c>
      <c r="C891" t="s">
        <v>1119</v>
      </c>
      <c r="D891" t="s">
        <v>166</v>
      </c>
      <c r="E891" t="s">
        <v>1132</v>
      </c>
      <c r="F891" t="s">
        <v>472</v>
      </c>
      <c r="G891" s="68">
        <v>0</v>
      </c>
      <c r="H891" s="68">
        <v>3</v>
      </c>
      <c r="I891" s="68">
        <v>2</v>
      </c>
      <c r="J891" s="68">
        <v>0</v>
      </c>
      <c r="K891" s="68">
        <v>3</v>
      </c>
      <c r="L891" s="68">
        <v>1</v>
      </c>
      <c r="M891" s="68">
        <v>0</v>
      </c>
      <c r="N891" s="68">
        <v>3</v>
      </c>
    </row>
    <row r="892" spans="1:14">
      <c r="A892" t="s">
        <v>444</v>
      </c>
      <c r="B892" t="s">
        <v>445</v>
      </c>
      <c r="C892" t="s">
        <v>1119</v>
      </c>
      <c r="D892" t="s">
        <v>158</v>
      </c>
      <c r="E892" t="s">
        <v>454</v>
      </c>
      <c r="F892" t="s">
        <v>472</v>
      </c>
      <c r="G892" s="68">
        <v>0</v>
      </c>
      <c r="H892" s="68">
        <v>1</v>
      </c>
      <c r="I892" s="68">
        <v>1</v>
      </c>
      <c r="J892" s="68">
        <v>4</v>
      </c>
      <c r="K892" s="68">
        <v>0</v>
      </c>
      <c r="L892" s="68">
        <v>0</v>
      </c>
      <c r="M892" s="68">
        <v>0</v>
      </c>
      <c r="N892" s="68">
        <v>0</v>
      </c>
    </row>
    <row r="893" spans="1:14">
      <c r="A893" t="s">
        <v>444</v>
      </c>
      <c r="B893" t="s">
        <v>445</v>
      </c>
      <c r="C893" t="s">
        <v>1119</v>
      </c>
      <c r="D893" t="s">
        <v>145</v>
      </c>
      <c r="E893" t="s">
        <v>1132</v>
      </c>
      <c r="F893" t="s">
        <v>449</v>
      </c>
      <c r="G893" s="68">
        <v>0</v>
      </c>
      <c r="H893" s="68">
        <v>0</v>
      </c>
      <c r="I893" s="68">
        <v>0</v>
      </c>
      <c r="J893" s="68">
        <v>0</v>
      </c>
      <c r="K893" s="68">
        <v>0</v>
      </c>
      <c r="L893" s="68">
        <v>0</v>
      </c>
      <c r="M893" s="68">
        <v>1</v>
      </c>
      <c r="N893" s="68">
        <v>0</v>
      </c>
    </row>
    <row r="894" spans="1:14">
      <c r="A894" t="s">
        <v>444</v>
      </c>
      <c r="B894" t="s">
        <v>445</v>
      </c>
      <c r="C894" t="s">
        <v>1119</v>
      </c>
      <c r="D894" t="s">
        <v>145</v>
      </c>
      <c r="E894" t="s">
        <v>1134</v>
      </c>
      <c r="F894" t="s">
        <v>449</v>
      </c>
      <c r="G894" s="68">
        <v>0</v>
      </c>
      <c r="H894" s="68">
        <v>0</v>
      </c>
      <c r="I894" s="68">
        <v>0</v>
      </c>
      <c r="J894" s="68">
        <v>0</v>
      </c>
      <c r="K894" s="68">
        <v>0</v>
      </c>
      <c r="L894" s="68">
        <v>1</v>
      </c>
      <c r="M894" s="68">
        <v>0</v>
      </c>
      <c r="N894" s="68">
        <v>1</v>
      </c>
    </row>
    <row r="895" spans="1:14">
      <c r="A895" t="s">
        <v>444</v>
      </c>
      <c r="B895" t="s">
        <v>445</v>
      </c>
      <c r="C895" t="s">
        <v>1119</v>
      </c>
      <c r="D895" t="s">
        <v>121</v>
      </c>
      <c r="E895" t="s">
        <v>1177</v>
      </c>
      <c r="F895" t="s">
        <v>472</v>
      </c>
      <c r="G895" s="68">
        <v>0</v>
      </c>
      <c r="H895" s="68">
        <v>0</v>
      </c>
      <c r="I895" s="68">
        <v>0</v>
      </c>
      <c r="J895" s="68">
        <v>1</v>
      </c>
      <c r="K895" s="68">
        <v>0</v>
      </c>
      <c r="L895" s="68">
        <v>0</v>
      </c>
      <c r="M895" s="68">
        <v>0</v>
      </c>
      <c r="N895" s="68">
        <v>0</v>
      </c>
    </row>
    <row r="896" spans="1:14">
      <c r="A896" t="s">
        <v>444</v>
      </c>
      <c r="B896" t="s">
        <v>445</v>
      </c>
      <c r="C896" t="s">
        <v>1119</v>
      </c>
      <c r="D896" t="s">
        <v>92</v>
      </c>
      <c r="E896" t="s">
        <v>454</v>
      </c>
      <c r="F896" t="s">
        <v>628</v>
      </c>
      <c r="G896" s="68">
        <v>0</v>
      </c>
      <c r="H896" s="68">
        <v>0</v>
      </c>
      <c r="I896" s="68">
        <v>0</v>
      </c>
      <c r="J896" s="68">
        <v>0</v>
      </c>
      <c r="K896" s="68">
        <v>3</v>
      </c>
      <c r="L896" s="68">
        <v>1</v>
      </c>
      <c r="M896" s="68">
        <v>0</v>
      </c>
      <c r="N896" s="68">
        <v>0</v>
      </c>
    </row>
    <row r="897" spans="1:14">
      <c r="A897" t="s">
        <v>444</v>
      </c>
      <c r="B897" t="s">
        <v>445</v>
      </c>
      <c r="C897" t="s">
        <v>1119</v>
      </c>
      <c r="D897" t="s">
        <v>81</v>
      </c>
      <c r="E897" t="s">
        <v>1178</v>
      </c>
      <c r="F897" t="s">
        <v>459</v>
      </c>
      <c r="G897" s="68">
        <v>0</v>
      </c>
      <c r="H897" s="68">
        <v>1</v>
      </c>
      <c r="I897" s="68">
        <v>0</v>
      </c>
      <c r="J897" s="68">
        <v>0</v>
      </c>
      <c r="K897" s="68">
        <v>1</v>
      </c>
      <c r="L897" s="68">
        <v>0</v>
      </c>
      <c r="M897" s="68">
        <v>2</v>
      </c>
      <c r="N897" s="68">
        <v>1</v>
      </c>
    </row>
    <row r="898" spans="1:14">
      <c r="A898" t="s">
        <v>444</v>
      </c>
      <c r="B898" t="s">
        <v>445</v>
      </c>
      <c r="C898" t="s">
        <v>1119</v>
      </c>
      <c r="D898" t="s">
        <v>81</v>
      </c>
      <c r="E898" t="s">
        <v>1179</v>
      </c>
      <c r="F898" t="s">
        <v>459</v>
      </c>
      <c r="G898" s="68">
        <v>1</v>
      </c>
      <c r="H898" s="68">
        <v>0</v>
      </c>
      <c r="I898" s="68">
        <v>0</v>
      </c>
      <c r="J898" s="68">
        <v>2</v>
      </c>
      <c r="K898" s="68">
        <v>1</v>
      </c>
      <c r="L898" s="68">
        <v>1</v>
      </c>
      <c r="M898" s="68">
        <v>0</v>
      </c>
      <c r="N898" s="68">
        <v>1</v>
      </c>
    </row>
    <row r="899" spans="1:14">
      <c r="A899" t="s">
        <v>444</v>
      </c>
      <c r="B899" t="s">
        <v>445</v>
      </c>
      <c r="C899" t="s">
        <v>1119</v>
      </c>
      <c r="D899" t="s">
        <v>81</v>
      </c>
      <c r="E899" t="s">
        <v>119</v>
      </c>
      <c r="F899" t="s">
        <v>459</v>
      </c>
      <c r="G899" s="68">
        <v>0</v>
      </c>
      <c r="H899" s="68">
        <v>0</v>
      </c>
      <c r="I899" s="68">
        <v>0</v>
      </c>
      <c r="J899" s="68">
        <v>1</v>
      </c>
      <c r="K899" s="68">
        <v>0</v>
      </c>
      <c r="L899" s="68">
        <v>0</v>
      </c>
      <c r="M899" s="68">
        <v>1</v>
      </c>
      <c r="N899" s="68">
        <v>0</v>
      </c>
    </row>
    <row r="900" spans="1:14">
      <c r="A900" t="s">
        <v>444</v>
      </c>
      <c r="B900" t="s">
        <v>445</v>
      </c>
      <c r="C900" t="s">
        <v>1119</v>
      </c>
      <c r="D900" t="s">
        <v>81</v>
      </c>
      <c r="E900" t="s">
        <v>1180</v>
      </c>
      <c r="F900" t="s">
        <v>459</v>
      </c>
      <c r="G900" s="68">
        <v>1</v>
      </c>
      <c r="H900" s="68">
        <v>0</v>
      </c>
      <c r="I900" s="68">
        <v>1</v>
      </c>
      <c r="J900" s="68">
        <v>0</v>
      </c>
      <c r="K900" s="68">
        <v>0</v>
      </c>
      <c r="L900" s="68">
        <v>0</v>
      </c>
      <c r="M900" s="68">
        <v>0</v>
      </c>
      <c r="N900" s="68">
        <v>0</v>
      </c>
    </row>
    <row r="901" spans="1:14">
      <c r="A901" t="s">
        <v>444</v>
      </c>
      <c r="B901" t="s">
        <v>445</v>
      </c>
      <c r="C901" t="s">
        <v>1119</v>
      </c>
      <c r="D901" t="s">
        <v>81</v>
      </c>
      <c r="E901" t="s">
        <v>1181</v>
      </c>
      <c r="F901" t="s">
        <v>459</v>
      </c>
      <c r="G901" s="68">
        <v>0</v>
      </c>
      <c r="H901" s="68">
        <v>0</v>
      </c>
      <c r="I901" s="68">
        <v>0</v>
      </c>
      <c r="J901" s="68">
        <v>0</v>
      </c>
      <c r="K901" s="68">
        <v>0</v>
      </c>
      <c r="L901" s="68">
        <v>0</v>
      </c>
      <c r="M901" s="68">
        <v>0</v>
      </c>
      <c r="N901" s="68">
        <v>1</v>
      </c>
    </row>
    <row r="902" spans="1:14">
      <c r="A902" t="s">
        <v>444</v>
      </c>
      <c r="B902" t="s">
        <v>445</v>
      </c>
      <c r="C902" t="s">
        <v>1119</v>
      </c>
      <c r="D902" t="s">
        <v>48</v>
      </c>
      <c r="E902" t="s">
        <v>1182</v>
      </c>
      <c r="F902" t="s">
        <v>630</v>
      </c>
      <c r="G902" s="68">
        <v>0</v>
      </c>
      <c r="H902" s="68">
        <v>0</v>
      </c>
      <c r="I902" s="68">
        <v>1</v>
      </c>
      <c r="J902" s="68">
        <v>0</v>
      </c>
      <c r="K902" s="68">
        <v>0</v>
      </c>
      <c r="L902" s="68">
        <v>0</v>
      </c>
      <c r="M902" s="68">
        <v>1</v>
      </c>
      <c r="N902" s="68">
        <v>0</v>
      </c>
    </row>
    <row r="903" spans="1:14">
      <c r="A903" t="s">
        <v>444</v>
      </c>
      <c r="B903" t="s">
        <v>445</v>
      </c>
      <c r="C903" t="s">
        <v>1119</v>
      </c>
      <c r="D903" t="s">
        <v>48</v>
      </c>
      <c r="E903" t="s">
        <v>1120</v>
      </c>
      <c r="F903" t="s">
        <v>630</v>
      </c>
      <c r="G903" s="68">
        <v>10</v>
      </c>
      <c r="H903" s="68">
        <v>0</v>
      </c>
      <c r="I903" s="68">
        <v>0</v>
      </c>
      <c r="J903" s="68">
        <v>0</v>
      </c>
      <c r="K903" s="68">
        <v>0</v>
      </c>
      <c r="L903" s="68">
        <v>0</v>
      </c>
      <c r="M903" s="68">
        <v>0</v>
      </c>
      <c r="N903" s="68">
        <v>0</v>
      </c>
    </row>
    <row r="904" spans="1:14">
      <c r="A904" t="s">
        <v>444</v>
      </c>
      <c r="B904" t="s">
        <v>445</v>
      </c>
      <c r="C904" t="s">
        <v>1119</v>
      </c>
      <c r="D904" t="s">
        <v>48</v>
      </c>
      <c r="E904" t="s">
        <v>1183</v>
      </c>
      <c r="F904" t="s">
        <v>630</v>
      </c>
      <c r="G904" s="68">
        <v>9</v>
      </c>
      <c r="H904" s="68">
        <v>11</v>
      </c>
      <c r="I904" s="68">
        <v>17</v>
      </c>
      <c r="J904" s="68">
        <v>22</v>
      </c>
      <c r="K904" s="68">
        <v>14</v>
      </c>
      <c r="L904" s="68">
        <v>12</v>
      </c>
      <c r="M904" s="68">
        <v>17</v>
      </c>
      <c r="N904" s="68">
        <v>8</v>
      </c>
    </row>
    <row r="905" spans="1:14">
      <c r="A905" t="s">
        <v>444</v>
      </c>
      <c r="B905" t="s">
        <v>445</v>
      </c>
      <c r="C905" t="s">
        <v>1119</v>
      </c>
      <c r="D905" t="s">
        <v>48</v>
      </c>
      <c r="E905" t="s">
        <v>1184</v>
      </c>
      <c r="F905" t="s">
        <v>630</v>
      </c>
      <c r="G905" s="68">
        <v>0</v>
      </c>
      <c r="H905" s="68">
        <v>23</v>
      </c>
      <c r="I905" s="68">
        <v>21</v>
      </c>
      <c r="J905" s="68">
        <v>20</v>
      </c>
      <c r="K905" s="68">
        <v>26</v>
      </c>
      <c r="L905" s="68">
        <v>24</v>
      </c>
      <c r="M905" s="68">
        <v>22</v>
      </c>
      <c r="N905" s="68">
        <v>13</v>
      </c>
    </row>
    <row r="906" spans="1:14">
      <c r="A906" t="s">
        <v>444</v>
      </c>
      <c r="B906" t="s">
        <v>445</v>
      </c>
      <c r="C906" t="s">
        <v>1119</v>
      </c>
      <c r="D906" t="s">
        <v>48</v>
      </c>
      <c r="E906" t="s">
        <v>1185</v>
      </c>
      <c r="F906" t="s">
        <v>630</v>
      </c>
      <c r="G906" s="68">
        <v>0</v>
      </c>
      <c r="H906" s="68">
        <v>1</v>
      </c>
      <c r="I906" s="68">
        <v>0</v>
      </c>
      <c r="J906" s="68">
        <v>2</v>
      </c>
      <c r="K906" s="68">
        <v>2</v>
      </c>
      <c r="L906" s="68">
        <v>1</v>
      </c>
      <c r="M906" s="68">
        <v>0</v>
      </c>
      <c r="N906" s="68">
        <v>1</v>
      </c>
    </row>
    <row r="907" spans="1:14">
      <c r="A907" t="s">
        <v>444</v>
      </c>
      <c r="B907" t="s">
        <v>445</v>
      </c>
      <c r="C907" t="s">
        <v>1119</v>
      </c>
      <c r="D907" t="s">
        <v>48</v>
      </c>
      <c r="E907" t="s">
        <v>1129</v>
      </c>
      <c r="F907" t="s">
        <v>630</v>
      </c>
      <c r="G907" s="68">
        <v>0</v>
      </c>
      <c r="H907" s="68">
        <v>0</v>
      </c>
      <c r="I907" s="68">
        <v>1</v>
      </c>
      <c r="J907" s="68">
        <v>0</v>
      </c>
      <c r="K907" s="68">
        <v>0</v>
      </c>
      <c r="L907" s="68">
        <v>0</v>
      </c>
      <c r="M907" s="68">
        <v>0</v>
      </c>
      <c r="N907" s="68">
        <v>0</v>
      </c>
    </row>
    <row r="908" spans="1:14">
      <c r="A908" t="s">
        <v>444</v>
      </c>
      <c r="B908" t="s">
        <v>445</v>
      </c>
      <c r="C908" t="s">
        <v>1119</v>
      </c>
      <c r="D908" t="s">
        <v>48</v>
      </c>
      <c r="E908" t="s">
        <v>711</v>
      </c>
      <c r="F908" t="s">
        <v>630</v>
      </c>
      <c r="G908" s="68">
        <v>2</v>
      </c>
      <c r="H908" s="68">
        <v>0</v>
      </c>
      <c r="I908" s="68">
        <v>0</v>
      </c>
      <c r="J908" s="68">
        <v>0</v>
      </c>
      <c r="K908" s="68">
        <v>0</v>
      </c>
      <c r="L908" s="68">
        <v>0</v>
      </c>
      <c r="M908" s="68">
        <v>0</v>
      </c>
      <c r="N908" s="68">
        <v>0</v>
      </c>
    </row>
    <row r="909" spans="1:14">
      <c r="A909" t="s">
        <v>444</v>
      </c>
      <c r="B909" t="s">
        <v>445</v>
      </c>
      <c r="C909" t="s">
        <v>1119</v>
      </c>
      <c r="D909" t="s">
        <v>48</v>
      </c>
      <c r="E909" t="s">
        <v>1130</v>
      </c>
      <c r="F909" t="s">
        <v>630</v>
      </c>
      <c r="G909" s="68">
        <v>0</v>
      </c>
      <c r="H909" s="68">
        <v>0</v>
      </c>
      <c r="I909" s="68">
        <v>4</v>
      </c>
      <c r="J909" s="68">
        <v>1</v>
      </c>
      <c r="K909" s="68">
        <v>2</v>
      </c>
      <c r="L909" s="68">
        <v>4</v>
      </c>
      <c r="M909" s="68">
        <v>6</v>
      </c>
      <c r="N909" s="68">
        <v>2</v>
      </c>
    </row>
    <row r="910" spans="1:14">
      <c r="A910" t="s">
        <v>444</v>
      </c>
      <c r="B910" t="s">
        <v>445</v>
      </c>
      <c r="C910" t="s">
        <v>1119</v>
      </c>
      <c r="D910" t="s">
        <v>48</v>
      </c>
      <c r="E910" t="s">
        <v>1136</v>
      </c>
      <c r="F910" t="s">
        <v>630</v>
      </c>
      <c r="G910" s="68">
        <v>0</v>
      </c>
      <c r="H910" s="68">
        <v>106</v>
      </c>
      <c r="I910" s="68">
        <v>106</v>
      </c>
      <c r="J910" s="68">
        <v>127</v>
      </c>
      <c r="K910" s="68">
        <v>106</v>
      </c>
      <c r="L910" s="68">
        <v>144</v>
      </c>
      <c r="M910" s="68">
        <v>137</v>
      </c>
      <c r="N910" s="68">
        <v>135</v>
      </c>
    </row>
    <row r="911" spans="1:14">
      <c r="A911" t="s">
        <v>444</v>
      </c>
      <c r="B911" t="s">
        <v>445</v>
      </c>
      <c r="C911" t="s">
        <v>1119</v>
      </c>
      <c r="D911" t="s">
        <v>48</v>
      </c>
      <c r="E911" t="s">
        <v>1186</v>
      </c>
      <c r="F911" t="s">
        <v>630</v>
      </c>
      <c r="G911" s="68">
        <v>0</v>
      </c>
      <c r="H911" s="68">
        <v>0</v>
      </c>
      <c r="I911" s="68">
        <v>1</v>
      </c>
      <c r="J911" s="68">
        <v>0</v>
      </c>
      <c r="K911" s="68">
        <v>0</v>
      </c>
      <c r="L911" s="68">
        <v>0</v>
      </c>
      <c r="M911" s="68">
        <v>0</v>
      </c>
      <c r="N911" s="68">
        <v>0</v>
      </c>
    </row>
    <row r="912" spans="1:14">
      <c r="A912" t="s">
        <v>444</v>
      </c>
      <c r="B912" t="s">
        <v>445</v>
      </c>
      <c r="C912" t="s">
        <v>1119</v>
      </c>
      <c r="D912" t="s">
        <v>48</v>
      </c>
      <c r="E912" t="s">
        <v>1187</v>
      </c>
      <c r="F912" t="s">
        <v>630</v>
      </c>
      <c r="G912" s="68">
        <v>0</v>
      </c>
      <c r="H912" s="68">
        <v>1</v>
      </c>
      <c r="I912" s="68">
        <v>2</v>
      </c>
      <c r="J912" s="68">
        <v>1</v>
      </c>
      <c r="K912" s="68">
        <v>1</v>
      </c>
      <c r="L912" s="68">
        <v>1</v>
      </c>
      <c r="M912" s="68">
        <v>0</v>
      </c>
      <c r="N912" s="68">
        <v>0</v>
      </c>
    </row>
    <row r="913" spans="1:14">
      <c r="A913" t="s">
        <v>444</v>
      </c>
      <c r="B913" t="s">
        <v>445</v>
      </c>
      <c r="C913" t="s">
        <v>1119</v>
      </c>
      <c r="D913" t="s">
        <v>48</v>
      </c>
      <c r="E913" t="s">
        <v>1139</v>
      </c>
      <c r="F913" t="s">
        <v>630</v>
      </c>
      <c r="G913" s="68">
        <v>0</v>
      </c>
      <c r="H913" s="68">
        <v>0</v>
      </c>
      <c r="I913" s="68">
        <v>0</v>
      </c>
      <c r="J913" s="68">
        <v>0</v>
      </c>
      <c r="K913" s="68">
        <v>0</v>
      </c>
      <c r="L913" s="68">
        <v>0</v>
      </c>
      <c r="M913" s="68">
        <v>0</v>
      </c>
      <c r="N913" s="68">
        <v>1</v>
      </c>
    </row>
    <row r="914" spans="1:14">
      <c r="A914" t="s">
        <v>444</v>
      </c>
      <c r="B914" t="s">
        <v>445</v>
      </c>
      <c r="C914" t="s">
        <v>1119</v>
      </c>
      <c r="D914" t="s">
        <v>48</v>
      </c>
      <c r="E914" t="s">
        <v>1188</v>
      </c>
      <c r="F914" t="s">
        <v>630</v>
      </c>
      <c r="G914" s="68">
        <v>52</v>
      </c>
      <c r="H914" s="68">
        <v>3</v>
      </c>
      <c r="I914" s="68">
        <v>4</v>
      </c>
      <c r="J914" s="68">
        <v>5</v>
      </c>
      <c r="K914" s="68">
        <v>4</v>
      </c>
      <c r="L914" s="68">
        <v>2</v>
      </c>
      <c r="M914" s="68">
        <v>3</v>
      </c>
      <c r="N914" s="68">
        <v>1</v>
      </c>
    </row>
    <row r="915" spans="1:14">
      <c r="A915" t="s">
        <v>444</v>
      </c>
      <c r="B915" t="s">
        <v>445</v>
      </c>
      <c r="C915" t="s">
        <v>1119</v>
      </c>
      <c r="D915" t="s">
        <v>48</v>
      </c>
      <c r="E915" t="s">
        <v>1189</v>
      </c>
      <c r="F915" t="s">
        <v>630</v>
      </c>
      <c r="G915" s="68">
        <v>0</v>
      </c>
      <c r="H915" s="68">
        <v>1</v>
      </c>
      <c r="I915" s="68">
        <v>1</v>
      </c>
      <c r="J915" s="68">
        <v>2</v>
      </c>
      <c r="K915" s="68">
        <v>1</v>
      </c>
      <c r="L915" s="68">
        <v>0</v>
      </c>
      <c r="M915" s="68">
        <v>2</v>
      </c>
      <c r="N915" s="68">
        <v>3</v>
      </c>
    </row>
    <row r="916" spans="1:14">
      <c r="A916" t="s">
        <v>444</v>
      </c>
      <c r="B916" t="s">
        <v>445</v>
      </c>
      <c r="C916" t="s">
        <v>1119</v>
      </c>
      <c r="D916" t="s">
        <v>47</v>
      </c>
      <c r="E916" t="s">
        <v>454</v>
      </c>
      <c r="F916" t="s">
        <v>628</v>
      </c>
      <c r="G916" s="68">
        <v>300</v>
      </c>
      <c r="H916" s="68">
        <v>378</v>
      </c>
      <c r="I916" s="68">
        <v>323</v>
      </c>
      <c r="J916" s="68">
        <v>381</v>
      </c>
      <c r="K916" s="68">
        <v>337</v>
      </c>
      <c r="L916" s="68">
        <v>287</v>
      </c>
      <c r="M916" s="68">
        <v>295</v>
      </c>
      <c r="N916" s="68">
        <v>274</v>
      </c>
    </row>
    <row r="917" spans="1:14">
      <c r="A917" t="s">
        <v>444</v>
      </c>
      <c r="B917" t="s">
        <v>445</v>
      </c>
      <c r="C917" t="s">
        <v>1119</v>
      </c>
      <c r="D917" t="s">
        <v>44</v>
      </c>
      <c r="E917" t="s">
        <v>454</v>
      </c>
      <c r="F917" t="s">
        <v>447</v>
      </c>
      <c r="G917" s="68">
        <v>0</v>
      </c>
      <c r="H917" s="68">
        <v>0</v>
      </c>
      <c r="I917" s="68">
        <v>0</v>
      </c>
      <c r="J917" s="68">
        <v>0</v>
      </c>
      <c r="K917" s="68">
        <v>0</v>
      </c>
      <c r="L917" s="68">
        <v>1</v>
      </c>
      <c r="M917" s="68">
        <v>0</v>
      </c>
      <c r="N917" s="68">
        <v>0</v>
      </c>
    </row>
    <row r="918" spans="1:14">
      <c r="A918" t="s">
        <v>444</v>
      </c>
      <c r="B918" t="s">
        <v>445</v>
      </c>
      <c r="C918" t="s">
        <v>1119</v>
      </c>
      <c r="D918" t="s">
        <v>42</v>
      </c>
      <c r="E918" t="s">
        <v>1190</v>
      </c>
      <c r="F918" t="s">
        <v>472</v>
      </c>
      <c r="G918" s="68">
        <v>0</v>
      </c>
      <c r="H918" s="68">
        <v>2</v>
      </c>
      <c r="I918" s="68">
        <v>0</v>
      </c>
      <c r="J918" s="68">
        <v>3</v>
      </c>
      <c r="K918" s="68">
        <v>0</v>
      </c>
      <c r="L918" s="68">
        <v>3</v>
      </c>
      <c r="M918" s="68">
        <v>0</v>
      </c>
      <c r="N918" s="68">
        <v>2</v>
      </c>
    </row>
    <row r="919" spans="1:14">
      <c r="A919" t="s">
        <v>444</v>
      </c>
      <c r="B919" t="s">
        <v>445</v>
      </c>
      <c r="C919" t="s">
        <v>1119</v>
      </c>
      <c r="D919" t="s">
        <v>42</v>
      </c>
      <c r="E919" t="s">
        <v>1191</v>
      </c>
      <c r="F919" t="s">
        <v>472</v>
      </c>
      <c r="G919" s="68">
        <v>3</v>
      </c>
      <c r="H919" s="68">
        <v>6</v>
      </c>
      <c r="I919" s="68">
        <v>7</v>
      </c>
      <c r="J919" s="68">
        <v>3</v>
      </c>
      <c r="K919" s="68">
        <v>4</v>
      </c>
      <c r="L919" s="68">
        <v>4</v>
      </c>
      <c r="M919" s="68">
        <v>3</v>
      </c>
      <c r="N919" s="68">
        <v>2</v>
      </c>
    </row>
    <row r="920" spans="1:14">
      <c r="A920" t="s">
        <v>444</v>
      </c>
      <c r="B920" t="s">
        <v>445</v>
      </c>
      <c r="C920" t="s">
        <v>1119</v>
      </c>
      <c r="D920" t="s">
        <v>18</v>
      </c>
      <c r="E920" t="s">
        <v>454</v>
      </c>
      <c r="F920" t="s">
        <v>449</v>
      </c>
      <c r="G920" s="68">
        <v>291</v>
      </c>
      <c r="H920" s="68">
        <v>354</v>
      </c>
      <c r="I920" s="68">
        <v>309</v>
      </c>
      <c r="J920" s="68">
        <v>412</v>
      </c>
      <c r="K920" s="68">
        <v>338</v>
      </c>
      <c r="L920" s="68">
        <v>308</v>
      </c>
      <c r="M920" s="68">
        <v>344</v>
      </c>
      <c r="N920" s="68">
        <v>328</v>
      </c>
    </row>
    <row r="921" spans="1:14">
      <c r="A921" t="s">
        <v>444</v>
      </c>
      <c r="B921" t="s">
        <v>445</v>
      </c>
      <c r="C921" t="s">
        <v>1119</v>
      </c>
      <c r="D921" t="s">
        <v>18</v>
      </c>
      <c r="E921" t="s">
        <v>1142</v>
      </c>
      <c r="F921" t="s">
        <v>449</v>
      </c>
      <c r="G921" s="68">
        <v>0</v>
      </c>
      <c r="H921" s="68">
        <v>1</v>
      </c>
      <c r="I921" s="68">
        <v>1</v>
      </c>
      <c r="J921" s="68">
        <v>2</v>
      </c>
      <c r="K921" s="68">
        <v>4</v>
      </c>
      <c r="L921" s="68">
        <v>1</v>
      </c>
      <c r="M921" s="68">
        <v>0</v>
      </c>
      <c r="N921" s="68">
        <v>0</v>
      </c>
    </row>
    <row r="922" spans="1:14">
      <c r="A922" t="s">
        <v>444</v>
      </c>
      <c r="B922" t="s">
        <v>445</v>
      </c>
      <c r="C922" t="s">
        <v>1119</v>
      </c>
      <c r="D922" t="s">
        <v>18</v>
      </c>
      <c r="E922" t="s">
        <v>1192</v>
      </c>
      <c r="F922" t="s">
        <v>449</v>
      </c>
      <c r="G922" s="68">
        <v>0</v>
      </c>
      <c r="H922" s="68">
        <v>3</v>
      </c>
      <c r="I922" s="68">
        <v>0</v>
      </c>
      <c r="J922" s="68">
        <v>2</v>
      </c>
      <c r="K922" s="68">
        <v>0</v>
      </c>
      <c r="L922" s="68">
        <v>0</v>
      </c>
      <c r="M922" s="68">
        <v>3</v>
      </c>
      <c r="N922" s="68">
        <v>0</v>
      </c>
    </row>
    <row r="923" spans="1:14">
      <c r="A923" t="s">
        <v>444</v>
      </c>
      <c r="B923" t="s">
        <v>445</v>
      </c>
      <c r="C923" t="s">
        <v>1119</v>
      </c>
      <c r="D923" t="s">
        <v>18</v>
      </c>
      <c r="E923" t="s">
        <v>1193</v>
      </c>
      <c r="F923" t="s">
        <v>449</v>
      </c>
      <c r="G923" s="68">
        <v>0</v>
      </c>
      <c r="H923" s="68">
        <v>0</v>
      </c>
      <c r="I923" s="68">
        <v>0</v>
      </c>
      <c r="J923" s="68">
        <v>1</v>
      </c>
      <c r="K923" s="68">
        <v>0</v>
      </c>
      <c r="L923" s="68">
        <v>0</v>
      </c>
      <c r="M923" s="68">
        <v>0</v>
      </c>
      <c r="N923" s="68">
        <v>0</v>
      </c>
    </row>
    <row r="924" spans="1:14">
      <c r="A924" t="s">
        <v>444</v>
      </c>
      <c r="B924" t="s">
        <v>445</v>
      </c>
      <c r="C924" t="s">
        <v>1119</v>
      </c>
      <c r="D924" t="s">
        <v>18</v>
      </c>
      <c r="E924" t="s">
        <v>1194</v>
      </c>
      <c r="F924" t="s">
        <v>449</v>
      </c>
      <c r="G924" s="68">
        <v>0</v>
      </c>
      <c r="H924" s="68">
        <v>1</v>
      </c>
      <c r="I924" s="68">
        <v>1</v>
      </c>
      <c r="J924" s="68">
        <v>0</v>
      </c>
      <c r="K924" s="68">
        <v>1</v>
      </c>
      <c r="L924" s="68">
        <v>0</v>
      </c>
      <c r="M924" s="68">
        <v>0</v>
      </c>
      <c r="N924" s="68">
        <v>0</v>
      </c>
    </row>
    <row r="925" spans="1:14">
      <c r="A925" t="s">
        <v>444</v>
      </c>
      <c r="B925" t="s">
        <v>445</v>
      </c>
      <c r="C925" t="s">
        <v>1119</v>
      </c>
      <c r="D925" t="s">
        <v>18</v>
      </c>
      <c r="E925" t="s">
        <v>1195</v>
      </c>
      <c r="F925" t="s">
        <v>449</v>
      </c>
      <c r="G925" s="68">
        <v>0</v>
      </c>
      <c r="H925" s="68">
        <v>0</v>
      </c>
      <c r="I925" s="68">
        <v>1</v>
      </c>
      <c r="J925" s="68">
        <v>0</v>
      </c>
      <c r="K925" s="68">
        <v>0</v>
      </c>
      <c r="L925" s="68">
        <v>0</v>
      </c>
      <c r="M925" s="68">
        <v>0</v>
      </c>
      <c r="N925" s="68">
        <v>0</v>
      </c>
    </row>
    <row r="926" spans="1:14">
      <c r="A926" t="s">
        <v>444</v>
      </c>
      <c r="B926" t="s">
        <v>445</v>
      </c>
      <c r="C926" t="s">
        <v>1119</v>
      </c>
      <c r="D926" t="s">
        <v>18</v>
      </c>
      <c r="E926" t="s">
        <v>1143</v>
      </c>
      <c r="F926" t="s">
        <v>449</v>
      </c>
      <c r="G926" s="68">
        <v>0</v>
      </c>
      <c r="H926" s="68">
        <v>1</v>
      </c>
      <c r="I926" s="68">
        <v>1</v>
      </c>
      <c r="J926" s="68">
        <v>1</v>
      </c>
      <c r="K926" s="68">
        <v>0</v>
      </c>
      <c r="L926" s="68">
        <v>0</v>
      </c>
      <c r="M926" s="68">
        <v>1</v>
      </c>
      <c r="N926" s="68">
        <v>0</v>
      </c>
    </row>
    <row r="927" spans="1:14">
      <c r="A927" t="s">
        <v>444</v>
      </c>
      <c r="B927" t="s">
        <v>445</v>
      </c>
      <c r="C927" t="s">
        <v>1119</v>
      </c>
      <c r="D927" t="s">
        <v>18</v>
      </c>
      <c r="E927" t="s">
        <v>1196</v>
      </c>
      <c r="F927" t="s">
        <v>449</v>
      </c>
      <c r="G927" s="68">
        <v>0</v>
      </c>
      <c r="H927" s="68">
        <v>2</v>
      </c>
      <c r="I927" s="68">
        <v>1</v>
      </c>
      <c r="J927" s="68">
        <v>5</v>
      </c>
      <c r="K927" s="68">
        <v>5</v>
      </c>
      <c r="L927" s="68">
        <v>7</v>
      </c>
      <c r="M927" s="68">
        <v>2</v>
      </c>
      <c r="N927" s="68">
        <v>4</v>
      </c>
    </row>
    <row r="928" spans="1:14">
      <c r="A928" t="s">
        <v>444</v>
      </c>
      <c r="B928" t="s">
        <v>445</v>
      </c>
      <c r="C928" t="s">
        <v>1119</v>
      </c>
      <c r="D928" t="s">
        <v>18</v>
      </c>
      <c r="E928" t="s">
        <v>1197</v>
      </c>
      <c r="F928" t="s">
        <v>449</v>
      </c>
      <c r="G928" s="68">
        <v>0</v>
      </c>
      <c r="H928" s="68">
        <v>0</v>
      </c>
      <c r="I928" s="68">
        <v>0</v>
      </c>
      <c r="J928" s="68">
        <v>0</v>
      </c>
      <c r="K928" s="68">
        <v>0</v>
      </c>
      <c r="L928" s="68">
        <v>1</v>
      </c>
      <c r="M928" s="68">
        <v>0</v>
      </c>
      <c r="N928" s="68">
        <v>0</v>
      </c>
    </row>
    <row r="929" spans="1:14">
      <c r="A929" t="s">
        <v>444</v>
      </c>
      <c r="B929" t="s">
        <v>445</v>
      </c>
      <c r="C929" t="s">
        <v>1119</v>
      </c>
      <c r="D929" t="s">
        <v>17</v>
      </c>
      <c r="E929" t="s">
        <v>454</v>
      </c>
      <c r="F929" t="s">
        <v>447</v>
      </c>
      <c r="G929" s="68">
        <v>3530</v>
      </c>
      <c r="H929" s="68">
        <v>7283</v>
      </c>
      <c r="I929" s="68">
        <v>6051</v>
      </c>
      <c r="J929" s="68">
        <v>6405</v>
      </c>
      <c r="K929" s="68">
        <v>5430</v>
      </c>
      <c r="L929" s="68">
        <v>5716</v>
      </c>
      <c r="M929" s="68">
        <v>5994</v>
      </c>
      <c r="N929" s="68">
        <v>5691</v>
      </c>
    </row>
    <row r="930" spans="1:14">
      <c r="A930" t="s">
        <v>444</v>
      </c>
      <c r="B930" t="s">
        <v>445</v>
      </c>
      <c r="C930" t="s">
        <v>1119</v>
      </c>
      <c r="D930" t="s">
        <v>16</v>
      </c>
      <c r="E930" t="s">
        <v>454</v>
      </c>
      <c r="F930" t="s">
        <v>452</v>
      </c>
      <c r="G930" s="68">
        <v>1902</v>
      </c>
      <c r="H930" s="68">
        <v>3963</v>
      </c>
      <c r="I930" s="68">
        <v>3095</v>
      </c>
      <c r="J930" s="68">
        <v>3568</v>
      </c>
      <c r="K930" s="68">
        <v>2928</v>
      </c>
      <c r="L930" s="68">
        <v>3139</v>
      </c>
      <c r="M930" s="68">
        <v>3132</v>
      </c>
      <c r="N930" s="68">
        <v>2671</v>
      </c>
    </row>
    <row r="931" spans="1:14">
      <c r="A931" t="s">
        <v>444</v>
      </c>
      <c r="B931" t="s">
        <v>445</v>
      </c>
      <c r="C931" t="s">
        <v>1198</v>
      </c>
      <c r="D931" t="s">
        <v>386</v>
      </c>
      <c r="E931" t="s">
        <v>454</v>
      </c>
      <c r="F931" t="s">
        <v>472</v>
      </c>
      <c r="G931" s="68">
        <v>0</v>
      </c>
      <c r="H931" s="68">
        <v>0</v>
      </c>
      <c r="I931" s="68">
        <v>0</v>
      </c>
      <c r="J931" s="68">
        <v>0</v>
      </c>
      <c r="K931" s="68">
        <v>3</v>
      </c>
      <c r="L931" s="68">
        <v>0</v>
      </c>
      <c r="M931" s="68">
        <v>0</v>
      </c>
      <c r="N931" s="68">
        <v>1</v>
      </c>
    </row>
    <row r="932" spans="1:14">
      <c r="A932" t="s">
        <v>444</v>
      </c>
      <c r="B932" t="s">
        <v>445</v>
      </c>
      <c r="C932" t="s">
        <v>1199</v>
      </c>
      <c r="D932" t="s">
        <v>378</v>
      </c>
      <c r="E932" t="s">
        <v>1200</v>
      </c>
      <c r="F932" t="s">
        <v>472</v>
      </c>
      <c r="G932" s="68">
        <v>0</v>
      </c>
      <c r="H932" s="68">
        <v>0</v>
      </c>
      <c r="I932" s="68">
        <v>0</v>
      </c>
      <c r="J932" s="68">
        <v>0</v>
      </c>
      <c r="K932" s="68">
        <v>0</v>
      </c>
      <c r="L932" s="68">
        <v>1</v>
      </c>
      <c r="M932" s="68">
        <v>0</v>
      </c>
      <c r="N932" s="68">
        <v>0</v>
      </c>
    </row>
    <row r="933" spans="1:14">
      <c r="A933" t="s">
        <v>444</v>
      </c>
      <c r="B933" t="s">
        <v>445</v>
      </c>
      <c r="C933" t="s">
        <v>1199</v>
      </c>
      <c r="D933" t="s">
        <v>378</v>
      </c>
      <c r="E933" t="s">
        <v>1201</v>
      </c>
      <c r="F933" t="s">
        <v>472</v>
      </c>
      <c r="G933" s="68">
        <v>0</v>
      </c>
      <c r="H933" s="68">
        <v>0</v>
      </c>
      <c r="I933" s="68">
        <v>0</v>
      </c>
      <c r="J933" s="68">
        <v>0</v>
      </c>
      <c r="K933" s="68">
        <v>0</v>
      </c>
      <c r="L933" s="68">
        <v>0</v>
      </c>
      <c r="M933" s="68">
        <v>0</v>
      </c>
      <c r="N933" s="68">
        <v>2</v>
      </c>
    </row>
    <row r="934" spans="1:14">
      <c r="A934" t="s">
        <v>444</v>
      </c>
      <c r="B934" t="s">
        <v>445</v>
      </c>
      <c r="C934" t="s">
        <v>1199</v>
      </c>
      <c r="D934" t="s">
        <v>374</v>
      </c>
      <c r="E934" t="s">
        <v>1202</v>
      </c>
      <c r="F934" t="s">
        <v>630</v>
      </c>
      <c r="G934" s="68">
        <v>0</v>
      </c>
      <c r="H934" s="68">
        <v>0</v>
      </c>
      <c r="I934" s="68">
        <v>0</v>
      </c>
      <c r="J934" s="68">
        <v>0</v>
      </c>
      <c r="K934" s="68">
        <v>0</v>
      </c>
      <c r="L934" s="68">
        <v>0</v>
      </c>
      <c r="M934" s="68">
        <v>2</v>
      </c>
      <c r="N934" s="68">
        <v>2</v>
      </c>
    </row>
    <row r="935" spans="1:14">
      <c r="A935" t="s">
        <v>444</v>
      </c>
      <c r="B935" t="s">
        <v>445</v>
      </c>
      <c r="C935" t="s">
        <v>1199</v>
      </c>
      <c r="D935" t="s">
        <v>374</v>
      </c>
      <c r="E935" t="s">
        <v>1203</v>
      </c>
      <c r="F935" t="s">
        <v>630</v>
      </c>
      <c r="G935" s="68">
        <v>3</v>
      </c>
      <c r="H935" s="68">
        <v>2</v>
      </c>
      <c r="I935" s="68">
        <v>1</v>
      </c>
      <c r="J935" s="68">
        <v>1</v>
      </c>
      <c r="K935" s="68">
        <v>0</v>
      </c>
      <c r="L935" s="68">
        <v>0</v>
      </c>
      <c r="M935" s="68">
        <v>0</v>
      </c>
      <c r="N935" s="68">
        <v>0</v>
      </c>
    </row>
    <row r="936" spans="1:14">
      <c r="A936" t="s">
        <v>444</v>
      </c>
      <c r="B936" t="s">
        <v>445</v>
      </c>
      <c r="C936" t="s">
        <v>1199</v>
      </c>
      <c r="D936" t="s">
        <v>374</v>
      </c>
      <c r="E936" t="s">
        <v>1204</v>
      </c>
      <c r="F936" t="s">
        <v>630</v>
      </c>
      <c r="G936" s="68">
        <v>0</v>
      </c>
      <c r="H936" s="68">
        <v>0</v>
      </c>
      <c r="I936" s="68">
        <v>3</v>
      </c>
      <c r="J936" s="68">
        <v>1</v>
      </c>
      <c r="K936" s="68">
        <v>0</v>
      </c>
      <c r="L936" s="68">
        <v>0</v>
      </c>
      <c r="M936" s="68">
        <v>0</v>
      </c>
      <c r="N936" s="68">
        <v>0</v>
      </c>
    </row>
    <row r="937" spans="1:14">
      <c r="A937" t="s">
        <v>444</v>
      </c>
      <c r="B937" t="s">
        <v>445</v>
      </c>
      <c r="C937" t="s">
        <v>1199</v>
      </c>
      <c r="D937" t="s">
        <v>271</v>
      </c>
      <c r="E937" t="s">
        <v>1205</v>
      </c>
      <c r="F937" t="s">
        <v>449</v>
      </c>
      <c r="G937" s="68">
        <v>0</v>
      </c>
      <c r="H937" s="68">
        <v>0</v>
      </c>
      <c r="I937" s="68">
        <v>0</v>
      </c>
      <c r="J937" s="68">
        <v>0</v>
      </c>
      <c r="K937" s="68">
        <v>0</v>
      </c>
      <c r="L937" s="68">
        <v>0</v>
      </c>
      <c r="M937" s="68">
        <v>0</v>
      </c>
      <c r="N937" s="68">
        <v>1</v>
      </c>
    </row>
    <row r="938" spans="1:14">
      <c r="A938" t="s">
        <v>444</v>
      </c>
      <c r="B938" t="s">
        <v>445</v>
      </c>
      <c r="C938" t="s">
        <v>1199</v>
      </c>
      <c r="D938" t="s">
        <v>271</v>
      </c>
      <c r="E938" t="s">
        <v>1206</v>
      </c>
      <c r="F938" t="s">
        <v>469</v>
      </c>
      <c r="G938" s="68">
        <v>0</v>
      </c>
      <c r="H938" s="68">
        <v>0</v>
      </c>
      <c r="I938" s="68">
        <v>0</v>
      </c>
      <c r="J938" s="68">
        <v>0</v>
      </c>
      <c r="K938" s="68">
        <v>1</v>
      </c>
      <c r="L938" s="68">
        <v>0</v>
      </c>
      <c r="M938" s="68">
        <v>0</v>
      </c>
      <c r="N938" s="68">
        <v>0</v>
      </c>
    </row>
    <row r="939" spans="1:14">
      <c r="A939" t="s">
        <v>444</v>
      </c>
      <c r="B939" t="s">
        <v>445</v>
      </c>
      <c r="C939" t="s">
        <v>1199</v>
      </c>
      <c r="D939" t="s">
        <v>239</v>
      </c>
      <c r="E939" t="s">
        <v>454</v>
      </c>
      <c r="F939" t="s">
        <v>630</v>
      </c>
      <c r="G939" s="68">
        <v>0</v>
      </c>
      <c r="H939" s="68">
        <v>1</v>
      </c>
      <c r="I939" s="68">
        <v>1</v>
      </c>
      <c r="J939" s="68">
        <v>0</v>
      </c>
      <c r="K939" s="68">
        <v>0</v>
      </c>
      <c r="L939" s="68">
        <v>2</v>
      </c>
      <c r="M939" s="68">
        <v>0</v>
      </c>
      <c r="N939" s="68">
        <v>0</v>
      </c>
    </row>
    <row r="940" spans="1:14">
      <c r="A940" t="s">
        <v>444</v>
      </c>
      <c r="B940" t="s">
        <v>445</v>
      </c>
      <c r="C940" t="s">
        <v>1199</v>
      </c>
      <c r="D940" t="s">
        <v>174</v>
      </c>
      <c r="E940" t="s">
        <v>1207</v>
      </c>
      <c r="F940" t="s">
        <v>630</v>
      </c>
      <c r="G940" s="68">
        <v>0</v>
      </c>
      <c r="H940" s="68">
        <v>1</v>
      </c>
      <c r="I940" s="68">
        <v>0</v>
      </c>
      <c r="J940" s="68">
        <v>0</v>
      </c>
      <c r="K940" s="68">
        <v>0</v>
      </c>
      <c r="L940" s="68">
        <v>0</v>
      </c>
      <c r="M940" s="68">
        <v>0</v>
      </c>
      <c r="N940" s="68">
        <v>0</v>
      </c>
    </row>
    <row r="941" spans="1:14">
      <c r="A941" t="s">
        <v>444</v>
      </c>
      <c r="B941" t="s">
        <v>445</v>
      </c>
      <c r="C941" t="s">
        <v>1199</v>
      </c>
      <c r="D941" t="s">
        <v>71</v>
      </c>
      <c r="E941" t="s">
        <v>1208</v>
      </c>
      <c r="F941" t="s">
        <v>452</v>
      </c>
      <c r="G941" s="68">
        <v>0</v>
      </c>
      <c r="H941" s="68">
        <v>0</v>
      </c>
      <c r="I941" s="68">
        <v>0</v>
      </c>
      <c r="J941" s="68">
        <v>0</v>
      </c>
      <c r="K941" s="68">
        <v>0</v>
      </c>
      <c r="L941" s="68">
        <v>1</v>
      </c>
      <c r="M941" s="68">
        <v>0</v>
      </c>
      <c r="N941" s="68">
        <v>0</v>
      </c>
    </row>
    <row r="942" spans="1:14">
      <c r="A942" t="s">
        <v>444</v>
      </c>
      <c r="B942" t="s">
        <v>445</v>
      </c>
      <c r="C942" t="s">
        <v>1199</v>
      </c>
      <c r="D942" t="s">
        <v>66</v>
      </c>
      <c r="E942" t="s">
        <v>1209</v>
      </c>
      <c r="F942" t="s">
        <v>472</v>
      </c>
      <c r="G942" s="68">
        <v>0</v>
      </c>
      <c r="H942" s="68">
        <v>0</v>
      </c>
      <c r="I942" s="68">
        <v>0</v>
      </c>
      <c r="J942" s="68">
        <v>0</v>
      </c>
      <c r="K942" s="68">
        <v>0</v>
      </c>
      <c r="L942" s="68">
        <v>1</v>
      </c>
      <c r="M942" s="68">
        <v>0</v>
      </c>
      <c r="N942" s="68">
        <v>0</v>
      </c>
    </row>
    <row r="943" spans="1:14">
      <c r="A943" t="s">
        <v>444</v>
      </c>
      <c r="B943" t="s">
        <v>445</v>
      </c>
      <c r="C943" t="s">
        <v>1199</v>
      </c>
      <c r="D943" t="s">
        <v>62</v>
      </c>
      <c r="E943" t="s">
        <v>1210</v>
      </c>
      <c r="F943" t="s">
        <v>452</v>
      </c>
      <c r="G943" s="68">
        <v>0</v>
      </c>
      <c r="H943" s="68">
        <v>0</v>
      </c>
      <c r="I943" s="68">
        <v>0</v>
      </c>
      <c r="J943" s="68">
        <v>0</v>
      </c>
      <c r="K943" s="68">
        <v>0</v>
      </c>
      <c r="L943" s="68">
        <v>1</v>
      </c>
      <c r="M943" s="68">
        <v>0</v>
      </c>
      <c r="N943" s="68">
        <v>0</v>
      </c>
    </row>
    <row r="944" spans="1:14">
      <c r="A944" t="s">
        <v>444</v>
      </c>
      <c r="B944" t="s">
        <v>445</v>
      </c>
      <c r="C944" t="s">
        <v>1199</v>
      </c>
      <c r="D944" t="s">
        <v>62</v>
      </c>
      <c r="E944" t="s">
        <v>1211</v>
      </c>
      <c r="F944" t="s">
        <v>452</v>
      </c>
      <c r="G944" s="68">
        <v>0</v>
      </c>
      <c r="H944" s="68">
        <v>0</v>
      </c>
      <c r="I944" s="68">
        <v>1</v>
      </c>
      <c r="J944" s="68">
        <v>0</v>
      </c>
      <c r="K944" s="68">
        <v>0</v>
      </c>
      <c r="L944" s="68">
        <v>0</v>
      </c>
      <c r="M944" s="68">
        <v>0</v>
      </c>
      <c r="N944" s="68">
        <v>0</v>
      </c>
    </row>
    <row r="945" spans="1:14">
      <c r="A945" t="s">
        <v>444</v>
      </c>
      <c r="B945" t="s">
        <v>445</v>
      </c>
      <c r="C945" t="s">
        <v>1212</v>
      </c>
      <c r="D945" t="s">
        <v>290</v>
      </c>
      <c r="E945" t="s">
        <v>454</v>
      </c>
      <c r="F945" t="s">
        <v>472</v>
      </c>
      <c r="G945" s="68">
        <v>1</v>
      </c>
      <c r="H945" s="68">
        <v>0</v>
      </c>
      <c r="I945" s="68">
        <v>1</v>
      </c>
      <c r="J945" s="68">
        <v>0</v>
      </c>
      <c r="K945" s="68">
        <v>1</v>
      </c>
      <c r="L945" s="68">
        <v>2</v>
      </c>
      <c r="M945" s="68">
        <v>1</v>
      </c>
      <c r="N945" s="68">
        <v>0</v>
      </c>
    </row>
    <row r="946" spans="1:14">
      <c r="A946" t="s">
        <v>444</v>
      </c>
      <c r="B946" t="s">
        <v>445</v>
      </c>
      <c r="C946" t="s">
        <v>1213</v>
      </c>
      <c r="D946" t="s">
        <v>380</v>
      </c>
      <c r="E946" t="s">
        <v>1214</v>
      </c>
      <c r="F946" t="s">
        <v>452</v>
      </c>
      <c r="G946" s="68">
        <v>3</v>
      </c>
      <c r="H946" s="68">
        <v>2</v>
      </c>
      <c r="I946" s="68">
        <v>4</v>
      </c>
      <c r="J946" s="68">
        <v>10</v>
      </c>
      <c r="K946" s="68">
        <v>5</v>
      </c>
      <c r="L946" s="68">
        <v>4</v>
      </c>
      <c r="M946" s="68">
        <v>3</v>
      </c>
      <c r="N946" s="68">
        <v>1</v>
      </c>
    </row>
    <row r="947" spans="1:14">
      <c r="A947" t="s">
        <v>444</v>
      </c>
      <c r="B947" t="s">
        <v>445</v>
      </c>
      <c r="C947" t="s">
        <v>1213</v>
      </c>
      <c r="D947" t="s">
        <v>321</v>
      </c>
      <c r="E947" t="s">
        <v>454</v>
      </c>
      <c r="F947" t="s">
        <v>452</v>
      </c>
      <c r="G947" s="68">
        <v>11</v>
      </c>
      <c r="H947" s="68">
        <v>34</v>
      </c>
      <c r="I947" s="68">
        <v>39</v>
      </c>
      <c r="J947" s="68">
        <v>26</v>
      </c>
      <c r="K947" s="68">
        <v>21</v>
      </c>
      <c r="L947" s="68">
        <v>46</v>
      </c>
      <c r="M947" s="68">
        <v>37</v>
      </c>
      <c r="N947" s="68">
        <v>21</v>
      </c>
    </row>
    <row r="948" spans="1:14">
      <c r="A948" t="s">
        <v>444</v>
      </c>
      <c r="B948" t="s">
        <v>445</v>
      </c>
      <c r="C948" t="s">
        <v>1213</v>
      </c>
      <c r="D948" t="s">
        <v>308</v>
      </c>
      <c r="E948" t="s">
        <v>1215</v>
      </c>
      <c r="F948" t="s">
        <v>449</v>
      </c>
      <c r="G948" s="68">
        <v>0</v>
      </c>
      <c r="H948" s="68">
        <v>0</v>
      </c>
      <c r="I948" s="68">
        <v>0</v>
      </c>
      <c r="J948" s="68">
        <v>1</v>
      </c>
      <c r="K948" s="68">
        <v>27</v>
      </c>
      <c r="L948" s="68">
        <v>34</v>
      </c>
      <c r="M948" s="68">
        <v>26</v>
      </c>
      <c r="N948" s="68">
        <v>18</v>
      </c>
    </row>
    <row r="949" spans="1:14">
      <c r="A949" t="s">
        <v>444</v>
      </c>
      <c r="B949" t="s">
        <v>445</v>
      </c>
      <c r="C949" t="s">
        <v>1213</v>
      </c>
      <c r="D949" t="s">
        <v>302</v>
      </c>
      <c r="E949" t="s">
        <v>454</v>
      </c>
      <c r="F949" t="s">
        <v>452</v>
      </c>
      <c r="G949" s="68">
        <v>32</v>
      </c>
      <c r="H949" s="68">
        <v>76</v>
      </c>
      <c r="I949" s="68">
        <v>37</v>
      </c>
      <c r="J949" s="68">
        <v>45</v>
      </c>
      <c r="K949" s="68">
        <v>33</v>
      </c>
      <c r="L949" s="68">
        <v>30</v>
      </c>
      <c r="M949" s="68">
        <v>10</v>
      </c>
      <c r="N949" s="68">
        <v>6</v>
      </c>
    </row>
    <row r="950" spans="1:14">
      <c r="A950" t="s">
        <v>444</v>
      </c>
      <c r="B950" t="s">
        <v>445</v>
      </c>
      <c r="C950" t="s">
        <v>1213</v>
      </c>
      <c r="D950" t="s">
        <v>301</v>
      </c>
      <c r="E950" t="s">
        <v>454</v>
      </c>
      <c r="F950" t="s">
        <v>452</v>
      </c>
      <c r="G950" s="68">
        <v>20</v>
      </c>
      <c r="H950" s="68">
        <v>59</v>
      </c>
      <c r="I950" s="68">
        <v>34</v>
      </c>
      <c r="J950" s="68">
        <v>48</v>
      </c>
      <c r="K950" s="68">
        <v>47</v>
      </c>
      <c r="L950" s="68">
        <v>60</v>
      </c>
      <c r="M950" s="68">
        <v>58</v>
      </c>
      <c r="N950" s="68">
        <v>22</v>
      </c>
    </row>
    <row r="951" spans="1:14">
      <c r="A951" t="s">
        <v>444</v>
      </c>
      <c r="B951" t="s">
        <v>445</v>
      </c>
      <c r="C951" t="s">
        <v>1213</v>
      </c>
      <c r="D951" t="s">
        <v>299</v>
      </c>
      <c r="E951" t="s">
        <v>454</v>
      </c>
      <c r="F951" t="s">
        <v>452</v>
      </c>
      <c r="G951" s="68">
        <v>2</v>
      </c>
      <c r="H951" s="68">
        <v>4</v>
      </c>
      <c r="I951" s="68">
        <v>6</v>
      </c>
      <c r="J951" s="68">
        <v>3</v>
      </c>
      <c r="K951" s="68">
        <v>6</v>
      </c>
      <c r="L951" s="68">
        <v>5</v>
      </c>
      <c r="M951" s="68">
        <v>9</v>
      </c>
      <c r="N951" s="68">
        <v>9</v>
      </c>
    </row>
    <row r="952" spans="1:14">
      <c r="A952" t="s">
        <v>444</v>
      </c>
      <c r="B952" t="s">
        <v>445</v>
      </c>
      <c r="C952" t="s">
        <v>1213</v>
      </c>
      <c r="D952" t="s">
        <v>158</v>
      </c>
      <c r="E952" t="s">
        <v>454</v>
      </c>
      <c r="F952" t="s">
        <v>472</v>
      </c>
      <c r="G952" s="68">
        <v>0</v>
      </c>
      <c r="H952" s="68">
        <v>0</v>
      </c>
      <c r="I952" s="68">
        <v>0</v>
      </c>
      <c r="J952" s="68">
        <v>2</v>
      </c>
      <c r="K952" s="68">
        <v>0</v>
      </c>
      <c r="L952" s="68">
        <v>1</v>
      </c>
      <c r="M952" s="68">
        <v>0</v>
      </c>
      <c r="N952" s="68">
        <v>0</v>
      </c>
    </row>
    <row r="953" spans="1:14">
      <c r="A953" t="s">
        <v>444</v>
      </c>
      <c r="B953" t="s">
        <v>445</v>
      </c>
      <c r="C953" t="s">
        <v>1213</v>
      </c>
      <c r="D953" t="s">
        <v>115</v>
      </c>
      <c r="E953" t="s">
        <v>1216</v>
      </c>
      <c r="F953" t="s">
        <v>447</v>
      </c>
      <c r="G953" s="68">
        <v>3</v>
      </c>
      <c r="H953" s="68">
        <v>4</v>
      </c>
      <c r="I953" s="68">
        <v>1</v>
      </c>
      <c r="J953" s="68">
        <v>4</v>
      </c>
      <c r="K953" s="68">
        <v>0</v>
      </c>
      <c r="L953" s="68">
        <v>2</v>
      </c>
      <c r="M953" s="68">
        <v>1</v>
      </c>
      <c r="N953" s="68">
        <v>2</v>
      </c>
    </row>
    <row r="954" spans="1:14">
      <c r="A954" t="s">
        <v>444</v>
      </c>
      <c r="B954" t="s">
        <v>445</v>
      </c>
      <c r="C954" t="s">
        <v>1213</v>
      </c>
      <c r="D954" t="s">
        <v>113</v>
      </c>
      <c r="E954" t="s">
        <v>1217</v>
      </c>
      <c r="F954" t="s">
        <v>447</v>
      </c>
      <c r="G954" s="68">
        <v>3</v>
      </c>
      <c r="H954" s="68">
        <v>6</v>
      </c>
      <c r="I954" s="68">
        <v>5</v>
      </c>
      <c r="J954" s="68">
        <v>3</v>
      </c>
      <c r="K954" s="68">
        <v>1</v>
      </c>
      <c r="L954" s="68">
        <v>4</v>
      </c>
      <c r="M954" s="68">
        <v>0</v>
      </c>
      <c r="N954" s="68">
        <v>3</v>
      </c>
    </row>
    <row r="955" spans="1:14">
      <c r="A955" t="s">
        <v>444</v>
      </c>
      <c r="B955" t="s">
        <v>445</v>
      </c>
      <c r="C955" t="s">
        <v>1213</v>
      </c>
      <c r="D955" t="s">
        <v>53</v>
      </c>
      <c r="E955" t="s">
        <v>454</v>
      </c>
      <c r="F955" t="s">
        <v>469</v>
      </c>
      <c r="G955" s="68">
        <v>2</v>
      </c>
      <c r="H955" s="68">
        <v>2</v>
      </c>
      <c r="I955" s="68">
        <v>1</v>
      </c>
      <c r="J955" s="68">
        <v>2</v>
      </c>
      <c r="K955" s="68">
        <v>3</v>
      </c>
      <c r="L955" s="68">
        <v>2</v>
      </c>
      <c r="M955" s="68">
        <v>1</v>
      </c>
      <c r="N955" s="68">
        <v>2</v>
      </c>
    </row>
    <row r="956" spans="1:14">
      <c r="A956" t="s">
        <v>444</v>
      </c>
      <c r="B956" t="s">
        <v>445</v>
      </c>
      <c r="C956" t="s">
        <v>1213</v>
      </c>
      <c r="D956" t="s">
        <v>29</v>
      </c>
      <c r="E956" t="s">
        <v>1218</v>
      </c>
      <c r="F956" t="s">
        <v>452</v>
      </c>
      <c r="G956" s="68">
        <v>1</v>
      </c>
      <c r="H956" s="68">
        <v>9</v>
      </c>
      <c r="I956" s="68">
        <v>1</v>
      </c>
      <c r="J956" s="68">
        <v>6</v>
      </c>
      <c r="K956" s="68">
        <v>1</v>
      </c>
      <c r="L956" s="68">
        <v>4</v>
      </c>
      <c r="M956" s="68">
        <v>3</v>
      </c>
      <c r="N956" s="68">
        <v>1</v>
      </c>
    </row>
    <row r="957" spans="1:14">
      <c r="A957" t="s">
        <v>444</v>
      </c>
      <c r="B957" t="s">
        <v>445</v>
      </c>
      <c r="C957" t="s">
        <v>1213</v>
      </c>
      <c r="D957" t="s">
        <v>28</v>
      </c>
      <c r="E957" t="s">
        <v>454</v>
      </c>
      <c r="F957" t="s">
        <v>452</v>
      </c>
      <c r="G957" s="68">
        <v>11</v>
      </c>
      <c r="H957" s="68">
        <v>32</v>
      </c>
      <c r="I957" s="68">
        <v>26</v>
      </c>
      <c r="J957" s="68">
        <v>26</v>
      </c>
      <c r="K957" s="68">
        <v>15</v>
      </c>
      <c r="L957" s="68">
        <v>13</v>
      </c>
      <c r="M957" s="68">
        <v>11</v>
      </c>
      <c r="N957" s="68">
        <v>11</v>
      </c>
    </row>
    <row r="958" spans="1:14">
      <c r="A958" t="s">
        <v>444</v>
      </c>
      <c r="B958" t="s">
        <v>445</v>
      </c>
      <c r="C958" t="s">
        <v>1213</v>
      </c>
      <c r="D958" t="s">
        <v>27</v>
      </c>
      <c r="E958" t="s">
        <v>454</v>
      </c>
      <c r="F958" t="s">
        <v>452</v>
      </c>
      <c r="G958" s="68">
        <v>10</v>
      </c>
      <c r="H958" s="68">
        <v>11</v>
      </c>
      <c r="I958" s="68">
        <v>9</v>
      </c>
      <c r="J958" s="68">
        <v>11</v>
      </c>
      <c r="K958" s="68">
        <v>7</v>
      </c>
      <c r="L958" s="68">
        <v>8</v>
      </c>
      <c r="M958" s="68">
        <v>4</v>
      </c>
      <c r="N958" s="68">
        <v>0</v>
      </c>
    </row>
    <row r="959" spans="1:14">
      <c r="A959" t="s">
        <v>444</v>
      </c>
      <c r="B959" t="s">
        <v>445</v>
      </c>
      <c r="C959" t="s">
        <v>1213</v>
      </c>
      <c r="D959" t="s">
        <v>27</v>
      </c>
      <c r="E959" t="s">
        <v>1219</v>
      </c>
      <c r="F959" t="s">
        <v>452</v>
      </c>
      <c r="G959" s="68">
        <v>0</v>
      </c>
      <c r="H959" s="68">
        <v>0</v>
      </c>
      <c r="I959" s="68">
        <v>0</v>
      </c>
      <c r="J959" s="68">
        <v>0</v>
      </c>
      <c r="K959" s="68">
        <v>0</v>
      </c>
      <c r="L959" s="68">
        <v>0</v>
      </c>
      <c r="M959" s="68">
        <v>0</v>
      </c>
      <c r="N959" s="68">
        <v>1</v>
      </c>
    </row>
    <row r="960" spans="1:14">
      <c r="A960" t="s">
        <v>444</v>
      </c>
      <c r="B960" t="s">
        <v>445</v>
      </c>
      <c r="C960" t="s">
        <v>1220</v>
      </c>
      <c r="D960" t="s">
        <v>283</v>
      </c>
      <c r="E960" t="s">
        <v>1221</v>
      </c>
      <c r="F960" t="s">
        <v>630</v>
      </c>
      <c r="G960" s="68">
        <v>0</v>
      </c>
      <c r="H960" s="68">
        <v>0</v>
      </c>
      <c r="I960" s="68">
        <v>0</v>
      </c>
      <c r="J960" s="68">
        <v>5</v>
      </c>
      <c r="K960" s="68">
        <v>13</v>
      </c>
      <c r="L960" s="68">
        <v>78</v>
      </c>
      <c r="M960" s="68">
        <v>78</v>
      </c>
      <c r="N960" s="68">
        <v>53</v>
      </c>
    </row>
    <row r="961" spans="1:14">
      <c r="A961" t="s">
        <v>444</v>
      </c>
      <c r="B961" t="s">
        <v>445</v>
      </c>
      <c r="C961" t="s">
        <v>1222</v>
      </c>
      <c r="D961" t="s">
        <v>399</v>
      </c>
      <c r="E961" t="s">
        <v>1223</v>
      </c>
      <c r="F961" t="s">
        <v>1057</v>
      </c>
      <c r="G961" s="68">
        <v>2</v>
      </c>
      <c r="H961" s="68">
        <v>3</v>
      </c>
      <c r="I961" s="68">
        <v>0</v>
      </c>
      <c r="J961" s="68">
        <v>1</v>
      </c>
      <c r="K961" s="68">
        <v>2</v>
      </c>
      <c r="L961" s="68">
        <v>2</v>
      </c>
      <c r="M961" s="68">
        <v>0</v>
      </c>
      <c r="N961" s="68">
        <v>1</v>
      </c>
    </row>
    <row r="962" spans="1:14">
      <c r="A962" t="s">
        <v>444</v>
      </c>
      <c r="B962" t="s">
        <v>445</v>
      </c>
      <c r="C962" t="s">
        <v>1222</v>
      </c>
      <c r="D962" t="s">
        <v>399</v>
      </c>
      <c r="E962" t="s">
        <v>1224</v>
      </c>
      <c r="F962" t="s">
        <v>1057</v>
      </c>
      <c r="G962" s="68">
        <v>11</v>
      </c>
      <c r="H962" s="68">
        <v>23</v>
      </c>
      <c r="I962" s="68">
        <v>2</v>
      </c>
      <c r="J962" s="68">
        <v>8</v>
      </c>
      <c r="K962" s="68">
        <v>5</v>
      </c>
      <c r="L962" s="68">
        <v>12</v>
      </c>
      <c r="M962" s="68">
        <v>9</v>
      </c>
      <c r="N962" s="68">
        <v>4</v>
      </c>
    </row>
    <row r="963" spans="1:14">
      <c r="A963" t="s">
        <v>444</v>
      </c>
      <c r="B963" t="s">
        <v>445</v>
      </c>
      <c r="C963" t="s">
        <v>1222</v>
      </c>
      <c r="D963" t="s">
        <v>387</v>
      </c>
      <c r="E963" t="s">
        <v>454</v>
      </c>
      <c r="F963" t="s">
        <v>449</v>
      </c>
      <c r="G963" s="68">
        <v>2</v>
      </c>
      <c r="H963" s="68">
        <v>0</v>
      </c>
      <c r="I963" s="68">
        <v>0</v>
      </c>
      <c r="J963" s="68">
        <v>0</v>
      </c>
      <c r="K963" s="68">
        <v>0</v>
      </c>
      <c r="L963" s="68">
        <v>0</v>
      </c>
      <c r="M963" s="68">
        <v>0</v>
      </c>
      <c r="N963" s="68">
        <v>0</v>
      </c>
    </row>
    <row r="964" spans="1:14">
      <c r="A964" t="s">
        <v>444</v>
      </c>
      <c r="B964" t="s">
        <v>445</v>
      </c>
      <c r="C964" t="s">
        <v>1222</v>
      </c>
      <c r="D964" t="s">
        <v>387</v>
      </c>
      <c r="E964" t="s">
        <v>744</v>
      </c>
      <c r="F964" t="s">
        <v>449</v>
      </c>
      <c r="G964" s="68">
        <v>4</v>
      </c>
      <c r="H964" s="68">
        <v>0</v>
      </c>
      <c r="I964" s="68">
        <v>0</v>
      </c>
      <c r="J964" s="68">
        <v>0</v>
      </c>
      <c r="K964" s="68">
        <v>0</v>
      </c>
      <c r="L964" s="68">
        <v>0</v>
      </c>
      <c r="M964" s="68">
        <v>0</v>
      </c>
      <c r="N964" s="68">
        <v>0</v>
      </c>
    </row>
    <row r="965" spans="1:14">
      <c r="A965" t="s">
        <v>444</v>
      </c>
      <c r="B965" t="s">
        <v>445</v>
      </c>
      <c r="C965" t="s">
        <v>1222</v>
      </c>
      <c r="D965" t="s">
        <v>387</v>
      </c>
      <c r="E965" t="s">
        <v>1225</v>
      </c>
      <c r="F965" t="s">
        <v>449</v>
      </c>
      <c r="G965" s="68">
        <v>25</v>
      </c>
      <c r="H965" s="68">
        <v>0</v>
      </c>
      <c r="I965" s="68">
        <v>0</v>
      </c>
      <c r="J965" s="68">
        <v>0</v>
      </c>
      <c r="K965" s="68">
        <v>0</v>
      </c>
      <c r="L965" s="68">
        <v>0</v>
      </c>
      <c r="M965" s="68">
        <v>0</v>
      </c>
      <c r="N965" s="68">
        <v>0</v>
      </c>
    </row>
    <row r="966" spans="1:14">
      <c r="A966" t="s">
        <v>444</v>
      </c>
      <c r="B966" t="s">
        <v>445</v>
      </c>
      <c r="C966" t="s">
        <v>1222</v>
      </c>
      <c r="D966" t="s">
        <v>387</v>
      </c>
      <c r="E966" t="s">
        <v>1226</v>
      </c>
      <c r="F966" t="s">
        <v>449</v>
      </c>
      <c r="G966" s="68">
        <v>0</v>
      </c>
      <c r="H966" s="68">
        <v>10</v>
      </c>
      <c r="I966" s="68">
        <v>1</v>
      </c>
      <c r="J966" s="68">
        <v>0</v>
      </c>
      <c r="K966" s="68">
        <v>0</v>
      </c>
      <c r="L966" s="68">
        <v>0</v>
      </c>
      <c r="M966" s="68">
        <v>0</v>
      </c>
      <c r="N966" s="68">
        <v>1</v>
      </c>
    </row>
    <row r="967" spans="1:14">
      <c r="A967" t="s">
        <v>444</v>
      </c>
      <c r="B967" t="s">
        <v>445</v>
      </c>
      <c r="C967" t="s">
        <v>1222</v>
      </c>
      <c r="D967" t="s">
        <v>387</v>
      </c>
      <c r="E967" t="s">
        <v>1227</v>
      </c>
      <c r="F967" t="s">
        <v>449</v>
      </c>
      <c r="G967" s="68">
        <v>0</v>
      </c>
      <c r="H967" s="68">
        <v>78</v>
      </c>
      <c r="I967" s="68">
        <v>0</v>
      </c>
      <c r="J967" s="68">
        <v>0</v>
      </c>
      <c r="K967" s="68">
        <v>3</v>
      </c>
      <c r="L967" s="68">
        <v>0</v>
      </c>
      <c r="M967" s="68">
        <v>1</v>
      </c>
      <c r="N967" s="68">
        <v>0</v>
      </c>
    </row>
    <row r="968" spans="1:14">
      <c r="A968" t="s">
        <v>444</v>
      </c>
      <c r="B968" t="s">
        <v>445</v>
      </c>
      <c r="C968" t="s">
        <v>1222</v>
      </c>
      <c r="D968" t="s">
        <v>387</v>
      </c>
      <c r="E968" t="s">
        <v>1228</v>
      </c>
      <c r="F968" t="s">
        <v>449</v>
      </c>
      <c r="G968" s="68">
        <v>0</v>
      </c>
      <c r="H968" s="68">
        <v>289</v>
      </c>
      <c r="I968" s="68">
        <v>5</v>
      </c>
      <c r="J968" s="68">
        <v>9</v>
      </c>
      <c r="K968" s="68">
        <v>6</v>
      </c>
      <c r="L968" s="68">
        <v>27</v>
      </c>
      <c r="M968" s="68">
        <v>5</v>
      </c>
      <c r="N968" s="68">
        <v>8</v>
      </c>
    </row>
    <row r="969" spans="1:14">
      <c r="A969" t="s">
        <v>444</v>
      </c>
      <c r="B969" t="s">
        <v>445</v>
      </c>
      <c r="C969" t="s">
        <v>1222</v>
      </c>
      <c r="D969" t="s">
        <v>337</v>
      </c>
      <c r="E969" t="s">
        <v>1229</v>
      </c>
      <c r="F969" t="s">
        <v>630</v>
      </c>
      <c r="G969" s="68">
        <v>0</v>
      </c>
      <c r="H969" s="68">
        <v>0</v>
      </c>
      <c r="I969" s="68">
        <v>0</v>
      </c>
      <c r="J969" s="68">
        <v>0</v>
      </c>
      <c r="K969" s="68">
        <v>0</v>
      </c>
      <c r="L969" s="68">
        <v>0</v>
      </c>
      <c r="M969" s="68">
        <v>0</v>
      </c>
      <c r="N969" s="68">
        <v>157</v>
      </c>
    </row>
    <row r="970" spans="1:14">
      <c r="A970" t="s">
        <v>444</v>
      </c>
      <c r="B970" t="s">
        <v>445</v>
      </c>
      <c r="C970" t="s">
        <v>1230</v>
      </c>
      <c r="D970" t="s">
        <v>284</v>
      </c>
      <c r="E970" t="s">
        <v>454</v>
      </c>
      <c r="F970" t="s">
        <v>452</v>
      </c>
      <c r="G970" s="68">
        <v>8</v>
      </c>
      <c r="H970" s="68">
        <v>0</v>
      </c>
      <c r="I970" s="68">
        <v>0</v>
      </c>
      <c r="J970" s="68">
        <v>0</v>
      </c>
      <c r="K970" s="68">
        <v>0</v>
      </c>
      <c r="L970" s="68">
        <v>0</v>
      </c>
      <c r="M970" s="68">
        <v>0</v>
      </c>
      <c r="N970" s="68">
        <v>0</v>
      </c>
    </row>
    <row r="971" spans="1:14">
      <c r="A971" t="s">
        <v>444</v>
      </c>
      <c r="B971" t="s">
        <v>445</v>
      </c>
      <c r="C971" t="s">
        <v>1230</v>
      </c>
      <c r="D971" t="s">
        <v>284</v>
      </c>
      <c r="E971" t="s">
        <v>1231</v>
      </c>
      <c r="F971" t="s">
        <v>452</v>
      </c>
      <c r="G971" s="68">
        <v>0</v>
      </c>
      <c r="H971" s="68">
        <v>97</v>
      </c>
      <c r="I971" s="68">
        <v>106</v>
      </c>
      <c r="J971" s="68">
        <v>118</v>
      </c>
      <c r="K971" s="68">
        <v>0</v>
      </c>
      <c r="L971" s="68">
        <v>0</v>
      </c>
      <c r="M971" s="68">
        <v>0</v>
      </c>
      <c r="N971" s="68">
        <v>0</v>
      </c>
    </row>
    <row r="972" spans="1:14">
      <c r="A972" t="s">
        <v>444</v>
      </c>
      <c r="B972" t="s">
        <v>445</v>
      </c>
      <c r="C972" t="s">
        <v>1230</v>
      </c>
      <c r="D972" t="s">
        <v>284</v>
      </c>
      <c r="E972" t="s">
        <v>1232</v>
      </c>
      <c r="F972" t="s">
        <v>452</v>
      </c>
      <c r="G972" s="68">
        <v>0</v>
      </c>
      <c r="H972" s="68">
        <v>0</v>
      </c>
      <c r="I972" s="68">
        <v>0</v>
      </c>
      <c r="J972" s="68">
        <v>0</v>
      </c>
      <c r="K972" s="68">
        <v>55</v>
      </c>
      <c r="L972" s="68">
        <v>131</v>
      </c>
      <c r="M972" s="68">
        <v>135</v>
      </c>
      <c r="N972" s="68">
        <v>54</v>
      </c>
    </row>
    <row r="973" spans="1:14">
      <c r="A973" t="s">
        <v>444</v>
      </c>
      <c r="B973" t="s">
        <v>445</v>
      </c>
      <c r="C973" t="s">
        <v>1230</v>
      </c>
      <c r="D973" t="s">
        <v>284</v>
      </c>
      <c r="E973" t="s">
        <v>1233</v>
      </c>
      <c r="F973" t="s">
        <v>452</v>
      </c>
      <c r="G973" s="68">
        <v>14</v>
      </c>
      <c r="H973" s="68">
        <v>25</v>
      </c>
      <c r="I973" s="68">
        <v>25</v>
      </c>
      <c r="J973" s="68">
        <v>15</v>
      </c>
      <c r="K973" s="68">
        <v>14</v>
      </c>
      <c r="L973" s="68">
        <v>29</v>
      </c>
      <c r="M973" s="68">
        <v>36</v>
      </c>
      <c r="N973" s="68">
        <v>26</v>
      </c>
    </row>
    <row r="974" spans="1:14">
      <c r="A974" t="s">
        <v>444</v>
      </c>
      <c r="B974" t="s">
        <v>445</v>
      </c>
      <c r="C974" t="s">
        <v>1230</v>
      </c>
      <c r="D974" t="s">
        <v>284</v>
      </c>
      <c r="E974" t="s">
        <v>1234</v>
      </c>
      <c r="F974" t="s">
        <v>452</v>
      </c>
      <c r="G974" s="68">
        <v>0</v>
      </c>
      <c r="H974" s="68">
        <v>112</v>
      </c>
      <c r="I974" s="68">
        <v>106</v>
      </c>
      <c r="J974" s="68">
        <v>209</v>
      </c>
      <c r="K974" s="68">
        <v>0</v>
      </c>
      <c r="L974" s="68">
        <v>0</v>
      </c>
      <c r="M974" s="68">
        <v>0</v>
      </c>
      <c r="N974" s="68">
        <v>0</v>
      </c>
    </row>
    <row r="975" spans="1:14">
      <c r="A975" t="s">
        <v>444</v>
      </c>
      <c r="B975" t="s">
        <v>445</v>
      </c>
      <c r="C975" t="s">
        <v>1230</v>
      </c>
      <c r="D975" t="s">
        <v>284</v>
      </c>
      <c r="E975" t="s">
        <v>1235</v>
      </c>
      <c r="F975" t="s">
        <v>452</v>
      </c>
      <c r="G975" s="68">
        <v>0</v>
      </c>
      <c r="H975" s="68">
        <v>0</v>
      </c>
      <c r="I975" s="68">
        <v>0</v>
      </c>
      <c r="J975" s="68">
        <v>0</v>
      </c>
      <c r="K975" s="68">
        <v>178</v>
      </c>
      <c r="L975" s="68">
        <v>304</v>
      </c>
      <c r="M975" s="68">
        <v>300</v>
      </c>
      <c r="N975" s="68">
        <v>264</v>
      </c>
    </row>
    <row r="976" spans="1:14">
      <c r="A976" t="s">
        <v>444</v>
      </c>
      <c r="B976" t="s">
        <v>445</v>
      </c>
      <c r="C976" t="s">
        <v>1230</v>
      </c>
      <c r="D976" t="s">
        <v>284</v>
      </c>
      <c r="E976" t="s">
        <v>1236</v>
      </c>
      <c r="F976" t="s">
        <v>452</v>
      </c>
      <c r="G976" s="68">
        <v>0</v>
      </c>
      <c r="H976" s="68">
        <v>11</v>
      </c>
      <c r="I976" s="68">
        <v>14</v>
      </c>
      <c r="J976" s="68">
        <v>15</v>
      </c>
      <c r="K976" s="68">
        <v>0</v>
      </c>
      <c r="L976" s="68">
        <v>0</v>
      </c>
      <c r="M976" s="68">
        <v>0</v>
      </c>
      <c r="N976" s="68">
        <v>0</v>
      </c>
    </row>
    <row r="977" spans="1:14">
      <c r="A977" t="s">
        <v>444</v>
      </c>
      <c r="B977" t="s">
        <v>445</v>
      </c>
      <c r="C977" t="s">
        <v>1230</v>
      </c>
      <c r="D977" t="s">
        <v>284</v>
      </c>
      <c r="E977" t="s">
        <v>1237</v>
      </c>
      <c r="F977" t="s">
        <v>452</v>
      </c>
      <c r="G977" s="68">
        <v>84</v>
      </c>
      <c r="H977" s="68">
        <v>0</v>
      </c>
      <c r="I977" s="68">
        <v>0</v>
      </c>
      <c r="J977" s="68">
        <v>0</v>
      </c>
      <c r="K977" s="68">
        <v>0</v>
      </c>
      <c r="L977" s="68">
        <v>0</v>
      </c>
      <c r="M977" s="68">
        <v>0</v>
      </c>
      <c r="N977" s="68">
        <v>0</v>
      </c>
    </row>
    <row r="978" spans="1:14">
      <c r="A978" t="s">
        <v>444</v>
      </c>
      <c r="B978" t="s">
        <v>445</v>
      </c>
      <c r="C978" t="s">
        <v>1230</v>
      </c>
      <c r="D978" t="s">
        <v>30</v>
      </c>
      <c r="E978" t="s">
        <v>454</v>
      </c>
      <c r="F978" t="s">
        <v>630</v>
      </c>
      <c r="G978" s="68">
        <v>4</v>
      </c>
      <c r="H978" s="68">
        <v>0</v>
      </c>
      <c r="I978" s="68">
        <v>0</v>
      </c>
      <c r="J978" s="68">
        <v>0</v>
      </c>
      <c r="K978" s="68">
        <v>0</v>
      </c>
      <c r="L978" s="68">
        <v>0</v>
      </c>
      <c r="M978" s="68">
        <v>0</v>
      </c>
      <c r="N978" s="68">
        <v>0</v>
      </c>
    </row>
    <row r="979" spans="1:14">
      <c r="A979" t="s">
        <v>444</v>
      </c>
      <c r="B979" t="s">
        <v>445</v>
      </c>
      <c r="C979" t="s">
        <v>1230</v>
      </c>
      <c r="D979" t="s">
        <v>30</v>
      </c>
      <c r="E979" t="s">
        <v>744</v>
      </c>
      <c r="F979" t="s">
        <v>630</v>
      </c>
      <c r="G979" s="68">
        <v>34</v>
      </c>
      <c r="H979" s="68">
        <v>7</v>
      </c>
      <c r="I979" s="68">
        <v>5</v>
      </c>
      <c r="J979" s="68">
        <v>5</v>
      </c>
      <c r="K979" s="68">
        <v>1</v>
      </c>
      <c r="L979" s="68">
        <v>0</v>
      </c>
      <c r="M979" s="68">
        <v>3</v>
      </c>
      <c r="N979" s="68">
        <v>2</v>
      </c>
    </row>
    <row r="980" spans="1:14">
      <c r="A980" t="s">
        <v>444</v>
      </c>
      <c r="B980" t="s">
        <v>445</v>
      </c>
      <c r="C980" t="s">
        <v>1230</v>
      </c>
      <c r="D980" t="s">
        <v>30</v>
      </c>
      <c r="E980" t="s">
        <v>1238</v>
      </c>
      <c r="F980" t="s">
        <v>630</v>
      </c>
      <c r="G980" s="68">
        <v>55</v>
      </c>
      <c r="H980" s="68">
        <v>0</v>
      </c>
      <c r="I980" s="68">
        <v>0</v>
      </c>
      <c r="J980" s="68">
        <v>0</v>
      </c>
      <c r="K980" s="68">
        <v>0</v>
      </c>
      <c r="L980" s="68">
        <v>0</v>
      </c>
      <c r="M980" s="68">
        <v>0</v>
      </c>
      <c r="N980" s="68">
        <v>0</v>
      </c>
    </row>
    <row r="981" spans="1:14">
      <c r="A981" t="s">
        <v>444</v>
      </c>
      <c r="B981" t="s">
        <v>445</v>
      </c>
      <c r="C981" t="s">
        <v>1230</v>
      </c>
      <c r="D981" t="s">
        <v>30</v>
      </c>
      <c r="E981" t="s">
        <v>1239</v>
      </c>
      <c r="F981" t="s">
        <v>630</v>
      </c>
      <c r="G981" s="68">
        <v>0</v>
      </c>
      <c r="H981" s="68">
        <v>0</v>
      </c>
      <c r="I981" s="68">
        <v>0</v>
      </c>
      <c r="J981" s="68">
        <v>0</v>
      </c>
      <c r="K981" s="68">
        <v>0</v>
      </c>
      <c r="L981" s="68">
        <v>3</v>
      </c>
      <c r="M981" s="68">
        <v>25</v>
      </c>
      <c r="N981" s="68">
        <v>35</v>
      </c>
    </row>
    <row r="982" spans="1:14">
      <c r="A982" t="s">
        <v>444</v>
      </c>
      <c r="B982" t="s">
        <v>445</v>
      </c>
      <c r="C982" t="s">
        <v>1230</v>
      </c>
      <c r="D982" t="s">
        <v>30</v>
      </c>
      <c r="E982" t="s">
        <v>1240</v>
      </c>
      <c r="F982" t="s">
        <v>630</v>
      </c>
      <c r="G982" s="68">
        <v>0</v>
      </c>
      <c r="H982" s="68">
        <v>113</v>
      </c>
      <c r="I982" s="68">
        <v>97</v>
      </c>
      <c r="J982" s="68">
        <v>125</v>
      </c>
      <c r="K982" s="68">
        <v>81</v>
      </c>
      <c r="L982" s="68">
        <v>69</v>
      </c>
      <c r="M982" s="68">
        <v>50</v>
      </c>
      <c r="N982" s="68">
        <v>25</v>
      </c>
    </row>
    <row r="983" spans="1:14">
      <c r="A983" t="s">
        <v>444</v>
      </c>
      <c r="B983" t="s">
        <v>445</v>
      </c>
      <c r="C983" t="s">
        <v>1230</v>
      </c>
      <c r="D983" t="s">
        <v>30</v>
      </c>
      <c r="E983" t="s">
        <v>1241</v>
      </c>
      <c r="F983" t="s">
        <v>630</v>
      </c>
      <c r="G983" s="68">
        <v>0</v>
      </c>
      <c r="H983" s="68">
        <v>0</v>
      </c>
      <c r="I983" s="68">
        <v>0</v>
      </c>
      <c r="J983" s="68">
        <v>0</v>
      </c>
      <c r="K983" s="68">
        <v>0</v>
      </c>
      <c r="L983" s="68">
        <v>36</v>
      </c>
      <c r="M983" s="68">
        <v>144</v>
      </c>
      <c r="N983" s="68">
        <v>136</v>
      </c>
    </row>
    <row r="984" spans="1:14">
      <c r="A984" t="s">
        <v>444</v>
      </c>
      <c r="B984" t="s">
        <v>445</v>
      </c>
      <c r="C984" t="s">
        <v>1230</v>
      </c>
      <c r="D984" t="s">
        <v>30</v>
      </c>
      <c r="E984" t="s">
        <v>1242</v>
      </c>
      <c r="F984" t="s">
        <v>630</v>
      </c>
      <c r="G984" s="68">
        <v>0</v>
      </c>
      <c r="H984" s="68">
        <v>0</v>
      </c>
      <c r="I984" s="68">
        <v>0</v>
      </c>
      <c r="J984" s="68">
        <v>0</v>
      </c>
      <c r="K984" s="68">
        <v>0</v>
      </c>
      <c r="L984" s="68">
        <v>50</v>
      </c>
      <c r="M984" s="68">
        <v>107</v>
      </c>
      <c r="N984" s="68">
        <v>95</v>
      </c>
    </row>
    <row r="985" spans="1:14">
      <c r="A985" t="s">
        <v>444</v>
      </c>
      <c r="B985" t="s">
        <v>445</v>
      </c>
      <c r="C985" t="s">
        <v>1230</v>
      </c>
      <c r="D985" t="s">
        <v>30</v>
      </c>
      <c r="E985" t="s">
        <v>1236</v>
      </c>
      <c r="F985" t="s">
        <v>630</v>
      </c>
      <c r="G985" s="68">
        <v>0</v>
      </c>
      <c r="H985" s="68">
        <v>19</v>
      </c>
      <c r="I985" s="68">
        <v>15</v>
      </c>
      <c r="J985" s="68">
        <v>14</v>
      </c>
      <c r="K985" s="68">
        <v>11</v>
      </c>
      <c r="L985" s="68">
        <v>10</v>
      </c>
      <c r="M985" s="68">
        <v>7</v>
      </c>
      <c r="N985" s="68">
        <v>5</v>
      </c>
    </row>
    <row r="986" spans="1:14">
      <c r="A986" t="s">
        <v>444</v>
      </c>
      <c r="B986" t="s">
        <v>445</v>
      </c>
      <c r="C986" t="s">
        <v>1230</v>
      </c>
      <c r="D986" t="s">
        <v>30</v>
      </c>
      <c r="E986" t="s">
        <v>1243</v>
      </c>
      <c r="F986" t="s">
        <v>630</v>
      </c>
      <c r="G986" s="68">
        <v>0</v>
      </c>
      <c r="H986" s="68">
        <v>29</v>
      </c>
      <c r="I986" s="68">
        <v>19</v>
      </c>
      <c r="J986" s="68">
        <v>24</v>
      </c>
      <c r="K986" s="68">
        <v>16</v>
      </c>
      <c r="L986" s="68">
        <v>20</v>
      </c>
      <c r="M986" s="68">
        <v>7</v>
      </c>
      <c r="N986" s="68">
        <v>15</v>
      </c>
    </row>
    <row r="987" spans="1:14">
      <c r="A987" t="s">
        <v>444</v>
      </c>
      <c r="B987" t="s">
        <v>445</v>
      </c>
      <c r="C987" t="s">
        <v>1230</v>
      </c>
      <c r="D987" t="s">
        <v>30</v>
      </c>
      <c r="E987" t="s">
        <v>1244</v>
      </c>
      <c r="F987" t="s">
        <v>630</v>
      </c>
      <c r="G987" s="68">
        <v>0</v>
      </c>
      <c r="H987" s="68">
        <v>0</v>
      </c>
      <c r="I987" s="68">
        <v>0</v>
      </c>
      <c r="J987" s="68">
        <v>0</v>
      </c>
      <c r="K987" s="68">
        <v>0</v>
      </c>
      <c r="L987" s="68">
        <v>0</v>
      </c>
      <c r="M987" s="68">
        <v>0</v>
      </c>
      <c r="N987" s="68">
        <v>1</v>
      </c>
    </row>
    <row r="988" spans="1:14">
      <c r="A988" t="s">
        <v>444</v>
      </c>
      <c r="B988" t="s">
        <v>445</v>
      </c>
      <c r="C988" t="s">
        <v>1230</v>
      </c>
      <c r="D988" t="s">
        <v>30</v>
      </c>
      <c r="E988" t="s">
        <v>1245</v>
      </c>
      <c r="F988" t="s">
        <v>630</v>
      </c>
      <c r="G988" s="68">
        <v>8</v>
      </c>
      <c r="H988" s="68">
        <v>0</v>
      </c>
      <c r="I988" s="68">
        <v>0</v>
      </c>
      <c r="J988" s="68">
        <v>0</v>
      </c>
      <c r="K988" s="68">
        <v>0</v>
      </c>
      <c r="L988" s="68">
        <v>0</v>
      </c>
      <c r="M988" s="68">
        <v>0</v>
      </c>
      <c r="N988" s="68">
        <v>0</v>
      </c>
    </row>
    <row r="989" spans="1:14">
      <c r="A989" t="s">
        <v>444</v>
      </c>
      <c r="B989" t="s">
        <v>445</v>
      </c>
      <c r="C989" t="s">
        <v>1246</v>
      </c>
      <c r="D989" t="s">
        <v>428</v>
      </c>
      <c r="E989" t="s">
        <v>454</v>
      </c>
      <c r="F989" t="s">
        <v>630</v>
      </c>
      <c r="G989" s="68">
        <v>149</v>
      </c>
      <c r="H989" s="68">
        <v>223</v>
      </c>
      <c r="I989" s="68">
        <v>220</v>
      </c>
      <c r="J989" s="68">
        <v>178</v>
      </c>
      <c r="K989" s="68">
        <v>117</v>
      </c>
      <c r="L989" s="68">
        <v>356</v>
      </c>
      <c r="M989" s="68">
        <v>327</v>
      </c>
      <c r="N989" s="68">
        <v>251</v>
      </c>
    </row>
    <row r="990" spans="1:14">
      <c r="A990" t="s">
        <v>444</v>
      </c>
      <c r="B990" t="s">
        <v>445</v>
      </c>
      <c r="C990" t="s">
        <v>1246</v>
      </c>
      <c r="D990" t="s">
        <v>413</v>
      </c>
      <c r="E990" t="s">
        <v>454</v>
      </c>
      <c r="F990" t="s">
        <v>452</v>
      </c>
      <c r="G990" s="68">
        <v>103</v>
      </c>
      <c r="H990" s="68">
        <v>221</v>
      </c>
      <c r="I990" s="68">
        <v>246</v>
      </c>
      <c r="J990" s="68">
        <v>291</v>
      </c>
      <c r="K990" s="68">
        <v>197</v>
      </c>
      <c r="L990" s="68">
        <v>418</v>
      </c>
      <c r="M990" s="68">
        <v>409</v>
      </c>
      <c r="N990" s="68">
        <v>244</v>
      </c>
    </row>
    <row r="991" spans="1:14">
      <c r="A991" t="s">
        <v>444</v>
      </c>
      <c r="B991" t="s">
        <v>445</v>
      </c>
      <c r="C991" t="s">
        <v>1246</v>
      </c>
      <c r="D991" t="s">
        <v>37</v>
      </c>
      <c r="E991" t="s">
        <v>454</v>
      </c>
      <c r="F991" t="s">
        <v>452</v>
      </c>
      <c r="G991" s="68">
        <v>21</v>
      </c>
      <c r="H991" s="68">
        <v>24</v>
      </c>
      <c r="I991" s="68">
        <v>17</v>
      </c>
      <c r="J991" s="68">
        <v>20</v>
      </c>
      <c r="K991" s="68">
        <v>7</v>
      </c>
      <c r="L991" s="68">
        <v>10</v>
      </c>
      <c r="M991" s="68">
        <v>79</v>
      </c>
      <c r="N991" s="68">
        <v>227</v>
      </c>
    </row>
    <row r="992" spans="1:14">
      <c r="A992" t="s">
        <v>444</v>
      </c>
      <c r="B992" t="s">
        <v>445</v>
      </c>
      <c r="C992" t="s">
        <v>1247</v>
      </c>
      <c r="D992" t="s">
        <v>158</v>
      </c>
      <c r="E992" t="s">
        <v>1248</v>
      </c>
      <c r="F992" t="s">
        <v>472</v>
      </c>
      <c r="G992" s="68">
        <v>2</v>
      </c>
      <c r="H992" s="68">
        <v>0</v>
      </c>
      <c r="I992" s="68">
        <v>0</v>
      </c>
      <c r="J992" s="68">
        <v>2</v>
      </c>
      <c r="K992" s="68">
        <v>0</v>
      </c>
      <c r="L992" s="68">
        <v>1</v>
      </c>
      <c r="M992" s="68">
        <v>3</v>
      </c>
      <c r="N992" s="68">
        <v>0</v>
      </c>
    </row>
    <row r="993" spans="1:14">
      <c r="A993" t="s">
        <v>1249</v>
      </c>
      <c r="B993" t="s">
        <v>445</v>
      </c>
      <c r="C993" t="s">
        <v>615</v>
      </c>
      <c r="D993" t="s">
        <v>158</v>
      </c>
      <c r="E993" t="s">
        <v>454</v>
      </c>
      <c r="F993" t="s">
        <v>472</v>
      </c>
      <c r="G993" s="68">
        <v>0</v>
      </c>
      <c r="H993" s="68">
        <v>0</v>
      </c>
      <c r="I993" s="68">
        <v>0</v>
      </c>
      <c r="J993" s="68">
        <v>0</v>
      </c>
      <c r="K993" s="68">
        <v>3</v>
      </c>
      <c r="L993" s="68">
        <v>0</v>
      </c>
      <c r="M993" s="68">
        <v>0</v>
      </c>
      <c r="N993" s="68">
        <v>0</v>
      </c>
    </row>
    <row r="994" spans="1:14">
      <c r="A994" t="s">
        <v>1249</v>
      </c>
      <c r="B994" t="s">
        <v>445</v>
      </c>
      <c r="C994" t="s">
        <v>615</v>
      </c>
      <c r="D994" t="s">
        <v>93</v>
      </c>
      <c r="E994" t="s">
        <v>454</v>
      </c>
      <c r="F994" t="s">
        <v>472</v>
      </c>
      <c r="G994" s="68">
        <v>0</v>
      </c>
      <c r="H994" s="68">
        <v>0</v>
      </c>
      <c r="I994" s="68">
        <v>0</v>
      </c>
      <c r="J994" s="68">
        <v>0</v>
      </c>
      <c r="K994" s="68">
        <v>0</v>
      </c>
      <c r="L994" s="68">
        <v>0</v>
      </c>
      <c r="M994" s="68">
        <v>0</v>
      </c>
      <c r="N994" s="68">
        <v>1</v>
      </c>
    </row>
    <row r="995" spans="1:14">
      <c r="A995" t="s">
        <v>1249</v>
      </c>
      <c r="B995" t="s">
        <v>445</v>
      </c>
      <c r="C995" t="s">
        <v>615</v>
      </c>
      <c r="D995" t="s">
        <v>77</v>
      </c>
      <c r="E995" t="s">
        <v>1250</v>
      </c>
      <c r="F995" t="s">
        <v>1251</v>
      </c>
      <c r="G995" s="68">
        <v>87</v>
      </c>
      <c r="H995" s="68">
        <v>18</v>
      </c>
      <c r="I995" s="68">
        <v>1</v>
      </c>
      <c r="J995" s="68">
        <v>0</v>
      </c>
      <c r="K995" s="68">
        <v>0</v>
      </c>
      <c r="L995" s="68">
        <v>88</v>
      </c>
      <c r="M995" s="68">
        <v>6</v>
      </c>
      <c r="N995" s="68">
        <v>1</v>
      </c>
    </row>
    <row r="996" spans="1:14">
      <c r="A996" t="s">
        <v>1249</v>
      </c>
      <c r="B996" t="s">
        <v>445</v>
      </c>
      <c r="C996" t="s">
        <v>654</v>
      </c>
      <c r="D996" t="s">
        <v>358</v>
      </c>
      <c r="E996" t="s">
        <v>454</v>
      </c>
      <c r="F996" t="s">
        <v>472</v>
      </c>
      <c r="G996" s="68">
        <v>0</v>
      </c>
      <c r="H996" s="68">
        <v>0</v>
      </c>
      <c r="I996" s="68">
        <v>1</v>
      </c>
      <c r="J996" s="68">
        <v>0</v>
      </c>
      <c r="K996" s="68">
        <v>0</v>
      </c>
      <c r="L996" s="68">
        <v>0</v>
      </c>
      <c r="M996" s="68">
        <v>0</v>
      </c>
      <c r="N996" s="68">
        <v>0</v>
      </c>
    </row>
    <row r="997" spans="1:14">
      <c r="A997" t="s">
        <v>1249</v>
      </c>
      <c r="B997" t="s">
        <v>445</v>
      </c>
      <c r="C997" t="s">
        <v>659</v>
      </c>
      <c r="D997" t="s">
        <v>257</v>
      </c>
      <c r="E997" t="s">
        <v>454</v>
      </c>
      <c r="F997" t="s">
        <v>1251</v>
      </c>
      <c r="G997" s="68">
        <v>0</v>
      </c>
      <c r="H997" s="68">
        <v>0</v>
      </c>
      <c r="I997" s="68">
        <v>1</v>
      </c>
      <c r="J997" s="68">
        <v>1</v>
      </c>
      <c r="K997" s="68">
        <v>1</v>
      </c>
      <c r="L997" s="68">
        <v>1</v>
      </c>
      <c r="M997" s="68">
        <v>1</v>
      </c>
      <c r="N997" s="68">
        <v>1</v>
      </c>
    </row>
    <row r="998" spans="1:14">
      <c r="A998" t="s">
        <v>1249</v>
      </c>
      <c r="B998" t="s">
        <v>445</v>
      </c>
      <c r="C998" t="s">
        <v>659</v>
      </c>
      <c r="D998" t="s">
        <v>257</v>
      </c>
      <c r="E998" t="s">
        <v>1252</v>
      </c>
      <c r="F998" t="s">
        <v>472</v>
      </c>
      <c r="G998" s="68">
        <v>1</v>
      </c>
      <c r="H998" s="68">
        <v>0</v>
      </c>
      <c r="I998" s="68">
        <v>0</v>
      </c>
      <c r="J998" s="68">
        <v>0</v>
      </c>
      <c r="K998" s="68">
        <v>0</v>
      </c>
      <c r="L998" s="68">
        <v>0</v>
      </c>
      <c r="M998" s="68">
        <v>0</v>
      </c>
      <c r="N998" s="68">
        <v>0</v>
      </c>
    </row>
    <row r="999" spans="1:14">
      <c r="A999" t="s">
        <v>1249</v>
      </c>
      <c r="B999" t="s">
        <v>445</v>
      </c>
      <c r="C999" t="s">
        <v>659</v>
      </c>
      <c r="D999" t="s">
        <v>257</v>
      </c>
      <c r="E999" t="s">
        <v>1253</v>
      </c>
      <c r="F999" t="s">
        <v>472</v>
      </c>
      <c r="G999" s="68">
        <v>0</v>
      </c>
      <c r="H999" s="68">
        <v>0</v>
      </c>
      <c r="I999" s="68">
        <v>0</v>
      </c>
      <c r="J999" s="68">
        <v>0</v>
      </c>
      <c r="K999" s="68">
        <v>0</v>
      </c>
      <c r="L999" s="68">
        <v>1</v>
      </c>
      <c r="M999" s="68">
        <v>2</v>
      </c>
      <c r="N999" s="68">
        <v>1</v>
      </c>
    </row>
    <row r="1000" spans="1:14">
      <c r="A1000" t="s">
        <v>1249</v>
      </c>
      <c r="B1000" t="s">
        <v>445</v>
      </c>
      <c r="C1000" t="s">
        <v>659</v>
      </c>
      <c r="D1000" t="s">
        <v>257</v>
      </c>
      <c r="E1000" t="s">
        <v>1254</v>
      </c>
      <c r="F1000" t="s">
        <v>472</v>
      </c>
      <c r="G1000" s="68">
        <v>0</v>
      </c>
      <c r="H1000" s="68">
        <v>0</v>
      </c>
      <c r="I1000" s="68">
        <v>0</v>
      </c>
      <c r="J1000" s="68">
        <v>0</v>
      </c>
      <c r="K1000" s="68">
        <v>0</v>
      </c>
      <c r="L1000" s="68">
        <v>2</v>
      </c>
      <c r="M1000" s="68">
        <v>2</v>
      </c>
      <c r="N1000" s="68">
        <v>2</v>
      </c>
    </row>
    <row r="1001" spans="1:14">
      <c r="A1001" t="s">
        <v>1249</v>
      </c>
      <c r="B1001" t="s">
        <v>445</v>
      </c>
      <c r="C1001" t="s">
        <v>659</v>
      </c>
      <c r="D1001" t="s">
        <v>257</v>
      </c>
      <c r="E1001" t="s">
        <v>1255</v>
      </c>
      <c r="F1001" t="s">
        <v>472</v>
      </c>
      <c r="G1001" s="68">
        <v>0</v>
      </c>
      <c r="H1001" s="68">
        <v>1</v>
      </c>
      <c r="I1001" s="68">
        <v>0</v>
      </c>
      <c r="J1001" s="68">
        <v>0</v>
      </c>
      <c r="K1001" s="68">
        <v>0</v>
      </c>
      <c r="L1001" s="68">
        <v>0</v>
      </c>
      <c r="M1001" s="68">
        <v>1</v>
      </c>
      <c r="N1001" s="68">
        <v>2</v>
      </c>
    </row>
    <row r="1002" spans="1:14">
      <c r="A1002" t="s">
        <v>1249</v>
      </c>
      <c r="B1002" t="s">
        <v>445</v>
      </c>
      <c r="C1002" t="s">
        <v>659</v>
      </c>
      <c r="D1002" t="s">
        <v>257</v>
      </c>
      <c r="E1002" t="s">
        <v>1256</v>
      </c>
      <c r="F1002" t="s">
        <v>472</v>
      </c>
      <c r="G1002" s="68">
        <v>1</v>
      </c>
      <c r="H1002" s="68">
        <v>0</v>
      </c>
      <c r="I1002" s="68">
        <v>0</v>
      </c>
      <c r="J1002" s="68">
        <v>0</v>
      </c>
      <c r="K1002" s="68">
        <v>0</v>
      </c>
      <c r="L1002" s="68">
        <v>0</v>
      </c>
      <c r="M1002" s="68">
        <v>0</v>
      </c>
      <c r="N1002" s="68">
        <v>0</v>
      </c>
    </row>
    <row r="1003" spans="1:14">
      <c r="A1003" t="s">
        <v>1249</v>
      </c>
      <c r="B1003" t="s">
        <v>445</v>
      </c>
      <c r="C1003" t="s">
        <v>659</v>
      </c>
      <c r="D1003" t="s">
        <v>257</v>
      </c>
      <c r="E1003" t="s">
        <v>1257</v>
      </c>
      <c r="F1003" t="s">
        <v>472</v>
      </c>
      <c r="G1003" s="68">
        <v>0</v>
      </c>
      <c r="H1003" s="68">
        <v>0</v>
      </c>
      <c r="I1003" s="68">
        <v>0</v>
      </c>
      <c r="J1003" s="68">
        <v>2</v>
      </c>
      <c r="K1003" s="68">
        <v>0</v>
      </c>
      <c r="L1003" s="68">
        <v>0</v>
      </c>
      <c r="M1003" s="68">
        <v>0</v>
      </c>
      <c r="N1003" s="68">
        <v>0</v>
      </c>
    </row>
    <row r="1004" spans="1:14">
      <c r="A1004" t="s">
        <v>1249</v>
      </c>
      <c r="B1004" t="s">
        <v>445</v>
      </c>
      <c r="C1004" t="s">
        <v>659</v>
      </c>
      <c r="D1004" t="s">
        <v>257</v>
      </c>
      <c r="E1004" t="s">
        <v>1258</v>
      </c>
      <c r="F1004" t="s">
        <v>1251</v>
      </c>
      <c r="G1004" s="68">
        <v>0</v>
      </c>
      <c r="H1004" s="68">
        <v>3</v>
      </c>
      <c r="I1004" s="68">
        <v>6</v>
      </c>
      <c r="J1004" s="68">
        <v>2</v>
      </c>
      <c r="K1004" s="68">
        <v>2</v>
      </c>
      <c r="L1004" s="68">
        <v>0</v>
      </c>
      <c r="M1004" s="68">
        <v>2</v>
      </c>
      <c r="N1004" s="68">
        <v>2</v>
      </c>
    </row>
    <row r="1005" spans="1:14">
      <c r="A1005" t="s">
        <v>1249</v>
      </c>
      <c r="B1005" t="s">
        <v>445</v>
      </c>
      <c r="C1005" t="s">
        <v>665</v>
      </c>
      <c r="D1005" t="s">
        <v>247</v>
      </c>
      <c r="E1005" t="s">
        <v>454</v>
      </c>
      <c r="F1005" t="s">
        <v>1259</v>
      </c>
      <c r="G1005" s="68">
        <v>2</v>
      </c>
      <c r="H1005" s="68">
        <v>5</v>
      </c>
      <c r="I1005" s="68">
        <v>0</v>
      </c>
      <c r="J1005" s="68">
        <v>0</v>
      </c>
      <c r="K1005" s="68">
        <v>0</v>
      </c>
      <c r="L1005" s="68">
        <v>2</v>
      </c>
      <c r="M1005" s="68">
        <v>7</v>
      </c>
      <c r="N1005" s="68">
        <v>3</v>
      </c>
    </row>
    <row r="1006" spans="1:14">
      <c r="A1006" t="s">
        <v>1249</v>
      </c>
      <c r="B1006" t="s">
        <v>445</v>
      </c>
      <c r="C1006" t="s">
        <v>678</v>
      </c>
      <c r="D1006" t="s">
        <v>323</v>
      </c>
      <c r="E1006" t="s">
        <v>454</v>
      </c>
      <c r="F1006" t="s">
        <v>472</v>
      </c>
      <c r="G1006" s="68">
        <v>1</v>
      </c>
      <c r="H1006" s="68">
        <v>0</v>
      </c>
      <c r="I1006" s="68">
        <v>0</v>
      </c>
      <c r="J1006" s="68">
        <v>1</v>
      </c>
      <c r="K1006" s="68">
        <v>5</v>
      </c>
      <c r="L1006" s="68">
        <v>0</v>
      </c>
      <c r="M1006" s="68">
        <v>0</v>
      </c>
      <c r="N1006" s="68">
        <v>0</v>
      </c>
    </row>
    <row r="1007" spans="1:14">
      <c r="A1007" t="s">
        <v>1249</v>
      </c>
      <c r="B1007" t="s">
        <v>445</v>
      </c>
      <c r="C1007" t="s">
        <v>678</v>
      </c>
      <c r="D1007" t="s">
        <v>322</v>
      </c>
      <c r="E1007" t="s">
        <v>454</v>
      </c>
      <c r="F1007" t="s">
        <v>472</v>
      </c>
      <c r="G1007" s="68">
        <v>1</v>
      </c>
      <c r="H1007" s="68">
        <v>2</v>
      </c>
      <c r="I1007" s="68">
        <v>0</v>
      </c>
      <c r="J1007" s="68">
        <v>4</v>
      </c>
      <c r="K1007" s="68">
        <v>3</v>
      </c>
      <c r="L1007" s="68">
        <v>0</v>
      </c>
      <c r="M1007" s="68">
        <v>0</v>
      </c>
      <c r="N1007" s="68">
        <v>0</v>
      </c>
    </row>
    <row r="1008" spans="1:14">
      <c r="A1008" t="s">
        <v>1249</v>
      </c>
      <c r="B1008" t="s">
        <v>445</v>
      </c>
      <c r="C1008" t="s">
        <v>1260</v>
      </c>
      <c r="D1008" t="s">
        <v>376</v>
      </c>
      <c r="E1008" t="s">
        <v>454</v>
      </c>
      <c r="F1008" t="s">
        <v>472</v>
      </c>
      <c r="G1008" s="68">
        <v>0</v>
      </c>
      <c r="H1008" s="68">
        <v>0</v>
      </c>
      <c r="I1008" s="68">
        <v>0</v>
      </c>
      <c r="J1008" s="68">
        <v>0</v>
      </c>
      <c r="K1008" s="68">
        <v>0</v>
      </c>
      <c r="L1008" s="68">
        <v>0</v>
      </c>
      <c r="M1008" s="68">
        <v>2</v>
      </c>
      <c r="N1008" s="68">
        <v>0</v>
      </c>
    </row>
    <row r="1009" spans="1:14">
      <c r="A1009" t="s">
        <v>1249</v>
      </c>
      <c r="B1009" t="s">
        <v>445</v>
      </c>
      <c r="C1009" t="s">
        <v>682</v>
      </c>
      <c r="D1009" t="s">
        <v>80</v>
      </c>
      <c r="E1009" t="s">
        <v>454</v>
      </c>
      <c r="F1009" t="s">
        <v>472</v>
      </c>
      <c r="G1009" s="68">
        <v>0</v>
      </c>
      <c r="H1009" s="68">
        <v>3</v>
      </c>
      <c r="I1009" s="68">
        <v>3</v>
      </c>
      <c r="J1009" s="68">
        <v>0</v>
      </c>
      <c r="K1009" s="68">
        <v>8</v>
      </c>
      <c r="L1009" s="68">
        <v>5</v>
      </c>
      <c r="M1009" s="68">
        <v>7</v>
      </c>
      <c r="N1009" s="68">
        <v>5</v>
      </c>
    </row>
    <row r="1010" spans="1:14">
      <c r="A1010" t="s">
        <v>1249</v>
      </c>
      <c r="B1010" t="s">
        <v>445</v>
      </c>
      <c r="C1010" t="s">
        <v>696</v>
      </c>
      <c r="D1010" t="s">
        <v>128</v>
      </c>
      <c r="E1010" t="s">
        <v>454</v>
      </c>
      <c r="F1010" t="s">
        <v>472</v>
      </c>
      <c r="G1010" s="68">
        <v>548</v>
      </c>
      <c r="H1010" s="68">
        <v>987</v>
      </c>
      <c r="I1010" s="68">
        <v>883</v>
      </c>
      <c r="J1010" s="68">
        <v>867</v>
      </c>
      <c r="K1010" s="68">
        <v>565</v>
      </c>
      <c r="L1010" s="68">
        <v>593</v>
      </c>
      <c r="M1010" s="68">
        <v>580</v>
      </c>
      <c r="N1010" s="68">
        <v>529</v>
      </c>
    </row>
    <row r="1011" spans="1:14">
      <c r="A1011" t="s">
        <v>1249</v>
      </c>
      <c r="B1011" t="s">
        <v>445</v>
      </c>
      <c r="C1011" t="s">
        <v>696</v>
      </c>
      <c r="D1011" t="s">
        <v>128</v>
      </c>
      <c r="E1011" t="s">
        <v>1261</v>
      </c>
      <c r="F1011" t="s">
        <v>1259</v>
      </c>
      <c r="G1011" s="68">
        <v>0</v>
      </c>
      <c r="H1011" s="68">
        <v>0</v>
      </c>
      <c r="I1011" s="68">
        <v>0</v>
      </c>
      <c r="J1011" s="68">
        <v>0</v>
      </c>
      <c r="K1011" s="68">
        <v>33</v>
      </c>
      <c r="L1011" s="68">
        <v>36</v>
      </c>
      <c r="M1011" s="68">
        <v>33</v>
      </c>
      <c r="N1011" s="68">
        <v>20</v>
      </c>
    </row>
    <row r="1012" spans="1:14">
      <c r="A1012" t="s">
        <v>1249</v>
      </c>
      <c r="B1012" t="s">
        <v>445</v>
      </c>
      <c r="C1012" t="s">
        <v>696</v>
      </c>
      <c r="D1012" t="s">
        <v>128</v>
      </c>
      <c r="E1012" t="s">
        <v>1262</v>
      </c>
      <c r="F1012" t="s">
        <v>1259</v>
      </c>
      <c r="G1012" s="68">
        <v>101</v>
      </c>
      <c r="H1012" s="68">
        <v>133</v>
      </c>
      <c r="I1012" s="68">
        <v>131</v>
      </c>
      <c r="J1012" s="68">
        <v>152</v>
      </c>
      <c r="K1012" s="68">
        <v>107</v>
      </c>
      <c r="L1012" s="68">
        <v>130</v>
      </c>
      <c r="M1012" s="68">
        <v>148</v>
      </c>
      <c r="N1012" s="68">
        <v>124</v>
      </c>
    </row>
    <row r="1013" spans="1:14">
      <c r="A1013" t="s">
        <v>1249</v>
      </c>
      <c r="B1013" t="s">
        <v>445</v>
      </c>
      <c r="C1013" t="s">
        <v>696</v>
      </c>
      <c r="D1013" t="s">
        <v>128</v>
      </c>
      <c r="E1013" t="s">
        <v>1263</v>
      </c>
      <c r="F1013" t="s">
        <v>472</v>
      </c>
      <c r="G1013" s="68">
        <v>0</v>
      </c>
      <c r="H1013" s="68">
        <v>0</v>
      </c>
      <c r="I1013" s="68">
        <v>0</v>
      </c>
      <c r="J1013" s="68">
        <v>1</v>
      </c>
      <c r="K1013" s="68">
        <v>0</v>
      </c>
      <c r="L1013" s="68">
        <v>0</v>
      </c>
      <c r="M1013" s="68">
        <v>0</v>
      </c>
      <c r="N1013" s="68">
        <v>0</v>
      </c>
    </row>
    <row r="1014" spans="1:14">
      <c r="A1014" t="s">
        <v>1249</v>
      </c>
      <c r="B1014" t="s">
        <v>445</v>
      </c>
      <c r="C1014" t="s">
        <v>702</v>
      </c>
      <c r="D1014" t="s">
        <v>182</v>
      </c>
      <c r="E1014" t="s">
        <v>454</v>
      </c>
      <c r="F1014" t="s">
        <v>472</v>
      </c>
      <c r="G1014" s="68">
        <v>2</v>
      </c>
      <c r="H1014" s="68">
        <v>0</v>
      </c>
      <c r="I1014" s="68">
        <v>0</v>
      </c>
      <c r="J1014" s="68">
        <v>0</v>
      </c>
      <c r="K1014" s="68">
        <v>0</v>
      </c>
      <c r="L1014" s="68">
        <v>0</v>
      </c>
      <c r="M1014" s="68">
        <v>0</v>
      </c>
      <c r="N1014" s="68">
        <v>0</v>
      </c>
    </row>
    <row r="1015" spans="1:14">
      <c r="A1015" t="s">
        <v>1249</v>
      </c>
      <c r="B1015" t="s">
        <v>445</v>
      </c>
      <c r="C1015" t="s">
        <v>702</v>
      </c>
      <c r="D1015" t="s">
        <v>158</v>
      </c>
      <c r="E1015" t="s">
        <v>454</v>
      </c>
      <c r="F1015" t="s">
        <v>472</v>
      </c>
      <c r="G1015" s="68">
        <v>2</v>
      </c>
      <c r="H1015" s="68">
        <v>0</v>
      </c>
      <c r="I1015" s="68">
        <v>2</v>
      </c>
      <c r="J1015" s="68">
        <v>2</v>
      </c>
      <c r="K1015" s="68">
        <v>0</v>
      </c>
      <c r="L1015" s="68">
        <v>0</v>
      </c>
      <c r="M1015" s="68">
        <v>1</v>
      </c>
      <c r="N1015" s="68">
        <v>71</v>
      </c>
    </row>
    <row r="1016" spans="1:14">
      <c r="A1016" t="s">
        <v>1249</v>
      </c>
      <c r="B1016" t="s">
        <v>445</v>
      </c>
      <c r="C1016" t="s">
        <v>702</v>
      </c>
      <c r="D1016" t="s">
        <v>60</v>
      </c>
      <c r="E1016" t="s">
        <v>1264</v>
      </c>
      <c r="F1016" t="s">
        <v>1259</v>
      </c>
      <c r="G1016" s="68">
        <v>1</v>
      </c>
      <c r="H1016" s="68">
        <v>2</v>
      </c>
      <c r="I1016" s="68">
        <v>0</v>
      </c>
      <c r="J1016" s="68">
        <v>4</v>
      </c>
      <c r="K1016" s="68">
        <v>1</v>
      </c>
      <c r="L1016" s="68">
        <v>6</v>
      </c>
      <c r="M1016" s="68">
        <v>0</v>
      </c>
      <c r="N1016" s="68">
        <v>2</v>
      </c>
    </row>
    <row r="1017" spans="1:14">
      <c r="A1017" t="s">
        <v>1249</v>
      </c>
      <c r="B1017" t="s">
        <v>445</v>
      </c>
      <c r="C1017" t="s">
        <v>710</v>
      </c>
      <c r="D1017" t="s">
        <v>150</v>
      </c>
      <c r="E1017" t="s">
        <v>1265</v>
      </c>
      <c r="F1017" t="s">
        <v>1266</v>
      </c>
      <c r="G1017" s="68">
        <v>0</v>
      </c>
      <c r="H1017" s="68">
        <v>0</v>
      </c>
      <c r="I1017" s="68">
        <v>1</v>
      </c>
      <c r="J1017" s="68">
        <v>19</v>
      </c>
      <c r="K1017" s="68">
        <v>16</v>
      </c>
      <c r="L1017" s="68">
        <v>23</v>
      </c>
      <c r="M1017" s="68">
        <v>27</v>
      </c>
      <c r="N1017" s="68">
        <v>14</v>
      </c>
    </row>
    <row r="1018" spans="1:14">
      <c r="A1018" t="s">
        <v>1249</v>
      </c>
      <c r="B1018" t="s">
        <v>445</v>
      </c>
      <c r="C1018" t="s">
        <v>1267</v>
      </c>
      <c r="D1018" t="s">
        <v>158</v>
      </c>
      <c r="E1018" t="s">
        <v>454</v>
      </c>
      <c r="F1018" t="s">
        <v>472</v>
      </c>
      <c r="G1018" s="68">
        <v>9</v>
      </c>
      <c r="H1018" s="68">
        <v>6</v>
      </c>
      <c r="I1018" s="68">
        <v>6</v>
      </c>
      <c r="J1018" s="68">
        <v>18</v>
      </c>
      <c r="K1018" s="68">
        <v>6</v>
      </c>
      <c r="L1018" s="68">
        <v>15</v>
      </c>
      <c r="M1018" s="68">
        <v>13</v>
      </c>
      <c r="N1018" s="68">
        <v>28</v>
      </c>
    </row>
    <row r="1019" spans="1:14">
      <c r="A1019" t="s">
        <v>1249</v>
      </c>
      <c r="B1019" t="s">
        <v>445</v>
      </c>
      <c r="C1019" t="s">
        <v>716</v>
      </c>
      <c r="D1019" t="s">
        <v>400</v>
      </c>
      <c r="E1019" t="s">
        <v>454</v>
      </c>
      <c r="F1019" t="s">
        <v>1259</v>
      </c>
      <c r="G1019" s="68">
        <v>0</v>
      </c>
      <c r="H1019" s="68">
        <v>1</v>
      </c>
      <c r="I1019" s="68">
        <v>0</v>
      </c>
      <c r="J1019" s="68">
        <v>1</v>
      </c>
      <c r="K1019" s="68">
        <v>0</v>
      </c>
      <c r="L1019" s="68">
        <v>0</v>
      </c>
      <c r="M1019" s="68">
        <v>0</v>
      </c>
      <c r="N1019" s="68">
        <v>0</v>
      </c>
    </row>
    <row r="1020" spans="1:14">
      <c r="A1020" t="s">
        <v>1249</v>
      </c>
      <c r="B1020" t="s">
        <v>445</v>
      </c>
      <c r="C1020" t="s">
        <v>738</v>
      </c>
      <c r="D1020" t="s">
        <v>262</v>
      </c>
      <c r="E1020" t="s">
        <v>1268</v>
      </c>
      <c r="F1020" t="s">
        <v>1269</v>
      </c>
      <c r="G1020" s="68">
        <v>3</v>
      </c>
      <c r="H1020" s="68">
        <v>4</v>
      </c>
      <c r="I1020" s="68">
        <v>2</v>
      </c>
      <c r="J1020" s="68">
        <v>3</v>
      </c>
      <c r="K1020" s="68">
        <v>2</v>
      </c>
      <c r="L1020" s="68">
        <v>2</v>
      </c>
      <c r="M1020" s="68">
        <v>5</v>
      </c>
      <c r="N1020" s="68">
        <v>3</v>
      </c>
    </row>
    <row r="1021" spans="1:14">
      <c r="A1021" t="s">
        <v>1249</v>
      </c>
      <c r="B1021" t="s">
        <v>445</v>
      </c>
      <c r="C1021" t="s">
        <v>738</v>
      </c>
      <c r="D1021" t="s">
        <v>158</v>
      </c>
      <c r="E1021" t="s">
        <v>454</v>
      </c>
      <c r="F1021" t="s">
        <v>472</v>
      </c>
      <c r="G1021" s="68">
        <v>0</v>
      </c>
      <c r="H1021" s="68">
        <v>39</v>
      </c>
      <c r="I1021" s="68">
        <v>1</v>
      </c>
      <c r="J1021" s="68">
        <v>0</v>
      </c>
      <c r="K1021" s="68">
        <v>0</v>
      </c>
      <c r="L1021" s="68">
        <v>0</v>
      </c>
      <c r="M1021" s="68">
        <v>0</v>
      </c>
      <c r="N1021" s="68">
        <v>0</v>
      </c>
    </row>
    <row r="1022" spans="1:14">
      <c r="A1022" t="s">
        <v>1249</v>
      </c>
      <c r="B1022" t="s">
        <v>445</v>
      </c>
      <c r="C1022" t="s">
        <v>742</v>
      </c>
      <c r="D1022" t="s">
        <v>331</v>
      </c>
      <c r="E1022" t="s">
        <v>454</v>
      </c>
      <c r="F1022" t="s">
        <v>472</v>
      </c>
      <c r="G1022" s="68">
        <v>3194</v>
      </c>
      <c r="H1022" s="68">
        <v>5445</v>
      </c>
      <c r="I1022" s="68">
        <v>4945</v>
      </c>
      <c r="J1022" s="68">
        <v>5402</v>
      </c>
      <c r="K1022" s="68">
        <v>4532</v>
      </c>
      <c r="L1022" s="68">
        <v>4256</v>
      </c>
      <c r="M1022" s="68">
        <v>4027</v>
      </c>
      <c r="N1022" s="68">
        <v>3790</v>
      </c>
    </row>
    <row r="1023" spans="1:14">
      <c r="A1023" t="s">
        <v>1249</v>
      </c>
      <c r="B1023" t="s">
        <v>445</v>
      </c>
      <c r="C1023" t="s">
        <v>742</v>
      </c>
      <c r="D1023" t="s">
        <v>331</v>
      </c>
      <c r="E1023" t="s">
        <v>1270</v>
      </c>
      <c r="F1023" t="s">
        <v>472</v>
      </c>
      <c r="G1023" s="68">
        <v>0</v>
      </c>
      <c r="H1023" s="68">
        <v>1</v>
      </c>
      <c r="I1023" s="68">
        <v>0</v>
      </c>
      <c r="J1023" s="68">
        <v>0</v>
      </c>
      <c r="K1023" s="68">
        <v>0</v>
      </c>
      <c r="L1023" s="68">
        <v>0</v>
      </c>
      <c r="M1023" s="68">
        <v>0</v>
      </c>
      <c r="N1023" s="68">
        <v>0</v>
      </c>
    </row>
    <row r="1024" spans="1:14">
      <c r="A1024" t="s">
        <v>1249</v>
      </c>
      <c r="B1024" t="s">
        <v>445</v>
      </c>
      <c r="C1024" t="s">
        <v>742</v>
      </c>
      <c r="D1024" t="s">
        <v>158</v>
      </c>
      <c r="E1024" t="s">
        <v>454</v>
      </c>
      <c r="F1024" t="s">
        <v>472</v>
      </c>
      <c r="G1024" s="68">
        <v>0</v>
      </c>
      <c r="H1024" s="68">
        <v>134</v>
      </c>
      <c r="I1024" s="68">
        <v>137</v>
      </c>
      <c r="J1024" s="68">
        <v>179</v>
      </c>
      <c r="K1024" s="68">
        <v>136</v>
      </c>
      <c r="L1024" s="68">
        <v>140</v>
      </c>
      <c r="M1024" s="68">
        <v>135</v>
      </c>
      <c r="N1024" s="68">
        <v>111</v>
      </c>
    </row>
    <row r="1025" spans="1:14">
      <c r="A1025" t="s">
        <v>1249</v>
      </c>
      <c r="B1025" t="s">
        <v>445</v>
      </c>
      <c r="C1025" t="s">
        <v>743</v>
      </c>
      <c r="D1025" t="s">
        <v>259</v>
      </c>
      <c r="E1025" t="s">
        <v>454</v>
      </c>
      <c r="F1025" t="s">
        <v>472</v>
      </c>
      <c r="G1025" s="68">
        <v>0</v>
      </c>
      <c r="H1025" s="68">
        <v>0</v>
      </c>
      <c r="I1025" s="68">
        <v>0</v>
      </c>
      <c r="J1025" s="68">
        <v>1</v>
      </c>
      <c r="K1025" s="68">
        <v>0</v>
      </c>
      <c r="L1025" s="68">
        <v>0</v>
      </c>
      <c r="M1025" s="68">
        <v>0</v>
      </c>
      <c r="N1025" s="68">
        <v>0</v>
      </c>
    </row>
    <row r="1026" spans="1:14">
      <c r="A1026" t="s">
        <v>1249</v>
      </c>
      <c r="B1026" t="s">
        <v>445</v>
      </c>
      <c r="C1026" t="s">
        <v>743</v>
      </c>
      <c r="D1026" t="s">
        <v>75</v>
      </c>
      <c r="E1026" t="s">
        <v>454</v>
      </c>
      <c r="F1026" t="s">
        <v>1259</v>
      </c>
      <c r="G1026" s="68">
        <v>1</v>
      </c>
      <c r="H1026" s="68">
        <v>0</v>
      </c>
      <c r="I1026" s="68">
        <v>0</v>
      </c>
      <c r="J1026" s="68">
        <v>0</v>
      </c>
      <c r="K1026" s="68">
        <v>0</v>
      </c>
      <c r="L1026" s="68">
        <v>0</v>
      </c>
      <c r="M1026" s="68">
        <v>0</v>
      </c>
      <c r="N1026" s="68">
        <v>0</v>
      </c>
    </row>
    <row r="1027" spans="1:14">
      <c r="A1027" t="s">
        <v>1249</v>
      </c>
      <c r="B1027" t="s">
        <v>445</v>
      </c>
      <c r="C1027" t="s">
        <v>756</v>
      </c>
      <c r="D1027" t="s">
        <v>278</v>
      </c>
      <c r="E1027" t="s">
        <v>1271</v>
      </c>
      <c r="F1027" t="s">
        <v>1259</v>
      </c>
      <c r="G1027" s="68">
        <v>0</v>
      </c>
      <c r="H1027" s="68">
        <v>0</v>
      </c>
      <c r="I1027" s="68">
        <v>0</v>
      </c>
      <c r="J1027" s="68">
        <v>0</v>
      </c>
      <c r="K1027" s="68">
        <v>0</v>
      </c>
      <c r="L1027" s="68">
        <v>1</v>
      </c>
      <c r="M1027" s="68">
        <v>0</v>
      </c>
      <c r="N1027" s="68">
        <v>0</v>
      </c>
    </row>
    <row r="1028" spans="1:14">
      <c r="A1028" t="s">
        <v>1249</v>
      </c>
      <c r="B1028" t="s">
        <v>445</v>
      </c>
      <c r="C1028" t="s">
        <v>768</v>
      </c>
      <c r="D1028" t="s">
        <v>143</v>
      </c>
      <c r="E1028" t="s">
        <v>1272</v>
      </c>
      <c r="F1028" t="s">
        <v>1251</v>
      </c>
      <c r="G1028" s="68">
        <v>0</v>
      </c>
      <c r="H1028" s="68">
        <v>0</v>
      </c>
      <c r="I1028" s="68">
        <v>0</v>
      </c>
      <c r="J1028" s="68">
        <v>0</v>
      </c>
      <c r="K1028" s="68">
        <v>0</v>
      </c>
      <c r="L1028" s="68">
        <v>0</v>
      </c>
      <c r="M1028" s="68">
        <v>0</v>
      </c>
      <c r="N1028" s="68">
        <v>150</v>
      </c>
    </row>
    <row r="1029" spans="1:14">
      <c r="A1029" t="s">
        <v>1249</v>
      </c>
      <c r="B1029" t="s">
        <v>445</v>
      </c>
      <c r="C1029" t="s">
        <v>1273</v>
      </c>
      <c r="D1029" t="s">
        <v>329</v>
      </c>
      <c r="E1029" t="s">
        <v>454</v>
      </c>
      <c r="F1029" t="s">
        <v>1259</v>
      </c>
      <c r="G1029" s="68">
        <v>7</v>
      </c>
      <c r="H1029" s="68">
        <v>0</v>
      </c>
      <c r="I1029" s="68">
        <v>0</v>
      </c>
      <c r="J1029" s="68">
        <v>2</v>
      </c>
      <c r="K1029" s="68">
        <v>8</v>
      </c>
      <c r="L1029" s="68">
        <v>5</v>
      </c>
      <c r="M1029" s="68">
        <v>6</v>
      </c>
      <c r="N1029" s="68">
        <v>16</v>
      </c>
    </row>
    <row r="1030" spans="1:14">
      <c r="A1030" t="s">
        <v>1249</v>
      </c>
      <c r="B1030" t="s">
        <v>445</v>
      </c>
      <c r="C1030" t="s">
        <v>1273</v>
      </c>
      <c r="D1030" t="s">
        <v>46</v>
      </c>
      <c r="E1030" t="s">
        <v>454</v>
      </c>
      <c r="F1030" t="s">
        <v>472</v>
      </c>
      <c r="G1030" s="68">
        <v>8</v>
      </c>
      <c r="H1030" s="68">
        <v>0</v>
      </c>
      <c r="I1030" s="68">
        <v>0</v>
      </c>
      <c r="J1030" s="68">
        <v>0</v>
      </c>
      <c r="K1030" s="68">
        <v>0</v>
      </c>
      <c r="L1030" s="68">
        <v>0</v>
      </c>
      <c r="M1030" s="68">
        <v>0</v>
      </c>
      <c r="N1030" s="68">
        <v>0</v>
      </c>
    </row>
    <row r="1031" spans="1:14">
      <c r="A1031" t="s">
        <v>1249</v>
      </c>
      <c r="B1031" t="s">
        <v>445</v>
      </c>
      <c r="C1031" t="s">
        <v>1274</v>
      </c>
      <c r="D1031" t="s">
        <v>285</v>
      </c>
      <c r="E1031" t="s">
        <v>454</v>
      </c>
      <c r="F1031" t="s">
        <v>1251</v>
      </c>
      <c r="G1031" s="68">
        <v>0</v>
      </c>
      <c r="H1031" s="68">
        <v>0</v>
      </c>
      <c r="I1031" s="68">
        <v>0</v>
      </c>
      <c r="J1031" s="68">
        <v>0</v>
      </c>
      <c r="K1031" s="68">
        <v>0</v>
      </c>
      <c r="L1031" s="68">
        <v>0</v>
      </c>
      <c r="M1031" s="68">
        <v>0</v>
      </c>
      <c r="N1031" s="68">
        <v>1</v>
      </c>
    </row>
    <row r="1032" spans="1:14">
      <c r="A1032" t="s">
        <v>1249</v>
      </c>
      <c r="B1032" t="s">
        <v>445</v>
      </c>
      <c r="C1032" t="s">
        <v>837</v>
      </c>
      <c r="D1032" t="s">
        <v>52</v>
      </c>
      <c r="E1032" t="s">
        <v>454</v>
      </c>
      <c r="F1032" t="s">
        <v>472</v>
      </c>
      <c r="G1032" s="68">
        <v>0</v>
      </c>
      <c r="H1032" s="68">
        <v>0</v>
      </c>
      <c r="I1032" s="68">
        <v>0</v>
      </c>
      <c r="J1032" s="68">
        <v>0</v>
      </c>
      <c r="K1032" s="68">
        <v>0</v>
      </c>
      <c r="L1032" s="68">
        <v>0</v>
      </c>
      <c r="M1032" s="68">
        <v>0</v>
      </c>
      <c r="N1032" s="68">
        <v>1</v>
      </c>
    </row>
    <row r="1033" spans="1:14">
      <c r="A1033" t="s">
        <v>1249</v>
      </c>
      <c r="B1033" t="s">
        <v>445</v>
      </c>
      <c r="C1033" t="s">
        <v>838</v>
      </c>
      <c r="D1033" t="s">
        <v>383</v>
      </c>
      <c r="E1033" t="s">
        <v>454</v>
      </c>
      <c r="F1033" t="s">
        <v>1259</v>
      </c>
      <c r="G1033" s="68">
        <v>7</v>
      </c>
      <c r="H1033" s="68">
        <v>8</v>
      </c>
      <c r="I1033" s="68">
        <v>9</v>
      </c>
      <c r="J1033" s="68">
        <v>5</v>
      </c>
      <c r="K1033" s="68">
        <v>6</v>
      </c>
      <c r="L1033" s="68">
        <v>4</v>
      </c>
      <c r="M1033" s="68">
        <v>15</v>
      </c>
      <c r="N1033" s="68">
        <v>7</v>
      </c>
    </row>
    <row r="1034" spans="1:14">
      <c r="A1034" t="s">
        <v>1249</v>
      </c>
      <c r="B1034" t="s">
        <v>445</v>
      </c>
      <c r="C1034" t="s">
        <v>855</v>
      </c>
      <c r="D1034" t="s">
        <v>158</v>
      </c>
      <c r="E1034" t="s">
        <v>454</v>
      </c>
      <c r="F1034" t="s">
        <v>472</v>
      </c>
      <c r="G1034" s="68">
        <v>1</v>
      </c>
      <c r="H1034" s="68">
        <v>0</v>
      </c>
      <c r="I1034" s="68">
        <v>1</v>
      </c>
      <c r="J1034" s="68">
        <v>0</v>
      </c>
      <c r="K1034" s="68">
        <v>2</v>
      </c>
      <c r="L1034" s="68">
        <v>1</v>
      </c>
      <c r="M1034" s="68">
        <v>0</v>
      </c>
      <c r="N1034" s="68">
        <v>0</v>
      </c>
    </row>
    <row r="1035" spans="1:14">
      <c r="A1035" t="s">
        <v>1249</v>
      </c>
      <c r="B1035" t="s">
        <v>445</v>
      </c>
      <c r="C1035" t="s">
        <v>855</v>
      </c>
      <c r="D1035" t="s">
        <v>87</v>
      </c>
      <c r="E1035" t="s">
        <v>1275</v>
      </c>
      <c r="F1035" t="s">
        <v>472</v>
      </c>
      <c r="G1035" s="68">
        <v>1</v>
      </c>
      <c r="H1035" s="68">
        <v>1</v>
      </c>
      <c r="I1035" s="68">
        <v>0</v>
      </c>
      <c r="J1035" s="68">
        <v>0</v>
      </c>
      <c r="K1035" s="68">
        <v>1</v>
      </c>
      <c r="L1035" s="68">
        <v>1</v>
      </c>
      <c r="M1035" s="68">
        <v>1</v>
      </c>
      <c r="N1035" s="68">
        <v>0</v>
      </c>
    </row>
    <row r="1036" spans="1:14">
      <c r="A1036" t="s">
        <v>1249</v>
      </c>
      <c r="B1036" t="s">
        <v>445</v>
      </c>
      <c r="C1036" t="s">
        <v>855</v>
      </c>
      <c r="D1036" t="s">
        <v>87</v>
      </c>
      <c r="E1036" t="s">
        <v>1276</v>
      </c>
      <c r="F1036" t="s">
        <v>472</v>
      </c>
      <c r="G1036" s="68">
        <v>0</v>
      </c>
      <c r="H1036" s="68">
        <v>1</v>
      </c>
      <c r="I1036" s="68">
        <v>0</v>
      </c>
      <c r="J1036" s="68">
        <v>0</v>
      </c>
      <c r="K1036" s="68">
        <v>0</v>
      </c>
      <c r="L1036" s="68">
        <v>0</v>
      </c>
      <c r="M1036" s="68">
        <v>0</v>
      </c>
      <c r="N1036" s="68">
        <v>0</v>
      </c>
    </row>
    <row r="1037" spans="1:14">
      <c r="A1037" t="s">
        <v>1249</v>
      </c>
      <c r="B1037" t="s">
        <v>445</v>
      </c>
      <c r="C1037" t="s">
        <v>855</v>
      </c>
      <c r="D1037" t="s">
        <v>87</v>
      </c>
      <c r="E1037" t="s">
        <v>1277</v>
      </c>
      <c r="F1037" t="s">
        <v>472</v>
      </c>
      <c r="G1037" s="68">
        <v>4</v>
      </c>
      <c r="H1037" s="68">
        <v>6</v>
      </c>
      <c r="I1037" s="68">
        <v>11</v>
      </c>
      <c r="J1037" s="68">
        <v>10</v>
      </c>
      <c r="K1037" s="68">
        <v>5</v>
      </c>
      <c r="L1037" s="68">
        <v>5</v>
      </c>
      <c r="M1037" s="68">
        <v>8</v>
      </c>
      <c r="N1037" s="68">
        <v>3</v>
      </c>
    </row>
    <row r="1038" spans="1:14">
      <c r="A1038" t="s">
        <v>1249</v>
      </c>
      <c r="B1038" t="s">
        <v>445</v>
      </c>
      <c r="C1038" t="s">
        <v>855</v>
      </c>
      <c r="D1038" t="s">
        <v>87</v>
      </c>
      <c r="E1038" t="s">
        <v>1278</v>
      </c>
      <c r="F1038" t="s">
        <v>1279</v>
      </c>
      <c r="G1038" s="68">
        <v>0</v>
      </c>
      <c r="H1038" s="68">
        <v>0</v>
      </c>
      <c r="I1038" s="68">
        <v>0</v>
      </c>
      <c r="J1038" s="68">
        <v>0</v>
      </c>
      <c r="K1038" s="68">
        <v>0</v>
      </c>
      <c r="L1038" s="68">
        <v>0</v>
      </c>
      <c r="M1038" s="68">
        <v>1</v>
      </c>
      <c r="N1038" s="68">
        <v>0</v>
      </c>
    </row>
    <row r="1039" spans="1:14">
      <c r="A1039" t="s">
        <v>1249</v>
      </c>
      <c r="B1039" t="s">
        <v>445</v>
      </c>
      <c r="C1039" t="s">
        <v>855</v>
      </c>
      <c r="D1039" t="s">
        <v>43</v>
      </c>
      <c r="E1039" t="s">
        <v>1280</v>
      </c>
      <c r="F1039" t="s">
        <v>472</v>
      </c>
      <c r="G1039" s="68">
        <v>1</v>
      </c>
      <c r="H1039" s="68">
        <v>0</v>
      </c>
      <c r="I1039" s="68">
        <v>0</v>
      </c>
      <c r="J1039" s="68">
        <v>0</v>
      </c>
      <c r="K1039" s="68">
        <v>0</v>
      </c>
      <c r="L1039" s="68">
        <v>0</v>
      </c>
      <c r="M1039" s="68">
        <v>0</v>
      </c>
      <c r="N1039" s="68">
        <v>0</v>
      </c>
    </row>
    <row r="1040" spans="1:14">
      <c r="A1040" t="s">
        <v>1249</v>
      </c>
      <c r="B1040" t="s">
        <v>445</v>
      </c>
      <c r="C1040" t="s">
        <v>855</v>
      </c>
      <c r="D1040" t="s">
        <v>43</v>
      </c>
      <c r="E1040" t="s">
        <v>1281</v>
      </c>
      <c r="F1040" t="s">
        <v>1269</v>
      </c>
      <c r="G1040" s="68">
        <v>2</v>
      </c>
      <c r="H1040" s="68">
        <v>0</v>
      </c>
      <c r="I1040" s="68">
        <v>0</v>
      </c>
      <c r="J1040" s="68">
        <v>0</v>
      </c>
      <c r="K1040" s="68">
        <v>0</v>
      </c>
      <c r="L1040" s="68">
        <v>0</v>
      </c>
      <c r="M1040" s="68">
        <v>0</v>
      </c>
      <c r="N1040" s="68">
        <v>0</v>
      </c>
    </row>
    <row r="1041" spans="1:14">
      <c r="A1041" t="s">
        <v>1249</v>
      </c>
      <c r="B1041" t="s">
        <v>445</v>
      </c>
      <c r="C1041" t="s">
        <v>855</v>
      </c>
      <c r="D1041" t="s">
        <v>43</v>
      </c>
      <c r="E1041" t="s">
        <v>1282</v>
      </c>
      <c r="F1041" t="s">
        <v>1269</v>
      </c>
      <c r="G1041" s="68">
        <v>0</v>
      </c>
      <c r="H1041" s="68">
        <v>0</v>
      </c>
      <c r="I1041" s="68">
        <v>0</v>
      </c>
      <c r="J1041" s="68">
        <v>0</v>
      </c>
      <c r="K1041" s="68">
        <v>4</v>
      </c>
      <c r="L1041" s="68">
        <v>6</v>
      </c>
      <c r="M1041" s="68">
        <v>9</v>
      </c>
      <c r="N1041" s="68">
        <v>3</v>
      </c>
    </row>
    <row r="1042" spans="1:14">
      <c r="A1042" t="s">
        <v>1249</v>
      </c>
      <c r="B1042" t="s">
        <v>445</v>
      </c>
      <c r="C1042" t="s">
        <v>855</v>
      </c>
      <c r="D1042" t="s">
        <v>43</v>
      </c>
      <c r="E1042" t="s">
        <v>1283</v>
      </c>
      <c r="F1042" t="s">
        <v>1269</v>
      </c>
      <c r="G1042" s="68">
        <v>0</v>
      </c>
      <c r="H1042" s="68">
        <v>2</v>
      </c>
      <c r="I1042" s="68">
        <v>3</v>
      </c>
      <c r="J1042" s="68">
        <v>2</v>
      </c>
      <c r="K1042" s="68">
        <v>0</v>
      </c>
      <c r="L1042" s="68">
        <v>0</v>
      </c>
      <c r="M1042" s="68">
        <v>0</v>
      </c>
      <c r="N1042" s="68">
        <v>0</v>
      </c>
    </row>
    <row r="1043" spans="1:14">
      <c r="A1043" t="s">
        <v>1249</v>
      </c>
      <c r="B1043" t="s">
        <v>445</v>
      </c>
      <c r="C1043" t="s">
        <v>855</v>
      </c>
      <c r="D1043" t="s">
        <v>43</v>
      </c>
      <c r="E1043" t="s">
        <v>1284</v>
      </c>
      <c r="F1043" t="s">
        <v>1269</v>
      </c>
      <c r="G1043" s="68">
        <v>6</v>
      </c>
      <c r="H1043" s="68">
        <v>8</v>
      </c>
      <c r="I1043" s="68">
        <v>4</v>
      </c>
      <c r="J1043" s="68">
        <v>6</v>
      </c>
      <c r="K1043" s="68">
        <v>0</v>
      </c>
      <c r="L1043" s="68">
        <v>0</v>
      </c>
      <c r="M1043" s="68">
        <v>0</v>
      </c>
      <c r="N1043" s="68">
        <v>0</v>
      </c>
    </row>
    <row r="1044" spans="1:14">
      <c r="A1044" t="s">
        <v>1249</v>
      </c>
      <c r="B1044" t="s">
        <v>445</v>
      </c>
      <c r="C1044" t="s">
        <v>855</v>
      </c>
      <c r="D1044" t="s">
        <v>43</v>
      </c>
      <c r="E1044" t="s">
        <v>1285</v>
      </c>
      <c r="F1044" t="s">
        <v>472</v>
      </c>
      <c r="G1044" s="68">
        <v>0</v>
      </c>
      <c r="H1044" s="68">
        <v>0</v>
      </c>
      <c r="I1044" s="68">
        <v>1</v>
      </c>
      <c r="J1044" s="68">
        <v>0</v>
      </c>
      <c r="K1044" s="68">
        <v>0</v>
      </c>
      <c r="L1044" s="68">
        <v>0</v>
      </c>
      <c r="M1044" s="68">
        <v>0</v>
      </c>
      <c r="N1044" s="68">
        <v>0</v>
      </c>
    </row>
    <row r="1045" spans="1:14">
      <c r="A1045" t="s">
        <v>1249</v>
      </c>
      <c r="B1045" t="s">
        <v>445</v>
      </c>
      <c r="C1045" t="s">
        <v>926</v>
      </c>
      <c r="D1045" t="s">
        <v>298</v>
      </c>
      <c r="E1045" t="s">
        <v>454</v>
      </c>
      <c r="F1045" t="s">
        <v>1259</v>
      </c>
      <c r="G1045" s="68">
        <v>38</v>
      </c>
      <c r="H1045" s="68">
        <v>29</v>
      </c>
      <c r="I1045" s="68">
        <v>20</v>
      </c>
      <c r="J1045" s="68">
        <v>16</v>
      </c>
      <c r="K1045" s="68">
        <v>8</v>
      </c>
      <c r="L1045" s="68">
        <v>6</v>
      </c>
      <c r="M1045" s="68">
        <v>5</v>
      </c>
      <c r="N1045" s="68">
        <v>5</v>
      </c>
    </row>
    <row r="1046" spans="1:14">
      <c r="A1046" t="s">
        <v>1249</v>
      </c>
      <c r="B1046" t="s">
        <v>445</v>
      </c>
      <c r="C1046" t="s">
        <v>1286</v>
      </c>
      <c r="D1046" t="s">
        <v>175</v>
      </c>
      <c r="E1046" t="s">
        <v>1287</v>
      </c>
      <c r="F1046" t="s">
        <v>1266</v>
      </c>
      <c r="G1046" s="68">
        <v>0</v>
      </c>
      <c r="H1046" s="68">
        <v>31</v>
      </c>
      <c r="I1046" s="68">
        <v>0</v>
      </c>
      <c r="J1046" s="68">
        <v>0</v>
      </c>
      <c r="K1046" s="68">
        <v>0</v>
      </c>
      <c r="L1046" s="68">
        <v>0</v>
      </c>
      <c r="M1046" s="68">
        <v>0</v>
      </c>
      <c r="N1046" s="68">
        <v>0</v>
      </c>
    </row>
    <row r="1047" spans="1:14">
      <c r="A1047" t="s">
        <v>1249</v>
      </c>
      <c r="B1047" t="s">
        <v>445</v>
      </c>
      <c r="C1047" t="s">
        <v>942</v>
      </c>
      <c r="D1047" t="s">
        <v>158</v>
      </c>
      <c r="E1047" t="s">
        <v>454</v>
      </c>
      <c r="F1047" t="s">
        <v>472</v>
      </c>
      <c r="G1047" s="68">
        <v>2</v>
      </c>
      <c r="H1047" s="68">
        <v>0</v>
      </c>
      <c r="I1047" s="68">
        <v>1</v>
      </c>
      <c r="J1047" s="68">
        <v>1</v>
      </c>
      <c r="K1047" s="68">
        <v>2</v>
      </c>
      <c r="L1047" s="68">
        <v>1</v>
      </c>
      <c r="M1047" s="68">
        <v>2</v>
      </c>
      <c r="N1047" s="68">
        <v>1</v>
      </c>
    </row>
    <row r="1048" spans="1:14">
      <c r="A1048" t="s">
        <v>1249</v>
      </c>
      <c r="B1048" t="s">
        <v>445</v>
      </c>
      <c r="C1048" t="s">
        <v>942</v>
      </c>
      <c r="D1048" t="s">
        <v>63</v>
      </c>
      <c r="E1048" t="s">
        <v>454</v>
      </c>
      <c r="F1048" t="s">
        <v>472</v>
      </c>
      <c r="G1048" s="68">
        <v>509</v>
      </c>
      <c r="H1048" s="68">
        <v>568</v>
      </c>
      <c r="I1048" s="68">
        <v>562</v>
      </c>
      <c r="J1048" s="68">
        <v>619</v>
      </c>
      <c r="K1048" s="68">
        <v>502</v>
      </c>
      <c r="L1048" s="68">
        <v>0</v>
      </c>
      <c r="M1048" s="68">
        <v>0</v>
      </c>
      <c r="N1048" s="68">
        <v>0</v>
      </c>
    </row>
    <row r="1049" spans="1:14">
      <c r="A1049" t="s">
        <v>1249</v>
      </c>
      <c r="B1049" t="s">
        <v>445</v>
      </c>
      <c r="C1049" t="s">
        <v>942</v>
      </c>
      <c r="D1049" t="s">
        <v>63</v>
      </c>
      <c r="E1049" t="s">
        <v>454</v>
      </c>
      <c r="F1049" t="s">
        <v>1259</v>
      </c>
      <c r="G1049" s="68">
        <v>0</v>
      </c>
      <c r="H1049" s="68">
        <v>0</v>
      </c>
      <c r="I1049" s="68">
        <v>0</v>
      </c>
      <c r="J1049" s="68">
        <v>0</v>
      </c>
      <c r="K1049" s="68">
        <v>0</v>
      </c>
      <c r="L1049" s="68">
        <v>495</v>
      </c>
      <c r="M1049" s="68">
        <v>451</v>
      </c>
      <c r="N1049" s="68">
        <v>414</v>
      </c>
    </row>
    <row r="1050" spans="1:14">
      <c r="A1050" t="s">
        <v>1249</v>
      </c>
      <c r="B1050" t="s">
        <v>445</v>
      </c>
      <c r="C1050" t="s">
        <v>1288</v>
      </c>
      <c r="D1050" t="s">
        <v>339</v>
      </c>
      <c r="E1050" t="s">
        <v>454</v>
      </c>
      <c r="F1050" t="s">
        <v>472</v>
      </c>
      <c r="G1050" s="68">
        <v>1</v>
      </c>
      <c r="H1050" s="68">
        <v>0</v>
      </c>
      <c r="I1050" s="68">
        <v>0</v>
      </c>
      <c r="J1050" s="68">
        <v>0</v>
      </c>
      <c r="K1050" s="68">
        <v>0</v>
      </c>
      <c r="L1050" s="68">
        <v>0</v>
      </c>
      <c r="M1050" s="68">
        <v>0</v>
      </c>
      <c r="N1050" s="68">
        <v>0</v>
      </c>
    </row>
    <row r="1051" spans="1:14">
      <c r="A1051" t="s">
        <v>1249</v>
      </c>
      <c r="B1051" t="s">
        <v>445</v>
      </c>
      <c r="C1051" t="s">
        <v>1289</v>
      </c>
      <c r="D1051" t="s">
        <v>184</v>
      </c>
      <c r="E1051" t="s">
        <v>1290</v>
      </c>
      <c r="F1051" t="s">
        <v>1259</v>
      </c>
      <c r="G1051" s="68">
        <v>0</v>
      </c>
      <c r="H1051" s="68">
        <v>0</v>
      </c>
      <c r="I1051" s="68">
        <v>0</v>
      </c>
      <c r="J1051" s="68">
        <v>1</v>
      </c>
      <c r="K1051" s="68">
        <v>1</v>
      </c>
      <c r="L1051" s="68">
        <v>5</v>
      </c>
      <c r="M1051" s="68">
        <v>0</v>
      </c>
      <c r="N1051" s="68">
        <v>0</v>
      </c>
    </row>
    <row r="1052" spans="1:14">
      <c r="A1052" t="s">
        <v>1249</v>
      </c>
      <c r="B1052" t="s">
        <v>445</v>
      </c>
      <c r="C1052" t="s">
        <v>1291</v>
      </c>
      <c r="D1052" t="s">
        <v>159</v>
      </c>
      <c r="E1052" t="s">
        <v>454</v>
      </c>
      <c r="F1052" t="s">
        <v>472</v>
      </c>
      <c r="G1052" s="68">
        <v>0</v>
      </c>
      <c r="H1052" s="68">
        <v>2</v>
      </c>
      <c r="I1052" s="68">
        <v>0</v>
      </c>
      <c r="J1052" s="68">
        <v>0</v>
      </c>
      <c r="K1052" s="68">
        <v>0</v>
      </c>
      <c r="L1052" s="68">
        <v>0</v>
      </c>
      <c r="M1052" s="68">
        <v>0</v>
      </c>
      <c r="N1052" s="68">
        <v>0</v>
      </c>
    </row>
    <row r="1053" spans="1:14">
      <c r="A1053" t="s">
        <v>1249</v>
      </c>
      <c r="B1053" t="s">
        <v>445</v>
      </c>
      <c r="C1053" t="s">
        <v>948</v>
      </c>
      <c r="D1053" t="s">
        <v>169</v>
      </c>
      <c r="E1053" t="s">
        <v>454</v>
      </c>
      <c r="F1053" t="s">
        <v>1259</v>
      </c>
      <c r="G1053" s="68">
        <v>119</v>
      </c>
      <c r="H1053" s="68">
        <v>131</v>
      </c>
      <c r="I1053" s="68">
        <v>140</v>
      </c>
      <c r="J1053" s="68">
        <v>181</v>
      </c>
      <c r="K1053" s="68">
        <v>109</v>
      </c>
      <c r="L1053" s="68">
        <v>122</v>
      </c>
      <c r="M1053" s="68">
        <v>100</v>
      </c>
      <c r="N1053" s="68">
        <v>96</v>
      </c>
    </row>
    <row r="1054" spans="1:14">
      <c r="A1054" t="s">
        <v>1249</v>
      </c>
      <c r="B1054" t="s">
        <v>445</v>
      </c>
      <c r="C1054" t="s">
        <v>948</v>
      </c>
      <c r="D1054" t="s">
        <v>164</v>
      </c>
      <c r="E1054" t="s">
        <v>1292</v>
      </c>
      <c r="F1054" t="s">
        <v>1269</v>
      </c>
      <c r="G1054" s="68">
        <v>0</v>
      </c>
      <c r="H1054" s="68">
        <v>0</v>
      </c>
      <c r="I1054" s="68">
        <v>0</v>
      </c>
      <c r="J1054" s="68">
        <v>0</v>
      </c>
      <c r="K1054" s="68">
        <v>0</v>
      </c>
      <c r="L1054" s="68">
        <v>0</v>
      </c>
      <c r="M1054" s="68">
        <v>0</v>
      </c>
      <c r="N1054" s="68">
        <v>1</v>
      </c>
    </row>
    <row r="1055" spans="1:14">
      <c r="A1055" t="s">
        <v>1249</v>
      </c>
      <c r="B1055" t="s">
        <v>445</v>
      </c>
      <c r="C1055" t="s">
        <v>948</v>
      </c>
      <c r="D1055" t="s">
        <v>58</v>
      </c>
      <c r="E1055" t="s">
        <v>454</v>
      </c>
      <c r="F1055" t="s">
        <v>1269</v>
      </c>
      <c r="G1055" s="68">
        <v>1</v>
      </c>
      <c r="H1055" s="68">
        <v>0</v>
      </c>
      <c r="I1055" s="68">
        <v>0</v>
      </c>
      <c r="J1055" s="68">
        <v>0</v>
      </c>
      <c r="K1055" s="68">
        <v>0</v>
      </c>
      <c r="L1055" s="68">
        <v>0</v>
      </c>
      <c r="M1055" s="68">
        <v>0</v>
      </c>
      <c r="N1055" s="68">
        <v>0</v>
      </c>
    </row>
    <row r="1056" spans="1:14">
      <c r="A1056" t="s">
        <v>1249</v>
      </c>
      <c r="B1056" t="s">
        <v>445</v>
      </c>
      <c r="C1056" t="s">
        <v>948</v>
      </c>
      <c r="D1056" t="s">
        <v>58</v>
      </c>
      <c r="E1056" t="s">
        <v>1293</v>
      </c>
      <c r="F1056" t="s">
        <v>1269</v>
      </c>
      <c r="G1056" s="68">
        <v>0</v>
      </c>
      <c r="H1056" s="68">
        <v>0</v>
      </c>
      <c r="I1056" s="68">
        <v>1</v>
      </c>
      <c r="J1056" s="68">
        <v>0</v>
      </c>
      <c r="K1056" s="68">
        <v>0</v>
      </c>
      <c r="L1056" s="68">
        <v>0</v>
      </c>
      <c r="M1056" s="68">
        <v>0</v>
      </c>
      <c r="N1056" s="68">
        <v>0</v>
      </c>
    </row>
    <row r="1057" spans="1:14">
      <c r="A1057" t="s">
        <v>1249</v>
      </c>
      <c r="B1057" t="s">
        <v>445</v>
      </c>
      <c r="C1057" t="s">
        <v>948</v>
      </c>
      <c r="D1057" t="s">
        <v>58</v>
      </c>
      <c r="E1057" t="s">
        <v>1294</v>
      </c>
      <c r="F1057" t="s">
        <v>1269</v>
      </c>
      <c r="G1057" s="68">
        <v>0</v>
      </c>
      <c r="H1057" s="68">
        <v>1</v>
      </c>
      <c r="I1057" s="68">
        <v>0</v>
      </c>
      <c r="J1057" s="68">
        <v>0</v>
      </c>
      <c r="K1057" s="68">
        <v>0</v>
      </c>
      <c r="L1057" s="68">
        <v>0</v>
      </c>
      <c r="M1057" s="68">
        <v>0</v>
      </c>
      <c r="N1057" s="68">
        <v>0</v>
      </c>
    </row>
    <row r="1058" spans="1:14">
      <c r="A1058" t="s">
        <v>1249</v>
      </c>
      <c r="B1058" t="s">
        <v>445</v>
      </c>
      <c r="C1058" t="s">
        <v>948</v>
      </c>
      <c r="D1058" t="s">
        <v>58</v>
      </c>
      <c r="E1058" t="s">
        <v>1295</v>
      </c>
      <c r="F1058" t="s">
        <v>1269</v>
      </c>
      <c r="G1058" s="68">
        <v>1</v>
      </c>
      <c r="H1058" s="68">
        <v>0</v>
      </c>
      <c r="I1058" s="68">
        <v>0</v>
      </c>
      <c r="J1058" s="68">
        <v>0</v>
      </c>
      <c r="K1058" s="68">
        <v>0</v>
      </c>
      <c r="L1058" s="68">
        <v>0</v>
      </c>
      <c r="M1058" s="68">
        <v>0</v>
      </c>
      <c r="N1058" s="68">
        <v>0</v>
      </c>
    </row>
    <row r="1059" spans="1:14">
      <c r="A1059" t="s">
        <v>1249</v>
      </c>
      <c r="B1059" t="s">
        <v>445</v>
      </c>
      <c r="C1059" t="s">
        <v>150</v>
      </c>
      <c r="D1059" t="s">
        <v>112</v>
      </c>
      <c r="E1059" t="s">
        <v>454</v>
      </c>
      <c r="F1059" t="s">
        <v>472</v>
      </c>
      <c r="G1059" s="68">
        <v>1</v>
      </c>
      <c r="H1059" s="68">
        <v>0</v>
      </c>
      <c r="I1059" s="68">
        <v>1</v>
      </c>
      <c r="J1059" s="68">
        <v>0</v>
      </c>
      <c r="K1059" s="68">
        <v>0</v>
      </c>
      <c r="L1059" s="68">
        <v>0</v>
      </c>
      <c r="M1059" s="68">
        <v>0</v>
      </c>
      <c r="N1059" s="68">
        <v>0</v>
      </c>
    </row>
    <row r="1060" spans="1:14">
      <c r="A1060" t="s">
        <v>1249</v>
      </c>
      <c r="B1060" t="s">
        <v>445</v>
      </c>
      <c r="C1060" t="s">
        <v>150</v>
      </c>
      <c r="D1060" t="s">
        <v>112</v>
      </c>
      <c r="E1060" t="s">
        <v>454</v>
      </c>
      <c r="F1060" t="s">
        <v>1259</v>
      </c>
      <c r="G1060" s="68">
        <v>0</v>
      </c>
      <c r="H1060" s="68">
        <v>3</v>
      </c>
      <c r="I1060" s="68">
        <v>7</v>
      </c>
      <c r="J1060" s="68">
        <v>9</v>
      </c>
      <c r="K1060" s="68">
        <v>8</v>
      </c>
      <c r="L1060" s="68">
        <v>6</v>
      </c>
      <c r="M1060" s="68">
        <v>4</v>
      </c>
      <c r="N1060" s="68">
        <v>10</v>
      </c>
    </row>
    <row r="1061" spans="1:14">
      <c r="A1061" t="s">
        <v>1249</v>
      </c>
      <c r="B1061" t="s">
        <v>445</v>
      </c>
      <c r="C1061" t="s">
        <v>150</v>
      </c>
      <c r="D1061" t="s">
        <v>112</v>
      </c>
      <c r="E1061" t="s">
        <v>533</v>
      </c>
      <c r="F1061" t="s">
        <v>1259</v>
      </c>
      <c r="G1061" s="68">
        <v>3</v>
      </c>
      <c r="H1061" s="68">
        <v>0</v>
      </c>
      <c r="I1061" s="68">
        <v>0</v>
      </c>
      <c r="J1061" s="68">
        <v>0</v>
      </c>
      <c r="K1061" s="68">
        <v>0</v>
      </c>
      <c r="L1061" s="68">
        <v>0</v>
      </c>
      <c r="M1061" s="68">
        <v>0</v>
      </c>
      <c r="N1061" s="68">
        <v>0</v>
      </c>
    </row>
    <row r="1062" spans="1:14">
      <c r="A1062" t="s">
        <v>1249</v>
      </c>
      <c r="B1062" t="s">
        <v>445</v>
      </c>
      <c r="C1062" t="s">
        <v>1296</v>
      </c>
      <c r="D1062" t="s">
        <v>125</v>
      </c>
      <c r="E1062" t="s">
        <v>454</v>
      </c>
      <c r="F1062" t="s">
        <v>1259</v>
      </c>
      <c r="G1062" s="68">
        <v>0</v>
      </c>
      <c r="H1062" s="68">
        <v>8</v>
      </c>
      <c r="I1062" s="68">
        <v>7</v>
      </c>
      <c r="J1062" s="68">
        <v>12</v>
      </c>
      <c r="K1062" s="68">
        <v>8</v>
      </c>
      <c r="L1062" s="68">
        <v>26</v>
      </c>
      <c r="M1062" s="68">
        <v>39</v>
      </c>
      <c r="N1062" s="68">
        <v>43</v>
      </c>
    </row>
    <row r="1063" spans="1:14">
      <c r="A1063" t="s">
        <v>1249</v>
      </c>
      <c r="B1063" t="s">
        <v>445</v>
      </c>
      <c r="C1063" t="s">
        <v>1296</v>
      </c>
      <c r="D1063" t="s">
        <v>125</v>
      </c>
      <c r="E1063" t="s">
        <v>1297</v>
      </c>
      <c r="F1063" t="s">
        <v>1259</v>
      </c>
      <c r="G1063" s="68">
        <v>2</v>
      </c>
      <c r="H1063" s="68">
        <v>0</v>
      </c>
      <c r="I1063" s="68">
        <v>0</v>
      </c>
      <c r="J1063" s="68">
        <v>0</v>
      </c>
      <c r="K1063" s="68">
        <v>0</v>
      </c>
      <c r="L1063" s="68">
        <v>0</v>
      </c>
      <c r="M1063" s="68">
        <v>0</v>
      </c>
      <c r="N1063" s="68">
        <v>0</v>
      </c>
    </row>
    <row r="1064" spans="1:14">
      <c r="A1064" t="s">
        <v>1249</v>
      </c>
      <c r="B1064" t="s">
        <v>445</v>
      </c>
      <c r="C1064" t="s">
        <v>1296</v>
      </c>
      <c r="D1064" t="s">
        <v>125</v>
      </c>
      <c r="E1064" t="s">
        <v>1298</v>
      </c>
      <c r="F1064" t="s">
        <v>1259</v>
      </c>
      <c r="G1064" s="68">
        <v>2</v>
      </c>
      <c r="H1064" s="68">
        <v>4</v>
      </c>
      <c r="I1064" s="68">
        <v>6</v>
      </c>
      <c r="J1064" s="68">
        <v>5</v>
      </c>
      <c r="K1064" s="68">
        <v>12</v>
      </c>
      <c r="L1064" s="68">
        <v>10</v>
      </c>
      <c r="M1064" s="68">
        <v>2</v>
      </c>
      <c r="N1064" s="68">
        <v>1</v>
      </c>
    </row>
    <row r="1065" spans="1:14">
      <c r="A1065" t="s">
        <v>1249</v>
      </c>
      <c r="B1065" t="s">
        <v>445</v>
      </c>
      <c r="C1065" t="s">
        <v>1296</v>
      </c>
      <c r="D1065" t="s">
        <v>125</v>
      </c>
      <c r="E1065" t="s">
        <v>1299</v>
      </c>
      <c r="F1065" t="s">
        <v>1259</v>
      </c>
      <c r="G1065" s="68">
        <v>1</v>
      </c>
      <c r="H1065" s="68">
        <v>0</v>
      </c>
      <c r="I1065" s="68">
        <v>0</v>
      </c>
      <c r="J1065" s="68">
        <v>0</v>
      </c>
      <c r="K1065" s="68">
        <v>0</v>
      </c>
      <c r="L1065" s="68">
        <v>0</v>
      </c>
      <c r="M1065" s="68">
        <v>0</v>
      </c>
      <c r="N1065" s="68">
        <v>0</v>
      </c>
    </row>
    <row r="1066" spans="1:14">
      <c r="A1066" t="s">
        <v>1249</v>
      </c>
      <c r="B1066" t="s">
        <v>445</v>
      </c>
      <c r="C1066" t="s">
        <v>1296</v>
      </c>
      <c r="D1066" t="s">
        <v>125</v>
      </c>
      <c r="E1066" t="s">
        <v>1300</v>
      </c>
      <c r="F1066" t="s">
        <v>1259</v>
      </c>
      <c r="G1066" s="68">
        <v>3</v>
      </c>
      <c r="H1066" s="68">
        <v>0</v>
      </c>
      <c r="I1066" s="68">
        <v>0</v>
      </c>
      <c r="J1066" s="68">
        <v>0</v>
      </c>
      <c r="K1066" s="68">
        <v>0</v>
      </c>
      <c r="L1066" s="68">
        <v>0</v>
      </c>
      <c r="M1066" s="68">
        <v>0</v>
      </c>
      <c r="N1066" s="68">
        <v>0</v>
      </c>
    </row>
    <row r="1067" spans="1:14">
      <c r="A1067" t="s">
        <v>1249</v>
      </c>
      <c r="B1067" t="s">
        <v>445</v>
      </c>
      <c r="C1067" t="s">
        <v>1296</v>
      </c>
      <c r="D1067" t="s">
        <v>125</v>
      </c>
      <c r="E1067" t="s">
        <v>1301</v>
      </c>
      <c r="F1067" t="s">
        <v>1259</v>
      </c>
      <c r="G1067" s="68">
        <v>0</v>
      </c>
      <c r="H1067" s="68">
        <v>3</v>
      </c>
      <c r="I1067" s="68">
        <v>22</v>
      </c>
      <c r="J1067" s="68">
        <v>18</v>
      </c>
      <c r="K1067" s="68">
        <v>26</v>
      </c>
      <c r="L1067" s="68">
        <v>43</v>
      </c>
      <c r="M1067" s="68">
        <v>29</v>
      </c>
      <c r="N1067" s="68">
        <v>69</v>
      </c>
    </row>
    <row r="1068" spans="1:14">
      <c r="A1068" t="s">
        <v>1249</v>
      </c>
      <c r="B1068" t="s">
        <v>445</v>
      </c>
      <c r="C1068" t="s">
        <v>1296</v>
      </c>
      <c r="D1068" t="s">
        <v>125</v>
      </c>
      <c r="E1068" t="s">
        <v>1302</v>
      </c>
      <c r="F1068" t="s">
        <v>1259</v>
      </c>
      <c r="G1068" s="68">
        <v>2</v>
      </c>
      <c r="H1068" s="68">
        <v>0</v>
      </c>
      <c r="I1068" s="68">
        <v>0</v>
      </c>
      <c r="J1068" s="68">
        <v>0</v>
      </c>
      <c r="K1068" s="68">
        <v>0</v>
      </c>
      <c r="L1068" s="68">
        <v>0</v>
      </c>
      <c r="M1068" s="68">
        <v>0</v>
      </c>
      <c r="N1068" s="68">
        <v>0</v>
      </c>
    </row>
    <row r="1069" spans="1:14">
      <c r="A1069" t="s">
        <v>1249</v>
      </c>
      <c r="B1069" t="s">
        <v>445</v>
      </c>
      <c r="C1069" t="s">
        <v>1296</v>
      </c>
      <c r="D1069" t="s">
        <v>125</v>
      </c>
      <c r="E1069" t="s">
        <v>1303</v>
      </c>
      <c r="F1069" t="s">
        <v>1259</v>
      </c>
      <c r="G1069" s="68">
        <v>4</v>
      </c>
      <c r="H1069" s="68">
        <v>16</v>
      </c>
      <c r="I1069" s="68">
        <v>11</v>
      </c>
      <c r="J1069" s="68">
        <v>24</v>
      </c>
      <c r="K1069" s="68">
        <v>13</v>
      </c>
      <c r="L1069" s="68">
        <v>22</v>
      </c>
      <c r="M1069" s="68">
        <v>27</v>
      </c>
      <c r="N1069" s="68">
        <v>8</v>
      </c>
    </row>
    <row r="1070" spans="1:14">
      <c r="A1070" t="s">
        <v>1249</v>
      </c>
      <c r="B1070" t="s">
        <v>445</v>
      </c>
      <c r="C1070" t="s">
        <v>1296</v>
      </c>
      <c r="D1070" t="s">
        <v>125</v>
      </c>
      <c r="E1070" t="s">
        <v>1304</v>
      </c>
      <c r="F1070" t="s">
        <v>1259</v>
      </c>
      <c r="G1070" s="68">
        <v>0</v>
      </c>
      <c r="H1070" s="68">
        <v>0</v>
      </c>
      <c r="I1070" s="68">
        <v>2</v>
      </c>
      <c r="J1070" s="68">
        <v>2</v>
      </c>
      <c r="K1070" s="68">
        <v>2</v>
      </c>
      <c r="L1070" s="68">
        <v>4</v>
      </c>
      <c r="M1070" s="68">
        <v>0</v>
      </c>
      <c r="N1070" s="68">
        <v>1</v>
      </c>
    </row>
    <row r="1071" spans="1:14">
      <c r="A1071" t="s">
        <v>1249</v>
      </c>
      <c r="B1071" t="s">
        <v>445</v>
      </c>
      <c r="C1071" t="s">
        <v>1296</v>
      </c>
      <c r="D1071" t="s">
        <v>125</v>
      </c>
      <c r="E1071" t="s">
        <v>1305</v>
      </c>
      <c r="F1071" t="s">
        <v>1259</v>
      </c>
      <c r="G1071" s="68">
        <v>0</v>
      </c>
      <c r="H1071" s="68">
        <v>0</v>
      </c>
      <c r="I1071" s="68">
        <v>0</v>
      </c>
      <c r="J1071" s="68">
        <v>0</v>
      </c>
      <c r="K1071" s="68">
        <v>0</v>
      </c>
      <c r="L1071" s="68">
        <v>0</v>
      </c>
      <c r="M1071" s="68">
        <v>0</v>
      </c>
      <c r="N1071" s="68">
        <v>1</v>
      </c>
    </row>
    <row r="1072" spans="1:14">
      <c r="A1072" t="s">
        <v>1249</v>
      </c>
      <c r="B1072" t="s">
        <v>445</v>
      </c>
      <c r="C1072" t="s">
        <v>1296</v>
      </c>
      <c r="D1072" t="s">
        <v>125</v>
      </c>
      <c r="E1072" t="s">
        <v>1306</v>
      </c>
      <c r="F1072" t="s">
        <v>1259</v>
      </c>
      <c r="G1072" s="68">
        <v>25</v>
      </c>
      <c r="H1072" s="68">
        <v>25</v>
      </c>
      <c r="I1072" s="68">
        <v>25</v>
      </c>
      <c r="J1072" s="68">
        <v>52</v>
      </c>
      <c r="K1072" s="68">
        <v>24</v>
      </c>
      <c r="L1072" s="68">
        <v>83</v>
      </c>
      <c r="M1072" s="68">
        <v>156</v>
      </c>
      <c r="N1072" s="68">
        <v>286</v>
      </c>
    </row>
    <row r="1073" spans="1:14">
      <c r="A1073" t="s">
        <v>1249</v>
      </c>
      <c r="B1073" t="s">
        <v>445</v>
      </c>
      <c r="C1073" t="s">
        <v>1307</v>
      </c>
      <c r="D1073" t="s">
        <v>158</v>
      </c>
      <c r="E1073" t="s">
        <v>744</v>
      </c>
      <c r="F1073" t="s">
        <v>472</v>
      </c>
      <c r="G1073" s="68">
        <v>0</v>
      </c>
      <c r="H1073" s="68">
        <v>0</v>
      </c>
      <c r="I1073" s="68">
        <v>0</v>
      </c>
      <c r="J1073" s="68">
        <v>0</v>
      </c>
      <c r="K1073" s="68">
        <v>2</v>
      </c>
      <c r="L1073" s="68">
        <v>4</v>
      </c>
      <c r="M1073" s="68">
        <v>4</v>
      </c>
      <c r="N1073" s="68">
        <v>0</v>
      </c>
    </row>
    <row r="1074" spans="1:14">
      <c r="A1074" t="s">
        <v>1249</v>
      </c>
      <c r="B1074" t="s">
        <v>445</v>
      </c>
      <c r="C1074" t="s">
        <v>1308</v>
      </c>
      <c r="D1074" t="s">
        <v>76</v>
      </c>
      <c r="E1074" t="s">
        <v>744</v>
      </c>
      <c r="F1074" t="s">
        <v>472</v>
      </c>
      <c r="G1074" s="68">
        <v>0</v>
      </c>
      <c r="H1074" s="68">
        <v>0</v>
      </c>
      <c r="I1074" s="68">
        <v>0</v>
      </c>
      <c r="J1074" s="68">
        <v>0</v>
      </c>
      <c r="K1074" s="68">
        <v>0</v>
      </c>
      <c r="L1074" s="68">
        <v>1</v>
      </c>
      <c r="M1074" s="68">
        <v>0</v>
      </c>
      <c r="N1074" s="68">
        <v>0</v>
      </c>
    </row>
    <row r="1075" spans="1:14">
      <c r="A1075" t="s">
        <v>1249</v>
      </c>
      <c r="B1075" t="s">
        <v>445</v>
      </c>
      <c r="C1075" t="s">
        <v>1074</v>
      </c>
      <c r="D1075" t="s">
        <v>372</v>
      </c>
      <c r="E1075" s="69">
        <v>1.5</v>
      </c>
      <c r="F1075" t="s">
        <v>1266</v>
      </c>
      <c r="G1075" s="68">
        <v>36</v>
      </c>
      <c r="H1075" s="68">
        <v>52</v>
      </c>
      <c r="I1075" s="68">
        <v>67</v>
      </c>
      <c r="J1075" s="68">
        <v>56</v>
      </c>
      <c r="K1075" s="68">
        <v>33</v>
      </c>
      <c r="L1075" s="68">
        <v>43</v>
      </c>
      <c r="M1075" s="68">
        <v>35</v>
      </c>
      <c r="N1075" s="68">
        <v>30</v>
      </c>
    </row>
    <row r="1076" spans="1:14">
      <c r="A1076" t="s">
        <v>1249</v>
      </c>
      <c r="B1076" t="s">
        <v>445</v>
      </c>
      <c r="C1076" t="s">
        <v>1074</v>
      </c>
      <c r="D1076" t="s">
        <v>158</v>
      </c>
      <c r="E1076" t="s">
        <v>454</v>
      </c>
      <c r="F1076" t="s">
        <v>472</v>
      </c>
      <c r="G1076" s="68">
        <v>2</v>
      </c>
      <c r="H1076" s="68">
        <v>0</v>
      </c>
      <c r="I1076" s="68">
        <v>1</v>
      </c>
      <c r="J1076" s="68">
        <v>0</v>
      </c>
      <c r="K1076" s="68">
        <v>0</v>
      </c>
      <c r="L1076" s="68">
        <v>1</v>
      </c>
      <c r="M1076" s="68">
        <v>0</v>
      </c>
      <c r="N1076" s="68">
        <v>0</v>
      </c>
    </row>
    <row r="1077" spans="1:14">
      <c r="A1077" t="s">
        <v>1249</v>
      </c>
      <c r="B1077" t="s">
        <v>445</v>
      </c>
      <c r="C1077" t="s">
        <v>1309</v>
      </c>
      <c r="D1077" t="s">
        <v>83</v>
      </c>
      <c r="E1077" t="s">
        <v>1310</v>
      </c>
      <c r="F1077" t="s">
        <v>1266</v>
      </c>
      <c r="G1077" s="68">
        <v>1</v>
      </c>
      <c r="H1077" s="68">
        <v>0</v>
      </c>
      <c r="I1077" s="68">
        <v>0</v>
      </c>
      <c r="J1077" s="68">
        <v>2</v>
      </c>
      <c r="K1077" s="68">
        <v>0</v>
      </c>
      <c r="L1077" s="68">
        <v>0</v>
      </c>
      <c r="M1077" s="68">
        <v>0</v>
      </c>
      <c r="N1077" s="68">
        <v>0</v>
      </c>
    </row>
    <row r="1078" spans="1:14">
      <c r="A1078" t="s">
        <v>1249</v>
      </c>
      <c r="B1078" t="s">
        <v>445</v>
      </c>
      <c r="C1078" t="s">
        <v>1309</v>
      </c>
      <c r="D1078" t="s">
        <v>82</v>
      </c>
      <c r="E1078" t="s">
        <v>454</v>
      </c>
      <c r="F1078" t="s">
        <v>472</v>
      </c>
      <c r="G1078" s="68">
        <v>0</v>
      </c>
      <c r="H1078" s="68">
        <v>1</v>
      </c>
      <c r="I1078" s="68">
        <v>0</v>
      </c>
      <c r="J1078" s="68">
        <v>0</v>
      </c>
      <c r="K1078" s="68">
        <v>0</v>
      </c>
      <c r="L1078" s="68">
        <v>1</v>
      </c>
      <c r="M1078" s="68">
        <v>1</v>
      </c>
      <c r="N1078" s="68">
        <v>0</v>
      </c>
    </row>
    <row r="1079" spans="1:14">
      <c r="A1079" t="s">
        <v>1249</v>
      </c>
      <c r="B1079" t="s">
        <v>445</v>
      </c>
      <c r="C1079" t="s">
        <v>1309</v>
      </c>
      <c r="D1079" t="s">
        <v>26</v>
      </c>
      <c r="E1079" t="s">
        <v>454</v>
      </c>
      <c r="F1079" t="s">
        <v>472</v>
      </c>
      <c r="G1079" s="68">
        <v>0</v>
      </c>
      <c r="H1079" s="68">
        <v>0</v>
      </c>
      <c r="I1079" s="68">
        <v>0</v>
      </c>
      <c r="J1079" s="68">
        <v>2</v>
      </c>
      <c r="K1079" s="68">
        <v>0</v>
      </c>
      <c r="L1079" s="68">
        <v>0</v>
      </c>
      <c r="M1079" s="68">
        <v>0</v>
      </c>
      <c r="N1079" s="68">
        <v>0</v>
      </c>
    </row>
    <row r="1080" spans="1:14">
      <c r="A1080" t="s">
        <v>1249</v>
      </c>
      <c r="B1080" t="s">
        <v>445</v>
      </c>
      <c r="C1080" t="s">
        <v>1309</v>
      </c>
      <c r="D1080" t="s">
        <v>26</v>
      </c>
      <c r="E1080" t="s">
        <v>1311</v>
      </c>
      <c r="F1080" t="s">
        <v>472</v>
      </c>
      <c r="G1080" s="68">
        <v>0</v>
      </c>
      <c r="H1080" s="68">
        <v>0</v>
      </c>
      <c r="I1080" s="68">
        <v>0</v>
      </c>
      <c r="J1080" s="68">
        <v>0</v>
      </c>
      <c r="K1080" s="68">
        <v>0</v>
      </c>
      <c r="L1080" s="68">
        <v>2</v>
      </c>
      <c r="M1080" s="68">
        <v>0</v>
      </c>
      <c r="N1080" s="68">
        <v>0</v>
      </c>
    </row>
    <row r="1081" spans="1:14">
      <c r="A1081" t="s">
        <v>1249</v>
      </c>
      <c r="B1081" t="s">
        <v>445</v>
      </c>
      <c r="C1081" t="s">
        <v>1119</v>
      </c>
      <c r="D1081" t="s">
        <v>357</v>
      </c>
      <c r="E1081" t="s">
        <v>454</v>
      </c>
      <c r="F1081" t="s">
        <v>1312</v>
      </c>
      <c r="G1081" s="68">
        <v>713</v>
      </c>
      <c r="H1081" s="68">
        <v>608</v>
      </c>
      <c r="I1081" s="68">
        <v>832</v>
      </c>
      <c r="J1081" s="68">
        <v>753</v>
      </c>
      <c r="K1081" s="68">
        <v>562</v>
      </c>
      <c r="L1081" s="68">
        <v>494</v>
      </c>
      <c r="M1081" s="68">
        <v>600</v>
      </c>
      <c r="N1081" s="68">
        <v>581</v>
      </c>
    </row>
    <row r="1082" spans="1:14">
      <c r="A1082" t="s">
        <v>1249</v>
      </c>
      <c r="B1082" t="s">
        <v>445</v>
      </c>
      <c r="C1082" t="s">
        <v>1119</v>
      </c>
      <c r="D1082" t="s">
        <v>357</v>
      </c>
      <c r="E1082" t="s">
        <v>1313</v>
      </c>
      <c r="F1082" t="s">
        <v>1312</v>
      </c>
      <c r="G1082" s="68">
        <v>0</v>
      </c>
      <c r="H1082" s="68">
        <v>0</v>
      </c>
      <c r="I1082" s="68">
        <v>1</v>
      </c>
      <c r="J1082" s="68">
        <v>0</v>
      </c>
      <c r="K1082" s="68">
        <v>0</v>
      </c>
      <c r="L1082" s="68">
        <v>0</v>
      </c>
      <c r="M1082" s="68">
        <v>1</v>
      </c>
      <c r="N1082" s="68">
        <v>0</v>
      </c>
    </row>
    <row r="1083" spans="1:14">
      <c r="A1083" t="s">
        <v>1249</v>
      </c>
      <c r="B1083" t="s">
        <v>445</v>
      </c>
      <c r="C1083" t="s">
        <v>1119</v>
      </c>
      <c r="D1083" t="s">
        <v>357</v>
      </c>
      <c r="E1083" t="s">
        <v>1314</v>
      </c>
      <c r="F1083" t="s">
        <v>1312</v>
      </c>
      <c r="G1083" s="68">
        <v>0</v>
      </c>
      <c r="H1083" s="68">
        <v>1</v>
      </c>
      <c r="I1083" s="68">
        <v>0</v>
      </c>
      <c r="J1083" s="68">
        <v>0</v>
      </c>
      <c r="K1083" s="68">
        <v>0</v>
      </c>
      <c r="L1083" s="68">
        <v>0</v>
      </c>
      <c r="M1083" s="68">
        <v>1</v>
      </c>
      <c r="N1083" s="68">
        <v>1</v>
      </c>
    </row>
    <row r="1084" spans="1:14">
      <c r="A1084" t="s">
        <v>1249</v>
      </c>
      <c r="B1084" t="s">
        <v>445</v>
      </c>
      <c r="C1084" t="s">
        <v>1119</v>
      </c>
      <c r="D1084" t="s">
        <v>258</v>
      </c>
      <c r="E1084" t="s">
        <v>454</v>
      </c>
      <c r="F1084" t="s">
        <v>472</v>
      </c>
      <c r="G1084" s="68">
        <v>45</v>
      </c>
      <c r="H1084" s="68">
        <v>60</v>
      </c>
      <c r="I1084" s="68">
        <v>59</v>
      </c>
      <c r="J1084" s="68">
        <v>82</v>
      </c>
      <c r="K1084" s="68">
        <v>41</v>
      </c>
      <c r="L1084" s="68">
        <v>62</v>
      </c>
      <c r="M1084" s="68">
        <v>57</v>
      </c>
      <c r="N1084" s="68">
        <v>71</v>
      </c>
    </row>
    <row r="1085" spans="1:14">
      <c r="A1085" t="s">
        <v>1249</v>
      </c>
      <c r="B1085" t="s">
        <v>445</v>
      </c>
      <c r="C1085" t="s">
        <v>1119</v>
      </c>
      <c r="D1085" t="s">
        <v>256</v>
      </c>
      <c r="E1085" t="s">
        <v>454</v>
      </c>
      <c r="F1085" t="s">
        <v>472</v>
      </c>
      <c r="G1085" s="68">
        <v>0</v>
      </c>
      <c r="H1085" s="68">
        <v>1</v>
      </c>
      <c r="I1085" s="68">
        <v>0</v>
      </c>
      <c r="J1085" s="68">
        <v>0</v>
      </c>
      <c r="K1085" s="68">
        <v>0</v>
      </c>
      <c r="L1085" s="68">
        <v>0</v>
      </c>
      <c r="M1085" s="68">
        <v>0</v>
      </c>
      <c r="N1085" s="68">
        <v>0</v>
      </c>
    </row>
    <row r="1086" spans="1:14">
      <c r="A1086" t="s">
        <v>1249</v>
      </c>
      <c r="B1086" t="s">
        <v>445</v>
      </c>
      <c r="C1086" t="s">
        <v>1119</v>
      </c>
      <c r="D1086" t="s">
        <v>255</v>
      </c>
      <c r="E1086" t="s">
        <v>454</v>
      </c>
      <c r="F1086" t="s">
        <v>472</v>
      </c>
      <c r="G1086" s="68">
        <v>468</v>
      </c>
      <c r="H1086" s="68">
        <v>508</v>
      </c>
      <c r="I1086" s="68">
        <v>538</v>
      </c>
      <c r="J1086" s="68">
        <v>633</v>
      </c>
      <c r="K1086" s="68">
        <v>561</v>
      </c>
      <c r="L1086" s="68">
        <v>559</v>
      </c>
      <c r="M1086" s="68">
        <v>685</v>
      </c>
      <c r="N1086" s="68">
        <v>542</v>
      </c>
    </row>
    <row r="1087" spans="1:14">
      <c r="A1087" t="s">
        <v>1249</v>
      </c>
      <c r="B1087" t="s">
        <v>445</v>
      </c>
      <c r="C1087" t="s">
        <v>1119</v>
      </c>
      <c r="D1087" t="s">
        <v>254</v>
      </c>
      <c r="E1087" t="s">
        <v>454</v>
      </c>
      <c r="F1087" t="s">
        <v>1259</v>
      </c>
      <c r="G1087" s="68">
        <v>2977</v>
      </c>
      <c r="H1087" s="68">
        <v>3271</v>
      </c>
      <c r="I1087" s="68">
        <v>2844</v>
      </c>
      <c r="J1087" s="68">
        <v>2909</v>
      </c>
      <c r="K1087" s="68">
        <v>2099</v>
      </c>
      <c r="L1087" s="68">
        <v>2422</v>
      </c>
      <c r="M1087" s="68">
        <v>2729</v>
      </c>
      <c r="N1087" s="68">
        <v>2212</v>
      </c>
    </row>
    <row r="1088" spans="1:14">
      <c r="A1088" t="s">
        <v>1249</v>
      </c>
      <c r="B1088" t="s">
        <v>445</v>
      </c>
      <c r="C1088" t="s">
        <v>1119</v>
      </c>
      <c r="D1088" t="s">
        <v>254</v>
      </c>
      <c r="E1088" t="s">
        <v>1315</v>
      </c>
      <c r="F1088" t="s">
        <v>1259</v>
      </c>
      <c r="G1088" s="68">
        <v>1</v>
      </c>
      <c r="H1088" s="68">
        <v>0</v>
      </c>
      <c r="I1088" s="68">
        <v>0</v>
      </c>
      <c r="J1088" s="68">
        <v>0</v>
      </c>
      <c r="K1088" s="68">
        <v>0</v>
      </c>
      <c r="L1088" s="68">
        <v>0</v>
      </c>
      <c r="M1088" s="68">
        <v>0</v>
      </c>
      <c r="N1088" s="68">
        <v>0</v>
      </c>
    </row>
    <row r="1089" spans="1:14">
      <c r="A1089" t="s">
        <v>1249</v>
      </c>
      <c r="B1089" t="s">
        <v>445</v>
      </c>
      <c r="C1089" t="s">
        <v>1119</v>
      </c>
      <c r="D1089" t="s">
        <v>253</v>
      </c>
      <c r="E1089" t="s">
        <v>454</v>
      </c>
      <c r="F1089" t="s">
        <v>1259</v>
      </c>
      <c r="G1089" s="68">
        <v>939</v>
      </c>
      <c r="H1089" s="68">
        <v>2355</v>
      </c>
      <c r="I1089" s="68">
        <v>2605</v>
      </c>
      <c r="J1089" s="68">
        <v>4238</v>
      </c>
      <c r="K1089" s="68">
        <v>3108</v>
      </c>
      <c r="L1089" s="68">
        <v>3429</v>
      </c>
      <c r="M1089" s="68">
        <v>3498</v>
      </c>
      <c r="N1089" s="68">
        <v>3113</v>
      </c>
    </row>
    <row r="1090" spans="1:14">
      <c r="A1090" t="s">
        <v>1249</v>
      </c>
      <c r="B1090" t="s">
        <v>445</v>
      </c>
      <c r="C1090" t="s">
        <v>1119</v>
      </c>
      <c r="D1090" t="s">
        <v>209</v>
      </c>
      <c r="E1090" t="s">
        <v>454</v>
      </c>
      <c r="F1090" t="s">
        <v>472</v>
      </c>
      <c r="G1090" s="68">
        <v>0</v>
      </c>
      <c r="H1090" s="68">
        <v>0</v>
      </c>
      <c r="I1090" s="68">
        <v>0</v>
      </c>
      <c r="J1090" s="68">
        <v>0</v>
      </c>
      <c r="K1090" s="68">
        <v>0</v>
      </c>
      <c r="L1090" s="68">
        <v>0</v>
      </c>
      <c r="M1090" s="68">
        <v>0</v>
      </c>
      <c r="N1090" s="68">
        <v>1</v>
      </c>
    </row>
    <row r="1091" spans="1:14">
      <c r="A1091" t="s">
        <v>1249</v>
      </c>
      <c r="B1091" t="s">
        <v>445</v>
      </c>
      <c r="C1091" t="s">
        <v>1119</v>
      </c>
      <c r="D1091" t="s">
        <v>209</v>
      </c>
      <c r="E1091" s="69">
        <v>4.2</v>
      </c>
      <c r="F1091" t="s">
        <v>1259</v>
      </c>
      <c r="G1091" s="68">
        <v>0</v>
      </c>
      <c r="H1091" s="68">
        <v>0</v>
      </c>
      <c r="I1091" s="68">
        <v>0</v>
      </c>
      <c r="J1091" s="68">
        <v>0</v>
      </c>
      <c r="K1091" s="68">
        <v>0</v>
      </c>
      <c r="L1091" s="68">
        <v>1</v>
      </c>
      <c r="M1091" s="68">
        <v>0</v>
      </c>
      <c r="N1091" s="68">
        <v>0</v>
      </c>
    </row>
    <row r="1092" spans="1:14">
      <c r="A1092" t="s">
        <v>1249</v>
      </c>
      <c r="B1092" t="s">
        <v>445</v>
      </c>
      <c r="C1092" t="s">
        <v>1119</v>
      </c>
      <c r="D1092" t="s">
        <v>158</v>
      </c>
      <c r="E1092" t="s">
        <v>454</v>
      </c>
      <c r="F1092" t="s">
        <v>472</v>
      </c>
      <c r="G1092" s="68">
        <v>155</v>
      </c>
      <c r="H1092" s="68">
        <v>75</v>
      </c>
      <c r="I1092" s="68">
        <v>111</v>
      </c>
      <c r="J1092" s="68">
        <v>228</v>
      </c>
      <c r="K1092" s="68">
        <v>109</v>
      </c>
      <c r="L1092" s="68">
        <v>76</v>
      </c>
      <c r="M1092" s="68">
        <v>104</v>
      </c>
      <c r="N1092" s="68">
        <v>97</v>
      </c>
    </row>
    <row r="1093" spans="1:14">
      <c r="A1093" t="s">
        <v>1249</v>
      </c>
      <c r="B1093" t="s">
        <v>445</v>
      </c>
      <c r="C1093" t="s">
        <v>1222</v>
      </c>
      <c r="D1093" t="s">
        <v>149</v>
      </c>
      <c r="E1093" t="s">
        <v>1316</v>
      </c>
      <c r="F1093" t="s">
        <v>1251</v>
      </c>
      <c r="G1093" s="68">
        <v>0</v>
      </c>
      <c r="H1093" s="68">
        <v>0</v>
      </c>
      <c r="I1093" s="68">
        <v>0</v>
      </c>
      <c r="J1093" s="68">
        <v>0</v>
      </c>
      <c r="K1093" s="68">
        <v>0</v>
      </c>
      <c r="L1093" s="68">
        <v>0</v>
      </c>
      <c r="M1093" s="68">
        <v>0</v>
      </c>
      <c r="N1093" s="68">
        <v>33</v>
      </c>
    </row>
    <row r="1094" spans="1:14">
      <c r="A1094" t="s">
        <v>1249</v>
      </c>
      <c r="B1094" t="s">
        <v>445</v>
      </c>
      <c r="C1094" t="s">
        <v>1247</v>
      </c>
      <c r="D1094" t="s">
        <v>158</v>
      </c>
      <c r="E1094" t="s">
        <v>454</v>
      </c>
      <c r="F1094" t="s">
        <v>472</v>
      </c>
      <c r="G1094" s="68">
        <v>0</v>
      </c>
      <c r="H1094" s="68">
        <v>0</v>
      </c>
      <c r="I1094" s="68">
        <v>0</v>
      </c>
      <c r="J1094" s="68">
        <v>0</v>
      </c>
      <c r="K1094" s="68">
        <v>0</v>
      </c>
      <c r="L1094" s="68">
        <v>3</v>
      </c>
      <c r="M1094" s="68">
        <v>3</v>
      </c>
      <c r="N1094" s="68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00"/>
  <sheetViews>
    <sheetView showGridLines="0" workbookViewId="0">
      <selection activeCell="A1" sqref="A1"/>
    </sheetView>
  </sheetViews>
  <sheetFormatPr defaultColWidth="9" defaultRowHeight="14.5"/>
  <cols>
    <col min="1" max="1" width="28" customWidth="1"/>
    <col min="2" max="3" width="22" customWidth="1"/>
    <col min="4" max="17" width="17" customWidth="1"/>
    <col min="19" max="21" width="18" customWidth="1"/>
  </cols>
  <sheetData>
    <row r="1" spans="1:21">
      <c r="A1" s="61" t="s">
        <v>1317</v>
      </c>
      <c r="B1" s="61" t="s">
        <v>0</v>
      </c>
      <c r="C1" s="61" t="s">
        <v>433</v>
      </c>
      <c r="D1" s="61" t="s">
        <v>1318</v>
      </c>
      <c r="E1" s="61" t="s">
        <v>1319</v>
      </c>
      <c r="F1" s="61" t="s">
        <v>1320</v>
      </c>
      <c r="G1" s="61" t="s">
        <v>1321</v>
      </c>
      <c r="H1" s="66" t="s">
        <v>1322</v>
      </c>
      <c r="I1" s="66" t="s">
        <v>1323</v>
      </c>
      <c r="J1" s="66" t="s">
        <v>1324</v>
      </c>
      <c r="K1" s="61" t="s">
        <v>1325</v>
      </c>
      <c r="L1" s="61" t="s">
        <v>1326</v>
      </c>
      <c r="M1" s="61" t="s">
        <v>1327</v>
      </c>
      <c r="N1" s="61" t="s">
        <v>1328</v>
      </c>
      <c r="O1" s="61" t="s">
        <v>1329</v>
      </c>
      <c r="P1" s="61" t="s">
        <v>1330</v>
      </c>
      <c r="Q1" s="61" t="s">
        <v>1331</v>
      </c>
      <c r="S1" s="49" t="s">
        <v>1332</v>
      </c>
      <c r="T1" s="49"/>
      <c r="U1" s="49"/>
    </row>
    <row r="2" spans="1:21">
      <c r="A2" s="62" t="str">
        <f>IFERROR(INDEX($H$2:$H$3000,MATCH(0,INDEX(COUNTIF($A$1:A1,$H$2:$H$3000)+($H$2:$H$3000=""),0,0),0)),"")</f>
        <v>AION♦ES</v>
      </c>
      <c r="B2" s="62" t="str">
        <f t="shared" ref="B2:B65" si="0">IF(A2="","",LEFT(A2,FIND("♦",A2)-1))</f>
        <v>AION</v>
      </c>
      <c r="C2" s="62" t="str">
        <f t="shared" ref="C2:C65" si="1">IF(A2="","",MID(A2,FIND("♦",A2)+1,999))</f>
        <v>ES</v>
      </c>
      <c r="D2" s="63">
        <f t="shared" ref="D2:D65" si="2">IF(A2="","",SUMIF($H$2:$H$3000,A2,$I$2:$I$3000))</f>
        <v>15</v>
      </c>
      <c r="E2" s="62">
        <f>IF(D2="","",_xlfn.RANK.EQ(D2,$D$2:$D$1001,0)+COUNTIF($D$2:D2,D2)-1)</f>
        <v>127</v>
      </c>
      <c r="F2" s="62">
        <f>IF(B2="","",--(COUNTIF(CN_Brands!$A$2:$A$300,UPPER(B2))&gt;0))</f>
        <v>1</v>
      </c>
      <c r="G2" s="62" t="str">
        <f t="shared" ref="G2:G65" si="3">IF(A2="","",IFERROR(INDEX($J$2:$J$3000,MATCH(A2,$H$2:$H$3000,0)),"其他"))</f>
        <v>轿车</v>
      </c>
      <c r="H2" s="62" t="str">
        <f>IF(AND('Data Export'!A2=前十整体车型排名!$B$2,'Data Export'!B2=前十整体车型排名!$B$3,'Data Export'!D2&lt;&gt;""),UPPER('Data Export'!C2)&amp;"♦"&amp;'Data Export'!D2,"")</f>
        <v>AION♦ES</v>
      </c>
      <c r="I2" s="63">
        <f>IF(H2="","",IFERROR(INDEX('Data Export'!G2:CZ2,1,MATCH(前十整体车型排名!$B$4,'Data Export'!$G$1:$CZ$1,0)),0))</f>
        <v>15</v>
      </c>
      <c r="J2" s="62" t="str">
        <f>IF(H2="","",IF(OR('Data Export'!F2="三厢轿车",'Data Export'!F2="掀背轿车",'Data Export'!F2="旅行车",'Data Export'!F2="微型车",'Data Export'!F2="硬顶跑车",'Data Export'!F2="敞蓬车",'Data Export'!F2="Targa"),"轿车",IF(OR('Data Export'!F2="小型MPV",'Data Export'!F2="客车"),"MPV",IF('Data Export'!F2="运动型多功能车","SUV","其他"))))</f>
        <v>轿车</v>
      </c>
      <c r="K2" s="62">
        <f>IF(OR(D2="",NOT(F2=1)),"",1+SUMPRODUCT(($F$2:$F$1001=1)*($D$2:$D$1001&gt;D2))+COUNTIFS($F$2:F2,1,$D$2:D2,D2)-1)</f>
        <v>51</v>
      </c>
      <c r="L2" s="62">
        <f>IF(OR(D2="",NOT(G2="轿车")),"",1+SUMPRODUCT(($G$2:$G$1001="轿车")*($D$2:$D$1001&gt;D2))+COUNTIFS($G$2:G2,"轿车",$D$2:D2,D2)-1)</f>
        <v>32</v>
      </c>
      <c r="M2" s="62" t="str">
        <f>IF(OR(D2="",NOT(G2="MPV")),"",1+SUMPRODUCT(($G$2:$G$1001="MPV")*($D$2:$D$1001&gt;D2))+COUNTIFS($G$2:G2,"MPV",$D$2:D2,D2)-1)</f>
        <v/>
      </c>
      <c r="N2" s="62" t="str">
        <f>IF(OR(D2="",NOT(G2="SUV")),"",1+SUMPRODUCT(($G$2:$G$1001="SUV")*($D$2:$D$1001&gt;D2))+COUNTIFS($G$2:G2,"SUV",$D$2:D2,D2)-1)</f>
        <v/>
      </c>
      <c r="O2" s="62">
        <f>IF(OR(D2="",NOT(AND(F2=1,G2="轿车"))),"",1+SUMPRODUCT(($F$2:$F$1001=1)*($G$2:$G$1001="轿车")*($D$2:$D$1001&gt;D2))+COUNTIFS($F$2:F2,1,$G$2:G2,"轿车",$D$2:D2,D2)-1)</f>
        <v>12</v>
      </c>
      <c r="P2" s="62" t="str">
        <f>IF(OR(D2="",NOT(AND(F2=1,G2="MPV"))),"",1+SUMPRODUCT(($F$2:$F$1001=1)*($G$2:$G$1001="MPV")*($D$2:$D$1001&gt;D2))+COUNTIFS($F$2:F2,1,$G$2:G2,"MPV",$D$2:D2,D2)-1)</f>
        <v/>
      </c>
      <c r="Q2" s="62" t="str">
        <f>IF(OR(D2="",NOT(AND(F2=1,G2="SUV"))),"",1+SUMPRODUCT(($F$2:$F$1001=1)*($G$2:$G$1001="SUV")*($D$2:$D$1001&gt;D2))+COUNTIFS($F$2:F2,1,$G$2:G2,"SUV",$D$2:D2,D2)-1)</f>
        <v/>
      </c>
      <c r="S2" s="16" t="s">
        <v>1333</v>
      </c>
      <c r="T2" s="16"/>
      <c r="U2" s="16"/>
    </row>
    <row r="3" spans="1:21">
      <c r="A3" s="62" t="str">
        <f>IFERROR(INDEX($H$2:$H$3000,MATCH(0,INDEX(COUNTIF($A$1:A2,$H$2:$H$3000)+($H$2:$H$3000=""),0,0),0)),"")</f>
        <v>AION♦UT</v>
      </c>
      <c r="B3" s="62" t="str">
        <f t="shared" si="0"/>
        <v>AION</v>
      </c>
      <c r="C3" s="62" t="str">
        <f t="shared" si="1"/>
        <v>UT</v>
      </c>
      <c r="D3" s="63">
        <f t="shared" si="2"/>
        <v>1046</v>
      </c>
      <c r="E3" s="62">
        <f>IF(D3="","",_xlfn.RANK.EQ(D3,$D$2:$D$1001,0)+COUNTIF($D$2:D3,D3)-1)</f>
        <v>10</v>
      </c>
      <c r="F3" s="62">
        <f>IF(B3="","",--(COUNTIF(CN_Brands!$A$2:$A$300,UPPER(B3))&gt;0))</f>
        <v>1</v>
      </c>
      <c r="G3" s="62" t="str">
        <f t="shared" si="3"/>
        <v>轿车</v>
      </c>
      <c r="H3" s="62" t="str">
        <f>IF(AND('Data Export'!A3=前十整体车型排名!$B$2,'Data Export'!B3=前十整体车型排名!$B$3,'Data Export'!D3&lt;&gt;""),UPPER('Data Export'!C3)&amp;"♦"&amp;'Data Export'!D3,"")</f>
        <v>AION♦UT</v>
      </c>
      <c r="I3" s="63">
        <f>IF(H3="","",IFERROR(INDEX('Data Export'!G3:CZ3,1,MATCH(前十整体车型排名!$B$4,'Data Export'!$G$1:$CZ$1,0)),0))</f>
        <v>708</v>
      </c>
      <c r="J3" s="62" t="str">
        <f>IF(H3="","",IF(OR('Data Export'!F3="三厢轿车",'Data Export'!F3="掀背轿车",'Data Export'!F3="旅行车",'Data Export'!F3="微型车",'Data Export'!F3="硬顶跑车",'Data Export'!F3="敞蓬车",'Data Export'!F3="Targa"),"轿车",IF(OR('Data Export'!F3="小型MPV",'Data Export'!F3="客车"),"MPV",IF('Data Export'!F3="运动型多功能车","SUV","其他"))))</f>
        <v>轿车</v>
      </c>
      <c r="K3" s="62">
        <f>IF(OR(D3="",NOT(F3=1)),"",1+SUMPRODUCT(($F$2:$F$1001=1)*($D$2:$D$1001&gt;D3))+COUNTIFS($F$2:F3,1,$D$2:D3,D3)-1)</f>
        <v>6</v>
      </c>
      <c r="L3" s="62">
        <f>IF(OR(D3="",NOT(G3="轿车")),"",1+SUMPRODUCT(($G$2:$G$1001="轿车")*($D$2:$D$1001&gt;D3))+COUNTIFS($G$2:G3,"轿车",$D$2:D3,D3)-1)</f>
        <v>3</v>
      </c>
      <c r="M3" s="62" t="str">
        <f>IF(OR(D3="",NOT(G3="MPV")),"",1+SUMPRODUCT(($G$2:$G$1001="MPV")*($D$2:$D$1001&gt;D3))+COUNTIFS($G$2:G3,"MPV",$D$2:D3,D3)-1)</f>
        <v/>
      </c>
      <c r="N3" s="62" t="str">
        <f>IF(OR(D3="",NOT(G3="SUV")),"",1+SUMPRODUCT(($G$2:$G$1001="SUV")*($D$2:$D$1001&gt;D3))+COUNTIFS($G$2:G3,"SUV",$D$2:D3,D3)-1)</f>
        <v/>
      </c>
      <c r="O3" s="62">
        <f>IF(OR(D3="",NOT(AND(F3=1,G3="轿车"))),"",1+SUMPRODUCT(($F$2:$F$1001=1)*($G$2:$G$1001="轿车")*($D$2:$D$1001&gt;D3))+COUNTIFS($F$2:F3,1,$G$2:G3,"轿车",$D$2:D3,D3)-1)</f>
        <v>2</v>
      </c>
      <c r="P3" s="62" t="str">
        <f>IF(OR(D3="",NOT(AND(F3=1,G3="MPV"))),"",1+SUMPRODUCT(($F$2:$F$1001=1)*($G$2:$G$1001="MPV")*($D$2:$D$1001&gt;D3))+COUNTIFS($F$2:F3,1,$G$2:G3,"MPV",$D$2:D3,D3)-1)</f>
        <v/>
      </c>
      <c r="Q3" s="62" t="str">
        <f>IF(OR(D3="",NOT(AND(F3=1,G3="SUV"))),"",1+SUMPRODUCT(($F$2:$F$1001=1)*($G$2:$G$1001="SUV")*($D$2:$D$1001&gt;D3))+COUNTIFS($F$2:F3,1,$G$2:G3,"SUV",$D$2:D3,D3)-1)</f>
        <v/>
      </c>
      <c r="S3" s="16" t="s">
        <v>1334</v>
      </c>
      <c r="T3" s="16"/>
      <c r="U3" s="16"/>
    </row>
    <row r="4" spans="1:21">
      <c r="A4" s="62" t="str">
        <f>IFERROR(INDEX($H$2:$H$3000,MATCH(0,INDEX(COUNTIF($A$1:A3,$H$2:$H$3000)+($H$2:$H$3000=""),0,0),0)),"")</f>
        <v>AION♦V</v>
      </c>
      <c r="B4" s="62" t="str">
        <f t="shared" si="0"/>
        <v>AION</v>
      </c>
      <c r="C4" s="62" t="str">
        <f t="shared" si="1"/>
        <v>V</v>
      </c>
      <c r="D4" s="63">
        <f t="shared" si="2"/>
        <v>554</v>
      </c>
      <c r="E4" s="62">
        <f>IF(D4="","",_xlfn.RANK.EQ(D4,$D$2:$D$1001,0)+COUNTIF($D$2:D4,D4)-1)</f>
        <v>23</v>
      </c>
      <c r="F4" s="62">
        <f>IF(B4="","",--(COUNTIF(CN_Brands!$A$2:$A$300,UPPER(B4))&gt;0))</f>
        <v>1</v>
      </c>
      <c r="G4" s="62" t="str">
        <f t="shared" si="3"/>
        <v>SUV</v>
      </c>
      <c r="H4" s="62" t="str">
        <f>IF(AND('Data Export'!A4=前十整体车型排名!$B$2,'Data Export'!B4=前十整体车型排名!$B$3,'Data Export'!D4&lt;&gt;""),UPPER('Data Export'!C4)&amp;"♦"&amp;'Data Export'!D4,"")</f>
        <v>AION♦UT</v>
      </c>
      <c r="I4" s="63">
        <f>IF(H4="","",IFERROR(INDEX('Data Export'!G4:CZ4,1,MATCH(前十整体车型排名!$B$4,'Data Export'!$G$1:$CZ$1,0)),0))</f>
        <v>338</v>
      </c>
      <c r="J4" s="62" t="str">
        <f>IF(H4="","",IF(OR('Data Export'!F4="三厢轿车",'Data Export'!F4="掀背轿车",'Data Export'!F4="旅行车",'Data Export'!F4="微型车",'Data Export'!F4="硬顶跑车",'Data Export'!F4="敞蓬车",'Data Export'!F4="Targa"),"轿车",IF(OR('Data Export'!F4="小型MPV",'Data Export'!F4="客车"),"MPV",IF('Data Export'!F4="运动型多功能车","SUV","其他"))))</f>
        <v>轿车</v>
      </c>
      <c r="K4" s="62">
        <f>IF(OR(D4="",NOT(F4=1)),"",1+SUMPRODUCT(($F$2:$F$1001=1)*($D$2:$D$1001&gt;D4))+COUNTIFS($F$2:F4,1,$D$2:D4,D4)-1)</f>
        <v>12</v>
      </c>
      <c r="L4" s="62" t="str">
        <f>IF(OR(D4="",NOT(G4="轿车")),"",1+SUMPRODUCT(($G$2:$G$1001="轿车")*($D$2:$D$1001&gt;D4))+COUNTIFS($G$2:G4,"轿车",$D$2:D4,D4)-1)</f>
        <v/>
      </c>
      <c r="M4" s="62" t="str">
        <f>IF(OR(D4="",NOT(G4="MPV")),"",1+SUMPRODUCT(($G$2:$G$1001="MPV")*($D$2:$D$1001&gt;D4))+COUNTIFS($G$2:G4,"MPV",$D$2:D4,D4)-1)</f>
        <v/>
      </c>
      <c r="N4" s="62">
        <f>IF(OR(D4="",NOT(G4="SUV")),"",1+SUMPRODUCT(($G$2:$G$1001="SUV")*($D$2:$D$1001&gt;D4))+COUNTIFS($G$2:G4,"SUV",$D$2:D4,D4)-1)</f>
        <v>16</v>
      </c>
      <c r="O4" s="62" t="str">
        <f>IF(OR(D4="",NOT(AND(F4=1,G4="轿车"))),"",1+SUMPRODUCT(($F$2:$F$1001=1)*($G$2:$G$1001="轿车")*($D$2:$D$1001&gt;D4))+COUNTIFS($F$2:F4,1,$G$2:G4,"轿车",$D$2:D4,D4)-1)</f>
        <v/>
      </c>
      <c r="P4" s="62" t="str">
        <f>IF(OR(D4="",NOT(AND(F4=1,G4="MPV"))),"",1+SUMPRODUCT(($F$2:$F$1001=1)*($G$2:$G$1001="MPV")*($D$2:$D$1001&gt;D4))+COUNTIFS($F$2:F4,1,$G$2:G4,"MPV",$D$2:D4,D4)-1)</f>
        <v/>
      </c>
      <c r="Q4" s="62">
        <f>IF(OR(D4="",NOT(AND(F4=1,G4="SUV"))),"",1+SUMPRODUCT(($F$2:$F$1001=1)*($G$2:$G$1001="SUV")*($D$2:$D$1001&gt;D4))+COUNTIFS($F$2:F4,1,$G$2:G4,"SUV",$D$2:D4,D4)-1)</f>
        <v>9</v>
      </c>
      <c r="S4" s="16" t="s">
        <v>1335</v>
      </c>
      <c r="T4" s="16"/>
      <c r="U4" s="16"/>
    </row>
    <row r="5" spans="1:21">
      <c r="A5" s="62" t="str">
        <f>IFERROR(INDEX($H$2:$H$3000,MATCH(0,INDEX(COUNTIF($A$1:A4,$H$2:$H$3000)+($H$2:$H$3000=""),0,0),0)),"")</f>
        <v>AION♦Y PLUS</v>
      </c>
      <c r="B5" s="62" t="str">
        <f t="shared" si="0"/>
        <v>AION</v>
      </c>
      <c r="C5" s="62" t="str">
        <f t="shared" si="1"/>
        <v>Y PLUS</v>
      </c>
      <c r="D5" s="63">
        <f t="shared" si="2"/>
        <v>112</v>
      </c>
      <c r="E5" s="62">
        <f>IF(D5="","",_xlfn.RANK.EQ(D5,$D$2:$D$1001,0)+COUNTIF($D$2:D5,D5)-1)</f>
        <v>69</v>
      </c>
      <c r="F5" s="62">
        <f>IF(B5="","",--(COUNTIF(CN_Brands!$A$2:$A$300,UPPER(B5))&gt;0))</f>
        <v>1</v>
      </c>
      <c r="G5" s="62" t="str">
        <f t="shared" si="3"/>
        <v>SUV</v>
      </c>
      <c r="H5" s="62" t="str">
        <f>IF(AND('Data Export'!A5=前十整体车型排名!$B$2,'Data Export'!B5=前十整体车型排名!$B$3,'Data Export'!D5&lt;&gt;""),UPPER('Data Export'!C5)&amp;"♦"&amp;'Data Export'!D5,"")</f>
        <v>AION♦V</v>
      </c>
      <c r="I5" s="63">
        <f>IF(H5="","",IFERROR(INDEX('Data Export'!G5:CZ5,1,MATCH(前十整体车型排名!$B$4,'Data Export'!$G$1:$CZ$1,0)),0))</f>
        <v>346</v>
      </c>
      <c r="J5" s="62" t="str">
        <f>IF(H5="","",IF(OR('Data Export'!F5="三厢轿车",'Data Export'!F5="掀背轿车",'Data Export'!F5="旅行车",'Data Export'!F5="微型车",'Data Export'!F5="硬顶跑车",'Data Export'!F5="敞蓬车",'Data Export'!F5="Targa"),"轿车",IF(OR('Data Export'!F5="小型MPV",'Data Export'!F5="客车"),"MPV",IF('Data Export'!F5="运动型多功能车","SUV","其他"))))</f>
        <v>SUV</v>
      </c>
      <c r="K5" s="62">
        <f>IF(OR(D5="",NOT(F5=1)),"",1+SUMPRODUCT(($F$2:$F$1001=1)*($D$2:$D$1001&gt;D5))+COUNTIFS($F$2:F5,1,$D$2:D5,D5)-1)</f>
        <v>35</v>
      </c>
      <c r="L5" s="62" t="str">
        <f>IF(OR(D5="",NOT(G5="轿车")),"",1+SUMPRODUCT(($G$2:$G$1001="轿车")*($D$2:$D$1001&gt;D5))+COUNTIFS($G$2:G5,"轿车",$D$2:D5,D5)-1)</f>
        <v/>
      </c>
      <c r="M5" s="62" t="str">
        <f>IF(OR(D5="",NOT(G5="MPV")),"",1+SUMPRODUCT(($G$2:$G$1001="MPV")*($D$2:$D$1001&gt;D5))+COUNTIFS($G$2:G5,"MPV",$D$2:D5,D5)-1)</f>
        <v/>
      </c>
      <c r="N5" s="62">
        <f>IF(OR(D5="",NOT(G5="SUV")),"",1+SUMPRODUCT(($G$2:$G$1001="SUV")*($D$2:$D$1001&gt;D5))+COUNTIFS($G$2:G5,"SUV",$D$2:D5,D5)-1)</f>
        <v>36</v>
      </c>
      <c r="O5" s="62" t="str">
        <f>IF(OR(D5="",NOT(AND(F5=1,G5="轿车"))),"",1+SUMPRODUCT(($F$2:$F$1001=1)*($G$2:$G$1001="轿车")*($D$2:$D$1001&gt;D5))+COUNTIFS($F$2:F5,1,$G$2:G5,"轿车",$D$2:D5,D5)-1)</f>
        <v/>
      </c>
      <c r="P5" s="62" t="str">
        <f>IF(OR(D5="",NOT(AND(F5=1,G5="MPV"))),"",1+SUMPRODUCT(($F$2:$F$1001=1)*($G$2:$G$1001="MPV")*($D$2:$D$1001&gt;D5))+COUNTIFS($F$2:F5,1,$G$2:G5,"MPV",$D$2:D5,D5)-1)</f>
        <v/>
      </c>
      <c r="Q5" s="62">
        <f>IF(OR(D5="",NOT(AND(F5=1,G5="SUV"))),"",1+SUMPRODUCT(($F$2:$F$1001=1)*($G$2:$G$1001="SUV")*($D$2:$D$1001&gt;D5))+COUNTIFS($F$2:F5,1,$G$2:G5,"SUV",$D$2:D5,D5)-1)</f>
        <v>23</v>
      </c>
    </row>
    <row r="6" spans="1:21">
      <c r="A6" s="62" t="str">
        <f>IFERROR(INDEX($H$2:$H$3000,MATCH(0,INDEX(COUNTIF($A$1:A5,$H$2:$H$3000)+($H$2:$H$3000=""),0,0),0)),"")</f>
        <v>ASTON MARTIN♦DB11</v>
      </c>
      <c r="B6" s="62" t="str">
        <f t="shared" si="0"/>
        <v>ASTON MARTIN</v>
      </c>
      <c r="C6" s="62" t="str">
        <f t="shared" si="1"/>
        <v>DB11</v>
      </c>
      <c r="D6" s="63">
        <f t="shared" si="2"/>
        <v>0</v>
      </c>
      <c r="E6" s="62">
        <f>IF(D6="","",_xlfn.RANK.EQ(D6,$D$2:$D$1001,0)+COUNTIF($D$2:D6,D6)-1)</f>
        <v>264</v>
      </c>
      <c r="F6" s="62">
        <f>IF(B6="","",--(COUNTIF(CN_Brands!$A$2:$A$300,UPPER(B6))&gt;0))</f>
        <v>0</v>
      </c>
      <c r="G6" s="62" t="str">
        <f t="shared" si="3"/>
        <v>轿车</v>
      </c>
      <c r="H6" s="62" t="str">
        <f>IF(AND('Data Export'!A6=前十整体车型排名!$B$2,'Data Export'!B6=前十整体车型排名!$B$3,'Data Export'!D6&lt;&gt;""),UPPER('Data Export'!C6)&amp;"♦"&amp;'Data Export'!D6,"")</f>
        <v>AION♦V</v>
      </c>
      <c r="I6" s="63">
        <f>IF(H6="","",IFERROR(INDEX('Data Export'!G6:CZ6,1,MATCH(前十整体车型排名!$B$4,'Data Export'!$G$1:$CZ$1,0)),0))</f>
        <v>208</v>
      </c>
      <c r="J6" s="62" t="str">
        <f>IF(H6="","",IF(OR('Data Export'!F6="三厢轿车",'Data Export'!F6="掀背轿车",'Data Export'!F6="旅行车",'Data Export'!F6="微型车",'Data Export'!F6="硬顶跑车",'Data Export'!F6="敞蓬车",'Data Export'!F6="Targa"),"轿车",IF(OR('Data Export'!F6="小型MPV",'Data Export'!F6="客车"),"MPV",IF('Data Export'!F6="运动型多功能车","SUV","其他"))))</f>
        <v>SUV</v>
      </c>
      <c r="K6" s="62" t="str">
        <f>IF(OR(D6="",NOT(F6=1)),"",1+SUMPRODUCT(($F$2:$F$1001=1)*($D$2:$D$1001&gt;D6))+COUNTIFS($F$2:F6,1,$D$2:D6,D6)-1)</f>
        <v/>
      </c>
      <c r="L6" s="62">
        <f>IF(OR(D6="",NOT(G6="轿车")),"",1+SUMPRODUCT(($G$2:$G$1001="轿车")*($D$2:$D$1001&gt;D6))+COUNTIFS($G$2:G6,"轿车",$D$2:D6,D6)-1)</f>
        <v>82</v>
      </c>
      <c r="M6" s="62" t="str">
        <f>IF(OR(D6="",NOT(G6="MPV")),"",1+SUMPRODUCT(($G$2:$G$1001="MPV")*($D$2:$D$1001&gt;D6))+COUNTIFS($G$2:G6,"MPV",$D$2:D6,D6)-1)</f>
        <v/>
      </c>
      <c r="N6" s="62" t="str">
        <f>IF(OR(D6="",NOT(G6="SUV")),"",1+SUMPRODUCT(($G$2:$G$1001="SUV")*($D$2:$D$1001&gt;D6))+COUNTIFS($G$2:G6,"SUV",$D$2:D6,D6)-1)</f>
        <v/>
      </c>
      <c r="O6" s="62" t="str">
        <f>IF(OR(D6="",NOT(AND(F6=1,G6="轿车"))),"",1+SUMPRODUCT(($F$2:$F$1001=1)*($G$2:$G$1001="轿车")*($D$2:$D$1001&gt;D6))+COUNTIFS($F$2:F6,1,$G$2:G6,"轿车",$D$2:D6,D6)-1)</f>
        <v/>
      </c>
      <c r="P6" s="62" t="str">
        <f>IF(OR(D6="",NOT(AND(F6=1,G6="MPV"))),"",1+SUMPRODUCT(($F$2:$F$1001=1)*($G$2:$G$1001="MPV")*($D$2:$D$1001&gt;D6))+COUNTIFS($F$2:F6,1,$G$2:G6,"MPV",$D$2:D6,D6)-1)</f>
        <v/>
      </c>
      <c r="Q6" s="62" t="str">
        <f>IF(OR(D6="",NOT(AND(F6=1,G6="SUV"))),"",1+SUMPRODUCT(($F$2:$F$1001=1)*($G$2:$G$1001="SUV")*($D$2:$D$1001&gt;D6))+COUNTIFS($F$2:F6,1,$G$2:G6,"SUV",$D$2:D6,D6)-1)</f>
        <v/>
      </c>
    </row>
    <row r="7" spans="1:21">
      <c r="A7" s="62" t="str">
        <f>IFERROR(INDEX($H$2:$H$3000,MATCH(0,INDEX(COUNTIF($A$1:A6,$H$2:$H$3000)+($H$2:$H$3000=""),0,0),0)),"")</f>
        <v>ASTON MARTIN♦DB12</v>
      </c>
      <c r="B7" s="62" t="str">
        <f t="shared" si="0"/>
        <v>ASTON MARTIN</v>
      </c>
      <c r="C7" s="62" t="str">
        <f t="shared" si="1"/>
        <v>DB12</v>
      </c>
      <c r="D7" s="63">
        <f t="shared" si="2"/>
        <v>1</v>
      </c>
      <c r="E7" s="62">
        <f>IF(D7="","",_xlfn.RANK.EQ(D7,$D$2:$D$1001,0)+COUNTIF($D$2:D7,D7)-1)</f>
        <v>218</v>
      </c>
      <c r="F7" s="62">
        <f>IF(B7="","",--(COUNTIF(CN_Brands!$A$2:$A$300,UPPER(B7))&gt;0))</f>
        <v>0</v>
      </c>
      <c r="G7" s="62" t="str">
        <f t="shared" si="3"/>
        <v>轿车</v>
      </c>
      <c r="H7" s="62" t="str">
        <f>IF(AND('Data Export'!A7=前十整体车型排名!$B$2,'Data Export'!B7=前十整体车型排名!$B$3,'Data Export'!D7&lt;&gt;""),UPPER('Data Export'!C7)&amp;"♦"&amp;'Data Export'!D7,"")</f>
        <v>AION♦Y PLUS</v>
      </c>
      <c r="I7" s="63">
        <f>IF(H7="","",IFERROR(INDEX('Data Export'!G7:CZ7,1,MATCH(前十整体车型排名!$B$4,'Data Export'!$G$1:$CZ$1,0)),0))</f>
        <v>12</v>
      </c>
      <c r="J7" s="62" t="str">
        <f>IF(H7="","",IF(OR('Data Export'!F7="三厢轿车",'Data Export'!F7="掀背轿车",'Data Export'!F7="旅行车",'Data Export'!F7="微型车",'Data Export'!F7="硬顶跑车",'Data Export'!F7="敞蓬车",'Data Export'!F7="Targa"),"轿车",IF(OR('Data Export'!F7="小型MPV",'Data Export'!F7="客车"),"MPV",IF('Data Export'!F7="运动型多功能车","SUV","其他"))))</f>
        <v>SUV</v>
      </c>
      <c r="K7" s="62" t="str">
        <f>IF(OR(D7="",NOT(F7=1)),"",1+SUMPRODUCT(($F$2:$F$1001=1)*($D$2:$D$1001&gt;D7))+COUNTIFS($F$2:F7,1,$D$2:D7,D7)-1)</f>
        <v/>
      </c>
      <c r="L7" s="62">
        <f>IF(OR(D7="",NOT(G7="轿车")),"",1+SUMPRODUCT(($G$2:$G$1001="轿车")*($D$2:$D$1001&gt;D7))+COUNTIFS($G$2:G7,"轿车",$D$2:D7,D7)-1)</f>
        <v>64</v>
      </c>
      <c r="M7" s="62" t="str">
        <f>IF(OR(D7="",NOT(G7="MPV")),"",1+SUMPRODUCT(($G$2:$G$1001="MPV")*($D$2:$D$1001&gt;D7))+COUNTIFS($G$2:G7,"MPV",$D$2:D7,D7)-1)</f>
        <v/>
      </c>
      <c r="N7" s="62" t="str">
        <f>IF(OR(D7="",NOT(G7="SUV")),"",1+SUMPRODUCT(($G$2:$G$1001="SUV")*($D$2:$D$1001&gt;D7))+COUNTIFS($G$2:G7,"SUV",$D$2:D7,D7)-1)</f>
        <v/>
      </c>
      <c r="O7" s="62" t="str">
        <f>IF(OR(D7="",NOT(AND(F7=1,G7="轿车"))),"",1+SUMPRODUCT(($F$2:$F$1001=1)*($G$2:$G$1001="轿车")*($D$2:$D$1001&gt;D7))+COUNTIFS($F$2:F7,1,$G$2:G7,"轿车",$D$2:D7,D7)-1)</f>
        <v/>
      </c>
      <c r="P7" s="62" t="str">
        <f>IF(OR(D7="",NOT(AND(F7=1,G7="MPV"))),"",1+SUMPRODUCT(($F$2:$F$1001=1)*($G$2:$G$1001="MPV")*($D$2:$D$1001&gt;D7))+COUNTIFS($F$2:F7,1,$G$2:G7,"MPV",$D$2:D7,D7)-1)</f>
        <v/>
      </c>
      <c r="Q7" s="62" t="str">
        <f>IF(OR(D7="",NOT(AND(F7=1,G7="SUV"))),"",1+SUMPRODUCT(($F$2:$F$1001=1)*($G$2:$G$1001="SUV")*($D$2:$D$1001&gt;D7))+COUNTIFS($F$2:F7,1,$G$2:G7,"SUV",$D$2:D7,D7)-1)</f>
        <v/>
      </c>
    </row>
    <row r="8" spans="1:21">
      <c r="A8" s="62" t="str">
        <f>IFERROR(INDEX($H$2:$H$3000,MATCH(0,INDEX(COUNTIF($A$1:A7,$H$2:$H$3000)+($H$2:$H$3000=""),0,0),0)),"")</f>
        <v>ASTON MARTIN♦DBX</v>
      </c>
      <c r="B8" s="62" t="str">
        <f t="shared" si="0"/>
        <v>ASTON MARTIN</v>
      </c>
      <c r="C8" s="62" t="str">
        <f t="shared" si="1"/>
        <v>DBX</v>
      </c>
      <c r="D8" s="63">
        <f t="shared" si="2"/>
        <v>0</v>
      </c>
      <c r="E8" s="62">
        <f>IF(D8="","",_xlfn.RANK.EQ(D8,$D$2:$D$1001,0)+COUNTIF($D$2:D8,D8)-1)</f>
        <v>265</v>
      </c>
      <c r="F8" s="62">
        <f>IF(B8="","",--(COUNTIF(CN_Brands!$A$2:$A$300,UPPER(B8))&gt;0))</f>
        <v>0</v>
      </c>
      <c r="G8" s="62" t="str">
        <f t="shared" si="3"/>
        <v>SUV</v>
      </c>
      <c r="H8" s="62" t="str">
        <f>IF(AND('Data Export'!A8=前十整体车型排名!$B$2,'Data Export'!B8=前十整体车型排名!$B$3,'Data Export'!D8&lt;&gt;""),UPPER('Data Export'!C8)&amp;"♦"&amp;'Data Export'!D8,"")</f>
        <v>AION♦Y PLUS</v>
      </c>
      <c r="I8" s="63">
        <f>IF(H8="","",IFERROR(INDEX('Data Export'!G8:CZ8,1,MATCH(前十整体车型排名!$B$4,'Data Export'!$G$1:$CZ$1,0)),0))</f>
        <v>93</v>
      </c>
      <c r="J8" s="62" t="str">
        <f>IF(H8="","",IF(OR('Data Export'!F8="三厢轿车",'Data Export'!F8="掀背轿车",'Data Export'!F8="旅行车",'Data Export'!F8="微型车",'Data Export'!F8="硬顶跑车",'Data Export'!F8="敞蓬车",'Data Export'!F8="Targa"),"轿车",IF(OR('Data Export'!F8="小型MPV",'Data Export'!F8="客车"),"MPV",IF('Data Export'!F8="运动型多功能车","SUV","其他"))))</f>
        <v>SUV</v>
      </c>
      <c r="K8" s="62" t="str">
        <f>IF(OR(D8="",NOT(F8=1)),"",1+SUMPRODUCT(($F$2:$F$1001=1)*($D$2:$D$1001&gt;D8))+COUNTIFS($F$2:F8,1,$D$2:D8,D8)-1)</f>
        <v/>
      </c>
      <c r="L8" s="62" t="str">
        <f>IF(OR(D8="",NOT(G8="轿车")),"",1+SUMPRODUCT(($G$2:$G$1001="轿车")*($D$2:$D$1001&gt;D8))+COUNTIFS($G$2:G8,"轿车",$D$2:D8,D8)-1)</f>
        <v/>
      </c>
      <c r="M8" s="62" t="str">
        <f>IF(OR(D8="",NOT(G8="MPV")),"",1+SUMPRODUCT(($G$2:$G$1001="MPV")*($D$2:$D$1001&gt;D8))+COUNTIFS($G$2:G8,"MPV",$D$2:D8,D8)-1)</f>
        <v/>
      </c>
      <c r="N8" s="62">
        <f>IF(OR(D8="",NOT(G8="SUV")),"",1+SUMPRODUCT(($G$2:$G$1001="SUV")*($D$2:$D$1001&gt;D8))+COUNTIFS($G$2:G8,"SUV",$D$2:D8,D8)-1)</f>
        <v>129</v>
      </c>
      <c r="O8" s="62" t="str">
        <f>IF(OR(D8="",NOT(AND(F8=1,G8="轿车"))),"",1+SUMPRODUCT(($F$2:$F$1001=1)*($G$2:$G$1001="轿车")*($D$2:$D$1001&gt;D8))+COUNTIFS($F$2:F8,1,$G$2:G8,"轿车",$D$2:D8,D8)-1)</f>
        <v/>
      </c>
      <c r="P8" s="62" t="str">
        <f>IF(OR(D8="",NOT(AND(F8=1,G8="MPV"))),"",1+SUMPRODUCT(($F$2:$F$1001=1)*($G$2:$G$1001="MPV")*($D$2:$D$1001&gt;D8))+COUNTIFS($F$2:F8,1,$G$2:G8,"MPV",$D$2:D8,D8)-1)</f>
        <v/>
      </c>
      <c r="Q8" s="62" t="str">
        <f>IF(OR(D8="",NOT(AND(F8=1,G8="SUV"))),"",1+SUMPRODUCT(($F$2:$F$1001=1)*($G$2:$G$1001="SUV")*($D$2:$D$1001&gt;D8))+COUNTIFS($F$2:F8,1,$G$2:G8,"SUV",$D$2:D8,D8)-1)</f>
        <v/>
      </c>
    </row>
    <row r="9" spans="1:21">
      <c r="A9" s="62" t="str">
        <f>IFERROR(INDEX($H$2:$H$3000,MATCH(0,INDEX(COUNTIF($A$1:A8,$H$2:$H$3000)+($H$2:$H$3000=""),0,0),0)),"")</f>
        <v>ASTON MARTIN♦RAPIDE</v>
      </c>
      <c r="B9" s="62" t="str">
        <f t="shared" si="0"/>
        <v>ASTON MARTIN</v>
      </c>
      <c r="C9" s="62" t="str">
        <f t="shared" si="1"/>
        <v>RAPIDE</v>
      </c>
      <c r="D9" s="63">
        <f t="shared" si="2"/>
        <v>0</v>
      </c>
      <c r="E9" s="62">
        <f>IF(D9="","",_xlfn.RANK.EQ(D9,$D$2:$D$1001,0)+COUNTIF($D$2:D9,D9)-1)</f>
        <v>266</v>
      </c>
      <c r="F9" s="62">
        <f>IF(B9="","",--(COUNTIF(CN_Brands!$A$2:$A$300,UPPER(B9))&gt;0))</f>
        <v>0</v>
      </c>
      <c r="G9" s="62" t="str">
        <f t="shared" si="3"/>
        <v>轿车</v>
      </c>
      <c r="H9" s="62" t="str">
        <f>IF(AND('Data Export'!A9=前十整体车型排名!$B$2,'Data Export'!B9=前十整体车型排名!$B$3,'Data Export'!D9&lt;&gt;""),UPPER('Data Export'!C9)&amp;"♦"&amp;'Data Export'!D9,"")</f>
        <v>AION♦Y PLUS</v>
      </c>
      <c r="I9" s="63">
        <f>IF(H9="","",IFERROR(INDEX('Data Export'!G9:CZ9,1,MATCH(前十整体车型排名!$B$4,'Data Export'!$G$1:$CZ$1,0)),0))</f>
        <v>7</v>
      </c>
      <c r="J9" s="62" t="str">
        <f>IF(H9="","",IF(OR('Data Export'!F9="三厢轿车",'Data Export'!F9="掀背轿车",'Data Export'!F9="旅行车",'Data Export'!F9="微型车",'Data Export'!F9="硬顶跑车",'Data Export'!F9="敞蓬车",'Data Export'!F9="Targa"),"轿车",IF(OR('Data Export'!F9="小型MPV",'Data Export'!F9="客车"),"MPV",IF('Data Export'!F9="运动型多功能车","SUV","其他"))))</f>
        <v>SUV</v>
      </c>
      <c r="K9" s="62" t="str">
        <f>IF(OR(D9="",NOT(F9=1)),"",1+SUMPRODUCT(($F$2:$F$1001=1)*($D$2:$D$1001&gt;D9))+COUNTIFS($F$2:F9,1,$D$2:D9,D9)-1)</f>
        <v/>
      </c>
      <c r="L9" s="62">
        <f>IF(OR(D9="",NOT(G9="轿车")),"",1+SUMPRODUCT(($G$2:$G$1001="轿车")*($D$2:$D$1001&gt;D9))+COUNTIFS($G$2:G9,"轿车",$D$2:D9,D9)-1)</f>
        <v>83</v>
      </c>
      <c r="M9" s="62" t="str">
        <f>IF(OR(D9="",NOT(G9="MPV")),"",1+SUMPRODUCT(($G$2:$G$1001="MPV")*($D$2:$D$1001&gt;D9))+COUNTIFS($G$2:G9,"MPV",$D$2:D9,D9)-1)</f>
        <v/>
      </c>
      <c r="N9" s="62" t="str">
        <f>IF(OR(D9="",NOT(G9="SUV")),"",1+SUMPRODUCT(($G$2:$G$1001="SUV")*($D$2:$D$1001&gt;D9))+COUNTIFS($G$2:G9,"SUV",$D$2:D9,D9)-1)</f>
        <v/>
      </c>
      <c r="O9" s="62" t="str">
        <f>IF(OR(D9="",NOT(AND(F9=1,G9="轿车"))),"",1+SUMPRODUCT(($F$2:$F$1001=1)*($G$2:$G$1001="轿车")*($D$2:$D$1001&gt;D9))+COUNTIFS($F$2:F9,1,$G$2:G9,"轿车",$D$2:D9,D9)-1)</f>
        <v/>
      </c>
      <c r="P9" s="62" t="str">
        <f>IF(OR(D9="",NOT(AND(F9=1,G9="MPV"))),"",1+SUMPRODUCT(($F$2:$F$1001=1)*($G$2:$G$1001="MPV")*($D$2:$D$1001&gt;D9))+COUNTIFS($F$2:F9,1,$G$2:G9,"MPV",$D$2:D9,D9)-1)</f>
        <v/>
      </c>
      <c r="Q9" s="62" t="str">
        <f>IF(OR(D9="",NOT(AND(F9=1,G9="SUV"))),"",1+SUMPRODUCT(($F$2:$F$1001=1)*($G$2:$G$1001="SUV")*($D$2:$D$1001&gt;D9))+COUNTIFS($F$2:F9,1,$G$2:G9,"SUV",$D$2:D9,D9)-1)</f>
        <v/>
      </c>
    </row>
    <row r="10" spans="1:21">
      <c r="A10" s="62" t="str">
        <f>IFERROR(INDEX($H$2:$H$3000,MATCH(0,INDEX(COUNTIF($A$1:A9,$H$2:$H$3000)+($H$2:$H$3000=""),0,0),0)),"")</f>
        <v>ASTON MARTIN♦VANQUISH</v>
      </c>
      <c r="B10" s="62" t="str">
        <f t="shared" si="0"/>
        <v>ASTON MARTIN</v>
      </c>
      <c r="C10" s="62" t="str">
        <f t="shared" si="1"/>
        <v>VANQUISH</v>
      </c>
      <c r="D10" s="63">
        <f t="shared" si="2"/>
        <v>0</v>
      </c>
      <c r="E10" s="62">
        <f>IF(D10="","",_xlfn.RANK.EQ(D10,$D$2:$D$1001,0)+COUNTIF($D$2:D10,D10)-1)</f>
        <v>267</v>
      </c>
      <c r="F10" s="62">
        <f>IF(B10="","",--(COUNTIF(CN_Brands!$A$2:$A$300,UPPER(B10))&gt;0))</f>
        <v>0</v>
      </c>
      <c r="G10" s="62" t="str">
        <f t="shared" si="3"/>
        <v>轿车</v>
      </c>
      <c r="H10" s="62" t="str">
        <f>IF(AND('Data Export'!A10=前十整体车型排名!$B$2,'Data Export'!B10=前十整体车型排名!$B$3,'Data Export'!D10&lt;&gt;""),UPPER('Data Export'!C10)&amp;"♦"&amp;'Data Export'!D10,"")</f>
        <v>ASTON MARTIN♦DB11</v>
      </c>
      <c r="I10" s="63">
        <f>IF(H10="","",IFERROR(INDEX('Data Export'!G10:CZ10,1,MATCH(前十整体车型排名!$B$4,'Data Export'!$G$1:$CZ$1,0)),0))</f>
        <v>0</v>
      </c>
      <c r="J10" s="62" t="str">
        <f>IF(H10="","",IF(OR('Data Export'!F10="三厢轿车",'Data Export'!F10="掀背轿车",'Data Export'!F10="旅行车",'Data Export'!F10="微型车",'Data Export'!F10="硬顶跑车",'Data Export'!F10="敞蓬车",'Data Export'!F10="Targa"),"轿车",IF(OR('Data Export'!F10="小型MPV",'Data Export'!F10="客车"),"MPV",IF('Data Export'!F10="运动型多功能车","SUV","其他"))))</f>
        <v>轿车</v>
      </c>
      <c r="K10" s="62" t="str">
        <f>IF(OR(D10="",NOT(F10=1)),"",1+SUMPRODUCT(($F$2:$F$1001=1)*($D$2:$D$1001&gt;D10))+COUNTIFS($F$2:F10,1,$D$2:D10,D10)-1)</f>
        <v/>
      </c>
      <c r="L10" s="62">
        <f>IF(OR(D10="",NOT(G10="轿车")),"",1+SUMPRODUCT(($G$2:$G$1001="轿车")*($D$2:$D$1001&gt;D10))+COUNTIFS($G$2:G10,"轿车",$D$2:D10,D10)-1)</f>
        <v>84</v>
      </c>
      <c r="M10" s="62" t="str">
        <f>IF(OR(D10="",NOT(G10="MPV")),"",1+SUMPRODUCT(($G$2:$G$1001="MPV")*($D$2:$D$1001&gt;D10))+COUNTIFS($G$2:G10,"MPV",$D$2:D10,D10)-1)</f>
        <v/>
      </c>
      <c r="N10" s="62" t="str">
        <f>IF(OR(D10="",NOT(G10="SUV")),"",1+SUMPRODUCT(($G$2:$G$1001="SUV")*($D$2:$D$1001&gt;D10))+COUNTIFS($G$2:G10,"SUV",$D$2:D10,D10)-1)</f>
        <v/>
      </c>
      <c r="O10" s="62" t="str">
        <f>IF(OR(D10="",NOT(AND(F10=1,G10="轿车"))),"",1+SUMPRODUCT(($F$2:$F$1001=1)*($G$2:$G$1001="轿车")*($D$2:$D$1001&gt;D10))+COUNTIFS($F$2:F10,1,$G$2:G10,"轿车",$D$2:D10,D10)-1)</f>
        <v/>
      </c>
      <c r="P10" s="62" t="str">
        <f>IF(OR(D10="",NOT(AND(F10=1,G10="MPV"))),"",1+SUMPRODUCT(($F$2:$F$1001=1)*($G$2:$G$1001="MPV")*($D$2:$D$1001&gt;D10))+COUNTIFS($F$2:F10,1,$G$2:G10,"MPV",$D$2:D10,D10)-1)</f>
        <v/>
      </c>
      <c r="Q10" s="62" t="str">
        <f>IF(OR(D10="",NOT(AND(F10=1,G10="SUV"))),"",1+SUMPRODUCT(($F$2:$F$1001=1)*($G$2:$G$1001="SUV")*($D$2:$D$1001&gt;D10))+COUNTIFS($F$2:F10,1,$G$2:G10,"SUV",$D$2:D10,D10)-1)</f>
        <v/>
      </c>
    </row>
    <row r="11" spans="1:21">
      <c r="A11" s="62" t="str">
        <f>IFERROR(INDEX($H$2:$H$3000,MATCH(0,INDEX(COUNTIF($A$1:A10,$H$2:$H$3000)+($H$2:$H$3000=""),0,0),0)),"")</f>
        <v>ASTON MARTIN♦VANTAGE</v>
      </c>
      <c r="B11" s="62" t="str">
        <f t="shared" si="0"/>
        <v>ASTON MARTIN</v>
      </c>
      <c r="C11" s="62" t="str">
        <f t="shared" si="1"/>
        <v>VANTAGE</v>
      </c>
      <c r="D11" s="63">
        <f t="shared" si="2"/>
        <v>0</v>
      </c>
      <c r="E11" s="62">
        <f>IF(D11="","",_xlfn.RANK.EQ(D11,$D$2:$D$1001,0)+COUNTIF($D$2:D11,D11)-1)</f>
        <v>268</v>
      </c>
      <c r="F11" s="62">
        <f>IF(B11="","",--(COUNTIF(CN_Brands!$A$2:$A$300,UPPER(B11))&gt;0))</f>
        <v>0</v>
      </c>
      <c r="G11" s="62" t="str">
        <f t="shared" si="3"/>
        <v>轿车</v>
      </c>
      <c r="H11" s="62" t="str">
        <f>IF(AND('Data Export'!A11=前十整体车型排名!$B$2,'Data Export'!B11=前十整体车型排名!$B$3,'Data Export'!D11&lt;&gt;""),UPPER('Data Export'!C11)&amp;"♦"&amp;'Data Export'!D11,"")</f>
        <v>ASTON MARTIN♦DB12</v>
      </c>
      <c r="I11" s="63">
        <f>IF(H11="","",IFERROR(INDEX('Data Export'!G11:CZ11,1,MATCH(前十整体车型排名!$B$4,'Data Export'!$G$1:$CZ$1,0)),0))</f>
        <v>1</v>
      </c>
      <c r="J11" s="62" t="str">
        <f>IF(H11="","",IF(OR('Data Export'!F11="三厢轿车",'Data Export'!F11="掀背轿车",'Data Export'!F11="旅行车",'Data Export'!F11="微型车",'Data Export'!F11="硬顶跑车",'Data Export'!F11="敞蓬车",'Data Export'!F11="Targa"),"轿车",IF(OR('Data Export'!F11="小型MPV",'Data Export'!F11="客车"),"MPV",IF('Data Export'!F11="运动型多功能车","SUV","其他"))))</f>
        <v>轿车</v>
      </c>
      <c r="K11" s="62" t="str">
        <f>IF(OR(D11="",NOT(F11=1)),"",1+SUMPRODUCT(($F$2:$F$1001=1)*($D$2:$D$1001&gt;D11))+COUNTIFS($F$2:F11,1,$D$2:D11,D11)-1)</f>
        <v/>
      </c>
      <c r="L11" s="62">
        <f>IF(OR(D11="",NOT(G11="轿车")),"",1+SUMPRODUCT(($G$2:$G$1001="轿车")*($D$2:$D$1001&gt;D11))+COUNTIFS($G$2:G11,"轿车",$D$2:D11,D11)-1)</f>
        <v>85</v>
      </c>
      <c r="M11" s="62" t="str">
        <f>IF(OR(D11="",NOT(G11="MPV")),"",1+SUMPRODUCT(($G$2:$G$1001="MPV")*($D$2:$D$1001&gt;D11))+COUNTIFS($G$2:G11,"MPV",$D$2:D11,D11)-1)</f>
        <v/>
      </c>
      <c r="N11" s="62" t="str">
        <f>IF(OR(D11="",NOT(G11="SUV")),"",1+SUMPRODUCT(($G$2:$G$1001="SUV")*($D$2:$D$1001&gt;D11))+COUNTIFS($G$2:G11,"SUV",$D$2:D11,D11)-1)</f>
        <v/>
      </c>
      <c r="O11" s="62" t="str">
        <f>IF(OR(D11="",NOT(AND(F11=1,G11="轿车"))),"",1+SUMPRODUCT(($F$2:$F$1001=1)*($G$2:$G$1001="轿车")*($D$2:$D$1001&gt;D11))+COUNTIFS($F$2:F11,1,$G$2:G11,"轿车",$D$2:D11,D11)-1)</f>
        <v/>
      </c>
      <c r="P11" s="62" t="str">
        <f>IF(OR(D11="",NOT(AND(F11=1,G11="MPV"))),"",1+SUMPRODUCT(($F$2:$F$1001=1)*($G$2:$G$1001="MPV")*($D$2:$D$1001&gt;D11))+COUNTIFS($F$2:F11,1,$G$2:G11,"MPV",$D$2:D11,D11)-1)</f>
        <v/>
      </c>
      <c r="Q11" s="62" t="str">
        <f>IF(OR(D11="",NOT(AND(F11=1,G11="SUV"))),"",1+SUMPRODUCT(($F$2:$F$1001=1)*($G$2:$G$1001="SUV")*($D$2:$D$1001&gt;D11))+COUNTIFS($F$2:F11,1,$G$2:G11,"SUV",$D$2:D11,D11)-1)</f>
        <v/>
      </c>
    </row>
    <row r="12" spans="1:21">
      <c r="A12" s="62" t="str">
        <f>IFERROR(INDEX($H$2:$H$3000,MATCH(0,INDEX(COUNTIF($A$1:A11,$H$2:$H$3000)+($H$2:$H$3000=""),0,0),0)),"")</f>
        <v>AUDI♦A1</v>
      </c>
      <c r="B12" s="62" t="str">
        <f t="shared" si="0"/>
        <v>AUDI</v>
      </c>
      <c r="C12" s="62" t="str">
        <f t="shared" si="1"/>
        <v>A1</v>
      </c>
      <c r="D12" s="63">
        <f t="shared" si="2"/>
        <v>0</v>
      </c>
      <c r="E12" s="62">
        <f>IF(D12="","",_xlfn.RANK.EQ(D12,$D$2:$D$1001,0)+COUNTIF($D$2:D12,D12)-1)</f>
        <v>269</v>
      </c>
      <c r="F12" s="62">
        <f>IF(B12="","",--(COUNTIF(CN_Brands!$A$2:$A$300,UPPER(B12))&gt;0))</f>
        <v>0</v>
      </c>
      <c r="G12" s="62" t="str">
        <f t="shared" si="3"/>
        <v>轿车</v>
      </c>
      <c r="H12" s="62" t="str">
        <f>IF(AND('Data Export'!A12=前十整体车型排名!$B$2,'Data Export'!B12=前十整体车型排名!$B$3,'Data Export'!D12&lt;&gt;""),UPPER('Data Export'!C12)&amp;"♦"&amp;'Data Export'!D12,"")</f>
        <v>ASTON MARTIN♦DBX</v>
      </c>
      <c r="I12" s="63">
        <f>IF(H12="","",IFERROR(INDEX('Data Export'!G12:CZ12,1,MATCH(前十整体车型排名!$B$4,'Data Export'!$G$1:$CZ$1,0)),0))</f>
        <v>0</v>
      </c>
      <c r="J12" s="62" t="str">
        <f>IF(H12="","",IF(OR('Data Export'!F12="三厢轿车",'Data Export'!F12="掀背轿车",'Data Export'!F12="旅行车",'Data Export'!F12="微型车",'Data Export'!F12="硬顶跑车",'Data Export'!F12="敞蓬车",'Data Export'!F12="Targa"),"轿车",IF(OR('Data Export'!F12="小型MPV",'Data Export'!F12="客车"),"MPV",IF('Data Export'!F12="运动型多功能车","SUV","其他"))))</f>
        <v>SUV</v>
      </c>
      <c r="K12" s="62" t="str">
        <f>IF(OR(D12="",NOT(F12=1)),"",1+SUMPRODUCT(($F$2:$F$1001=1)*($D$2:$D$1001&gt;D12))+COUNTIFS($F$2:F12,1,$D$2:D12,D12)-1)</f>
        <v/>
      </c>
      <c r="L12" s="62">
        <f>IF(OR(D12="",NOT(G12="轿车")),"",1+SUMPRODUCT(($G$2:$G$1001="轿车")*($D$2:$D$1001&gt;D12))+COUNTIFS($G$2:G12,"轿车",$D$2:D12,D12)-1)</f>
        <v>86</v>
      </c>
      <c r="M12" s="62" t="str">
        <f>IF(OR(D12="",NOT(G12="MPV")),"",1+SUMPRODUCT(($G$2:$G$1001="MPV")*($D$2:$D$1001&gt;D12))+COUNTIFS($G$2:G12,"MPV",$D$2:D12,D12)-1)</f>
        <v/>
      </c>
      <c r="N12" s="62" t="str">
        <f>IF(OR(D12="",NOT(G12="SUV")),"",1+SUMPRODUCT(($G$2:$G$1001="SUV")*($D$2:$D$1001&gt;D12))+COUNTIFS($G$2:G12,"SUV",$D$2:D12,D12)-1)</f>
        <v/>
      </c>
      <c r="O12" s="62" t="str">
        <f>IF(OR(D12="",NOT(AND(F12=1,G12="轿车"))),"",1+SUMPRODUCT(($F$2:$F$1001=1)*($G$2:$G$1001="轿车")*($D$2:$D$1001&gt;D12))+COUNTIFS($F$2:F12,1,$G$2:G12,"轿车",$D$2:D12,D12)-1)</f>
        <v/>
      </c>
      <c r="P12" s="62" t="str">
        <f>IF(OR(D12="",NOT(AND(F12=1,G12="MPV"))),"",1+SUMPRODUCT(($F$2:$F$1001=1)*($G$2:$G$1001="MPV")*($D$2:$D$1001&gt;D12))+COUNTIFS($F$2:F12,1,$G$2:G12,"MPV",$D$2:D12,D12)-1)</f>
        <v/>
      </c>
      <c r="Q12" s="62" t="str">
        <f>IF(OR(D12="",NOT(AND(F12=1,G12="SUV"))),"",1+SUMPRODUCT(($F$2:$F$1001=1)*($G$2:$G$1001="SUV")*($D$2:$D$1001&gt;D12))+COUNTIFS($F$2:F12,1,$G$2:G12,"SUV",$D$2:D12,D12)-1)</f>
        <v/>
      </c>
    </row>
    <row r="13" spans="1:21">
      <c r="A13" s="62" t="str">
        <f>IFERROR(INDEX($H$2:$H$3000,MATCH(0,INDEX(COUNTIF($A$1:A12,$H$2:$H$3000)+($H$2:$H$3000=""),0,0),0)),"")</f>
        <v>AUDI♦A3</v>
      </c>
      <c r="B13" s="62" t="str">
        <f t="shared" si="0"/>
        <v>AUDI</v>
      </c>
      <c r="C13" s="62" t="str">
        <f t="shared" si="1"/>
        <v>A3</v>
      </c>
      <c r="D13" s="63">
        <f t="shared" si="2"/>
        <v>1</v>
      </c>
      <c r="E13" s="62">
        <f>IF(D13="","",_xlfn.RANK.EQ(D13,$D$2:$D$1001,0)+COUNTIF($D$2:D13,D13)-1)</f>
        <v>219</v>
      </c>
      <c r="F13" s="62">
        <f>IF(B13="","",--(COUNTIF(CN_Brands!$A$2:$A$300,UPPER(B13))&gt;0))</f>
        <v>0</v>
      </c>
      <c r="G13" s="62" t="str">
        <f t="shared" si="3"/>
        <v>轿车</v>
      </c>
      <c r="H13" s="62" t="str">
        <f>IF(AND('Data Export'!A13=前十整体车型排名!$B$2,'Data Export'!B13=前十整体车型排名!$B$3,'Data Export'!D13&lt;&gt;""),UPPER('Data Export'!C13)&amp;"♦"&amp;'Data Export'!D13,"")</f>
        <v>ASTON MARTIN♦RAPIDE</v>
      </c>
      <c r="I13" s="63">
        <f>IF(H13="","",IFERROR(INDEX('Data Export'!G13:CZ13,1,MATCH(前十整体车型排名!$B$4,'Data Export'!$G$1:$CZ$1,0)),0))</f>
        <v>0</v>
      </c>
      <c r="J13" s="62" t="str">
        <f>IF(H13="","",IF(OR('Data Export'!F13="三厢轿车",'Data Export'!F13="掀背轿车",'Data Export'!F13="旅行车",'Data Export'!F13="微型车",'Data Export'!F13="硬顶跑车",'Data Export'!F13="敞蓬车",'Data Export'!F13="Targa"),"轿车",IF(OR('Data Export'!F13="小型MPV",'Data Export'!F13="客车"),"MPV",IF('Data Export'!F13="运动型多功能车","SUV","其他"))))</f>
        <v>轿车</v>
      </c>
      <c r="K13" s="62" t="str">
        <f>IF(OR(D13="",NOT(F13=1)),"",1+SUMPRODUCT(($F$2:$F$1001=1)*($D$2:$D$1001&gt;D13))+COUNTIFS($F$2:F13,1,$D$2:D13,D13)-1)</f>
        <v/>
      </c>
      <c r="L13" s="62">
        <f>IF(OR(D13="",NOT(G13="轿车")),"",1+SUMPRODUCT(($G$2:$G$1001="轿车")*($D$2:$D$1001&gt;D13))+COUNTIFS($G$2:G13,"轿车",$D$2:D13,D13)-1)</f>
        <v>65</v>
      </c>
      <c r="M13" s="62" t="str">
        <f>IF(OR(D13="",NOT(G13="MPV")),"",1+SUMPRODUCT(($G$2:$G$1001="MPV")*($D$2:$D$1001&gt;D13))+COUNTIFS($G$2:G13,"MPV",$D$2:D13,D13)-1)</f>
        <v/>
      </c>
      <c r="N13" s="62" t="str">
        <f>IF(OR(D13="",NOT(G13="SUV")),"",1+SUMPRODUCT(($G$2:$G$1001="SUV")*($D$2:$D$1001&gt;D13))+COUNTIFS($G$2:G13,"SUV",$D$2:D13,D13)-1)</f>
        <v/>
      </c>
      <c r="O13" s="62" t="str">
        <f>IF(OR(D13="",NOT(AND(F13=1,G13="轿车"))),"",1+SUMPRODUCT(($F$2:$F$1001=1)*($G$2:$G$1001="轿车")*($D$2:$D$1001&gt;D13))+COUNTIFS($F$2:F13,1,$G$2:G13,"轿车",$D$2:D13,D13)-1)</f>
        <v/>
      </c>
      <c r="P13" s="62" t="str">
        <f>IF(OR(D13="",NOT(AND(F13=1,G13="MPV"))),"",1+SUMPRODUCT(($F$2:$F$1001=1)*($G$2:$G$1001="MPV")*($D$2:$D$1001&gt;D13))+COUNTIFS($F$2:F13,1,$G$2:G13,"MPV",$D$2:D13,D13)-1)</f>
        <v/>
      </c>
      <c r="Q13" s="62" t="str">
        <f>IF(OR(D13="",NOT(AND(F13=1,G13="SUV"))),"",1+SUMPRODUCT(($F$2:$F$1001=1)*($G$2:$G$1001="SUV")*($D$2:$D$1001&gt;D13))+COUNTIFS($F$2:F13,1,$G$2:G13,"SUV",$D$2:D13,D13)-1)</f>
        <v/>
      </c>
    </row>
    <row r="14" spans="1:21">
      <c r="A14" s="62" t="str">
        <f>IFERROR(INDEX($H$2:$H$3000,MATCH(0,INDEX(COUNTIF($A$1:A13,$H$2:$H$3000)+($H$2:$H$3000=""),0,0),0)),"")</f>
        <v>AUDI♦A4</v>
      </c>
      <c r="B14" s="62" t="str">
        <f t="shared" si="0"/>
        <v>AUDI</v>
      </c>
      <c r="C14" s="62" t="str">
        <f t="shared" si="1"/>
        <v>A4</v>
      </c>
      <c r="D14" s="63">
        <f t="shared" si="2"/>
        <v>1</v>
      </c>
      <c r="E14" s="62">
        <f>IF(D14="","",_xlfn.RANK.EQ(D14,$D$2:$D$1001,0)+COUNTIF($D$2:D14,D14)-1)</f>
        <v>220</v>
      </c>
      <c r="F14" s="62">
        <f>IF(B14="","",--(COUNTIF(CN_Brands!$A$2:$A$300,UPPER(B14))&gt;0))</f>
        <v>0</v>
      </c>
      <c r="G14" s="62" t="str">
        <f t="shared" si="3"/>
        <v>轿车</v>
      </c>
      <c r="H14" s="62" t="str">
        <f>IF(AND('Data Export'!A14=前十整体车型排名!$B$2,'Data Export'!B14=前十整体车型排名!$B$3,'Data Export'!D14&lt;&gt;""),UPPER('Data Export'!C14)&amp;"♦"&amp;'Data Export'!D14,"")</f>
        <v>ASTON MARTIN♦VANQUISH</v>
      </c>
      <c r="I14" s="63">
        <f>IF(H14="","",IFERROR(INDEX('Data Export'!G14:CZ14,1,MATCH(前十整体车型排名!$B$4,'Data Export'!$G$1:$CZ$1,0)),0))</f>
        <v>0</v>
      </c>
      <c r="J14" s="62" t="str">
        <f>IF(H14="","",IF(OR('Data Export'!F14="三厢轿车",'Data Export'!F14="掀背轿车",'Data Export'!F14="旅行车",'Data Export'!F14="微型车",'Data Export'!F14="硬顶跑车",'Data Export'!F14="敞蓬车",'Data Export'!F14="Targa"),"轿车",IF(OR('Data Export'!F14="小型MPV",'Data Export'!F14="客车"),"MPV",IF('Data Export'!F14="运动型多功能车","SUV","其他"))))</f>
        <v>轿车</v>
      </c>
      <c r="K14" s="62" t="str">
        <f>IF(OR(D14="",NOT(F14=1)),"",1+SUMPRODUCT(($F$2:$F$1001=1)*($D$2:$D$1001&gt;D14))+COUNTIFS($F$2:F14,1,$D$2:D14,D14)-1)</f>
        <v/>
      </c>
      <c r="L14" s="62">
        <f>IF(OR(D14="",NOT(G14="轿车")),"",1+SUMPRODUCT(($G$2:$G$1001="轿车")*($D$2:$D$1001&gt;D14))+COUNTIFS($G$2:G14,"轿车",$D$2:D14,D14)-1)</f>
        <v>66</v>
      </c>
      <c r="M14" s="62" t="str">
        <f>IF(OR(D14="",NOT(G14="MPV")),"",1+SUMPRODUCT(($G$2:$G$1001="MPV")*($D$2:$D$1001&gt;D14))+COUNTIFS($G$2:G14,"MPV",$D$2:D14,D14)-1)</f>
        <v/>
      </c>
      <c r="N14" s="62" t="str">
        <f>IF(OR(D14="",NOT(G14="SUV")),"",1+SUMPRODUCT(($G$2:$G$1001="SUV")*($D$2:$D$1001&gt;D14))+COUNTIFS($G$2:G14,"SUV",$D$2:D14,D14)-1)</f>
        <v/>
      </c>
      <c r="O14" s="62" t="str">
        <f>IF(OR(D14="",NOT(AND(F14=1,G14="轿车"))),"",1+SUMPRODUCT(($F$2:$F$1001=1)*($G$2:$G$1001="轿车")*($D$2:$D$1001&gt;D14))+COUNTIFS($F$2:F14,1,$G$2:G14,"轿车",$D$2:D14,D14)-1)</f>
        <v/>
      </c>
      <c r="P14" s="62" t="str">
        <f>IF(OR(D14="",NOT(AND(F14=1,G14="MPV"))),"",1+SUMPRODUCT(($F$2:$F$1001=1)*($G$2:$G$1001="MPV")*($D$2:$D$1001&gt;D14))+COUNTIFS($F$2:F14,1,$G$2:G14,"MPV",$D$2:D14,D14)-1)</f>
        <v/>
      </c>
      <c r="Q14" s="62" t="str">
        <f>IF(OR(D14="",NOT(AND(F14=1,G14="SUV"))),"",1+SUMPRODUCT(($F$2:$F$1001=1)*($G$2:$G$1001="SUV")*($D$2:$D$1001&gt;D14))+COUNTIFS($F$2:F14,1,$G$2:G14,"SUV",$D$2:D14,D14)-1)</f>
        <v/>
      </c>
    </row>
    <row r="15" spans="1:21">
      <c r="A15" s="62" t="str">
        <f>IFERROR(INDEX($H$2:$H$3000,MATCH(0,INDEX(COUNTIF($A$1:A14,$H$2:$H$3000)+($H$2:$H$3000=""),0,0),0)),"")</f>
        <v>AUDI♦A5</v>
      </c>
      <c r="B15" s="62" t="str">
        <f t="shared" si="0"/>
        <v>AUDI</v>
      </c>
      <c r="C15" s="62" t="str">
        <f t="shared" si="1"/>
        <v>A5</v>
      </c>
      <c r="D15" s="63">
        <f t="shared" si="2"/>
        <v>7</v>
      </c>
      <c r="E15" s="62">
        <f>IF(D15="","",_xlfn.RANK.EQ(D15,$D$2:$D$1001,0)+COUNTIF($D$2:D15,D15)-1)</f>
        <v>155</v>
      </c>
      <c r="F15" s="62">
        <f>IF(B15="","",--(COUNTIF(CN_Brands!$A$2:$A$300,UPPER(B15))&gt;0))</f>
        <v>0</v>
      </c>
      <c r="G15" s="62" t="str">
        <f t="shared" si="3"/>
        <v>轿车</v>
      </c>
      <c r="H15" s="62" t="str">
        <f>IF(AND('Data Export'!A15=前十整体车型排名!$B$2,'Data Export'!B15=前十整体车型排名!$B$3,'Data Export'!D15&lt;&gt;""),UPPER('Data Export'!C15)&amp;"♦"&amp;'Data Export'!D15,"")</f>
        <v>ASTON MARTIN♦VANTAGE</v>
      </c>
      <c r="I15" s="63">
        <f>IF(H15="","",IFERROR(INDEX('Data Export'!G15:CZ15,1,MATCH(前十整体车型排名!$B$4,'Data Export'!$G$1:$CZ$1,0)),0))</f>
        <v>0</v>
      </c>
      <c r="J15" s="62" t="str">
        <f>IF(H15="","",IF(OR('Data Export'!F15="三厢轿车",'Data Export'!F15="掀背轿车",'Data Export'!F15="旅行车",'Data Export'!F15="微型车",'Data Export'!F15="硬顶跑车",'Data Export'!F15="敞蓬车",'Data Export'!F15="Targa"),"轿车",IF(OR('Data Export'!F15="小型MPV",'Data Export'!F15="客车"),"MPV",IF('Data Export'!F15="运动型多功能车","SUV","其他"))))</f>
        <v>轿车</v>
      </c>
      <c r="K15" s="62" t="str">
        <f>IF(OR(D15="",NOT(F15=1)),"",1+SUMPRODUCT(($F$2:$F$1001=1)*($D$2:$D$1001&gt;D15))+COUNTIFS($F$2:F15,1,$D$2:D15,D15)-1)</f>
        <v/>
      </c>
      <c r="L15" s="62">
        <f>IF(OR(D15="",NOT(G15="轿车")),"",1+SUMPRODUCT(($G$2:$G$1001="轿车")*($D$2:$D$1001&gt;D15))+COUNTIFS($G$2:G15,"轿车",$D$2:D15,D15)-1)</f>
        <v>41</v>
      </c>
      <c r="M15" s="62" t="str">
        <f>IF(OR(D15="",NOT(G15="MPV")),"",1+SUMPRODUCT(($G$2:$G$1001="MPV")*($D$2:$D$1001&gt;D15))+COUNTIFS($G$2:G15,"MPV",$D$2:D15,D15)-1)</f>
        <v/>
      </c>
      <c r="N15" s="62" t="str">
        <f>IF(OR(D15="",NOT(G15="SUV")),"",1+SUMPRODUCT(($G$2:$G$1001="SUV")*($D$2:$D$1001&gt;D15))+COUNTIFS($G$2:G15,"SUV",$D$2:D15,D15)-1)</f>
        <v/>
      </c>
      <c r="O15" s="62" t="str">
        <f>IF(OR(D15="",NOT(AND(F15=1,G15="轿车"))),"",1+SUMPRODUCT(($F$2:$F$1001=1)*($G$2:$G$1001="轿车")*($D$2:$D$1001&gt;D15))+COUNTIFS($F$2:F15,1,$G$2:G15,"轿车",$D$2:D15,D15)-1)</f>
        <v/>
      </c>
      <c r="P15" s="62" t="str">
        <f>IF(OR(D15="",NOT(AND(F15=1,G15="MPV"))),"",1+SUMPRODUCT(($F$2:$F$1001=1)*($G$2:$G$1001="MPV")*($D$2:$D$1001&gt;D15))+COUNTIFS($F$2:F15,1,$G$2:G15,"MPV",$D$2:D15,D15)-1)</f>
        <v/>
      </c>
      <c r="Q15" s="62" t="str">
        <f>IF(OR(D15="",NOT(AND(F15=1,G15="SUV"))),"",1+SUMPRODUCT(($F$2:$F$1001=1)*($G$2:$G$1001="SUV")*($D$2:$D$1001&gt;D15))+COUNTIFS($F$2:F15,1,$G$2:G15,"SUV",$D$2:D15,D15)-1)</f>
        <v/>
      </c>
    </row>
    <row r="16" spans="1:21">
      <c r="A16" s="62" t="str">
        <f>IFERROR(INDEX($H$2:$H$3000,MATCH(0,INDEX(COUNTIF($A$1:A15,$H$2:$H$3000)+($H$2:$H$3000=""),0,0),0)),"")</f>
        <v>AUDI♦A6</v>
      </c>
      <c r="B16" s="62" t="str">
        <f t="shared" si="0"/>
        <v>AUDI</v>
      </c>
      <c r="C16" s="62" t="str">
        <f t="shared" si="1"/>
        <v>A6</v>
      </c>
      <c r="D16" s="63">
        <f t="shared" si="2"/>
        <v>0</v>
      </c>
      <c r="E16" s="62">
        <f>IF(D16="","",_xlfn.RANK.EQ(D16,$D$2:$D$1001,0)+COUNTIF($D$2:D16,D16)-1)</f>
        <v>270</v>
      </c>
      <c r="F16" s="62">
        <f>IF(B16="","",--(COUNTIF(CN_Brands!$A$2:$A$300,UPPER(B16))&gt;0))</f>
        <v>0</v>
      </c>
      <c r="G16" s="62" t="str">
        <f t="shared" si="3"/>
        <v>轿车</v>
      </c>
      <c r="H16" s="62" t="str">
        <f>IF(AND('Data Export'!A16=前十整体车型排名!$B$2,'Data Export'!B16=前十整体车型排名!$B$3,'Data Export'!D16&lt;&gt;""),UPPER('Data Export'!C16)&amp;"♦"&amp;'Data Export'!D16,"")</f>
        <v>ASTON MARTIN♦VANTAGE</v>
      </c>
      <c r="I16" s="63">
        <f>IF(H16="","",IFERROR(INDEX('Data Export'!G16:CZ16,1,MATCH(前十整体车型排名!$B$4,'Data Export'!$G$1:$CZ$1,0)),0))</f>
        <v>0</v>
      </c>
      <c r="J16" s="62" t="str">
        <f>IF(H16="","",IF(OR('Data Export'!F16="三厢轿车",'Data Export'!F16="掀背轿车",'Data Export'!F16="旅行车",'Data Export'!F16="微型车",'Data Export'!F16="硬顶跑车",'Data Export'!F16="敞蓬车",'Data Export'!F16="Targa"),"轿车",IF(OR('Data Export'!F16="小型MPV",'Data Export'!F16="客车"),"MPV",IF('Data Export'!F16="运动型多功能车","SUV","其他"))))</f>
        <v>轿车</v>
      </c>
      <c r="K16" s="62" t="str">
        <f>IF(OR(D16="",NOT(F16=1)),"",1+SUMPRODUCT(($F$2:$F$1001=1)*($D$2:$D$1001&gt;D16))+COUNTIFS($F$2:F16,1,$D$2:D16,D16)-1)</f>
        <v/>
      </c>
      <c r="L16" s="62">
        <f>IF(OR(D16="",NOT(G16="轿车")),"",1+SUMPRODUCT(($G$2:$G$1001="轿车")*($D$2:$D$1001&gt;D16))+COUNTIFS($G$2:G16,"轿车",$D$2:D16,D16)-1)</f>
        <v>87</v>
      </c>
      <c r="M16" s="62" t="str">
        <f>IF(OR(D16="",NOT(G16="MPV")),"",1+SUMPRODUCT(($G$2:$G$1001="MPV")*($D$2:$D$1001&gt;D16))+COUNTIFS($G$2:G16,"MPV",$D$2:D16,D16)-1)</f>
        <v/>
      </c>
      <c r="N16" s="62" t="str">
        <f>IF(OR(D16="",NOT(G16="SUV")),"",1+SUMPRODUCT(($G$2:$G$1001="SUV")*($D$2:$D$1001&gt;D16))+COUNTIFS($G$2:G16,"SUV",$D$2:D16,D16)-1)</f>
        <v/>
      </c>
      <c r="O16" s="62" t="str">
        <f>IF(OR(D16="",NOT(AND(F16=1,G16="轿车"))),"",1+SUMPRODUCT(($F$2:$F$1001=1)*($G$2:$G$1001="轿车")*($D$2:$D$1001&gt;D16))+COUNTIFS($F$2:F16,1,$G$2:G16,"轿车",$D$2:D16,D16)-1)</f>
        <v/>
      </c>
      <c r="P16" s="62" t="str">
        <f>IF(OR(D16="",NOT(AND(F16=1,G16="MPV"))),"",1+SUMPRODUCT(($F$2:$F$1001=1)*($G$2:$G$1001="MPV")*($D$2:$D$1001&gt;D16))+COUNTIFS($F$2:F16,1,$G$2:G16,"MPV",$D$2:D16,D16)-1)</f>
        <v/>
      </c>
      <c r="Q16" s="62" t="str">
        <f>IF(OR(D16="",NOT(AND(F16=1,G16="SUV"))),"",1+SUMPRODUCT(($F$2:$F$1001=1)*($G$2:$G$1001="SUV")*($D$2:$D$1001&gt;D16))+COUNTIFS($F$2:F16,1,$G$2:G16,"SUV",$D$2:D16,D16)-1)</f>
        <v/>
      </c>
    </row>
    <row r="17" spans="1:17">
      <c r="A17" s="62" t="str">
        <f>IFERROR(INDEX($H$2:$H$3000,MATCH(0,INDEX(COUNTIF($A$1:A16,$H$2:$H$3000)+($H$2:$H$3000=""),0,0),0)),"")</f>
        <v>AUDI♦A6 E-TRON</v>
      </c>
      <c r="B17" s="62" t="str">
        <f t="shared" si="0"/>
        <v>AUDI</v>
      </c>
      <c r="C17" s="62" t="str">
        <f t="shared" si="1"/>
        <v>A6 E-TRON</v>
      </c>
      <c r="D17" s="63">
        <f t="shared" si="2"/>
        <v>0</v>
      </c>
      <c r="E17" s="62">
        <f>IF(D17="","",_xlfn.RANK.EQ(D17,$D$2:$D$1001,0)+COUNTIF($D$2:D17,D17)-1)</f>
        <v>271</v>
      </c>
      <c r="F17" s="62">
        <f>IF(B17="","",--(COUNTIF(CN_Brands!$A$2:$A$300,UPPER(B17))&gt;0))</f>
        <v>0</v>
      </c>
      <c r="G17" s="62" t="str">
        <f t="shared" si="3"/>
        <v>轿车</v>
      </c>
      <c r="H17" s="62" t="str">
        <f>IF(AND('Data Export'!A17=前十整体车型排名!$B$2,'Data Export'!B17=前十整体车型排名!$B$3,'Data Export'!D17&lt;&gt;""),UPPER('Data Export'!C17)&amp;"♦"&amp;'Data Export'!D17,"")</f>
        <v>AUDI♦A1</v>
      </c>
      <c r="I17" s="63">
        <f>IF(H17="","",IFERROR(INDEX('Data Export'!G17:CZ17,1,MATCH(前十整体车型排名!$B$4,'Data Export'!$G$1:$CZ$1,0)),0))</f>
        <v>0</v>
      </c>
      <c r="J17" s="62" t="str">
        <f>IF(H17="","",IF(OR('Data Export'!F17="三厢轿车",'Data Export'!F17="掀背轿车",'Data Export'!F17="旅行车",'Data Export'!F17="微型车",'Data Export'!F17="硬顶跑车",'Data Export'!F17="敞蓬车",'Data Export'!F17="Targa"),"轿车",IF(OR('Data Export'!F17="小型MPV",'Data Export'!F17="客车"),"MPV",IF('Data Export'!F17="运动型多功能车","SUV","其他"))))</f>
        <v>轿车</v>
      </c>
      <c r="K17" s="62" t="str">
        <f>IF(OR(D17="",NOT(F17=1)),"",1+SUMPRODUCT(($F$2:$F$1001=1)*($D$2:$D$1001&gt;D17))+COUNTIFS($F$2:F17,1,$D$2:D17,D17)-1)</f>
        <v/>
      </c>
      <c r="L17" s="62">
        <f>IF(OR(D17="",NOT(G17="轿车")),"",1+SUMPRODUCT(($G$2:$G$1001="轿车")*($D$2:$D$1001&gt;D17))+COUNTIFS($G$2:G17,"轿车",$D$2:D17,D17)-1)</f>
        <v>88</v>
      </c>
      <c r="M17" s="62" t="str">
        <f>IF(OR(D17="",NOT(G17="MPV")),"",1+SUMPRODUCT(($G$2:$G$1001="MPV")*($D$2:$D$1001&gt;D17))+COUNTIFS($G$2:G17,"MPV",$D$2:D17,D17)-1)</f>
        <v/>
      </c>
      <c r="N17" s="62" t="str">
        <f>IF(OR(D17="",NOT(G17="SUV")),"",1+SUMPRODUCT(($G$2:$G$1001="SUV")*($D$2:$D$1001&gt;D17))+COUNTIFS($G$2:G17,"SUV",$D$2:D17,D17)-1)</f>
        <v/>
      </c>
      <c r="O17" s="62" t="str">
        <f>IF(OR(D17="",NOT(AND(F17=1,G17="轿车"))),"",1+SUMPRODUCT(($F$2:$F$1001=1)*($G$2:$G$1001="轿车")*($D$2:$D$1001&gt;D17))+COUNTIFS($F$2:F17,1,$G$2:G17,"轿车",$D$2:D17,D17)-1)</f>
        <v/>
      </c>
      <c r="P17" s="62" t="str">
        <f>IF(OR(D17="",NOT(AND(F17=1,G17="MPV"))),"",1+SUMPRODUCT(($F$2:$F$1001=1)*($G$2:$G$1001="MPV")*($D$2:$D$1001&gt;D17))+COUNTIFS($F$2:F17,1,$G$2:G17,"MPV",$D$2:D17,D17)-1)</f>
        <v/>
      </c>
      <c r="Q17" s="62" t="str">
        <f>IF(OR(D17="",NOT(AND(F17=1,G17="SUV"))),"",1+SUMPRODUCT(($F$2:$F$1001=1)*($G$2:$G$1001="SUV")*($D$2:$D$1001&gt;D17))+COUNTIFS($F$2:F17,1,$G$2:G17,"SUV",$D$2:D17,D17)-1)</f>
        <v/>
      </c>
    </row>
    <row r="18" spans="1:17">
      <c r="A18" s="62" t="str">
        <f>IFERROR(INDEX($H$2:$H$3000,MATCH(0,INDEX(COUNTIF($A$1:A17,$H$2:$H$3000)+($H$2:$H$3000=""),0,0),0)),"")</f>
        <v>AUDI♦A7</v>
      </c>
      <c r="B18" s="62" t="str">
        <f t="shared" si="0"/>
        <v>AUDI</v>
      </c>
      <c r="C18" s="62" t="str">
        <f t="shared" si="1"/>
        <v>A7</v>
      </c>
      <c r="D18" s="63">
        <f t="shared" si="2"/>
        <v>2</v>
      </c>
      <c r="E18" s="62">
        <f>IF(D18="","",_xlfn.RANK.EQ(D18,$D$2:$D$1001,0)+COUNTIF($D$2:D18,D18)-1)</f>
        <v>198</v>
      </c>
      <c r="F18" s="62">
        <f>IF(B18="","",--(COUNTIF(CN_Brands!$A$2:$A$300,UPPER(B18))&gt;0))</f>
        <v>0</v>
      </c>
      <c r="G18" s="62" t="str">
        <f t="shared" si="3"/>
        <v>轿车</v>
      </c>
      <c r="H18" s="62" t="str">
        <f>IF(AND('Data Export'!A18=前十整体车型排名!$B$2,'Data Export'!B18=前十整体车型排名!$B$3,'Data Export'!D18&lt;&gt;""),UPPER('Data Export'!C18)&amp;"♦"&amp;'Data Export'!D18,"")</f>
        <v>AUDI♦A3</v>
      </c>
      <c r="I18" s="63">
        <f>IF(H18="","",IFERROR(INDEX('Data Export'!G18:CZ18,1,MATCH(前十整体车型排名!$B$4,'Data Export'!$G$1:$CZ$1,0)),0))</f>
        <v>1</v>
      </c>
      <c r="J18" s="62" t="str">
        <f>IF(H18="","",IF(OR('Data Export'!F18="三厢轿车",'Data Export'!F18="掀背轿车",'Data Export'!F18="旅行车",'Data Export'!F18="微型车",'Data Export'!F18="硬顶跑车",'Data Export'!F18="敞蓬车",'Data Export'!F18="Targa"),"轿车",IF(OR('Data Export'!F18="小型MPV",'Data Export'!F18="客车"),"MPV",IF('Data Export'!F18="运动型多功能车","SUV","其他"))))</f>
        <v>轿车</v>
      </c>
      <c r="K18" s="62" t="str">
        <f>IF(OR(D18="",NOT(F18=1)),"",1+SUMPRODUCT(($F$2:$F$1001=1)*($D$2:$D$1001&gt;D18))+COUNTIFS($F$2:F18,1,$D$2:D18,D18)-1)</f>
        <v/>
      </c>
      <c r="L18" s="62">
        <f>IF(OR(D18="",NOT(G18="轿车")),"",1+SUMPRODUCT(($G$2:$G$1001="轿车")*($D$2:$D$1001&gt;D18))+COUNTIFS($G$2:G18,"轿车",$D$2:D18,D18)-1)</f>
        <v>56</v>
      </c>
      <c r="M18" s="62" t="str">
        <f>IF(OR(D18="",NOT(G18="MPV")),"",1+SUMPRODUCT(($G$2:$G$1001="MPV")*($D$2:$D$1001&gt;D18))+COUNTIFS($G$2:G18,"MPV",$D$2:D18,D18)-1)</f>
        <v/>
      </c>
      <c r="N18" s="62" t="str">
        <f>IF(OR(D18="",NOT(G18="SUV")),"",1+SUMPRODUCT(($G$2:$G$1001="SUV")*($D$2:$D$1001&gt;D18))+COUNTIFS($G$2:G18,"SUV",$D$2:D18,D18)-1)</f>
        <v/>
      </c>
      <c r="O18" s="62" t="str">
        <f>IF(OR(D18="",NOT(AND(F18=1,G18="轿车"))),"",1+SUMPRODUCT(($F$2:$F$1001=1)*($G$2:$G$1001="轿车")*($D$2:$D$1001&gt;D18))+COUNTIFS($F$2:F18,1,$G$2:G18,"轿车",$D$2:D18,D18)-1)</f>
        <v/>
      </c>
      <c r="P18" s="62" t="str">
        <f>IF(OR(D18="",NOT(AND(F18=1,G18="MPV"))),"",1+SUMPRODUCT(($F$2:$F$1001=1)*($G$2:$G$1001="MPV")*($D$2:$D$1001&gt;D18))+COUNTIFS($F$2:F18,1,$G$2:G18,"MPV",$D$2:D18,D18)-1)</f>
        <v/>
      </c>
      <c r="Q18" s="62" t="str">
        <f>IF(OR(D18="",NOT(AND(F18=1,G18="SUV"))),"",1+SUMPRODUCT(($F$2:$F$1001=1)*($G$2:$G$1001="SUV")*($D$2:$D$1001&gt;D18))+COUNTIFS($F$2:F18,1,$G$2:G18,"SUV",$D$2:D18,D18)-1)</f>
        <v/>
      </c>
    </row>
    <row r="19" spans="1:17">
      <c r="A19" s="62" t="str">
        <f>IFERROR(INDEX($H$2:$H$3000,MATCH(0,INDEX(COUNTIF($A$1:A18,$H$2:$H$3000)+($H$2:$H$3000=""),0,0),0)),"")</f>
        <v>AUDI♦A8</v>
      </c>
      <c r="B19" s="62" t="str">
        <f t="shared" si="0"/>
        <v>AUDI</v>
      </c>
      <c r="C19" s="62" t="str">
        <f t="shared" si="1"/>
        <v>A8</v>
      </c>
      <c r="D19" s="63">
        <f t="shared" si="2"/>
        <v>0</v>
      </c>
      <c r="E19" s="62">
        <f>IF(D19="","",_xlfn.RANK.EQ(D19,$D$2:$D$1001,0)+COUNTIF($D$2:D19,D19)-1)</f>
        <v>272</v>
      </c>
      <c r="F19" s="62">
        <f>IF(B19="","",--(COUNTIF(CN_Brands!$A$2:$A$300,UPPER(B19))&gt;0))</f>
        <v>0</v>
      </c>
      <c r="G19" s="62" t="str">
        <f t="shared" si="3"/>
        <v>轿车</v>
      </c>
      <c r="H19" s="62" t="str">
        <f>IF(AND('Data Export'!A19=前十整体车型排名!$B$2,'Data Export'!B19=前十整体车型排名!$B$3,'Data Export'!D19&lt;&gt;""),UPPER('Data Export'!C19)&amp;"♦"&amp;'Data Export'!D19,"")</f>
        <v>AUDI♦A3</v>
      </c>
      <c r="I19" s="63">
        <f>IF(H19="","",IFERROR(INDEX('Data Export'!G19:CZ19,1,MATCH(前十整体车型排名!$B$4,'Data Export'!$G$1:$CZ$1,0)),0))</f>
        <v>0</v>
      </c>
      <c r="J19" s="62" t="str">
        <f>IF(H19="","",IF(OR('Data Export'!F19="三厢轿车",'Data Export'!F19="掀背轿车",'Data Export'!F19="旅行车",'Data Export'!F19="微型车",'Data Export'!F19="硬顶跑车",'Data Export'!F19="敞蓬车",'Data Export'!F19="Targa"),"轿车",IF(OR('Data Export'!F19="小型MPV",'Data Export'!F19="客车"),"MPV",IF('Data Export'!F19="运动型多功能车","SUV","其他"))))</f>
        <v>轿车</v>
      </c>
      <c r="K19" s="62" t="str">
        <f>IF(OR(D19="",NOT(F19=1)),"",1+SUMPRODUCT(($F$2:$F$1001=1)*($D$2:$D$1001&gt;D19))+COUNTIFS($F$2:F19,1,$D$2:D19,D19)-1)</f>
        <v/>
      </c>
      <c r="L19" s="62">
        <f>IF(OR(D19="",NOT(G19="轿车")),"",1+SUMPRODUCT(($G$2:$G$1001="轿车")*($D$2:$D$1001&gt;D19))+COUNTIFS($G$2:G19,"轿车",$D$2:D19,D19)-1)</f>
        <v>89</v>
      </c>
      <c r="M19" s="62" t="str">
        <f>IF(OR(D19="",NOT(G19="MPV")),"",1+SUMPRODUCT(($G$2:$G$1001="MPV")*($D$2:$D$1001&gt;D19))+COUNTIFS($G$2:G19,"MPV",$D$2:D19,D19)-1)</f>
        <v/>
      </c>
      <c r="N19" s="62" t="str">
        <f>IF(OR(D19="",NOT(G19="SUV")),"",1+SUMPRODUCT(($G$2:$G$1001="SUV")*($D$2:$D$1001&gt;D19))+COUNTIFS($G$2:G19,"SUV",$D$2:D19,D19)-1)</f>
        <v/>
      </c>
      <c r="O19" s="62" t="str">
        <f>IF(OR(D19="",NOT(AND(F19=1,G19="轿车"))),"",1+SUMPRODUCT(($F$2:$F$1001=1)*($G$2:$G$1001="轿车")*($D$2:$D$1001&gt;D19))+COUNTIFS($F$2:F19,1,$G$2:G19,"轿车",$D$2:D19,D19)-1)</f>
        <v/>
      </c>
      <c r="P19" s="62" t="str">
        <f>IF(OR(D19="",NOT(AND(F19=1,G19="MPV"))),"",1+SUMPRODUCT(($F$2:$F$1001=1)*($G$2:$G$1001="MPV")*($D$2:$D$1001&gt;D19))+COUNTIFS($F$2:F19,1,$G$2:G19,"MPV",$D$2:D19,D19)-1)</f>
        <v/>
      </c>
      <c r="Q19" s="62" t="str">
        <f>IF(OR(D19="",NOT(AND(F19=1,G19="SUV"))),"",1+SUMPRODUCT(($F$2:$F$1001=1)*($G$2:$G$1001="SUV")*($D$2:$D$1001&gt;D19))+COUNTIFS($F$2:F19,1,$G$2:G19,"SUV",$D$2:D19,D19)-1)</f>
        <v/>
      </c>
    </row>
    <row r="20" spans="1:17">
      <c r="A20" s="62" t="str">
        <f>IFERROR(INDEX($H$2:$H$3000,MATCH(0,INDEX(COUNTIF($A$1:A19,$H$2:$H$3000)+($H$2:$H$3000=""),0,0),0)),"")</f>
        <v>AUDI♦E-TRON GT</v>
      </c>
      <c r="B20" s="62" t="str">
        <f t="shared" si="0"/>
        <v>AUDI</v>
      </c>
      <c r="C20" s="62" t="str">
        <f t="shared" si="1"/>
        <v>E-TRON GT</v>
      </c>
      <c r="D20" s="63">
        <f t="shared" si="2"/>
        <v>0</v>
      </c>
      <c r="E20" s="62">
        <f>IF(D20="","",_xlfn.RANK.EQ(D20,$D$2:$D$1001,0)+COUNTIF($D$2:D20,D20)-1)</f>
        <v>273</v>
      </c>
      <c r="F20" s="62">
        <f>IF(B20="","",--(COUNTIF(CN_Brands!$A$2:$A$300,UPPER(B20))&gt;0))</f>
        <v>0</v>
      </c>
      <c r="G20" s="62" t="str">
        <f t="shared" si="3"/>
        <v>轿车</v>
      </c>
      <c r="H20" s="62" t="str">
        <f>IF(AND('Data Export'!A20=前十整体车型排名!$B$2,'Data Export'!B20=前十整体车型排名!$B$3,'Data Export'!D20&lt;&gt;""),UPPER('Data Export'!C20)&amp;"♦"&amp;'Data Export'!D20,"")</f>
        <v>AUDI♦A4</v>
      </c>
      <c r="I20" s="63">
        <f>IF(H20="","",IFERROR(INDEX('Data Export'!G20:CZ20,1,MATCH(前十整体车型排名!$B$4,'Data Export'!$G$1:$CZ$1,0)),0))</f>
        <v>0</v>
      </c>
      <c r="J20" s="62" t="str">
        <f>IF(H20="","",IF(OR('Data Export'!F20="三厢轿车",'Data Export'!F20="掀背轿车",'Data Export'!F20="旅行车",'Data Export'!F20="微型车",'Data Export'!F20="硬顶跑车",'Data Export'!F20="敞蓬车",'Data Export'!F20="Targa"),"轿车",IF(OR('Data Export'!F20="小型MPV",'Data Export'!F20="客车"),"MPV",IF('Data Export'!F20="运动型多功能车","SUV","其他"))))</f>
        <v>轿车</v>
      </c>
      <c r="K20" s="62" t="str">
        <f>IF(OR(D20="",NOT(F20=1)),"",1+SUMPRODUCT(($F$2:$F$1001=1)*($D$2:$D$1001&gt;D20))+COUNTIFS($F$2:F20,1,$D$2:D20,D20)-1)</f>
        <v/>
      </c>
      <c r="L20" s="62">
        <f>IF(OR(D20="",NOT(G20="轿车")),"",1+SUMPRODUCT(($G$2:$G$1001="轿车")*($D$2:$D$1001&gt;D20))+COUNTIFS($G$2:G20,"轿车",$D$2:D20,D20)-1)</f>
        <v>90</v>
      </c>
      <c r="M20" s="62" t="str">
        <f>IF(OR(D20="",NOT(G20="MPV")),"",1+SUMPRODUCT(($G$2:$G$1001="MPV")*($D$2:$D$1001&gt;D20))+COUNTIFS($G$2:G20,"MPV",$D$2:D20,D20)-1)</f>
        <v/>
      </c>
      <c r="N20" s="62" t="str">
        <f>IF(OR(D20="",NOT(G20="SUV")),"",1+SUMPRODUCT(($G$2:$G$1001="SUV")*($D$2:$D$1001&gt;D20))+COUNTIFS($G$2:G20,"SUV",$D$2:D20,D20)-1)</f>
        <v/>
      </c>
      <c r="O20" s="62" t="str">
        <f>IF(OR(D20="",NOT(AND(F20=1,G20="轿车"))),"",1+SUMPRODUCT(($F$2:$F$1001=1)*($G$2:$G$1001="轿车")*($D$2:$D$1001&gt;D20))+COUNTIFS($F$2:F20,1,$G$2:G20,"轿车",$D$2:D20,D20)-1)</f>
        <v/>
      </c>
      <c r="P20" s="62" t="str">
        <f>IF(OR(D20="",NOT(AND(F20=1,G20="MPV"))),"",1+SUMPRODUCT(($F$2:$F$1001=1)*($G$2:$G$1001="MPV")*($D$2:$D$1001&gt;D20))+COUNTIFS($F$2:F20,1,$G$2:G20,"MPV",$D$2:D20,D20)-1)</f>
        <v/>
      </c>
      <c r="Q20" s="62" t="str">
        <f>IF(OR(D20="",NOT(AND(F20=1,G20="SUV"))),"",1+SUMPRODUCT(($F$2:$F$1001=1)*($G$2:$G$1001="SUV")*($D$2:$D$1001&gt;D20))+COUNTIFS($F$2:F20,1,$G$2:G20,"SUV",$D$2:D20,D20)-1)</f>
        <v/>
      </c>
    </row>
    <row r="21" spans="1:17">
      <c r="A21" s="62" t="str">
        <f>IFERROR(INDEX($H$2:$H$3000,MATCH(0,INDEX(COUNTIF($A$1:A20,$H$2:$H$3000)+($H$2:$H$3000=""),0,0),0)),"")</f>
        <v>AUDI♦Q3</v>
      </c>
      <c r="B21" s="62" t="str">
        <f t="shared" si="0"/>
        <v>AUDI</v>
      </c>
      <c r="C21" s="62" t="str">
        <f t="shared" si="1"/>
        <v>Q3</v>
      </c>
      <c r="D21" s="63">
        <f t="shared" si="2"/>
        <v>1</v>
      </c>
      <c r="E21" s="62">
        <f>IF(D21="","",_xlfn.RANK.EQ(D21,$D$2:$D$1001,0)+COUNTIF($D$2:D21,D21)-1)</f>
        <v>221</v>
      </c>
      <c r="F21" s="62">
        <f>IF(B21="","",--(COUNTIF(CN_Brands!$A$2:$A$300,UPPER(B21))&gt;0))</f>
        <v>0</v>
      </c>
      <c r="G21" s="62" t="str">
        <f t="shared" si="3"/>
        <v>SUV</v>
      </c>
      <c r="H21" s="62" t="str">
        <f>IF(AND('Data Export'!A21=前十整体车型排名!$B$2,'Data Export'!B21=前十整体车型排名!$B$3,'Data Export'!D21&lt;&gt;""),UPPER('Data Export'!C21)&amp;"♦"&amp;'Data Export'!D21,"")</f>
        <v>AUDI♦A4</v>
      </c>
      <c r="I21" s="63">
        <f>IF(H21="","",IFERROR(INDEX('Data Export'!G21:CZ21,1,MATCH(前十整体车型排名!$B$4,'Data Export'!$G$1:$CZ$1,0)),0))</f>
        <v>0</v>
      </c>
      <c r="J21" s="62" t="str">
        <f>IF(H21="","",IF(OR('Data Export'!F21="三厢轿车",'Data Export'!F21="掀背轿车",'Data Export'!F21="旅行车",'Data Export'!F21="微型车",'Data Export'!F21="硬顶跑车",'Data Export'!F21="敞蓬车",'Data Export'!F21="Targa"),"轿车",IF(OR('Data Export'!F21="小型MPV",'Data Export'!F21="客车"),"MPV",IF('Data Export'!F21="运动型多功能车","SUV","其他"))))</f>
        <v>轿车</v>
      </c>
      <c r="K21" s="62" t="str">
        <f>IF(OR(D21="",NOT(F21=1)),"",1+SUMPRODUCT(($F$2:$F$1001=1)*($D$2:$D$1001&gt;D21))+COUNTIFS($F$2:F21,1,$D$2:D21,D21)-1)</f>
        <v/>
      </c>
      <c r="L21" s="62" t="str">
        <f>IF(OR(D21="",NOT(G21="轿车")),"",1+SUMPRODUCT(($G$2:$G$1001="轿车")*($D$2:$D$1001&gt;D21))+COUNTIFS($G$2:G21,"轿车",$D$2:D21,D21)-1)</f>
        <v/>
      </c>
      <c r="M21" s="62" t="str">
        <f>IF(OR(D21="",NOT(G21="MPV")),"",1+SUMPRODUCT(($G$2:$G$1001="MPV")*($D$2:$D$1001&gt;D21))+COUNTIFS($G$2:G21,"MPV",$D$2:D21,D21)-1)</f>
        <v/>
      </c>
      <c r="N21" s="62">
        <f>IF(OR(D21="",NOT(G21="SUV")),"",1+SUMPRODUCT(($G$2:$G$1001="SUV")*($D$2:$D$1001&gt;D21))+COUNTIFS($G$2:G21,"SUV",$D$2:D21,D21)-1)</f>
        <v>115</v>
      </c>
      <c r="O21" s="62" t="str">
        <f>IF(OR(D21="",NOT(AND(F21=1,G21="轿车"))),"",1+SUMPRODUCT(($F$2:$F$1001=1)*($G$2:$G$1001="轿车")*($D$2:$D$1001&gt;D21))+COUNTIFS($F$2:F21,1,$G$2:G21,"轿车",$D$2:D21,D21)-1)</f>
        <v/>
      </c>
      <c r="P21" s="62" t="str">
        <f>IF(OR(D21="",NOT(AND(F21=1,G21="MPV"))),"",1+SUMPRODUCT(($F$2:$F$1001=1)*($G$2:$G$1001="MPV")*($D$2:$D$1001&gt;D21))+COUNTIFS($F$2:F21,1,$G$2:G21,"MPV",$D$2:D21,D21)-1)</f>
        <v/>
      </c>
      <c r="Q21" s="62" t="str">
        <f>IF(OR(D21="",NOT(AND(F21=1,G21="SUV"))),"",1+SUMPRODUCT(($F$2:$F$1001=1)*($G$2:$G$1001="SUV")*($D$2:$D$1001&gt;D21))+COUNTIFS($F$2:F21,1,$G$2:G21,"SUV",$D$2:D21,D21)-1)</f>
        <v/>
      </c>
    </row>
    <row r="22" spans="1:17">
      <c r="A22" s="62" t="str">
        <f>IFERROR(INDEX($H$2:$H$3000,MATCH(0,INDEX(COUNTIF($A$1:A21,$H$2:$H$3000)+($H$2:$H$3000=""),0,0),0)),"")</f>
        <v>AUDI♦Q3 SPORTBACK</v>
      </c>
      <c r="B22" s="62" t="str">
        <f t="shared" si="0"/>
        <v>AUDI</v>
      </c>
      <c r="C22" s="62" t="str">
        <f t="shared" si="1"/>
        <v>Q3 SPORTBACK</v>
      </c>
      <c r="D22" s="63">
        <f t="shared" si="2"/>
        <v>2</v>
      </c>
      <c r="E22" s="62">
        <f>IF(D22="","",_xlfn.RANK.EQ(D22,$D$2:$D$1001,0)+COUNTIF($D$2:D22,D22)-1)</f>
        <v>199</v>
      </c>
      <c r="F22" s="62">
        <f>IF(B22="","",--(COUNTIF(CN_Brands!$A$2:$A$300,UPPER(B22))&gt;0))</f>
        <v>0</v>
      </c>
      <c r="G22" s="62" t="str">
        <f t="shared" si="3"/>
        <v>SUV</v>
      </c>
      <c r="H22" s="62" t="str">
        <f>IF(AND('Data Export'!A22=前十整体车型排名!$B$2,'Data Export'!B22=前十整体车型排名!$B$3,'Data Export'!D22&lt;&gt;""),UPPER('Data Export'!C22)&amp;"♦"&amp;'Data Export'!D22,"")</f>
        <v>AUDI♦A4</v>
      </c>
      <c r="I22" s="63">
        <f>IF(H22="","",IFERROR(INDEX('Data Export'!G22:CZ22,1,MATCH(前十整体车型排名!$B$4,'Data Export'!$G$1:$CZ$1,0)),0))</f>
        <v>1</v>
      </c>
      <c r="J22" s="62" t="str">
        <f>IF(H22="","",IF(OR('Data Export'!F22="三厢轿车",'Data Export'!F22="掀背轿车",'Data Export'!F22="旅行车",'Data Export'!F22="微型车",'Data Export'!F22="硬顶跑车",'Data Export'!F22="敞蓬车",'Data Export'!F22="Targa"),"轿车",IF(OR('Data Export'!F22="小型MPV",'Data Export'!F22="客车"),"MPV",IF('Data Export'!F22="运动型多功能车","SUV","其他"))))</f>
        <v>其他</v>
      </c>
      <c r="K22" s="62" t="str">
        <f>IF(OR(D22="",NOT(F22=1)),"",1+SUMPRODUCT(($F$2:$F$1001=1)*($D$2:$D$1001&gt;D22))+COUNTIFS($F$2:F22,1,$D$2:D22,D22)-1)</f>
        <v/>
      </c>
      <c r="L22" s="62" t="str">
        <f>IF(OR(D22="",NOT(G22="轿车")),"",1+SUMPRODUCT(($G$2:$G$1001="轿车")*($D$2:$D$1001&gt;D22))+COUNTIFS($G$2:G22,"轿车",$D$2:D22,D22)-1)</f>
        <v/>
      </c>
      <c r="M22" s="62" t="str">
        <f>IF(OR(D22="",NOT(G22="MPV")),"",1+SUMPRODUCT(($G$2:$G$1001="MPV")*($D$2:$D$1001&gt;D22))+COUNTIFS($G$2:G22,"MPV",$D$2:D22,D22)-1)</f>
        <v/>
      </c>
      <c r="N22" s="62">
        <f>IF(OR(D22="",NOT(G22="SUV")),"",1+SUMPRODUCT(($G$2:$G$1001="SUV")*($D$2:$D$1001&gt;D22))+COUNTIFS($G$2:G22,"SUV",$D$2:D22,D22)-1)</f>
        <v>107</v>
      </c>
      <c r="O22" s="62" t="str">
        <f>IF(OR(D22="",NOT(AND(F22=1,G22="轿车"))),"",1+SUMPRODUCT(($F$2:$F$1001=1)*($G$2:$G$1001="轿车")*($D$2:$D$1001&gt;D22))+COUNTIFS($F$2:F22,1,$G$2:G22,"轿车",$D$2:D22,D22)-1)</f>
        <v/>
      </c>
      <c r="P22" s="62" t="str">
        <f>IF(OR(D22="",NOT(AND(F22=1,G22="MPV"))),"",1+SUMPRODUCT(($F$2:$F$1001=1)*($G$2:$G$1001="MPV")*($D$2:$D$1001&gt;D22))+COUNTIFS($F$2:F22,1,$G$2:G22,"MPV",$D$2:D22,D22)-1)</f>
        <v/>
      </c>
      <c r="Q22" s="62" t="str">
        <f>IF(OR(D22="",NOT(AND(F22=1,G22="SUV"))),"",1+SUMPRODUCT(($F$2:$F$1001=1)*($G$2:$G$1001="SUV")*($D$2:$D$1001&gt;D22))+COUNTIFS($F$2:F22,1,$G$2:G22,"SUV",$D$2:D22,D22)-1)</f>
        <v/>
      </c>
    </row>
    <row r="23" spans="1:17">
      <c r="A23" s="62" t="str">
        <f>IFERROR(INDEX($H$2:$H$3000,MATCH(0,INDEX(COUNTIF($A$1:A22,$H$2:$H$3000)+($H$2:$H$3000=""),0,0),0)),"")</f>
        <v>AUDI♦Q5</v>
      </c>
      <c r="B23" s="62" t="str">
        <f t="shared" si="0"/>
        <v>AUDI</v>
      </c>
      <c r="C23" s="62" t="str">
        <f t="shared" si="1"/>
        <v>Q5</v>
      </c>
      <c r="D23" s="63">
        <f t="shared" si="2"/>
        <v>0</v>
      </c>
      <c r="E23" s="62">
        <f>IF(D23="","",_xlfn.RANK.EQ(D23,$D$2:$D$1001,0)+COUNTIF($D$2:D23,D23)-1)</f>
        <v>274</v>
      </c>
      <c r="F23" s="62">
        <f>IF(B23="","",--(COUNTIF(CN_Brands!$A$2:$A$300,UPPER(B23))&gt;0))</f>
        <v>0</v>
      </c>
      <c r="G23" s="62" t="str">
        <f t="shared" si="3"/>
        <v>SUV</v>
      </c>
      <c r="H23" s="62" t="str">
        <f>IF(AND('Data Export'!A23=前十整体车型排名!$B$2,'Data Export'!B23=前十整体车型排名!$B$3,'Data Export'!D23&lt;&gt;""),UPPER('Data Export'!C23)&amp;"♦"&amp;'Data Export'!D23,"")</f>
        <v>AUDI♦A5</v>
      </c>
      <c r="I23" s="63">
        <f>IF(H23="","",IFERROR(INDEX('Data Export'!G23:CZ23,1,MATCH(前十整体车型排名!$B$4,'Data Export'!$G$1:$CZ$1,0)),0))</f>
        <v>0</v>
      </c>
      <c r="J23" s="62" t="str">
        <f>IF(H23="","",IF(OR('Data Export'!F23="三厢轿车",'Data Export'!F23="掀背轿车",'Data Export'!F23="旅行车",'Data Export'!F23="微型车",'Data Export'!F23="硬顶跑车",'Data Export'!F23="敞蓬车",'Data Export'!F23="Targa"),"轿车",IF(OR('Data Export'!F23="小型MPV",'Data Export'!F23="客车"),"MPV",IF('Data Export'!F23="运动型多功能车","SUV","其他"))))</f>
        <v>轿车</v>
      </c>
      <c r="K23" s="62" t="str">
        <f>IF(OR(D23="",NOT(F23=1)),"",1+SUMPRODUCT(($F$2:$F$1001=1)*($D$2:$D$1001&gt;D23))+COUNTIFS($F$2:F23,1,$D$2:D23,D23)-1)</f>
        <v/>
      </c>
      <c r="L23" s="62" t="str">
        <f>IF(OR(D23="",NOT(G23="轿车")),"",1+SUMPRODUCT(($G$2:$G$1001="轿车")*($D$2:$D$1001&gt;D23))+COUNTIFS($G$2:G23,"轿车",$D$2:D23,D23)-1)</f>
        <v/>
      </c>
      <c r="M23" s="62" t="str">
        <f>IF(OR(D23="",NOT(G23="MPV")),"",1+SUMPRODUCT(($G$2:$G$1001="MPV")*($D$2:$D$1001&gt;D23))+COUNTIFS($G$2:G23,"MPV",$D$2:D23,D23)-1)</f>
        <v/>
      </c>
      <c r="N23" s="62">
        <f>IF(OR(D23="",NOT(G23="SUV")),"",1+SUMPRODUCT(($G$2:$G$1001="SUV")*($D$2:$D$1001&gt;D23))+COUNTIFS($G$2:G23,"SUV",$D$2:D23,D23)-1)</f>
        <v>130</v>
      </c>
      <c r="O23" s="62" t="str">
        <f>IF(OR(D23="",NOT(AND(F23=1,G23="轿车"))),"",1+SUMPRODUCT(($F$2:$F$1001=1)*($G$2:$G$1001="轿车")*($D$2:$D$1001&gt;D23))+COUNTIFS($F$2:F23,1,$G$2:G23,"轿车",$D$2:D23,D23)-1)</f>
        <v/>
      </c>
      <c r="P23" s="62" t="str">
        <f>IF(OR(D23="",NOT(AND(F23=1,G23="MPV"))),"",1+SUMPRODUCT(($F$2:$F$1001=1)*($G$2:$G$1001="MPV")*($D$2:$D$1001&gt;D23))+COUNTIFS($F$2:F23,1,$G$2:G23,"MPV",$D$2:D23,D23)-1)</f>
        <v/>
      </c>
      <c r="Q23" s="62" t="str">
        <f>IF(OR(D23="",NOT(AND(F23=1,G23="SUV"))),"",1+SUMPRODUCT(($F$2:$F$1001=1)*($G$2:$G$1001="SUV")*($D$2:$D$1001&gt;D23))+COUNTIFS($F$2:F23,1,$G$2:G23,"SUV",$D$2:D23,D23)-1)</f>
        <v/>
      </c>
    </row>
    <row r="24" spans="1:17">
      <c r="A24" s="62" t="str">
        <f>IFERROR(INDEX($H$2:$H$3000,MATCH(0,INDEX(COUNTIF($A$1:A23,$H$2:$H$3000)+($H$2:$H$3000=""),0,0),0)),"")</f>
        <v>AUDI♦Q5 SPORTBACK</v>
      </c>
      <c r="B24" s="62" t="str">
        <f t="shared" si="0"/>
        <v>AUDI</v>
      </c>
      <c r="C24" s="62" t="str">
        <f t="shared" si="1"/>
        <v>Q5 SPORTBACK</v>
      </c>
      <c r="D24" s="63">
        <f t="shared" si="2"/>
        <v>5</v>
      </c>
      <c r="E24" s="62">
        <f>IF(D24="","",_xlfn.RANK.EQ(D24,$D$2:$D$1001,0)+COUNTIF($D$2:D24,D24)-1)</f>
        <v>170</v>
      </c>
      <c r="F24" s="62">
        <f>IF(B24="","",--(COUNTIF(CN_Brands!$A$2:$A$300,UPPER(B24))&gt;0))</f>
        <v>0</v>
      </c>
      <c r="G24" s="62" t="str">
        <f t="shared" si="3"/>
        <v>SUV</v>
      </c>
      <c r="H24" s="62" t="str">
        <f>IF(AND('Data Export'!A24=前十整体车型排名!$B$2,'Data Export'!B24=前十整体车型排名!$B$3,'Data Export'!D24&lt;&gt;""),UPPER('Data Export'!C24)&amp;"♦"&amp;'Data Export'!D24,"")</f>
        <v>AUDI♦A5</v>
      </c>
      <c r="I24" s="63">
        <f>IF(H24="","",IFERROR(INDEX('Data Export'!G24:CZ24,1,MATCH(前十整体车型排名!$B$4,'Data Export'!$G$1:$CZ$1,0)),0))</f>
        <v>0</v>
      </c>
      <c r="J24" s="62" t="str">
        <f>IF(H24="","",IF(OR('Data Export'!F24="三厢轿车",'Data Export'!F24="掀背轿车",'Data Export'!F24="旅行车",'Data Export'!F24="微型车",'Data Export'!F24="硬顶跑车",'Data Export'!F24="敞蓬车",'Data Export'!F24="Targa"),"轿车",IF(OR('Data Export'!F24="小型MPV",'Data Export'!F24="客车"),"MPV",IF('Data Export'!F24="运动型多功能车","SUV","其他"))))</f>
        <v>轿车</v>
      </c>
      <c r="K24" s="62" t="str">
        <f>IF(OR(D24="",NOT(F24=1)),"",1+SUMPRODUCT(($F$2:$F$1001=1)*($D$2:$D$1001&gt;D24))+COUNTIFS($F$2:F24,1,$D$2:D24,D24)-1)</f>
        <v/>
      </c>
      <c r="L24" s="62" t="str">
        <f>IF(OR(D24="",NOT(G24="轿车")),"",1+SUMPRODUCT(($G$2:$G$1001="轿车")*($D$2:$D$1001&gt;D24))+COUNTIFS($G$2:G24,"轿车",$D$2:D24,D24)-1)</f>
        <v/>
      </c>
      <c r="M24" s="62" t="str">
        <f>IF(OR(D24="",NOT(G24="MPV")),"",1+SUMPRODUCT(($G$2:$G$1001="MPV")*($D$2:$D$1001&gt;D24))+COUNTIFS($G$2:G24,"MPV",$D$2:D24,D24)-1)</f>
        <v/>
      </c>
      <c r="N24" s="62">
        <f>IF(OR(D24="",NOT(G24="SUV")),"",1+SUMPRODUCT(($G$2:$G$1001="SUV")*($D$2:$D$1001&gt;D24))+COUNTIFS($G$2:G24,"SUV",$D$2:D24,D24)-1)</f>
        <v>94</v>
      </c>
      <c r="O24" s="62" t="str">
        <f>IF(OR(D24="",NOT(AND(F24=1,G24="轿车"))),"",1+SUMPRODUCT(($F$2:$F$1001=1)*($G$2:$G$1001="轿车")*($D$2:$D$1001&gt;D24))+COUNTIFS($F$2:F24,1,$G$2:G24,"轿车",$D$2:D24,D24)-1)</f>
        <v/>
      </c>
      <c r="P24" s="62" t="str">
        <f>IF(OR(D24="",NOT(AND(F24=1,G24="MPV"))),"",1+SUMPRODUCT(($F$2:$F$1001=1)*($G$2:$G$1001="MPV")*($D$2:$D$1001&gt;D24))+COUNTIFS($F$2:F24,1,$G$2:G24,"MPV",$D$2:D24,D24)-1)</f>
        <v/>
      </c>
      <c r="Q24" s="62" t="str">
        <f>IF(OR(D24="",NOT(AND(F24=1,G24="SUV"))),"",1+SUMPRODUCT(($F$2:$F$1001=1)*($G$2:$G$1001="SUV")*($D$2:$D$1001&gt;D24))+COUNTIFS($F$2:F24,1,$G$2:G24,"SUV",$D$2:D24,D24)-1)</f>
        <v/>
      </c>
    </row>
    <row r="25" spans="1:17">
      <c r="A25" s="62" t="str">
        <f>IFERROR(INDEX($H$2:$H$3000,MATCH(0,INDEX(COUNTIF($A$1:A24,$H$2:$H$3000)+($H$2:$H$3000=""),0,0),0)),"")</f>
        <v>AUDI♦Q6 E-TRON</v>
      </c>
      <c r="B25" s="62" t="str">
        <f t="shared" si="0"/>
        <v>AUDI</v>
      </c>
      <c r="C25" s="62" t="str">
        <f t="shared" si="1"/>
        <v>Q6 E-TRON</v>
      </c>
      <c r="D25" s="63">
        <f t="shared" si="2"/>
        <v>0</v>
      </c>
      <c r="E25" s="62">
        <f>IF(D25="","",_xlfn.RANK.EQ(D25,$D$2:$D$1001,0)+COUNTIF($D$2:D25,D25)-1)</f>
        <v>275</v>
      </c>
      <c r="F25" s="62">
        <f>IF(B25="","",--(COUNTIF(CN_Brands!$A$2:$A$300,UPPER(B25))&gt;0))</f>
        <v>0</v>
      </c>
      <c r="G25" s="62" t="str">
        <f t="shared" si="3"/>
        <v>SUV</v>
      </c>
      <c r="H25" s="62" t="str">
        <f>IF(AND('Data Export'!A25=前十整体车型排名!$B$2,'Data Export'!B25=前十整体车型排名!$B$3,'Data Export'!D25&lt;&gt;""),UPPER('Data Export'!C25)&amp;"♦"&amp;'Data Export'!D25,"")</f>
        <v>AUDI♦A5</v>
      </c>
      <c r="I25" s="63">
        <f>IF(H25="","",IFERROR(INDEX('Data Export'!G25:CZ25,1,MATCH(前十整体车型排名!$B$4,'Data Export'!$G$1:$CZ$1,0)),0))</f>
        <v>0</v>
      </c>
      <c r="J25" s="62" t="str">
        <f>IF(H25="","",IF(OR('Data Export'!F25="三厢轿车",'Data Export'!F25="掀背轿车",'Data Export'!F25="旅行车",'Data Export'!F25="微型车",'Data Export'!F25="硬顶跑车",'Data Export'!F25="敞蓬车",'Data Export'!F25="Targa"),"轿车",IF(OR('Data Export'!F25="小型MPV",'Data Export'!F25="客车"),"MPV",IF('Data Export'!F25="运动型多功能车","SUV","其他"))))</f>
        <v>轿车</v>
      </c>
      <c r="K25" s="62" t="str">
        <f>IF(OR(D25="",NOT(F25=1)),"",1+SUMPRODUCT(($F$2:$F$1001=1)*($D$2:$D$1001&gt;D25))+COUNTIFS($F$2:F25,1,$D$2:D25,D25)-1)</f>
        <v/>
      </c>
      <c r="L25" s="62" t="str">
        <f>IF(OR(D25="",NOT(G25="轿车")),"",1+SUMPRODUCT(($G$2:$G$1001="轿车")*($D$2:$D$1001&gt;D25))+COUNTIFS($G$2:G25,"轿车",$D$2:D25,D25)-1)</f>
        <v/>
      </c>
      <c r="M25" s="62" t="str">
        <f>IF(OR(D25="",NOT(G25="MPV")),"",1+SUMPRODUCT(($G$2:$G$1001="MPV")*($D$2:$D$1001&gt;D25))+COUNTIFS($G$2:G25,"MPV",$D$2:D25,D25)-1)</f>
        <v/>
      </c>
      <c r="N25" s="62">
        <f>IF(OR(D25="",NOT(G25="SUV")),"",1+SUMPRODUCT(($G$2:$G$1001="SUV")*($D$2:$D$1001&gt;D25))+COUNTIFS($G$2:G25,"SUV",$D$2:D25,D25)-1)</f>
        <v>131</v>
      </c>
      <c r="O25" s="62" t="str">
        <f>IF(OR(D25="",NOT(AND(F25=1,G25="轿车"))),"",1+SUMPRODUCT(($F$2:$F$1001=1)*($G$2:$G$1001="轿车")*($D$2:$D$1001&gt;D25))+COUNTIFS($F$2:F25,1,$G$2:G25,"轿车",$D$2:D25,D25)-1)</f>
        <v/>
      </c>
      <c r="P25" s="62" t="str">
        <f>IF(OR(D25="",NOT(AND(F25=1,G25="MPV"))),"",1+SUMPRODUCT(($F$2:$F$1001=1)*($G$2:$G$1001="MPV")*($D$2:$D$1001&gt;D25))+COUNTIFS($F$2:F25,1,$G$2:G25,"MPV",$D$2:D25,D25)-1)</f>
        <v/>
      </c>
      <c r="Q25" s="62" t="str">
        <f>IF(OR(D25="",NOT(AND(F25=1,G25="SUV"))),"",1+SUMPRODUCT(($F$2:$F$1001=1)*($G$2:$G$1001="SUV")*($D$2:$D$1001&gt;D25))+COUNTIFS($F$2:F25,1,$G$2:G25,"SUV",$D$2:D25,D25)-1)</f>
        <v/>
      </c>
    </row>
    <row r="26" spans="1:17">
      <c r="A26" s="62" t="str">
        <f>IFERROR(INDEX($H$2:$H$3000,MATCH(0,INDEX(COUNTIF($A$1:A25,$H$2:$H$3000)+($H$2:$H$3000=""),0,0),0)),"")</f>
        <v>AUDI♦Q7</v>
      </c>
      <c r="B26" s="62" t="str">
        <f t="shared" si="0"/>
        <v>AUDI</v>
      </c>
      <c r="C26" s="62" t="str">
        <f t="shared" si="1"/>
        <v>Q7</v>
      </c>
      <c r="D26" s="63">
        <f t="shared" si="2"/>
        <v>0</v>
      </c>
      <c r="E26" s="62">
        <f>IF(D26="","",_xlfn.RANK.EQ(D26,$D$2:$D$1001,0)+COUNTIF($D$2:D26,D26)-1)</f>
        <v>276</v>
      </c>
      <c r="F26" s="62">
        <f>IF(B26="","",--(COUNTIF(CN_Brands!$A$2:$A$300,UPPER(B26))&gt;0))</f>
        <v>0</v>
      </c>
      <c r="G26" s="62" t="str">
        <f t="shared" si="3"/>
        <v>SUV</v>
      </c>
      <c r="H26" s="62" t="str">
        <f>IF(AND('Data Export'!A26=前十整体车型排名!$B$2,'Data Export'!B26=前十整体车型排名!$B$3,'Data Export'!D26&lt;&gt;""),UPPER('Data Export'!C26)&amp;"♦"&amp;'Data Export'!D26,"")</f>
        <v>AUDI♦A5</v>
      </c>
      <c r="I26" s="63">
        <f>IF(H26="","",IFERROR(INDEX('Data Export'!G26:CZ26,1,MATCH(前十整体车型排名!$B$4,'Data Export'!$G$1:$CZ$1,0)),0))</f>
        <v>0</v>
      </c>
      <c r="J26" s="62" t="str">
        <f>IF(H26="","",IF(OR('Data Export'!F26="三厢轿车",'Data Export'!F26="掀背轿车",'Data Export'!F26="旅行车",'Data Export'!F26="微型车",'Data Export'!F26="硬顶跑车",'Data Export'!F26="敞蓬车",'Data Export'!F26="Targa"),"轿车",IF(OR('Data Export'!F26="小型MPV",'Data Export'!F26="客车"),"MPV",IF('Data Export'!F26="运动型多功能车","SUV","其他"))))</f>
        <v>轿车</v>
      </c>
      <c r="K26" s="62" t="str">
        <f>IF(OR(D26="",NOT(F26=1)),"",1+SUMPRODUCT(($F$2:$F$1001=1)*($D$2:$D$1001&gt;D26))+COUNTIFS($F$2:F26,1,$D$2:D26,D26)-1)</f>
        <v/>
      </c>
      <c r="L26" s="62" t="str">
        <f>IF(OR(D26="",NOT(G26="轿车")),"",1+SUMPRODUCT(($G$2:$G$1001="轿车")*($D$2:$D$1001&gt;D26))+COUNTIFS($G$2:G26,"轿车",$D$2:D26,D26)-1)</f>
        <v/>
      </c>
      <c r="M26" s="62" t="str">
        <f>IF(OR(D26="",NOT(G26="MPV")),"",1+SUMPRODUCT(($G$2:$G$1001="MPV")*($D$2:$D$1001&gt;D26))+COUNTIFS($G$2:G26,"MPV",$D$2:D26,D26)-1)</f>
        <v/>
      </c>
      <c r="N26" s="62">
        <f>IF(OR(D26="",NOT(G26="SUV")),"",1+SUMPRODUCT(($G$2:$G$1001="SUV")*($D$2:$D$1001&gt;D26))+COUNTIFS($G$2:G26,"SUV",$D$2:D26,D26)-1)</f>
        <v>132</v>
      </c>
      <c r="O26" s="62" t="str">
        <f>IF(OR(D26="",NOT(AND(F26=1,G26="轿车"))),"",1+SUMPRODUCT(($F$2:$F$1001=1)*($G$2:$G$1001="轿车")*($D$2:$D$1001&gt;D26))+COUNTIFS($F$2:F26,1,$G$2:G26,"轿车",$D$2:D26,D26)-1)</f>
        <v/>
      </c>
      <c r="P26" s="62" t="str">
        <f>IF(OR(D26="",NOT(AND(F26=1,G26="MPV"))),"",1+SUMPRODUCT(($F$2:$F$1001=1)*($G$2:$G$1001="MPV")*($D$2:$D$1001&gt;D26))+COUNTIFS($F$2:F26,1,$G$2:G26,"MPV",$D$2:D26,D26)-1)</f>
        <v/>
      </c>
      <c r="Q26" s="62" t="str">
        <f>IF(OR(D26="",NOT(AND(F26=1,G26="SUV"))),"",1+SUMPRODUCT(($F$2:$F$1001=1)*($G$2:$G$1001="SUV")*($D$2:$D$1001&gt;D26))+COUNTIFS($F$2:F26,1,$G$2:G26,"SUV",$D$2:D26,D26)-1)</f>
        <v/>
      </c>
    </row>
    <row r="27" spans="1:17">
      <c r="A27" s="62" t="str">
        <f>IFERROR(INDEX($H$2:$H$3000,MATCH(0,INDEX(COUNTIF($A$1:A26,$H$2:$H$3000)+($H$2:$H$3000=""),0,0),0)),"")</f>
        <v>AUDI♦Q8</v>
      </c>
      <c r="B27" s="62" t="str">
        <f t="shared" si="0"/>
        <v>AUDI</v>
      </c>
      <c r="C27" s="62" t="str">
        <f t="shared" si="1"/>
        <v>Q8</v>
      </c>
      <c r="D27" s="63">
        <f t="shared" si="2"/>
        <v>2</v>
      </c>
      <c r="E27" s="62">
        <f>IF(D27="","",_xlfn.RANK.EQ(D27,$D$2:$D$1001,0)+COUNTIF($D$2:D27,D27)-1)</f>
        <v>200</v>
      </c>
      <c r="F27" s="62">
        <f>IF(B27="","",--(COUNTIF(CN_Brands!$A$2:$A$300,UPPER(B27))&gt;0))</f>
        <v>0</v>
      </c>
      <c r="G27" s="62" t="str">
        <f t="shared" si="3"/>
        <v>SUV</v>
      </c>
      <c r="H27" s="62" t="str">
        <f>IF(AND('Data Export'!A27=前十整体车型排名!$B$2,'Data Export'!B27=前十整体车型排名!$B$3,'Data Export'!D27&lt;&gt;""),UPPER('Data Export'!C27)&amp;"♦"&amp;'Data Export'!D27,"")</f>
        <v>AUDI♦A5</v>
      </c>
      <c r="I27" s="63">
        <f>IF(H27="","",IFERROR(INDEX('Data Export'!G27:CZ27,1,MATCH(前十整体车型排名!$B$4,'Data Export'!$G$1:$CZ$1,0)),0))</f>
        <v>0</v>
      </c>
      <c r="J27" s="62" t="str">
        <f>IF(H27="","",IF(OR('Data Export'!F27="三厢轿车",'Data Export'!F27="掀背轿车",'Data Export'!F27="旅行车",'Data Export'!F27="微型车",'Data Export'!F27="硬顶跑车",'Data Export'!F27="敞蓬车",'Data Export'!F27="Targa"),"轿车",IF(OR('Data Export'!F27="小型MPV",'Data Export'!F27="客车"),"MPV",IF('Data Export'!F27="运动型多功能车","SUV","其他"))))</f>
        <v>轿车</v>
      </c>
      <c r="K27" s="62" t="str">
        <f>IF(OR(D27="",NOT(F27=1)),"",1+SUMPRODUCT(($F$2:$F$1001=1)*($D$2:$D$1001&gt;D27))+COUNTIFS($F$2:F27,1,$D$2:D27,D27)-1)</f>
        <v/>
      </c>
      <c r="L27" s="62" t="str">
        <f>IF(OR(D27="",NOT(G27="轿车")),"",1+SUMPRODUCT(($G$2:$G$1001="轿车")*($D$2:$D$1001&gt;D27))+COUNTIFS($G$2:G27,"轿车",$D$2:D27,D27)-1)</f>
        <v/>
      </c>
      <c r="M27" s="62" t="str">
        <f>IF(OR(D27="",NOT(G27="MPV")),"",1+SUMPRODUCT(($G$2:$G$1001="MPV")*($D$2:$D$1001&gt;D27))+COUNTIFS($G$2:G27,"MPV",$D$2:D27,D27)-1)</f>
        <v/>
      </c>
      <c r="N27" s="62">
        <f>IF(OR(D27="",NOT(G27="SUV")),"",1+SUMPRODUCT(($G$2:$G$1001="SUV")*($D$2:$D$1001&gt;D27))+COUNTIFS($G$2:G27,"SUV",$D$2:D27,D27)-1)</f>
        <v>108</v>
      </c>
      <c r="O27" s="62" t="str">
        <f>IF(OR(D27="",NOT(AND(F27=1,G27="轿车"))),"",1+SUMPRODUCT(($F$2:$F$1001=1)*($G$2:$G$1001="轿车")*($D$2:$D$1001&gt;D27))+COUNTIFS($F$2:F27,1,$G$2:G27,"轿车",$D$2:D27,D27)-1)</f>
        <v/>
      </c>
      <c r="P27" s="62" t="str">
        <f>IF(OR(D27="",NOT(AND(F27=1,G27="MPV"))),"",1+SUMPRODUCT(($F$2:$F$1001=1)*($G$2:$G$1001="MPV")*($D$2:$D$1001&gt;D27))+COUNTIFS($F$2:F27,1,$G$2:G27,"MPV",$D$2:D27,D27)-1)</f>
        <v/>
      </c>
      <c r="Q27" s="62" t="str">
        <f>IF(OR(D27="",NOT(AND(F27=1,G27="SUV"))),"",1+SUMPRODUCT(($F$2:$F$1001=1)*($G$2:$G$1001="SUV")*($D$2:$D$1001&gt;D27))+COUNTIFS($F$2:F27,1,$G$2:G27,"SUV",$D$2:D27,D27)-1)</f>
        <v/>
      </c>
    </row>
    <row r="28" spans="1:17">
      <c r="A28" s="62" t="str">
        <f>IFERROR(INDEX($H$2:$H$3000,MATCH(0,INDEX(COUNTIF($A$1:A27,$H$2:$H$3000)+($H$2:$H$3000=""),0,0),0)),"")</f>
        <v>AUDI♦Q8 E-TRON</v>
      </c>
      <c r="B28" s="62" t="str">
        <f t="shared" si="0"/>
        <v>AUDI</v>
      </c>
      <c r="C28" s="62" t="str">
        <f t="shared" si="1"/>
        <v>Q8 E-TRON</v>
      </c>
      <c r="D28" s="63">
        <f t="shared" si="2"/>
        <v>0</v>
      </c>
      <c r="E28" s="62">
        <f>IF(D28="","",_xlfn.RANK.EQ(D28,$D$2:$D$1001,0)+COUNTIF($D$2:D28,D28)-1)</f>
        <v>277</v>
      </c>
      <c r="F28" s="62">
        <f>IF(B28="","",--(COUNTIF(CN_Brands!$A$2:$A$300,UPPER(B28))&gt;0))</f>
        <v>0</v>
      </c>
      <c r="G28" s="62" t="str">
        <f t="shared" si="3"/>
        <v>SUV</v>
      </c>
      <c r="H28" s="62" t="str">
        <f>IF(AND('Data Export'!A28=前十整体车型排名!$B$2,'Data Export'!B28=前十整体车型排名!$B$3,'Data Export'!D28&lt;&gt;""),UPPER('Data Export'!C28)&amp;"♦"&amp;'Data Export'!D28,"")</f>
        <v>AUDI♦A5</v>
      </c>
      <c r="I28" s="63">
        <f>IF(H28="","",IFERROR(INDEX('Data Export'!G28:CZ28,1,MATCH(前十整体车型排名!$B$4,'Data Export'!$G$1:$CZ$1,0)),0))</f>
        <v>0</v>
      </c>
      <c r="J28" s="62" t="str">
        <f>IF(H28="","",IF(OR('Data Export'!F28="三厢轿车",'Data Export'!F28="掀背轿车",'Data Export'!F28="旅行车",'Data Export'!F28="微型车",'Data Export'!F28="硬顶跑车",'Data Export'!F28="敞蓬车",'Data Export'!F28="Targa"),"轿车",IF(OR('Data Export'!F28="小型MPV",'Data Export'!F28="客车"),"MPV",IF('Data Export'!F28="运动型多功能车","SUV","其他"))))</f>
        <v>轿车</v>
      </c>
      <c r="K28" s="62" t="str">
        <f>IF(OR(D28="",NOT(F28=1)),"",1+SUMPRODUCT(($F$2:$F$1001=1)*($D$2:$D$1001&gt;D28))+COUNTIFS($F$2:F28,1,$D$2:D28,D28)-1)</f>
        <v/>
      </c>
      <c r="L28" s="62" t="str">
        <f>IF(OR(D28="",NOT(G28="轿车")),"",1+SUMPRODUCT(($G$2:$G$1001="轿车")*($D$2:$D$1001&gt;D28))+COUNTIFS($G$2:G28,"轿车",$D$2:D28,D28)-1)</f>
        <v/>
      </c>
      <c r="M28" s="62" t="str">
        <f>IF(OR(D28="",NOT(G28="MPV")),"",1+SUMPRODUCT(($G$2:$G$1001="MPV")*($D$2:$D$1001&gt;D28))+COUNTIFS($G$2:G28,"MPV",$D$2:D28,D28)-1)</f>
        <v/>
      </c>
      <c r="N28" s="62">
        <f>IF(OR(D28="",NOT(G28="SUV")),"",1+SUMPRODUCT(($G$2:$G$1001="SUV")*($D$2:$D$1001&gt;D28))+COUNTIFS($G$2:G28,"SUV",$D$2:D28,D28)-1)</f>
        <v>133</v>
      </c>
      <c r="O28" s="62" t="str">
        <f>IF(OR(D28="",NOT(AND(F28=1,G28="轿车"))),"",1+SUMPRODUCT(($F$2:$F$1001=1)*($G$2:$G$1001="轿车")*($D$2:$D$1001&gt;D28))+COUNTIFS($F$2:F28,1,$G$2:G28,"轿车",$D$2:D28,D28)-1)</f>
        <v/>
      </c>
      <c r="P28" s="62" t="str">
        <f>IF(OR(D28="",NOT(AND(F28=1,G28="MPV"))),"",1+SUMPRODUCT(($F$2:$F$1001=1)*($G$2:$G$1001="MPV")*($D$2:$D$1001&gt;D28))+COUNTIFS($F$2:F28,1,$G$2:G28,"MPV",$D$2:D28,D28)-1)</f>
        <v/>
      </c>
      <c r="Q28" s="62" t="str">
        <f>IF(OR(D28="",NOT(AND(F28=1,G28="SUV"))),"",1+SUMPRODUCT(($F$2:$F$1001=1)*($G$2:$G$1001="SUV")*($D$2:$D$1001&gt;D28))+COUNTIFS($F$2:F28,1,$G$2:G28,"SUV",$D$2:D28,D28)-1)</f>
        <v/>
      </c>
    </row>
    <row r="29" spans="1:17">
      <c r="A29" s="62" t="str">
        <f>IFERROR(INDEX($H$2:$H$3000,MATCH(0,INDEX(COUNTIF($A$1:A28,$H$2:$H$3000)+($H$2:$H$3000=""),0,0),0)),"")</f>
        <v>AUDI♦Q8 SPORTBACK E-TRON</v>
      </c>
      <c r="B29" s="62" t="str">
        <f t="shared" si="0"/>
        <v>AUDI</v>
      </c>
      <c r="C29" s="62" t="str">
        <f t="shared" si="1"/>
        <v>Q8 SPORTBACK E-TRON</v>
      </c>
      <c r="D29" s="63">
        <f t="shared" si="2"/>
        <v>0</v>
      </c>
      <c r="E29" s="62">
        <f>IF(D29="","",_xlfn.RANK.EQ(D29,$D$2:$D$1001,0)+COUNTIF($D$2:D29,D29)-1)</f>
        <v>278</v>
      </c>
      <c r="F29" s="62">
        <f>IF(B29="","",--(COUNTIF(CN_Brands!$A$2:$A$300,UPPER(B29))&gt;0))</f>
        <v>0</v>
      </c>
      <c r="G29" s="62" t="str">
        <f t="shared" si="3"/>
        <v>SUV</v>
      </c>
      <c r="H29" s="62" t="str">
        <f>IF(AND('Data Export'!A29=前十整体车型排名!$B$2,'Data Export'!B29=前十整体车型排名!$B$3,'Data Export'!D29&lt;&gt;""),UPPER('Data Export'!C29)&amp;"♦"&amp;'Data Export'!D29,"")</f>
        <v>AUDI♦A5</v>
      </c>
      <c r="I29" s="63">
        <f>IF(H29="","",IFERROR(INDEX('Data Export'!G29:CZ29,1,MATCH(前十整体车型排名!$B$4,'Data Export'!$G$1:$CZ$1,0)),0))</f>
        <v>0</v>
      </c>
      <c r="J29" s="62" t="str">
        <f>IF(H29="","",IF(OR('Data Export'!F29="三厢轿车",'Data Export'!F29="掀背轿车",'Data Export'!F29="旅行车",'Data Export'!F29="微型车",'Data Export'!F29="硬顶跑车",'Data Export'!F29="敞蓬车",'Data Export'!F29="Targa"),"轿车",IF(OR('Data Export'!F29="小型MPV",'Data Export'!F29="客车"),"MPV",IF('Data Export'!F29="运动型多功能车","SUV","其他"))))</f>
        <v>轿车</v>
      </c>
      <c r="K29" s="62" t="str">
        <f>IF(OR(D29="",NOT(F29=1)),"",1+SUMPRODUCT(($F$2:$F$1001=1)*($D$2:$D$1001&gt;D29))+COUNTIFS($F$2:F29,1,$D$2:D29,D29)-1)</f>
        <v/>
      </c>
      <c r="L29" s="62" t="str">
        <f>IF(OR(D29="",NOT(G29="轿车")),"",1+SUMPRODUCT(($G$2:$G$1001="轿车")*($D$2:$D$1001&gt;D29))+COUNTIFS($G$2:G29,"轿车",$D$2:D29,D29)-1)</f>
        <v/>
      </c>
      <c r="M29" s="62" t="str">
        <f>IF(OR(D29="",NOT(G29="MPV")),"",1+SUMPRODUCT(($G$2:$G$1001="MPV")*($D$2:$D$1001&gt;D29))+COUNTIFS($G$2:G29,"MPV",$D$2:D29,D29)-1)</f>
        <v/>
      </c>
      <c r="N29" s="62">
        <f>IF(OR(D29="",NOT(G29="SUV")),"",1+SUMPRODUCT(($G$2:$G$1001="SUV")*($D$2:$D$1001&gt;D29))+COUNTIFS($G$2:G29,"SUV",$D$2:D29,D29)-1)</f>
        <v>134</v>
      </c>
      <c r="O29" s="62" t="str">
        <f>IF(OR(D29="",NOT(AND(F29=1,G29="轿车"))),"",1+SUMPRODUCT(($F$2:$F$1001=1)*($G$2:$G$1001="轿车")*($D$2:$D$1001&gt;D29))+COUNTIFS($F$2:F29,1,$G$2:G29,"轿车",$D$2:D29,D29)-1)</f>
        <v/>
      </c>
      <c r="P29" s="62" t="str">
        <f>IF(OR(D29="",NOT(AND(F29=1,G29="MPV"))),"",1+SUMPRODUCT(($F$2:$F$1001=1)*($G$2:$G$1001="MPV")*($D$2:$D$1001&gt;D29))+COUNTIFS($F$2:F29,1,$G$2:G29,"MPV",$D$2:D29,D29)-1)</f>
        <v/>
      </c>
      <c r="Q29" s="62" t="str">
        <f>IF(OR(D29="",NOT(AND(F29=1,G29="SUV"))),"",1+SUMPRODUCT(($F$2:$F$1001=1)*($G$2:$G$1001="SUV")*($D$2:$D$1001&gt;D29))+COUNTIFS($F$2:F29,1,$G$2:G29,"SUV",$D$2:D29,D29)-1)</f>
        <v/>
      </c>
    </row>
    <row r="30" spans="1:17">
      <c r="A30" s="62" t="str">
        <f>IFERROR(INDEX($H$2:$H$3000,MATCH(0,INDEX(COUNTIF($A$1:A29,$H$2:$H$3000)+($H$2:$H$3000=""),0,0),0)),"")</f>
        <v>AUDI♦TT</v>
      </c>
      <c r="B30" s="62" t="str">
        <f t="shared" si="0"/>
        <v>AUDI</v>
      </c>
      <c r="C30" s="62" t="str">
        <f t="shared" si="1"/>
        <v>TT</v>
      </c>
      <c r="D30" s="63">
        <f t="shared" si="2"/>
        <v>7</v>
      </c>
      <c r="E30" s="62">
        <f>IF(D30="","",_xlfn.RANK.EQ(D30,$D$2:$D$1001,0)+COUNTIF($D$2:D30,D30)-1)</f>
        <v>156</v>
      </c>
      <c r="F30" s="62">
        <f>IF(B30="","",--(COUNTIF(CN_Brands!$A$2:$A$300,UPPER(B30))&gt;0))</f>
        <v>0</v>
      </c>
      <c r="G30" s="62" t="str">
        <f t="shared" si="3"/>
        <v>轿车</v>
      </c>
      <c r="H30" s="62" t="str">
        <f>IF(AND('Data Export'!A30=前十整体车型排名!$B$2,'Data Export'!B30=前十整体车型排名!$B$3,'Data Export'!D30&lt;&gt;""),UPPER('Data Export'!C30)&amp;"♦"&amp;'Data Export'!D30,"")</f>
        <v>AUDI♦A5</v>
      </c>
      <c r="I30" s="63">
        <f>IF(H30="","",IFERROR(INDEX('Data Export'!G30:CZ30,1,MATCH(前十整体车型排名!$B$4,'Data Export'!$G$1:$CZ$1,0)),0))</f>
        <v>1</v>
      </c>
      <c r="J30" s="62" t="str">
        <f>IF(H30="","",IF(OR('Data Export'!F30="三厢轿车",'Data Export'!F30="掀背轿车",'Data Export'!F30="旅行车",'Data Export'!F30="微型车",'Data Export'!F30="硬顶跑车",'Data Export'!F30="敞蓬车",'Data Export'!F30="Targa"),"轿车",IF(OR('Data Export'!F30="小型MPV",'Data Export'!F30="客车"),"MPV",IF('Data Export'!F30="运动型多功能车","SUV","其他"))))</f>
        <v>轿车</v>
      </c>
      <c r="K30" s="62" t="str">
        <f>IF(OR(D30="",NOT(F30=1)),"",1+SUMPRODUCT(($F$2:$F$1001=1)*($D$2:$D$1001&gt;D30))+COUNTIFS($F$2:F30,1,$D$2:D30,D30)-1)</f>
        <v/>
      </c>
      <c r="L30" s="62">
        <f>IF(OR(D30="",NOT(G30="轿车")),"",1+SUMPRODUCT(($G$2:$G$1001="轿车")*($D$2:$D$1001&gt;D30))+COUNTIFS($G$2:G30,"轿车",$D$2:D30,D30)-1)</f>
        <v>42</v>
      </c>
      <c r="M30" s="62" t="str">
        <f>IF(OR(D30="",NOT(G30="MPV")),"",1+SUMPRODUCT(($G$2:$G$1001="MPV")*($D$2:$D$1001&gt;D30))+COUNTIFS($G$2:G30,"MPV",$D$2:D30,D30)-1)</f>
        <v/>
      </c>
      <c r="N30" s="62" t="str">
        <f>IF(OR(D30="",NOT(G30="SUV")),"",1+SUMPRODUCT(($G$2:$G$1001="SUV")*($D$2:$D$1001&gt;D30))+COUNTIFS($G$2:G30,"SUV",$D$2:D30,D30)-1)</f>
        <v/>
      </c>
      <c r="O30" s="62" t="str">
        <f>IF(OR(D30="",NOT(AND(F30=1,G30="轿车"))),"",1+SUMPRODUCT(($F$2:$F$1001=1)*($G$2:$G$1001="轿车")*($D$2:$D$1001&gt;D30))+COUNTIFS($F$2:F30,1,$G$2:G30,"轿车",$D$2:D30,D30)-1)</f>
        <v/>
      </c>
      <c r="P30" s="62" t="str">
        <f>IF(OR(D30="",NOT(AND(F30=1,G30="MPV"))),"",1+SUMPRODUCT(($F$2:$F$1001=1)*($G$2:$G$1001="MPV")*($D$2:$D$1001&gt;D30))+COUNTIFS($F$2:F30,1,$G$2:G30,"MPV",$D$2:D30,D30)-1)</f>
        <v/>
      </c>
      <c r="Q30" s="62" t="str">
        <f>IF(OR(D30="",NOT(AND(F30=1,G30="SUV"))),"",1+SUMPRODUCT(($F$2:$F$1001=1)*($G$2:$G$1001="SUV")*($D$2:$D$1001&gt;D30))+COUNTIFS($F$2:F30,1,$G$2:G30,"SUV",$D$2:D30,D30)-1)</f>
        <v/>
      </c>
    </row>
    <row r="31" spans="1:17">
      <c r="A31" s="62" t="str">
        <f>IFERROR(INDEX($H$2:$H$3000,MATCH(0,INDEX(COUNTIF($A$1:A30,$H$2:$H$3000)+($H$2:$H$3000=""),0,0),0)),"")</f>
        <v>AVATR♦07</v>
      </c>
      <c r="B31" s="62" t="str">
        <f t="shared" si="0"/>
        <v>AVATR</v>
      </c>
      <c r="C31" s="62" t="str">
        <f t="shared" si="1"/>
        <v>07</v>
      </c>
      <c r="D31" s="63">
        <f t="shared" si="2"/>
        <v>109</v>
      </c>
      <c r="E31" s="62">
        <f>IF(D31="","",_xlfn.RANK.EQ(D31,$D$2:$D$1001,0)+COUNTIF($D$2:D31,D31)-1)</f>
        <v>70</v>
      </c>
      <c r="F31" s="62">
        <f>IF(B31="","",--(COUNTIF(CN_Brands!$A$2:$A$300,UPPER(B31))&gt;0))</f>
        <v>1</v>
      </c>
      <c r="G31" s="62" t="str">
        <f t="shared" si="3"/>
        <v>SUV</v>
      </c>
      <c r="H31" s="62" t="str">
        <f>IF(AND('Data Export'!A31=前十整体车型排名!$B$2,'Data Export'!B31=前十整体车型排名!$B$3,'Data Export'!D31&lt;&gt;""),UPPER('Data Export'!C31)&amp;"♦"&amp;'Data Export'!D31,"")</f>
        <v>AUDI♦A5</v>
      </c>
      <c r="I31" s="63">
        <f>IF(H31="","",IFERROR(INDEX('Data Export'!G31:CZ31,1,MATCH(前十整体车型排名!$B$4,'Data Export'!$G$1:$CZ$1,0)),0))</f>
        <v>0</v>
      </c>
      <c r="J31" s="62" t="str">
        <f>IF(H31="","",IF(OR('Data Export'!F31="三厢轿车",'Data Export'!F31="掀背轿车",'Data Export'!F31="旅行车",'Data Export'!F31="微型车",'Data Export'!F31="硬顶跑车",'Data Export'!F31="敞蓬车",'Data Export'!F31="Targa"),"轿车",IF(OR('Data Export'!F31="小型MPV",'Data Export'!F31="客车"),"MPV",IF('Data Export'!F31="运动型多功能车","SUV","其他"))))</f>
        <v>轿车</v>
      </c>
      <c r="K31" s="62">
        <f>IF(OR(D31="",NOT(F31=1)),"",1+SUMPRODUCT(($F$2:$F$1001=1)*($D$2:$D$1001&gt;D31))+COUNTIFS($F$2:F31,1,$D$2:D31,D31)-1)</f>
        <v>36</v>
      </c>
      <c r="L31" s="62" t="str">
        <f>IF(OR(D31="",NOT(G31="轿车")),"",1+SUMPRODUCT(($G$2:$G$1001="轿车")*($D$2:$D$1001&gt;D31))+COUNTIFS($G$2:G31,"轿车",$D$2:D31,D31)-1)</f>
        <v/>
      </c>
      <c r="M31" s="62" t="str">
        <f>IF(OR(D31="",NOT(G31="MPV")),"",1+SUMPRODUCT(($G$2:$G$1001="MPV")*($D$2:$D$1001&gt;D31))+COUNTIFS($G$2:G31,"MPV",$D$2:D31,D31)-1)</f>
        <v/>
      </c>
      <c r="N31" s="62">
        <f>IF(OR(D31="",NOT(G31="SUV")),"",1+SUMPRODUCT(($G$2:$G$1001="SUV")*($D$2:$D$1001&gt;D31))+COUNTIFS($G$2:G31,"SUV",$D$2:D31,D31)-1)</f>
        <v>37</v>
      </c>
      <c r="O31" s="62" t="str">
        <f>IF(OR(D31="",NOT(AND(F31=1,G31="轿车"))),"",1+SUMPRODUCT(($F$2:$F$1001=1)*($G$2:$G$1001="轿车")*($D$2:$D$1001&gt;D31))+COUNTIFS($F$2:F31,1,$G$2:G31,"轿车",$D$2:D31,D31)-1)</f>
        <v/>
      </c>
      <c r="P31" s="62" t="str">
        <f>IF(OR(D31="",NOT(AND(F31=1,G31="MPV"))),"",1+SUMPRODUCT(($F$2:$F$1001=1)*($G$2:$G$1001="MPV")*($D$2:$D$1001&gt;D31))+COUNTIFS($F$2:F31,1,$G$2:G31,"MPV",$D$2:D31,D31)-1)</f>
        <v/>
      </c>
      <c r="Q31" s="62">
        <f>IF(OR(D31="",NOT(AND(F31=1,G31="SUV"))),"",1+SUMPRODUCT(($F$2:$F$1001=1)*($G$2:$G$1001="SUV")*($D$2:$D$1001&gt;D31))+COUNTIFS($F$2:F31,1,$G$2:G31,"SUV",$D$2:D31,D31)-1)</f>
        <v>24</v>
      </c>
    </row>
    <row r="32" spans="1:17">
      <c r="A32" s="62" t="str">
        <f>IFERROR(INDEX($H$2:$H$3000,MATCH(0,INDEX(COUNTIF($A$1:A31,$H$2:$H$3000)+($H$2:$H$3000=""),0,0),0)),"")</f>
        <v>AVATR♦11</v>
      </c>
      <c r="B32" s="62" t="str">
        <f t="shared" si="0"/>
        <v>AVATR</v>
      </c>
      <c r="C32" s="62" t="str">
        <f t="shared" si="1"/>
        <v>11</v>
      </c>
      <c r="D32" s="63">
        <f t="shared" si="2"/>
        <v>90</v>
      </c>
      <c r="E32" s="62">
        <f>IF(D32="","",_xlfn.RANK.EQ(D32,$D$2:$D$1001,0)+COUNTIF($D$2:D32,D32)-1)</f>
        <v>76</v>
      </c>
      <c r="F32" s="62">
        <f>IF(B32="","",--(COUNTIF(CN_Brands!$A$2:$A$300,UPPER(B32))&gt;0))</f>
        <v>1</v>
      </c>
      <c r="G32" s="62" t="str">
        <f t="shared" si="3"/>
        <v>SUV</v>
      </c>
      <c r="H32" s="62" t="str">
        <f>IF(AND('Data Export'!A32=前十整体车型排名!$B$2,'Data Export'!B32=前十整体车型排名!$B$3,'Data Export'!D32&lt;&gt;""),UPPER('Data Export'!C32)&amp;"♦"&amp;'Data Export'!D32,"")</f>
        <v>AUDI♦A5</v>
      </c>
      <c r="I32" s="63">
        <f>IF(H32="","",IFERROR(INDEX('Data Export'!G32:CZ32,1,MATCH(前十整体车型排名!$B$4,'Data Export'!$G$1:$CZ$1,0)),0))</f>
        <v>3</v>
      </c>
      <c r="J32" s="62" t="str">
        <f>IF(H32="","",IF(OR('Data Export'!F32="三厢轿车",'Data Export'!F32="掀背轿车",'Data Export'!F32="旅行车",'Data Export'!F32="微型车",'Data Export'!F32="硬顶跑车",'Data Export'!F32="敞蓬车",'Data Export'!F32="Targa"),"轿车",IF(OR('Data Export'!F32="小型MPV",'Data Export'!F32="客车"),"MPV",IF('Data Export'!F32="运动型多功能车","SUV","其他"))))</f>
        <v>轿车</v>
      </c>
      <c r="K32" s="62">
        <f>IF(OR(D32="",NOT(F32=1)),"",1+SUMPRODUCT(($F$2:$F$1001=1)*($D$2:$D$1001&gt;D32))+COUNTIFS($F$2:F32,1,$D$2:D32,D32)-1)</f>
        <v>37</v>
      </c>
      <c r="L32" s="62" t="str">
        <f>IF(OR(D32="",NOT(G32="轿车")),"",1+SUMPRODUCT(($G$2:$G$1001="轿车")*($D$2:$D$1001&gt;D32))+COUNTIFS($G$2:G32,"轿车",$D$2:D32,D32)-1)</f>
        <v/>
      </c>
      <c r="M32" s="62" t="str">
        <f>IF(OR(D32="",NOT(G32="MPV")),"",1+SUMPRODUCT(($G$2:$G$1001="MPV")*($D$2:$D$1001&gt;D32))+COUNTIFS($G$2:G32,"MPV",$D$2:D32,D32)-1)</f>
        <v/>
      </c>
      <c r="N32" s="62">
        <f>IF(OR(D32="",NOT(G32="SUV")),"",1+SUMPRODUCT(($G$2:$G$1001="SUV")*($D$2:$D$1001&gt;D32))+COUNTIFS($G$2:G32,"SUV",$D$2:D32,D32)-1)</f>
        <v>39</v>
      </c>
      <c r="O32" s="62" t="str">
        <f>IF(OR(D32="",NOT(AND(F32=1,G32="轿车"))),"",1+SUMPRODUCT(($F$2:$F$1001=1)*($G$2:$G$1001="轿车")*($D$2:$D$1001&gt;D32))+COUNTIFS($F$2:F32,1,$G$2:G32,"轿车",$D$2:D32,D32)-1)</f>
        <v/>
      </c>
      <c r="P32" s="62" t="str">
        <f>IF(OR(D32="",NOT(AND(F32=1,G32="MPV"))),"",1+SUMPRODUCT(($F$2:$F$1001=1)*($G$2:$G$1001="MPV")*($D$2:$D$1001&gt;D32))+COUNTIFS($F$2:F32,1,$G$2:G32,"MPV",$D$2:D32,D32)-1)</f>
        <v/>
      </c>
      <c r="Q32" s="62">
        <f>IF(OR(D32="",NOT(AND(F32=1,G32="SUV"))),"",1+SUMPRODUCT(($F$2:$F$1001=1)*($G$2:$G$1001="SUV")*($D$2:$D$1001&gt;D32))+COUNTIFS($F$2:F32,1,$G$2:G32,"SUV",$D$2:D32,D32)-1)</f>
        <v>25</v>
      </c>
    </row>
    <row r="33" spans="1:17">
      <c r="A33" s="62" t="str">
        <f>IFERROR(INDEX($H$2:$H$3000,MATCH(0,INDEX(COUNTIF($A$1:A32,$H$2:$H$3000)+($H$2:$H$3000=""),0,0),0)),"")</f>
        <v>BENTLEY♦BENTAYGA</v>
      </c>
      <c r="B33" s="62" t="str">
        <f t="shared" si="0"/>
        <v>BENTLEY</v>
      </c>
      <c r="C33" s="62" t="str">
        <f t="shared" si="1"/>
        <v>BENTAYGA</v>
      </c>
      <c r="D33" s="63">
        <f t="shared" si="2"/>
        <v>1</v>
      </c>
      <c r="E33" s="62">
        <f>IF(D33="","",_xlfn.RANK.EQ(D33,$D$2:$D$1001,0)+COUNTIF($D$2:D33,D33)-1)</f>
        <v>222</v>
      </c>
      <c r="F33" s="62">
        <f>IF(B33="","",--(COUNTIF(CN_Brands!$A$2:$A$300,UPPER(B33))&gt;0))</f>
        <v>0</v>
      </c>
      <c r="G33" s="62" t="str">
        <f t="shared" si="3"/>
        <v>SUV</v>
      </c>
      <c r="H33" s="62" t="str">
        <f>IF(AND('Data Export'!A33=前十整体车型排名!$B$2,'Data Export'!B33=前十整体车型排名!$B$3,'Data Export'!D33&lt;&gt;""),UPPER('Data Export'!C33)&amp;"♦"&amp;'Data Export'!D33,"")</f>
        <v>AUDI♦A5</v>
      </c>
      <c r="I33" s="63">
        <f>IF(H33="","",IFERROR(INDEX('Data Export'!G33:CZ33,1,MATCH(前十整体车型排名!$B$4,'Data Export'!$G$1:$CZ$1,0)),0))</f>
        <v>0</v>
      </c>
      <c r="J33" s="62" t="str">
        <f>IF(H33="","",IF(OR('Data Export'!F33="三厢轿车",'Data Export'!F33="掀背轿车",'Data Export'!F33="旅行车",'Data Export'!F33="微型车",'Data Export'!F33="硬顶跑车",'Data Export'!F33="敞蓬车",'Data Export'!F33="Targa"),"轿车",IF(OR('Data Export'!F33="小型MPV",'Data Export'!F33="客车"),"MPV",IF('Data Export'!F33="运动型多功能车","SUV","其他"))))</f>
        <v>轿车</v>
      </c>
      <c r="K33" s="62" t="str">
        <f>IF(OR(D33="",NOT(F33=1)),"",1+SUMPRODUCT(($F$2:$F$1001=1)*($D$2:$D$1001&gt;D33))+COUNTIFS($F$2:F33,1,$D$2:D33,D33)-1)</f>
        <v/>
      </c>
      <c r="L33" s="62" t="str">
        <f>IF(OR(D33="",NOT(G33="轿车")),"",1+SUMPRODUCT(($G$2:$G$1001="轿车")*($D$2:$D$1001&gt;D33))+COUNTIFS($G$2:G33,"轿车",$D$2:D33,D33)-1)</f>
        <v/>
      </c>
      <c r="M33" s="62" t="str">
        <f>IF(OR(D33="",NOT(G33="MPV")),"",1+SUMPRODUCT(($G$2:$G$1001="MPV")*($D$2:$D$1001&gt;D33))+COUNTIFS($G$2:G33,"MPV",$D$2:D33,D33)-1)</f>
        <v/>
      </c>
      <c r="N33" s="62">
        <f>IF(OR(D33="",NOT(G33="SUV")),"",1+SUMPRODUCT(($G$2:$G$1001="SUV")*($D$2:$D$1001&gt;D33))+COUNTIFS($G$2:G33,"SUV",$D$2:D33,D33)-1)</f>
        <v>116</v>
      </c>
      <c r="O33" s="62" t="str">
        <f>IF(OR(D33="",NOT(AND(F33=1,G33="轿车"))),"",1+SUMPRODUCT(($F$2:$F$1001=1)*($G$2:$G$1001="轿车")*($D$2:$D$1001&gt;D33))+COUNTIFS($F$2:F33,1,$G$2:G33,"轿车",$D$2:D33,D33)-1)</f>
        <v/>
      </c>
      <c r="P33" s="62" t="str">
        <f>IF(OR(D33="",NOT(AND(F33=1,G33="MPV"))),"",1+SUMPRODUCT(($F$2:$F$1001=1)*($G$2:$G$1001="MPV")*($D$2:$D$1001&gt;D33))+COUNTIFS($F$2:F33,1,$G$2:G33,"MPV",$D$2:D33,D33)-1)</f>
        <v/>
      </c>
      <c r="Q33" s="62" t="str">
        <f>IF(OR(D33="",NOT(AND(F33=1,G33="SUV"))),"",1+SUMPRODUCT(($F$2:$F$1001=1)*($G$2:$G$1001="SUV")*($D$2:$D$1001&gt;D33))+COUNTIFS($F$2:F33,1,$G$2:G33,"SUV",$D$2:D33,D33)-1)</f>
        <v/>
      </c>
    </row>
    <row r="34" spans="1:17">
      <c r="A34" s="62" t="str">
        <f>IFERROR(INDEX($H$2:$H$3000,MATCH(0,INDEX(COUNTIF($A$1:A33,$H$2:$H$3000)+($H$2:$H$3000=""),0,0),0)),"")</f>
        <v>BENTLEY♦CONTINENTAL GT</v>
      </c>
      <c r="B34" s="62" t="str">
        <f t="shared" si="0"/>
        <v>BENTLEY</v>
      </c>
      <c r="C34" s="62" t="str">
        <f t="shared" si="1"/>
        <v>CONTINENTAL GT</v>
      </c>
      <c r="D34" s="63">
        <f t="shared" si="2"/>
        <v>0</v>
      </c>
      <c r="E34" s="62">
        <f>IF(D34="","",_xlfn.RANK.EQ(D34,$D$2:$D$1001,0)+COUNTIF($D$2:D34,D34)-1)</f>
        <v>279</v>
      </c>
      <c r="F34" s="62">
        <f>IF(B34="","",--(COUNTIF(CN_Brands!$A$2:$A$300,UPPER(B34))&gt;0))</f>
        <v>0</v>
      </c>
      <c r="G34" s="62" t="str">
        <f t="shared" si="3"/>
        <v>其他</v>
      </c>
      <c r="H34" s="62" t="str">
        <f>IF(AND('Data Export'!A34=前十整体车型排名!$B$2,'Data Export'!B34=前十整体车型排名!$B$3,'Data Export'!D34&lt;&gt;""),UPPER('Data Export'!C34)&amp;"♦"&amp;'Data Export'!D34,"")</f>
        <v>AUDI♦A5</v>
      </c>
      <c r="I34" s="63">
        <f>IF(H34="","",IFERROR(INDEX('Data Export'!G34:CZ34,1,MATCH(前十整体车型排名!$B$4,'Data Export'!$G$1:$CZ$1,0)),0))</f>
        <v>0</v>
      </c>
      <c r="J34" s="62" t="str">
        <f>IF(H34="","",IF(OR('Data Export'!F34="三厢轿车",'Data Export'!F34="掀背轿车",'Data Export'!F34="旅行车",'Data Export'!F34="微型车",'Data Export'!F34="硬顶跑车",'Data Export'!F34="敞蓬车",'Data Export'!F34="Targa"),"轿车",IF(OR('Data Export'!F34="小型MPV",'Data Export'!F34="客车"),"MPV",IF('Data Export'!F34="运动型多功能车","SUV","其他"))))</f>
        <v>轿车</v>
      </c>
      <c r="K34" s="62" t="str">
        <f>IF(OR(D34="",NOT(F34=1)),"",1+SUMPRODUCT(($F$2:$F$1001=1)*($D$2:$D$1001&gt;D34))+COUNTIFS($F$2:F34,1,$D$2:D34,D34)-1)</f>
        <v/>
      </c>
      <c r="L34" s="62" t="str">
        <f>IF(OR(D34="",NOT(G34="轿车")),"",1+SUMPRODUCT(($G$2:$G$1001="轿车")*($D$2:$D$1001&gt;D34))+COUNTIFS($G$2:G34,"轿车",$D$2:D34,D34)-1)</f>
        <v/>
      </c>
      <c r="M34" s="62" t="str">
        <f>IF(OR(D34="",NOT(G34="MPV")),"",1+SUMPRODUCT(($G$2:$G$1001="MPV")*($D$2:$D$1001&gt;D34))+COUNTIFS($G$2:G34,"MPV",$D$2:D34,D34)-1)</f>
        <v/>
      </c>
      <c r="N34" s="62" t="str">
        <f>IF(OR(D34="",NOT(G34="SUV")),"",1+SUMPRODUCT(($G$2:$G$1001="SUV")*($D$2:$D$1001&gt;D34))+COUNTIFS($G$2:G34,"SUV",$D$2:D34,D34)-1)</f>
        <v/>
      </c>
      <c r="O34" s="62" t="str">
        <f>IF(OR(D34="",NOT(AND(F34=1,G34="轿车"))),"",1+SUMPRODUCT(($F$2:$F$1001=1)*($G$2:$G$1001="轿车")*($D$2:$D$1001&gt;D34))+COUNTIFS($F$2:F34,1,$G$2:G34,"轿车",$D$2:D34,D34)-1)</f>
        <v/>
      </c>
      <c r="P34" s="62" t="str">
        <f>IF(OR(D34="",NOT(AND(F34=1,G34="MPV"))),"",1+SUMPRODUCT(($F$2:$F$1001=1)*($G$2:$G$1001="MPV")*($D$2:$D$1001&gt;D34))+COUNTIFS($F$2:F34,1,$G$2:G34,"MPV",$D$2:D34,D34)-1)</f>
        <v/>
      </c>
      <c r="Q34" s="62" t="str">
        <f>IF(OR(D34="",NOT(AND(F34=1,G34="SUV"))),"",1+SUMPRODUCT(($F$2:$F$1001=1)*($G$2:$G$1001="SUV")*($D$2:$D$1001&gt;D34))+COUNTIFS($F$2:F34,1,$G$2:G34,"SUV",$D$2:D34,D34)-1)</f>
        <v/>
      </c>
    </row>
    <row r="35" spans="1:17">
      <c r="A35" s="62" t="str">
        <f>IFERROR(INDEX($H$2:$H$3000,MATCH(0,INDEX(COUNTIF($A$1:A34,$H$2:$H$3000)+($H$2:$H$3000=""),0,0),0)),"")</f>
        <v>BENTLEY♦FLYING SPUR</v>
      </c>
      <c r="B35" s="62" t="str">
        <f t="shared" si="0"/>
        <v>BENTLEY</v>
      </c>
      <c r="C35" s="62" t="str">
        <f t="shared" si="1"/>
        <v>FLYING SPUR</v>
      </c>
      <c r="D35" s="63">
        <f t="shared" si="2"/>
        <v>2</v>
      </c>
      <c r="E35" s="62">
        <f>IF(D35="","",_xlfn.RANK.EQ(D35,$D$2:$D$1001,0)+COUNTIF($D$2:D35,D35)-1)</f>
        <v>201</v>
      </c>
      <c r="F35" s="62">
        <f>IF(B35="","",--(COUNTIF(CN_Brands!$A$2:$A$300,UPPER(B35))&gt;0))</f>
        <v>0</v>
      </c>
      <c r="G35" s="62" t="str">
        <f t="shared" si="3"/>
        <v>轿车</v>
      </c>
      <c r="H35" s="62" t="str">
        <f>IF(AND('Data Export'!A35=前十整体车型排名!$B$2,'Data Export'!B35=前十整体车型排名!$B$3,'Data Export'!D35&lt;&gt;""),UPPER('Data Export'!C35)&amp;"♦"&amp;'Data Export'!D35,"")</f>
        <v>AUDI♦A5</v>
      </c>
      <c r="I35" s="63">
        <f>IF(H35="","",IFERROR(INDEX('Data Export'!G35:CZ35,1,MATCH(前十整体车型排名!$B$4,'Data Export'!$G$1:$CZ$1,0)),0))</f>
        <v>1</v>
      </c>
      <c r="J35" s="62" t="str">
        <f>IF(H35="","",IF(OR('Data Export'!F35="三厢轿车",'Data Export'!F35="掀背轿车",'Data Export'!F35="旅行车",'Data Export'!F35="微型车",'Data Export'!F35="硬顶跑车",'Data Export'!F35="敞蓬车",'Data Export'!F35="Targa"),"轿车",IF(OR('Data Export'!F35="小型MPV",'Data Export'!F35="客车"),"MPV",IF('Data Export'!F35="运动型多功能车","SUV","其他"))))</f>
        <v>轿车</v>
      </c>
      <c r="K35" s="62" t="str">
        <f>IF(OR(D35="",NOT(F35=1)),"",1+SUMPRODUCT(($F$2:$F$1001=1)*($D$2:$D$1001&gt;D35))+COUNTIFS($F$2:F35,1,$D$2:D35,D35)-1)</f>
        <v/>
      </c>
      <c r="L35" s="62">
        <f>IF(OR(D35="",NOT(G35="轿车")),"",1+SUMPRODUCT(($G$2:$G$1001="轿车")*($D$2:$D$1001&gt;D35))+COUNTIFS($G$2:G35,"轿车",$D$2:D35,D35)-1)</f>
        <v>57</v>
      </c>
      <c r="M35" s="62" t="str">
        <f>IF(OR(D35="",NOT(G35="MPV")),"",1+SUMPRODUCT(($G$2:$G$1001="MPV")*($D$2:$D$1001&gt;D35))+COUNTIFS($G$2:G35,"MPV",$D$2:D35,D35)-1)</f>
        <v/>
      </c>
      <c r="N35" s="62" t="str">
        <f>IF(OR(D35="",NOT(G35="SUV")),"",1+SUMPRODUCT(($G$2:$G$1001="SUV")*($D$2:$D$1001&gt;D35))+COUNTIFS($G$2:G35,"SUV",$D$2:D35,D35)-1)</f>
        <v/>
      </c>
      <c r="O35" s="62" t="str">
        <f>IF(OR(D35="",NOT(AND(F35=1,G35="轿车"))),"",1+SUMPRODUCT(($F$2:$F$1001=1)*($G$2:$G$1001="轿车")*($D$2:$D$1001&gt;D35))+COUNTIFS($F$2:F35,1,$G$2:G35,"轿车",$D$2:D35,D35)-1)</f>
        <v/>
      </c>
      <c r="P35" s="62" t="str">
        <f>IF(OR(D35="",NOT(AND(F35=1,G35="MPV"))),"",1+SUMPRODUCT(($F$2:$F$1001=1)*($G$2:$G$1001="MPV")*($D$2:$D$1001&gt;D35))+COUNTIFS($F$2:F35,1,$G$2:G35,"MPV",$D$2:D35,D35)-1)</f>
        <v/>
      </c>
      <c r="Q35" s="62" t="str">
        <f>IF(OR(D35="",NOT(AND(F35=1,G35="SUV"))),"",1+SUMPRODUCT(($F$2:$F$1001=1)*($G$2:$G$1001="SUV")*($D$2:$D$1001&gt;D35))+COUNTIFS($F$2:F35,1,$G$2:G35,"SUV",$D$2:D35,D35)-1)</f>
        <v/>
      </c>
    </row>
    <row r="36" spans="1:17">
      <c r="A36" s="62" t="str">
        <f>IFERROR(INDEX($H$2:$H$3000,MATCH(0,INDEX(COUNTIF($A$1:A35,$H$2:$H$3000)+($H$2:$H$3000=""),0,0),0)),"")</f>
        <v>BMW♦I4</v>
      </c>
      <c r="B36" s="62" t="str">
        <f t="shared" si="0"/>
        <v>BMW</v>
      </c>
      <c r="C36" s="62" t="str">
        <f t="shared" si="1"/>
        <v>I4</v>
      </c>
      <c r="D36" s="63">
        <f t="shared" si="2"/>
        <v>1</v>
      </c>
      <c r="E36" s="62">
        <f>IF(D36="","",_xlfn.RANK.EQ(D36,$D$2:$D$1001,0)+COUNTIF($D$2:D36,D36)-1)</f>
        <v>223</v>
      </c>
      <c r="F36" s="62">
        <f>IF(B36="","",--(COUNTIF(CN_Brands!$A$2:$A$300,UPPER(B36))&gt;0))</f>
        <v>0</v>
      </c>
      <c r="G36" s="62" t="str">
        <f t="shared" si="3"/>
        <v>轿车</v>
      </c>
      <c r="H36" s="62" t="str">
        <f>IF(AND('Data Export'!A36=前十整体车型排名!$B$2,'Data Export'!B36=前十整体车型排名!$B$3,'Data Export'!D36&lt;&gt;""),UPPER('Data Export'!C36)&amp;"♦"&amp;'Data Export'!D36,"")</f>
        <v>AUDI♦A5</v>
      </c>
      <c r="I36" s="63">
        <f>IF(H36="","",IFERROR(INDEX('Data Export'!G36:CZ36,1,MATCH(前十整体车型排名!$B$4,'Data Export'!$G$1:$CZ$1,0)),0))</f>
        <v>0</v>
      </c>
      <c r="J36" s="62" t="str">
        <f>IF(H36="","",IF(OR('Data Export'!F36="三厢轿车",'Data Export'!F36="掀背轿车",'Data Export'!F36="旅行车",'Data Export'!F36="微型车",'Data Export'!F36="硬顶跑车",'Data Export'!F36="敞蓬车",'Data Export'!F36="Targa"),"轿车",IF(OR('Data Export'!F36="小型MPV",'Data Export'!F36="客车"),"MPV",IF('Data Export'!F36="运动型多功能车","SUV","其他"))))</f>
        <v>轿车</v>
      </c>
      <c r="K36" s="62" t="str">
        <f>IF(OR(D36="",NOT(F36=1)),"",1+SUMPRODUCT(($F$2:$F$1001=1)*($D$2:$D$1001&gt;D36))+COUNTIFS($F$2:F36,1,$D$2:D36,D36)-1)</f>
        <v/>
      </c>
      <c r="L36" s="62">
        <f>IF(OR(D36="",NOT(G36="轿车")),"",1+SUMPRODUCT(($G$2:$G$1001="轿车")*($D$2:$D$1001&gt;D36))+COUNTIFS($G$2:G36,"轿车",$D$2:D36,D36)-1)</f>
        <v>67</v>
      </c>
      <c r="M36" s="62" t="str">
        <f>IF(OR(D36="",NOT(G36="MPV")),"",1+SUMPRODUCT(($G$2:$G$1001="MPV")*($D$2:$D$1001&gt;D36))+COUNTIFS($G$2:G36,"MPV",$D$2:D36,D36)-1)</f>
        <v/>
      </c>
      <c r="N36" s="62" t="str">
        <f>IF(OR(D36="",NOT(G36="SUV")),"",1+SUMPRODUCT(($G$2:$G$1001="SUV")*($D$2:$D$1001&gt;D36))+COUNTIFS($G$2:G36,"SUV",$D$2:D36,D36)-1)</f>
        <v/>
      </c>
      <c r="O36" s="62" t="str">
        <f>IF(OR(D36="",NOT(AND(F36=1,G36="轿车"))),"",1+SUMPRODUCT(($F$2:$F$1001=1)*($G$2:$G$1001="轿车")*($D$2:$D$1001&gt;D36))+COUNTIFS($F$2:F36,1,$G$2:G36,"轿车",$D$2:D36,D36)-1)</f>
        <v/>
      </c>
      <c r="P36" s="62" t="str">
        <f>IF(OR(D36="",NOT(AND(F36=1,G36="MPV"))),"",1+SUMPRODUCT(($F$2:$F$1001=1)*($G$2:$G$1001="MPV")*($D$2:$D$1001&gt;D36))+COUNTIFS($F$2:F36,1,$G$2:G36,"MPV",$D$2:D36,D36)-1)</f>
        <v/>
      </c>
      <c r="Q36" s="62" t="str">
        <f>IF(OR(D36="",NOT(AND(F36=1,G36="SUV"))),"",1+SUMPRODUCT(($F$2:$F$1001=1)*($G$2:$G$1001="SUV")*($D$2:$D$1001&gt;D36))+COUNTIFS($F$2:F36,1,$G$2:G36,"SUV",$D$2:D36,D36)-1)</f>
        <v/>
      </c>
    </row>
    <row r="37" spans="1:17">
      <c r="A37" s="62" t="str">
        <f>IFERROR(INDEX($H$2:$H$3000,MATCH(0,INDEX(COUNTIF($A$1:A36,$H$2:$H$3000)+($H$2:$H$3000=""),0,0),0)),"")</f>
        <v>BMW♦I5</v>
      </c>
      <c r="B37" s="62" t="str">
        <f t="shared" si="0"/>
        <v>BMW</v>
      </c>
      <c r="C37" s="62" t="str">
        <f t="shared" si="1"/>
        <v>I5</v>
      </c>
      <c r="D37" s="63">
        <f t="shared" si="2"/>
        <v>32</v>
      </c>
      <c r="E37" s="62">
        <f>IF(D37="","",_xlfn.RANK.EQ(D37,$D$2:$D$1001,0)+COUNTIF($D$2:D37,D37)-1)</f>
        <v>107</v>
      </c>
      <c r="F37" s="62">
        <f>IF(B37="","",--(COUNTIF(CN_Brands!$A$2:$A$300,UPPER(B37))&gt;0))</f>
        <v>0</v>
      </c>
      <c r="G37" s="62" t="str">
        <f t="shared" si="3"/>
        <v>其他</v>
      </c>
      <c r="H37" s="62" t="str">
        <f>IF(AND('Data Export'!A37=前十整体车型排名!$B$2,'Data Export'!B37=前十整体车型排名!$B$3,'Data Export'!D37&lt;&gt;""),UPPER('Data Export'!C37)&amp;"♦"&amp;'Data Export'!D37,"")</f>
        <v>AUDI♦A5</v>
      </c>
      <c r="I37" s="63">
        <f>IF(H37="","",IFERROR(INDEX('Data Export'!G37:CZ37,1,MATCH(前十整体车型排名!$B$4,'Data Export'!$G$1:$CZ$1,0)),0))</f>
        <v>2</v>
      </c>
      <c r="J37" s="62" t="str">
        <f>IF(H37="","",IF(OR('Data Export'!F37="三厢轿车",'Data Export'!F37="掀背轿车",'Data Export'!F37="旅行车",'Data Export'!F37="微型车",'Data Export'!F37="硬顶跑车",'Data Export'!F37="敞蓬车",'Data Export'!F37="Targa"),"轿车",IF(OR('Data Export'!F37="小型MPV",'Data Export'!F37="客车"),"MPV",IF('Data Export'!F37="运动型多功能车","SUV","其他"))))</f>
        <v>轿车</v>
      </c>
      <c r="K37" s="62" t="str">
        <f>IF(OR(D37="",NOT(F37=1)),"",1+SUMPRODUCT(($F$2:$F$1001=1)*($D$2:$D$1001&gt;D37))+COUNTIFS($F$2:F37,1,$D$2:D37,D37)-1)</f>
        <v/>
      </c>
      <c r="L37" s="62" t="str">
        <f>IF(OR(D37="",NOT(G37="轿车")),"",1+SUMPRODUCT(($G$2:$G$1001="轿车")*($D$2:$D$1001&gt;D37))+COUNTIFS($G$2:G37,"轿车",$D$2:D37,D37)-1)</f>
        <v/>
      </c>
      <c r="M37" s="62" t="str">
        <f>IF(OR(D37="",NOT(G37="MPV")),"",1+SUMPRODUCT(($G$2:$G$1001="MPV")*($D$2:$D$1001&gt;D37))+COUNTIFS($G$2:G37,"MPV",$D$2:D37,D37)-1)</f>
        <v/>
      </c>
      <c r="N37" s="62" t="str">
        <f>IF(OR(D37="",NOT(G37="SUV")),"",1+SUMPRODUCT(($G$2:$G$1001="SUV")*($D$2:$D$1001&gt;D37))+COUNTIFS($G$2:G37,"SUV",$D$2:D37,D37)-1)</f>
        <v/>
      </c>
      <c r="O37" s="62" t="str">
        <f>IF(OR(D37="",NOT(AND(F37=1,G37="轿车"))),"",1+SUMPRODUCT(($F$2:$F$1001=1)*($G$2:$G$1001="轿车")*($D$2:$D$1001&gt;D37))+COUNTIFS($F$2:F37,1,$G$2:G37,"轿车",$D$2:D37,D37)-1)</f>
        <v/>
      </c>
      <c r="P37" s="62" t="str">
        <f>IF(OR(D37="",NOT(AND(F37=1,G37="MPV"))),"",1+SUMPRODUCT(($F$2:$F$1001=1)*($G$2:$G$1001="MPV")*($D$2:$D$1001&gt;D37))+COUNTIFS($F$2:F37,1,$G$2:G37,"MPV",$D$2:D37,D37)-1)</f>
        <v/>
      </c>
      <c r="Q37" s="62" t="str">
        <f>IF(OR(D37="",NOT(AND(F37=1,G37="SUV"))),"",1+SUMPRODUCT(($F$2:$F$1001=1)*($G$2:$G$1001="SUV")*($D$2:$D$1001&gt;D37))+COUNTIFS($F$2:F37,1,$G$2:G37,"SUV",$D$2:D37,D37)-1)</f>
        <v/>
      </c>
    </row>
    <row r="38" spans="1:17">
      <c r="A38" s="62" t="str">
        <f>IFERROR(INDEX($H$2:$H$3000,MATCH(0,INDEX(COUNTIF($A$1:A37,$H$2:$H$3000)+($H$2:$H$3000=""),0,0),0)),"")</f>
        <v>BMW♦I7</v>
      </c>
      <c r="B38" s="62" t="str">
        <f t="shared" si="0"/>
        <v>BMW</v>
      </c>
      <c r="C38" s="62" t="str">
        <f t="shared" si="1"/>
        <v>I7</v>
      </c>
      <c r="D38" s="63">
        <f t="shared" si="2"/>
        <v>8</v>
      </c>
      <c r="E38" s="62">
        <f>IF(D38="","",_xlfn.RANK.EQ(D38,$D$2:$D$1001,0)+COUNTIF($D$2:D38,D38)-1)</f>
        <v>150</v>
      </c>
      <c r="F38" s="62">
        <f>IF(B38="","",--(COUNTIF(CN_Brands!$A$2:$A$300,UPPER(B38))&gt;0))</f>
        <v>0</v>
      </c>
      <c r="G38" s="62" t="str">
        <f t="shared" si="3"/>
        <v>轿车</v>
      </c>
      <c r="H38" s="62" t="str">
        <f>IF(AND('Data Export'!A38=前十整体车型排名!$B$2,'Data Export'!B38=前十整体车型排名!$B$3,'Data Export'!D38&lt;&gt;""),UPPER('Data Export'!C38)&amp;"♦"&amp;'Data Export'!D38,"")</f>
        <v>AUDI♦A6</v>
      </c>
      <c r="I38" s="63">
        <f>IF(H38="","",IFERROR(INDEX('Data Export'!G38:CZ38,1,MATCH(前十整体车型排名!$B$4,'Data Export'!$G$1:$CZ$1,0)),0))</f>
        <v>0</v>
      </c>
      <c r="J38" s="62" t="str">
        <f>IF(H38="","",IF(OR('Data Export'!F38="三厢轿车",'Data Export'!F38="掀背轿车",'Data Export'!F38="旅行车",'Data Export'!F38="微型车",'Data Export'!F38="硬顶跑车",'Data Export'!F38="敞蓬车",'Data Export'!F38="Targa"),"轿车",IF(OR('Data Export'!F38="小型MPV",'Data Export'!F38="客车"),"MPV",IF('Data Export'!F38="运动型多功能车","SUV","其他"))))</f>
        <v>轿车</v>
      </c>
      <c r="K38" s="62" t="str">
        <f>IF(OR(D38="",NOT(F38=1)),"",1+SUMPRODUCT(($F$2:$F$1001=1)*($D$2:$D$1001&gt;D38))+COUNTIFS($F$2:F38,1,$D$2:D38,D38)-1)</f>
        <v/>
      </c>
      <c r="L38" s="62">
        <f>IF(OR(D38="",NOT(G38="轿车")),"",1+SUMPRODUCT(($G$2:$G$1001="轿车")*($D$2:$D$1001&gt;D38))+COUNTIFS($G$2:G38,"轿车",$D$2:D38,D38)-1)</f>
        <v>40</v>
      </c>
      <c r="M38" s="62" t="str">
        <f>IF(OR(D38="",NOT(G38="MPV")),"",1+SUMPRODUCT(($G$2:$G$1001="MPV")*($D$2:$D$1001&gt;D38))+COUNTIFS($G$2:G38,"MPV",$D$2:D38,D38)-1)</f>
        <v/>
      </c>
      <c r="N38" s="62" t="str">
        <f>IF(OR(D38="",NOT(G38="SUV")),"",1+SUMPRODUCT(($G$2:$G$1001="SUV")*($D$2:$D$1001&gt;D38))+COUNTIFS($G$2:G38,"SUV",$D$2:D38,D38)-1)</f>
        <v/>
      </c>
      <c r="O38" s="62" t="str">
        <f>IF(OR(D38="",NOT(AND(F38=1,G38="轿车"))),"",1+SUMPRODUCT(($F$2:$F$1001=1)*($G$2:$G$1001="轿车")*($D$2:$D$1001&gt;D38))+COUNTIFS($F$2:F38,1,$G$2:G38,"轿车",$D$2:D38,D38)-1)</f>
        <v/>
      </c>
      <c r="P38" s="62" t="str">
        <f>IF(OR(D38="",NOT(AND(F38=1,G38="MPV"))),"",1+SUMPRODUCT(($F$2:$F$1001=1)*($G$2:$G$1001="MPV")*($D$2:$D$1001&gt;D38))+COUNTIFS($F$2:F38,1,$G$2:G38,"MPV",$D$2:D38,D38)-1)</f>
        <v/>
      </c>
      <c r="Q38" s="62" t="str">
        <f>IF(OR(D38="",NOT(AND(F38=1,G38="SUV"))),"",1+SUMPRODUCT(($F$2:$F$1001=1)*($G$2:$G$1001="SUV")*($D$2:$D$1001&gt;D38))+COUNTIFS($F$2:F38,1,$G$2:G38,"SUV",$D$2:D38,D38)-1)</f>
        <v/>
      </c>
    </row>
    <row r="39" spans="1:17">
      <c r="A39" s="62" t="str">
        <f>IFERROR(INDEX($H$2:$H$3000,MATCH(0,INDEX(COUNTIF($A$1:A38,$H$2:$H$3000)+($H$2:$H$3000=""),0,0),0)),"")</f>
        <v>BMW♦IX</v>
      </c>
      <c r="B39" s="62" t="str">
        <f t="shared" si="0"/>
        <v>BMW</v>
      </c>
      <c r="C39" s="62" t="str">
        <f t="shared" si="1"/>
        <v>IX</v>
      </c>
      <c r="D39" s="63">
        <f t="shared" si="2"/>
        <v>0</v>
      </c>
      <c r="E39" s="62">
        <f>IF(D39="","",_xlfn.RANK.EQ(D39,$D$2:$D$1001,0)+COUNTIF($D$2:D39,D39)-1)</f>
        <v>280</v>
      </c>
      <c r="F39" s="62">
        <f>IF(B39="","",--(COUNTIF(CN_Brands!$A$2:$A$300,UPPER(B39))&gt;0))</f>
        <v>0</v>
      </c>
      <c r="G39" s="62" t="str">
        <f t="shared" si="3"/>
        <v>SUV</v>
      </c>
      <c r="H39" s="62" t="str">
        <f>IF(AND('Data Export'!A39=前十整体车型排名!$B$2,'Data Export'!B39=前十整体车型排名!$B$3,'Data Export'!D39&lt;&gt;""),UPPER('Data Export'!C39)&amp;"♦"&amp;'Data Export'!D39,"")</f>
        <v>AUDI♦A6</v>
      </c>
      <c r="I39" s="63">
        <f>IF(H39="","",IFERROR(INDEX('Data Export'!G39:CZ39,1,MATCH(前十整体车型排名!$B$4,'Data Export'!$G$1:$CZ$1,0)),0))</f>
        <v>0</v>
      </c>
      <c r="J39" s="62" t="str">
        <f>IF(H39="","",IF(OR('Data Export'!F39="三厢轿车",'Data Export'!F39="掀背轿车",'Data Export'!F39="旅行车",'Data Export'!F39="微型车",'Data Export'!F39="硬顶跑车",'Data Export'!F39="敞蓬车",'Data Export'!F39="Targa"),"轿车",IF(OR('Data Export'!F39="小型MPV",'Data Export'!F39="客车"),"MPV",IF('Data Export'!F39="运动型多功能车","SUV","其他"))))</f>
        <v>轿车</v>
      </c>
      <c r="K39" s="62" t="str">
        <f>IF(OR(D39="",NOT(F39=1)),"",1+SUMPRODUCT(($F$2:$F$1001=1)*($D$2:$D$1001&gt;D39))+COUNTIFS($F$2:F39,1,$D$2:D39,D39)-1)</f>
        <v/>
      </c>
      <c r="L39" s="62" t="str">
        <f>IF(OR(D39="",NOT(G39="轿车")),"",1+SUMPRODUCT(($G$2:$G$1001="轿车")*($D$2:$D$1001&gt;D39))+COUNTIFS($G$2:G39,"轿车",$D$2:D39,D39)-1)</f>
        <v/>
      </c>
      <c r="M39" s="62" t="str">
        <f>IF(OR(D39="",NOT(G39="MPV")),"",1+SUMPRODUCT(($G$2:$G$1001="MPV")*($D$2:$D$1001&gt;D39))+COUNTIFS($G$2:G39,"MPV",$D$2:D39,D39)-1)</f>
        <v/>
      </c>
      <c r="N39" s="62">
        <f>IF(OR(D39="",NOT(G39="SUV")),"",1+SUMPRODUCT(($G$2:$G$1001="SUV")*($D$2:$D$1001&gt;D39))+COUNTIFS($G$2:G39,"SUV",$D$2:D39,D39)-1)</f>
        <v>135</v>
      </c>
      <c r="O39" s="62" t="str">
        <f>IF(OR(D39="",NOT(AND(F39=1,G39="轿车"))),"",1+SUMPRODUCT(($F$2:$F$1001=1)*($G$2:$G$1001="轿车")*($D$2:$D$1001&gt;D39))+COUNTIFS($F$2:F39,1,$G$2:G39,"轿车",$D$2:D39,D39)-1)</f>
        <v/>
      </c>
      <c r="P39" s="62" t="str">
        <f>IF(OR(D39="",NOT(AND(F39=1,G39="MPV"))),"",1+SUMPRODUCT(($F$2:$F$1001=1)*($G$2:$G$1001="MPV")*($D$2:$D$1001&gt;D39))+COUNTIFS($F$2:F39,1,$G$2:G39,"MPV",$D$2:D39,D39)-1)</f>
        <v/>
      </c>
      <c r="Q39" s="62" t="str">
        <f>IF(OR(D39="",NOT(AND(F39=1,G39="SUV"))),"",1+SUMPRODUCT(($F$2:$F$1001=1)*($G$2:$G$1001="SUV")*($D$2:$D$1001&gt;D39))+COUNTIFS($F$2:F39,1,$G$2:G39,"SUV",$D$2:D39,D39)-1)</f>
        <v/>
      </c>
    </row>
    <row r="40" spans="1:17">
      <c r="A40" s="62" t="str">
        <f>IFERROR(INDEX($H$2:$H$3000,MATCH(0,INDEX(COUNTIF($A$1:A39,$H$2:$H$3000)+($H$2:$H$3000=""),0,0),0)),"")</f>
        <v>BMW♦IX1</v>
      </c>
      <c r="B40" s="62" t="str">
        <f t="shared" si="0"/>
        <v>BMW</v>
      </c>
      <c r="C40" s="62" t="str">
        <f t="shared" si="1"/>
        <v>IX1</v>
      </c>
      <c r="D40" s="63">
        <f t="shared" si="2"/>
        <v>61</v>
      </c>
      <c r="E40" s="62">
        <f>IF(D40="","",_xlfn.RANK.EQ(D40,$D$2:$D$1001,0)+COUNTIF($D$2:D40,D40)-1)</f>
        <v>91</v>
      </c>
      <c r="F40" s="62">
        <f>IF(B40="","",--(COUNTIF(CN_Brands!$A$2:$A$300,UPPER(B40))&gt;0))</f>
        <v>0</v>
      </c>
      <c r="G40" s="62" t="str">
        <f t="shared" si="3"/>
        <v>SUV</v>
      </c>
      <c r="H40" s="62" t="str">
        <f>IF(AND('Data Export'!A40=前十整体车型排名!$B$2,'Data Export'!B40=前十整体车型排名!$B$3,'Data Export'!D40&lt;&gt;""),UPPER('Data Export'!C40)&amp;"♦"&amp;'Data Export'!D40,"")</f>
        <v>AUDI♦A6 E-TRON</v>
      </c>
      <c r="I40" s="63">
        <f>IF(H40="","",IFERROR(INDEX('Data Export'!G40:CZ40,1,MATCH(前十整体车型排名!$B$4,'Data Export'!$G$1:$CZ$1,0)),0))</f>
        <v>0</v>
      </c>
      <c r="J40" s="62" t="str">
        <f>IF(H40="","",IF(OR('Data Export'!F40="三厢轿车",'Data Export'!F40="掀背轿车",'Data Export'!F40="旅行车",'Data Export'!F40="微型车",'Data Export'!F40="硬顶跑车",'Data Export'!F40="敞蓬车",'Data Export'!F40="Targa"),"轿车",IF(OR('Data Export'!F40="小型MPV",'Data Export'!F40="客车"),"MPV",IF('Data Export'!F40="运动型多功能车","SUV","其他"))))</f>
        <v>轿车</v>
      </c>
      <c r="K40" s="62" t="str">
        <f>IF(OR(D40="",NOT(F40=1)),"",1+SUMPRODUCT(($F$2:$F$1001=1)*($D$2:$D$1001&gt;D40))+COUNTIFS($F$2:F40,1,$D$2:D40,D40)-1)</f>
        <v/>
      </c>
      <c r="L40" s="62" t="str">
        <f>IF(OR(D40="",NOT(G40="轿车")),"",1+SUMPRODUCT(($G$2:$G$1001="轿车")*($D$2:$D$1001&gt;D40))+COUNTIFS($G$2:G40,"轿车",$D$2:D40,D40)-1)</f>
        <v/>
      </c>
      <c r="M40" s="62" t="str">
        <f>IF(OR(D40="",NOT(G40="MPV")),"",1+SUMPRODUCT(($G$2:$G$1001="MPV")*($D$2:$D$1001&gt;D40))+COUNTIFS($G$2:G40,"MPV",$D$2:D40,D40)-1)</f>
        <v/>
      </c>
      <c r="N40" s="62">
        <f>IF(OR(D40="",NOT(G40="SUV")),"",1+SUMPRODUCT(($G$2:$G$1001="SUV")*($D$2:$D$1001&gt;D40))+COUNTIFS($G$2:G40,"SUV",$D$2:D40,D40)-1)</f>
        <v>45</v>
      </c>
      <c r="O40" s="62" t="str">
        <f>IF(OR(D40="",NOT(AND(F40=1,G40="轿车"))),"",1+SUMPRODUCT(($F$2:$F$1001=1)*($G$2:$G$1001="轿车")*($D$2:$D$1001&gt;D40))+COUNTIFS($F$2:F40,1,$G$2:G40,"轿车",$D$2:D40,D40)-1)</f>
        <v/>
      </c>
      <c r="P40" s="62" t="str">
        <f>IF(OR(D40="",NOT(AND(F40=1,G40="MPV"))),"",1+SUMPRODUCT(($F$2:$F$1001=1)*($G$2:$G$1001="MPV")*($D$2:$D$1001&gt;D40))+COUNTIFS($F$2:F40,1,$G$2:G40,"MPV",$D$2:D40,D40)-1)</f>
        <v/>
      </c>
      <c r="Q40" s="62" t="str">
        <f>IF(OR(D40="",NOT(AND(F40=1,G40="SUV"))),"",1+SUMPRODUCT(($F$2:$F$1001=1)*($G$2:$G$1001="SUV")*($D$2:$D$1001&gt;D40))+COUNTIFS($F$2:F40,1,$G$2:G40,"SUV",$D$2:D40,D40)-1)</f>
        <v/>
      </c>
    </row>
    <row r="41" spans="1:17">
      <c r="A41" s="62" t="str">
        <f>IFERROR(INDEX($H$2:$H$3000,MATCH(0,INDEX(COUNTIF($A$1:A40,$H$2:$H$3000)+($H$2:$H$3000=""),0,0),0)),"")</f>
        <v>BMW♦IX2</v>
      </c>
      <c r="B41" s="62" t="str">
        <f t="shared" si="0"/>
        <v>BMW</v>
      </c>
      <c r="C41" s="62" t="str">
        <f t="shared" si="1"/>
        <v>IX2</v>
      </c>
      <c r="D41" s="63">
        <f t="shared" si="2"/>
        <v>1</v>
      </c>
      <c r="E41" s="62">
        <f>IF(D41="","",_xlfn.RANK.EQ(D41,$D$2:$D$1001,0)+COUNTIF($D$2:D41,D41)-1)</f>
        <v>224</v>
      </c>
      <c r="F41" s="62">
        <f>IF(B41="","",--(COUNTIF(CN_Brands!$A$2:$A$300,UPPER(B41))&gt;0))</f>
        <v>0</v>
      </c>
      <c r="G41" s="62" t="str">
        <f t="shared" si="3"/>
        <v>SUV</v>
      </c>
      <c r="H41" s="62" t="str">
        <f>IF(AND('Data Export'!A41=前十整体车型排名!$B$2,'Data Export'!B41=前十整体车型排名!$B$3,'Data Export'!D41&lt;&gt;""),UPPER('Data Export'!C41)&amp;"♦"&amp;'Data Export'!D41,"")</f>
        <v>AUDI♦A7</v>
      </c>
      <c r="I41" s="63">
        <f>IF(H41="","",IFERROR(INDEX('Data Export'!G41:CZ41,1,MATCH(前十整体车型排名!$B$4,'Data Export'!$G$1:$CZ$1,0)),0))</f>
        <v>0</v>
      </c>
      <c r="J41" s="62" t="str">
        <f>IF(H41="","",IF(OR('Data Export'!F41="三厢轿车",'Data Export'!F41="掀背轿车",'Data Export'!F41="旅行车",'Data Export'!F41="微型车",'Data Export'!F41="硬顶跑车",'Data Export'!F41="敞蓬车",'Data Export'!F41="Targa"),"轿车",IF(OR('Data Export'!F41="小型MPV",'Data Export'!F41="客车"),"MPV",IF('Data Export'!F41="运动型多功能车","SUV","其他"))))</f>
        <v>轿车</v>
      </c>
      <c r="K41" s="62" t="str">
        <f>IF(OR(D41="",NOT(F41=1)),"",1+SUMPRODUCT(($F$2:$F$1001=1)*($D$2:$D$1001&gt;D41))+COUNTIFS($F$2:F41,1,$D$2:D41,D41)-1)</f>
        <v/>
      </c>
      <c r="L41" s="62" t="str">
        <f>IF(OR(D41="",NOT(G41="轿车")),"",1+SUMPRODUCT(($G$2:$G$1001="轿车")*($D$2:$D$1001&gt;D41))+COUNTIFS($G$2:G41,"轿车",$D$2:D41,D41)-1)</f>
        <v/>
      </c>
      <c r="M41" s="62" t="str">
        <f>IF(OR(D41="",NOT(G41="MPV")),"",1+SUMPRODUCT(($G$2:$G$1001="MPV")*($D$2:$D$1001&gt;D41))+COUNTIFS($G$2:G41,"MPV",$D$2:D41,D41)-1)</f>
        <v/>
      </c>
      <c r="N41" s="62">
        <f>IF(OR(D41="",NOT(G41="SUV")),"",1+SUMPRODUCT(($G$2:$G$1001="SUV")*($D$2:$D$1001&gt;D41))+COUNTIFS($G$2:G41,"SUV",$D$2:D41,D41)-1)</f>
        <v>117</v>
      </c>
      <c r="O41" s="62" t="str">
        <f>IF(OR(D41="",NOT(AND(F41=1,G41="轿车"))),"",1+SUMPRODUCT(($F$2:$F$1001=1)*($G$2:$G$1001="轿车")*($D$2:$D$1001&gt;D41))+COUNTIFS($F$2:F41,1,$G$2:G41,"轿车",$D$2:D41,D41)-1)</f>
        <v/>
      </c>
      <c r="P41" s="62" t="str">
        <f>IF(OR(D41="",NOT(AND(F41=1,G41="MPV"))),"",1+SUMPRODUCT(($F$2:$F$1001=1)*($G$2:$G$1001="MPV")*($D$2:$D$1001&gt;D41))+COUNTIFS($F$2:F41,1,$G$2:G41,"MPV",$D$2:D41,D41)-1)</f>
        <v/>
      </c>
      <c r="Q41" s="62" t="str">
        <f>IF(OR(D41="",NOT(AND(F41=1,G41="SUV"))),"",1+SUMPRODUCT(($F$2:$F$1001=1)*($G$2:$G$1001="SUV")*($D$2:$D$1001&gt;D41))+COUNTIFS($F$2:F41,1,$G$2:G41,"SUV",$D$2:D41,D41)-1)</f>
        <v/>
      </c>
    </row>
    <row r="42" spans="1:17">
      <c r="A42" s="62" t="str">
        <f>IFERROR(INDEX($H$2:$H$3000,MATCH(0,INDEX(COUNTIF($A$1:A41,$H$2:$H$3000)+($H$2:$H$3000=""),0,0),0)),"")</f>
        <v>BMW♦IX3</v>
      </c>
      <c r="B42" s="62" t="str">
        <f t="shared" si="0"/>
        <v>BMW</v>
      </c>
      <c r="C42" s="62" t="str">
        <f t="shared" si="1"/>
        <v>IX3</v>
      </c>
      <c r="D42" s="63">
        <f t="shared" si="2"/>
        <v>8</v>
      </c>
      <c r="E42" s="62">
        <f>IF(D42="","",_xlfn.RANK.EQ(D42,$D$2:$D$1001,0)+COUNTIF($D$2:D42,D42)-1)</f>
        <v>151</v>
      </c>
      <c r="F42" s="62">
        <f>IF(B42="","",--(COUNTIF(CN_Brands!$A$2:$A$300,UPPER(B42))&gt;0))</f>
        <v>0</v>
      </c>
      <c r="G42" s="62" t="str">
        <f t="shared" si="3"/>
        <v>SUV</v>
      </c>
      <c r="H42" s="62" t="str">
        <f>IF(AND('Data Export'!A42=前十整体车型排名!$B$2,'Data Export'!B42=前十整体车型排名!$B$3,'Data Export'!D42&lt;&gt;""),UPPER('Data Export'!C42)&amp;"♦"&amp;'Data Export'!D42,"")</f>
        <v>AUDI♦A7</v>
      </c>
      <c r="I42" s="63">
        <f>IF(H42="","",IFERROR(INDEX('Data Export'!G42:CZ42,1,MATCH(前十整体车型排名!$B$4,'Data Export'!$G$1:$CZ$1,0)),0))</f>
        <v>0</v>
      </c>
      <c r="J42" s="62" t="str">
        <f>IF(H42="","",IF(OR('Data Export'!F42="三厢轿车",'Data Export'!F42="掀背轿车",'Data Export'!F42="旅行车",'Data Export'!F42="微型车",'Data Export'!F42="硬顶跑车",'Data Export'!F42="敞蓬车",'Data Export'!F42="Targa"),"轿车",IF(OR('Data Export'!F42="小型MPV",'Data Export'!F42="客车"),"MPV",IF('Data Export'!F42="运动型多功能车","SUV","其他"))))</f>
        <v>轿车</v>
      </c>
      <c r="K42" s="62" t="str">
        <f>IF(OR(D42="",NOT(F42=1)),"",1+SUMPRODUCT(($F$2:$F$1001=1)*($D$2:$D$1001&gt;D42))+COUNTIFS($F$2:F42,1,$D$2:D42,D42)-1)</f>
        <v/>
      </c>
      <c r="L42" s="62" t="str">
        <f>IF(OR(D42="",NOT(G42="轿车")),"",1+SUMPRODUCT(($G$2:$G$1001="轿车")*($D$2:$D$1001&gt;D42))+COUNTIFS($G$2:G42,"轿车",$D$2:D42,D42)-1)</f>
        <v/>
      </c>
      <c r="M42" s="62" t="str">
        <f>IF(OR(D42="",NOT(G42="MPV")),"",1+SUMPRODUCT(($G$2:$G$1001="MPV")*($D$2:$D$1001&gt;D42))+COUNTIFS($G$2:G42,"MPV",$D$2:D42,D42)-1)</f>
        <v/>
      </c>
      <c r="N42" s="62">
        <f>IF(OR(D42="",NOT(G42="SUV")),"",1+SUMPRODUCT(($G$2:$G$1001="SUV")*($D$2:$D$1001&gt;D42))+COUNTIFS($G$2:G42,"SUV",$D$2:D42,D42)-1)</f>
        <v>82</v>
      </c>
      <c r="O42" s="62" t="str">
        <f>IF(OR(D42="",NOT(AND(F42=1,G42="轿车"))),"",1+SUMPRODUCT(($F$2:$F$1001=1)*($G$2:$G$1001="轿车")*($D$2:$D$1001&gt;D42))+COUNTIFS($F$2:F42,1,$G$2:G42,"轿车",$D$2:D42,D42)-1)</f>
        <v/>
      </c>
      <c r="P42" s="62" t="str">
        <f>IF(OR(D42="",NOT(AND(F42=1,G42="MPV"))),"",1+SUMPRODUCT(($F$2:$F$1001=1)*($G$2:$G$1001="MPV")*($D$2:$D$1001&gt;D42))+COUNTIFS($F$2:F42,1,$G$2:G42,"MPV",$D$2:D42,D42)-1)</f>
        <v/>
      </c>
      <c r="Q42" s="62" t="str">
        <f>IF(OR(D42="",NOT(AND(F42=1,G42="SUV"))),"",1+SUMPRODUCT(($F$2:$F$1001=1)*($G$2:$G$1001="SUV")*($D$2:$D$1001&gt;D42))+COUNTIFS($F$2:F42,1,$G$2:G42,"SUV",$D$2:D42,D42)-1)</f>
        <v/>
      </c>
    </row>
    <row r="43" spans="1:17">
      <c r="A43" s="62" t="str">
        <f>IFERROR(INDEX($H$2:$H$3000,MATCH(0,INDEX(COUNTIF($A$1:A42,$H$2:$H$3000)+($H$2:$H$3000=""),0,0),0)),"")</f>
        <v>BMW♦OTHER</v>
      </c>
      <c r="B43" s="62" t="str">
        <f t="shared" si="0"/>
        <v>BMW</v>
      </c>
      <c r="C43" s="62" t="str">
        <f t="shared" si="1"/>
        <v>OTHER</v>
      </c>
      <c r="D43" s="63">
        <f t="shared" si="2"/>
        <v>0</v>
      </c>
      <c r="E43" s="62">
        <f>IF(D43="","",_xlfn.RANK.EQ(D43,$D$2:$D$1001,0)+COUNTIF($D$2:D43,D43)-1)</f>
        <v>281</v>
      </c>
      <c r="F43" s="62">
        <f>IF(B43="","",--(COUNTIF(CN_Brands!$A$2:$A$300,UPPER(B43))&gt;0))</f>
        <v>0</v>
      </c>
      <c r="G43" s="62" t="str">
        <f t="shared" si="3"/>
        <v>其他</v>
      </c>
      <c r="H43" s="62" t="str">
        <f>IF(AND('Data Export'!A43=前十整体车型排名!$B$2,'Data Export'!B43=前十整体车型排名!$B$3,'Data Export'!D43&lt;&gt;""),UPPER('Data Export'!C43)&amp;"♦"&amp;'Data Export'!D43,"")</f>
        <v>AUDI♦A7</v>
      </c>
      <c r="I43" s="63">
        <f>IF(H43="","",IFERROR(INDEX('Data Export'!G43:CZ43,1,MATCH(前十整体车型排名!$B$4,'Data Export'!$G$1:$CZ$1,0)),0))</f>
        <v>2</v>
      </c>
      <c r="J43" s="62" t="str">
        <f>IF(H43="","",IF(OR('Data Export'!F43="三厢轿车",'Data Export'!F43="掀背轿车",'Data Export'!F43="旅行车",'Data Export'!F43="微型车",'Data Export'!F43="硬顶跑车",'Data Export'!F43="敞蓬车",'Data Export'!F43="Targa"),"轿车",IF(OR('Data Export'!F43="小型MPV",'Data Export'!F43="客车"),"MPV",IF('Data Export'!F43="运动型多功能车","SUV","其他"))))</f>
        <v>轿车</v>
      </c>
      <c r="K43" s="62" t="str">
        <f>IF(OR(D43="",NOT(F43=1)),"",1+SUMPRODUCT(($F$2:$F$1001=1)*($D$2:$D$1001&gt;D43))+COUNTIFS($F$2:F43,1,$D$2:D43,D43)-1)</f>
        <v/>
      </c>
      <c r="L43" s="62" t="str">
        <f>IF(OR(D43="",NOT(G43="轿车")),"",1+SUMPRODUCT(($G$2:$G$1001="轿车")*($D$2:$D$1001&gt;D43))+COUNTIFS($G$2:G43,"轿车",$D$2:D43,D43)-1)</f>
        <v/>
      </c>
      <c r="M43" s="62" t="str">
        <f>IF(OR(D43="",NOT(G43="MPV")),"",1+SUMPRODUCT(($G$2:$G$1001="MPV")*($D$2:$D$1001&gt;D43))+COUNTIFS($G$2:G43,"MPV",$D$2:D43,D43)-1)</f>
        <v/>
      </c>
      <c r="N43" s="62" t="str">
        <f>IF(OR(D43="",NOT(G43="SUV")),"",1+SUMPRODUCT(($G$2:$G$1001="SUV")*($D$2:$D$1001&gt;D43))+COUNTIFS($G$2:G43,"SUV",$D$2:D43,D43)-1)</f>
        <v/>
      </c>
      <c r="O43" s="62" t="str">
        <f>IF(OR(D43="",NOT(AND(F43=1,G43="轿车"))),"",1+SUMPRODUCT(($F$2:$F$1001=1)*($G$2:$G$1001="轿车")*($D$2:$D$1001&gt;D43))+COUNTIFS($F$2:F43,1,$G$2:G43,"轿车",$D$2:D43,D43)-1)</f>
        <v/>
      </c>
      <c r="P43" s="62" t="str">
        <f>IF(OR(D43="",NOT(AND(F43=1,G43="MPV"))),"",1+SUMPRODUCT(($F$2:$F$1001=1)*($G$2:$G$1001="MPV")*($D$2:$D$1001&gt;D43))+COUNTIFS($F$2:F43,1,$G$2:G43,"MPV",$D$2:D43,D43)-1)</f>
        <v/>
      </c>
      <c r="Q43" s="62" t="str">
        <f>IF(OR(D43="",NOT(AND(F43=1,G43="SUV"))),"",1+SUMPRODUCT(($F$2:$F$1001=1)*($G$2:$G$1001="SUV")*($D$2:$D$1001&gt;D43))+COUNTIFS($F$2:F43,1,$G$2:G43,"SUV",$D$2:D43,D43)-1)</f>
        <v/>
      </c>
    </row>
    <row r="44" spans="1:17">
      <c r="A44" s="62" t="str">
        <f>IFERROR(INDEX($H$2:$H$3000,MATCH(0,INDEX(COUNTIF($A$1:A43,$H$2:$H$3000)+($H$2:$H$3000=""),0,0),0)),"")</f>
        <v>BMW♦SERIES 2</v>
      </c>
      <c r="B44" s="62" t="str">
        <f t="shared" si="0"/>
        <v>BMW</v>
      </c>
      <c r="C44" s="62" t="str">
        <f t="shared" si="1"/>
        <v>SERIES 2</v>
      </c>
      <c r="D44" s="63">
        <f t="shared" si="2"/>
        <v>73</v>
      </c>
      <c r="E44" s="62">
        <f>IF(D44="","",_xlfn.RANK.EQ(D44,$D$2:$D$1001,0)+COUNTIF($D$2:D44,D44)-1)</f>
        <v>86</v>
      </c>
      <c r="F44" s="62">
        <f>IF(B44="","",--(COUNTIF(CN_Brands!$A$2:$A$300,UPPER(B44))&gt;0))</f>
        <v>0</v>
      </c>
      <c r="G44" s="62" t="str">
        <f t="shared" si="3"/>
        <v>轿车</v>
      </c>
      <c r="H44" s="62" t="str">
        <f>IF(AND('Data Export'!A44=前十整体车型排名!$B$2,'Data Export'!B44=前十整体车型排名!$B$3,'Data Export'!D44&lt;&gt;""),UPPER('Data Export'!C44)&amp;"♦"&amp;'Data Export'!D44,"")</f>
        <v>AUDI♦A7</v>
      </c>
      <c r="I44" s="63">
        <f>IF(H44="","",IFERROR(INDEX('Data Export'!G44:CZ44,1,MATCH(前十整体车型排名!$B$4,'Data Export'!$G$1:$CZ$1,0)),0))</f>
        <v>0</v>
      </c>
      <c r="J44" s="62" t="str">
        <f>IF(H44="","",IF(OR('Data Export'!F44="三厢轿车",'Data Export'!F44="掀背轿车",'Data Export'!F44="旅行车",'Data Export'!F44="微型车",'Data Export'!F44="硬顶跑车",'Data Export'!F44="敞蓬车",'Data Export'!F44="Targa"),"轿车",IF(OR('Data Export'!F44="小型MPV",'Data Export'!F44="客车"),"MPV",IF('Data Export'!F44="运动型多功能车","SUV","其他"))))</f>
        <v>轿车</v>
      </c>
      <c r="K44" s="62" t="str">
        <f>IF(OR(D44="",NOT(F44=1)),"",1+SUMPRODUCT(($F$2:$F$1001=1)*($D$2:$D$1001&gt;D44))+COUNTIFS($F$2:F44,1,$D$2:D44,D44)-1)</f>
        <v/>
      </c>
      <c r="L44" s="62">
        <f>IF(OR(D44="",NOT(G44="轿车")),"",1+SUMPRODUCT(($G$2:$G$1001="轿车")*($D$2:$D$1001&gt;D44))+COUNTIFS($G$2:G44,"轿车",$D$2:D44,D44)-1)</f>
        <v>25</v>
      </c>
      <c r="M44" s="62" t="str">
        <f>IF(OR(D44="",NOT(G44="MPV")),"",1+SUMPRODUCT(($G$2:$G$1001="MPV")*($D$2:$D$1001&gt;D44))+COUNTIFS($G$2:G44,"MPV",$D$2:D44,D44)-1)</f>
        <v/>
      </c>
      <c r="N44" s="62" t="str">
        <f>IF(OR(D44="",NOT(G44="SUV")),"",1+SUMPRODUCT(($G$2:$G$1001="SUV")*($D$2:$D$1001&gt;D44))+COUNTIFS($G$2:G44,"SUV",$D$2:D44,D44)-1)</f>
        <v/>
      </c>
      <c r="O44" s="62" t="str">
        <f>IF(OR(D44="",NOT(AND(F44=1,G44="轿车"))),"",1+SUMPRODUCT(($F$2:$F$1001=1)*($G$2:$G$1001="轿车")*($D$2:$D$1001&gt;D44))+COUNTIFS($F$2:F44,1,$G$2:G44,"轿车",$D$2:D44,D44)-1)</f>
        <v/>
      </c>
      <c r="P44" s="62" t="str">
        <f>IF(OR(D44="",NOT(AND(F44=1,G44="MPV"))),"",1+SUMPRODUCT(($F$2:$F$1001=1)*($G$2:$G$1001="MPV")*($D$2:$D$1001&gt;D44))+COUNTIFS($F$2:F44,1,$G$2:G44,"MPV",$D$2:D44,D44)-1)</f>
        <v/>
      </c>
      <c r="Q44" s="62" t="str">
        <f>IF(OR(D44="",NOT(AND(F44=1,G44="SUV"))),"",1+SUMPRODUCT(($F$2:$F$1001=1)*($G$2:$G$1001="SUV")*($D$2:$D$1001&gt;D44))+COUNTIFS($F$2:F44,1,$G$2:G44,"SUV",$D$2:D44,D44)-1)</f>
        <v/>
      </c>
    </row>
    <row r="45" spans="1:17">
      <c r="A45" s="62" t="str">
        <f>IFERROR(INDEX($H$2:$H$3000,MATCH(0,INDEX(COUNTIF($A$1:A44,$H$2:$H$3000)+($H$2:$H$3000=""),0,0),0)),"")</f>
        <v>BMW♦SERIES 3</v>
      </c>
      <c r="B45" s="62" t="str">
        <f t="shared" si="0"/>
        <v>BMW</v>
      </c>
      <c r="C45" s="62" t="str">
        <f t="shared" si="1"/>
        <v>SERIES 3</v>
      </c>
      <c r="D45" s="63">
        <f t="shared" si="2"/>
        <v>228</v>
      </c>
      <c r="E45" s="62">
        <f>IF(D45="","",_xlfn.RANK.EQ(D45,$D$2:$D$1001,0)+COUNTIF($D$2:D45,D45)-1)</f>
        <v>46</v>
      </c>
      <c r="F45" s="62">
        <f>IF(B45="","",--(COUNTIF(CN_Brands!$A$2:$A$300,UPPER(B45))&gt;0))</f>
        <v>0</v>
      </c>
      <c r="G45" s="62" t="str">
        <f t="shared" si="3"/>
        <v>轿车</v>
      </c>
      <c r="H45" s="62" t="str">
        <f>IF(AND('Data Export'!A45=前十整体车型排名!$B$2,'Data Export'!B45=前十整体车型排名!$B$3,'Data Export'!D45&lt;&gt;""),UPPER('Data Export'!C45)&amp;"♦"&amp;'Data Export'!D45,"")</f>
        <v>AUDI♦A8</v>
      </c>
      <c r="I45" s="63">
        <f>IF(H45="","",IFERROR(INDEX('Data Export'!G45:CZ45,1,MATCH(前十整体车型排名!$B$4,'Data Export'!$G$1:$CZ$1,0)),0))</f>
        <v>0</v>
      </c>
      <c r="J45" s="62" t="str">
        <f>IF(H45="","",IF(OR('Data Export'!F45="三厢轿车",'Data Export'!F45="掀背轿车",'Data Export'!F45="旅行车",'Data Export'!F45="微型车",'Data Export'!F45="硬顶跑车",'Data Export'!F45="敞蓬车",'Data Export'!F45="Targa"),"轿车",IF(OR('Data Export'!F45="小型MPV",'Data Export'!F45="客车"),"MPV",IF('Data Export'!F45="运动型多功能车","SUV","其他"))))</f>
        <v>轿车</v>
      </c>
      <c r="K45" s="62" t="str">
        <f>IF(OR(D45="",NOT(F45=1)),"",1+SUMPRODUCT(($F$2:$F$1001=1)*($D$2:$D$1001&gt;D45))+COUNTIFS($F$2:F45,1,$D$2:D45,D45)-1)</f>
        <v/>
      </c>
      <c r="L45" s="62">
        <f>IF(OR(D45="",NOT(G45="轿车")),"",1+SUMPRODUCT(($G$2:$G$1001="轿车")*($D$2:$D$1001&gt;D45))+COUNTIFS($G$2:G45,"轿车",$D$2:D45,D45)-1)</f>
        <v>11</v>
      </c>
      <c r="M45" s="62" t="str">
        <f>IF(OR(D45="",NOT(G45="MPV")),"",1+SUMPRODUCT(($G$2:$G$1001="MPV")*($D$2:$D$1001&gt;D45))+COUNTIFS($G$2:G45,"MPV",$D$2:D45,D45)-1)</f>
        <v/>
      </c>
      <c r="N45" s="62" t="str">
        <f>IF(OR(D45="",NOT(G45="SUV")),"",1+SUMPRODUCT(($G$2:$G$1001="SUV")*($D$2:$D$1001&gt;D45))+COUNTIFS($G$2:G45,"SUV",$D$2:D45,D45)-1)</f>
        <v/>
      </c>
      <c r="O45" s="62" t="str">
        <f>IF(OR(D45="",NOT(AND(F45=1,G45="轿车"))),"",1+SUMPRODUCT(($F$2:$F$1001=1)*($G$2:$G$1001="轿车")*($D$2:$D$1001&gt;D45))+COUNTIFS($F$2:F45,1,$G$2:G45,"轿车",$D$2:D45,D45)-1)</f>
        <v/>
      </c>
      <c r="P45" s="62" t="str">
        <f>IF(OR(D45="",NOT(AND(F45=1,G45="MPV"))),"",1+SUMPRODUCT(($F$2:$F$1001=1)*($G$2:$G$1001="MPV")*($D$2:$D$1001&gt;D45))+COUNTIFS($F$2:F45,1,$G$2:G45,"MPV",$D$2:D45,D45)-1)</f>
        <v/>
      </c>
      <c r="Q45" s="62" t="str">
        <f>IF(OR(D45="",NOT(AND(F45=1,G45="SUV"))),"",1+SUMPRODUCT(($F$2:$F$1001=1)*($G$2:$G$1001="SUV")*($D$2:$D$1001&gt;D45))+COUNTIFS($F$2:F45,1,$G$2:G45,"SUV",$D$2:D45,D45)-1)</f>
        <v/>
      </c>
    </row>
    <row r="46" spans="1:17">
      <c r="A46" s="62" t="str">
        <f>IFERROR(INDEX($H$2:$H$3000,MATCH(0,INDEX(COUNTIF($A$1:A45,$H$2:$H$3000)+($H$2:$H$3000=""),0,0),0)),"")</f>
        <v>BMW♦SERIES 4</v>
      </c>
      <c r="B46" s="62" t="str">
        <f t="shared" si="0"/>
        <v>BMW</v>
      </c>
      <c r="C46" s="62" t="str">
        <f t="shared" si="1"/>
        <v>SERIES 4</v>
      </c>
      <c r="D46" s="63">
        <f t="shared" si="2"/>
        <v>15</v>
      </c>
      <c r="E46" s="62">
        <f>IF(D46="","",_xlfn.RANK.EQ(D46,$D$2:$D$1001,0)+COUNTIF($D$2:D46,D46)-1)</f>
        <v>128</v>
      </c>
      <c r="F46" s="62">
        <f>IF(B46="","",--(COUNTIF(CN_Brands!$A$2:$A$300,UPPER(B46))&gt;0))</f>
        <v>0</v>
      </c>
      <c r="G46" s="62" t="str">
        <f t="shared" si="3"/>
        <v>轿车</v>
      </c>
      <c r="H46" s="62" t="str">
        <f>IF(AND('Data Export'!A46=前十整体车型排名!$B$2,'Data Export'!B46=前十整体车型排名!$B$3,'Data Export'!D46&lt;&gt;""),UPPER('Data Export'!C46)&amp;"♦"&amp;'Data Export'!D46,"")</f>
        <v>AUDI♦E-TRON GT</v>
      </c>
      <c r="I46" s="63">
        <f>IF(H46="","",IFERROR(INDEX('Data Export'!G46:CZ46,1,MATCH(前十整体车型排名!$B$4,'Data Export'!$G$1:$CZ$1,0)),0))</f>
        <v>0</v>
      </c>
      <c r="J46" s="62" t="str">
        <f>IF(H46="","",IF(OR('Data Export'!F46="三厢轿车",'Data Export'!F46="掀背轿车",'Data Export'!F46="旅行车",'Data Export'!F46="微型车",'Data Export'!F46="硬顶跑车",'Data Export'!F46="敞蓬车",'Data Export'!F46="Targa"),"轿车",IF(OR('Data Export'!F46="小型MPV",'Data Export'!F46="客车"),"MPV",IF('Data Export'!F46="运动型多功能车","SUV","其他"))))</f>
        <v>轿车</v>
      </c>
      <c r="K46" s="62" t="str">
        <f>IF(OR(D46="",NOT(F46=1)),"",1+SUMPRODUCT(($F$2:$F$1001=1)*($D$2:$D$1001&gt;D46))+COUNTIFS($F$2:F46,1,$D$2:D46,D46)-1)</f>
        <v/>
      </c>
      <c r="L46" s="62">
        <f>IF(OR(D46="",NOT(G46="轿车")),"",1+SUMPRODUCT(($G$2:$G$1001="轿车")*($D$2:$D$1001&gt;D46))+COUNTIFS($G$2:G46,"轿车",$D$2:D46,D46)-1)</f>
        <v>33</v>
      </c>
      <c r="M46" s="62" t="str">
        <f>IF(OR(D46="",NOT(G46="MPV")),"",1+SUMPRODUCT(($G$2:$G$1001="MPV")*($D$2:$D$1001&gt;D46))+COUNTIFS($G$2:G46,"MPV",$D$2:D46,D46)-1)</f>
        <v/>
      </c>
      <c r="N46" s="62" t="str">
        <f>IF(OR(D46="",NOT(G46="SUV")),"",1+SUMPRODUCT(($G$2:$G$1001="SUV")*($D$2:$D$1001&gt;D46))+COUNTIFS($G$2:G46,"SUV",$D$2:D46,D46)-1)</f>
        <v/>
      </c>
      <c r="O46" s="62" t="str">
        <f>IF(OR(D46="",NOT(AND(F46=1,G46="轿车"))),"",1+SUMPRODUCT(($F$2:$F$1001=1)*($G$2:$G$1001="轿车")*($D$2:$D$1001&gt;D46))+COUNTIFS($F$2:F46,1,$G$2:G46,"轿车",$D$2:D46,D46)-1)</f>
        <v/>
      </c>
      <c r="P46" s="62" t="str">
        <f>IF(OR(D46="",NOT(AND(F46=1,G46="MPV"))),"",1+SUMPRODUCT(($F$2:$F$1001=1)*($G$2:$G$1001="MPV")*($D$2:$D$1001&gt;D46))+COUNTIFS($F$2:F46,1,$G$2:G46,"MPV",$D$2:D46,D46)-1)</f>
        <v/>
      </c>
      <c r="Q46" s="62" t="str">
        <f>IF(OR(D46="",NOT(AND(F46=1,G46="SUV"))),"",1+SUMPRODUCT(($F$2:$F$1001=1)*($G$2:$G$1001="SUV")*($D$2:$D$1001&gt;D46))+COUNTIFS($F$2:F46,1,$G$2:G46,"SUV",$D$2:D46,D46)-1)</f>
        <v/>
      </c>
    </row>
    <row r="47" spans="1:17">
      <c r="A47" s="62" t="str">
        <f>IFERROR(INDEX($H$2:$H$3000,MATCH(0,INDEX(COUNTIF($A$1:A46,$H$2:$H$3000)+($H$2:$H$3000=""),0,0),0)),"")</f>
        <v>BMW♦SERIES 5</v>
      </c>
      <c r="B47" s="62" t="str">
        <f t="shared" si="0"/>
        <v>BMW</v>
      </c>
      <c r="C47" s="62" t="str">
        <f t="shared" si="1"/>
        <v>SERIES 5</v>
      </c>
      <c r="D47" s="63">
        <f t="shared" si="2"/>
        <v>129</v>
      </c>
      <c r="E47" s="62">
        <f>IF(D47="","",_xlfn.RANK.EQ(D47,$D$2:$D$1001,0)+COUNTIF($D$2:D47,D47)-1)</f>
        <v>66</v>
      </c>
      <c r="F47" s="62">
        <f>IF(B47="","",--(COUNTIF(CN_Brands!$A$2:$A$300,UPPER(B47))&gt;0))</f>
        <v>0</v>
      </c>
      <c r="G47" s="62" t="str">
        <f t="shared" si="3"/>
        <v>轿车</v>
      </c>
      <c r="H47" s="62" t="str">
        <f>IF(AND('Data Export'!A47=前十整体车型排名!$B$2,'Data Export'!B47=前十整体车型排名!$B$3,'Data Export'!D47&lt;&gt;""),UPPER('Data Export'!C47)&amp;"♦"&amp;'Data Export'!D47,"")</f>
        <v>AUDI♦E-TRON GT</v>
      </c>
      <c r="I47" s="63">
        <f>IF(H47="","",IFERROR(INDEX('Data Export'!G47:CZ47,1,MATCH(前十整体车型排名!$B$4,'Data Export'!$G$1:$CZ$1,0)),0))</f>
        <v>0</v>
      </c>
      <c r="J47" s="62" t="str">
        <f>IF(H47="","",IF(OR('Data Export'!F47="三厢轿车",'Data Export'!F47="掀背轿车",'Data Export'!F47="旅行车",'Data Export'!F47="微型车",'Data Export'!F47="硬顶跑车",'Data Export'!F47="敞蓬车",'Data Export'!F47="Targa"),"轿车",IF(OR('Data Export'!F47="小型MPV",'Data Export'!F47="客车"),"MPV",IF('Data Export'!F47="运动型多功能车","SUV","其他"))))</f>
        <v>轿车</v>
      </c>
      <c r="K47" s="62" t="str">
        <f>IF(OR(D47="",NOT(F47=1)),"",1+SUMPRODUCT(($F$2:$F$1001=1)*($D$2:$D$1001&gt;D47))+COUNTIFS($F$2:F47,1,$D$2:D47,D47)-1)</f>
        <v/>
      </c>
      <c r="L47" s="62">
        <f>IF(OR(D47="",NOT(G47="轿车")),"",1+SUMPRODUCT(($G$2:$G$1001="轿车")*($D$2:$D$1001&gt;D47))+COUNTIFS($G$2:G47,"轿车",$D$2:D47,D47)-1)</f>
        <v>19</v>
      </c>
      <c r="M47" s="62" t="str">
        <f>IF(OR(D47="",NOT(G47="MPV")),"",1+SUMPRODUCT(($G$2:$G$1001="MPV")*($D$2:$D$1001&gt;D47))+COUNTIFS($G$2:G47,"MPV",$D$2:D47,D47)-1)</f>
        <v/>
      </c>
      <c r="N47" s="62" t="str">
        <f>IF(OR(D47="",NOT(G47="SUV")),"",1+SUMPRODUCT(($G$2:$G$1001="SUV")*($D$2:$D$1001&gt;D47))+COUNTIFS($G$2:G47,"SUV",$D$2:D47,D47)-1)</f>
        <v/>
      </c>
      <c r="O47" s="62" t="str">
        <f>IF(OR(D47="",NOT(AND(F47=1,G47="轿车"))),"",1+SUMPRODUCT(($F$2:$F$1001=1)*($G$2:$G$1001="轿车")*($D$2:$D$1001&gt;D47))+COUNTIFS($F$2:F47,1,$G$2:G47,"轿车",$D$2:D47,D47)-1)</f>
        <v/>
      </c>
      <c r="P47" s="62" t="str">
        <f>IF(OR(D47="",NOT(AND(F47=1,G47="MPV"))),"",1+SUMPRODUCT(($F$2:$F$1001=1)*($G$2:$G$1001="MPV")*($D$2:$D$1001&gt;D47))+COUNTIFS($F$2:F47,1,$G$2:G47,"MPV",$D$2:D47,D47)-1)</f>
        <v/>
      </c>
      <c r="Q47" s="62" t="str">
        <f>IF(OR(D47="",NOT(AND(F47=1,G47="SUV"))),"",1+SUMPRODUCT(($F$2:$F$1001=1)*($G$2:$G$1001="SUV")*($D$2:$D$1001&gt;D47))+COUNTIFS($F$2:F47,1,$G$2:G47,"SUV",$D$2:D47,D47)-1)</f>
        <v/>
      </c>
    </row>
    <row r="48" spans="1:17">
      <c r="A48" s="62" t="str">
        <f>IFERROR(INDEX($H$2:$H$3000,MATCH(0,INDEX(COUNTIF($A$1:A47,$H$2:$H$3000)+($H$2:$H$3000=""),0,0),0)),"")</f>
        <v>BMW♦SERIES 6</v>
      </c>
      <c r="B48" s="62" t="str">
        <f t="shared" si="0"/>
        <v>BMW</v>
      </c>
      <c r="C48" s="62" t="str">
        <f t="shared" si="1"/>
        <v>SERIES 6</v>
      </c>
      <c r="D48" s="63">
        <f t="shared" si="2"/>
        <v>1</v>
      </c>
      <c r="E48" s="62">
        <f>IF(D48="","",_xlfn.RANK.EQ(D48,$D$2:$D$1001,0)+COUNTIF($D$2:D48,D48)-1)</f>
        <v>225</v>
      </c>
      <c r="F48" s="62">
        <f>IF(B48="","",--(COUNTIF(CN_Brands!$A$2:$A$300,UPPER(B48))&gt;0))</f>
        <v>0</v>
      </c>
      <c r="G48" s="62" t="str">
        <f t="shared" si="3"/>
        <v>轿车</v>
      </c>
      <c r="H48" s="62" t="str">
        <f>IF(AND('Data Export'!A48=前十整体车型排名!$B$2,'Data Export'!B48=前十整体车型排名!$B$3,'Data Export'!D48&lt;&gt;""),UPPER('Data Export'!C48)&amp;"♦"&amp;'Data Export'!D48,"")</f>
        <v>AUDI♦Q3</v>
      </c>
      <c r="I48" s="63">
        <f>IF(H48="","",IFERROR(INDEX('Data Export'!G48:CZ48,1,MATCH(前十整体车型排名!$B$4,'Data Export'!$G$1:$CZ$1,0)),0))</f>
        <v>0</v>
      </c>
      <c r="J48" s="62" t="str">
        <f>IF(H48="","",IF(OR('Data Export'!F48="三厢轿车",'Data Export'!F48="掀背轿车",'Data Export'!F48="旅行车",'Data Export'!F48="微型车",'Data Export'!F48="硬顶跑车",'Data Export'!F48="敞蓬车",'Data Export'!F48="Targa"),"轿车",IF(OR('Data Export'!F48="小型MPV",'Data Export'!F48="客车"),"MPV",IF('Data Export'!F48="运动型多功能车","SUV","其他"))))</f>
        <v>SUV</v>
      </c>
      <c r="K48" s="62" t="str">
        <f>IF(OR(D48="",NOT(F48=1)),"",1+SUMPRODUCT(($F$2:$F$1001=1)*($D$2:$D$1001&gt;D48))+COUNTIFS($F$2:F48,1,$D$2:D48,D48)-1)</f>
        <v/>
      </c>
      <c r="L48" s="62">
        <f>IF(OR(D48="",NOT(G48="轿车")),"",1+SUMPRODUCT(($G$2:$G$1001="轿车")*($D$2:$D$1001&gt;D48))+COUNTIFS($G$2:G48,"轿车",$D$2:D48,D48)-1)</f>
        <v>68</v>
      </c>
      <c r="M48" s="62" t="str">
        <f>IF(OR(D48="",NOT(G48="MPV")),"",1+SUMPRODUCT(($G$2:$G$1001="MPV")*($D$2:$D$1001&gt;D48))+COUNTIFS($G$2:G48,"MPV",$D$2:D48,D48)-1)</f>
        <v/>
      </c>
      <c r="N48" s="62" t="str">
        <f>IF(OR(D48="",NOT(G48="SUV")),"",1+SUMPRODUCT(($G$2:$G$1001="SUV")*($D$2:$D$1001&gt;D48))+COUNTIFS($G$2:G48,"SUV",$D$2:D48,D48)-1)</f>
        <v/>
      </c>
      <c r="O48" s="62" t="str">
        <f>IF(OR(D48="",NOT(AND(F48=1,G48="轿车"))),"",1+SUMPRODUCT(($F$2:$F$1001=1)*($G$2:$G$1001="轿车")*($D$2:$D$1001&gt;D48))+COUNTIFS($F$2:F48,1,$G$2:G48,"轿车",$D$2:D48,D48)-1)</f>
        <v/>
      </c>
      <c r="P48" s="62" t="str">
        <f>IF(OR(D48="",NOT(AND(F48=1,G48="MPV"))),"",1+SUMPRODUCT(($F$2:$F$1001=1)*($G$2:$G$1001="MPV")*($D$2:$D$1001&gt;D48))+COUNTIFS($F$2:F48,1,$G$2:G48,"MPV",$D$2:D48,D48)-1)</f>
        <v/>
      </c>
      <c r="Q48" s="62" t="str">
        <f>IF(OR(D48="",NOT(AND(F48=1,G48="SUV"))),"",1+SUMPRODUCT(($F$2:$F$1001=1)*($G$2:$G$1001="SUV")*($D$2:$D$1001&gt;D48))+COUNTIFS($F$2:F48,1,$G$2:G48,"SUV",$D$2:D48,D48)-1)</f>
        <v/>
      </c>
    </row>
    <row r="49" spans="1:17">
      <c r="A49" s="62" t="str">
        <f>IFERROR(INDEX($H$2:$H$3000,MATCH(0,INDEX(COUNTIF($A$1:A48,$H$2:$H$3000)+($H$2:$H$3000=""),0,0),0)),"")</f>
        <v>BMW♦SERIES 7</v>
      </c>
      <c r="B49" s="62" t="str">
        <f t="shared" si="0"/>
        <v>BMW</v>
      </c>
      <c r="C49" s="62" t="str">
        <f t="shared" si="1"/>
        <v>SERIES 7</v>
      </c>
      <c r="D49" s="63">
        <f t="shared" si="2"/>
        <v>6</v>
      </c>
      <c r="E49" s="62">
        <f>IF(D49="","",_xlfn.RANK.EQ(D49,$D$2:$D$1001,0)+COUNTIF($D$2:D49,D49)-1)</f>
        <v>163</v>
      </c>
      <c r="F49" s="62">
        <f>IF(B49="","",--(COUNTIF(CN_Brands!$A$2:$A$300,UPPER(B49))&gt;0))</f>
        <v>0</v>
      </c>
      <c r="G49" s="62" t="str">
        <f t="shared" si="3"/>
        <v>轿车</v>
      </c>
      <c r="H49" s="62" t="str">
        <f>IF(AND('Data Export'!A49=前十整体车型排名!$B$2,'Data Export'!B49=前十整体车型排名!$B$3,'Data Export'!D49&lt;&gt;""),UPPER('Data Export'!C49)&amp;"♦"&amp;'Data Export'!D49,"")</f>
        <v>AUDI♦Q3</v>
      </c>
      <c r="I49" s="63">
        <f>IF(H49="","",IFERROR(INDEX('Data Export'!G49:CZ49,1,MATCH(前十整体车型排名!$B$4,'Data Export'!$G$1:$CZ$1,0)),0))</f>
        <v>1</v>
      </c>
      <c r="J49" s="62" t="str">
        <f>IF(H49="","",IF(OR('Data Export'!F49="三厢轿车",'Data Export'!F49="掀背轿车",'Data Export'!F49="旅行车",'Data Export'!F49="微型车",'Data Export'!F49="硬顶跑车",'Data Export'!F49="敞蓬车",'Data Export'!F49="Targa"),"轿车",IF(OR('Data Export'!F49="小型MPV",'Data Export'!F49="客车"),"MPV",IF('Data Export'!F49="运动型多功能车","SUV","其他"))))</f>
        <v>SUV</v>
      </c>
      <c r="K49" s="62" t="str">
        <f>IF(OR(D49="",NOT(F49=1)),"",1+SUMPRODUCT(($F$2:$F$1001=1)*($D$2:$D$1001&gt;D49))+COUNTIFS($F$2:F49,1,$D$2:D49,D49)-1)</f>
        <v/>
      </c>
      <c r="L49" s="62">
        <f>IF(OR(D49="",NOT(G49="轿车")),"",1+SUMPRODUCT(($G$2:$G$1001="轿车")*($D$2:$D$1001&gt;D49))+COUNTIFS($G$2:G49,"轿车",$D$2:D49,D49)-1)</f>
        <v>44</v>
      </c>
      <c r="M49" s="62" t="str">
        <f>IF(OR(D49="",NOT(G49="MPV")),"",1+SUMPRODUCT(($G$2:$G$1001="MPV")*($D$2:$D$1001&gt;D49))+COUNTIFS($G$2:G49,"MPV",$D$2:D49,D49)-1)</f>
        <v/>
      </c>
      <c r="N49" s="62" t="str">
        <f>IF(OR(D49="",NOT(G49="SUV")),"",1+SUMPRODUCT(($G$2:$G$1001="SUV")*($D$2:$D$1001&gt;D49))+COUNTIFS($G$2:G49,"SUV",$D$2:D49,D49)-1)</f>
        <v/>
      </c>
      <c r="O49" s="62" t="str">
        <f>IF(OR(D49="",NOT(AND(F49=1,G49="轿车"))),"",1+SUMPRODUCT(($F$2:$F$1001=1)*($G$2:$G$1001="轿车")*($D$2:$D$1001&gt;D49))+COUNTIFS($F$2:F49,1,$G$2:G49,"轿车",$D$2:D49,D49)-1)</f>
        <v/>
      </c>
      <c r="P49" s="62" t="str">
        <f>IF(OR(D49="",NOT(AND(F49=1,G49="MPV"))),"",1+SUMPRODUCT(($F$2:$F$1001=1)*($G$2:$G$1001="MPV")*($D$2:$D$1001&gt;D49))+COUNTIFS($F$2:F49,1,$G$2:G49,"MPV",$D$2:D49,D49)-1)</f>
        <v/>
      </c>
      <c r="Q49" s="62" t="str">
        <f>IF(OR(D49="",NOT(AND(F49=1,G49="SUV"))),"",1+SUMPRODUCT(($F$2:$F$1001=1)*($G$2:$G$1001="SUV")*($D$2:$D$1001&gt;D49))+COUNTIFS($F$2:F49,1,$G$2:G49,"SUV",$D$2:D49,D49)-1)</f>
        <v/>
      </c>
    </row>
    <row r="50" spans="1:17">
      <c r="A50" s="62" t="str">
        <f>IFERROR(INDEX($H$2:$H$3000,MATCH(0,INDEX(COUNTIF($A$1:A49,$H$2:$H$3000)+($H$2:$H$3000=""),0,0),0)),"")</f>
        <v>BMW♦SERIES 8</v>
      </c>
      <c r="B50" s="62" t="str">
        <f t="shared" si="0"/>
        <v>BMW</v>
      </c>
      <c r="C50" s="62" t="str">
        <f t="shared" si="1"/>
        <v>SERIES 8</v>
      </c>
      <c r="D50" s="63">
        <f t="shared" si="2"/>
        <v>0</v>
      </c>
      <c r="E50" s="62">
        <f>IF(D50="","",_xlfn.RANK.EQ(D50,$D$2:$D$1001,0)+COUNTIF($D$2:D50,D50)-1)</f>
        <v>282</v>
      </c>
      <c r="F50" s="62">
        <f>IF(B50="","",--(COUNTIF(CN_Brands!$A$2:$A$300,UPPER(B50))&gt;0))</f>
        <v>0</v>
      </c>
      <c r="G50" s="62" t="str">
        <f t="shared" si="3"/>
        <v>轿车</v>
      </c>
      <c r="H50" s="62" t="str">
        <f>IF(AND('Data Export'!A50=前十整体车型排名!$B$2,'Data Export'!B50=前十整体车型排名!$B$3,'Data Export'!D50&lt;&gt;""),UPPER('Data Export'!C50)&amp;"♦"&amp;'Data Export'!D50,"")</f>
        <v>AUDI♦Q3</v>
      </c>
      <c r="I50" s="63">
        <f>IF(H50="","",IFERROR(INDEX('Data Export'!G50:CZ50,1,MATCH(前十整体车型排名!$B$4,'Data Export'!$G$1:$CZ$1,0)),0))</f>
        <v>0</v>
      </c>
      <c r="J50" s="62" t="str">
        <f>IF(H50="","",IF(OR('Data Export'!F50="三厢轿车",'Data Export'!F50="掀背轿车",'Data Export'!F50="旅行车",'Data Export'!F50="微型车",'Data Export'!F50="硬顶跑车",'Data Export'!F50="敞蓬车",'Data Export'!F50="Targa"),"轿车",IF(OR('Data Export'!F50="小型MPV",'Data Export'!F50="客车"),"MPV",IF('Data Export'!F50="运动型多功能车","SUV","其他"))))</f>
        <v>SUV</v>
      </c>
      <c r="K50" s="62" t="str">
        <f>IF(OR(D50="",NOT(F50=1)),"",1+SUMPRODUCT(($F$2:$F$1001=1)*($D$2:$D$1001&gt;D50))+COUNTIFS($F$2:F50,1,$D$2:D50,D50)-1)</f>
        <v/>
      </c>
      <c r="L50" s="62">
        <f>IF(OR(D50="",NOT(G50="轿车")),"",1+SUMPRODUCT(($G$2:$G$1001="轿车")*($D$2:$D$1001&gt;D50))+COUNTIFS($G$2:G50,"轿车",$D$2:D50,D50)-1)</f>
        <v>91</v>
      </c>
      <c r="M50" s="62" t="str">
        <f>IF(OR(D50="",NOT(G50="MPV")),"",1+SUMPRODUCT(($G$2:$G$1001="MPV")*($D$2:$D$1001&gt;D50))+COUNTIFS($G$2:G50,"MPV",$D$2:D50,D50)-1)</f>
        <v/>
      </c>
      <c r="N50" s="62" t="str">
        <f>IF(OR(D50="",NOT(G50="SUV")),"",1+SUMPRODUCT(($G$2:$G$1001="SUV")*($D$2:$D$1001&gt;D50))+COUNTIFS($G$2:G50,"SUV",$D$2:D50,D50)-1)</f>
        <v/>
      </c>
      <c r="O50" s="62" t="str">
        <f>IF(OR(D50="",NOT(AND(F50=1,G50="轿车"))),"",1+SUMPRODUCT(($F$2:$F$1001=1)*($G$2:$G$1001="轿车")*($D$2:$D$1001&gt;D50))+COUNTIFS($F$2:F50,1,$G$2:G50,"轿车",$D$2:D50,D50)-1)</f>
        <v/>
      </c>
      <c r="P50" s="62" t="str">
        <f>IF(OR(D50="",NOT(AND(F50=1,G50="MPV"))),"",1+SUMPRODUCT(($F$2:$F$1001=1)*($G$2:$G$1001="MPV")*($D$2:$D$1001&gt;D50))+COUNTIFS($F$2:F50,1,$G$2:G50,"MPV",$D$2:D50,D50)-1)</f>
        <v/>
      </c>
      <c r="Q50" s="62" t="str">
        <f>IF(OR(D50="",NOT(AND(F50=1,G50="SUV"))),"",1+SUMPRODUCT(($F$2:$F$1001=1)*($G$2:$G$1001="SUV")*($D$2:$D$1001&gt;D50))+COUNTIFS($F$2:F50,1,$G$2:G50,"SUV",$D$2:D50,D50)-1)</f>
        <v/>
      </c>
    </row>
    <row r="51" spans="1:17">
      <c r="A51" s="62" t="str">
        <f>IFERROR(INDEX($H$2:$H$3000,MATCH(0,INDEX(COUNTIF($A$1:A50,$H$2:$H$3000)+($H$2:$H$3000=""),0,0),0)),"")</f>
        <v>BMW♦X1</v>
      </c>
      <c r="B51" s="62" t="str">
        <f t="shared" si="0"/>
        <v>BMW</v>
      </c>
      <c r="C51" s="62" t="str">
        <f t="shared" si="1"/>
        <v>X1</v>
      </c>
      <c r="D51" s="63">
        <f t="shared" si="2"/>
        <v>137</v>
      </c>
      <c r="E51" s="62">
        <f>IF(D51="","",_xlfn.RANK.EQ(D51,$D$2:$D$1001,0)+COUNTIF($D$2:D51,D51)-1)</f>
        <v>63</v>
      </c>
      <c r="F51" s="62">
        <f>IF(B51="","",--(COUNTIF(CN_Brands!$A$2:$A$300,UPPER(B51))&gt;0))</f>
        <v>0</v>
      </c>
      <c r="G51" s="62" t="str">
        <f t="shared" si="3"/>
        <v>SUV</v>
      </c>
      <c r="H51" s="62" t="str">
        <f>IF(AND('Data Export'!A51=前十整体车型排名!$B$2,'Data Export'!B51=前十整体车型排名!$B$3,'Data Export'!D51&lt;&gt;""),UPPER('Data Export'!C51)&amp;"♦"&amp;'Data Export'!D51,"")</f>
        <v>AUDI♦Q3 SPORTBACK</v>
      </c>
      <c r="I51" s="63">
        <f>IF(H51="","",IFERROR(INDEX('Data Export'!G51:CZ51,1,MATCH(前十整体车型排名!$B$4,'Data Export'!$G$1:$CZ$1,0)),0))</f>
        <v>1</v>
      </c>
      <c r="J51" s="62" t="str">
        <f>IF(H51="","",IF(OR('Data Export'!F51="三厢轿车",'Data Export'!F51="掀背轿车",'Data Export'!F51="旅行车",'Data Export'!F51="微型车",'Data Export'!F51="硬顶跑车",'Data Export'!F51="敞蓬车",'Data Export'!F51="Targa"),"轿车",IF(OR('Data Export'!F51="小型MPV",'Data Export'!F51="客车"),"MPV",IF('Data Export'!F51="运动型多功能车","SUV","其他"))))</f>
        <v>SUV</v>
      </c>
      <c r="K51" s="62" t="str">
        <f>IF(OR(D51="",NOT(F51=1)),"",1+SUMPRODUCT(($F$2:$F$1001=1)*($D$2:$D$1001&gt;D51))+COUNTIFS($F$2:F51,1,$D$2:D51,D51)-1)</f>
        <v/>
      </c>
      <c r="L51" s="62" t="str">
        <f>IF(OR(D51="",NOT(G51="轿车")),"",1+SUMPRODUCT(($G$2:$G$1001="轿车")*($D$2:$D$1001&gt;D51))+COUNTIFS($G$2:G51,"轿车",$D$2:D51,D51)-1)</f>
        <v/>
      </c>
      <c r="M51" s="62" t="str">
        <f>IF(OR(D51="",NOT(G51="MPV")),"",1+SUMPRODUCT(($G$2:$G$1001="MPV")*($D$2:$D$1001&gt;D51))+COUNTIFS($G$2:G51,"MPV",$D$2:D51,D51)-1)</f>
        <v/>
      </c>
      <c r="N51" s="62">
        <f>IF(OR(D51="",NOT(G51="SUV")),"",1+SUMPRODUCT(($G$2:$G$1001="SUV")*($D$2:$D$1001&gt;D51))+COUNTIFS($G$2:G51,"SUV",$D$2:D51,D51)-1)</f>
        <v>33</v>
      </c>
      <c r="O51" s="62" t="str">
        <f>IF(OR(D51="",NOT(AND(F51=1,G51="轿车"))),"",1+SUMPRODUCT(($F$2:$F$1001=1)*($G$2:$G$1001="轿车")*($D$2:$D$1001&gt;D51))+COUNTIFS($F$2:F51,1,$G$2:G51,"轿车",$D$2:D51,D51)-1)</f>
        <v/>
      </c>
      <c r="P51" s="62" t="str">
        <f>IF(OR(D51="",NOT(AND(F51=1,G51="MPV"))),"",1+SUMPRODUCT(($F$2:$F$1001=1)*($G$2:$G$1001="MPV")*($D$2:$D$1001&gt;D51))+COUNTIFS($F$2:F51,1,$G$2:G51,"MPV",$D$2:D51,D51)-1)</f>
        <v/>
      </c>
      <c r="Q51" s="62" t="str">
        <f>IF(OR(D51="",NOT(AND(F51=1,G51="SUV"))),"",1+SUMPRODUCT(($F$2:$F$1001=1)*($G$2:$G$1001="SUV")*($D$2:$D$1001&gt;D51))+COUNTIFS($F$2:F51,1,$G$2:G51,"SUV",$D$2:D51,D51)-1)</f>
        <v/>
      </c>
    </row>
    <row r="52" spans="1:17">
      <c r="A52" s="62" t="str">
        <f>IFERROR(INDEX($H$2:$H$3000,MATCH(0,INDEX(COUNTIF($A$1:A51,$H$2:$H$3000)+($H$2:$H$3000=""),0,0),0)),"")</f>
        <v>BMW♦X3</v>
      </c>
      <c r="B52" s="62" t="str">
        <f t="shared" si="0"/>
        <v>BMW</v>
      </c>
      <c r="C52" s="62" t="str">
        <f t="shared" si="1"/>
        <v>X3</v>
      </c>
      <c r="D52" s="63">
        <f t="shared" si="2"/>
        <v>95</v>
      </c>
      <c r="E52" s="62">
        <f>IF(D52="","",_xlfn.RANK.EQ(D52,$D$2:$D$1001,0)+COUNTIF($D$2:D52,D52)-1)</f>
        <v>74</v>
      </c>
      <c r="F52" s="62">
        <f>IF(B52="","",--(COUNTIF(CN_Brands!$A$2:$A$300,UPPER(B52))&gt;0))</f>
        <v>0</v>
      </c>
      <c r="G52" s="62" t="str">
        <f t="shared" si="3"/>
        <v>SUV</v>
      </c>
      <c r="H52" s="62" t="str">
        <f>IF(AND('Data Export'!A52=前十整体车型排名!$B$2,'Data Export'!B52=前十整体车型排名!$B$3,'Data Export'!D52&lt;&gt;""),UPPER('Data Export'!C52)&amp;"♦"&amp;'Data Export'!D52,"")</f>
        <v>AUDI♦Q3 SPORTBACK</v>
      </c>
      <c r="I52" s="63">
        <f>IF(H52="","",IFERROR(INDEX('Data Export'!G52:CZ52,1,MATCH(前十整体车型排名!$B$4,'Data Export'!$G$1:$CZ$1,0)),0))</f>
        <v>0</v>
      </c>
      <c r="J52" s="62" t="str">
        <f>IF(H52="","",IF(OR('Data Export'!F52="三厢轿车",'Data Export'!F52="掀背轿车",'Data Export'!F52="旅行车",'Data Export'!F52="微型车",'Data Export'!F52="硬顶跑车",'Data Export'!F52="敞蓬车",'Data Export'!F52="Targa"),"轿车",IF(OR('Data Export'!F52="小型MPV",'Data Export'!F52="客车"),"MPV",IF('Data Export'!F52="运动型多功能车","SUV","其他"))))</f>
        <v>SUV</v>
      </c>
      <c r="K52" s="62" t="str">
        <f>IF(OR(D52="",NOT(F52=1)),"",1+SUMPRODUCT(($F$2:$F$1001=1)*($D$2:$D$1001&gt;D52))+COUNTIFS($F$2:F52,1,$D$2:D52,D52)-1)</f>
        <v/>
      </c>
      <c r="L52" s="62" t="str">
        <f>IF(OR(D52="",NOT(G52="轿车")),"",1+SUMPRODUCT(($G$2:$G$1001="轿车")*($D$2:$D$1001&gt;D52))+COUNTIFS($G$2:G52,"轿车",$D$2:D52,D52)-1)</f>
        <v/>
      </c>
      <c r="M52" s="62" t="str">
        <f>IF(OR(D52="",NOT(G52="MPV")),"",1+SUMPRODUCT(($G$2:$G$1001="MPV")*($D$2:$D$1001&gt;D52))+COUNTIFS($G$2:G52,"MPV",$D$2:D52,D52)-1)</f>
        <v/>
      </c>
      <c r="N52" s="62">
        <f>IF(OR(D52="",NOT(G52="SUV")),"",1+SUMPRODUCT(($G$2:$G$1001="SUV")*($D$2:$D$1001&gt;D52))+COUNTIFS($G$2:G52,"SUV",$D$2:D52,D52)-1)</f>
        <v>38</v>
      </c>
      <c r="O52" s="62" t="str">
        <f>IF(OR(D52="",NOT(AND(F52=1,G52="轿车"))),"",1+SUMPRODUCT(($F$2:$F$1001=1)*($G$2:$G$1001="轿车")*($D$2:$D$1001&gt;D52))+COUNTIFS($F$2:F52,1,$G$2:G52,"轿车",$D$2:D52,D52)-1)</f>
        <v/>
      </c>
      <c r="P52" s="62" t="str">
        <f>IF(OR(D52="",NOT(AND(F52=1,G52="MPV"))),"",1+SUMPRODUCT(($F$2:$F$1001=1)*($G$2:$G$1001="MPV")*($D$2:$D$1001&gt;D52))+COUNTIFS($F$2:F52,1,$G$2:G52,"MPV",$D$2:D52,D52)-1)</f>
        <v/>
      </c>
      <c r="Q52" s="62" t="str">
        <f>IF(OR(D52="",NOT(AND(F52=1,G52="SUV"))),"",1+SUMPRODUCT(($F$2:$F$1001=1)*($G$2:$G$1001="SUV")*($D$2:$D$1001&gt;D52))+COUNTIFS($F$2:F52,1,$G$2:G52,"SUV",$D$2:D52,D52)-1)</f>
        <v/>
      </c>
    </row>
    <row r="53" spans="1:17">
      <c r="A53" s="62" t="str">
        <f>IFERROR(INDEX($H$2:$H$3000,MATCH(0,INDEX(COUNTIF($A$1:A52,$H$2:$H$3000)+($H$2:$H$3000=""),0,0),0)),"")</f>
        <v>BMW♦X4</v>
      </c>
      <c r="B53" s="62" t="str">
        <f t="shared" si="0"/>
        <v>BMW</v>
      </c>
      <c r="C53" s="62" t="str">
        <f t="shared" si="1"/>
        <v>X4</v>
      </c>
      <c r="D53" s="63">
        <f t="shared" si="2"/>
        <v>14</v>
      </c>
      <c r="E53" s="62">
        <f>IF(D53="","",_xlfn.RANK.EQ(D53,$D$2:$D$1001,0)+COUNTIF($D$2:D53,D53)-1)</f>
        <v>131</v>
      </c>
      <c r="F53" s="62">
        <f>IF(B53="","",--(COUNTIF(CN_Brands!$A$2:$A$300,UPPER(B53))&gt;0))</f>
        <v>0</v>
      </c>
      <c r="G53" s="62" t="str">
        <f t="shared" si="3"/>
        <v>SUV</v>
      </c>
      <c r="H53" s="62" t="str">
        <f>IF(AND('Data Export'!A53=前十整体车型排名!$B$2,'Data Export'!B53=前十整体车型排名!$B$3,'Data Export'!D53&lt;&gt;""),UPPER('Data Export'!C53)&amp;"♦"&amp;'Data Export'!D53,"")</f>
        <v>AUDI♦Q3 SPORTBACK</v>
      </c>
      <c r="I53" s="63">
        <f>IF(H53="","",IFERROR(INDEX('Data Export'!G53:CZ53,1,MATCH(前十整体车型排名!$B$4,'Data Export'!$G$1:$CZ$1,0)),0))</f>
        <v>0</v>
      </c>
      <c r="J53" s="62" t="str">
        <f>IF(H53="","",IF(OR('Data Export'!F53="三厢轿车",'Data Export'!F53="掀背轿车",'Data Export'!F53="旅行车",'Data Export'!F53="微型车",'Data Export'!F53="硬顶跑车",'Data Export'!F53="敞蓬车",'Data Export'!F53="Targa"),"轿车",IF(OR('Data Export'!F53="小型MPV",'Data Export'!F53="客车"),"MPV",IF('Data Export'!F53="运动型多功能车","SUV","其他"))))</f>
        <v>SUV</v>
      </c>
      <c r="K53" s="62" t="str">
        <f>IF(OR(D53="",NOT(F53=1)),"",1+SUMPRODUCT(($F$2:$F$1001=1)*($D$2:$D$1001&gt;D53))+COUNTIFS($F$2:F53,1,$D$2:D53,D53)-1)</f>
        <v/>
      </c>
      <c r="L53" s="62" t="str">
        <f>IF(OR(D53="",NOT(G53="轿车")),"",1+SUMPRODUCT(($G$2:$G$1001="轿车")*($D$2:$D$1001&gt;D53))+COUNTIFS($G$2:G53,"轿车",$D$2:D53,D53)-1)</f>
        <v/>
      </c>
      <c r="M53" s="62" t="str">
        <f>IF(OR(D53="",NOT(G53="MPV")),"",1+SUMPRODUCT(($G$2:$G$1001="MPV")*($D$2:$D$1001&gt;D53))+COUNTIFS($G$2:G53,"MPV",$D$2:D53,D53)-1)</f>
        <v/>
      </c>
      <c r="N53" s="62">
        <f>IF(OR(D53="",NOT(G53="SUV")),"",1+SUMPRODUCT(($G$2:$G$1001="SUV")*($D$2:$D$1001&gt;D53))+COUNTIFS($G$2:G53,"SUV",$D$2:D53,D53)-1)</f>
        <v>71</v>
      </c>
      <c r="O53" s="62" t="str">
        <f>IF(OR(D53="",NOT(AND(F53=1,G53="轿车"))),"",1+SUMPRODUCT(($F$2:$F$1001=1)*($G$2:$G$1001="轿车")*($D$2:$D$1001&gt;D53))+COUNTIFS($F$2:F53,1,$G$2:G53,"轿车",$D$2:D53,D53)-1)</f>
        <v/>
      </c>
      <c r="P53" s="62" t="str">
        <f>IF(OR(D53="",NOT(AND(F53=1,G53="MPV"))),"",1+SUMPRODUCT(($F$2:$F$1001=1)*($G$2:$G$1001="MPV")*($D$2:$D$1001&gt;D53))+COUNTIFS($F$2:F53,1,$G$2:G53,"MPV",$D$2:D53,D53)-1)</f>
        <v/>
      </c>
      <c r="Q53" s="62" t="str">
        <f>IF(OR(D53="",NOT(AND(F53=1,G53="SUV"))),"",1+SUMPRODUCT(($F$2:$F$1001=1)*($G$2:$G$1001="SUV")*($D$2:$D$1001&gt;D53))+COUNTIFS($F$2:F53,1,$G$2:G53,"SUV",$D$2:D53,D53)-1)</f>
        <v/>
      </c>
    </row>
    <row r="54" spans="1:17">
      <c r="A54" s="62" t="str">
        <f>IFERROR(INDEX($H$2:$H$3000,MATCH(0,INDEX(COUNTIF($A$1:A53,$H$2:$H$3000)+($H$2:$H$3000=""),0,0),0)),"")</f>
        <v>BMW♦X5</v>
      </c>
      <c r="B54" s="62" t="str">
        <f t="shared" si="0"/>
        <v>BMW</v>
      </c>
      <c r="C54" s="62" t="str">
        <f t="shared" si="1"/>
        <v>X5</v>
      </c>
      <c r="D54" s="63">
        <f t="shared" si="2"/>
        <v>38</v>
      </c>
      <c r="E54" s="62">
        <f>IF(D54="","",_xlfn.RANK.EQ(D54,$D$2:$D$1001,0)+COUNTIF($D$2:D54,D54)-1)</f>
        <v>102</v>
      </c>
      <c r="F54" s="62">
        <f>IF(B54="","",--(COUNTIF(CN_Brands!$A$2:$A$300,UPPER(B54))&gt;0))</f>
        <v>0</v>
      </c>
      <c r="G54" s="62" t="str">
        <f t="shared" si="3"/>
        <v>SUV</v>
      </c>
      <c r="H54" s="62" t="str">
        <f>IF(AND('Data Export'!A54=前十整体车型排名!$B$2,'Data Export'!B54=前十整体车型排名!$B$3,'Data Export'!D54&lt;&gt;""),UPPER('Data Export'!C54)&amp;"♦"&amp;'Data Export'!D54,"")</f>
        <v>AUDI♦Q3 SPORTBACK</v>
      </c>
      <c r="I54" s="63">
        <f>IF(H54="","",IFERROR(INDEX('Data Export'!G54:CZ54,1,MATCH(前十整体车型排名!$B$4,'Data Export'!$G$1:$CZ$1,0)),0))</f>
        <v>1</v>
      </c>
      <c r="J54" s="62" t="str">
        <f>IF(H54="","",IF(OR('Data Export'!F54="三厢轿车",'Data Export'!F54="掀背轿车",'Data Export'!F54="旅行车",'Data Export'!F54="微型车",'Data Export'!F54="硬顶跑车",'Data Export'!F54="敞蓬车",'Data Export'!F54="Targa"),"轿车",IF(OR('Data Export'!F54="小型MPV",'Data Export'!F54="客车"),"MPV",IF('Data Export'!F54="运动型多功能车","SUV","其他"))))</f>
        <v>SUV</v>
      </c>
      <c r="K54" s="62" t="str">
        <f>IF(OR(D54="",NOT(F54=1)),"",1+SUMPRODUCT(($F$2:$F$1001=1)*($D$2:$D$1001&gt;D54))+COUNTIFS($F$2:F54,1,$D$2:D54,D54)-1)</f>
        <v/>
      </c>
      <c r="L54" s="62" t="str">
        <f>IF(OR(D54="",NOT(G54="轿车")),"",1+SUMPRODUCT(($G$2:$G$1001="轿车")*($D$2:$D$1001&gt;D54))+COUNTIFS($G$2:G54,"轿车",$D$2:D54,D54)-1)</f>
        <v/>
      </c>
      <c r="M54" s="62" t="str">
        <f>IF(OR(D54="",NOT(G54="MPV")),"",1+SUMPRODUCT(($G$2:$G$1001="MPV")*($D$2:$D$1001&gt;D54))+COUNTIFS($G$2:G54,"MPV",$D$2:D54,D54)-1)</f>
        <v/>
      </c>
      <c r="N54" s="62">
        <f>IF(OR(D54="",NOT(G54="SUV")),"",1+SUMPRODUCT(($G$2:$G$1001="SUV")*($D$2:$D$1001&gt;D54))+COUNTIFS($G$2:G54,"SUV",$D$2:D54,D54)-1)</f>
        <v>54</v>
      </c>
      <c r="O54" s="62" t="str">
        <f>IF(OR(D54="",NOT(AND(F54=1,G54="轿车"))),"",1+SUMPRODUCT(($F$2:$F$1001=1)*($G$2:$G$1001="轿车")*($D$2:$D$1001&gt;D54))+COUNTIFS($F$2:F54,1,$G$2:G54,"轿车",$D$2:D54,D54)-1)</f>
        <v/>
      </c>
      <c r="P54" s="62" t="str">
        <f>IF(OR(D54="",NOT(AND(F54=1,G54="MPV"))),"",1+SUMPRODUCT(($F$2:$F$1001=1)*($G$2:$G$1001="MPV")*($D$2:$D$1001&gt;D54))+COUNTIFS($F$2:F54,1,$G$2:G54,"MPV",$D$2:D54,D54)-1)</f>
        <v/>
      </c>
      <c r="Q54" s="62" t="str">
        <f>IF(OR(D54="",NOT(AND(F54=1,G54="SUV"))),"",1+SUMPRODUCT(($F$2:$F$1001=1)*($G$2:$G$1001="SUV")*($D$2:$D$1001&gt;D54))+COUNTIFS($F$2:F54,1,$G$2:G54,"SUV",$D$2:D54,D54)-1)</f>
        <v/>
      </c>
    </row>
    <row r="55" spans="1:17">
      <c r="A55" s="62" t="str">
        <f>IFERROR(INDEX($H$2:$H$3000,MATCH(0,INDEX(COUNTIF($A$1:A54,$H$2:$H$3000)+($H$2:$H$3000=""),0,0),0)),"")</f>
        <v>BMW♦X6</v>
      </c>
      <c r="B55" s="62" t="str">
        <f t="shared" si="0"/>
        <v>BMW</v>
      </c>
      <c r="C55" s="62" t="str">
        <f t="shared" si="1"/>
        <v>X6</v>
      </c>
      <c r="D55" s="63">
        <f t="shared" si="2"/>
        <v>9</v>
      </c>
      <c r="E55" s="62">
        <f>IF(D55="","",_xlfn.RANK.EQ(D55,$D$2:$D$1001,0)+COUNTIF($D$2:D55,D55)-1)</f>
        <v>146</v>
      </c>
      <c r="F55" s="62">
        <f>IF(B55="","",--(COUNTIF(CN_Brands!$A$2:$A$300,UPPER(B55))&gt;0))</f>
        <v>0</v>
      </c>
      <c r="G55" s="62" t="str">
        <f t="shared" si="3"/>
        <v>SUV</v>
      </c>
      <c r="H55" s="62" t="str">
        <f>IF(AND('Data Export'!A55=前十整体车型排名!$B$2,'Data Export'!B55=前十整体车型排名!$B$3,'Data Export'!D55&lt;&gt;""),UPPER('Data Export'!C55)&amp;"♦"&amp;'Data Export'!D55,"")</f>
        <v>AUDI♦Q5</v>
      </c>
      <c r="I55" s="63">
        <f>IF(H55="","",IFERROR(INDEX('Data Export'!G55:CZ55,1,MATCH(前十整体车型排名!$B$4,'Data Export'!$G$1:$CZ$1,0)),0))</f>
        <v>0</v>
      </c>
      <c r="J55" s="62" t="str">
        <f>IF(H55="","",IF(OR('Data Export'!F55="三厢轿车",'Data Export'!F55="掀背轿车",'Data Export'!F55="旅行车",'Data Export'!F55="微型车",'Data Export'!F55="硬顶跑车",'Data Export'!F55="敞蓬车",'Data Export'!F55="Targa"),"轿车",IF(OR('Data Export'!F55="小型MPV",'Data Export'!F55="客车"),"MPV",IF('Data Export'!F55="运动型多功能车","SUV","其他"))))</f>
        <v>SUV</v>
      </c>
      <c r="K55" s="62" t="str">
        <f>IF(OR(D55="",NOT(F55=1)),"",1+SUMPRODUCT(($F$2:$F$1001=1)*($D$2:$D$1001&gt;D55))+COUNTIFS($F$2:F55,1,$D$2:D55,D55)-1)</f>
        <v/>
      </c>
      <c r="L55" s="62" t="str">
        <f>IF(OR(D55="",NOT(G55="轿车")),"",1+SUMPRODUCT(($G$2:$G$1001="轿车")*($D$2:$D$1001&gt;D55))+COUNTIFS($G$2:G55,"轿车",$D$2:D55,D55)-1)</f>
        <v/>
      </c>
      <c r="M55" s="62" t="str">
        <f>IF(OR(D55="",NOT(G55="MPV")),"",1+SUMPRODUCT(($G$2:$G$1001="MPV")*($D$2:$D$1001&gt;D55))+COUNTIFS($G$2:G55,"MPV",$D$2:D55,D55)-1)</f>
        <v/>
      </c>
      <c r="N55" s="62">
        <f>IF(OR(D55="",NOT(G55="SUV")),"",1+SUMPRODUCT(($G$2:$G$1001="SUV")*($D$2:$D$1001&gt;D55))+COUNTIFS($G$2:G55,"SUV",$D$2:D55,D55)-1)</f>
        <v>80</v>
      </c>
      <c r="O55" s="62" t="str">
        <f>IF(OR(D55="",NOT(AND(F55=1,G55="轿车"))),"",1+SUMPRODUCT(($F$2:$F$1001=1)*($G$2:$G$1001="轿车")*($D$2:$D$1001&gt;D55))+COUNTIFS($F$2:F55,1,$G$2:G55,"轿车",$D$2:D55,D55)-1)</f>
        <v/>
      </c>
      <c r="P55" s="62" t="str">
        <f>IF(OR(D55="",NOT(AND(F55=1,G55="MPV"))),"",1+SUMPRODUCT(($F$2:$F$1001=1)*($G$2:$G$1001="MPV")*($D$2:$D$1001&gt;D55))+COUNTIFS($F$2:F55,1,$G$2:G55,"MPV",$D$2:D55,D55)-1)</f>
        <v/>
      </c>
      <c r="Q55" s="62" t="str">
        <f>IF(OR(D55="",NOT(AND(F55=1,G55="SUV"))),"",1+SUMPRODUCT(($F$2:$F$1001=1)*($G$2:$G$1001="SUV")*($D$2:$D$1001&gt;D55))+COUNTIFS($F$2:F55,1,$G$2:G55,"SUV",$D$2:D55,D55)-1)</f>
        <v/>
      </c>
    </row>
    <row r="56" spans="1:17">
      <c r="A56" s="62" t="str">
        <f>IFERROR(INDEX($H$2:$H$3000,MATCH(0,INDEX(COUNTIF($A$1:A55,$H$2:$H$3000)+($H$2:$H$3000=""),0,0),0)),"")</f>
        <v>BMW♦X7</v>
      </c>
      <c r="B56" s="62" t="str">
        <f t="shared" si="0"/>
        <v>BMW</v>
      </c>
      <c r="C56" s="62" t="str">
        <f t="shared" si="1"/>
        <v>X7</v>
      </c>
      <c r="D56" s="63">
        <f t="shared" si="2"/>
        <v>6</v>
      </c>
      <c r="E56" s="62">
        <f>IF(D56="","",_xlfn.RANK.EQ(D56,$D$2:$D$1001,0)+COUNTIF($D$2:D56,D56)-1)</f>
        <v>164</v>
      </c>
      <c r="F56" s="62">
        <f>IF(B56="","",--(COUNTIF(CN_Brands!$A$2:$A$300,UPPER(B56))&gt;0))</f>
        <v>0</v>
      </c>
      <c r="G56" s="62" t="str">
        <f t="shared" si="3"/>
        <v>SUV</v>
      </c>
      <c r="H56" s="62" t="str">
        <f>IF(AND('Data Export'!A56=前十整体车型排名!$B$2,'Data Export'!B56=前十整体车型排名!$B$3,'Data Export'!D56&lt;&gt;""),UPPER('Data Export'!C56)&amp;"♦"&amp;'Data Export'!D56,"")</f>
        <v>AUDI♦Q5</v>
      </c>
      <c r="I56" s="63">
        <f>IF(H56="","",IFERROR(INDEX('Data Export'!G56:CZ56,1,MATCH(前十整体车型排名!$B$4,'Data Export'!$G$1:$CZ$1,0)),0))</f>
        <v>0</v>
      </c>
      <c r="J56" s="62" t="str">
        <f>IF(H56="","",IF(OR('Data Export'!F56="三厢轿车",'Data Export'!F56="掀背轿车",'Data Export'!F56="旅行车",'Data Export'!F56="微型车",'Data Export'!F56="硬顶跑车",'Data Export'!F56="敞蓬车",'Data Export'!F56="Targa"),"轿车",IF(OR('Data Export'!F56="小型MPV",'Data Export'!F56="客车"),"MPV",IF('Data Export'!F56="运动型多功能车","SUV","其他"))))</f>
        <v>SUV</v>
      </c>
      <c r="K56" s="62" t="str">
        <f>IF(OR(D56="",NOT(F56=1)),"",1+SUMPRODUCT(($F$2:$F$1001=1)*($D$2:$D$1001&gt;D56))+COUNTIFS($F$2:F56,1,$D$2:D56,D56)-1)</f>
        <v/>
      </c>
      <c r="L56" s="62" t="str">
        <f>IF(OR(D56="",NOT(G56="轿车")),"",1+SUMPRODUCT(($G$2:$G$1001="轿车")*($D$2:$D$1001&gt;D56))+COUNTIFS($G$2:G56,"轿车",$D$2:D56,D56)-1)</f>
        <v/>
      </c>
      <c r="M56" s="62" t="str">
        <f>IF(OR(D56="",NOT(G56="MPV")),"",1+SUMPRODUCT(($G$2:$G$1001="MPV")*($D$2:$D$1001&gt;D56))+COUNTIFS($G$2:G56,"MPV",$D$2:D56,D56)-1)</f>
        <v/>
      </c>
      <c r="N56" s="62">
        <f>IF(OR(D56="",NOT(G56="SUV")),"",1+SUMPRODUCT(($G$2:$G$1001="SUV")*($D$2:$D$1001&gt;D56))+COUNTIFS($G$2:G56,"SUV",$D$2:D56,D56)-1)</f>
        <v>89</v>
      </c>
      <c r="O56" s="62" t="str">
        <f>IF(OR(D56="",NOT(AND(F56=1,G56="轿车"))),"",1+SUMPRODUCT(($F$2:$F$1001=1)*($G$2:$G$1001="轿车")*($D$2:$D$1001&gt;D56))+COUNTIFS($F$2:F56,1,$G$2:G56,"轿车",$D$2:D56,D56)-1)</f>
        <v/>
      </c>
      <c r="P56" s="62" t="str">
        <f>IF(OR(D56="",NOT(AND(F56=1,G56="MPV"))),"",1+SUMPRODUCT(($F$2:$F$1001=1)*($G$2:$G$1001="MPV")*($D$2:$D$1001&gt;D56))+COUNTIFS($F$2:F56,1,$G$2:G56,"MPV",$D$2:D56,D56)-1)</f>
        <v/>
      </c>
      <c r="Q56" s="62" t="str">
        <f>IF(OR(D56="",NOT(AND(F56=1,G56="SUV"))),"",1+SUMPRODUCT(($F$2:$F$1001=1)*($G$2:$G$1001="SUV")*($D$2:$D$1001&gt;D56))+COUNTIFS($F$2:F56,1,$G$2:G56,"SUV",$D$2:D56,D56)-1)</f>
        <v/>
      </c>
    </row>
    <row r="57" spans="1:17">
      <c r="A57" s="62" t="str">
        <f>IFERROR(INDEX($H$2:$H$3000,MATCH(0,INDEX(COUNTIF($A$1:A56,$H$2:$H$3000)+($H$2:$H$3000=""),0,0),0)),"")</f>
        <v>BMW♦XM</v>
      </c>
      <c r="B57" s="62" t="str">
        <f t="shared" si="0"/>
        <v>BMW</v>
      </c>
      <c r="C57" s="62" t="str">
        <f t="shared" si="1"/>
        <v>XM</v>
      </c>
      <c r="D57" s="63">
        <f t="shared" si="2"/>
        <v>7</v>
      </c>
      <c r="E57" s="62">
        <f>IF(D57="","",_xlfn.RANK.EQ(D57,$D$2:$D$1001,0)+COUNTIF($D$2:D57,D57)-1)</f>
        <v>157</v>
      </c>
      <c r="F57" s="62">
        <f>IF(B57="","",--(COUNTIF(CN_Brands!$A$2:$A$300,UPPER(B57))&gt;0))</f>
        <v>0</v>
      </c>
      <c r="G57" s="62" t="str">
        <f t="shared" si="3"/>
        <v>SUV</v>
      </c>
      <c r="H57" s="62" t="str">
        <f>IF(AND('Data Export'!A57=前十整体车型排名!$B$2,'Data Export'!B57=前十整体车型排名!$B$3,'Data Export'!D57&lt;&gt;""),UPPER('Data Export'!C57)&amp;"♦"&amp;'Data Export'!D57,"")</f>
        <v>AUDI♦Q5 SPORTBACK</v>
      </c>
      <c r="I57" s="63">
        <f>IF(H57="","",IFERROR(INDEX('Data Export'!G57:CZ57,1,MATCH(前十整体车型排名!$B$4,'Data Export'!$G$1:$CZ$1,0)),0))</f>
        <v>5</v>
      </c>
      <c r="J57" s="62" t="str">
        <f>IF(H57="","",IF(OR('Data Export'!F57="三厢轿车",'Data Export'!F57="掀背轿车",'Data Export'!F57="旅行车",'Data Export'!F57="微型车",'Data Export'!F57="硬顶跑车",'Data Export'!F57="敞蓬车",'Data Export'!F57="Targa"),"轿车",IF(OR('Data Export'!F57="小型MPV",'Data Export'!F57="客车"),"MPV",IF('Data Export'!F57="运动型多功能车","SUV","其他"))))</f>
        <v>SUV</v>
      </c>
      <c r="K57" s="62" t="str">
        <f>IF(OR(D57="",NOT(F57=1)),"",1+SUMPRODUCT(($F$2:$F$1001=1)*($D$2:$D$1001&gt;D57))+COUNTIFS($F$2:F57,1,$D$2:D57,D57)-1)</f>
        <v/>
      </c>
      <c r="L57" s="62" t="str">
        <f>IF(OR(D57="",NOT(G57="轿车")),"",1+SUMPRODUCT(($G$2:$G$1001="轿车")*($D$2:$D$1001&gt;D57))+COUNTIFS($G$2:G57,"轿车",$D$2:D57,D57)-1)</f>
        <v/>
      </c>
      <c r="M57" s="62" t="str">
        <f>IF(OR(D57="",NOT(G57="MPV")),"",1+SUMPRODUCT(($G$2:$G$1001="MPV")*($D$2:$D$1001&gt;D57))+COUNTIFS($G$2:G57,"MPV",$D$2:D57,D57)-1)</f>
        <v/>
      </c>
      <c r="N57" s="62">
        <f>IF(OR(D57="",NOT(G57="SUV")),"",1+SUMPRODUCT(($G$2:$G$1001="SUV")*($D$2:$D$1001&gt;D57))+COUNTIFS($G$2:G57,"SUV",$D$2:D57,D57)-1)</f>
        <v>85</v>
      </c>
      <c r="O57" s="62" t="str">
        <f>IF(OR(D57="",NOT(AND(F57=1,G57="轿车"))),"",1+SUMPRODUCT(($F$2:$F$1001=1)*($G$2:$G$1001="轿车")*($D$2:$D$1001&gt;D57))+COUNTIFS($F$2:F57,1,$G$2:G57,"轿车",$D$2:D57,D57)-1)</f>
        <v/>
      </c>
      <c r="P57" s="62" t="str">
        <f>IF(OR(D57="",NOT(AND(F57=1,G57="MPV"))),"",1+SUMPRODUCT(($F$2:$F$1001=1)*($G$2:$G$1001="MPV")*($D$2:$D$1001&gt;D57))+COUNTIFS($F$2:F57,1,$G$2:G57,"MPV",$D$2:D57,D57)-1)</f>
        <v/>
      </c>
      <c r="Q57" s="62" t="str">
        <f>IF(OR(D57="",NOT(AND(F57=1,G57="SUV"))),"",1+SUMPRODUCT(($F$2:$F$1001=1)*($G$2:$G$1001="SUV")*($D$2:$D$1001&gt;D57))+COUNTIFS($F$2:F57,1,$G$2:G57,"SUV",$D$2:D57,D57)-1)</f>
        <v/>
      </c>
    </row>
    <row r="58" spans="1:17">
      <c r="A58" s="62" t="str">
        <f>IFERROR(INDEX($H$2:$H$3000,MATCH(0,INDEX(COUNTIF($A$1:A57,$H$2:$H$3000)+($H$2:$H$3000=""),0,0),0)),"")</f>
        <v>BMW♦Z4</v>
      </c>
      <c r="B58" s="62" t="str">
        <f t="shared" si="0"/>
        <v>BMW</v>
      </c>
      <c r="C58" s="62" t="str">
        <f t="shared" si="1"/>
        <v>Z4</v>
      </c>
      <c r="D58" s="63">
        <f t="shared" si="2"/>
        <v>1</v>
      </c>
      <c r="E58" s="62">
        <f>IF(D58="","",_xlfn.RANK.EQ(D58,$D$2:$D$1001,0)+COUNTIF($D$2:D58,D58)-1)</f>
        <v>226</v>
      </c>
      <c r="F58" s="62">
        <f>IF(B58="","",--(COUNTIF(CN_Brands!$A$2:$A$300,UPPER(B58))&gt;0))</f>
        <v>0</v>
      </c>
      <c r="G58" s="62" t="str">
        <f t="shared" si="3"/>
        <v>轿车</v>
      </c>
      <c r="H58" s="62" t="str">
        <f>IF(AND('Data Export'!A58=前十整体车型排名!$B$2,'Data Export'!B58=前十整体车型排名!$B$3,'Data Export'!D58&lt;&gt;""),UPPER('Data Export'!C58)&amp;"♦"&amp;'Data Export'!D58,"")</f>
        <v>AUDI♦Q6 E-TRON</v>
      </c>
      <c r="I58" s="63">
        <f>IF(H58="","",IFERROR(INDEX('Data Export'!G58:CZ58,1,MATCH(前十整体车型排名!$B$4,'Data Export'!$G$1:$CZ$1,0)),0))</f>
        <v>0</v>
      </c>
      <c r="J58" s="62" t="str">
        <f>IF(H58="","",IF(OR('Data Export'!F58="三厢轿车",'Data Export'!F58="掀背轿车",'Data Export'!F58="旅行车",'Data Export'!F58="微型车",'Data Export'!F58="硬顶跑车",'Data Export'!F58="敞蓬车",'Data Export'!F58="Targa"),"轿车",IF(OR('Data Export'!F58="小型MPV",'Data Export'!F58="客车"),"MPV",IF('Data Export'!F58="运动型多功能车","SUV","其他"))))</f>
        <v>SUV</v>
      </c>
      <c r="K58" s="62" t="str">
        <f>IF(OR(D58="",NOT(F58=1)),"",1+SUMPRODUCT(($F$2:$F$1001=1)*($D$2:$D$1001&gt;D58))+COUNTIFS($F$2:F58,1,$D$2:D58,D58)-1)</f>
        <v/>
      </c>
      <c r="L58" s="62">
        <f>IF(OR(D58="",NOT(G58="轿车")),"",1+SUMPRODUCT(($G$2:$G$1001="轿车")*($D$2:$D$1001&gt;D58))+COUNTIFS($G$2:G58,"轿车",$D$2:D58,D58)-1)</f>
        <v>69</v>
      </c>
      <c r="M58" s="62" t="str">
        <f>IF(OR(D58="",NOT(G58="MPV")),"",1+SUMPRODUCT(($G$2:$G$1001="MPV")*($D$2:$D$1001&gt;D58))+COUNTIFS($G$2:G58,"MPV",$D$2:D58,D58)-1)</f>
        <v/>
      </c>
      <c r="N58" s="62" t="str">
        <f>IF(OR(D58="",NOT(G58="SUV")),"",1+SUMPRODUCT(($G$2:$G$1001="SUV")*($D$2:$D$1001&gt;D58))+COUNTIFS($G$2:G58,"SUV",$D$2:D58,D58)-1)</f>
        <v/>
      </c>
      <c r="O58" s="62" t="str">
        <f>IF(OR(D58="",NOT(AND(F58=1,G58="轿车"))),"",1+SUMPRODUCT(($F$2:$F$1001=1)*($G$2:$G$1001="轿车")*($D$2:$D$1001&gt;D58))+COUNTIFS($F$2:F58,1,$G$2:G58,"轿车",$D$2:D58,D58)-1)</f>
        <v/>
      </c>
      <c r="P58" s="62" t="str">
        <f>IF(OR(D58="",NOT(AND(F58=1,G58="MPV"))),"",1+SUMPRODUCT(($F$2:$F$1001=1)*($G$2:$G$1001="MPV")*($D$2:$D$1001&gt;D58))+COUNTIFS($F$2:F58,1,$G$2:G58,"MPV",$D$2:D58,D58)-1)</f>
        <v/>
      </c>
      <c r="Q58" s="62" t="str">
        <f>IF(OR(D58="",NOT(AND(F58=1,G58="SUV"))),"",1+SUMPRODUCT(($F$2:$F$1001=1)*($G$2:$G$1001="SUV")*($D$2:$D$1001&gt;D58))+COUNTIFS($F$2:F58,1,$G$2:G58,"SUV",$D$2:D58,D58)-1)</f>
        <v/>
      </c>
    </row>
    <row r="59" spans="1:17">
      <c r="A59" s="62" t="str">
        <f>IFERROR(INDEX($H$2:$H$3000,MATCH(0,INDEX(COUNTIF($A$1:A58,$H$2:$H$3000)+($H$2:$H$3000=""),0,0),0)),"")</f>
        <v>BYD♦ATTO 1</v>
      </c>
      <c r="B59" s="62" t="str">
        <f t="shared" si="0"/>
        <v>BYD</v>
      </c>
      <c r="C59" s="62" t="str">
        <f t="shared" si="1"/>
        <v>ATTO 1</v>
      </c>
      <c r="D59" s="63">
        <f t="shared" si="2"/>
        <v>310</v>
      </c>
      <c r="E59" s="62">
        <f>IF(D59="","",_xlfn.RANK.EQ(D59,$D$2:$D$1001,0)+COUNTIF($D$2:D59,D59)-1)</f>
        <v>40</v>
      </c>
      <c r="F59" s="62">
        <f>IF(B59="","",--(COUNTIF(CN_Brands!$A$2:$A$300,UPPER(B59))&gt;0))</f>
        <v>1</v>
      </c>
      <c r="G59" s="62" t="str">
        <f t="shared" si="3"/>
        <v>轿车</v>
      </c>
      <c r="H59" s="62" t="str">
        <f>IF(AND('Data Export'!A59=前十整体车型排名!$B$2,'Data Export'!B59=前十整体车型排名!$B$3,'Data Export'!D59&lt;&gt;""),UPPER('Data Export'!C59)&amp;"♦"&amp;'Data Export'!D59,"")</f>
        <v>AUDI♦Q7</v>
      </c>
      <c r="I59" s="63">
        <f>IF(H59="","",IFERROR(INDEX('Data Export'!G59:CZ59,1,MATCH(前十整体车型排名!$B$4,'Data Export'!$G$1:$CZ$1,0)),0))</f>
        <v>0</v>
      </c>
      <c r="J59" s="62" t="str">
        <f>IF(H59="","",IF(OR('Data Export'!F59="三厢轿车",'Data Export'!F59="掀背轿车",'Data Export'!F59="旅行车",'Data Export'!F59="微型车",'Data Export'!F59="硬顶跑车",'Data Export'!F59="敞蓬车",'Data Export'!F59="Targa"),"轿车",IF(OR('Data Export'!F59="小型MPV",'Data Export'!F59="客车"),"MPV",IF('Data Export'!F59="运动型多功能车","SUV","其他"))))</f>
        <v>SUV</v>
      </c>
      <c r="K59" s="62">
        <f>IF(OR(D59="",NOT(F59=1)),"",1+SUMPRODUCT(($F$2:$F$1001=1)*($D$2:$D$1001&gt;D59))+COUNTIFS($F$2:F59,1,$D$2:D59,D59)-1)</f>
        <v>21</v>
      </c>
      <c r="L59" s="62">
        <f>IF(OR(D59="",NOT(G59="轿车")),"",1+SUMPRODUCT(($G$2:$G$1001="轿车")*($D$2:$D$1001&gt;D59))+COUNTIFS($G$2:G59,"轿车",$D$2:D59,D59)-1)</f>
        <v>10</v>
      </c>
      <c r="M59" s="62" t="str">
        <f>IF(OR(D59="",NOT(G59="MPV")),"",1+SUMPRODUCT(($G$2:$G$1001="MPV")*($D$2:$D$1001&gt;D59))+COUNTIFS($G$2:G59,"MPV",$D$2:D59,D59)-1)</f>
        <v/>
      </c>
      <c r="N59" s="62" t="str">
        <f>IF(OR(D59="",NOT(G59="SUV")),"",1+SUMPRODUCT(($G$2:$G$1001="SUV")*($D$2:$D$1001&gt;D59))+COUNTIFS($G$2:G59,"SUV",$D$2:D59,D59)-1)</f>
        <v/>
      </c>
      <c r="O59" s="62">
        <f>IF(OR(D59="",NOT(AND(F59=1,G59="轿车"))),"",1+SUMPRODUCT(($F$2:$F$1001=1)*($G$2:$G$1001="轿车")*($D$2:$D$1001&gt;D59))+COUNTIFS($F$2:F59,1,$G$2:G59,"轿车",$D$2:D59,D59)-1)</f>
        <v>6</v>
      </c>
      <c r="P59" s="62" t="str">
        <f>IF(OR(D59="",NOT(AND(F59=1,G59="MPV"))),"",1+SUMPRODUCT(($F$2:$F$1001=1)*($G$2:$G$1001="MPV")*($D$2:$D$1001&gt;D59))+COUNTIFS($F$2:F59,1,$G$2:G59,"MPV",$D$2:D59,D59)-1)</f>
        <v/>
      </c>
      <c r="Q59" s="62" t="str">
        <f>IF(OR(D59="",NOT(AND(F59=1,G59="SUV"))),"",1+SUMPRODUCT(($F$2:$F$1001=1)*($G$2:$G$1001="SUV")*($D$2:$D$1001&gt;D59))+COUNTIFS($F$2:F59,1,$G$2:G59,"SUV",$D$2:D59,D59)-1)</f>
        <v/>
      </c>
    </row>
    <row r="60" spans="1:17">
      <c r="A60" s="62" t="str">
        <f>IFERROR(INDEX($H$2:$H$3000,MATCH(0,INDEX(COUNTIF($A$1:A59,$H$2:$H$3000)+($H$2:$H$3000=""),0,0),0)),"")</f>
        <v>BYD♦ATTO 2</v>
      </c>
      <c r="B60" s="62" t="str">
        <f t="shared" si="0"/>
        <v>BYD</v>
      </c>
      <c r="C60" s="62" t="str">
        <f t="shared" si="1"/>
        <v>ATTO 2</v>
      </c>
      <c r="D60" s="63">
        <f t="shared" si="2"/>
        <v>358</v>
      </c>
      <c r="E60" s="62">
        <f>IF(D60="","",_xlfn.RANK.EQ(D60,$D$2:$D$1001,0)+COUNTIF($D$2:D60,D60)-1)</f>
        <v>35</v>
      </c>
      <c r="F60" s="62">
        <f>IF(B60="","",--(COUNTIF(CN_Brands!$A$2:$A$300,UPPER(B60))&gt;0))</f>
        <v>1</v>
      </c>
      <c r="G60" s="62" t="str">
        <f t="shared" si="3"/>
        <v>SUV</v>
      </c>
      <c r="H60" s="62" t="str">
        <f>IF(AND('Data Export'!A60=前十整体车型排名!$B$2,'Data Export'!B60=前十整体车型排名!$B$3,'Data Export'!D60&lt;&gt;""),UPPER('Data Export'!C60)&amp;"♦"&amp;'Data Export'!D60,"")</f>
        <v>AUDI♦Q7</v>
      </c>
      <c r="I60" s="63">
        <f>IF(H60="","",IFERROR(INDEX('Data Export'!G60:CZ60,1,MATCH(前十整体车型排名!$B$4,'Data Export'!$G$1:$CZ$1,0)),0))</f>
        <v>0</v>
      </c>
      <c r="J60" s="62" t="str">
        <f>IF(H60="","",IF(OR('Data Export'!F60="三厢轿车",'Data Export'!F60="掀背轿车",'Data Export'!F60="旅行车",'Data Export'!F60="微型车",'Data Export'!F60="硬顶跑车",'Data Export'!F60="敞蓬车",'Data Export'!F60="Targa"),"轿车",IF(OR('Data Export'!F60="小型MPV",'Data Export'!F60="客车"),"MPV",IF('Data Export'!F60="运动型多功能车","SUV","其他"))))</f>
        <v>SUV</v>
      </c>
      <c r="K60" s="62">
        <f>IF(OR(D60="",NOT(F60=1)),"",1+SUMPRODUCT(($F$2:$F$1001=1)*($D$2:$D$1001&gt;D60))+COUNTIFS($F$2:F60,1,$D$2:D60,D60)-1)</f>
        <v>18</v>
      </c>
      <c r="L60" s="62" t="str">
        <f>IF(OR(D60="",NOT(G60="轿车")),"",1+SUMPRODUCT(($G$2:$G$1001="轿车")*($D$2:$D$1001&gt;D60))+COUNTIFS($G$2:G60,"轿车",$D$2:D60,D60)-1)</f>
        <v/>
      </c>
      <c r="M60" s="62" t="str">
        <f>IF(OR(D60="",NOT(G60="MPV")),"",1+SUMPRODUCT(($G$2:$G$1001="MPV")*($D$2:$D$1001&gt;D60))+COUNTIFS($G$2:G60,"MPV",$D$2:D60,D60)-1)</f>
        <v/>
      </c>
      <c r="N60" s="62">
        <f>IF(OR(D60="",NOT(G60="SUV")),"",1+SUMPRODUCT(($G$2:$G$1001="SUV")*($D$2:$D$1001&gt;D60))+COUNTIFS($G$2:G60,"SUV",$D$2:D60,D60)-1)</f>
        <v>23</v>
      </c>
      <c r="O60" s="62" t="str">
        <f>IF(OR(D60="",NOT(AND(F60=1,G60="轿车"))),"",1+SUMPRODUCT(($F$2:$F$1001=1)*($G$2:$G$1001="轿车")*($D$2:$D$1001&gt;D60))+COUNTIFS($F$2:F60,1,$G$2:G60,"轿车",$D$2:D60,D60)-1)</f>
        <v/>
      </c>
      <c r="P60" s="62" t="str">
        <f>IF(OR(D60="",NOT(AND(F60=1,G60="MPV"))),"",1+SUMPRODUCT(($F$2:$F$1001=1)*($G$2:$G$1001="MPV")*($D$2:$D$1001&gt;D60))+COUNTIFS($F$2:F60,1,$G$2:G60,"MPV",$D$2:D60,D60)-1)</f>
        <v/>
      </c>
      <c r="Q60" s="62">
        <f>IF(OR(D60="",NOT(AND(F60=1,G60="SUV"))),"",1+SUMPRODUCT(($F$2:$F$1001=1)*($G$2:$G$1001="SUV")*($D$2:$D$1001&gt;D60))+COUNTIFS($F$2:F60,1,$G$2:G60,"SUV",$D$2:D60,D60)-1)</f>
        <v>13</v>
      </c>
    </row>
    <row r="61" spans="1:17">
      <c r="A61" s="62" t="str">
        <f>IFERROR(INDEX($H$2:$H$3000,MATCH(0,INDEX(COUNTIF($A$1:A60,$H$2:$H$3000)+($H$2:$H$3000=""),0,0),0)),"")</f>
        <v>BYD♦ATTO 3</v>
      </c>
      <c r="B61" s="62" t="str">
        <f t="shared" si="0"/>
        <v>BYD</v>
      </c>
      <c r="C61" s="62" t="str">
        <f t="shared" si="1"/>
        <v>ATTO 3</v>
      </c>
      <c r="D61" s="63">
        <f t="shared" si="2"/>
        <v>602</v>
      </c>
      <c r="E61" s="62">
        <f>IF(D61="","",_xlfn.RANK.EQ(D61,$D$2:$D$1001,0)+COUNTIF($D$2:D61,D61)-1)</f>
        <v>20</v>
      </c>
      <c r="F61" s="62">
        <f>IF(B61="","",--(COUNTIF(CN_Brands!$A$2:$A$300,UPPER(B61))&gt;0))</f>
        <v>1</v>
      </c>
      <c r="G61" s="62" t="str">
        <f t="shared" si="3"/>
        <v>SUV</v>
      </c>
      <c r="H61" s="62" t="str">
        <f>IF(AND('Data Export'!A61=前十整体车型排名!$B$2,'Data Export'!B61=前十整体车型排名!$B$3,'Data Export'!D61&lt;&gt;""),UPPER('Data Export'!C61)&amp;"♦"&amp;'Data Export'!D61,"")</f>
        <v>AUDI♦Q7</v>
      </c>
      <c r="I61" s="63">
        <f>IF(H61="","",IFERROR(INDEX('Data Export'!G61:CZ61,1,MATCH(前十整体车型排名!$B$4,'Data Export'!$G$1:$CZ$1,0)),0))</f>
        <v>0</v>
      </c>
      <c r="J61" s="62" t="str">
        <f>IF(H61="","",IF(OR('Data Export'!F61="三厢轿车",'Data Export'!F61="掀背轿车",'Data Export'!F61="旅行车",'Data Export'!F61="微型车",'Data Export'!F61="硬顶跑车",'Data Export'!F61="敞蓬车",'Data Export'!F61="Targa"),"轿车",IF(OR('Data Export'!F61="小型MPV",'Data Export'!F61="客车"),"MPV",IF('Data Export'!F61="运动型多功能车","SUV","其他"))))</f>
        <v>SUV</v>
      </c>
      <c r="K61" s="62">
        <f>IF(OR(D61="",NOT(F61=1)),"",1+SUMPRODUCT(($F$2:$F$1001=1)*($D$2:$D$1001&gt;D61))+COUNTIFS($F$2:F61,1,$D$2:D61,D61)-1)</f>
        <v>10</v>
      </c>
      <c r="L61" s="62" t="str">
        <f>IF(OR(D61="",NOT(G61="轿车")),"",1+SUMPRODUCT(($G$2:$G$1001="轿车")*($D$2:$D$1001&gt;D61))+COUNTIFS($G$2:G61,"轿车",$D$2:D61,D61)-1)</f>
        <v/>
      </c>
      <c r="M61" s="62" t="str">
        <f>IF(OR(D61="",NOT(G61="MPV")),"",1+SUMPRODUCT(($G$2:$G$1001="MPV")*($D$2:$D$1001&gt;D61))+COUNTIFS($G$2:G61,"MPV",$D$2:D61,D61)-1)</f>
        <v/>
      </c>
      <c r="N61" s="62">
        <f>IF(OR(D61="",NOT(G61="SUV")),"",1+SUMPRODUCT(($G$2:$G$1001="SUV")*($D$2:$D$1001&gt;D61))+COUNTIFS($G$2:G61,"SUV",$D$2:D61,D61)-1)</f>
        <v>14</v>
      </c>
      <c r="O61" s="62" t="str">
        <f>IF(OR(D61="",NOT(AND(F61=1,G61="轿车"))),"",1+SUMPRODUCT(($F$2:$F$1001=1)*($G$2:$G$1001="轿车")*($D$2:$D$1001&gt;D61))+COUNTIFS($F$2:F61,1,$G$2:G61,"轿车",$D$2:D61,D61)-1)</f>
        <v/>
      </c>
      <c r="P61" s="62" t="str">
        <f>IF(OR(D61="",NOT(AND(F61=1,G61="MPV"))),"",1+SUMPRODUCT(($F$2:$F$1001=1)*($G$2:$G$1001="MPV")*($D$2:$D$1001&gt;D61))+COUNTIFS($F$2:F61,1,$G$2:G61,"MPV",$D$2:D61,D61)-1)</f>
        <v/>
      </c>
      <c r="Q61" s="62">
        <f>IF(OR(D61="",NOT(AND(F61=1,G61="SUV"))),"",1+SUMPRODUCT(($F$2:$F$1001=1)*($G$2:$G$1001="SUV")*($D$2:$D$1001&gt;D61))+COUNTIFS($F$2:F61,1,$G$2:G61,"SUV",$D$2:D61,D61)-1)</f>
        <v>7</v>
      </c>
    </row>
    <row r="62" spans="1:17">
      <c r="A62" s="62" t="str">
        <f>IFERROR(INDEX($H$2:$H$3000,MATCH(0,INDEX(COUNTIF($A$1:A61,$H$2:$H$3000)+($H$2:$H$3000=""),0,0),0)),"")</f>
        <v>BYD♦DOLPHIN</v>
      </c>
      <c r="B62" s="62" t="str">
        <f t="shared" si="0"/>
        <v>BYD</v>
      </c>
      <c r="C62" s="62" t="str">
        <f t="shared" si="1"/>
        <v>DOLPHIN</v>
      </c>
      <c r="D62" s="63">
        <f t="shared" si="2"/>
        <v>533</v>
      </c>
      <c r="E62" s="62">
        <f>IF(D62="","",_xlfn.RANK.EQ(D62,$D$2:$D$1001,0)+COUNTIF($D$2:D62,D62)-1)</f>
        <v>25</v>
      </c>
      <c r="F62" s="62">
        <f>IF(B62="","",--(COUNTIF(CN_Brands!$A$2:$A$300,UPPER(B62))&gt;0))</f>
        <v>1</v>
      </c>
      <c r="G62" s="62" t="str">
        <f t="shared" si="3"/>
        <v>轿车</v>
      </c>
      <c r="H62" s="62" t="str">
        <f>IF(AND('Data Export'!A62=前十整体车型排名!$B$2,'Data Export'!B62=前十整体车型排名!$B$3,'Data Export'!D62&lt;&gt;""),UPPER('Data Export'!C62)&amp;"♦"&amp;'Data Export'!D62,"")</f>
        <v>AUDI♦Q8</v>
      </c>
      <c r="I62" s="63">
        <f>IF(H62="","",IFERROR(INDEX('Data Export'!G62:CZ62,1,MATCH(前十整体车型排名!$B$4,'Data Export'!$G$1:$CZ$1,0)),0))</f>
        <v>0</v>
      </c>
      <c r="J62" s="62" t="str">
        <f>IF(H62="","",IF(OR('Data Export'!F62="三厢轿车",'Data Export'!F62="掀背轿车",'Data Export'!F62="旅行车",'Data Export'!F62="微型车",'Data Export'!F62="硬顶跑车",'Data Export'!F62="敞蓬车",'Data Export'!F62="Targa"),"轿车",IF(OR('Data Export'!F62="小型MPV",'Data Export'!F62="客车"),"MPV",IF('Data Export'!F62="运动型多功能车","SUV","其他"))))</f>
        <v>SUV</v>
      </c>
      <c r="K62" s="62">
        <f>IF(OR(D62="",NOT(F62=1)),"",1+SUMPRODUCT(($F$2:$F$1001=1)*($D$2:$D$1001&gt;D62))+COUNTIFS($F$2:F62,1,$D$2:D62,D62)-1)</f>
        <v>13</v>
      </c>
      <c r="L62" s="62">
        <f>IF(OR(D62="",NOT(G62="轿车")),"",1+SUMPRODUCT(($G$2:$G$1001="轿车")*($D$2:$D$1001&gt;D62))+COUNTIFS($G$2:G62,"轿车",$D$2:D62,D62)-1)</f>
        <v>6</v>
      </c>
      <c r="M62" s="62" t="str">
        <f>IF(OR(D62="",NOT(G62="MPV")),"",1+SUMPRODUCT(($G$2:$G$1001="MPV")*($D$2:$D$1001&gt;D62))+COUNTIFS($G$2:G62,"MPV",$D$2:D62,D62)-1)</f>
        <v/>
      </c>
      <c r="N62" s="62" t="str">
        <f>IF(OR(D62="",NOT(G62="SUV")),"",1+SUMPRODUCT(($G$2:$G$1001="SUV")*($D$2:$D$1001&gt;D62))+COUNTIFS($G$2:G62,"SUV",$D$2:D62,D62)-1)</f>
        <v/>
      </c>
      <c r="O62" s="62">
        <f>IF(OR(D62="",NOT(AND(F62=1,G62="轿车"))),"",1+SUMPRODUCT(($F$2:$F$1001=1)*($G$2:$G$1001="轿车")*($D$2:$D$1001&gt;D62))+COUNTIFS($F$2:F62,1,$G$2:G62,"轿车",$D$2:D62,D62)-1)</f>
        <v>4</v>
      </c>
      <c r="P62" s="62" t="str">
        <f>IF(OR(D62="",NOT(AND(F62=1,G62="MPV"))),"",1+SUMPRODUCT(($F$2:$F$1001=1)*($G$2:$G$1001="MPV")*($D$2:$D$1001&gt;D62))+COUNTIFS($F$2:F62,1,$G$2:G62,"MPV",$D$2:D62,D62)-1)</f>
        <v/>
      </c>
      <c r="Q62" s="62" t="str">
        <f>IF(OR(D62="",NOT(AND(F62=1,G62="SUV"))),"",1+SUMPRODUCT(($F$2:$F$1001=1)*($G$2:$G$1001="SUV")*($D$2:$D$1001&gt;D62))+COUNTIFS($F$2:F62,1,$G$2:G62,"SUV",$D$2:D62,D62)-1)</f>
        <v/>
      </c>
    </row>
    <row r="63" spans="1:17">
      <c r="A63" s="62" t="str">
        <f>IFERROR(INDEX($H$2:$H$3000,MATCH(0,INDEX(COUNTIF($A$1:A62,$H$2:$H$3000)+($H$2:$H$3000=""),0,0),0)),"")</f>
        <v>BYD♦E6</v>
      </c>
      <c r="B63" s="62" t="str">
        <f t="shared" si="0"/>
        <v>BYD</v>
      </c>
      <c r="C63" s="62" t="str">
        <f t="shared" si="1"/>
        <v>E6</v>
      </c>
      <c r="D63" s="63">
        <f t="shared" si="2"/>
        <v>1</v>
      </c>
      <c r="E63" s="62">
        <f>IF(D63="","",_xlfn.RANK.EQ(D63,$D$2:$D$1001,0)+COUNTIF($D$2:D63,D63)-1)</f>
        <v>227</v>
      </c>
      <c r="F63" s="62">
        <f>IF(B63="","",--(COUNTIF(CN_Brands!$A$2:$A$300,UPPER(B63))&gt;0))</f>
        <v>1</v>
      </c>
      <c r="G63" s="62" t="str">
        <f t="shared" si="3"/>
        <v>MPV</v>
      </c>
      <c r="H63" s="62" t="str">
        <f>IF(AND('Data Export'!A63=前十整体车型排名!$B$2,'Data Export'!B63=前十整体车型排名!$B$3,'Data Export'!D63&lt;&gt;""),UPPER('Data Export'!C63)&amp;"♦"&amp;'Data Export'!D63,"")</f>
        <v>AUDI♦Q8</v>
      </c>
      <c r="I63" s="63">
        <f>IF(H63="","",IFERROR(INDEX('Data Export'!G63:CZ63,1,MATCH(前十整体车型排名!$B$4,'Data Export'!$G$1:$CZ$1,0)),0))</f>
        <v>0</v>
      </c>
      <c r="J63" s="62" t="str">
        <f>IF(H63="","",IF(OR('Data Export'!F63="三厢轿车",'Data Export'!F63="掀背轿车",'Data Export'!F63="旅行车",'Data Export'!F63="微型车",'Data Export'!F63="硬顶跑车",'Data Export'!F63="敞蓬车",'Data Export'!F63="Targa"),"轿车",IF(OR('Data Export'!F63="小型MPV",'Data Export'!F63="客车"),"MPV",IF('Data Export'!F63="运动型多功能车","SUV","其他"))))</f>
        <v>SUV</v>
      </c>
      <c r="K63" s="62">
        <f>IF(OR(D63="",NOT(F63=1)),"",1+SUMPRODUCT(($F$2:$F$1001=1)*($D$2:$D$1001&gt;D63))+COUNTIFS($F$2:F63,1,$D$2:D63,D63)-1)</f>
        <v>64</v>
      </c>
      <c r="L63" s="62" t="str">
        <f>IF(OR(D63="",NOT(G63="轿车")),"",1+SUMPRODUCT(($G$2:$G$1001="轿车")*($D$2:$D$1001&gt;D63))+COUNTIFS($G$2:G63,"轿车",$D$2:D63,D63)-1)</f>
        <v/>
      </c>
      <c r="M63" s="62">
        <f>IF(OR(D63="",NOT(G63="MPV")),"",1+SUMPRODUCT(($G$2:$G$1001="MPV")*($D$2:$D$1001&gt;D63))+COUNTIFS($G$2:G63,"MPV",$D$2:D63,D63)-1)</f>
        <v>3</v>
      </c>
      <c r="N63" s="62" t="str">
        <f>IF(OR(D63="",NOT(G63="SUV")),"",1+SUMPRODUCT(($G$2:$G$1001="SUV")*($D$2:$D$1001&gt;D63))+COUNTIFS($G$2:G63,"SUV",$D$2:D63,D63)-1)</f>
        <v/>
      </c>
      <c r="O63" s="62" t="str">
        <f>IF(OR(D63="",NOT(AND(F63=1,G63="轿车"))),"",1+SUMPRODUCT(($F$2:$F$1001=1)*($G$2:$G$1001="轿车")*($D$2:$D$1001&gt;D63))+COUNTIFS($F$2:F63,1,$G$2:G63,"轿车",$D$2:D63,D63)-1)</f>
        <v/>
      </c>
      <c r="P63" s="62">
        <f>IF(OR(D63="",NOT(AND(F63=1,G63="MPV"))),"",1+SUMPRODUCT(($F$2:$F$1001=1)*($G$2:$G$1001="MPV")*($D$2:$D$1001&gt;D63))+COUNTIFS($F$2:F63,1,$G$2:G63,"MPV",$D$2:D63,D63)-1)</f>
        <v>1</v>
      </c>
      <c r="Q63" s="62" t="str">
        <f>IF(OR(D63="",NOT(AND(F63=1,G63="SUV"))),"",1+SUMPRODUCT(($F$2:$F$1001=1)*($G$2:$G$1001="SUV")*($D$2:$D$1001&gt;D63))+COUNTIFS($F$2:F63,1,$G$2:G63,"SUV",$D$2:D63,D63)-1)</f>
        <v/>
      </c>
    </row>
    <row r="64" spans="1:17">
      <c r="A64" s="62" t="str">
        <f>IFERROR(INDEX($H$2:$H$3000,MATCH(0,INDEX(COUNTIF($A$1:A63,$H$2:$H$3000)+($H$2:$H$3000=""),0,0),0)),"")</f>
        <v>BYD♦M6</v>
      </c>
      <c r="B64" s="62" t="str">
        <f t="shared" si="0"/>
        <v>BYD</v>
      </c>
      <c r="C64" s="62" t="str">
        <f t="shared" si="1"/>
        <v>M6</v>
      </c>
      <c r="D64" s="63">
        <f t="shared" si="2"/>
        <v>133</v>
      </c>
      <c r="E64" s="62">
        <f>IF(D64="","",_xlfn.RANK.EQ(D64,$D$2:$D$1001,0)+COUNTIF($D$2:D64,D64)-1)</f>
        <v>64</v>
      </c>
      <c r="F64" s="62">
        <f>IF(B64="","",--(COUNTIF(CN_Brands!$A$2:$A$300,UPPER(B64))&gt;0))</f>
        <v>1</v>
      </c>
      <c r="G64" s="62" t="str">
        <f t="shared" si="3"/>
        <v>其他</v>
      </c>
      <c r="H64" s="62" t="str">
        <f>IF(AND('Data Export'!A64=前十整体车型排名!$B$2,'Data Export'!B64=前十整体车型排名!$B$3,'Data Export'!D64&lt;&gt;""),UPPER('Data Export'!C64)&amp;"♦"&amp;'Data Export'!D64,"")</f>
        <v>AUDI♦Q8</v>
      </c>
      <c r="I64" s="63">
        <f>IF(H64="","",IFERROR(INDEX('Data Export'!G64:CZ64,1,MATCH(前十整体车型排名!$B$4,'Data Export'!$G$1:$CZ$1,0)),0))</f>
        <v>0</v>
      </c>
      <c r="J64" s="62" t="str">
        <f>IF(H64="","",IF(OR('Data Export'!F64="三厢轿车",'Data Export'!F64="掀背轿车",'Data Export'!F64="旅行车",'Data Export'!F64="微型车",'Data Export'!F64="硬顶跑车",'Data Export'!F64="敞蓬车",'Data Export'!F64="Targa"),"轿车",IF(OR('Data Export'!F64="小型MPV",'Data Export'!F64="客车"),"MPV",IF('Data Export'!F64="运动型多功能车","SUV","其他"))))</f>
        <v>SUV</v>
      </c>
      <c r="K64" s="62">
        <f>IF(OR(D64="",NOT(F64=1)),"",1+SUMPRODUCT(($F$2:$F$1001=1)*($D$2:$D$1001&gt;D64))+COUNTIFS($F$2:F64,1,$D$2:D64,D64)-1)</f>
        <v>32</v>
      </c>
      <c r="L64" s="62" t="str">
        <f>IF(OR(D64="",NOT(G64="轿车")),"",1+SUMPRODUCT(($G$2:$G$1001="轿车")*($D$2:$D$1001&gt;D64))+COUNTIFS($G$2:G64,"轿车",$D$2:D64,D64)-1)</f>
        <v/>
      </c>
      <c r="M64" s="62" t="str">
        <f>IF(OR(D64="",NOT(G64="MPV")),"",1+SUMPRODUCT(($G$2:$G$1001="MPV")*($D$2:$D$1001&gt;D64))+COUNTIFS($G$2:G64,"MPV",$D$2:D64,D64)-1)</f>
        <v/>
      </c>
      <c r="N64" s="62" t="str">
        <f>IF(OR(D64="",NOT(G64="SUV")),"",1+SUMPRODUCT(($G$2:$G$1001="SUV")*($D$2:$D$1001&gt;D64))+COUNTIFS($G$2:G64,"SUV",$D$2:D64,D64)-1)</f>
        <v/>
      </c>
      <c r="O64" s="62" t="str">
        <f>IF(OR(D64="",NOT(AND(F64=1,G64="轿车"))),"",1+SUMPRODUCT(($F$2:$F$1001=1)*($G$2:$G$1001="轿车")*($D$2:$D$1001&gt;D64))+COUNTIFS($F$2:F64,1,$G$2:G64,"轿车",$D$2:D64,D64)-1)</f>
        <v/>
      </c>
      <c r="P64" s="62" t="str">
        <f>IF(OR(D64="",NOT(AND(F64=1,G64="MPV"))),"",1+SUMPRODUCT(($F$2:$F$1001=1)*($G$2:$G$1001="MPV")*($D$2:$D$1001&gt;D64))+COUNTIFS($F$2:F64,1,$G$2:G64,"MPV",$D$2:D64,D64)-1)</f>
        <v/>
      </c>
      <c r="Q64" s="62" t="str">
        <f>IF(OR(D64="",NOT(AND(F64=1,G64="SUV"))),"",1+SUMPRODUCT(($F$2:$F$1001=1)*($G$2:$G$1001="SUV")*($D$2:$D$1001&gt;D64))+COUNTIFS($F$2:F64,1,$G$2:G64,"SUV",$D$2:D64,D64)-1)</f>
        <v/>
      </c>
    </row>
    <row r="65" spans="1:17">
      <c r="A65" s="62" t="str">
        <f>IFERROR(INDEX($H$2:$H$3000,MATCH(0,INDEX(COUNTIF($A$1:A64,$H$2:$H$3000)+($H$2:$H$3000=""),0,0),0)),"")</f>
        <v>BYD♦SEAL</v>
      </c>
      <c r="B65" s="62" t="str">
        <f t="shared" si="0"/>
        <v>BYD</v>
      </c>
      <c r="C65" s="62" t="str">
        <f t="shared" si="1"/>
        <v>SEAL</v>
      </c>
      <c r="D65" s="63">
        <f t="shared" si="2"/>
        <v>0</v>
      </c>
      <c r="E65" s="62">
        <f>IF(D65="","",_xlfn.RANK.EQ(D65,$D$2:$D$1001,0)+COUNTIF($D$2:D65,D65)-1)</f>
        <v>283</v>
      </c>
      <c r="F65" s="62">
        <f>IF(B65="","",--(COUNTIF(CN_Brands!$A$2:$A$300,UPPER(B65))&gt;0))</f>
        <v>1</v>
      </c>
      <c r="G65" s="62" t="str">
        <f t="shared" si="3"/>
        <v>轿车</v>
      </c>
      <c r="H65" s="62" t="str">
        <f>IF(AND('Data Export'!A65=前十整体车型排名!$B$2,'Data Export'!B65=前十整体车型排名!$B$3,'Data Export'!D65&lt;&gt;""),UPPER('Data Export'!C65)&amp;"♦"&amp;'Data Export'!D65,"")</f>
        <v>AUDI♦Q8</v>
      </c>
      <c r="I65" s="63">
        <f>IF(H65="","",IFERROR(INDEX('Data Export'!G65:CZ65,1,MATCH(前十整体车型排名!$B$4,'Data Export'!$G$1:$CZ$1,0)),0))</f>
        <v>2</v>
      </c>
      <c r="J65" s="62" t="str">
        <f>IF(H65="","",IF(OR('Data Export'!F65="三厢轿车",'Data Export'!F65="掀背轿车",'Data Export'!F65="旅行车",'Data Export'!F65="微型车",'Data Export'!F65="硬顶跑车",'Data Export'!F65="敞蓬车",'Data Export'!F65="Targa"),"轿车",IF(OR('Data Export'!F65="小型MPV",'Data Export'!F65="客车"),"MPV",IF('Data Export'!F65="运动型多功能车","SUV","其他"))))</f>
        <v>SUV</v>
      </c>
      <c r="K65" s="62">
        <f>IF(OR(D65="",NOT(F65=1)),"",1+SUMPRODUCT(($F$2:$F$1001=1)*($D$2:$D$1001&gt;D65))+COUNTIFS($F$2:F65,1,$D$2:D65,D65)-1)</f>
        <v>68</v>
      </c>
      <c r="L65" s="62">
        <f>IF(OR(D65="",NOT(G65="轿车")),"",1+SUMPRODUCT(($G$2:$G$1001="轿车")*($D$2:$D$1001&gt;D65))+COUNTIFS($G$2:G65,"轿车",$D$2:D65,D65)-1)</f>
        <v>92</v>
      </c>
      <c r="M65" s="62" t="str">
        <f>IF(OR(D65="",NOT(G65="MPV")),"",1+SUMPRODUCT(($G$2:$G$1001="MPV")*($D$2:$D$1001&gt;D65))+COUNTIFS($G$2:G65,"MPV",$D$2:D65,D65)-1)</f>
        <v/>
      </c>
      <c r="N65" s="62" t="str">
        <f>IF(OR(D65="",NOT(G65="SUV")),"",1+SUMPRODUCT(($G$2:$G$1001="SUV")*($D$2:$D$1001&gt;D65))+COUNTIFS($G$2:G65,"SUV",$D$2:D65,D65)-1)</f>
        <v/>
      </c>
      <c r="O65" s="62">
        <f>IF(OR(D65="",NOT(AND(F65=1,G65="轿车"))),"",1+SUMPRODUCT(($F$2:$F$1001=1)*($G$2:$G$1001="轿车")*($D$2:$D$1001&gt;D65))+COUNTIFS($F$2:F65,1,$G$2:G65,"轿车",$D$2:D65,D65)-1)</f>
        <v>20</v>
      </c>
      <c r="P65" s="62" t="str">
        <f>IF(OR(D65="",NOT(AND(F65=1,G65="MPV"))),"",1+SUMPRODUCT(($F$2:$F$1001=1)*($G$2:$G$1001="MPV")*($D$2:$D$1001&gt;D65))+COUNTIFS($F$2:F65,1,$G$2:G65,"MPV",$D$2:D65,D65)-1)</f>
        <v/>
      </c>
      <c r="Q65" s="62" t="str">
        <f>IF(OR(D65="",NOT(AND(F65=1,G65="SUV"))),"",1+SUMPRODUCT(($F$2:$F$1001=1)*($G$2:$G$1001="SUV")*($D$2:$D$1001&gt;D65))+COUNTIFS($F$2:F65,1,$G$2:G65,"SUV",$D$2:D65,D65)-1)</f>
        <v/>
      </c>
    </row>
    <row r="66" spans="1:17">
      <c r="A66" s="62" t="str">
        <f>IFERROR(INDEX($H$2:$H$3000,MATCH(0,INDEX(COUNTIF($A$1:A65,$H$2:$H$3000)+($H$2:$H$3000=""),0,0),0)),"")</f>
        <v>BYD♦SEAL 5</v>
      </c>
      <c r="B66" s="62" t="str">
        <f t="shared" ref="B66:B129" si="4">IF(A66="","",LEFT(A66,FIND("♦",A66)-1))</f>
        <v>BYD</v>
      </c>
      <c r="C66" s="62" t="str">
        <f t="shared" ref="C66:C129" si="5">IF(A66="","",MID(A66,FIND("♦",A66)+1,999))</f>
        <v>SEAL 5</v>
      </c>
      <c r="D66" s="63">
        <f t="shared" ref="D66:D129" si="6">IF(A66="","",SUMIF($H$2:$H$3000,A66,$I$2:$I$3000))</f>
        <v>138</v>
      </c>
      <c r="E66" s="62">
        <f>IF(D66="","",_xlfn.RANK.EQ(D66,$D$2:$D$1001,0)+COUNTIF($D$2:D66,D66)-1)</f>
        <v>62</v>
      </c>
      <c r="F66" s="62">
        <f>IF(B66="","",--(COUNTIF(CN_Brands!$A$2:$A$300,UPPER(B66))&gt;0))</f>
        <v>1</v>
      </c>
      <c r="G66" s="62" t="str">
        <f t="shared" ref="G66:G129" si="7">IF(A66="","",IFERROR(INDEX($J$2:$J$3000,MATCH(A66,$H$2:$H$3000,0)),"其他"))</f>
        <v>轿车</v>
      </c>
      <c r="H66" s="62" t="str">
        <f>IF(AND('Data Export'!A66=前十整体车型排名!$B$2,'Data Export'!B66=前十整体车型排名!$B$3,'Data Export'!D66&lt;&gt;""),UPPER('Data Export'!C66)&amp;"♦"&amp;'Data Export'!D66,"")</f>
        <v>AUDI♦Q8 E-TRON</v>
      </c>
      <c r="I66" s="63">
        <f>IF(H66="","",IFERROR(INDEX('Data Export'!G66:CZ66,1,MATCH(前十整体车型排名!$B$4,'Data Export'!$G$1:$CZ$1,0)),0))</f>
        <v>0</v>
      </c>
      <c r="J66" s="62" t="str">
        <f>IF(H66="","",IF(OR('Data Export'!F66="三厢轿车",'Data Export'!F66="掀背轿车",'Data Export'!F66="旅行车",'Data Export'!F66="微型车",'Data Export'!F66="硬顶跑车",'Data Export'!F66="敞蓬车",'Data Export'!F66="Targa"),"轿车",IF(OR('Data Export'!F66="小型MPV",'Data Export'!F66="客车"),"MPV",IF('Data Export'!F66="运动型多功能车","SUV","其他"))))</f>
        <v>SUV</v>
      </c>
      <c r="K66" s="62">
        <f>IF(OR(D66="",NOT(F66=1)),"",1+SUMPRODUCT(($F$2:$F$1001=1)*($D$2:$D$1001&gt;D66))+COUNTIFS($F$2:F66,1,$D$2:D66,D66)-1)</f>
        <v>31</v>
      </c>
      <c r="L66" s="62">
        <f>IF(OR(D66="",NOT(G66="轿车")),"",1+SUMPRODUCT(($G$2:$G$1001="轿车")*($D$2:$D$1001&gt;D66))+COUNTIFS($G$2:G66,"轿车",$D$2:D66,D66)-1)</f>
        <v>18</v>
      </c>
      <c r="M66" s="62" t="str">
        <f>IF(OR(D66="",NOT(G66="MPV")),"",1+SUMPRODUCT(($G$2:$G$1001="MPV")*($D$2:$D$1001&gt;D66))+COUNTIFS($G$2:G66,"MPV",$D$2:D66,D66)-1)</f>
        <v/>
      </c>
      <c r="N66" s="62" t="str">
        <f>IF(OR(D66="",NOT(G66="SUV")),"",1+SUMPRODUCT(($G$2:$G$1001="SUV")*($D$2:$D$1001&gt;D66))+COUNTIFS($G$2:G66,"SUV",$D$2:D66,D66)-1)</f>
        <v/>
      </c>
      <c r="O66" s="62">
        <f>IF(OR(D66="",NOT(AND(F66=1,G66="轿车"))),"",1+SUMPRODUCT(($F$2:$F$1001=1)*($G$2:$G$1001="轿车")*($D$2:$D$1001&gt;D66))+COUNTIFS($F$2:F66,1,$G$2:G66,"轿车",$D$2:D66,D66)-1)</f>
        <v>8</v>
      </c>
      <c r="P66" s="62" t="str">
        <f>IF(OR(D66="",NOT(AND(F66=1,G66="MPV"))),"",1+SUMPRODUCT(($F$2:$F$1001=1)*($G$2:$G$1001="MPV")*($D$2:$D$1001&gt;D66))+COUNTIFS($F$2:F66,1,$G$2:G66,"MPV",$D$2:D66,D66)-1)</f>
        <v/>
      </c>
      <c r="Q66" s="62" t="str">
        <f>IF(OR(D66="",NOT(AND(F66=1,G66="SUV"))),"",1+SUMPRODUCT(($F$2:$F$1001=1)*($G$2:$G$1001="SUV")*($D$2:$D$1001&gt;D66))+COUNTIFS($F$2:F66,1,$G$2:G66,"SUV",$D$2:D66,D66)-1)</f>
        <v/>
      </c>
    </row>
    <row r="67" spans="1:17">
      <c r="A67" s="62" t="str">
        <f>IFERROR(INDEX($H$2:$H$3000,MATCH(0,INDEX(COUNTIF($A$1:A66,$H$2:$H$3000)+($H$2:$H$3000=""),0,0),0)),"")</f>
        <v>BYD♦SEAL 6</v>
      </c>
      <c r="B67" s="62" t="str">
        <f t="shared" si="4"/>
        <v>BYD</v>
      </c>
      <c r="C67" s="62" t="str">
        <f t="shared" si="5"/>
        <v>SEAL 6</v>
      </c>
      <c r="D67" s="63">
        <f t="shared" si="6"/>
        <v>36</v>
      </c>
      <c r="E67" s="62">
        <f>IF(D67="","",_xlfn.RANK.EQ(D67,$D$2:$D$1001,0)+COUNTIF($D$2:D67,D67)-1)</f>
        <v>103</v>
      </c>
      <c r="F67" s="62">
        <f>IF(B67="","",--(COUNTIF(CN_Brands!$A$2:$A$300,UPPER(B67))&gt;0))</f>
        <v>1</v>
      </c>
      <c r="G67" s="62" t="str">
        <f t="shared" si="7"/>
        <v>轿车</v>
      </c>
      <c r="H67" s="62" t="str">
        <f>IF(AND('Data Export'!A67=前十整体车型排名!$B$2,'Data Export'!B67=前十整体车型排名!$B$3,'Data Export'!D67&lt;&gt;""),UPPER('Data Export'!C67)&amp;"♦"&amp;'Data Export'!D67,"")</f>
        <v>AUDI♦Q8 E-TRON</v>
      </c>
      <c r="I67" s="63">
        <f>IF(H67="","",IFERROR(INDEX('Data Export'!G67:CZ67,1,MATCH(前十整体车型排名!$B$4,'Data Export'!$G$1:$CZ$1,0)),0))</f>
        <v>0</v>
      </c>
      <c r="J67" s="62" t="str">
        <f>IF(H67="","",IF(OR('Data Export'!F67="三厢轿车",'Data Export'!F67="掀背轿车",'Data Export'!F67="旅行车",'Data Export'!F67="微型车",'Data Export'!F67="硬顶跑车",'Data Export'!F67="敞蓬车",'Data Export'!F67="Targa"),"轿车",IF(OR('Data Export'!F67="小型MPV",'Data Export'!F67="客车"),"MPV",IF('Data Export'!F67="运动型多功能车","SUV","其他"))))</f>
        <v>SUV</v>
      </c>
      <c r="K67" s="62">
        <f>IF(OR(D67="",NOT(F67=1)),"",1+SUMPRODUCT(($F$2:$F$1001=1)*($D$2:$D$1001&gt;D67))+COUNTIFS($F$2:F67,1,$D$2:D67,D67)-1)</f>
        <v>47</v>
      </c>
      <c r="L67" s="62">
        <f>IF(OR(D67="",NOT(G67="轿车")),"",1+SUMPRODUCT(($G$2:$G$1001="轿车")*($D$2:$D$1001&gt;D67))+COUNTIFS($G$2:G67,"轿车",$D$2:D67,D67)-1)</f>
        <v>27</v>
      </c>
      <c r="M67" s="62" t="str">
        <f>IF(OR(D67="",NOT(G67="MPV")),"",1+SUMPRODUCT(($G$2:$G$1001="MPV")*($D$2:$D$1001&gt;D67))+COUNTIFS($G$2:G67,"MPV",$D$2:D67,D67)-1)</f>
        <v/>
      </c>
      <c r="N67" s="62" t="str">
        <f>IF(OR(D67="",NOT(G67="SUV")),"",1+SUMPRODUCT(($G$2:$G$1001="SUV")*($D$2:$D$1001&gt;D67))+COUNTIFS($G$2:G67,"SUV",$D$2:D67,D67)-1)</f>
        <v/>
      </c>
      <c r="O67" s="62">
        <f>IF(OR(D67="",NOT(AND(F67=1,G67="轿车"))),"",1+SUMPRODUCT(($F$2:$F$1001=1)*($G$2:$G$1001="轿车")*($D$2:$D$1001&gt;D67))+COUNTIFS($F$2:F67,1,$G$2:G67,"轿车",$D$2:D67,D67)-1)</f>
        <v>11</v>
      </c>
      <c r="P67" s="62" t="str">
        <f>IF(OR(D67="",NOT(AND(F67=1,G67="MPV"))),"",1+SUMPRODUCT(($F$2:$F$1001=1)*($G$2:$G$1001="MPV")*($D$2:$D$1001&gt;D67))+COUNTIFS($F$2:F67,1,$G$2:G67,"MPV",$D$2:D67,D67)-1)</f>
        <v/>
      </c>
      <c r="Q67" s="62" t="str">
        <f>IF(OR(D67="",NOT(AND(F67=1,G67="SUV"))),"",1+SUMPRODUCT(($F$2:$F$1001=1)*($G$2:$G$1001="SUV")*($D$2:$D$1001&gt;D67))+COUNTIFS($F$2:F67,1,$G$2:G67,"SUV",$D$2:D67,D67)-1)</f>
        <v/>
      </c>
    </row>
    <row r="68" spans="1:17">
      <c r="A68" s="62" t="str">
        <f>IFERROR(INDEX($H$2:$H$3000,MATCH(0,INDEX(COUNTIF($A$1:A67,$H$2:$H$3000)+($H$2:$H$3000=""),0,0),0)),"")</f>
        <v>BYD♦SEALION 5</v>
      </c>
      <c r="B68" s="62" t="str">
        <f t="shared" si="4"/>
        <v>BYD</v>
      </c>
      <c r="C68" s="62" t="str">
        <f t="shared" si="5"/>
        <v>SEALION 5</v>
      </c>
      <c r="D68" s="63">
        <f t="shared" si="6"/>
        <v>267</v>
      </c>
      <c r="E68" s="62">
        <f>IF(D68="","",_xlfn.RANK.EQ(D68,$D$2:$D$1001,0)+COUNTIF($D$2:D68,D68)-1)</f>
        <v>42</v>
      </c>
      <c r="F68" s="62">
        <f>IF(B68="","",--(COUNTIF(CN_Brands!$A$2:$A$300,UPPER(B68))&gt;0))</f>
        <v>1</v>
      </c>
      <c r="G68" s="62" t="str">
        <f t="shared" si="7"/>
        <v>SUV</v>
      </c>
      <c r="H68" s="62" t="str">
        <f>IF(AND('Data Export'!A68=前十整体车型排名!$B$2,'Data Export'!B68=前十整体车型排名!$B$3,'Data Export'!D68&lt;&gt;""),UPPER('Data Export'!C68)&amp;"♦"&amp;'Data Export'!D68,"")</f>
        <v>AUDI♦Q8 SPORTBACK E-TRON</v>
      </c>
      <c r="I68" s="63">
        <f>IF(H68="","",IFERROR(INDEX('Data Export'!G68:CZ68,1,MATCH(前十整体车型排名!$B$4,'Data Export'!$G$1:$CZ$1,0)),0))</f>
        <v>0</v>
      </c>
      <c r="J68" s="62" t="str">
        <f>IF(H68="","",IF(OR('Data Export'!F68="三厢轿车",'Data Export'!F68="掀背轿车",'Data Export'!F68="旅行车",'Data Export'!F68="微型车",'Data Export'!F68="硬顶跑车",'Data Export'!F68="敞蓬车",'Data Export'!F68="Targa"),"轿车",IF(OR('Data Export'!F68="小型MPV",'Data Export'!F68="客车"),"MPV",IF('Data Export'!F68="运动型多功能车","SUV","其他"))))</f>
        <v>SUV</v>
      </c>
      <c r="K68" s="62">
        <f>IF(OR(D68="",NOT(F68=1)),"",1+SUMPRODUCT(($F$2:$F$1001=1)*($D$2:$D$1001&gt;D68))+COUNTIFS($F$2:F68,1,$D$2:D68,D68)-1)</f>
        <v>22</v>
      </c>
      <c r="L68" s="62" t="str">
        <f>IF(OR(D68="",NOT(G68="轿车")),"",1+SUMPRODUCT(($G$2:$G$1001="轿车")*($D$2:$D$1001&gt;D68))+COUNTIFS($G$2:G68,"轿车",$D$2:D68,D68)-1)</f>
        <v/>
      </c>
      <c r="M68" s="62" t="str">
        <f>IF(OR(D68="",NOT(G68="MPV")),"",1+SUMPRODUCT(($G$2:$G$1001="MPV")*($D$2:$D$1001&gt;D68))+COUNTIFS($G$2:G68,"MPV",$D$2:D68,D68)-1)</f>
        <v/>
      </c>
      <c r="N68" s="62">
        <f>IF(OR(D68="",NOT(G68="SUV")),"",1+SUMPRODUCT(($G$2:$G$1001="SUV")*($D$2:$D$1001&gt;D68))+COUNTIFS($G$2:G68,"SUV",$D$2:D68,D68)-1)</f>
        <v>26</v>
      </c>
      <c r="O68" s="62" t="str">
        <f>IF(OR(D68="",NOT(AND(F68=1,G68="轿车"))),"",1+SUMPRODUCT(($F$2:$F$1001=1)*($G$2:$G$1001="轿车")*($D$2:$D$1001&gt;D68))+COUNTIFS($F$2:F68,1,$G$2:G68,"轿车",$D$2:D68,D68)-1)</f>
        <v/>
      </c>
      <c r="P68" s="62" t="str">
        <f>IF(OR(D68="",NOT(AND(F68=1,G68="MPV"))),"",1+SUMPRODUCT(($F$2:$F$1001=1)*($G$2:$G$1001="MPV")*($D$2:$D$1001&gt;D68))+COUNTIFS($F$2:F68,1,$G$2:G68,"MPV",$D$2:D68,D68)-1)</f>
        <v/>
      </c>
      <c r="Q68" s="62">
        <f>IF(OR(D68="",NOT(AND(F68=1,G68="SUV"))),"",1+SUMPRODUCT(($F$2:$F$1001=1)*($G$2:$G$1001="SUV")*($D$2:$D$1001&gt;D68))+COUNTIFS($F$2:F68,1,$G$2:G68,"SUV",$D$2:D68,D68)-1)</f>
        <v>15</v>
      </c>
    </row>
    <row r="69" spans="1:17">
      <c r="A69" s="62" t="str">
        <f>IFERROR(INDEX($H$2:$H$3000,MATCH(0,INDEX(COUNTIF($A$1:A68,$H$2:$H$3000)+($H$2:$H$3000=""),0,0),0)),"")</f>
        <v>BYD♦SEALION 6</v>
      </c>
      <c r="B69" s="62" t="str">
        <f t="shared" si="4"/>
        <v>BYD</v>
      </c>
      <c r="C69" s="62" t="str">
        <f t="shared" si="5"/>
        <v>SEALION 6</v>
      </c>
      <c r="D69" s="63">
        <f t="shared" si="6"/>
        <v>584</v>
      </c>
      <c r="E69" s="62">
        <f>IF(D69="","",_xlfn.RANK.EQ(D69,$D$2:$D$1001,0)+COUNTIF($D$2:D69,D69)-1)</f>
        <v>22</v>
      </c>
      <c r="F69" s="62">
        <f>IF(B69="","",--(COUNTIF(CN_Brands!$A$2:$A$300,UPPER(B69))&gt;0))</f>
        <v>1</v>
      </c>
      <c r="G69" s="62" t="str">
        <f t="shared" si="7"/>
        <v>SUV</v>
      </c>
      <c r="H69" s="62" t="str">
        <f>IF(AND('Data Export'!A69=前十整体车型排名!$B$2,'Data Export'!B69=前十整体车型排名!$B$3,'Data Export'!D69&lt;&gt;""),UPPER('Data Export'!C69)&amp;"♦"&amp;'Data Export'!D69,"")</f>
        <v>AUDI♦Q8 SPORTBACK E-TRON</v>
      </c>
      <c r="I69" s="63">
        <f>IF(H69="","",IFERROR(INDEX('Data Export'!G69:CZ69,1,MATCH(前十整体车型排名!$B$4,'Data Export'!$G$1:$CZ$1,0)),0))</f>
        <v>0</v>
      </c>
      <c r="J69" s="62" t="str">
        <f>IF(H69="","",IF(OR('Data Export'!F69="三厢轿车",'Data Export'!F69="掀背轿车",'Data Export'!F69="旅行车",'Data Export'!F69="微型车",'Data Export'!F69="硬顶跑车",'Data Export'!F69="敞蓬车",'Data Export'!F69="Targa"),"轿车",IF(OR('Data Export'!F69="小型MPV",'Data Export'!F69="客车"),"MPV",IF('Data Export'!F69="运动型多功能车","SUV","其他"))))</f>
        <v>SUV</v>
      </c>
      <c r="K69" s="62">
        <f>IF(OR(D69="",NOT(F69=1)),"",1+SUMPRODUCT(($F$2:$F$1001=1)*($D$2:$D$1001&gt;D69))+COUNTIFS($F$2:F69,1,$D$2:D69,D69)-1)</f>
        <v>11</v>
      </c>
      <c r="L69" s="62" t="str">
        <f>IF(OR(D69="",NOT(G69="轿车")),"",1+SUMPRODUCT(($G$2:$G$1001="轿车")*($D$2:$D$1001&gt;D69))+COUNTIFS($G$2:G69,"轿车",$D$2:D69,D69)-1)</f>
        <v/>
      </c>
      <c r="M69" s="62" t="str">
        <f>IF(OR(D69="",NOT(G69="MPV")),"",1+SUMPRODUCT(($G$2:$G$1001="MPV")*($D$2:$D$1001&gt;D69))+COUNTIFS($G$2:G69,"MPV",$D$2:D69,D69)-1)</f>
        <v/>
      </c>
      <c r="N69" s="62">
        <f>IF(OR(D69="",NOT(G69="SUV")),"",1+SUMPRODUCT(($G$2:$G$1001="SUV")*($D$2:$D$1001&gt;D69))+COUNTIFS($G$2:G69,"SUV",$D$2:D69,D69)-1)</f>
        <v>15</v>
      </c>
      <c r="O69" s="62" t="str">
        <f>IF(OR(D69="",NOT(AND(F69=1,G69="轿车"))),"",1+SUMPRODUCT(($F$2:$F$1001=1)*($G$2:$G$1001="轿车")*($D$2:$D$1001&gt;D69))+COUNTIFS($F$2:F69,1,$G$2:G69,"轿车",$D$2:D69,D69)-1)</f>
        <v/>
      </c>
      <c r="P69" s="62" t="str">
        <f>IF(OR(D69="",NOT(AND(F69=1,G69="MPV"))),"",1+SUMPRODUCT(($F$2:$F$1001=1)*($G$2:$G$1001="MPV")*($D$2:$D$1001&gt;D69))+COUNTIFS($F$2:F69,1,$G$2:G69,"MPV",$D$2:D69,D69)-1)</f>
        <v/>
      </c>
      <c r="Q69" s="62">
        <f>IF(OR(D69="",NOT(AND(F69=1,G69="SUV"))),"",1+SUMPRODUCT(($F$2:$F$1001=1)*($G$2:$G$1001="SUV")*($D$2:$D$1001&gt;D69))+COUNTIFS($F$2:F69,1,$G$2:G69,"SUV",$D$2:D69,D69)-1)</f>
        <v>8</v>
      </c>
    </row>
    <row r="70" spans="1:17">
      <c r="A70" s="62" t="str">
        <f>IFERROR(INDEX($H$2:$H$3000,MATCH(0,INDEX(COUNTIF($A$1:A69,$H$2:$H$3000)+($H$2:$H$3000=""),0,0),0)),"")</f>
        <v>BYD♦SEALION 7</v>
      </c>
      <c r="B70" s="62" t="str">
        <f t="shared" si="4"/>
        <v>BYD</v>
      </c>
      <c r="C70" s="62" t="str">
        <f t="shared" si="5"/>
        <v>SEALION 7</v>
      </c>
      <c r="D70" s="63">
        <f t="shared" si="6"/>
        <v>216</v>
      </c>
      <c r="E70" s="62">
        <f>IF(D70="","",_xlfn.RANK.EQ(D70,$D$2:$D$1001,0)+COUNTIF($D$2:D70,D70)-1)</f>
        <v>49</v>
      </c>
      <c r="F70" s="62">
        <f>IF(B70="","",--(COUNTIF(CN_Brands!$A$2:$A$300,UPPER(B70))&gt;0))</f>
        <v>1</v>
      </c>
      <c r="G70" s="62" t="str">
        <f t="shared" si="7"/>
        <v>SUV</v>
      </c>
      <c r="H70" s="62" t="str">
        <f>IF(AND('Data Export'!A70=前十整体车型排名!$B$2,'Data Export'!B70=前十整体车型排名!$B$3,'Data Export'!D70&lt;&gt;""),UPPER('Data Export'!C70)&amp;"♦"&amp;'Data Export'!D70,"")</f>
        <v>AUDI♦Q8 SPORTBACK E-TRON</v>
      </c>
      <c r="I70" s="63">
        <f>IF(H70="","",IFERROR(INDEX('Data Export'!G70:CZ70,1,MATCH(前十整体车型排名!$B$4,'Data Export'!$G$1:$CZ$1,0)),0))</f>
        <v>0</v>
      </c>
      <c r="J70" s="62" t="str">
        <f>IF(H70="","",IF(OR('Data Export'!F70="三厢轿车",'Data Export'!F70="掀背轿车",'Data Export'!F70="旅行车",'Data Export'!F70="微型车",'Data Export'!F70="硬顶跑车",'Data Export'!F70="敞蓬车",'Data Export'!F70="Targa"),"轿车",IF(OR('Data Export'!F70="小型MPV",'Data Export'!F70="客车"),"MPV",IF('Data Export'!F70="运动型多功能车","SUV","其他"))))</f>
        <v>SUV</v>
      </c>
      <c r="K70" s="62">
        <f>IF(OR(D70="",NOT(F70=1)),"",1+SUMPRODUCT(($F$2:$F$1001=1)*($D$2:$D$1001&gt;D70))+COUNTIFS($F$2:F70,1,$D$2:D70,D70)-1)</f>
        <v>26</v>
      </c>
      <c r="L70" s="62" t="str">
        <f>IF(OR(D70="",NOT(G70="轿车")),"",1+SUMPRODUCT(($G$2:$G$1001="轿车")*($D$2:$D$1001&gt;D70))+COUNTIFS($G$2:G70,"轿车",$D$2:D70,D70)-1)</f>
        <v/>
      </c>
      <c r="M70" s="62" t="str">
        <f>IF(OR(D70="",NOT(G70="MPV")),"",1+SUMPRODUCT(($G$2:$G$1001="MPV")*($D$2:$D$1001&gt;D70))+COUNTIFS($G$2:G70,"MPV",$D$2:D70,D70)-1)</f>
        <v/>
      </c>
      <c r="N70" s="62">
        <f>IF(OR(D70="",NOT(G70="SUV")),"",1+SUMPRODUCT(($G$2:$G$1001="SUV")*($D$2:$D$1001&gt;D70))+COUNTIFS($G$2:G70,"SUV",$D$2:D70,D70)-1)</f>
        <v>30</v>
      </c>
      <c r="O70" s="62" t="str">
        <f>IF(OR(D70="",NOT(AND(F70=1,G70="轿车"))),"",1+SUMPRODUCT(($F$2:$F$1001=1)*($G$2:$G$1001="轿车")*($D$2:$D$1001&gt;D70))+COUNTIFS($F$2:F70,1,$G$2:G70,"轿车",$D$2:D70,D70)-1)</f>
        <v/>
      </c>
      <c r="P70" s="62" t="str">
        <f>IF(OR(D70="",NOT(AND(F70=1,G70="MPV"))),"",1+SUMPRODUCT(($F$2:$F$1001=1)*($G$2:$G$1001="MPV")*($D$2:$D$1001&gt;D70))+COUNTIFS($F$2:F70,1,$G$2:G70,"MPV",$D$2:D70,D70)-1)</f>
        <v/>
      </c>
      <c r="Q70" s="62">
        <f>IF(OR(D70="",NOT(AND(F70=1,G70="SUV"))),"",1+SUMPRODUCT(($F$2:$F$1001=1)*($G$2:$G$1001="SUV")*($D$2:$D$1001&gt;D70))+COUNTIFS($F$2:F70,1,$G$2:G70,"SUV",$D$2:D70,D70)-1)</f>
        <v>18</v>
      </c>
    </row>
    <row r="71" spans="1:17">
      <c r="A71" s="62" t="str">
        <f>IFERROR(INDEX($H$2:$H$3000,MATCH(0,INDEX(COUNTIF($A$1:A70,$H$2:$H$3000)+($H$2:$H$3000=""),0,0),0)),"")</f>
        <v>CHANGAN♦LUMIN</v>
      </c>
      <c r="B71" s="62" t="str">
        <f t="shared" si="4"/>
        <v>CHANGAN</v>
      </c>
      <c r="C71" s="62" t="str">
        <f t="shared" si="5"/>
        <v>LUMIN</v>
      </c>
      <c r="D71" s="63">
        <f t="shared" si="6"/>
        <v>360</v>
      </c>
      <c r="E71" s="62">
        <f>IF(D71="","",_xlfn.RANK.EQ(D71,$D$2:$D$1001,0)+COUNTIF($D$2:D71,D71)-1)</f>
        <v>34</v>
      </c>
      <c r="F71" s="62">
        <f>IF(B71="","",--(COUNTIF(CN_Brands!$A$2:$A$300,UPPER(B71))&gt;0))</f>
        <v>1</v>
      </c>
      <c r="G71" s="62" t="str">
        <f t="shared" si="7"/>
        <v>轿车</v>
      </c>
      <c r="H71" s="62" t="str">
        <f>IF(AND('Data Export'!A71=前十整体车型排名!$B$2,'Data Export'!B71=前十整体车型排名!$B$3,'Data Export'!D71&lt;&gt;""),UPPER('Data Export'!C71)&amp;"♦"&amp;'Data Export'!D71,"")</f>
        <v>AUDI♦TT</v>
      </c>
      <c r="I71" s="63">
        <f>IF(H71="","",IFERROR(INDEX('Data Export'!G71:CZ71,1,MATCH(前十整体车型排名!$B$4,'Data Export'!$G$1:$CZ$1,0)),0))</f>
        <v>6</v>
      </c>
      <c r="J71" s="62" t="str">
        <f>IF(H71="","",IF(OR('Data Export'!F71="三厢轿车",'Data Export'!F71="掀背轿车",'Data Export'!F71="旅行车",'Data Export'!F71="微型车",'Data Export'!F71="硬顶跑车",'Data Export'!F71="敞蓬车",'Data Export'!F71="Targa"),"轿车",IF(OR('Data Export'!F71="小型MPV",'Data Export'!F71="客车"),"MPV",IF('Data Export'!F71="运动型多功能车","SUV","其他"))))</f>
        <v>轿车</v>
      </c>
      <c r="K71" s="62">
        <f>IF(OR(D71="",NOT(F71=1)),"",1+SUMPRODUCT(($F$2:$F$1001=1)*($D$2:$D$1001&gt;D71))+COUNTIFS($F$2:F71,1,$D$2:D71,D71)-1)</f>
        <v>17</v>
      </c>
      <c r="L71" s="62">
        <f>IF(OR(D71="",NOT(G71="轿车")),"",1+SUMPRODUCT(($G$2:$G$1001="轿车")*($D$2:$D$1001&gt;D71))+COUNTIFS($G$2:G71,"轿车",$D$2:D71,D71)-1)</f>
        <v>8</v>
      </c>
      <c r="M71" s="62" t="str">
        <f>IF(OR(D71="",NOT(G71="MPV")),"",1+SUMPRODUCT(($G$2:$G$1001="MPV")*($D$2:$D$1001&gt;D71))+COUNTIFS($G$2:G71,"MPV",$D$2:D71,D71)-1)</f>
        <v/>
      </c>
      <c r="N71" s="62" t="str">
        <f>IF(OR(D71="",NOT(G71="SUV")),"",1+SUMPRODUCT(($G$2:$G$1001="SUV")*($D$2:$D$1001&gt;D71))+COUNTIFS($G$2:G71,"SUV",$D$2:D71,D71)-1)</f>
        <v/>
      </c>
      <c r="O71" s="62">
        <f>IF(OR(D71="",NOT(AND(F71=1,G71="轿车"))),"",1+SUMPRODUCT(($F$2:$F$1001=1)*($G$2:$G$1001="轿车")*($D$2:$D$1001&gt;D71))+COUNTIFS($F$2:F71,1,$G$2:G71,"轿车",$D$2:D71,D71)-1)</f>
        <v>5</v>
      </c>
      <c r="P71" s="62" t="str">
        <f>IF(OR(D71="",NOT(AND(F71=1,G71="MPV"))),"",1+SUMPRODUCT(($F$2:$F$1001=1)*($G$2:$G$1001="MPV")*($D$2:$D$1001&gt;D71))+COUNTIFS($F$2:F71,1,$G$2:G71,"MPV",$D$2:D71,D71)-1)</f>
        <v/>
      </c>
      <c r="Q71" s="62" t="str">
        <f>IF(OR(D71="",NOT(AND(F71=1,G71="SUV"))),"",1+SUMPRODUCT(($F$2:$F$1001=1)*($G$2:$G$1001="SUV")*($D$2:$D$1001&gt;D71))+COUNTIFS($F$2:F71,1,$G$2:G71,"SUV",$D$2:D71,D71)-1)</f>
        <v/>
      </c>
    </row>
    <row r="72" spans="1:17">
      <c r="A72" s="62" t="str">
        <f>IFERROR(INDEX($H$2:$H$3000,MATCH(0,INDEX(COUNTIF($A$1:A71,$H$2:$H$3000)+($H$2:$H$3000=""),0,0),0)),"")</f>
        <v>CHANGAN♦NEVO Q05</v>
      </c>
      <c r="B72" s="62" t="str">
        <f t="shared" si="4"/>
        <v>CHANGAN</v>
      </c>
      <c r="C72" s="62" t="str">
        <f t="shared" si="5"/>
        <v>NEVO Q05</v>
      </c>
      <c r="D72" s="63">
        <f t="shared" si="6"/>
        <v>153</v>
      </c>
      <c r="E72" s="62">
        <f>IF(D72="","",_xlfn.RANK.EQ(D72,$D$2:$D$1001,0)+COUNTIF($D$2:D72,D72)-1)</f>
        <v>55</v>
      </c>
      <c r="F72" s="62">
        <f>IF(B72="","",--(COUNTIF(CN_Brands!$A$2:$A$300,UPPER(B72))&gt;0))</f>
        <v>1</v>
      </c>
      <c r="G72" s="62" t="str">
        <f t="shared" si="7"/>
        <v>SUV</v>
      </c>
      <c r="H72" s="62" t="str">
        <f>IF(AND('Data Export'!A72=前十整体车型排名!$B$2,'Data Export'!B72=前十整体车型排名!$B$3,'Data Export'!D72&lt;&gt;""),UPPER('Data Export'!C72)&amp;"♦"&amp;'Data Export'!D72,"")</f>
        <v>AUDI♦TT</v>
      </c>
      <c r="I72" s="63">
        <f>IF(H72="","",IFERROR(INDEX('Data Export'!G72:CZ72,1,MATCH(前十整体车型排名!$B$4,'Data Export'!$G$1:$CZ$1,0)),0))</f>
        <v>0</v>
      </c>
      <c r="J72" s="62" t="str">
        <f>IF(H72="","",IF(OR('Data Export'!F72="三厢轿车",'Data Export'!F72="掀背轿车",'Data Export'!F72="旅行车",'Data Export'!F72="微型车",'Data Export'!F72="硬顶跑车",'Data Export'!F72="敞蓬车",'Data Export'!F72="Targa"),"轿车",IF(OR('Data Export'!F72="小型MPV",'Data Export'!F72="客车"),"MPV",IF('Data Export'!F72="运动型多功能车","SUV","其他"))))</f>
        <v>轿车</v>
      </c>
      <c r="K72" s="62">
        <f>IF(OR(D72="",NOT(F72=1)),"",1+SUMPRODUCT(($F$2:$F$1001=1)*($D$2:$D$1001&gt;D72))+COUNTIFS($F$2:F72,1,$D$2:D72,D72)-1)</f>
        <v>29</v>
      </c>
      <c r="L72" s="62" t="str">
        <f>IF(OR(D72="",NOT(G72="轿车")),"",1+SUMPRODUCT(($G$2:$G$1001="轿车")*($D$2:$D$1001&gt;D72))+COUNTIFS($G$2:G72,"轿车",$D$2:D72,D72)-1)</f>
        <v/>
      </c>
      <c r="M72" s="62" t="str">
        <f>IF(OR(D72="",NOT(G72="MPV")),"",1+SUMPRODUCT(($G$2:$G$1001="MPV")*($D$2:$D$1001&gt;D72))+COUNTIFS($G$2:G72,"MPV",$D$2:D72,D72)-1)</f>
        <v/>
      </c>
      <c r="N72" s="62">
        <f>IF(OR(D72="",NOT(G72="SUV")),"",1+SUMPRODUCT(($G$2:$G$1001="SUV")*($D$2:$D$1001&gt;D72))+COUNTIFS($G$2:G72,"SUV",$D$2:D72,D72)-1)</f>
        <v>31</v>
      </c>
      <c r="O72" s="62" t="str">
        <f>IF(OR(D72="",NOT(AND(F72=1,G72="轿车"))),"",1+SUMPRODUCT(($F$2:$F$1001=1)*($G$2:$G$1001="轿车")*($D$2:$D$1001&gt;D72))+COUNTIFS($F$2:F72,1,$G$2:G72,"轿车",$D$2:D72,D72)-1)</f>
        <v/>
      </c>
      <c r="P72" s="62" t="str">
        <f>IF(OR(D72="",NOT(AND(F72=1,G72="MPV"))),"",1+SUMPRODUCT(($F$2:$F$1001=1)*($G$2:$G$1001="MPV")*($D$2:$D$1001&gt;D72))+COUNTIFS($F$2:F72,1,$G$2:G72,"MPV",$D$2:D72,D72)-1)</f>
        <v/>
      </c>
      <c r="Q72" s="62">
        <f>IF(OR(D72="",NOT(AND(F72=1,G72="SUV"))),"",1+SUMPRODUCT(($F$2:$F$1001=1)*($G$2:$G$1001="SUV")*($D$2:$D$1001&gt;D72))+COUNTIFS($F$2:F72,1,$G$2:G72,"SUV",$D$2:D72,D72)-1)</f>
        <v>19</v>
      </c>
    </row>
    <row r="73" spans="1:17">
      <c r="A73" s="62" t="str">
        <f>IFERROR(INDEX($H$2:$H$3000,MATCH(0,INDEX(COUNTIF($A$1:A72,$H$2:$H$3000)+($H$2:$H$3000=""),0,0),0)),"")</f>
        <v>CHERY♦TIGGO 8</v>
      </c>
      <c r="B73" s="62" t="str">
        <f t="shared" si="4"/>
        <v>CHERY</v>
      </c>
      <c r="C73" s="62" t="str">
        <f t="shared" si="5"/>
        <v>TIGGO 8</v>
      </c>
      <c r="D73" s="63">
        <f t="shared" si="6"/>
        <v>14</v>
      </c>
      <c r="E73" s="62">
        <f>IF(D73="","",_xlfn.RANK.EQ(D73,$D$2:$D$1001,0)+COUNTIF($D$2:D73,D73)-1)</f>
        <v>132</v>
      </c>
      <c r="F73" s="62">
        <f>IF(B73="","",--(COUNTIF(CN_Brands!$A$2:$A$300,UPPER(B73))&gt;0))</f>
        <v>1</v>
      </c>
      <c r="G73" s="62" t="str">
        <f t="shared" si="7"/>
        <v>SUV</v>
      </c>
      <c r="H73" s="62" t="str">
        <f>IF(AND('Data Export'!A73=前十整体车型排名!$B$2,'Data Export'!B73=前十整体车型排名!$B$3,'Data Export'!D73&lt;&gt;""),UPPER('Data Export'!C73)&amp;"♦"&amp;'Data Export'!D73,"")</f>
        <v>AUDI♦TT</v>
      </c>
      <c r="I73" s="63">
        <f>IF(H73="","",IFERROR(INDEX('Data Export'!G73:CZ73,1,MATCH(前十整体车型排名!$B$4,'Data Export'!$G$1:$CZ$1,0)),0))</f>
        <v>1</v>
      </c>
      <c r="J73" s="62" t="str">
        <f>IF(H73="","",IF(OR('Data Export'!F73="三厢轿车",'Data Export'!F73="掀背轿车",'Data Export'!F73="旅行车",'Data Export'!F73="微型车",'Data Export'!F73="硬顶跑车",'Data Export'!F73="敞蓬车",'Data Export'!F73="Targa"),"轿车",IF(OR('Data Export'!F73="小型MPV",'Data Export'!F73="客车"),"MPV",IF('Data Export'!F73="运动型多功能车","SUV","其他"))))</f>
        <v>轿车</v>
      </c>
      <c r="K73" s="62">
        <f>IF(OR(D73="",NOT(F73=1)),"",1+SUMPRODUCT(($F$2:$F$1001=1)*($D$2:$D$1001&gt;D73))+COUNTIFS($F$2:F73,1,$D$2:D73,D73)-1)</f>
        <v>52</v>
      </c>
      <c r="L73" s="62" t="str">
        <f>IF(OR(D73="",NOT(G73="轿车")),"",1+SUMPRODUCT(($G$2:$G$1001="轿车")*($D$2:$D$1001&gt;D73))+COUNTIFS($G$2:G73,"轿车",$D$2:D73,D73)-1)</f>
        <v/>
      </c>
      <c r="M73" s="62" t="str">
        <f>IF(OR(D73="",NOT(G73="MPV")),"",1+SUMPRODUCT(($G$2:$G$1001="MPV")*($D$2:$D$1001&gt;D73))+COUNTIFS($G$2:G73,"MPV",$D$2:D73,D73)-1)</f>
        <v/>
      </c>
      <c r="N73" s="62">
        <f>IF(OR(D73="",NOT(G73="SUV")),"",1+SUMPRODUCT(($G$2:$G$1001="SUV")*($D$2:$D$1001&gt;D73))+COUNTIFS($G$2:G73,"SUV",$D$2:D73,D73)-1)</f>
        <v>72</v>
      </c>
      <c r="O73" s="62" t="str">
        <f>IF(OR(D73="",NOT(AND(F73=1,G73="轿车"))),"",1+SUMPRODUCT(($F$2:$F$1001=1)*($G$2:$G$1001="轿车")*($D$2:$D$1001&gt;D73))+COUNTIFS($F$2:F73,1,$G$2:G73,"轿车",$D$2:D73,D73)-1)</f>
        <v/>
      </c>
      <c r="P73" s="62" t="str">
        <f>IF(OR(D73="",NOT(AND(F73=1,G73="MPV"))),"",1+SUMPRODUCT(($F$2:$F$1001=1)*($G$2:$G$1001="MPV")*($D$2:$D$1001&gt;D73))+COUNTIFS($F$2:F73,1,$G$2:G73,"MPV",$D$2:D73,D73)-1)</f>
        <v/>
      </c>
      <c r="Q73" s="62">
        <f>IF(OR(D73="",NOT(AND(F73=1,G73="SUV"))),"",1+SUMPRODUCT(($F$2:$F$1001=1)*($G$2:$G$1001="SUV")*($D$2:$D$1001&gt;D73))+COUNTIFS($F$2:F73,1,$G$2:G73,"SUV",$D$2:D73,D73)-1)</f>
        <v>31</v>
      </c>
    </row>
    <row r="74" spans="1:17">
      <c r="A74" s="62" t="str">
        <f>IFERROR(INDEX($H$2:$H$3000,MATCH(0,INDEX(COUNTIF($A$1:A73,$H$2:$H$3000)+($H$2:$H$3000=""),0,0),0)),"")</f>
        <v>CHERY♦V23</v>
      </c>
      <c r="B74" s="62" t="str">
        <f t="shared" si="4"/>
        <v>CHERY</v>
      </c>
      <c r="C74" s="62" t="str">
        <f t="shared" si="5"/>
        <v>V23</v>
      </c>
      <c r="D74" s="63">
        <f t="shared" si="6"/>
        <v>764</v>
      </c>
      <c r="E74" s="62">
        <f>IF(D74="","",_xlfn.RANK.EQ(D74,$D$2:$D$1001,0)+COUNTIF($D$2:D74,D74)-1)</f>
        <v>14</v>
      </c>
      <c r="F74" s="62">
        <f>IF(B74="","",--(COUNTIF(CN_Brands!$A$2:$A$300,UPPER(B74))&gt;0))</f>
        <v>1</v>
      </c>
      <c r="G74" s="62" t="str">
        <f t="shared" si="7"/>
        <v>SUV</v>
      </c>
      <c r="H74" s="62" t="str">
        <f>IF(AND('Data Export'!A74=前十整体车型排名!$B$2,'Data Export'!B74=前十整体车型排名!$B$3,'Data Export'!D74&lt;&gt;""),UPPER('Data Export'!C74)&amp;"♦"&amp;'Data Export'!D74,"")</f>
        <v>AUDI♦TT</v>
      </c>
      <c r="I74" s="63">
        <f>IF(H74="","",IFERROR(INDEX('Data Export'!G74:CZ74,1,MATCH(前十整体车型排名!$B$4,'Data Export'!$G$1:$CZ$1,0)),0))</f>
        <v>0</v>
      </c>
      <c r="J74" s="62" t="str">
        <f>IF(H74="","",IF(OR('Data Export'!F74="三厢轿车",'Data Export'!F74="掀背轿车",'Data Export'!F74="旅行车",'Data Export'!F74="微型车",'Data Export'!F74="硬顶跑车",'Data Export'!F74="敞蓬车",'Data Export'!F74="Targa"),"轿车",IF(OR('Data Export'!F74="小型MPV",'Data Export'!F74="客车"),"MPV",IF('Data Export'!F74="运动型多功能车","SUV","其他"))))</f>
        <v>轿车</v>
      </c>
      <c r="K74" s="62">
        <f>IF(OR(D74="",NOT(F74=1)),"",1+SUMPRODUCT(($F$2:$F$1001=1)*($D$2:$D$1001&gt;D74))+COUNTIFS($F$2:F74,1,$D$2:D74,D74)-1)</f>
        <v>8</v>
      </c>
      <c r="L74" s="62" t="str">
        <f>IF(OR(D74="",NOT(G74="轿车")),"",1+SUMPRODUCT(($G$2:$G$1001="轿车")*($D$2:$D$1001&gt;D74))+COUNTIFS($G$2:G74,"轿车",$D$2:D74,D74)-1)</f>
        <v/>
      </c>
      <c r="M74" s="62" t="str">
        <f>IF(OR(D74="",NOT(G74="MPV")),"",1+SUMPRODUCT(($G$2:$G$1001="MPV")*($D$2:$D$1001&gt;D74))+COUNTIFS($G$2:G74,"MPV",$D$2:D74,D74)-1)</f>
        <v/>
      </c>
      <c r="N74" s="62">
        <f>IF(OR(D74="",NOT(G74="SUV")),"",1+SUMPRODUCT(($G$2:$G$1001="SUV")*($D$2:$D$1001&gt;D74))+COUNTIFS($G$2:G74,"SUV",$D$2:D74,D74)-1)</f>
        <v>9</v>
      </c>
      <c r="O74" s="62" t="str">
        <f>IF(OR(D74="",NOT(AND(F74=1,G74="轿车"))),"",1+SUMPRODUCT(($F$2:$F$1001=1)*($G$2:$G$1001="轿车")*($D$2:$D$1001&gt;D74))+COUNTIFS($F$2:F74,1,$G$2:G74,"轿车",$D$2:D74,D74)-1)</f>
        <v/>
      </c>
      <c r="P74" s="62" t="str">
        <f>IF(OR(D74="",NOT(AND(F74=1,G74="MPV"))),"",1+SUMPRODUCT(($F$2:$F$1001=1)*($G$2:$G$1001="MPV")*($D$2:$D$1001&gt;D74))+COUNTIFS($F$2:F74,1,$G$2:G74,"MPV",$D$2:D74,D74)-1)</f>
        <v/>
      </c>
      <c r="Q74" s="62">
        <f>IF(OR(D74="",NOT(AND(F74=1,G74="SUV"))),"",1+SUMPRODUCT(($F$2:$F$1001=1)*($G$2:$G$1001="SUV")*($D$2:$D$1001&gt;D74))+COUNTIFS($F$2:F74,1,$G$2:G74,"SUV",$D$2:D74,D74)-1)</f>
        <v>5</v>
      </c>
    </row>
    <row r="75" spans="1:17">
      <c r="A75" s="62" t="str">
        <f>IFERROR(INDEX($H$2:$H$3000,MATCH(0,INDEX(COUNTIF($A$1:A74,$H$2:$H$3000)+($H$2:$H$3000=""),0,0),0)),"")</f>
        <v>CHEVROLET♦CAPTIVA</v>
      </c>
      <c r="B75" s="62" t="str">
        <f t="shared" si="4"/>
        <v>CHEVROLET</v>
      </c>
      <c r="C75" s="62" t="str">
        <f t="shared" si="5"/>
        <v>CAPTIVA</v>
      </c>
      <c r="D75" s="63">
        <f t="shared" si="6"/>
        <v>0</v>
      </c>
      <c r="E75" s="62">
        <f>IF(D75="","",_xlfn.RANK.EQ(D75,$D$2:$D$1001,0)+COUNTIF($D$2:D75,D75)-1)</f>
        <v>284</v>
      </c>
      <c r="F75" s="62">
        <f>IF(B75="","",--(COUNTIF(CN_Brands!$A$2:$A$300,UPPER(B75))&gt;0))</f>
        <v>0</v>
      </c>
      <c r="G75" s="62" t="str">
        <f t="shared" si="7"/>
        <v>SUV</v>
      </c>
      <c r="H75" s="62" t="str">
        <f>IF(AND('Data Export'!A75=前十整体车型排名!$B$2,'Data Export'!B75=前十整体车型排名!$B$3,'Data Export'!D75&lt;&gt;""),UPPER('Data Export'!C75)&amp;"♦"&amp;'Data Export'!D75,"")</f>
        <v>AUDI♦TT</v>
      </c>
      <c r="I75" s="63">
        <f>IF(H75="","",IFERROR(INDEX('Data Export'!G75:CZ75,1,MATCH(前十整体车型排名!$B$4,'Data Export'!$G$1:$CZ$1,0)),0))</f>
        <v>0</v>
      </c>
      <c r="J75" s="62" t="str">
        <f>IF(H75="","",IF(OR('Data Export'!F75="三厢轿车",'Data Export'!F75="掀背轿车",'Data Export'!F75="旅行车",'Data Export'!F75="微型车",'Data Export'!F75="硬顶跑车",'Data Export'!F75="敞蓬车",'Data Export'!F75="Targa"),"轿车",IF(OR('Data Export'!F75="小型MPV",'Data Export'!F75="客车"),"MPV",IF('Data Export'!F75="运动型多功能车","SUV","其他"))))</f>
        <v>轿车</v>
      </c>
      <c r="K75" s="62" t="str">
        <f>IF(OR(D75="",NOT(F75=1)),"",1+SUMPRODUCT(($F$2:$F$1001=1)*($D$2:$D$1001&gt;D75))+COUNTIFS($F$2:F75,1,$D$2:D75,D75)-1)</f>
        <v/>
      </c>
      <c r="L75" s="62" t="str">
        <f>IF(OR(D75="",NOT(G75="轿车")),"",1+SUMPRODUCT(($G$2:$G$1001="轿车")*($D$2:$D$1001&gt;D75))+COUNTIFS($G$2:G75,"轿车",$D$2:D75,D75)-1)</f>
        <v/>
      </c>
      <c r="M75" s="62" t="str">
        <f>IF(OR(D75="",NOT(G75="MPV")),"",1+SUMPRODUCT(($G$2:$G$1001="MPV")*($D$2:$D$1001&gt;D75))+COUNTIFS($G$2:G75,"MPV",$D$2:D75,D75)-1)</f>
        <v/>
      </c>
      <c r="N75" s="62">
        <f>IF(OR(D75="",NOT(G75="SUV")),"",1+SUMPRODUCT(($G$2:$G$1001="SUV")*($D$2:$D$1001&gt;D75))+COUNTIFS($G$2:G75,"SUV",$D$2:D75,D75)-1)</f>
        <v>136</v>
      </c>
      <c r="O75" s="62" t="str">
        <f>IF(OR(D75="",NOT(AND(F75=1,G75="轿车"))),"",1+SUMPRODUCT(($F$2:$F$1001=1)*($G$2:$G$1001="轿车")*($D$2:$D$1001&gt;D75))+COUNTIFS($F$2:F75,1,$G$2:G75,"轿车",$D$2:D75,D75)-1)</f>
        <v/>
      </c>
      <c r="P75" s="62" t="str">
        <f>IF(OR(D75="",NOT(AND(F75=1,G75="MPV"))),"",1+SUMPRODUCT(($F$2:$F$1001=1)*($G$2:$G$1001="MPV")*($D$2:$D$1001&gt;D75))+COUNTIFS($F$2:F75,1,$G$2:G75,"MPV",$D$2:D75,D75)-1)</f>
        <v/>
      </c>
      <c r="Q75" s="62" t="str">
        <f>IF(OR(D75="",NOT(AND(F75=1,G75="SUV"))),"",1+SUMPRODUCT(($F$2:$F$1001=1)*($G$2:$G$1001="SUV")*($D$2:$D$1001&gt;D75))+COUNTIFS($F$2:F75,1,$G$2:G75,"SUV",$D$2:D75,D75)-1)</f>
        <v/>
      </c>
    </row>
    <row r="76" spans="1:17">
      <c r="A76" s="62" t="str">
        <f>IFERROR(INDEX($H$2:$H$3000,MATCH(0,INDEX(COUNTIF($A$1:A75,$H$2:$H$3000)+($H$2:$H$3000=""),0,0),0)),"")</f>
        <v>CHEVROLET♦CORVETTE</v>
      </c>
      <c r="B76" s="62" t="str">
        <f t="shared" si="4"/>
        <v>CHEVROLET</v>
      </c>
      <c r="C76" s="62" t="str">
        <f t="shared" si="5"/>
        <v>CORVETTE</v>
      </c>
      <c r="D76" s="63">
        <f t="shared" si="6"/>
        <v>1</v>
      </c>
      <c r="E76" s="62">
        <f>IF(D76="","",_xlfn.RANK.EQ(D76,$D$2:$D$1001,0)+COUNTIF($D$2:D76,D76)-1)</f>
        <v>228</v>
      </c>
      <c r="F76" s="62">
        <f>IF(B76="","",--(COUNTIF(CN_Brands!$A$2:$A$300,UPPER(B76))&gt;0))</f>
        <v>0</v>
      </c>
      <c r="G76" s="62" t="str">
        <f t="shared" si="7"/>
        <v>轿车</v>
      </c>
      <c r="H76" s="62" t="str">
        <f>IF(AND('Data Export'!A76=前十整体车型排名!$B$2,'Data Export'!B76=前十整体车型排名!$B$3,'Data Export'!D76&lt;&gt;""),UPPER('Data Export'!C76)&amp;"♦"&amp;'Data Export'!D76,"")</f>
        <v>AVATR♦07</v>
      </c>
      <c r="I76" s="63">
        <f>IF(H76="","",IFERROR(INDEX('Data Export'!G76:CZ76,1,MATCH(前十整体车型排名!$B$4,'Data Export'!$G$1:$CZ$1,0)),0))</f>
        <v>68</v>
      </c>
      <c r="J76" s="62" t="str">
        <f>IF(H76="","",IF(OR('Data Export'!F76="三厢轿车",'Data Export'!F76="掀背轿车",'Data Export'!F76="旅行车",'Data Export'!F76="微型车",'Data Export'!F76="硬顶跑车",'Data Export'!F76="敞蓬车",'Data Export'!F76="Targa"),"轿车",IF(OR('Data Export'!F76="小型MPV",'Data Export'!F76="客车"),"MPV",IF('Data Export'!F76="运动型多功能车","SUV","其他"))))</f>
        <v>SUV</v>
      </c>
      <c r="K76" s="62" t="str">
        <f>IF(OR(D76="",NOT(F76=1)),"",1+SUMPRODUCT(($F$2:$F$1001=1)*($D$2:$D$1001&gt;D76))+COUNTIFS($F$2:F76,1,$D$2:D76,D76)-1)</f>
        <v/>
      </c>
      <c r="L76" s="62">
        <f>IF(OR(D76="",NOT(G76="轿车")),"",1+SUMPRODUCT(($G$2:$G$1001="轿车")*($D$2:$D$1001&gt;D76))+COUNTIFS($G$2:G76,"轿车",$D$2:D76,D76)-1)</f>
        <v>70</v>
      </c>
      <c r="M76" s="62" t="str">
        <f>IF(OR(D76="",NOT(G76="MPV")),"",1+SUMPRODUCT(($G$2:$G$1001="MPV")*($D$2:$D$1001&gt;D76))+COUNTIFS($G$2:G76,"MPV",$D$2:D76,D76)-1)</f>
        <v/>
      </c>
      <c r="N76" s="62" t="str">
        <f>IF(OR(D76="",NOT(G76="SUV")),"",1+SUMPRODUCT(($G$2:$G$1001="SUV")*($D$2:$D$1001&gt;D76))+COUNTIFS($G$2:G76,"SUV",$D$2:D76,D76)-1)</f>
        <v/>
      </c>
      <c r="O76" s="62" t="str">
        <f>IF(OR(D76="",NOT(AND(F76=1,G76="轿车"))),"",1+SUMPRODUCT(($F$2:$F$1001=1)*($G$2:$G$1001="轿车")*($D$2:$D$1001&gt;D76))+COUNTIFS($F$2:F76,1,$G$2:G76,"轿车",$D$2:D76,D76)-1)</f>
        <v/>
      </c>
      <c r="P76" s="62" t="str">
        <f>IF(OR(D76="",NOT(AND(F76=1,G76="MPV"))),"",1+SUMPRODUCT(($F$2:$F$1001=1)*($G$2:$G$1001="MPV")*($D$2:$D$1001&gt;D76))+COUNTIFS($F$2:F76,1,$G$2:G76,"MPV",$D$2:D76,D76)-1)</f>
        <v/>
      </c>
      <c r="Q76" s="62" t="str">
        <f>IF(OR(D76="",NOT(AND(F76=1,G76="SUV"))),"",1+SUMPRODUCT(($F$2:$F$1001=1)*($G$2:$G$1001="SUV")*($D$2:$D$1001&gt;D76))+COUNTIFS($F$2:F76,1,$G$2:G76,"SUV",$D$2:D76,D76)-1)</f>
        <v/>
      </c>
    </row>
    <row r="77" spans="1:17">
      <c r="A77" s="62" t="str">
        <f>IFERROR(INDEX($H$2:$H$3000,MATCH(0,INDEX(COUNTIF($A$1:A76,$H$2:$H$3000)+($H$2:$H$3000=""),0,0),0)),"")</f>
        <v>DAIHATSU♦COPEN</v>
      </c>
      <c r="B77" s="62" t="str">
        <f t="shared" si="4"/>
        <v>DAIHATSU</v>
      </c>
      <c r="C77" s="62" t="str">
        <f t="shared" si="5"/>
        <v>COPEN</v>
      </c>
      <c r="D77" s="63">
        <f t="shared" si="6"/>
        <v>0</v>
      </c>
      <c r="E77" s="62">
        <f>IF(D77="","",_xlfn.RANK.EQ(D77,$D$2:$D$1001,0)+COUNTIF($D$2:D77,D77)-1)</f>
        <v>285</v>
      </c>
      <c r="F77" s="62">
        <f>IF(B77="","",--(COUNTIF(CN_Brands!$A$2:$A$300,UPPER(B77))&gt;0))</f>
        <v>0</v>
      </c>
      <c r="G77" s="62" t="str">
        <f t="shared" si="7"/>
        <v>轿车</v>
      </c>
      <c r="H77" s="62" t="str">
        <f>IF(AND('Data Export'!A77=前十整体车型排名!$B$2,'Data Export'!B77=前十整体车型排名!$B$3,'Data Export'!D77&lt;&gt;""),UPPER('Data Export'!C77)&amp;"♦"&amp;'Data Export'!D77,"")</f>
        <v>AVATR♦07</v>
      </c>
      <c r="I77" s="63">
        <f>IF(H77="","",IFERROR(INDEX('Data Export'!G77:CZ77,1,MATCH(前十整体车型排名!$B$4,'Data Export'!$G$1:$CZ$1,0)),0))</f>
        <v>41</v>
      </c>
      <c r="J77" s="62" t="str">
        <f>IF(H77="","",IF(OR('Data Export'!F77="三厢轿车",'Data Export'!F77="掀背轿车",'Data Export'!F77="旅行车",'Data Export'!F77="微型车",'Data Export'!F77="硬顶跑车",'Data Export'!F77="敞蓬车",'Data Export'!F77="Targa"),"轿车",IF(OR('Data Export'!F77="小型MPV",'Data Export'!F77="客车"),"MPV",IF('Data Export'!F77="运动型多功能车","SUV","其他"))))</f>
        <v>SUV</v>
      </c>
      <c r="K77" s="62" t="str">
        <f>IF(OR(D77="",NOT(F77=1)),"",1+SUMPRODUCT(($F$2:$F$1001=1)*($D$2:$D$1001&gt;D77))+COUNTIFS($F$2:F77,1,$D$2:D77,D77)-1)</f>
        <v/>
      </c>
      <c r="L77" s="62">
        <f>IF(OR(D77="",NOT(G77="轿车")),"",1+SUMPRODUCT(($G$2:$G$1001="轿车")*($D$2:$D$1001&gt;D77))+COUNTIFS($G$2:G77,"轿车",$D$2:D77,D77)-1)</f>
        <v>93</v>
      </c>
      <c r="M77" s="62" t="str">
        <f>IF(OR(D77="",NOT(G77="MPV")),"",1+SUMPRODUCT(($G$2:$G$1001="MPV")*($D$2:$D$1001&gt;D77))+COUNTIFS($G$2:G77,"MPV",$D$2:D77,D77)-1)</f>
        <v/>
      </c>
      <c r="N77" s="62" t="str">
        <f>IF(OR(D77="",NOT(G77="SUV")),"",1+SUMPRODUCT(($G$2:$G$1001="SUV")*($D$2:$D$1001&gt;D77))+COUNTIFS($G$2:G77,"SUV",$D$2:D77,D77)-1)</f>
        <v/>
      </c>
      <c r="O77" s="62" t="str">
        <f>IF(OR(D77="",NOT(AND(F77=1,G77="轿车"))),"",1+SUMPRODUCT(($F$2:$F$1001=1)*($G$2:$G$1001="轿车")*($D$2:$D$1001&gt;D77))+COUNTIFS($F$2:F77,1,$G$2:G77,"轿车",$D$2:D77,D77)-1)</f>
        <v/>
      </c>
      <c r="P77" s="62" t="str">
        <f>IF(OR(D77="",NOT(AND(F77=1,G77="MPV"))),"",1+SUMPRODUCT(($F$2:$F$1001=1)*($G$2:$G$1001="MPV")*($D$2:$D$1001&gt;D77))+COUNTIFS($F$2:F77,1,$G$2:G77,"MPV",$D$2:D77,D77)-1)</f>
        <v/>
      </c>
      <c r="Q77" s="62" t="str">
        <f>IF(OR(D77="",NOT(AND(F77=1,G77="SUV"))),"",1+SUMPRODUCT(($F$2:$F$1001=1)*($G$2:$G$1001="SUV")*($D$2:$D$1001&gt;D77))+COUNTIFS($F$2:F77,1,$G$2:G77,"SUV",$D$2:D77,D77)-1)</f>
        <v/>
      </c>
    </row>
    <row r="78" spans="1:17">
      <c r="A78" s="62" t="str">
        <f>IFERROR(INDEX($H$2:$H$3000,MATCH(0,INDEX(COUNTIF($A$1:A77,$H$2:$H$3000)+($H$2:$H$3000=""),0,0),0)),"")</f>
        <v>DAIHATSU♦MOVE</v>
      </c>
      <c r="B78" s="62" t="str">
        <f t="shared" si="4"/>
        <v>DAIHATSU</v>
      </c>
      <c r="C78" s="62" t="str">
        <f t="shared" si="5"/>
        <v>MOVE</v>
      </c>
      <c r="D78" s="63">
        <f t="shared" si="6"/>
        <v>1</v>
      </c>
      <c r="E78" s="62">
        <f>IF(D78="","",_xlfn.RANK.EQ(D78,$D$2:$D$1001,0)+COUNTIF($D$2:D78,D78)-1)</f>
        <v>229</v>
      </c>
      <c r="F78" s="62">
        <f>IF(B78="","",--(COUNTIF(CN_Brands!$A$2:$A$300,UPPER(B78))&gt;0))</f>
        <v>0</v>
      </c>
      <c r="G78" s="62" t="str">
        <f t="shared" si="7"/>
        <v>其他</v>
      </c>
      <c r="H78" s="62" t="str">
        <f>IF(AND('Data Export'!A78=前十整体车型排名!$B$2,'Data Export'!B78=前十整体车型排名!$B$3,'Data Export'!D78&lt;&gt;""),UPPER('Data Export'!C78)&amp;"♦"&amp;'Data Export'!D78,"")</f>
        <v>AVATR♦11</v>
      </c>
      <c r="I78" s="63">
        <f>IF(H78="","",IFERROR(INDEX('Data Export'!G78:CZ78,1,MATCH(前十整体车型排名!$B$4,'Data Export'!$G$1:$CZ$1,0)),0))</f>
        <v>74</v>
      </c>
      <c r="J78" s="62" t="str">
        <f>IF(H78="","",IF(OR('Data Export'!F78="三厢轿车",'Data Export'!F78="掀背轿车",'Data Export'!F78="旅行车",'Data Export'!F78="微型车",'Data Export'!F78="硬顶跑车",'Data Export'!F78="敞蓬车",'Data Export'!F78="Targa"),"轿车",IF(OR('Data Export'!F78="小型MPV",'Data Export'!F78="客车"),"MPV",IF('Data Export'!F78="运动型多功能车","SUV","其他"))))</f>
        <v>SUV</v>
      </c>
      <c r="K78" s="62" t="str">
        <f>IF(OR(D78="",NOT(F78=1)),"",1+SUMPRODUCT(($F$2:$F$1001=1)*($D$2:$D$1001&gt;D78))+COUNTIFS($F$2:F78,1,$D$2:D78,D78)-1)</f>
        <v/>
      </c>
      <c r="L78" s="62" t="str">
        <f>IF(OR(D78="",NOT(G78="轿车")),"",1+SUMPRODUCT(($G$2:$G$1001="轿车")*($D$2:$D$1001&gt;D78))+COUNTIFS($G$2:G78,"轿车",$D$2:D78,D78)-1)</f>
        <v/>
      </c>
      <c r="M78" s="62" t="str">
        <f>IF(OR(D78="",NOT(G78="MPV")),"",1+SUMPRODUCT(($G$2:$G$1001="MPV")*($D$2:$D$1001&gt;D78))+COUNTIFS($G$2:G78,"MPV",$D$2:D78,D78)-1)</f>
        <v/>
      </c>
      <c r="N78" s="62" t="str">
        <f>IF(OR(D78="",NOT(G78="SUV")),"",1+SUMPRODUCT(($G$2:$G$1001="SUV")*($D$2:$D$1001&gt;D78))+COUNTIFS($G$2:G78,"SUV",$D$2:D78,D78)-1)</f>
        <v/>
      </c>
      <c r="O78" s="62" t="str">
        <f>IF(OR(D78="",NOT(AND(F78=1,G78="轿车"))),"",1+SUMPRODUCT(($F$2:$F$1001=1)*($G$2:$G$1001="轿车")*($D$2:$D$1001&gt;D78))+COUNTIFS($F$2:F78,1,$G$2:G78,"轿车",$D$2:D78,D78)-1)</f>
        <v/>
      </c>
      <c r="P78" s="62" t="str">
        <f>IF(OR(D78="",NOT(AND(F78=1,G78="MPV"))),"",1+SUMPRODUCT(($F$2:$F$1001=1)*($G$2:$G$1001="MPV")*($D$2:$D$1001&gt;D78))+COUNTIFS($F$2:F78,1,$G$2:G78,"MPV",$D$2:D78,D78)-1)</f>
        <v/>
      </c>
      <c r="Q78" s="62" t="str">
        <f>IF(OR(D78="",NOT(AND(F78=1,G78="SUV"))),"",1+SUMPRODUCT(($F$2:$F$1001=1)*($G$2:$G$1001="SUV")*($D$2:$D$1001&gt;D78))+COUNTIFS($F$2:F78,1,$G$2:G78,"SUV",$D$2:D78,D78)-1)</f>
        <v/>
      </c>
    </row>
    <row r="79" spans="1:17">
      <c r="A79" s="62" t="str">
        <f>IFERROR(INDEX($H$2:$H$3000,MATCH(0,INDEX(COUNTIF($A$1:A78,$H$2:$H$3000)+($H$2:$H$3000=""),0,0),0)),"")</f>
        <v>DAYUN♦OTHER</v>
      </c>
      <c r="B79" s="62" t="str">
        <f t="shared" si="4"/>
        <v>DAYUN</v>
      </c>
      <c r="C79" s="62" t="str">
        <f t="shared" si="5"/>
        <v>OTHER</v>
      </c>
      <c r="D79" s="63">
        <f t="shared" si="6"/>
        <v>0</v>
      </c>
      <c r="E79" s="62">
        <f>IF(D79="","",_xlfn.RANK.EQ(D79,$D$2:$D$1001,0)+COUNTIF($D$2:D79,D79)-1)</f>
        <v>286</v>
      </c>
      <c r="F79" s="62">
        <f>IF(B79="","",--(COUNTIF(CN_Brands!$A$2:$A$300,UPPER(B79))&gt;0))</f>
        <v>1</v>
      </c>
      <c r="G79" s="62" t="str">
        <f t="shared" si="7"/>
        <v>其他</v>
      </c>
      <c r="H79" s="62" t="str">
        <f>IF(AND('Data Export'!A79=前十整体车型排名!$B$2,'Data Export'!B79=前十整体车型排名!$B$3,'Data Export'!D79&lt;&gt;""),UPPER('Data Export'!C79)&amp;"♦"&amp;'Data Export'!D79,"")</f>
        <v>AVATR♦11</v>
      </c>
      <c r="I79" s="63">
        <f>IF(H79="","",IFERROR(INDEX('Data Export'!G79:CZ79,1,MATCH(前十整体车型排名!$B$4,'Data Export'!$G$1:$CZ$1,0)),0))</f>
        <v>15</v>
      </c>
      <c r="J79" s="62" t="str">
        <f>IF(H79="","",IF(OR('Data Export'!F79="三厢轿车",'Data Export'!F79="掀背轿车",'Data Export'!F79="旅行车",'Data Export'!F79="微型车",'Data Export'!F79="硬顶跑车",'Data Export'!F79="敞蓬车",'Data Export'!F79="Targa"),"轿车",IF(OR('Data Export'!F79="小型MPV",'Data Export'!F79="客车"),"MPV",IF('Data Export'!F79="运动型多功能车","SUV","其他"))))</f>
        <v>SUV</v>
      </c>
      <c r="K79" s="62">
        <f>IF(OR(D79="",NOT(F79=1)),"",1+SUMPRODUCT(($F$2:$F$1001=1)*($D$2:$D$1001&gt;D79))+COUNTIFS($F$2:F79,1,$D$2:D79,D79)-1)</f>
        <v>69</v>
      </c>
      <c r="L79" s="62" t="str">
        <f>IF(OR(D79="",NOT(G79="轿车")),"",1+SUMPRODUCT(($G$2:$G$1001="轿车")*($D$2:$D$1001&gt;D79))+COUNTIFS($G$2:G79,"轿车",$D$2:D79,D79)-1)</f>
        <v/>
      </c>
      <c r="M79" s="62" t="str">
        <f>IF(OR(D79="",NOT(G79="MPV")),"",1+SUMPRODUCT(($G$2:$G$1001="MPV")*($D$2:$D$1001&gt;D79))+COUNTIFS($G$2:G79,"MPV",$D$2:D79,D79)-1)</f>
        <v/>
      </c>
      <c r="N79" s="62" t="str">
        <f>IF(OR(D79="",NOT(G79="SUV")),"",1+SUMPRODUCT(($G$2:$G$1001="SUV")*($D$2:$D$1001&gt;D79))+COUNTIFS($G$2:G79,"SUV",$D$2:D79,D79)-1)</f>
        <v/>
      </c>
      <c r="O79" s="62" t="str">
        <f>IF(OR(D79="",NOT(AND(F79=1,G79="轿车"))),"",1+SUMPRODUCT(($F$2:$F$1001=1)*($G$2:$G$1001="轿车")*($D$2:$D$1001&gt;D79))+COUNTIFS($F$2:F79,1,$G$2:G79,"轿车",$D$2:D79,D79)-1)</f>
        <v/>
      </c>
      <c r="P79" s="62" t="str">
        <f>IF(OR(D79="",NOT(AND(F79=1,G79="MPV"))),"",1+SUMPRODUCT(($F$2:$F$1001=1)*($G$2:$G$1001="MPV")*($D$2:$D$1001&gt;D79))+COUNTIFS($F$2:F79,1,$G$2:G79,"MPV",$D$2:D79,D79)-1)</f>
        <v/>
      </c>
      <c r="Q79" s="62" t="str">
        <f>IF(OR(D79="",NOT(AND(F79=1,G79="SUV"))),"",1+SUMPRODUCT(($F$2:$F$1001=1)*($G$2:$G$1001="SUV")*($D$2:$D$1001&gt;D79))+COUNTIFS($F$2:F79,1,$G$2:G79,"SUV",$D$2:D79,D79)-1)</f>
        <v/>
      </c>
    </row>
    <row r="80" spans="1:17">
      <c r="A80" s="62" t="str">
        <f>IFERROR(INDEX($H$2:$H$3000,MATCH(0,INDEX(COUNTIF($A$1:A79,$H$2:$H$3000)+($H$2:$H$3000=""),0,0),0)),"")</f>
        <v>DEEPAL♦E07</v>
      </c>
      <c r="B80" s="62" t="str">
        <f t="shared" si="4"/>
        <v>DEEPAL</v>
      </c>
      <c r="C80" s="62" t="str">
        <f t="shared" si="5"/>
        <v>E07</v>
      </c>
      <c r="D80" s="63">
        <f t="shared" si="6"/>
        <v>3</v>
      </c>
      <c r="E80" s="62">
        <f>IF(D80="","",_xlfn.RANK.EQ(D80,$D$2:$D$1001,0)+COUNTIF($D$2:D80,D80)-1)</f>
        <v>184</v>
      </c>
      <c r="F80" s="62">
        <f>IF(B80="","",--(COUNTIF(CN_Brands!$A$2:$A$300,UPPER(B80))&gt;0))</f>
        <v>1</v>
      </c>
      <c r="G80" s="62" t="str">
        <f t="shared" si="7"/>
        <v>SUV</v>
      </c>
      <c r="H80" s="62" t="str">
        <f>IF(AND('Data Export'!A80=前十整体车型排名!$B$2,'Data Export'!B80=前十整体车型排名!$B$3,'Data Export'!D80&lt;&gt;""),UPPER('Data Export'!C80)&amp;"♦"&amp;'Data Export'!D80,"")</f>
        <v>AVATR♦11</v>
      </c>
      <c r="I80" s="63">
        <f>IF(H80="","",IFERROR(INDEX('Data Export'!G80:CZ80,1,MATCH(前十整体车型排名!$B$4,'Data Export'!$G$1:$CZ$1,0)),0))</f>
        <v>1</v>
      </c>
      <c r="J80" s="62" t="str">
        <f>IF(H80="","",IF(OR('Data Export'!F80="三厢轿车",'Data Export'!F80="掀背轿车",'Data Export'!F80="旅行车",'Data Export'!F80="微型车",'Data Export'!F80="硬顶跑车",'Data Export'!F80="敞蓬车",'Data Export'!F80="Targa"),"轿车",IF(OR('Data Export'!F80="小型MPV",'Data Export'!F80="客车"),"MPV",IF('Data Export'!F80="运动型多功能车","SUV","其他"))))</f>
        <v>SUV</v>
      </c>
      <c r="K80" s="62">
        <f>IF(OR(D80="",NOT(F80=1)),"",1+SUMPRODUCT(($F$2:$F$1001=1)*($D$2:$D$1001&gt;D80))+COUNTIFS($F$2:F80,1,$D$2:D80,D80)-1)</f>
        <v>57</v>
      </c>
      <c r="L80" s="62" t="str">
        <f>IF(OR(D80="",NOT(G80="轿车")),"",1+SUMPRODUCT(($G$2:$G$1001="轿车")*($D$2:$D$1001&gt;D80))+COUNTIFS($G$2:G80,"轿车",$D$2:D80,D80)-1)</f>
        <v/>
      </c>
      <c r="M80" s="62" t="str">
        <f>IF(OR(D80="",NOT(G80="MPV")),"",1+SUMPRODUCT(($G$2:$G$1001="MPV")*($D$2:$D$1001&gt;D80))+COUNTIFS($G$2:G80,"MPV",$D$2:D80,D80)-1)</f>
        <v/>
      </c>
      <c r="N80" s="62">
        <f>IF(OR(D80="",NOT(G80="SUV")),"",1+SUMPRODUCT(($G$2:$G$1001="SUV")*($D$2:$D$1001&gt;D80))+COUNTIFS($G$2:G80,"SUV",$D$2:D80,D80)-1)</f>
        <v>102</v>
      </c>
      <c r="O80" s="62" t="str">
        <f>IF(OR(D80="",NOT(AND(F80=1,G80="轿车"))),"",1+SUMPRODUCT(($F$2:$F$1001=1)*($G$2:$G$1001="轿车")*($D$2:$D$1001&gt;D80))+COUNTIFS($F$2:F80,1,$G$2:G80,"轿车",$D$2:D80,D80)-1)</f>
        <v/>
      </c>
      <c r="P80" s="62" t="str">
        <f>IF(OR(D80="",NOT(AND(F80=1,G80="MPV"))),"",1+SUMPRODUCT(($F$2:$F$1001=1)*($G$2:$G$1001="MPV")*($D$2:$D$1001&gt;D80))+COUNTIFS($F$2:F80,1,$G$2:G80,"MPV",$D$2:D80,D80)-1)</f>
        <v/>
      </c>
      <c r="Q80" s="62">
        <f>IF(OR(D80="",NOT(AND(F80=1,G80="SUV"))),"",1+SUMPRODUCT(($F$2:$F$1001=1)*($G$2:$G$1001="SUV")*($D$2:$D$1001&gt;D80))+COUNTIFS($F$2:F80,1,$G$2:G80,"SUV",$D$2:D80,D80)-1)</f>
        <v>34</v>
      </c>
    </row>
    <row r="81" spans="1:17">
      <c r="A81" s="62" t="str">
        <f>IFERROR(INDEX($H$2:$H$3000,MATCH(0,INDEX(COUNTIF($A$1:A80,$H$2:$H$3000)+($H$2:$H$3000=""),0,0),0)),"")</f>
        <v>DEEPAL♦L07</v>
      </c>
      <c r="B81" s="62" t="str">
        <f t="shared" si="4"/>
        <v>DEEPAL</v>
      </c>
      <c r="C81" s="62" t="str">
        <f t="shared" si="5"/>
        <v>L07</v>
      </c>
      <c r="D81" s="63">
        <f t="shared" si="6"/>
        <v>2</v>
      </c>
      <c r="E81" s="62">
        <f>IF(D81="","",_xlfn.RANK.EQ(D81,$D$2:$D$1001,0)+COUNTIF($D$2:D81,D81)-1)</f>
        <v>202</v>
      </c>
      <c r="F81" s="62">
        <f>IF(B81="","",--(COUNTIF(CN_Brands!$A$2:$A$300,UPPER(B81))&gt;0))</f>
        <v>1</v>
      </c>
      <c r="G81" s="62" t="str">
        <f t="shared" si="7"/>
        <v>轿车</v>
      </c>
      <c r="H81" s="62" t="str">
        <f>IF(AND('Data Export'!A81=前十整体车型排名!$B$2,'Data Export'!B81=前十整体车型排名!$B$3,'Data Export'!D81&lt;&gt;""),UPPER('Data Export'!C81)&amp;"♦"&amp;'Data Export'!D81,"")</f>
        <v>BENTLEY♦BENTAYGA</v>
      </c>
      <c r="I81" s="63">
        <f>IF(H81="","",IFERROR(INDEX('Data Export'!G81:CZ81,1,MATCH(前十整体车型排名!$B$4,'Data Export'!$G$1:$CZ$1,0)),0))</f>
        <v>0</v>
      </c>
      <c r="J81" s="62" t="str">
        <f>IF(H81="","",IF(OR('Data Export'!F81="三厢轿车",'Data Export'!F81="掀背轿车",'Data Export'!F81="旅行车",'Data Export'!F81="微型车",'Data Export'!F81="硬顶跑车",'Data Export'!F81="敞蓬车",'Data Export'!F81="Targa"),"轿车",IF(OR('Data Export'!F81="小型MPV",'Data Export'!F81="客车"),"MPV",IF('Data Export'!F81="运动型多功能车","SUV","其他"))))</f>
        <v>SUV</v>
      </c>
      <c r="K81" s="62">
        <f>IF(OR(D81="",NOT(F81=1)),"",1+SUMPRODUCT(($F$2:$F$1001=1)*($D$2:$D$1001&gt;D81))+COUNTIFS($F$2:F81,1,$D$2:D81,D81)-1)</f>
        <v>60</v>
      </c>
      <c r="L81" s="62">
        <f>IF(OR(D81="",NOT(G81="轿车")),"",1+SUMPRODUCT(($G$2:$G$1001="轿车")*($D$2:$D$1001&gt;D81))+COUNTIFS($G$2:G81,"轿车",$D$2:D81,D81)-1)</f>
        <v>58</v>
      </c>
      <c r="M81" s="62" t="str">
        <f>IF(OR(D81="",NOT(G81="MPV")),"",1+SUMPRODUCT(($G$2:$G$1001="MPV")*($D$2:$D$1001&gt;D81))+COUNTIFS($G$2:G81,"MPV",$D$2:D81,D81)-1)</f>
        <v/>
      </c>
      <c r="N81" s="62" t="str">
        <f>IF(OR(D81="",NOT(G81="SUV")),"",1+SUMPRODUCT(($G$2:$G$1001="SUV")*($D$2:$D$1001&gt;D81))+COUNTIFS($G$2:G81,"SUV",$D$2:D81,D81)-1)</f>
        <v/>
      </c>
      <c r="O81" s="62">
        <f>IF(OR(D81="",NOT(AND(F81=1,G81="轿车"))),"",1+SUMPRODUCT(($F$2:$F$1001=1)*($G$2:$G$1001="轿车")*($D$2:$D$1001&gt;D81))+COUNTIFS($F$2:F81,1,$G$2:G81,"轿车",$D$2:D81,D81)-1)</f>
        <v>17</v>
      </c>
      <c r="P81" s="62" t="str">
        <f>IF(OR(D81="",NOT(AND(F81=1,G81="MPV"))),"",1+SUMPRODUCT(($F$2:$F$1001=1)*($G$2:$G$1001="MPV")*($D$2:$D$1001&gt;D81))+COUNTIFS($F$2:F81,1,$G$2:G81,"MPV",$D$2:D81,D81)-1)</f>
        <v/>
      </c>
      <c r="Q81" s="62" t="str">
        <f>IF(OR(D81="",NOT(AND(F81=1,G81="SUV"))),"",1+SUMPRODUCT(($F$2:$F$1001=1)*($G$2:$G$1001="SUV")*($D$2:$D$1001&gt;D81))+COUNTIFS($F$2:F81,1,$G$2:G81,"SUV",$D$2:D81,D81)-1)</f>
        <v/>
      </c>
    </row>
    <row r="82" spans="1:17">
      <c r="A82" s="62" t="str">
        <f>IFERROR(INDEX($H$2:$H$3000,MATCH(0,INDEX(COUNTIF($A$1:A81,$H$2:$H$3000)+($H$2:$H$3000=""),0,0),0)),"")</f>
        <v>DEEPAL♦S05</v>
      </c>
      <c r="B82" s="62" t="str">
        <f t="shared" si="4"/>
        <v>DEEPAL</v>
      </c>
      <c r="C82" s="62" t="str">
        <f t="shared" si="5"/>
        <v>S05</v>
      </c>
      <c r="D82" s="63">
        <f t="shared" si="6"/>
        <v>1416</v>
      </c>
      <c r="E82" s="62">
        <f>IF(D82="","",_xlfn.RANK.EQ(D82,$D$2:$D$1001,0)+COUNTIF($D$2:D82,D82)-1)</f>
        <v>7</v>
      </c>
      <c r="F82" s="62">
        <f>IF(B82="","",--(COUNTIF(CN_Brands!$A$2:$A$300,UPPER(B82))&gt;0))</f>
        <v>1</v>
      </c>
      <c r="G82" s="62" t="str">
        <f t="shared" si="7"/>
        <v>SUV</v>
      </c>
      <c r="H82" s="62" t="str">
        <f>IF(AND('Data Export'!A82=前十整体车型排名!$B$2,'Data Export'!B82=前十整体车型排名!$B$3,'Data Export'!D82&lt;&gt;""),UPPER('Data Export'!C82)&amp;"♦"&amp;'Data Export'!D82,"")</f>
        <v>BENTLEY♦BENTAYGA</v>
      </c>
      <c r="I82" s="63">
        <f>IF(H82="","",IFERROR(INDEX('Data Export'!G82:CZ82,1,MATCH(前十整体车型排名!$B$4,'Data Export'!$G$1:$CZ$1,0)),0))</f>
        <v>1</v>
      </c>
      <c r="J82" s="62" t="str">
        <f>IF(H82="","",IF(OR('Data Export'!F82="三厢轿车",'Data Export'!F82="掀背轿车",'Data Export'!F82="旅行车",'Data Export'!F82="微型车",'Data Export'!F82="硬顶跑车",'Data Export'!F82="敞蓬车",'Data Export'!F82="Targa"),"轿车",IF(OR('Data Export'!F82="小型MPV",'Data Export'!F82="客车"),"MPV",IF('Data Export'!F82="运动型多功能车","SUV","其他"))))</f>
        <v>SUV</v>
      </c>
      <c r="K82" s="62">
        <f>IF(OR(D82="",NOT(F82=1)),"",1+SUMPRODUCT(($F$2:$F$1001=1)*($D$2:$D$1001&gt;D82))+COUNTIFS($F$2:F82,1,$D$2:D82,D82)-1)</f>
        <v>3</v>
      </c>
      <c r="L82" s="62" t="str">
        <f>IF(OR(D82="",NOT(G82="轿车")),"",1+SUMPRODUCT(($G$2:$G$1001="轿车")*($D$2:$D$1001&gt;D82))+COUNTIFS($G$2:G82,"轿车",$D$2:D82,D82)-1)</f>
        <v/>
      </c>
      <c r="M82" s="62" t="str">
        <f>IF(OR(D82="",NOT(G82="MPV")),"",1+SUMPRODUCT(($G$2:$G$1001="MPV")*($D$2:$D$1001&gt;D82))+COUNTIFS($G$2:G82,"MPV",$D$2:D82,D82)-1)</f>
        <v/>
      </c>
      <c r="N82" s="62">
        <f>IF(OR(D82="",NOT(G82="SUV")),"",1+SUMPRODUCT(($G$2:$G$1001="SUV")*($D$2:$D$1001&gt;D82))+COUNTIFS($G$2:G82,"SUV",$D$2:D82,D82)-1)</f>
        <v>5</v>
      </c>
      <c r="O82" s="62" t="str">
        <f>IF(OR(D82="",NOT(AND(F82=1,G82="轿车"))),"",1+SUMPRODUCT(($F$2:$F$1001=1)*($G$2:$G$1001="轿车")*($D$2:$D$1001&gt;D82))+COUNTIFS($F$2:F82,1,$G$2:G82,"轿车",$D$2:D82,D82)-1)</f>
        <v/>
      </c>
      <c r="P82" s="62" t="str">
        <f>IF(OR(D82="",NOT(AND(F82=1,G82="MPV"))),"",1+SUMPRODUCT(($F$2:$F$1001=1)*($G$2:$G$1001="MPV")*($D$2:$D$1001&gt;D82))+COUNTIFS($F$2:F82,1,$G$2:G82,"MPV",$D$2:D82,D82)-1)</f>
        <v/>
      </c>
      <c r="Q82" s="62">
        <f>IF(OR(D82="",NOT(AND(F82=1,G82="SUV"))),"",1+SUMPRODUCT(($F$2:$F$1001=1)*($G$2:$G$1001="SUV")*($D$2:$D$1001&gt;D82))+COUNTIFS($F$2:F82,1,$G$2:G82,"SUV",$D$2:D82,D82)-1)</f>
        <v>2</v>
      </c>
    </row>
    <row r="83" spans="1:17">
      <c r="A83" s="62" t="str">
        <f>IFERROR(INDEX($H$2:$H$3000,MATCH(0,INDEX(COUNTIF($A$1:A82,$H$2:$H$3000)+($H$2:$H$3000=""),0,0),0)),"")</f>
        <v>DEEPAL♦S07</v>
      </c>
      <c r="B83" s="62" t="str">
        <f t="shared" si="4"/>
        <v>DEEPAL</v>
      </c>
      <c r="C83" s="62" t="str">
        <f t="shared" si="5"/>
        <v>S07</v>
      </c>
      <c r="D83" s="63">
        <f t="shared" si="6"/>
        <v>151</v>
      </c>
      <c r="E83" s="62">
        <f>IF(D83="","",_xlfn.RANK.EQ(D83,$D$2:$D$1001,0)+COUNTIF($D$2:D83,D83)-1)</f>
        <v>56</v>
      </c>
      <c r="F83" s="62">
        <f>IF(B83="","",--(COUNTIF(CN_Brands!$A$2:$A$300,UPPER(B83))&gt;0))</f>
        <v>1</v>
      </c>
      <c r="G83" s="62" t="str">
        <f t="shared" si="7"/>
        <v>SUV</v>
      </c>
      <c r="H83" s="62" t="str">
        <f>IF(AND('Data Export'!A83=前十整体车型排名!$B$2,'Data Export'!B83=前十整体车型排名!$B$3,'Data Export'!D83&lt;&gt;""),UPPER('Data Export'!C83)&amp;"♦"&amp;'Data Export'!D83,"")</f>
        <v>BENTLEY♦BENTAYGA</v>
      </c>
      <c r="I83" s="63">
        <f>IF(H83="","",IFERROR(INDEX('Data Export'!G83:CZ83,1,MATCH(前十整体车型排名!$B$4,'Data Export'!$G$1:$CZ$1,0)),0))</f>
        <v>0</v>
      </c>
      <c r="J83" s="62" t="str">
        <f>IF(H83="","",IF(OR('Data Export'!F83="三厢轿车",'Data Export'!F83="掀背轿车",'Data Export'!F83="旅行车",'Data Export'!F83="微型车",'Data Export'!F83="硬顶跑车",'Data Export'!F83="敞蓬车",'Data Export'!F83="Targa"),"轿车",IF(OR('Data Export'!F83="小型MPV",'Data Export'!F83="客车"),"MPV",IF('Data Export'!F83="运动型多功能车","SUV","其他"))))</f>
        <v>SUV</v>
      </c>
      <c r="K83" s="62">
        <f>IF(OR(D83="",NOT(F83=1)),"",1+SUMPRODUCT(($F$2:$F$1001=1)*($D$2:$D$1001&gt;D83))+COUNTIFS($F$2:F83,1,$D$2:D83,D83)-1)</f>
        <v>30</v>
      </c>
      <c r="L83" s="62" t="str">
        <f>IF(OR(D83="",NOT(G83="轿车")),"",1+SUMPRODUCT(($G$2:$G$1001="轿车")*($D$2:$D$1001&gt;D83))+COUNTIFS($G$2:G83,"轿车",$D$2:D83,D83)-1)</f>
        <v/>
      </c>
      <c r="M83" s="62" t="str">
        <f>IF(OR(D83="",NOT(G83="MPV")),"",1+SUMPRODUCT(($G$2:$G$1001="MPV")*($D$2:$D$1001&gt;D83))+COUNTIFS($G$2:G83,"MPV",$D$2:D83,D83)-1)</f>
        <v/>
      </c>
      <c r="N83" s="62">
        <f>IF(OR(D83="",NOT(G83="SUV")),"",1+SUMPRODUCT(($G$2:$G$1001="SUV")*($D$2:$D$1001&gt;D83))+COUNTIFS($G$2:G83,"SUV",$D$2:D83,D83)-1)</f>
        <v>32</v>
      </c>
      <c r="O83" s="62" t="str">
        <f>IF(OR(D83="",NOT(AND(F83=1,G83="轿车"))),"",1+SUMPRODUCT(($F$2:$F$1001=1)*($G$2:$G$1001="轿车")*($D$2:$D$1001&gt;D83))+COUNTIFS($F$2:F83,1,$G$2:G83,"轿车",$D$2:D83,D83)-1)</f>
        <v/>
      </c>
      <c r="P83" s="62" t="str">
        <f>IF(OR(D83="",NOT(AND(F83=1,G83="MPV"))),"",1+SUMPRODUCT(($F$2:$F$1001=1)*($G$2:$G$1001="MPV")*($D$2:$D$1001&gt;D83))+COUNTIFS($F$2:F83,1,$G$2:G83,"MPV",$D$2:D83,D83)-1)</f>
        <v/>
      </c>
      <c r="Q83" s="62">
        <f>IF(OR(D83="",NOT(AND(F83=1,G83="SUV"))),"",1+SUMPRODUCT(($F$2:$F$1001=1)*($G$2:$G$1001="SUV")*($D$2:$D$1001&gt;D83))+COUNTIFS($F$2:F83,1,$G$2:G83,"SUV",$D$2:D83,D83)-1)</f>
        <v>20</v>
      </c>
    </row>
    <row r="84" spans="1:17">
      <c r="A84" s="62" t="str">
        <f>IFERROR(INDEX($H$2:$H$3000,MATCH(0,INDEX(COUNTIF($A$1:A83,$H$2:$H$3000)+($H$2:$H$3000=""),0,0),0)),"")</f>
        <v>DENZA♦D9</v>
      </c>
      <c r="B84" s="62" t="str">
        <f t="shared" si="4"/>
        <v>DENZA</v>
      </c>
      <c r="C84" s="62" t="str">
        <f t="shared" si="5"/>
        <v>D9</v>
      </c>
      <c r="D84" s="63">
        <f t="shared" si="6"/>
        <v>78</v>
      </c>
      <c r="E84" s="62">
        <f>IF(D84="","",_xlfn.RANK.EQ(D84,$D$2:$D$1001,0)+COUNTIF($D$2:D84,D84)-1)</f>
        <v>83</v>
      </c>
      <c r="F84" s="62">
        <f>IF(B84="","",--(COUNTIF(CN_Brands!$A$2:$A$300,UPPER(B84))&gt;0))</f>
        <v>1</v>
      </c>
      <c r="G84" s="62" t="str">
        <f t="shared" si="7"/>
        <v>其他</v>
      </c>
      <c r="H84" s="62" t="str">
        <f>IF(AND('Data Export'!A84=前十整体车型排名!$B$2,'Data Export'!B84=前十整体车型排名!$B$3,'Data Export'!D84&lt;&gt;""),UPPER('Data Export'!C84)&amp;"♦"&amp;'Data Export'!D84,"")</f>
        <v>BENTLEY♦CONTINENTAL GT</v>
      </c>
      <c r="I84" s="63">
        <f>IF(H84="","",IFERROR(INDEX('Data Export'!G84:CZ84,1,MATCH(前十整体车型排名!$B$4,'Data Export'!$G$1:$CZ$1,0)),0))</f>
        <v>0</v>
      </c>
      <c r="J84" s="62" t="str">
        <f>IF(H84="","",IF(OR('Data Export'!F84="三厢轿车",'Data Export'!F84="掀背轿车",'Data Export'!F84="旅行车",'Data Export'!F84="微型车",'Data Export'!F84="硬顶跑车",'Data Export'!F84="敞蓬车",'Data Export'!F84="Targa"),"轿车",IF(OR('Data Export'!F84="小型MPV",'Data Export'!F84="客车"),"MPV",IF('Data Export'!F84="运动型多功能车","SUV","其他"))))</f>
        <v>其他</v>
      </c>
      <c r="K84" s="62">
        <f>IF(OR(D84="",NOT(F84=1)),"",1+SUMPRODUCT(($F$2:$F$1001=1)*($D$2:$D$1001&gt;D84))+COUNTIFS($F$2:F84,1,$D$2:D84,D84)-1)</f>
        <v>40</v>
      </c>
      <c r="L84" s="62" t="str">
        <f>IF(OR(D84="",NOT(G84="轿车")),"",1+SUMPRODUCT(($G$2:$G$1001="轿车")*($D$2:$D$1001&gt;D84))+COUNTIFS($G$2:G84,"轿车",$D$2:D84,D84)-1)</f>
        <v/>
      </c>
      <c r="M84" s="62" t="str">
        <f>IF(OR(D84="",NOT(G84="MPV")),"",1+SUMPRODUCT(($G$2:$G$1001="MPV")*($D$2:$D$1001&gt;D84))+COUNTIFS($G$2:G84,"MPV",$D$2:D84,D84)-1)</f>
        <v/>
      </c>
      <c r="N84" s="62" t="str">
        <f>IF(OR(D84="",NOT(G84="SUV")),"",1+SUMPRODUCT(($G$2:$G$1001="SUV")*($D$2:$D$1001&gt;D84))+COUNTIFS($G$2:G84,"SUV",$D$2:D84,D84)-1)</f>
        <v/>
      </c>
      <c r="O84" s="62" t="str">
        <f>IF(OR(D84="",NOT(AND(F84=1,G84="轿车"))),"",1+SUMPRODUCT(($F$2:$F$1001=1)*($G$2:$G$1001="轿车")*($D$2:$D$1001&gt;D84))+COUNTIFS($F$2:F84,1,$G$2:G84,"轿车",$D$2:D84,D84)-1)</f>
        <v/>
      </c>
      <c r="P84" s="62" t="str">
        <f>IF(OR(D84="",NOT(AND(F84=1,G84="MPV"))),"",1+SUMPRODUCT(($F$2:$F$1001=1)*($G$2:$G$1001="MPV")*($D$2:$D$1001&gt;D84))+COUNTIFS($F$2:F84,1,$G$2:G84,"MPV",$D$2:D84,D84)-1)</f>
        <v/>
      </c>
      <c r="Q84" s="62" t="str">
        <f>IF(OR(D84="",NOT(AND(F84=1,G84="SUV"))),"",1+SUMPRODUCT(($F$2:$F$1001=1)*($G$2:$G$1001="SUV")*($D$2:$D$1001&gt;D84))+COUNTIFS($F$2:F84,1,$G$2:G84,"SUV",$D$2:D84,D84)-1)</f>
        <v/>
      </c>
    </row>
    <row r="85" spans="1:17">
      <c r="A85" s="62" t="str">
        <f>IFERROR(INDEX($H$2:$H$3000,MATCH(0,INDEX(COUNTIF($A$1:A84,$H$2:$H$3000)+($H$2:$H$3000=""),0,0),0)),"")</f>
        <v>DFSK♦GLORY 580</v>
      </c>
      <c r="B85" s="62" t="str">
        <f t="shared" si="4"/>
        <v>DFSK</v>
      </c>
      <c r="C85" s="62" t="str">
        <f t="shared" si="5"/>
        <v>GLORY 580</v>
      </c>
      <c r="D85" s="63">
        <f t="shared" si="6"/>
        <v>0</v>
      </c>
      <c r="E85" s="62">
        <f>IF(D85="","",_xlfn.RANK.EQ(D85,$D$2:$D$1001,0)+COUNTIF($D$2:D85,D85)-1)</f>
        <v>287</v>
      </c>
      <c r="F85" s="62">
        <f>IF(B85="","",--(COUNTIF(CN_Brands!$A$2:$A$300,UPPER(B85))&gt;0))</f>
        <v>1</v>
      </c>
      <c r="G85" s="62" t="str">
        <f t="shared" si="7"/>
        <v>SUV</v>
      </c>
      <c r="H85" s="62" t="str">
        <f>IF(AND('Data Export'!A85=前十整体车型排名!$B$2,'Data Export'!B85=前十整体车型排名!$B$3,'Data Export'!D85&lt;&gt;""),UPPER('Data Export'!C85)&amp;"♦"&amp;'Data Export'!D85,"")</f>
        <v>BENTLEY♦CONTINENTAL GT</v>
      </c>
      <c r="I85" s="63">
        <f>IF(H85="","",IFERROR(INDEX('Data Export'!G85:CZ85,1,MATCH(前十整体车型排名!$B$4,'Data Export'!$G$1:$CZ$1,0)),0))</f>
        <v>0</v>
      </c>
      <c r="J85" s="62" t="str">
        <f>IF(H85="","",IF(OR('Data Export'!F85="三厢轿车",'Data Export'!F85="掀背轿车",'Data Export'!F85="旅行车",'Data Export'!F85="微型车",'Data Export'!F85="硬顶跑车",'Data Export'!F85="敞蓬车",'Data Export'!F85="Targa"),"轿车",IF(OR('Data Export'!F85="小型MPV",'Data Export'!F85="客车"),"MPV",IF('Data Export'!F85="运动型多功能车","SUV","其他"))))</f>
        <v>其他</v>
      </c>
      <c r="K85" s="62">
        <f>IF(OR(D85="",NOT(F85=1)),"",1+SUMPRODUCT(($F$2:$F$1001=1)*($D$2:$D$1001&gt;D85))+COUNTIFS($F$2:F85,1,$D$2:D85,D85)-1)</f>
        <v>70</v>
      </c>
      <c r="L85" s="62" t="str">
        <f>IF(OR(D85="",NOT(G85="轿车")),"",1+SUMPRODUCT(($G$2:$G$1001="轿车")*($D$2:$D$1001&gt;D85))+COUNTIFS($G$2:G85,"轿车",$D$2:D85,D85)-1)</f>
        <v/>
      </c>
      <c r="M85" s="62" t="str">
        <f>IF(OR(D85="",NOT(G85="MPV")),"",1+SUMPRODUCT(($G$2:$G$1001="MPV")*($D$2:$D$1001&gt;D85))+COUNTIFS($G$2:G85,"MPV",$D$2:D85,D85)-1)</f>
        <v/>
      </c>
      <c r="N85" s="62">
        <f>IF(OR(D85="",NOT(G85="SUV")),"",1+SUMPRODUCT(($G$2:$G$1001="SUV")*($D$2:$D$1001&gt;D85))+COUNTIFS($G$2:G85,"SUV",$D$2:D85,D85)-1)</f>
        <v>137</v>
      </c>
      <c r="O85" s="62" t="str">
        <f>IF(OR(D85="",NOT(AND(F85=1,G85="轿车"))),"",1+SUMPRODUCT(($F$2:$F$1001=1)*($G$2:$G$1001="轿车")*($D$2:$D$1001&gt;D85))+COUNTIFS($F$2:F85,1,$G$2:G85,"轿车",$D$2:D85,D85)-1)</f>
        <v/>
      </c>
      <c r="P85" s="62" t="str">
        <f>IF(OR(D85="",NOT(AND(F85=1,G85="MPV"))),"",1+SUMPRODUCT(($F$2:$F$1001=1)*($G$2:$G$1001="MPV")*($D$2:$D$1001&gt;D85))+COUNTIFS($F$2:F85,1,$G$2:G85,"MPV",$D$2:D85,D85)-1)</f>
        <v/>
      </c>
      <c r="Q85" s="62">
        <f>IF(OR(D85="",NOT(AND(F85=1,G85="SUV"))),"",1+SUMPRODUCT(($F$2:$F$1001=1)*($G$2:$G$1001="SUV")*($D$2:$D$1001&gt;D85))+COUNTIFS($F$2:F85,1,$G$2:G85,"SUV",$D$2:D85,D85)-1)</f>
        <v>37</v>
      </c>
    </row>
    <row r="86" spans="1:17">
      <c r="A86" s="62" t="str">
        <f>IFERROR(INDEX($H$2:$H$3000,MATCH(0,INDEX(COUNTIF($A$1:A85,$H$2:$H$3000)+($H$2:$H$3000=""),0,0),0)),"")</f>
        <v>DFSK♦SERES 3</v>
      </c>
      <c r="B86" s="62" t="str">
        <f t="shared" si="4"/>
        <v>DFSK</v>
      </c>
      <c r="C86" s="62" t="str">
        <f t="shared" si="5"/>
        <v>SERES 3</v>
      </c>
      <c r="D86" s="63">
        <f t="shared" si="6"/>
        <v>1</v>
      </c>
      <c r="E86" s="62">
        <f>IF(D86="","",_xlfn.RANK.EQ(D86,$D$2:$D$1001,0)+COUNTIF($D$2:D86,D86)-1)</f>
        <v>230</v>
      </c>
      <c r="F86" s="62">
        <f>IF(B86="","",--(COUNTIF(CN_Brands!$A$2:$A$300,UPPER(B86))&gt;0))</f>
        <v>1</v>
      </c>
      <c r="G86" s="62" t="str">
        <f t="shared" si="7"/>
        <v>SUV</v>
      </c>
      <c r="H86" s="62" t="str">
        <f>IF(AND('Data Export'!A86=前十整体车型排名!$B$2,'Data Export'!B86=前十整体车型排名!$B$3,'Data Export'!D86&lt;&gt;""),UPPER('Data Export'!C86)&amp;"♦"&amp;'Data Export'!D86,"")</f>
        <v>BENTLEY♦CONTINENTAL GT</v>
      </c>
      <c r="I86" s="63">
        <f>IF(H86="","",IFERROR(INDEX('Data Export'!G86:CZ86,1,MATCH(前十整体车型排名!$B$4,'Data Export'!$G$1:$CZ$1,0)),0))</f>
        <v>0</v>
      </c>
      <c r="J86" s="62" t="str">
        <f>IF(H86="","",IF(OR('Data Export'!F86="三厢轿车",'Data Export'!F86="掀背轿车",'Data Export'!F86="旅行车",'Data Export'!F86="微型车",'Data Export'!F86="硬顶跑车",'Data Export'!F86="敞蓬车",'Data Export'!F86="Targa"),"轿车",IF(OR('Data Export'!F86="小型MPV",'Data Export'!F86="客车"),"MPV",IF('Data Export'!F86="运动型多功能车","SUV","其他"))))</f>
        <v>其他</v>
      </c>
      <c r="K86" s="62">
        <f>IF(OR(D86="",NOT(F86=1)),"",1+SUMPRODUCT(($F$2:$F$1001=1)*($D$2:$D$1001&gt;D86))+COUNTIFS($F$2:F86,1,$D$2:D86,D86)-1)</f>
        <v>65</v>
      </c>
      <c r="L86" s="62" t="str">
        <f>IF(OR(D86="",NOT(G86="轿车")),"",1+SUMPRODUCT(($G$2:$G$1001="轿车")*($D$2:$D$1001&gt;D86))+COUNTIFS($G$2:G86,"轿车",$D$2:D86,D86)-1)</f>
        <v/>
      </c>
      <c r="M86" s="62" t="str">
        <f>IF(OR(D86="",NOT(G86="MPV")),"",1+SUMPRODUCT(($G$2:$G$1001="MPV")*($D$2:$D$1001&gt;D86))+COUNTIFS($G$2:G86,"MPV",$D$2:D86,D86)-1)</f>
        <v/>
      </c>
      <c r="N86" s="62">
        <f>IF(OR(D86="",NOT(G86="SUV")),"",1+SUMPRODUCT(($G$2:$G$1001="SUV")*($D$2:$D$1001&gt;D86))+COUNTIFS($G$2:G86,"SUV",$D$2:D86,D86)-1)</f>
        <v>118</v>
      </c>
      <c r="O86" s="62" t="str">
        <f>IF(OR(D86="",NOT(AND(F86=1,G86="轿车"))),"",1+SUMPRODUCT(($F$2:$F$1001=1)*($G$2:$G$1001="轿车")*($D$2:$D$1001&gt;D86))+COUNTIFS($F$2:F86,1,$G$2:G86,"轿车",$D$2:D86,D86)-1)</f>
        <v/>
      </c>
      <c r="P86" s="62" t="str">
        <f>IF(OR(D86="",NOT(AND(F86=1,G86="MPV"))),"",1+SUMPRODUCT(($F$2:$F$1001=1)*($G$2:$G$1001="MPV")*($D$2:$D$1001&gt;D86))+COUNTIFS($F$2:F86,1,$G$2:G86,"MPV",$D$2:D86,D86)-1)</f>
        <v/>
      </c>
      <c r="Q86" s="62">
        <f>IF(OR(D86="",NOT(AND(F86=1,G86="SUV"))),"",1+SUMPRODUCT(($F$2:$F$1001=1)*($G$2:$G$1001="SUV")*($D$2:$D$1001&gt;D86))+COUNTIFS($F$2:F86,1,$G$2:G86,"SUV",$D$2:D86,D86)-1)</f>
        <v>36</v>
      </c>
    </row>
    <row r="87" spans="1:17">
      <c r="A87" s="62" t="str">
        <f>IFERROR(INDEX($H$2:$H$3000,MATCH(0,INDEX(COUNTIF($A$1:A86,$H$2:$H$3000)+($H$2:$H$3000=""),0,0),0)),"")</f>
        <v>DS♦DS 3</v>
      </c>
      <c r="B87" s="62" t="str">
        <f t="shared" si="4"/>
        <v>DS</v>
      </c>
      <c r="C87" s="62" t="str">
        <f t="shared" si="5"/>
        <v>DS 3</v>
      </c>
      <c r="D87" s="63">
        <f t="shared" si="6"/>
        <v>0</v>
      </c>
      <c r="E87" s="62">
        <f>IF(D87="","",_xlfn.RANK.EQ(D87,$D$2:$D$1001,0)+COUNTIF($D$2:D87,D87)-1)</f>
        <v>288</v>
      </c>
      <c r="F87" s="62">
        <f>IF(B87="","",--(COUNTIF(CN_Brands!$A$2:$A$300,UPPER(B87))&gt;0))</f>
        <v>0</v>
      </c>
      <c r="G87" s="62" t="str">
        <f t="shared" si="7"/>
        <v>轿车</v>
      </c>
      <c r="H87" s="62" t="str">
        <f>IF(AND('Data Export'!A87=前十整体车型排名!$B$2,'Data Export'!B87=前十整体车型排名!$B$3,'Data Export'!D87&lt;&gt;""),UPPER('Data Export'!C87)&amp;"♦"&amp;'Data Export'!D87,"")</f>
        <v>BENTLEY♦CONTINENTAL GT</v>
      </c>
      <c r="I87" s="63">
        <f>IF(H87="","",IFERROR(INDEX('Data Export'!G87:CZ87,1,MATCH(前十整体车型排名!$B$4,'Data Export'!$G$1:$CZ$1,0)),0))</f>
        <v>0</v>
      </c>
      <c r="J87" s="62" t="str">
        <f>IF(H87="","",IF(OR('Data Export'!F87="三厢轿车",'Data Export'!F87="掀背轿车",'Data Export'!F87="旅行车",'Data Export'!F87="微型车",'Data Export'!F87="硬顶跑车",'Data Export'!F87="敞蓬车",'Data Export'!F87="Targa"),"轿车",IF(OR('Data Export'!F87="小型MPV",'Data Export'!F87="客车"),"MPV",IF('Data Export'!F87="运动型多功能车","SUV","其他"))))</f>
        <v>其他</v>
      </c>
      <c r="K87" s="62" t="str">
        <f>IF(OR(D87="",NOT(F87=1)),"",1+SUMPRODUCT(($F$2:$F$1001=1)*($D$2:$D$1001&gt;D87))+COUNTIFS($F$2:F87,1,$D$2:D87,D87)-1)</f>
        <v/>
      </c>
      <c r="L87" s="62">
        <f>IF(OR(D87="",NOT(G87="轿车")),"",1+SUMPRODUCT(($G$2:$G$1001="轿车")*($D$2:$D$1001&gt;D87))+COUNTIFS($G$2:G87,"轿车",$D$2:D87,D87)-1)</f>
        <v>94</v>
      </c>
      <c r="M87" s="62" t="str">
        <f>IF(OR(D87="",NOT(G87="MPV")),"",1+SUMPRODUCT(($G$2:$G$1001="MPV")*($D$2:$D$1001&gt;D87))+COUNTIFS($G$2:G87,"MPV",$D$2:D87,D87)-1)</f>
        <v/>
      </c>
      <c r="N87" s="62" t="str">
        <f>IF(OR(D87="",NOT(G87="SUV")),"",1+SUMPRODUCT(($G$2:$G$1001="SUV")*($D$2:$D$1001&gt;D87))+COUNTIFS($G$2:G87,"SUV",$D$2:D87,D87)-1)</f>
        <v/>
      </c>
      <c r="O87" s="62" t="str">
        <f>IF(OR(D87="",NOT(AND(F87=1,G87="轿车"))),"",1+SUMPRODUCT(($F$2:$F$1001=1)*($G$2:$G$1001="轿车")*($D$2:$D$1001&gt;D87))+COUNTIFS($F$2:F87,1,$G$2:G87,"轿车",$D$2:D87,D87)-1)</f>
        <v/>
      </c>
      <c r="P87" s="62" t="str">
        <f>IF(OR(D87="",NOT(AND(F87=1,G87="MPV"))),"",1+SUMPRODUCT(($F$2:$F$1001=1)*($G$2:$G$1001="MPV")*($D$2:$D$1001&gt;D87))+COUNTIFS($F$2:F87,1,$G$2:G87,"MPV",$D$2:D87,D87)-1)</f>
        <v/>
      </c>
      <c r="Q87" s="62" t="str">
        <f>IF(OR(D87="",NOT(AND(F87=1,G87="SUV"))),"",1+SUMPRODUCT(($F$2:$F$1001=1)*($G$2:$G$1001="SUV")*($D$2:$D$1001&gt;D87))+COUNTIFS($F$2:F87,1,$G$2:G87,"SUV",$D$2:D87,D87)-1)</f>
        <v/>
      </c>
    </row>
    <row r="88" spans="1:17">
      <c r="A88" s="62" t="str">
        <f>IFERROR(INDEX($H$2:$H$3000,MATCH(0,INDEX(COUNTIF($A$1:A87,$H$2:$H$3000)+($H$2:$H$3000=""),0,0),0)),"")</f>
        <v>EVEASY♦OTHER</v>
      </c>
      <c r="B88" s="62" t="str">
        <f t="shared" si="4"/>
        <v>EVEASY</v>
      </c>
      <c r="C88" s="62" t="str">
        <f t="shared" si="5"/>
        <v>OTHER</v>
      </c>
      <c r="D88" s="63">
        <f t="shared" si="6"/>
        <v>0</v>
      </c>
      <c r="E88" s="62">
        <f>IF(D88="","",_xlfn.RANK.EQ(D88,$D$2:$D$1001,0)+COUNTIF($D$2:D88,D88)-1)</f>
        <v>289</v>
      </c>
      <c r="F88" s="62">
        <f>IF(B88="","",--(COUNTIF(CN_Brands!$A$2:$A$300,UPPER(B88))&gt;0))</f>
        <v>0</v>
      </c>
      <c r="G88" s="62" t="str">
        <f t="shared" si="7"/>
        <v>其他</v>
      </c>
      <c r="H88" s="62" t="str">
        <f>IF(AND('Data Export'!A88=前十整体车型排名!$B$2,'Data Export'!B88=前十整体车型排名!$B$3,'Data Export'!D88&lt;&gt;""),UPPER('Data Export'!C88)&amp;"♦"&amp;'Data Export'!D88,"")</f>
        <v>BENTLEY♦CONTINENTAL GT</v>
      </c>
      <c r="I88" s="63">
        <f>IF(H88="","",IFERROR(INDEX('Data Export'!G88:CZ88,1,MATCH(前十整体车型排名!$B$4,'Data Export'!$G$1:$CZ$1,0)),0))</f>
        <v>0</v>
      </c>
      <c r="J88" s="62" t="str">
        <f>IF(H88="","",IF(OR('Data Export'!F88="三厢轿车",'Data Export'!F88="掀背轿车",'Data Export'!F88="旅行车",'Data Export'!F88="微型车",'Data Export'!F88="硬顶跑车",'Data Export'!F88="敞蓬车",'Data Export'!F88="Targa"),"轿车",IF(OR('Data Export'!F88="小型MPV",'Data Export'!F88="客车"),"MPV",IF('Data Export'!F88="运动型多功能车","SUV","其他"))))</f>
        <v>轿车</v>
      </c>
      <c r="K88" s="62" t="str">
        <f>IF(OR(D88="",NOT(F88=1)),"",1+SUMPRODUCT(($F$2:$F$1001=1)*($D$2:$D$1001&gt;D88))+COUNTIFS($F$2:F88,1,$D$2:D88,D88)-1)</f>
        <v/>
      </c>
      <c r="L88" s="62" t="str">
        <f>IF(OR(D88="",NOT(G88="轿车")),"",1+SUMPRODUCT(($G$2:$G$1001="轿车")*($D$2:$D$1001&gt;D88))+COUNTIFS($G$2:G88,"轿车",$D$2:D88,D88)-1)</f>
        <v/>
      </c>
      <c r="M88" s="62" t="str">
        <f>IF(OR(D88="",NOT(G88="MPV")),"",1+SUMPRODUCT(($G$2:$G$1001="MPV")*($D$2:$D$1001&gt;D88))+COUNTIFS($G$2:G88,"MPV",$D$2:D88,D88)-1)</f>
        <v/>
      </c>
      <c r="N88" s="62" t="str">
        <f>IF(OR(D88="",NOT(G88="SUV")),"",1+SUMPRODUCT(($G$2:$G$1001="SUV")*($D$2:$D$1001&gt;D88))+COUNTIFS($G$2:G88,"SUV",$D$2:D88,D88)-1)</f>
        <v/>
      </c>
      <c r="O88" s="62" t="str">
        <f>IF(OR(D88="",NOT(AND(F88=1,G88="轿车"))),"",1+SUMPRODUCT(($F$2:$F$1001=1)*($G$2:$G$1001="轿车")*($D$2:$D$1001&gt;D88))+COUNTIFS($F$2:F88,1,$G$2:G88,"轿车",$D$2:D88,D88)-1)</f>
        <v/>
      </c>
      <c r="P88" s="62" t="str">
        <f>IF(OR(D88="",NOT(AND(F88=1,G88="MPV"))),"",1+SUMPRODUCT(($F$2:$F$1001=1)*($G$2:$G$1001="MPV")*($D$2:$D$1001&gt;D88))+COUNTIFS($F$2:F88,1,$G$2:G88,"MPV",$D$2:D88,D88)-1)</f>
        <v/>
      </c>
      <c r="Q88" s="62" t="str">
        <f>IF(OR(D88="",NOT(AND(F88=1,G88="SUV"))),"",1+SUMPRODUCT(($F$2:$F$1001=1)*($G$2:$G$1001="SUV")*($D$2:$D$1001&gt;D88))+COUNTIFS($F$2:F88,1,$G$2:G88,"SUV",$D$2:D88,D88)-1)</f>
        <v/>
      </c>
    </row>
    <row r="89" spans="1:17">
      <c r="A89" s="62" t="str">
        <f>IFERROR(INDEX($H$2:$H$3000,MATCH(0,INDEX(COUNTIF($A$1:A88,$H$2:$H$3000)+($H$2:$H$3000=""),0,0),0)),"")</f>
        <v>FARIZON♦SV</v>
      </c>
      <c r="B89" s="62" t="str">
        <f t="shared" si="4"/>
        <v>FARIZON</v>
      </c>
      <c r="C89" s="62" t="str">
        <f t="shared" si="5"/>
        <v>SV</v>
      </c>
      <c r="D89" s="63">
        <f t="shared" si="6"/>
        <v>2</v>
      </c>
      <c r="E89" s="62">
        <f>IF(D89="","",_xlfn.RANK.EQ(D89,$D$2:$D$1001,0)+COUNTIF($D$2:D89,D89)-1)</f>
        <v>203</v>
      </c>
      <c r="F89" s="62">
        <f>IF(B89="","",--(COUNTIF(CN_Brands!$A$2:$A$300,UPPER(B89))&gt;0))</f>
        <v>1</v>
      </c>
      <c r="G89" s="62" t="str">
        <f t="shared" si="7"/>
        <v>其他</v>
      </c>
      <c r="H89" s="62" t="str">
        <f>IF(AND('Data Export'!A89=前十整体车型排名!$B$2,'Data Export'!B89=前十整体车型排名!$B$3,'Data Export'!D89&lt;&gt;""),UPPER('Data Export'!C89)&amp;"♦"&amp;'Data Export'!D89,"")</f>
        <v>BENTLEY♦CONTINENTAL GT</v>
      </c>
      <c r="I89" s="63">
        <f>IF(H89="","",IFERROR(INDEX('Data Export'!G89:CZ89,1,MATCH(前十整体车型排名!$B$4,'Data Export'!$G$1:$CZ$1,0)),0))</f>
        <v>0</v>
      </c>
      <c r="J89" s="62" t="str">
        <f>IF(H89="","",IF(OR('Data Export'!F89="三厢轿车",'Data Export'!F89="掀背轿车",'Data Export'!F89="旅行车",'Data Export'!F89="微型车",'Data Export'!F89="硬顶跑车",'Data Export'!F89="敞蓬车",'Data Export'!F89="Targa"),"轿车",IF(OR('Data Export'!F89="小型MPV",'Data Export'!F89="客车"),"MPV",IF('Data Export'!F89="运动型多功能车","SUV","其他"))))</f>
        <v>其他</v>
      </c>
      <c r="K89" s="62">
        <f>IF(OR(D89="",NOT(F89=1)),"",1+SUMPRODUCT(($F$2:$F$1001=1)*($D$2:$D$1001&gt;D89))+COUNTIFS($F$2:F89,1,$D$2:D89,D89)-1)</f>
        <v>61</v>
      </c>
      <c r="L89" s="62" t="str">
        <f>IF(OR(D89="",NOT(G89="轿车")),"",1+SUMPRODUCT(($G$2:$G$1001="轿车")*($D$2:$D$1001&gt;D89))+COUNTIFS($G$2:G89,"轿车",$D$2:D89,D89)-1)</f>
        <v/>
      </c>
      <c r="M89" s="62" t="str">
        <f>IF(OR(D89="",NOT(G89="MPV")),"",1+SUMPRODUCT(($G$2:$G$1001="MPV")*($D$2:$D$1001&gt;D89))+COUNTIFS($G$2:G89,"MPV",$D$2:D89,D89)-1)</f>
        <v/>
      </c>
      <c r="N89" s="62" t="str">
        <f>IF(OR(D89="",NOT(G89="SUV")),"",1+SUMPRODUCT(($G$2:$G$1001="SUV")*($D$2:$D$1001&gt;D89))+COUNTIFS($G$2:G89,"SUV",$D$2:D89,D89)-1)</f>
        <v/>
      </c>
      <c r="O89" s="62" t="str">
        <f>IF(OR(D89="",NOT(AND(F89=1,G89="轿车"))),"",1+SUMPRODUCT(($F$2:$F$1001=1)*($G$2:$G$1001="轿车")*($D$2:$D$1001&gt;D89))+COUNTIFS($F$2:F89,1,$G$2:G89,"轿车",$D$2:D89,D89)-1)</f>
        <v/>
      </c>
      <c r="P89" s="62" t="str">
        <f>IF(OR(D89="",NOT(AND(F89=1,G89="MPV"))),"",1+SUMPRODUCT(($F$2:$F$1001=1)*($G$2:$G$1001="MPV")*($D$2:$D$1001&gt;D89))+COUNTIFS($F$2:F89,1,$G$2:G89,"MPV",$D$2:D89,D89)-1)</f>
        <v/>
      </c>
      <c r="Q89" s="62" t="str">
        <f>IF(OR(D89="",NOT(AND(F89=1,G89="SUV"))),"",1+SUMPRODUCT(($F$2:$F$1001=1)*($G$2:$G$1001="SUV")*($D$2:$D$1001&gt;D89))+COUNTIFS($F$2:F89,1,$G$2:G89,"SUV",$D$2:D89,D89)-1)</f>
        <v/>
      </c>
    </row>
    <row r="90" spans="1:17">
      <c r="A90" s="62" t="str">
        <f>IFERROR(INDEX($H$2:$H$3000,MATCH(0,INDEX(COUNTIF($A$1:A89,$H$2:$H$3000)+($H$2:$H$3000=""),0,0),0)),"")</f>
        <v>FERRARI♦12CILINDRI</v>
      </c>
      <c r="B90" s="62" t="str">
        <f t="shared" si="4"/>
        <v>FERRARI</v>
      </c>
      <c r="C90" s="62" t="str">
        <f t="shared" si="5"/>
        <v>12CILINDRI</v>
      </c>
      <c r="D90" s="63">
        <f t="shared" si="6"/>
        <v>0</v>
      </c>
      <c r="E90" s="62">
        <f>IF(D90="","",_xlfn.RANK.EQ(D90,$D$2:$D$1001,0)+COUNTIF($D$2:D90,D90)-1)</f>
        <v>290</v>
      </c>
      <c r="F90" s="62">
        <f>IF(B90="","",--(COUNTIF(CN_Brands!$A$2:$A$300,UPPER(B90))&gt;0))</f>
        <v>0</v>
      </c>
      <c r="G90" s="62" t="str">
        <f t="shared" si="7"/>
        <v>其他</v>
      </c>
      <c r="H90" s="62" t="str">
        <f>IF(AND('Data Export'!A90=前十整体车型排名!$B$2,'Data Export'!B90=前十整体车型排名!$B$3,'Data Export'!D90&lt;&gt;""),UPPER('Data Export'!C90)&amp;"♦"&amp;'Data Export'!D90,"")</f>
        <v>BENTLEY♦FLYING SPUR</v>
      </c>
      <c r="I90" s="63">
        <f>IF(H90="","",IFERROR(INDEX('Data Export'!G90:CZ90,1,MATCH(前十整体车型排名!$B$4,'Data Export'!$G$1:$CZ$1,0)),0))</f>
        <v>0</v>
      </c>
      <c r="J90" s="62" t="str">
        <f>IF(H90="","",IF(OR('Data Export'!F90="三厢轿车",'Data Export'!F90="掀背轿车",'Data Export'!F90="旅行车",'Data Export'!F90="微型车",'Data Export'!F90="硬顶跑车",'Data Export'!F90="敞蓬车",'Data Export'!F90="Targa"),"轿车",IF(OR('Data Export'!F90="小型MPV",'Data Export'!F90="客车"),"MPV",IF('Data Export'!F90="运动型多功能车","SUV","其他"))))</f>
        <v>轿车</v>
      </c>
      <c r="K90" s="62" t="str">
        <f>IF(OR(D90="",NOT(F90=1)),"",1+SUMPRODUCT(($F$2:$F$1001=1)*($D$2:$D$1001&gt;D90))+COUNTIFS($F$2:F90,1,$D$2:D90,D90)-1)</f>
        <v/>
      </c>
      <c r="L90" s="62" t="str">
        <f>IF(OR(D90="",NOT(G90="轿车")),"",1+SUMPRODUCT(($G$2:$G$1001="轿车")*($D$2:$D$1001&gt;D90))+COUNTIFS($G$2:G90,"轿车",$D$2:D90,D90)-1)</f>
        <v/>
      </c>
      <c r="M90" s="62" t="str">
        <f>IF(OR(D90="",NOT(G90="MPV")),"",1+SUMPRODUCT(($G$2:$G$1001="MPV")*($D$2:$D$1001&gt;D90))+COUNTIFS($G$2:G90,"MPV",$D$2:D90,D90)-1)</f>
        <v/>
      </c>
      <c r="N90" s="62" t="str">
        <f>IF(OR(D90="",NOT(G90="SUV")),"",1+SUMPRODUCT(($G$2:$G$1001="SUV")*($D$2:$D$1001&gt;D90))+COUNTIFS($G$2:G90,"SUV",$D$2:D90,D90)-1)</f>
        <v/>
      </c>
      <c r="O90" s="62" t="str">
        <f>IF(OR(D90="",NOT(AND(F90=1,G90="轿车"))),"",1+SUMPRODUCT(($F$2:$F$1001=1)*($G$2:$G$1001="轿车")*($D$2:$D$1001&gt;D90))+COUNTIFS($F$2:F90,1,$G$2:G90,"轿车",$D$2:D90,D90)-1)</f>
        <v/>
      </c>
      <c r="P90" s="62" t="str">
        <f>IF(OR(D90="",NOT(AND(F90=1,G90="MPV"))),"",1+SUMPRODUCT(($F$2:$F$1001=1)*($G$2:$G$1001="MPV")*($D$2:$D$1001&gt;D90))+COUNTIFS($F$2:F90,1,$G$2:G90,"MPV",$D$2:D90,D90)-1)</f>
        <v/>
      </c>
      <c r="Q90" s="62" t="str">
        <f>IF(OR(D90="",NOT(AND(F90=1,G90="SUV"))),"",1+SUMPRODUCT(($F$2:$F$1001=1)*($G$2:$G$1001="SUV")*($D$2:$D$1001&gt;D90))+COUNTIFS($F$2:F90,1,$G$2:G90,"SUV",$D$2:D90,D90)-1)</f>
        <v/>
      </c>
    </row>
    <row r="91" spans="1:17">
      <c r="A91" s="62" t="str">
        <f>IFERROR(INDEX($H$2:$H$3000,MATCH(0,INDEX(COUNTIF($A$1:A90,$H$2:$H$3000)+($H$2:$H$3000=""),0,0),0)),"")</f>
        <v>FERRARI♦296</v>
      </c>
      <c r="B91" s="62" t="str">
        <f t="shared" si="4"/>
        <v>FERRARI</v>
      </c>
      <c r="C91" s="62" t="str">
        <f t="shared" si="5"/>
        <v>296</v>
      </c>
      <c r="D91" s="63">
        <f t="shared" si="6"/>
        <v>1</v>
      </c>
      <c r="E91" s="62">
        <f>IF(D91="","",_xlfn.RANK.EQ(D91,$D$2:$D$1001,0)+COUNTIF($D$2:D91,D91)-1)</f>
        <v>231</v>
      </c>
      <c r="F91" s="62">
        <f>IF(B91="","",--(COUNTIF(CN_Brands!$A$2:$A$300,UPPER(B91))&gt;0))</f>
        <v>0</v>
      </c>
      <c r="G91" s="62" t="str">
        <f t="shared" si="7"/>
        <v>轿车</v>
      </c>
      <c r="H91" s="62" t="str">
        <f>IF(AND('Data Export'!A91=前十整体车型排名!$B$2,'Data Export'!B91=前十整体车型排名!$B$3,'Data Export'!D91&lt;&gt;""),UPPER('Data Export'!C91)&amp;"♦"&amp;'Data Export'!D91,"")</f>
        <v>BENTLEY♦FLYING SPUR</v>
      </c>
      <c r="I91" s="63">
        <f>IF(H91="","",IFERROR(INDEX('Data Export'!G91:CZ91,1,MATCH(前十整体车型排名!$B$4,'Data Export'!$G$1:$CZ$1,0)),0))</f>
        <v>1</v>
      </c>
      <c r="J91" s="62" t="str">
        <f>IF(H91="","",IF(OR('Data Export'!F91="三厢轿车",'Data Export'!F91="掀背轿车",'Data Export'!F91="旅行车",'Data Export'!F91="微型车",'Data Export'!F91="硬顶跑车",'Data Export'!F91="敞蓬车",'Data Export'!F91="Targa"),"轿车",IF(OR('Data Export'!F91="小型MPV",'Data Export'!F91="客车"),"MPV",IF('Data Export'!F91="运动型多功能车","SUV","其他"))))</f>
        <v>轿车</v>
      </c>
      <c r="K91" s="62" t="str">
        <f>IF(OR(D91="",NOT(F91=1)),"",1+SUMPRODUCT(($F$2:$F$1001=1)*($D$2:$D$1001&gt;D91))+COUNTIFS($F$2:F91,1,$D$2:D91,D91)-1)</f>
        <v/>
      </c>
      <c r="L91" s="62">
        <f>IF(OR(D91="",NOT(G91="轿车")),"",1+SUMPRODUCT(($G$2:$G$1001="轿车")*($D$2:$D$1001&gt;D91))+COUNTIFS($G$2:G91,"轿车",$D$2:D91,D91)-1)</f>
        <v>71</v>
      </c>
      <c r="M91" s="62" t="str">
        <f>IF(OR(D91="",NOT(G91="MPV")),"",1+SUMPRODUCT(($G$2:$G$1001="MPV")*($D$2:$D$1001&gt;D91))+COUNTIFS($G$2:G91,"MPV",$D$2:D91,D91)-1)</f>
        <v/>
      </c>
      <c r="N91" s="62" t="str">
        <f>IF(OR(D91="",NOT(G91="SUV")),"",1+SUMPRODUCT(($G$2:$G$1001="SUV")*($D$2:$D$1001&gt;D91))+COUNTIFS($G$2:G91,"SUV",$D$2:D91,D91)-1)</f>
        <v/>
      </c>
      <c r="O91" s="62" t="str">
        <f>IF(OR(D91="",NOT(AND(F91=1,G91="轿车"))),"",1+SUMPRODUCT(($F$2:$F$1001=1)*($G$2:$G$1001="轿车")*($D$2:$D$1001&gt;D91))+COUNTIFS($F$2:F91,1,$G$2:G91,"轿车",$D$2:D91,D91)-1)</f>
        <v/>
      </c>
      <c r="P91" s="62" t="str">
        <f>IF(OR(D91="",NOT(AND(F91=1,G91="MPV"))),"",1+SUMPRODUCT(($F$2:$F$1001=1)*($G$2:$G$1001="MPV")*($D$2:$D$1001&gt;D91))+COUNTIFS($F$2:F91,1,$G$2:G91,"MPV",$D$2:D91,D91)-1)</f>
        <v/>
      </c>
      <c r="Q91" s="62" t="str">
        <f>IF(OR(D91="",NOT(AND(F91=1,G91="SUV"))),"",1+SUMPRODUCT(($F$2:$F$1001=1)*($G$2:$G$1001="SUV")*($D$2:$D$1001&gt;D91))+COUNTIFS($F$2:F91,1,$G$2:G91,"SUV",$D$2:D91,D91)-1)</f>
        <v/>
      </c>
    </row>
    <row r="92" spans="1:17">
      <c r="A92" s="62" t="str">
        <f>IFERROR(INDEX($H$2:$H$3000,MATCH(0,INDEX(COUNTIF($A$1:A91,$H$2:$H$3000)+($H$2:$H$3000=""),0,0),0)),"")</f>
        <v>FERRARI♦488</v>
      </c>
      <c r="B92" s="62" t="str">
        <f t="shared" si="4"/>
        <v>FERRARI</v>
      </c>
      <c r="C92" s="62" t="str">
        <f t="shared" si="5"/>
        <v>488</v>
      </c>
      <c r="D92" s="63">
        <f t="shared" si="6"/>
        <v>0</v>
      </c>
      <c r="E92" s="62">
        <f>IF(D92="","",_xlfn.RANK.EQ(D92,$D$2:$D$1001,0)+COUNTIF($D$2:D92,D92)-1)</f>
        <v>291</v>
      </c>
      <c r="F92" s="62">
        <f>IF(B92="","",--(COUNTIF(CN_Brands!$A$2:$A$300,UPPER(B92))&gt;0))</f>
        <v>0</v>
      </c>
      <c r="G92" s="62" t="str">
        <f t="shared" si="7"/>
        <v>轿车</v>
      </c>
      <c r="H92" s="62" t="str">
        <f>IF(AND('Data Export'!A92=前十整体车型排名!$B$2,'Data Export'!B92=前十整体车型排名!$B$3,'Data Export'!D92&lt;&gt;""),UPPER('Data Export'!C92)&amp;"♦"&amp;'Data Export'!D92,"")</f>
        <v>BENTLEY♦FLYING SPUR</v>
      </c>
      <c r="I92" s="63">
        <f>IF(H92="","",IFERROR(INDEX('Data Export'!G92:CZ92,1,MATCH(前十整体车型排名!$B$4,'Data Export'!$G$1:$CZ$1,0)),0))</f>
        <v>1</v>
      </c>
      <c r="J92" s="62" t="str">
        <f>IF(H92="","",IF(OR('Data Export'!F92="三厢轿车",'Data Export'!F92="掀背轿车",'Data Export'!F92="旅行车",'Data Export'!F92="微型车",'Data Export'!F92="硬顶跑车",'Data Export'!F92="敞蓬车",'Data Export'!F92="Targa"),"轿车",IF(OR('Data Export'!F92="小型MPV",'Data Export'!F92="客车"),"MPV",IF('Data Export'!F92="运动型多功能车","SUV","其他"))))</f>
        <v>轿车</v>
      </c>
      <c r="K92" s="62" t="str">
        <f>IF(OR(D92="",NOT(F92=1)),"",1+SUMPRODUCT(($F$2:$F$1001=1)*($D$2:$D$1001&gt;D92))+COUNTIFS($F$2:F92,1,$D$2:D92,D92)-1)</f>
        <v/>
      </c>
      <c r="L92" s="62">
        <f>IF(OR(D92="",NOT(G92="轿车")),"",1+SUMPRODUCT(($G$2:$G$1001="轿车")*($D$2:$D$1001&gt;D92))+COUNTIFS($G$2:G92,"轿车",$D$2:D92,D92)-1)</f>
        <v>95</v>
      </c>
      <c r="M92" s="62" t="str">
        <f>IF(OR(D92="",NOT(G92="MPV")),"",1+SUMPRODUCT(($G$2:$G$1001="MPV")*($D$2:$D$1001&gt;D92))+COUNTIFS($G$2:G92,"MPV",$D$2:D92,D92)-1)</f>
        <v/>
      </c>
      <c r="N92" s="62" t="str">
        <f>IF(OR(D92="",NOT(G92="SUV")),"",1+SUMPRODUCT(($G$2:$G$1001="SUV")*($D$2:$D$1001&gt;D92))+COUNTIFS($G$2:G92,"SUV",$D$2:D92,D92)-1)</f>
        <v/>
      </c>
      <c r="O92" s="62" t="str">
        <f>IF(OR(D92="",NOT(AND(F92=1,G92="轿车"))),"",1+SUMPRODUCT(($F$2:$F$1001=1)*($G$2:$G$1001="轿车")*($D$2:$D$1001&gt;D92))+COUNTIFS($F$2:F92,1,$G$2:G92,"轿车",$D$2:D92,D92)-1)</f>
        <v/>
      </c>
      <c r="P92" s="62" t="str">
        <f>IF(OR(D92="",NOT(AND(F92=1,G92="MPV"))),"",1+SUMPRODUCT(($F$2:$F$1001=1)*($G$2:$G$1001="MPV")*($D$2:$D$1001&gt;D92))+COUNTIFS($F$2:F92,1,$G$2:G92,"MPV",$D$2:D92,D92)-1)</f>
        <v/>
      </c>
      <c r="Q92" s="62" t="str">
        <f>IF(OR(D92="",NOT(AND(F92=1,G92="SUV"))),"",1+SUMPRODUCT(($F$2:$F$1001=1)*($G$2:$G$1001="SUV")*($D$2:$D$1001&gt;D92))+COUNTIFS($F$2:F92,1,$G$2:G92,"SUV",$D$2:D92,D92)-1)</f>
        <v/>
      </c>
    </row>
    <row r="93" spans="1:17">
      <c r="A93" s="62" t="str">
        <f>IFERROR(INDEX($H$2:$H$3000,MATCH(0,INDEX(COUNTIF($A$1:A92,$H$2:$H$3000)+($H$2:$H$3000=""),0,0),0)),"")</f>
        <v>FERRARI♦F8</v>
      </c>
      <c r="B93" s="62" t="str">
        <f t="shared" si="4"/>
        <v>FERRARI</v>
      </c>
      <c r="C93" s="62" t="str">
        <f t="shared" si="5"/>
        <v>F8</v>
      </c>
      <c r="D93" s="63">
        <f t="shared" si="6"/>
        <v>0</v>
      </c>
      <c r="E93" s="62">
        <f>IF(D93="","",_xlfn.RANK.EQ(D93,$D$2:$D$1001,0)+COUNTIF($D$2:D93,D93)-1)</f>
        <v>292</v>
      </c>
      <c r="F93" s="62">
        <f>IF(B93="","",--(COUNTIF(CN_Brands!$A$2:$A$300,UPPER(B93))&gt;0))</f>
        <v>0</v>
      </c>
      <c r="G93" s="62" t="str">
        <f t="shared" si="7"/>
        <v>轿车</v>
      </c>
      <c r="H93" s="62" t="str">
        <f>IF(AND('Data Export'!A93=前十整体车型排名!$B$2,'Data Export'!B93=前十整体车型排名!$B$3,'Data Export'!D93&lt;&gt;""),UPPER('Data Export'!C93)&amp;"♦"&amp;'Data Export'!D93,"")</f>
        <v>BMW♦I4</v>
      </c>
      <c r="I93" s="63">
        <f>IF(H93="","",IFERROR(INDEX('Data Export'!G93:CZ93,1,MATCH(前十整体车型排名!$B$4,'Data Export'!$G$1:$CZ$1,0)),0))</f>
        <v>1</v>
      </c>
      <c r="J93" s="62" t="str">
        <f>IF(H93="","",IF(OR('Data Export'!F93="三厢轿车",'Data Export'!F93="掀背轿车",'Data Export'!F93="旅行车",'Data Export'!F93="微型车",'Data Export'!F93="硬顶跑车",'Data Export'!F93="敞蓬车",'Data Export'!F93="Targa"),"轿车",IF(OR('Data Export'!F93="小型MPV",'Data Export'!F93="客车"),"MPV",IF('Data Export'!F93="运动型多功能车","SUV","其他"))))</f>
        <v>轿车</v>
      </c>
      <c r="K93" s="62" t="str">
        <f>IF(OR(D93="",NOT(F93=1)),"",1+SUMPRODUCT(($F$2:$F$1001=1)*($D$2:$D$1001&gt;D93))+COUNTIFS($F$2:F93,1,$D$2:D93,D93)-1)</f>
        <v/>
      </c>
      <c r="L93" s="62">
        <f>IF(OR(D93="",NOT(G93="轿车")),"",1+SUMPRODUCT(($G$2:$G$1001="轿车")*($D$2:$D$1001&gt;D93))+COUNTIFS($G$2:G93,"轿车",$D$2:D93,D93)-1)</f>
        <v>96</v>
      </c>
      <c r="M93" s="62" t="str">
        <f>IF(OR(D93="",NOT(G93="MPV")),"",1+SUMPRODUCT(($G$2:$G$1001="MPV")*($D$2:$D$1001&gt;D93))+COUNTIFS($G$2:G93,"MPV",$D$2:D93,D93)-1)</f>
        <v/>
      </c>
      <c r="N93" s="62" t="str">
        <f>IF(OR(D93="",NOT(G93="SUV")),"",1+SUMPRODUCT(($G$2:$G$1001="SUV")*($D$2:$D$1001&gt;D93))+COUNTIFS($G$2:G93,"SUV",$D$2:D93,D93)-1)</f>
        <v/>
      </c>
      <c r="O93" s="62" t="str">
        <f>IF(OR(D93="",NOT(AND(F93=1,G93="轿车"))),"",1+SUMPRODUCT(($F$2:$F$1001=1)*($G$2:$G$1001="轿车")*($D$2:$D$1001&gt;D93))+COUNTIFS($F$2:F93,1,$G$2:G93,"轿车",$D$2:D93,D93)-1)</f>
        <v/>
      </c>
      <c r="P93" s="62" t="str">
        <f>IF(OR(D93="",NOT(AND(F93=1,G93="MPV"))),"",1+SUMPRODUCT(($F$2:$F$1001=1)*($G$2:$G$1001="MPV")*($D$2:$D$1001&gt;D93))+COUNTIFS($F$2:F93,1,$G$2:G93,"MPV",$D$2:D93,D93)-1)</f>
        <v/>
      </c>
      <c r="Q93" s="62" t="str">
        <f>IF(OR(D93="",NOT(AND(F93=1,G93="SUV"))),"",1+SUMPRODUCT(($F$2:$F$1001=1)*($G$2:$G$1001="SUV")*($D$2:$D$1001&gt;D93))+COUNTIFS($F$2:F93,1,$G$2:G93,"SUV",$D$2:D93,D93)-1)</f>
        <v/>
      </c>
    </row>
    <row r="94" spans="1:17">
      <c r="A94" s="62" t="str">
        <f>IFERROR(INDEX($H$2:$H$3000,MATCH(0,INDEX(COUNTIF($A$1:A93,$H$2:$H$3000)+($H$2:$H$3000=""),0,0),0)),"")</f>
        <v>FERRARI♦PORTOFINO</v>
      </c>
      <c r="B94" s="62" t="str">
        <f t="shared" si="4"/>
        <v>FERRARI</v>
      </c>
      <c r="C94" s="62" t="str">
        <f t="shared" si="5"/>
        <v>PORTOFINO</v>
      </c>
      <c r="D94" s="63">
        <f t="shared" si="6"/>
        <v>0</v>
      </c>
      <c r="E94" s="62">
        <f>IF(D94="","",_xlfn.RANK.EQ(D94,$D$2:$D$1001,0)+COUNTIF($D$2:D94,D94)-1)</f>
        <v>293</v>
      </c>
      <c r="F94" s="62">
        <f>IF(B94="","",--(COUNTIF(CN_Brands!$A$2:$A$300,UPPER(B94))&gt;0))</f>
        <v>0</v>
      </c>
      <c r="G94" s="62" t="str">
        <f t="shared" si="7"/>
        <v>轿车</v>
      </c>
      <c r="H94" s="62" t="str">
        <f>IF(AND('Data Export'!A94=前十整体车型排名!$B$2,'Data Export'!B94=前十整体车型排名!$B$3,'Data Export'!D94&lt;&gt;""),UPPER('Data Export'!C94)&amp;"♦"&amp;'Data Export'!D94,"")</f>
        <v>BMW♦I4</v>
      </c>
      <c r="I94" s="63">
        <f>IF(H94="","",IFERROR(INDEX('Data Export'!G94:CZ94,1,MATCH(前十整体车型排名!$B$4,'Data Export'!$G$1:$CZ$1,0)),0))</f>
        <v>0</v>
      </c>
      <c r="J94" s="62" t="str">
        <f>IF(H94="","",IF(OR('Data Export'!F94="三厢轿车",'Data Export'!F94="掀背轿车",'Data Export'!F94="旅行车",'Data Export'!F94="微型车",'Data Export'!F94="硬顶跑车",'Data Export'!F94="敞蓬车",'Data Export'!F94="Targa"),"轿车",IF(OR('Data Export'!F94="小型MPV",'Data Export'!F94="客车"),"MPV",IF('Data Export'!F94="运动型多功能车","SUV","其他"))))</f>
        <v>轿车</v>
      </c>
      <c r="K94" s="62" t="str">
        <f>IF(OR(D94="",NOT(F94=1)),"",1+SUMPRODUCT(($F$2:$F$1001=1)*($D$2:$D$1001&gt;D94))+COUNTIFS($F$2:F94,1,$D$2:D94,D94)-1)</f>
        <v/>
      </c>
      <c r="L94" s="62">
        <f>IF(OR(D94="",NOT(G94="轿车")),"",1+SUMPRODUCT(($G$2:$G$1001="轿车")*($D$2:$D$1001&gt;D94))+COUNTIFS($G$2:G94,"轿车",$D$2:D94,D94)-1)</f>
        <v>97</v>
      </c>
      <c r="M94" s="62" t="str">
        <f>IF(OR(D94="",NOT(G94="MPV")),"",1+SUMPRODUCT(($G$2:$G$1001="MPV")*($D$2:$D$1001&gt;D94))+COUNTIFS($G$2:G94,"MPV",$D$2:D94,D94)-1)</f>
        <v/>
      </c>
      <c r="N94" s="62" t="str">
        <f>IF(OR(D94="",NOT(G94="SUV")),"",1+SUMPRODUCT(($G$2:$G$1001="SUV")*($D$2:$D$1001&gt;D94))+COUNTIFS($G$2:G94,"SUV",$D$2:D94,D94)-1)</f>
        <v/>
      </c>
      <c r="O94" s="62" t="str">
        <f>IF(OR(D94="",NOT(AND(F94=1,G94="轿车"))),"",1+SUMPRODUCT(($F$2:$F$1001=1)*($G$2:$G$1001="轿车")*($D$2:$D$1001&gt;D94))+COUNTIFS($F$2:F94,1,$G$2:G94,"轿车",$D$2:D94,D94)-1)</f>
        <v/>
      </c>
      <c r="P94" s="62" t="str">
        <f>IF(OR(D94="",NOT(AND(F94=1,G94="MPV"))),"",1+SUMPRODUCT(($F$2:$F$1001=1)*($G$2:$G$1001="MPV")*($D$2:$D$1001&gt;D94))+COUNTIFS($F$2:F94,1,$G$2:G94,"MPV",$D$2:D94,D94)-1)</f>
        <v/>
      </c>
      <c r="Q94" s="62" t="str">
        <f>IF(OR(D94="",NOT(AND(F94=1,G94="SUV"))),"",1+SUMPRODUCT(($F$2:$F$1001=1)*($G$2:$G$1001="SUV")*($D$2:$D$1001&gt;D94))+COUNTIFS($F$2:F94,1,$G$2:G94,"SUV",$D$2:D94,D94)-1)</f>
        <v/>
      </c>
    </row>
    <row r="95" spans="1:17">
      <c r="A95" s="62" t="str">
        <f>IFERROR(INDEX($H$2:$H$3000,MATCH(0,INDEX(COUNTIF($A$1:A94,$H$2:$H$3000)+($H$2:$H$3000=""),0,0),0)),"")</f>
        <v>FERRARI♦PUROSANGUE</v>
      </c>
      <c r="B95" s="62" t="str">
        <f t="shared" si="4"/>
        <v>FERRARI</v>
      </c>
      <c r="C95" s="62" t="str">
        <f t="shared" si="5"/>
        <v>PUROSANGUE</v>
      </c>
      <c r="D95" s="63">
        <f t="shared" si="6"/>
        <v>0</v>
      </c>
      <c r="E95" s="62">
        <f>IF(D95="","",_xlfn.RANK.EQ(D95,$D$2:$D$1001,0)+COUNTIF($D$2:D95,D95)-1)</f>
        <v>294</v>
      </c>
      <c r="F95" s="62">
        <f>IF(B95="","",--(COUNTIF(CN_Brands!$A$2:$A$300,UPPER(B95))&gt;0))</f>
        <v>0</v>
      </c>
      <c r="G95" s="62" t="str">
        <f t="shared" si="7"/>
        <v>SUV</v>
      </c>
      <c r="H95" s="62" t="str">
        <f>IF(AND('Data Export'!A95=前十整体车型排名!$B$2,'Data Export'!B95=前十整体车型排名!$B$3,'Data Export'!D95&lt;&gt;""),UPPER('Data Export'!C95)&amp;"♦"&amp;'Data Export'!D95,"")</f>
        <v>BMW♦I4</v>
      </c>
      <c r="I95" s="63">
        <f>IF(H95="","",IFERROR(INDEX('Data Export'!G95:CZ95,1,MATCH(前十整体车型排名!$B$4,'Data Export'!$G$1:$CZ$1,0)),0))</f>
        <v>0</v>
      </c>
      <c r="J95" s="62" t="str">
        <f>IF(H95="","",IF(OR('Data Export'!F95="三厢轿车",'Data Export'!F95="掀背轿车",'Data Export'!F95="旅行车",'Data Export'!F95="微型车",'Data Export'!F95="硬顶跑车",'Data Export'!F95="敞蓬车",'Data Export'!F95="Targa"),"轿车",IF(OR('Data Export'!F95="小型MPV",'Data Export'!F95="客车"),"MPV",IF('Data Export'!F95="运动型多功能车","SUV","其他"))))</f>
        <v>轿车</v>
      </c>
      <c r="K95" s="62" t="str">
        <f>IF(OR(D95="",NOT(F95=1)),"",1+SUMPRODUCT(($F$2:$F$1001=1)*($D$2:$D$1001&gt;D95))+COUNTIFS($F$2:F95,1,$D$2:D95,D95)-1)</f>
        <v/>
      </c>
      <c r="L95" s="62" t="str">
        <f>IF(OR(D95="",NOT(G95="轿车")),"",1+SUMPRODUCT(($G$2:$G$1001="轿车")*($D$2:$D$1001&gt;D95))+COUNTIFS($G$2:G95,"轿车",$D$2:D95,D95)-1)</f>
        <v/>
      </c>
      <c r="M95" s="62" t="str">
        <f>IF(OR(D95="",NOT(G95="MPV")),"",1+SUMPRODUCT(($G$2:$G$1001="MPV")*($D$2:$D$1001&gt;D95))+COUNTIFS($G$2:G95,"MPV",$D$2:D95,D95)-1)</f>
        <v/>
      </c>
      <c r="N95" s="62">
        <f>IF(OR(D95="",NOT(G95="SUV")),"",1+SUMPRODUCT(($G$2:$G$1001="SUV")*($D$2:$D$1001&gt;D95))+COUNTIFS($G$2:G95,"SUV",$D$2:D95,D95)-1)</f>
        <v>138</v>
      </c>
      <c r="O95" s="62" t="str">
        <f>IF(OR(D95="",NOT(AND(F95=1,G95="轿车"))),"",1+SUMPRODUCT(($F$2:$F$1001=1)*($G$2:$G$1001="轿车")*($D$2:$D$1001&gt;D95))+COUNTIFS($F$2:F95,1,$G$2:G95,"轿车",$D$2:D95,D95)-1)</f>
        <v/>
      </c>
      <c r="P95" s="62" t="str">
        <f>IF(OR(D95="",NOT(AND(F95=1,G95="MPV"))),"",1+SUMPRODUCT(($F$2:$F$1001=1)*($G$2:$G$1001="MPV")*($D$2:$D$1001&gt;D95))+COUNTIFS($F$2:F95,1,$G$2:G95,"MPV",$D$2:D95,D95)-1)</f>
        <v/>
      </c>
      <c r="Q95" s="62" t="str">
        <f>IF(OR(D95="",NOT(AND(F95=1,G95="SUV"))),"",1+SUMPRODUCT(($F$2:$F$1001=1)*($G$2:$G$1001="SUV")*($D$2:$D$1001&gt;D95))+COUNTIFS($F$2:F95,1,$G$2:G95,"SUV",$D$2:D95,D95)-1)</f>
        <v/>
      </c>
    </row>
    <row r="96" spans="1:17">
      <c r="A96" s="62" t="str">
        <f>IFERROR(INDEX($H$2:$H$3000,MATCH(0,INDEX(COUNTIF($A$1:A95,$H$2:$H$3000)+($H$2:$H$3000=""),0,0),0)),"")</f>
        <v>FERRARI♦ROMA</v>
      </c>
      <c r="B96" s="62" t="str">
        <f t="shared" si="4"/>
        <v>FERRARI</v>
      </c>
      <c r="C96" s="62" t="str">
        <f t="shared" si="5"/>
        <v>ROMA</v>
      </c>
      <c r="D96" s="63">
        <f t="shared" si="6"/>
        <v>0</v>
      </c>
      <c r="E96" s="62">
        <f>IF(D96="","",_xlfn.RANK.EQ(D96,$D$2:$D$1001,0)+COUNTIF($D$2:D96,D96)-1)</f>
        <v>295</v>
      </c>
      <c r="F96" s="62">
        <f>IF(B96="","",--(COUNTIF(CN_Brands!$A$2:$A$300,UPPER(B96))&gt;0))</f>
        <v>0</v>
      </c>
      <c r="G96" s="62" t="str">
        <f t="shared" si="7"/>
        <v>轿车</v>
      </c>
      <c r="H96" s="62" t="str">
        <f>IF(AND('Data Export'!A96=前十整体车型排名!$B$2,'Data Export'!B96=前十整体车型排名!$B$3,'Data Export'!D96&lt;&gt;""),UPPER('Data Export'!C96)&amp;"♦"&amp;'Data Export'!D96,"")</f>
        <v>BMW♦I5</v>
      </c>
      <c r="I96" s="63">
        <f>IF(H96="","",IFERROR(INDEX('Data Export'!G96:CZ96,1,MATCH(前十整体车型排名!$B$4,'Data Export'!$G$1:$CZ$1,0)),0))</f>
        <v>14</v>
      </c>
      <c r="J96" s="62" t="str">
        <f>IF(H96="","",IF(OR('Data Export'!F96="三厢轿车",'Data Export'!F96="掀背轿车",'Data Export'!F96="旅行车",'Data Export'!F96="微型车",'Data Export'!F96="硬顶跑车",'Data Export'!F96="敞蓬车",'Data Export'!F96="Targa"),"轿车",IF(OR('Data Export'!F96="小型MPV",'Data Export'!F96="客车"),"MPV",IF('Data Export'!F96="运动型多功能车","SUV","其他"))))</f>
        <v>其他</v>
      </c>
      <c r="K96" s="62" t="str">
        <f>IF(OR(D96="",NOT(F96=1)),"",1+SUMPRODUCT(($F$2:$F$1001=1)*($D$2:$D$1001&gt;D96))+COUNTIFS($F$2:F96,1,$D$2:D96,D96)-1)</f>
        <v/>
      </c>
      <c r="L96" s="62">
        <f>IF(OR(D96="",NOT(G96="轿车")),"",1+SUMPRODUCT(($G$2:$G$1001="轿车")*($D$2:$D$1001&gt;D96))+COUNTIFS($G$2:G96,"轿车",$D$2:D96,D96)-1)</f>
        <v>98</v>
      </c>
      <c r="M96" s="62" t="str">
        <f>IF(OR(D96="",NOT(G96="MPV")),"",1+SUMPRODUCT(($G$2:$G$1001="MPV")*($D$2:$D$1001&gt;D96))+COUNTIFS($G$2:G96,"MPV",$D$2:D96,D96)-1)</f>
        <v/>
      </c>
      <c r="N96" s="62" t="str">
        <f>IF(OR(D96="",NOT(G96="SUV")),"",1+SUMPRODUCT(($G$2:$G$1001="SUV")*($D$2:$D$1001&gt;D96))+COUNTIFS($G$2:G96,"SUV",$D$2:D96,D96)-1)</f>
        <v/>
      </c>
      <c r="O96" s="62" t="str">
        <f>IF(OR(D96="",NOT(AND(F96=1,G96="轿车"))),"",1+SUMPRODUCT(($F$2:$F$1001=1)*($G$2:$G$1001="轿车")*($D$2:$D$1001&gt;D96))+COUNTIFS($F$2:F96,1,$G$2:G96,"轿车",$D$2:D96,D96)-1)</f>
        <v/>
      </c>
      <c r="P96" s="62" t="str">
        <f>IF(OR(D96="",NOT(AND(F96=1,G96="MPV"))),"",1+SUMPRODUCT(($F$2:$F$1001=1)*($G$2:$G$1001="MPV")*($D$2:$D$1001&gt;D96))+COUNTIFS($F$2:F96,1,$G$2:G96,"MPV",$D$2:D96,D96)-1)</f>
        <v/>
      </c>
      <c r="Q96" s="62" t="str">
        <f>IF(OR(D96="",NOT(AND(F96=1,G96="SUV"))),"",1+SUMPRODUCT(($F$2:$F$1001=1)*($G$2:$G$1001="SUV")*($D$2:$D$1001&gt;D96))+COUNTIFS($F$2:F96,1,$G$2:G96,"SUV",$D$2:D96,D96)-1)</f>
        <v/>
      </c>
    </row>
    <row r="97" spans="1:17">
      <c r="A97" s="62" t="str">
        <f>IFERROR(INDEX($H$2:$H$3000,MATCH(0,INDEX(COUNTIF($A$1:A96,$H$2:$H$3000)+($H$2:$H$3000=""),0,0),0)),"")</f>
        <v>FERRARI♦SF90</v>
      </c>
      <c r="B97" s="62" t="str">
        <f t="shared" si="4"/>
        <v>FERRARI</v>
      </c>
      <c r="C97" s="62" t="str">
        <f t="shared" si="5"/>
        <v>SF90</v>
      </c>
      <c r="D97" s="63">
        <f t="shared" si="6"/>
        <v>0</v>
      </c>
      <c r="E97" s="62">
        <f>IF(D97="","",_xlfn.RANK.EQ(D97,$D$2:$D$1001,0)+COUNTIF($D$2:D97,D97)-1)</f>
        <v>296</v>
      </c>
      <c r="F97" s="62">
        <f>IF(B97="","",--(COUNTIF(CN_Brands!$A$2:$A$300,UPPER(B97))&gt;0))</f>
        <v>0</v>
      </c>
      <c r="G97" s="62" t="str">
        <f t="shared" si="7"/>
        <v>轿车</v>
      </c>
      <c r="H97" s="62" t="str">
        <f>IF(AND('Data Export'!A97=前十整体车型排名!$B$2,'Data Export'!B97=前十整体车型排名!$B$3,'Data Export'!D97&lt;&gt;""),UPPER('Data Export'!C97)&amp;"♦"&amp;'Data Export'!D97,"")</f>
        <v>BMW♦I5</v>
      </c>
      <c r="I97" s="63">
        <f>IF(H97="","",IFERROR(INDEX('Data Export'!G97:CZ97,1,MATCH(前十整体车型排名!$B$4,'Data Export'!$G$1:$CZ$1,0)),0))</f>
        <v>0</v>
      </c>
      <c r="J97" s="62" t="str">
        <f>IF(H97="","",IF(OR('Data Export'!F97="三厢轿车",'Data Export'!F97="掀背轿车",'Data Export'!F97="旅行车",'Data Export'!F97="微型车",'Data Export'!F97="硬顶跑车",'Data Export'!F97="敞蓬车",'Data Export'!F97="Targa"),"轿车",IF(OR('Data Export'!F97="小型MPV",'Data Export'!F97="客车"),"MPV",IF('Data Export'!F97="运动型多功能车","SUV","其他"))))</f>
        <v>轿车</v>
      </c>
      <c r="K97" s="62" t="str">
        <f>IF(OR(D97="",NOT(F97=1)),"",1+SUMPRODUCT(($F$2:$F$1001=1)*($D$2:$D$1001&gt;D97))+COUNTIFS($F$2:F97,1,$D$2:D97,D97)-1)</f>
        <v/>
      </c>
      <c r="L97" s="62">
        <f>IF(OR(D97="",NOT(G97="轿车")),"",1+SUMPRODUCT(($G$2:$G$1001="轿车")*($D$2:$D$1001&gt;D97))+COUNTIFS($G$2:G97,"轿车",$D$2:D97,D97)-1)</f>
        <v>99</v>
      </c>
      <c r="M97" s="62" t="str">
        <f>IF(OR(D97="",NOT(G97="MPV")),"",1+SUMPRODUCT(($G$2:$G$1001="MPV")*($D$2:$D$1001&gt;D97))+COUNTIFS($G$2:G97,"MPV",$D$2:D97,D97)-1)</f>
        <v/>
      </c>
      <c r="N97" s="62" t="str">
        <f>IF(OR(D97="",NOT(G97="SUV")),"",1+SUMPRODUCT(($G$2:$G$1001="SUV")*($D$2:$D$1001&gt;D97))+COUNTIFS($G$2:G97,"SUV",$D$2:D97,D97)-1)</f>
        <v/>
      </c>
      <c r="O97" s="62" t="str">
        <f>IF(OR(D97="",NOT(AND(F97=1,G97="轿车"))),"",1+SUMPRODUCT(($F$2:$F$1001=1)*($G$2:$G$1001="轿车")*($D$2:$D$1001&gt;D97))+COUNTIFS($F$2:F97,1,$G$2:G97,"轿车",$D$2:D97,D97)-1)</f>
        <v/>
      </c>
      <c r="P97" s="62" t="str">
        <f>IF(OR(D97="",NOT(AND(F97=1,G97="MPV"))),"",1+SUMPRODUCT(($F$2:$F$1001=1)*($G$2:$G$1001="MPV")*($D$2:$D$1001&gt;D97))+COUNTIFS($F$2:F97,1,$G$2:G97,"MPV",$D$2:D97,D97)-1)</f>
        <v/>
      </c>
      <c r="Q97" s="62" t="str">
        <f>IF(OR(D97="",NOT(AND(F97=1,G97="SUV"))),"",1+SUMPRODUCT(($F$2:$F$1001=1)*($G$2:$G$1001="SUV")*($D$2:$D$1001&gt;D97))+COUNTIFS($F$2:F97,1,$G$2:G97,"SUV",$D$2:D97,D97)-1)</f>
        <v/>
      </c>
    </row>
    <row r="98" spans="1:17">
      <c r="A98" s="62" t="str">
        <f>IFERROR(INDEX($H$2:$H$3000,MATCH(0,INDEX(COUNTIF($A$1:A97,$H$2:$H$3000)+($H$2:$H$3000=""),0,0),0)),"")</f>
        <v>FIREFLY♦FIREFLY</v>
      </c>
      <c r="B98" s="62" t="str">
        <f t="shared" si="4"/>
        <v>FIREFLY</v>
      </c>
      <c r="C98" s="62" t="str">
        <f t="shared" si="5"/>
        <v>FIREFLY</v>
      </c>
      <c r="D98" s="63">
        <f t="shared" si="6"/>
        <v>1</v>
      </c>
      <c r="E98" s="62">
        <f>IF(D98="","",_xlfn.RANK.EQ(D98,$D$2:$D$1001,0)+COUNTIF($D$2:D98,D98)-1)</f>
        <v>232</v>
      </c>
      <c r="F98" s="62">
        <f>IF(B98="","",--(COUNTIF(CN_Brands!$A$2:$A$300,UPPER(B98))&gt;0))</f>
        <v>1</v>
      </c>
      <c r="G98" s="62" t="str">
        <f t="shared" si="7"/>
        <v>轿车</v>
      </c>
      <c r="H98" s="62" t="str">
        <f>IF(AND('Data Export'!A98=前十整体车型排名!$B$2,'Data Export'!B98=前十整体车型排名!$B$3,'Data Export'!D98&lt;&gt;""),UPPER('Data Export'!C98)&amp;"♦"&amp;'Data Export'!D98,"")</f>
        <v>BMW♦I5</v>
      </c>
      <c r="I98" s="63">
        <f>IF(H98="","",IFERROR(INDEX('Data Export'!G98:CZ98,1,MATCH(前十整体车型排名!$B$4,'Data Export'!$G$1:$CZ$1,0)),0))</f>
        <v>3</v>
      </c>
      <c r="J98" s="62" t="str">
        <f>IF(H98="","",IF(OR('Data Export'!F98="三厢轿车",'Data Export'!F98="掀背轿车",'Data Export'!F98="旅行车",'Data Export'!F98="微型车",'Data Export'!F98="硬顶跑车",'Data Export'!F98="敞蓬车",'Data Export'!F98="Targa"),"轿车",IF(OR('Data Export'!F98="小型MPV",'Data Export'!F98="客车"),"MPV",IF('Data Export'!F98="运动型多功能车","SUV","其他"))))</f>
        <v>轿车</v>
      </c>
      <c r="K98" s="62">
        <f>IF(OR(D98="",NOT(F98=1)),"",1+SUMPRODUCT(($F$2:$F$1001=1)*($D$2:$D$1001&gt;D98))+COUNTIFS($F$2:F98,1,$D$2:D98,D98)-1)</f>
        <v>66</v>
      </c>
      <c r="L98" s="62">
        <f>IF(OR(D98="",NOT(G98="轿车")),"",1+SUMPRODUCT(($G$2:$G$1001="轿车")*($D$2:$D$1001&gt;D98))+COUNTIFS($G$2:G98,"轿车",$D$2:D98,D98)-1)</f>
        <v>72</v>
      </c>
      <c r="M98" s="62" t="str">
        <f>IF(OR(D98="",NOT(G98="MPV")),"",1+SUMPRODUCT(($G$2:$G$1001="MPV")*($D$2:$D$1001&gt;D98))+COUNTIFS($G$2:G98,"MPV",$D$2:D98,D98)-1)</f>
        <v/>
      </c>
      <c r="N98" s="62" t="str">
        <f>IF(OR(D98="",NOT(G98="SUV")),"",1+SUMPRODUCT(($G$2:$G$1001="SUV")*($D$2:$D$1001&gt;D98))+COUNTIFS($G$2:G98,"SUV",$D$2:D98,D98)-1)</f>
        <v/>
      </c>
      <c r="O98" s="62">
        <f>IF(OR(D98="",NOT(AND(F98=1,G98="轿车"))),"",1+SUMPRODUCT(($F$2:$F$1001=1)*($G$2:$G$1001="轿车")*($D$2:$D$1001&gt;D98))+COUNTIFS($F$2:F98,1,$G$2:G98,"轿车",$D$2:D98,D98)-1)</f>
        <v>19</v>
      </c>
      <c r="P98" s="62" t="str">
        <f>IF(OR(D98="",NOT(AND(F98=1,G98="MPV"))),"",1+SUMPRODUCT(($F$2:$F$1001=1)*($G$2:$G$1001="MPV")*($D$2:$D$1001&gt;D98))+COUNTIFS($F$2:F98,1,$G$2:G98,"MPV",$D$2:D98,D98)-1)</f>
        <v/>
      </c>
      <c r="Q98" s="62" t="str">
        <f>IF(OR(D98="",NOT(AND(F98=1,G98="SUV"))),"",1+SUMPRODUCT(($F$2:$F$1001=1)*($G$2:$G$1001="SUV")*($D$2:$D$1001&gt;D98))+COUNTIFS($F$2:F98,1,$G$2:G98,"SUV",$D$2:D98,D98)-1)</f>
        <v/>
      </c>
    </row>
    <row r="99" spans="1:17">
      <c r="A99" s="62" t="str">
        <f>IFERROR(INDEX($H$2:$H$3000,MATCH(0,INDEX(COUNTIF($A$1:A98,$H$2:$H$3000)+($H$2:$H$3000=""),0,0),0)),"")</f>
        <v>FOMM♦ONE</v>
      </c>
      <c r="B99" s="62" t="str">
        <f t="shared" si="4"/>
        <v>FOMM</v>
      </c>
      <c r="C99" s="62" t="str">
        <f t="shared" si="5"/>
        <v>ONE</v>
      </c>
      <c r="D99" s="63">
        <f t="shared" si="6"/>
        <v>0</v>
      </c>
      <c r="E99" s="62">
        <f>IF(D99="","",_xlfn.RANK.EQ(D99,$D$2:$D$1001,0)+COUNTIF($D$2:D99,D99)-1)</f>
        <v>297</v>
      </c>
      <c r="F99" s="62">
        <f>IF(B99="","",--(COUNTIF(CN_Brands!$A$2:$A$300,UPPER(B99))&gt;0))</f>
        <v>0</v>
      </c>
      <c r="G99" s="62" t="str">
        <f t="shared" si="7"/>
        <v>其他</v>
      </c>
      <c r="H99" s="62" t="str">
        <f>IF(AND('Data Export'!A99=前十整体车型排名!$B$2,'Data Export'!B99=前十整体车型排名!$B$3,'Data Export'!D99&lt;&gt;""),UPPER('Data Export'!C99)&amp;"♦"&amp;'Data Export'!D99,"")</f>
        <v>BMW♦I5</v>
      </c>
      <c r="I99" s="63">
        <f>IF(H99="","",IFERROR(INDEX('Data Export'!G99:CZ99,1,MATCH(前十整体车型排名!$B$4,'Data Export'!$G$1:$CZ$1,0)),0))</f>
        <v>15</v>
      </c>
      <c r="J99" s="62" t="str">
        <f>IF(H99="","",IF(OR('Data Export'!F99="三厢轿车",'Data Export'!F99="掀背轿车",'Data Export'!F99="旅行车",'Data Export'!F99="微型车",'Data Export'!F99="硬顶跑车",'Data Export'!F99="敞蓬车",'Data Export'!F99="Targa"),"轿车",IF(OR('Data Export'!F99="小型MPV",'Data Export'!F99="客车"),"MPV",IF('Data Export'!F99="运动型多功能车","SUV","其他"))))</f>
        <v>其他</v>
      </c>
      <c r="K99" s="62" t="str">
        <f>IF(OR(D99="",NOT(F99=1)),"",1+SUMPRODUCT(($F$2:$F$1001=1)*($D$2:$D$1001&gt;D99))+COUNTIFS($F$2:F99,1,$D$2:D99,D99)-1)</f>
        <v/>
      </c>
      <c r="L99" s="62" t="str">
        <f>IF(OR(D99="",NOT(G99="轿车")),"",1+SUMPRODUCT(($G$2:$G$1001="轿车")*($D$2:$D$1001&gt;D99))+COUNTIFS($G$2:G99,"轿车",$D$2:D99,D99)-1)</f>
        <v/>
      </c>
      <c r="M99" s="62" t="str">
        <f>IF(OR(D99="",NOT(G99="MPV")),"",1+SUMPRODUCT(($G$2:$G$1001="MPV")*($D$2:$D$1001&gt;D99))+COUNTIFS($G$2:G99,"MPV",$D$2:D99,D99)-1)</f>
        <v/>
      </c>
      <c r="N99" s="62" t="str">
        <f>IF(OR(D99="",NOT(G99="SUV")),"",1+SUMPRODUCT(($G$2:$G$1001="SUV")*($D$2:$D$1001&gt;D99))+COUNTIFS($G$2:G99,"SUV",$D$2:D99,D99)-1)</f>
        <v/>
      </c>
      <c r="O99" s="62" t="str">
        <f>IF(OR(D99="",NOT(AND(F99=1,G99="轿车"))),"",1+SUMPRODUCT(($F$2:$F$1001=1)*($G$2:$G$1001="轿车")*($D$2:$D$1001&gt;D99))+COUNTIFS($F$2:F99,1,$G$2:G99,"轿车",$D$2:D99,D99)-1)</f>
        <v/>
      </c>
      <c r="P99" s="62" t="str">
        <f>IF(OR(D99="",NOT(AND(F99=1,G99="MPV"))),"",1+SUMPRODUCT(($F$2:$F$1001=1)*($G$2:$G$1001="MPV")*($D$2:$D$1001&gt;D99))+COUNTIFS($F$2:F99,1,$G$2:G99,"MPV",$D$2:D99,D99)-1)</f>
        <v/>
      </c>
      <c r="Q99" s="62" t="str">
        <f>IF(OR(D99="",NOT(AND(F99=1,G99="SUV"))),"",1+SUMPRODUCT(($F$2:$F$1001=1)*($G$2:$G$1001="SUV")*($D$2:$D$1001&gt;D99))+COUNTIFS($F$2:F99,1,$G$2:G99,"SUV",$D$2:D99,D99)-1)</f>
        <v/>
      </c>
    </row>
    <row r="100" spans="1:17">
      <c r="A100" s="62" t="str">
        <f>IFERROR(INDEX($H$2:$H$3000,MATCH(0,INDEX(COUNTIF($A$1:A99,$H$2:$H$3000)+($H$2:$H$3000=""),0,0),0)),"")</f>
        <v>FORD♦EVEREST</v>
      </c>
      <c r="B100" s="62" t="str">
        <f t="shared" si="4"/>
        <v>FORD</v>
      </c>
      <c r="C100" s="62" t="str">
        <f t="shared" si="5"/>
        <v>EVEREST</v>
      </c>
      <c r="D100" s="63">
        <f t="shared" si="6"/>
        <v>552</v>
      </c>
      <c r="E100" s="62">
        <f>IF(D100="","",_xlfn.RANK.EQ(D100,$D$2:$D$1001,0)+COUNTIF($D$2:D100,D100)-1)</f>
        <v>24</v>
      </c>
      <c r="F100" s="62">
        <f>IF(B100="","",--(COUNTIF(CN_Brands!$A$2:$A$300,UPPER(B100))&gt;0))</f>
        <v>0</v>
      </c>
      <c r="G100" s="62" t="str">
        <f t="shared" si="7"/>
        <v>SUV</v>
      </c>
      <c r="H100" s="62" t="str">
        <f>IF(AND('Data Export'!A100=前十整体车型排名!$B$2,'Data Export'!B100=前十整体车型排名!$B$3,'Data Export'!D100&lt;&gt;""),UPPER('Data Export'!C100)&amp;"♦"&amp;'Data Export'!D100,"")</f>
        <v>BMW♦I5</v>
      </c>
      <c r="I100" s="63">
        <f>IF(H100="","",IFERROR(INDEX('Data Export'!G100:CZ100,1,MATCH(前十整体车型排名!$B$4,'Data Export'!$G$1:$CZ$1,0)),0))</f>
        <v>0</v>
      </c>
      <c r="J100" s="62" t="str">
        <f>IF(H100="","",IF(OR('Data Export'!F100="三厢轿车",'Data Export'!F100="掀背轿车",'Data Export'!F100="旅行车",'Data Export'!F100="微型车",'Data Export'!F100="硬顶跑车",'Data Export'!F100="敞蓬车",'Data Export'!F100="Targa"),"轿车",IF(OR('Data Export'!F100="小型MPV",'Data Export'!F100="客车"),"MPV",IF('Data Export'!F100="运动型多功能车","SUV","其他"))))</f>
        <v>其他</v>
      </c>
      <c r="K100" s="62" t="str">
        <f>IF(OR(D100="",NOT(F100=1)),"",1+SUMPRODUCT(($F$2:$F$1001=1)*($D$2:$D$1001&gt;D100))+COUNTIFS($F$2:F100,1,$D$2:D100,D100)-1)</f>
        <v/>
      </c>
      <c r="L100" s="62" t="str">
        <f>IF(OR(D100="",NOT(G100="轿车")),"",1+SUMPRODUCT(($G$2:$G$1001="轿车")*($D$2:$D$1001&gt;D100))+COUNTIFS($G$2:G100,"轿车",$D$2:D100,D100)-1)</f>
        <v/>
      </c>
      <c r="M100" s="62" t="str">
        <f>IF(OR(D100="",NOT(G100="MPV")),"",1+SUMPRODUCT(($G$2:$G$1001="MPV")*($D$2:$D$1001&gt;D100))+COUNTIFS($G$2:G100,"MPV",$D$2:D100,D100)-1)</f>
        <v/>
      </c>
      <c r="N100" s="62">
        <f>IF(OR(D100="",NOT(G100="SUV")),"",1+SUMPRODUCT(($G$2:$G$1001="SUV")*($D$2:$D$1001&gt;D100))+COUNTIFS($G$2:G100,"SUV",$D$2:D100,D100)-1)</f>
        <v>17</v>
      </c>
      <c r="O100" s="62" t="str">
        <f>IF(OR(D100="",NOT(AND(F100=1,G100="轿车"))),"",1+SUMPRODUCT(($F$2:$F$1001=1)*($G$2:$G$1001="轿车")*($D$2:$D$1001&gt;D100))+COUNTIFS($F$2:F100,1,$G$2:G100,"轿车",$D$2:D100,D100)-1)</f>
        <v/>
      </c>
      <c r="P100" s="62" t="str">
        <f>IF(OR(D100="",NOT(AND(F100=1,G100="MPV"))),"",1+SUMPRODUCT(($F$2:$F$1001=1)*($G$2:$G$1001="MPV")*($D$2:$D$1001&gt;D100))+COUNTIFS($F$2:F100,1,$G$2:G100,"MPV",$D$2:D100,D100)-1)</f>
        <v/>
      </c>
      <c r="Q100" s="62" t="str">
        <f>IF(OR(D100="",NOT(AND(F100=1,G100="SUV"))),"",1+SUMPRODUCT(($F$2:$F$1001=1)*($G$2:$G$1001="SUV")*($D$2:$D$1001&gt;D100))+COUNTIFS($F$2:F100,1,$G$2:G100,"SUV",$D$2:D100,D100)-1)</f>
        <v/>
      </c>
    </row>
    <row r="101" spans="1:17">
      <c r="A101" s="62" t="str">
        <f>IFERROR(INDEX($H$2:$H$3000,MATCH(0,INDEX(COUNTIF($A$1:A100,$H$2:$H$3000)+($H$2:$H$3000=""),0,0),0)),"")</f>
        <v>FORD♦FOCUS</v>
      </c>
      <c r="B101" s="62" t="str">
        <f t="shared" si="4"/>
        <v>FORD</v>
      </c>
      <c r="C101" s="62" t="str">
        <f t="shared" si="5"/>
        <v>FOCUS</v>
      </c>
      <c r="D101" s="63">
        <f t="shared" si="6"/>
        <v>0</v>
      </c>
      <c r="E101" s="62">
        <f>IF(D101="","",_xlfn.RANK.EQ(D101,$D$2:$D$1001,0)+COUNTIF($D$2:D101,D101)-1)</f>
        <v>298</v>
      </c>
      <c r="F101" s="62">
        <f>IF(B101="","",--(COUNTIF(CN_Brands!$A$2:$A$300,UPPER(B101))&gt;0))</f>
        <v>0</v>
      </c>
      <c r="G101" s="62" t="str">
        <f t="shared" si="7"/>
        <v>其他</v>
      </c>
      <c r="H101" s="62" t="str">
        <f>IF(AND('Data Export'!A101=前十整体车型排名!$B$2,'Data Export'!B101=前十整体车型排名!$B$3,'Data Export'!D101&lt;&gt;""),UPPER('Data Export'!C101)&amp;"♦"&amp;'Data Export'!D101,"")</f>
        <v>BMW♦I5</v>
      </c>
      <c r="I101" s="63">
        <f>IF(H101="","",IFERROR(INDEX('Data Export'!G101:CZ101,1,MATCH(前十整体车型排名!$B$4,'Data Export'!$G$1:$CZ$1,0)),0))</f>
        <v>0</v>
      </c>
      <c r="J101" s="62" t="str">
        <f>IF(H101="","",IF(OR('Data Export'!F101="三厢轿车",'Data Export'!F101="掀背轿车",'Data Export'!F101="旅行车",'Data Export'!F101="微型车",'Data Export'!F101="硬顶跑车",'Data Export'!F101="敞蓬车",'Data Export'!F101="Targa"),"轿车",IF(OR('Data Export'!F101="小型MPV",'Data Export'!F101="客车"),"MPV",IF('Data Export'!F101="运动型多功能车","SUV","其他"))))</f>
        <v>轿车</v>
      </c>
      <c r="K101" s="62" t="str">
        <f>IF(OR(D101="",NOT(F101=1)),"",1+SUMPRODUCT(($F$2:$F$1001=1)*($D$2:$D$1001&gt;D101))+COUNTIFS($F$2:F101,1,$D$2:D101,D101)-1)</f>
        <v/>
      </c>
      <c r="L101" s="62" t="str">
        <f>IF(OR(D101="",NOT(G101="轿车")),"",1+SUMPRODUCT(($G$2:$G$1001="轿车")*($D$2:$D$1001&gt;D101))+COUNTIFS($G$2:G101,"轿车",$D$2:D101,D101)-1)</f>
        <v/>
      </c>
      <c r="M101" s="62" t="str">
        <f>IF(OR(D101="",NOT(G101="MPV")),"",1+SUMPRODUCT(($G$2:$G$1001="MPV")*($D$2:$D$1001&gt;D101))+COUNTIFS($G$2:G101,"MPV",$D$2:D101,D101)-1)</f>
        <v/>
      </c>
      <c r="N101" s="62" t="str">
        <f>IF(OR(D101="",NOT(G101="SUV")),"",1+SUMPRODUCT(($G$2:$G$1001="SUV")*($D$2:$D$1001&gt;D101))+COUNTIFS($G$2:G101,"SUV",$D$2:D101,D101)-1)</f>
        <v/>
      </c>
      <c r="O101" s="62" t="str">
        <f>IF(OR(D101="",NOT(AND(F101=1,G101="轿车"))),"",1+SUMPRODUCT(($F$2:$F$1001=1)*($G$2:$G$1001="轿车")*($D$2:$D$1001&gt;D101))+COUNTIFS($F$2:F101,1,$G$2:G101,"轿车",$D$2:D101,D101)-1)</f>
        <v/>
      </c>
      <c r="P101" s="62" t="str">
        <f>IF(OR(D101="",NOT(AND(F101=1,G101="MPV"))),"",1+SUMPRODUCT(($F$2:$F$1001=1)*($G$2:$G$1001="MPV")*($D$2:$D$1001&gt;D101))+COUNTIFS($F$2:F101,1,$G$2:G101,"MPV",$D$2:D101,D101)-1)</f>
        <v/>
      </c>
      <c r="Q101" s="62" t="str">
        <f>IF(OR(D101="",NOT(AND(F101=1,G101="SUV"))),"",1+SUMPRODUCT(($F$2:$F$1001=1)*($G$2:$G$1001="SUV")*($D$2:$D$1001&gt;D101))+COUNTIFS($F$2:F101,1,$G$2:G101,"SUV",$D$2:D101,D101)-1)</f>
        <v/>
      </c>
    </row>
    <row r="102" spans="1:17">
      <c r="A102" s="62" t="str">
        <f>IFERROR(INDEX($H$2:$H$3000,MATCH(0,INDEX(COUNTIF($A$1:A101,$H$2:$H$3000)+($H$2:$H$3000=""),0,0),0)),"")</f>
        <v>FORD♦MUSTANG</v>
      </c>
      <c r="B102" s="62" t="str">
        <f t="shared" si="4"/>
        <v>FORD</v>
      </c>
      <c r="C102" s="62" t="str">
        <f t="shared" si="5"/>
        <v>MUSTANG</v>
      </c>
      <c r="D102" s="63">
        <f t="shared" si="6"/>
        <v>2</v>
      </c>
      <c r="E102" s="62">
        <f>IF(D102="","",_xlfn.RANK.EQ(D102,$D$2:$D$1001,0)+COUNTIF($D$2:D102,D102)-1)</f>
        <v>204</v>
      </c>
      <c r="F102" s="62">
        <f>IF(B102="","",--(COUNTIF(CN_Brands!$A$2:$A$300,UPPER(B102))&gt;0))</f>
        <v>0</v>
      </c>
      <c r="G102" s="62" t="str">
        <f t="shared" si="7"/>
        <v>轿车</v>
      </c>
      <c r="H102" s="62" t="str">
        <f>IF(AND('Data Export'!A102=前十整体车型排名!$B$2,'Data Export'!B102=前十整体车型排名!$B$3,'Data Export'!D102&lt;&gt;""),UPPER('Data Export'!C102)&amp;"♦"&amp;'Data Export'!D102,"")</f>
        <v>BMW♦I7</v>
      </c>
      <c r="I102" s="63">
        <f>IF(H102="","",IFERROR(INDEX('Data Export'!G102:CZ102,1,MATCH(前十整体车型排名!$B$4,'Data Export'!$G$1:$CZ$1,0)),0))</f>
        <v>3</v>
      </c>
      <c r="J102" s="62" t="str">
        <f>IF(H102="","",IF(OR('Data Export'!F102="三厢轿车",'Data Export'!F102="掀背轿车",'Data Export'!F102="旅行车",'Data Export'!F102="微型车",'Data Export'!F102="硬顶跑车",'Data Export'!F102="敞蓬车",'Data Export'!F102="Targa"),"轿车",IF(OR('Data Export'!F102="小型MPV",'Data Export'!F102="客车"),"MPV",IF('Data Export'!F102="运动型多功能车","SUV","其他"))))</f>
        <v>轿车</v>
      </c>
      <c r="K102" s="62" t="str">
        <f>IF(OR(D102="",NOT(F102=1)),"",1+SUMPRODUCT(($F$2:$F$1001=1)*($D$2:$D$1001&gt;D102))+COUNTIFS($F$2:F102,1,$D$2:D102,D102)-1)</f>
        <v/>
      </c>
      <c r="L102" s="62">
        <f>IF(OR(D102="",NOT(G102="轿车")),"",1+SUMPRODUCT(($G$2:$G$1001="轿车")*($D$2:$D$1001&gt;D102))+COUNTIFS($G$2:G102,"轿车",$D$2:D102,D102)-1)</f>
        <v>59</v>
      </c>
      <c r="M102" s="62" t="str">
        <f>IF(OR(D102="",NOT(G102="MPV")),"",1+SUMPRODUCT(($G$2:$G$1001="MPV")*($D$2:$D$1001&gt;D102))+COUNTIFS($G$2:G102,"MPV",$D$2:D102,D102)-1)</f>
        <v/>
      </c>
      <c r="N102" s="62" t="str">
        <f>IF(OR(D102="",NOT(G102="SUV")),"",1+SUMPRODUCT(($G$2:$G$1001="SUV")*($D$2:$D$1001&gt;D102))+COUNTIFS($G$2:G102,"SUV",$D$2:D102,D102)-1)</f>
        <v/>
      </c>
      <c r="O102" s="62" t="str">
        <f>IF(OR(D102="",NOT(AND(F102=1,G102="轿车"))),"",1+SUMPRODUCT(($F$2:$F$1001=1)*($G$2:$G$1001="轿车")*($D$2:$D$1001&gt;D102))+COUNTIFS($F$2:F102,1,$G$2:G102,"轿车",$D$2:D102,D102)-1)</f>
        <v/>
      </c>
      <c r="P102" s="62" t="str">
        <f>IF(OR(D102="",NOT(AND(F102=1,G102="MPV"))),"",1+SUMPRODUCT(($F$2:$F$1001=1)*($G$2:$G$1001="MPV")*($D$2:$D$1001&gt;D102))+COUNTIFS($F$2:F102,1,$G$2:G102,"MPV",$D$2:D102,D102)-1)</f>
        <v/>
      </c>
      <c r="Q102" s="62" t="str">
        <f>IF(OR(D102="",NOT(AND(F102=1,G102="SUV"))),"",1+SUMPRODUCT(($F$2:$F$1001=1)*($G$2:$G$1001="SUV")*($D$2:$D$1001&gt;D102))+COUNTIFS($F$2:F102,1,$G$2:G102,"SUV",$D$2:D102,D102)-1)</f>
        <v/>
      </c>
    </row>
    <row r="103" spans="1:17">
      <c r="A103" s="62" t="str">
        <f>IFERROR(INDEX($H$2:$H$3000,MATCH(0,INDEX(COUNTIF($A$1:A102,$H$2:$H$3000)+($H$2:$H$3000=""),0,0),0)),"")</f>
        <v>FORD♦MUSTANG MACH-E</v>
      </c>
      <c r="B103" s="62" t="str">
        <f t="shared" si="4"/>
        <v>FORD</v>
      </c>
      <c r="C103" s="62" t="str">
        <f t="shared" si="5"/>
        <v>MUSTANG MACH-E</v>
      </c>
      <c r="D103" s="63">
        <f t="shared" si="6"/>
        <v>0</v>
      </c>
      <c r="E103" s="62">
        <f>IF(D103="","",_xlfn.RANK.EQ(D103,$D$2:$D$1001,0)+COUNTIF($D$2:D103,D103)-1)</f>
        <v>299</v>
      </c>
      <c r="F103" s="62">
        <f>IF(B103="","",--(COUNTIF(CN_Brands!$A$2:$A$300,UPPER(B103))&gt;0))</f>
        <v>0</v>
      </c>
      <c r="G103" s="62" t="str">
        <f t="shared" si="7"/>
        <v>SUV</v>
      </c>
      <c r="H103" s="62" t="str">
        <f>IF(AND('Data Export'!A103=前十整体车型排名!$B$2,'Data Export'!B103=前十整体车型排名!$B$3,'Data Export'!D103&lt;&gt;""),UPPER('Data Export'!C103)&amp;"♦"&amp;'Data Export'!D103,"")</f>
        <v>BMW♦I7</v>
      </c>
      <c r="I103" s="63">
        <f>IF(H103="","",IFERROR(INDEX('Data Export'!G103:CZ103,1,MATCH(前十整体车型排名!$B$4,'Data Export'!$G$1:$CZ$1,0)),0))</f>
        <v>5</v>
      </c>
      <c r="J103" s="62" t="str">
        <f>IF(H103="","",IF(OR('Data Export'!F103="三厢轿车",'Data Export'!F103="掀背轿车",'Data Export'!F103="旅行车",'Data Export'!F103="微型车",'Data Export'!F103="硬顶跑车",'Data Export'!F103="敞蓬车",'Data Export'!F103="Targa"),"轿车",IF(OR('Data Export'!F103="小型MPV",'Data Export'!F103="客车"),"MPV",IF('Data Export'!F103="运动型多功能车","SUV","其他"))))</f>
        <v>轿车</v>
      </c>
      <c r="K103" s="62" t="str">
        <f>IF(OR(D103="",NOT(F103=1)),"",1+SUMPRODUCT(($F$2:$F$1001=1)*($D$2:$D$1001&gt;D103))+COUNTIFS($F$2:F103,1,$D$2:D103,D103)-1)</f>
        <v/>
      </c>
      <c r="L103" s="62" t="str">
        <f>IF(OR(D103="",NOT(G103="轿车")),"",1+SUMPRODUCT(($G$2:$G$1001="轿车")*($D$2:$D$1001&gt;D103))+COUNTIFS($G$2:G103,"轿车",$D$2:D103,D103)-1)</f>
        <v/>
      </c>
      <c r="M103" s="62" t="str">
        <f>IF(OR(D103="",NOT(G103="MPV")),"",1+SUMPRODUCT(($G$2:$G$1001="MPV")*($D$2:$D$1001&gt;D103))+COUNTIFS($G$2:G103,"MPV",$D$2:D103,D103)-1)</f>
        <v/>
      </c>
      <c r="N103" s="62">
        <f>IF(OR(D103="",NOT(G103="SUV")),"",1+SUMPRODUCT(($G$2:$G$1001="SUV")*($D$2:$D$1001&gt;D103))+COUNTIFS($G$2:G103,"SUV",$D$2:D103,D103)-1)</f>
        <v>139</v>
      </c>
      <c r="O103" s="62" t="str">
        <f>IF(OR(D103="",NOT(AND(F103=1,G103="轿车"))),"",1+SUMPRODUCT(($F$2:$F$1001=1)*($G$2:$G$1001="轿车")*($D$2:$D$1001&gt;D103))+COUNTIFS($F$2:F103,1,$G$2:G103,"轿车",$D$2:D103,D103)-1)</f>
        <v/>
      </c>
      <c r="P103" s="62" t="str">
        <f>IF(OR(D103="",NOT(AND(F103=1,G103="MPV"))),"",1+SUMPRODUCT(($F$2:$F$1001=1)*($G$2:$G$1001="MPV")*($D$2:$D$1001&gt;D103))+COUNTIFS($F$2:F103,1,$G$2:G103,"MPV",$D$2:D103,D103)-1)</f>
        <v/>
      </c>
      <c r="Q103" s="62" t="str">
        <f>IF(OR(D103="",NOT(AND(F103=1,G103="SUV"))),"",1+SUMPRODUCT(($F$2:$F$1001=1)*($G$2:$G$1001="SUV")*($D$2:$D$1001&gt;D103))+COUNTIFS($F$2:F103,1,$G$2:G103,"SUV",$D$2:D103,D103)-1)</f>
        <v/>
      </c>
    </row>
    <row r="104" spans="1:17">
      <c r="A104" s="62" t="str">
        <f>IFERROR(INDEX($H$2:$H$3000,MATCH(0,INDEX(COUNTIF($A$1:A103,$H$2:$H$3000)+($H$2:$H$3000=""),0,0),0)),"")</f>
        <v>FOTON♦OTHER</v>
      </c>
      <c r="B104" s="62" t="str">
        <f t="shared" si="4"/>
        <v>FOTON</v>
      </c>
      <c r="C104" s="62" t="str">
        <f t="shared" si="5"/>
        <v>OTHER</v>
      </c>
      <c r="D104" s="63">
        <f t="shared" si="6"/>
        <v>1</v>
      </c>
      <c r="E104" s="62">
        <f>IF(D104="","",_xlfn.RANK.EQ(D104,$D$2:$D$1001,0)+COUNTIF($D$2:D104,D104)-1)</f>
        <v>233</v>
      </c>
      <c r="F104" s="62">
        <f>IF(B104="","",--(COUNTIF(CN_Brands!$A$2:$A$300,UPPER(B104))&gt;0))</f>
        <v>1</v>
      </c>
      <c r="G104" s="62" t="str">
        <f t="shared" si="7"/>
        <v>其他</v>
      </c>
      <c r="H104" s="62" t="str">
        <f>IF(AND('Data Export'!A104=前十整体车型排名!$B$2,'Data Export'!B104=前十整体车型排名!$B$3,'Data Export'!D104&lt;&gt;""),UPPER('Data Export'!C104)&amp;"♦"&amp;'Data Export'!D104,"")</f>
        <v>BMW♦IX</v>
      </c>
      <c r="I104" s="63">
        <f>IF(H104="","",IFERROR(INDEX('Data Export'!G104:CZ104,1,MATCH(前十整体车型排名!$B$4,'Data Export'!$G$1:$CZ$1,0)),0))</f>
        <v>0</v>
      </c>
      <c r="J104" s="62" t="str">
        <f>IF(H104="","",IF(OR('Data Export'!F104="三厢轿车",'Data Export'!F104="掀背轿车",'Data Export'!F104="旅行车",'Data Export'!F104="微型车",'Data Export'!F104="硬顶跑车",'Data Export'!F104="敞蓬车",'Data Export'!F104="Targa"),"轿车",IF(OR('Data Export'!F104="小型MPV",'Data Export'!F104="客车"),"MPV",IF('Data Export'!F104="运动型多功能车","SUV","其他"))))</f>
        <v>SUV</v>
      </c>
      <c r="K104" s="62">
        <f>IF(OR(D104="",NOT(F104=1)),"",1+SUMPRODUCT(($F$2:$F$1001=1)*($D$2:$D$1001&gt;D104))+COUNTIFS($F$2:F104,1,$D$2:D104,D104)-1)</f>
        <v>67</v>
      </c>
      <c r="L104" s="62" t="str">
        <f>IF(OR(D104="",NOT(G104="轿车")),"",1+SUMPRODUCT(($G$2:$G$1001="轿车")*($D$2:$D$1001&gt;D104))+COUNTIFS($G$2:G104,"轿车",$D$2:D104,D104)-1)</f>
        <v/>
      </c>
      <c r="M104" s="62" t="str">
        <f>IF(OR(D104="",NOT(G104="MPV")),"",1+SUMPRODUCT(($G$2:$G$1001="MPV")*($D$2:$D$1001&gt;D104))+COUNTIFS($G$2:G104,"MPV",$D$2:D104,D104)-1)</f>
        <v/>
      </c>
      <c r="N104" s="62" t="str">
        <f>IF(OR(D104="",NOT(G104="SUV")),"",1+SUMPRODUCT(($G$2:$G$1001="SUV")*($D$2:$D$1001&gt;D104))+COUNTIFS($G$2:G104,"SUV",$D$2:D104,D104)-1)</f>
        <v/>
      </c>
      <c r="O104" s="62" t="str">
        <f>IF(OR(D104="",NOT(AND(F104=1,G104="轿车"))),"",1+SUMPRODUCT(($F$2:$F$1001=1)*($G$2:$G$1001="轿车")*($D$2:$D$1001&gt;D104))+COUNTIFS($F$2:F104,1,$G$2:G104,"轿车",$D$2:D104,D104)-1)</f>
        <v/>
      </c>
      <c r="P104" s="62" t="str">
        <f>IF(OR(D104="",NOT(AND(F104=1,G104="MPV"))),"",1+SUMPRODUCT(($F$2:$F$1001=1)*($G$2:$G$1001="MPV")*($D$2:$D$1001&gt;D104))+COUNTIFS($F$2:F104,1,$G$2:G104,"MPV",$D$2:D104,D104)-1)</f>
        <v/>
      </c>
      <c r="Q104" s="62" t="str">
        <f>IF(OR(D104="",NOT(AND(F104=1,G104="SUV"))),"",1+SUMPRODUCT(($F$2:$F$1001=1)*($G$2:$G$1001="SUV")*($D$2:$D$1001&gt;D104))+COUNTIFS($F$2:F104,1,$G$2:G104,"SUV",$D$2:D104,D104)-1)</f>
        <v/>
      </c>
    </row>
    <row r="105" spans="1:17">
      <c r="A105" s="62" t="str">
        <f>IFERROR(INDEX($H$2:$H$3000,MATCH(0,INDEX(COUNTIF($A$1:A104,$H$2:$H$3000)+($H$2:$H$3000=""),0,0),0)),"")</f>
        <v>GAC♦M8</v>
      </c>
      <c r="B105" s="62" t="str">
        <f t="shared" si="4"/>
        <v>GAC</v>
      </c>
      <c r="C105" s="62" t="str">
        <f t="shared" si="5"/>
        <v>M8</v>
      </c>
      <c r="D105" s="63">
        <f t="shared" si="6"/>
        <v>29</v>
      </c>
      <c r="E105" s="62">
        <f>IF(D105="","",_xlfn.RANK.EQ(D105,$D$2:$D$1001,0)+COUNTIF($D$2:D105,D105)-1)</f>
        <v>110</v>
      </c>
      <c r="F105" s="62">
        <f>IF(B105="","",--(COUNTIF(CN_Brands!$A$2:$A$300,UPPER(B105))&gt;0))</f>
        <v>1</v>
      </c>
      <c r="G105" s="62" t="str">
        <f t="shared" si="7"/>
        <v>其他</v>
      </c>
      <c r="H105" s="62" t="str">
        <f>IF(AND('Data Export'!A105=前十整体车型排名!$B$2,'Data Export'!B105=前十整体车型排名!$B$3,'Data Export'!D105&lt;&gt;""),UPPER('Data Export'!C105)&amp;"♦"&amp;'Data Export'!D105,"")</f>
        <v>BMW♦IX</v>
      </c>
      <c r="I105" s="63">
        <f>IF(H105="","",IFERROR(INDEX('Data Export'!G105:CZ105,1,MATCH(前十整体车型排名!$B$4,'Data Export'!$G$1:$CZ$1,0)),0))</f>
        <v>0</v>
      </c>
      <c r="J105" s="62" t="str">
        <f>IF(H105="","",IF(OR('Data Export'!F105="三厢轿车",'Data Export'!F105="掀背轿车",'Data Export'!F105="旅行车",'Data Export'!F105="微型车",'Data Export'!F105="硬顶跑车",'Data Export'!F105="敞蓬车",'Data Export'!F105="Targa"),"轿车",IF(OR('Data Export'!F105="小型MPV",'Data Export'!F105="客车"),"MPV",IF('Data Export'!F105="运动型多功能车","SUV","其他"))))</f>
        <v>SUV</v>
      </c>
      <c r="K105" s="62">
        <f>IF(OR(D105="",NOT(F105=1)),"",1+SUMPRODUCT(($F$2:$F$1001=1)*($D$2:$D$1001&gt;D105))+COUNTIFS($F$2:F105,1,$D$2:D105,D105)-1)</f>
        <v>48</v>
      </c>
      <c r="L105" s="62" t="str">
        <f>IF(OR(D105="",NOT(G105="轿车")),"",1+SUMPRODUCT(($G$2:$G$1001="轿车")*($D$2:$D$1001&gt;D105))+COUNTIFS($G$2:G105,"轿车",$D$2:D105,D105)-1)</f>
        <v/>
      </c>
      <c r="M105" s="62" t="str">
        <f>IF(OR(D105="",NOT(G105="MPV")),"",1+SUMPRODUCT(($G$2:$G$1001="MPV")*($D$2:$D$1001&gt;D105))+COUNTIFS($G$2:G105,"MPV",$D$2:D105,D105)-1)</f>
        <v/>
      </c>
      <c r="N105" s="62" t="str">
        <f>IF(OR(D105="",NOT(G105="SUV")),"",1+SUMPRODUCT(($G$2:$G$1001="SUV")*($D$2:$D$1001&gt;D105))+COUNTIFS($G$2:G105,"SUV",$D$2:D105,D105)-1)</f>
        <v/>
      </c>
      <c r="O105" s="62" t="str">
        <f>IF(OR(D105="",NOT(AND(F105=1,G105="轿车"))),"",1+SUMPRODUCT(($F$2:$F$1001=1)*($G$2:$G$1001="轿车")*($D$2:$D$1001&gt;D105))+COUNTIFS($F$2:F105,1,$G$2:G105,"轿车",$D$2:D105,D105)-1)</f>
        <v/>
      </c>
      <c r="P105" s="62" t="str">
        <f>IF(OR(D105="",NOT(AND(F105=1,G105="MPV"))),"",1+SUMPRODUCT(($F$2:$F$1001=1)*($G$2:$G$1001="MPV")*($D$2:$D$1001&gt;D105))+COUNTIFS($F$2:F105,1,$G$2:G105,"MPV",$D$2:D105,D105)-1)</f>
        <v/>
      </c>
      <c r="Q105" s="62" t="str">
        <f>IF(OR(D105="",NOT(AND(F105=1,G105="SUV"))),"",1+SUMPRODUCT(($F$2:$F$1001=1)*($G$2:$G$1001="SUV")*($D$2:$D$1001&gt;D105))+COUNTIFS($F$2:F105,1,$G$2:G105,"SUV",$D$2:D105,D105)-1)</f>
        <v/>
      </c>
    </row>
    <row r="106" spans="1:17">
      <c r="A106" s="62" t="str">
        <f>IFERROR(INDEX($H$2:$H$3000,MATCH(0,INDEX(COUNTIF($A$1:A105,$H$2:$H$3000)+($H$2:$H$3000=""),0,0),0)),"")</f>
        <v>GEELY♦EX2</v>
      </c>
      <c r="B106" s="62" t="str">
        <f t="shared" si="4"/>
        <v>GEELY</v>
      </c>
      <c r="C106" s="62" t="str">
        <f t="shared" si="5"/>
        <v>EX2</v>
      </c>
      <c r="D106" s="63">
        <f t="shared" si="6"/>
        <v>2640</v>
      </c>
      <c r="E106" s="62">
        <f>IF(D106="","",_xlfn.RANK.EQ(D106,$D$2:$D$1001,0)+COUNTIF($D$2:D106,D106)-1)</f>
        <v>3</v>
      </c>
      <c r="F106" s="62">
        <f>IF(B106="","",--(COUNTIF(CN_Brands!$A$2:$A$300,UPPER(B106))&gt;0))</f>
        <v>1</v>
      </c>
      <c r="G106" s="62" t="str">
        <f t="shared" si="7"/>
        <v>轿车</v>
      </c>
      <c r="H106" s="62" t="str">
        <f>IF(AND('Data Export'!A106=前十整体车型排名!$B$2,'Data Export'!B106=前十整体车型排名!$B$3,'Data Export'!D106&lt;&gt;""),UPPER('Data Export'!C106)&amp;"♦"&amp;'Data Export'!D106,"")</f>
        <v>BMW♦IX</v>
      </c>
      <c r="I106" s="63">
        <f>IF(H106="","",IFERROR(INDEX('Data Export'!G106:CZ106,1,MATCH(前十整体车型排名!$B$4,'Data Export'!$G$1:$CZ$1,0)),0))</f>
        <v>0</v>
      </c>
      <c r="J106" s="62" t="str">
        <f>IF(H106="","",IF(OR('Data Export'!F106="三厢轿车",'Data Export'!F106="掀背轿车",'Data Export'!F106="旅行车",'Data Export'!F106="微型车",'Data Export'!F106="硬顶跑车",'Data Export'!F106="敞蓬车",'Data Export'!F106="Targa"),"轿车",IF(OR('Data Export'!F106="小型MPV",'Data Export'!F106="客车"),"MPV",IF('Data Export'!F106="运动型多功能车","SUV","其他"))))</f>
        <v>SUV</v>
      </c>
      <c r="K106" s="62">
        <f>IF(OR(D106="",NOT(F106=1)),"",1+SUMPRODUCT(($F$2:$F$1001=1)*($D$2:$D$1001&gt;D106))+COUNTIFS($F$2:F106,1,$D$2:D106,D106)-1)</f>
        <v>1</v>
      </c>
      <c r="L106" s="62">
        <f>IF(OR(D106="",NOT(G106="轿车")),"",1+SUMPRODUCT(($G$2:$G$1001="轿车")*($D$2:$D$1001&gt;D106))+COUNTIFS($G$2:G106,"轿车",$D$2:D106,D106)-1)</f>
        <v>2</v>
      </c>
      <c r="M106" s="62" t="str">
        <f>IF(OR(D106="",NOT(G106="MPV")),"",1+SUMPRODUCT(($G$2:$G$1001="MPV")*($D$2:$D$1001&gt;D106))+COUNTIFS($G$2:G106,"MPV",$D$2:D106,D106)-1)</f>
        <v/>
      </c>
      <c r="N106" s="62" t="str">
        <f>IF(OR(D106="",NOT(G106="SUV")),"",1+SUMPRODUCT(($G$2:$G$1001="SUV")*($D$2:$D$1001&gt;D106))+COUNTIFS($G$2:G106,"SUV",$D$2:D106,D106)-1)</f>
        <v/>
      </c>
      <c r="O106" s="62">
        <f>IF(OR(D106="",NOT(AND(F106=1,G106="轿车"))),"",1+SUMPRODUCT(($F$2:$F$1001=1)*($G$2:$G$1001="轿车")*($D$2:$D$1001&gt;D106))+COUNTIFS($F$2:F106,1,$G$2:G106,"轿车",$D$2:D106,D106)-1)</f>
        <v>1</v>
      </c>
      <c r="P106" s="62" t="str">
        <f>IF(OR(D106="",NOT(AND(F106=1,G106="MPV"))),"",1+SUMPRODUCT(($F$2:$F$1001=1)*($G$2:$G$1001="MPV")*($D$2:$D$1001&gt;D106))+COUNTIFS($F$2:F106,1,$G$2:G106,"MPV",$D$2:D106,D106)-1)</f>
        <v/>
      </c>
      <c r="Q106" s="62" t="str">
        <f>IF(OR(D106="",NOT(AND(F106=1,G106="SUV"))),"",1+SUMPRODUCT(($F$2:$F$1001=1)*($G$2:$G$1001="SUV")*($D$2:$D$1001&gt;D106))+COUNTIFS($F$2:F106,1,$G$2:G106,"SUV",$D$2:D106,D106)-1)</f>
        <v/>
      </c>
    </row>
    <row r="107" spans="1:17">
      <c r="A107" s="62" t="str">
        <f>IFERROR(INDEX($H$2:$H$3000,MATCH(0,INDEX(COUNTIF($A$1:A106,$H$2:$H$3000)+($H$2:$H$3000=""),0,0),0)),"")</f>
        <v>GEELY♦EX5</v>
      </c>
      <c r="B107" s="62" t="str">
        <f t="shared" si="4"/>
        <v>GEELY</v>
      </c>
      <c r="C107" s="62" t="str">
        <f t="shared" si="5"/>
        <v>EX5</v>
      </c>
      <c r="D107" s="63">
        <f t="shared" si="6"/>
        <v>371</v>
      </c>
      <c r="E107" s="62">
        <f>IF(D107="","",_xlfn.RANK.EQ(D107,$D$2:$D$1001,0)+COUNTIF($D$2:D107,D107)-1)</f>
        <v>33</v>
      </c>
      <c r="F107" s="62">
        <f>IF(B107="","",--(COUNTIF(CN_Brands!$A$2:$A$300,UPPER(B107))&gt;0))</f>
        <v>1</v>
      </c>
      <c r="G107" s="62" t="str">
        <f t="shared" si="7"/>
        <v>SUV</v>
      </c>
      <c r="H107" s="62" t="str">
        <f>IF(AND('Data Export'!A107=前十整体车型排名!$B$2,'Data Export'!B107=前十整体车型排名!$B$3,'Data Export'!D107&lt;&gt;""),UPPER('Data Export'!C107)&amp;"♦"&amp;'Data Export'!D107,"")</f>
        <v>BMW♦IX</v>
      </c>
      <c r="I107" s="63">
        <f>IF(H107="","",IFERROR(INDEX('Data Export'!G107:CZ107,1,MATCH(前十整体车型排名!$B$4,'Data Export'!$G$1:$CZ$1,0)),0))</f>
        <v>0</v>
      </c>
      <c r="J107" s="62" t="str">
        <f>IF(H107="","",IF(OR('Data Export'!F107="三厢轿车",'Data Export'!F107="掀背轿车",'Data Export'!F107="旅行车",'Data Export'!F107="微型车",'Data Export'!F107="硬顶跑车",'Data Export'!F107="敞蓬车",'Data Export'!F107="Targa"),"轿车",IF(OR('Data Export'!F107="小型MPV",'Data Export'!F107="客车"),"MPV",IF('Data Export'!F107="运动型多功能车","SUV","其他"))))</f>
        <v>SUV</v>
      </c>
      <c r="K107" s="62">
        <f>IF(OR(D107="",NOT(F107=1)),"",1+SUMPRODUCT(($F$2:$F$1001=1)*($D$2:$D$1001&gt;D107))+COUNTIFS($F$2:F107,1,$D$2:D107,D107)-1)</f>
        <v>16</v>
      </c>
      <c r="L107" s="62" t="str">
        <f>IF(OR(D107="",NOT(G107="轿车")),"",1+SUMPRODUCT(($G$2:$G$1001="轿车")*($D$2:$D$1001&gt;D107))+COUNTIFS($G$2:G107,"轿车",$D$2:D107,D107)-1)</f>
        <v/>
      </c>
      <c r="M107" s="62" t="str">
        <f>IF(OR(D107="",NOT(G107="MPV")),"",1+SUMPRODUCT(($G$2:$G$1001="MPV")*($D$2:$D$1001&gt;D107))+COUNTIFS($G$2:G107,"MPV",$D$2:D107,D107)-1)</f>
        <v/>
      </c>
      <c r="N107" s="62">
        <f>IF(OR(D107="",NOT(G107="SUV")),"",1+SUMPRODUCT(($G$2:$G$1001="SUV")*($D$2:$D$1001&gt;D107))+COUNTIFS($G$2:G107,"SUV",$D$2:D107,D107)-1)</f>
        <v>22</v>
      </c>
      <c r="O107" s="62" t="str">
        <f>IF(OR(D107="",NOT(AND(F107=1,G107="轿车"))),"",1+SUMPRODUCT(($F$2:$F$1001=1)*($G$2:$G$1001="轿车")*($D$2:$D$1001&gt;D107))+COUNTIFS($F$2:F107,1,$G$2:G107,"轿车",$D$2:D107,D107)-1)</f>
        <v/>
      </c>
      <c r="P107" s="62" t="str">
        <f>IF(OR(D107="",NOT(AND(F107=1,G107="MPV"))),"",1+SUMPRODUCT(($F$2:$F$1001=1)*($G$2:$G$1001="MPV")*($D$2:$D$1001&gt;D107))+COUNTIFS($F$2:F107,1,$G$2:G107,"MPV",$D$2:D107,D107)-1)</f>
        <v/>
      </c>
      <c r="Q107" s="62">
        <f>IF(OR(D107="",NOT(AND(F107=1,G107="SUV"))),"",1+SUMPRODUCT(($F$2:$F$1001=1)*($G$2:$G$1001="SUV")*($D$2:$D$1001&gt;D107))+COUNTIFS($F$2:F107,1,$G$2:G107,"SUV",$D$2:D107,D107)-1)</f>
        <v>12</v>
      </c>
    </row>
    <row r="108" spans="1:17">
      <c r="A108" s="62" t="str">
        <f>IFERROR(INDEX($H$2:$H$3000,MATCH(0,INDEX(COUNTIF($A$1:A107,$H$2:$H$3000)+($H$2:$H$3000=""),0,0),0)),"")</f>
        <v>GMC♦HUMMER EV</v>
      </c>
      <c r="B108" s="62" t="str">
        <f t="shared" si="4"/>
        <v>GMC</v>
      </c>
      <c r="C108" s="62" t="str">
        <f t="shared" si="5"/>
        <v>HUMMER EV</v>
      </c>
      <c r="D108" s="63">
        <f t="shared" si="6"/>
        <v>0</v>
      </c>
      <c r="E108" s="62">
        <f>IF(D108="","",_xlfn.RANK.EQ(D108,$D$2:$D$1001,0)+COUNTIF($D$2:D108,D108)-1)</f>
        <v>300</v>
      </c>
      <c r="F108" s="62">
        <f>IF(B108="","",--(COUNTIF(CN_Brands!$A$2:$A$300,UPPER(B108))&gt;0))</f>
        <v>0</v>
      </c>
      <c r="G108" s="62" t="str">
        <f t="shared" si="7"/>
        <v>其他</v>
      </c>
      <c r="H108" s="62" t="str">
        <f>IF(AND('Data Export'!A108=前十整体车型排名!$B$2,'Data Export'!B108=前十整体车型排名!$B$3,'Data Export'!D108&lt;&gt;""),UPPER('Data Export'!C108)&amp;"♦"&amp;'Data Export'!D108,"")</f>
        <v>BMW♦IX1</v>
      </c>
      <c r="I108" s="63">
        <f>IF(H108="","",IFERROR(INDEX('Data Export'!G108:CZ108,1,MATCH(前十整体车型排名!$B$4,'Data Export'!$G$1:$CZ$1,0)),0))</f>
        <v>61</v>
      </c>
      <c r="J108" s="62" t="str">
        <f>IF(H108="","",IF(OR('Data Export'!F108="三厢轿车",'Data Export'!F108="掀背轿车",'Data Export'!F108="旅行车",'Data Export'!F108="微型车",'Data Export'!F108="硬顶跑车",'Data Export'!F108="敞蓬车",'Data Export'!F108="Targa"),"轿车",IF(OR('Data Export'!F108="小型MPV",'Data Export'!F108="客车"),"MPV",IF('Data Export'!F108="运动型多功能车","SUV","其他"))))</f>
        <v>SUV</v>
      </c>
      <c r="K108" s="62" t="str">
        <f>IF(OR(D108="",NOT(F108=1)),"",1+SUMPRODUCT(($F$2:$F$1001=1)*($D$2:$D$1001&gt;D108))+COUNTIFS($F$2:F108,1,$D$2:D108,D108)-1)</f>
        <v/>
      </c>
      <c r="L108" s="62" t="str">
        <f>IF(OR(D108="",NOT(G108="轿车")),"",1+SUMPRODUCT(($G$2:$G$1001="轿车")*($D$2:$D$1001&gt;D108))+COUNTIFS($G$2:G108,"轿车",$D$2:D108,D108)-1)</f>
        <v/>
      </c>
      <c r="M108" s="62" t="str">
        <f>IF(OR(D108="",NOT(G108="MPV")),"",1+SUMPRODUCT(($G$2:$G$1001="MPV")*($D$2:$D$1001&gt;D108))+COUNTIFS($G$2:G108,"MPV",$D$2:D108,D108)-1)</f>
        <v/>
      </c>
      <c r="N108" s="62" t="str">
        <f>IF(OR(D108="",NOT(G108="SUV")),"",1+SUMPRODUCT(($G$2:$G$1001="SUV")*($D$2:$D$1001&gt;D108))+COUNTIFS($G$2:G108,"SUV",$D$2:D108,D108)-1)</f>
        <v/>
      </c>
      <c r="O108" s="62" t="str">
        <f>IF(OR(D108="",NOT(AND(F108=1,G108="轿车"))),"",1+SUMPRODUCT(($F$2:$F$1001=1)*($G$2:$G$1001="轿车")*($D$2:$D$1001&gt;D108))+COUNTIFS($F$2:F108,1,$G$2:G108,"轿车",$D$2:D108,D108)-1)</f>
        <v/>
      </c>
      <c r="P108" s="62" t="str">
        <f>IF(OR(D108="",NOT(AND(F108=1,G108="MPV"))),"",1+SUMPRODUCT(($F$2:$F$1001=1)*($G$2:$G$1001="MPV")*($D$2:$D$1001&gt;D108))+COUNTIFS($F$2:F108,1,$G$2:G108,"MPV",$D$2:D108,D108)-1)</f>
        <v/>
      </c>
      <c r="Q108" s="62" t="str">
        <f>IF(OR(D108="",NOT(AND(F108=1,G108="SUV"))),"",1+SUMPRODUCT(($F$2:$F$1001=1)*($G$2:$G$1001="SUV")*($D$2:$D$1001&gt;D108))+COUNTIFS($F$2:F108,1,$G$2:G108,"SUV",$D$2:D108,D108)-1)</f>
        <v/>
      </c>
    </row>
    <row r="109" spans="1:17">
      <c r="A109" s="62" t="str">
        <f>IFERROR(INDEX($H$2:$H$3000,MATCH(0,INDEX(COUNTIF($A$1:A108,$H$2:$H$3000)+($H$2:$H$3000=""),0,0),0)),"")</f>
        <v>GMC♦YUKON</v>
      </c>
      <c r="B109" s="62" t="str">
        <f t="shared" si="4"/>
        <v>GMC</v>
      </c>
      <c r="C109" s="62" t="str">
        <f t="shared" si="5"/>
        <v>YUKON</v>
      </c>
      <c r="D109" s="63">
        <f t="shared" si="6"/>
        <v>0</v>
      </c>
      <c r="E109" s="62">
        <f>IF(D109="","",_xlfn.RANK.EQ(D109,$D$2:$D$1001,0)+COUNTIF($D$2:D109,D109)-1)</f>
        <v>301</v>
      </c>
      <c r="F109" s="62">
        <f>IF(B109="","",--(COUNTIF(CN_Brands!$A$2:$A$300,UPPER(B109))&gt;0))</f>
        <v>0</v>
      </c>
      <c r="G109" s="62" t="str">
        <f t="shared" si="7"/>
        <v>SUV</v>
      </c>
      <c r="H109" s="62" t="str">
        <f>IF(AND('Data Export'!A109=前十整体车型排名!$B$2,'Data Export'!B109=前十整体车型排名!$B$3,'Data Export'!D109&lt;&gt;""),UPPER('Data Export'!C109)&amp;"♦"&amp;'Data Export'!D109,"")</f>
        <v>BMW♦IX2</v>
      </c>
      <c r="I109" s="63">
        <f>IF(H109="","",IFERROR(INDEX('Data Export'!G109:CZ109,1,MATCH(前十整体车型排名!$B$4,'Data Export'!$G$1:$CZ$1,0)),0))</f>
        <v>1</v>
      </c>
      <c r="J109" s="62" t="str">
        <f>IF(H109="","",IF(OR('Data Export'!F109="三厢轿车",'Data Export'!F109="掀背轿车",'Data Export'!F109="旅行车",'Data Export'!F109="微型车",'Data Export'!F109="硬顶跑车",'Data Export'!F109="敞蓬车",'Data Export'!F109="Targa"),"轿车",IF(OR('Data Export'!F109="小型MPV",'Data Export'!F109="客车"),"MPV",IF('Data Export'!F109="运动型多功能车","SUV","其他"))))</f>
        <v>SUV</v>
      </c>
      <c r="K109" s="62" t="str">
        <f>IF(OR(D109="",NOT(F109=1)),"",1+SUMPRODUCT(($F$2:$F$1001=1)*($D$2:$D$1001&gt;D109))+COUNTIFS($F$2:F109,1,$D$2:D109,D109)-1)</f>
        <v/>
      </c>
      <c r="L109" s="62" t="str">
        <f>IF(OR(D109="",NOT(G109="轿车")),"",1+SUMPRODUCT(($G$2:$G$1001="轿车")*($D$2:$D$1001&gt;D109))+COUNTIFS($G$2:G109,"轿车",$D$2:D109,D109)-1)</f>
        <v/>
      </c>
      <c r="M109" s="62" t="str">
        <f>IF(OR(D109="",NOT(G109="MPV")),"",1+SUMPRODUCT(($G$2:$G$1001="MPV")*($D$2:$D$1001&gt;D109))+COUNTIFS($G$2:G109,"MPV",$D$2:D109,D109)-1)</f>
        <v/>
      </c>
      <c r="N109" s="62">
        <f>IF(OR(D109="",NOT(G109="SUV")),"",1+SUMPRODUCT(($G$2:$G$1001="SUV")*($D$2:$D$1001&gt;D109))+COUNTIFS($G$2:G109,"SUV",$D$2:D109,D109)-1)</f>
        <v>140</v>
      </c>
      <c r="O109" s="62" t="str">
        <f>IF(OR(D109="",NOT(AND(F109=1,G109="轿车"))),"",1+SUMPRODUCT(($F$2:$F$1001=1)*($G$2:$G$1001="轿车")*($D$2:$D$1001&gt;D109))+COUNTIFS($F$2:F109,1,$G$2:G109,"轿车",$D$2:D109,D109)-1)</f>
        <v/>
      </c>
      <c r="P109" s="62" t="str">
        <f>IF(OR(D109="",NOT(AND(F109=1,G109="MPV"))),"",1+SUMPRODUCT(($F$2:$F$1001=1)*($G$2:$G$1001="MPV")*($D$2:$D$1001&gt;D109))+COUNTIFS($F$2:F109,1,$G$2:G109,"MPV",$D$2:D109,D109)-1)</f>
        <v/>
      </c>
      <c r="Q109" s="62" t="str">
        <f>IF(OR(D109="",NOT(AND(F109=1,G109="SUV"))),"",1+SUMPRODUCT(($F$2:$F$1001=1)*($G$2:$G$1001="SUV")*($D$2:$D$1001&gt;D109))+COUNTIFS($F$2:F109,1,$G$2:G109,"SUV",$D$2:D109,D109)-1)</f>
        <v/>
      </c>
    </row>
    <row r="110" spans="1:17">
      <c r="A110" s="62" t="str">
        <f>IFERROR(INDEX($H$2:$H$3000,MATCH(0,INDEX(COUNTIF($A$1:A109,$H$2:$H$3000)+($H$2:$H$3000=""),0,0),0)),"")</f>
        <v>GWM♦ORA 5</v>
      </c>
      <c r="B110" s="62" t="str">
        <f t="shared" si="4"/>
        <v>GWM</v>
      </c>
      <c r="C110" s="62" t="str">
        <f t="shared" si="5"/>
        <v>ORA 5</v>
      </c>
      <c r="D110" s="63">
        <f t="shared" si="6"/>
        <v>1399</v>
      </c>
      <c r="E110" s="62">
        <f>IF(D110="","",_xlfn.RANK.EQ(D110,$D$2:$D$1001,0)+COUNTIF($D$2:D110,D110)-1)</f>
        <v>8</v>
      </c>
      <c r="F110" s="62">
        <f>IF(B110="","",--(COUNTIF(CN_Brands!$A$2:$A$300,UPPER(B110))&gt;0))</f>
        <v>1</v>
      </c>
      <c r="G110" s="62" t="str">
        <f t="shared" si="7"/>
        <v>SUV</v>
      </c>
      <c r="H110" s="62" t="str">
        <f>IF(AND('Data Export'!A110=前十整体车型排名!$B$2,'Data Export'!B110=前十整体车型排名!$B$3,'Data Export'!D110&lt;&gt;""),UPPER('Data Export'!C110)&amp;"♦"&amp;'Data Export'!D110,"")</f>
        <v>BMW♦IX3</v>
      </c>
      <c r="I110" s="63">
        <f>IF(H110="","",IFERROR(INDEX('Data Export'!G110:CZ110,1,MATCH(前十整体车型排名!$B$4,'Data Export'!$G$1:$CZ$1,0)),0))</f>
        <v>8</v>
      </c>
      <c r="J110" s="62" t="str">
        <f>IF(H110="","",IF(OR('Data Export'!F110="三厢轿车",'Data Export'!F110="掀背轿车",'Data Export'!F110="旅行车",'Data Export'!F110="微型车",'Data Export'!F110="硬顶跑车",'Data Export'!F110="敞蓬车",'Data Export'!F110="Targa"),"轿车",IF(OR('Data Export'!F110="小型MPV",'Data Export'!F110="客车"),"MPV",IF('Data Export'!F110="运动型多功能车","SUV","其他"))))</f>
        <v>SUV</v>
      </c>
      <c r="K110" s="62">
        <f>IF(OR(D110="",NOT(F110=1)),"",1+SUMPRODUCT(($F$2:$F$1001=1)*($D$2:$D$1001&gt;D110))+COUNTIFS($F$2:F110,1,$D$2:D110,D110)-1)</f>
        <v>4</v>
      </c>
      <c r="L110" s="62" t="str">
        <f>IF(OR(D110="",NOT(G110="轿车")),"",1+SUMPRODUCT(($G$2:$G$1001="轿车")*($D$2:$D$1001&gt;D110))+COUNTIFS($G$2:G110,"轿车",$D$2:D110,D110)-1)</f>
        <v/>
      </c>
      <c r="M110" s="62" t="str">
        <f>IF(OR(D110="",NOT(G110="MPV")),"",1+SUMPRODUCT(($G$2:$G$1001="MPV")*($D$2:$D$1001&gt;D110))+COUNTIFS($G$2:G110,"MPV",$D$2:D110,D110)-1)</f>
        <v/>
      </c>
      <c r="N110" s="62">
        <f>IF(OR(D110="",NOT(G110="SUV")),"",1+SUMPRODUCT(($G$2:$G$1001="SUV")*($D$2:$D$1001&gt;D110))+COUNTIFS($G$2:G110,"SUV",$D$2:D110,D110)-1)</f>
        <v>6</v>
      </c>
      <c r="O110" s="62" t="str">
        <f>IF(OR(D110="",NOT(AND(F110=1,G110="轿车"))),"",1+SUMPRODUCT(($F$2:$F$1001=1)*($G$2:$G$1001="轿车")*($D$2:$D$1001&gt;D110))+COUNTIFS($F$2:F110,1,$G$2:G110,"轿车",$D$2:D110,D110)-1)</f>
        <v/>
      </c>
      <c r="P110" s="62" t="str">
        <f>IF(OR(D110="",NOT(AND(F110=1,G110="MPV"))),"",1+SUMPRODUCT(($F$2:$F$1001=1)*($G$2:$G$1001="MPV")*($D$2:$D$1001&gt;D110))+COUNTIFS($F$2:F110,1,$G$2:G110,"MPV",$D$2:D110,D110)-1)</f>
        <v/>
      </c>
      <c r="Q110" s="62">
        <f>IF(OR(D110="",NOT(AND(F110=1,G110="SUV"))),"",1+SUMPRODUCT(($F$2:$F$1001=1)*($G$2:$G$1001="SUV")*($D$2:$D$1001&gt;D110))+COUNTIFS($F$2:F110,1,$G$2:G110,"SUV",$D$2:D110,D110)-1)</f>
        <v>3</v>
      </c>
    </row>
    <row r="111" spans="1:17">
      <c r="A111" s="62" t="str">
        <f>IFERROR(INDEX($H$2:$H$3000,MATCH(0,INDEX(COUNTIF($A$1:A110,$H$2:$H$3000)+($H$2:$H$3000=""),0,0),0)),"")</f>
        <v>GWM♦TANK 300</v>
      </c>
      <c r="B111" s="62" t="str">
        <f t="shared" si="4"/>
        <v>GWM</v>
      </c>
      <c r="C111" s="62" t="str">
        <f t="shared" si="5"/>
        <v>TANK 300</v>
      </c>
      <c r="D111" s="63">
        <f t="shared" si="6"/>
        <v>468</v>
      </c>
      <c r="E111" s="62">
        <f>IF(D111="","",_xlfn.RANK.EQ(D111,$D$2:$D$1001,0)+COUNTIF($D$2:D111,D111)-1)</f>
        <v>27</v>
      </c>
      <c r="F111" s="62">
        <f>IF(B111="","",--(COUNTIF(CN_Brands!$A$2:$A$300,UPPER(B111))&gt;0))</f>
        <v>1</v>
      </c>
      <c r="G111" s="62" t="str">
        <f t="shared" si="7"/>
        <v>SUV</v>
      </c>
      <c r="H111" s="62" t="str">
        <f>IF(AND('Data Export'!A111=前十整体车型排名!$B$2,'Data Export'!B111=前十整体车型排名!$B$3,'Data Export'!D111&lt;&gt;""),UPPER('Data Export'!C111)&amp;"♦"&amp;'Data Export'!D111,"")</f>
        <v>BMW♦IX3</v>
      </c>
      <c r="I111" s="63">
        <f>IF(H111="","",IFERROR(INDEX('Data Export'!G111:CZ111,1,MATCH(前十整体车型排名!$B$4,'Data Export'!$G$1:$CZ$1,0)),0))</f>
        <v>0</v>
      </c>
      <c r="J111" s="62" t="str">
        <f>IF(H111="","",IF(OR('Data Export'!F111="三厢轿车",'Data Export'!F111="掀背轿车",'Data Export'!F111="旅行车",'Data Export'!F111="微型车",'Data Export'!F111="硬顶跑车",'Data Export'!F111="敞蓬车",'Data Export'!F111="Targa"),"轿车",IF(OR('Data Export'!F111="小型MPV",'Data Export'!F111="客车"),"MPV",IF('Data Export'!F111="运动型多功能车","SUV","其他"))))</f>
        <v>SUV</v>
      </c>
      <c r="K111" s="62">
        <f>IF(OR(D111="",NOT(F111=1)),"",1+SUMPRODUCT(($F$2:$F$1001=1)*($D$2:$D$1001&gt;D111))+COUNTIFS($F$2:F111,1,$D$2:D111,D111)-1)</f>
        <v>15</v>
      </c>
      <c r="L111" s="62" t="str">
        <f>IF(OR(D111="",NOT(G111="轿车")),"",1+SUMPRODUCT(($G$2:$G$1001="轿车")*($D$2:$D$1001&gt;D111))+COUNTIFS($G$2:G111,"轿车",$D$2:D111,D111)-1)</f>
        <v/>
      </c>
      <c r="M111" s="62" t="str">
        <f>IF(OR(D111="",NOT(G111="MPV")),"",1+SUMPRODUCT(($G$2:$G$1001="MPV")*($D$2:$D$1001&gt;D111))+COUNTIFS($G$2:G111,"MPV",$D$2:D111,D111)-1)</f>
        <v/>
      </c>
      <c r="N111" s="62">
        <f>IF(OR(D111="",NOT(G111="SUV")),"",1+SUMPRODUCT(($G$2:$G$1001="SUV")*($D$2:$D$1001&gt;D111))+COUNTIFS($G$2:G111,"SUV",$D$2:D111,D111)-1)</f>
        <v>19</v>
      </c>
      <c r="O111" s="62" t="str">
        <f>IF(OR(D111="",NOT(AND(F111=1,G111="轿车"))),"",1+SUMPRODUCT(($F$2:$F$1001=1)*($G$2:$G$1001="轿车")*($D$2:$D$1001&gt;D111))+COUNTIFS($F$2:F111,1,$G$2:G111,"轿车",$D$2:D111,D111)-1)</f>
        <v/>
      </c>
      <c r="P111" s="62" t="str">
        <f>IF(OR(D111="",NOT(AND(F111=1,G111="MPV"))),"",1+SUMPRODUCT(($F$2:$F$1001=1)*($G$2:$G$1001="MPV")*($D$2:$D$1001&gt;D111))+COUNTIFS($F$2:F111,1,$G$2:G111,"MPV",$D$2:D111,D111)-1)</f>
        <v/>
      </c>
      <c r="Q111" s="62">
        <f>IF(OR(D111="",NOT(AND(F111=1,G111="SUV"))),"",1+SUMPRODUCT(($F$2:$F$1001=1)*($G$2:$G$1001="SUV")*($D$2:$D$1001&gt;D111))+COUNTIFS($F$2:F111,1,$G$2:G111,"SUV",$D$2:D111,D111)-1)</f>
        <v>11</v>
      </c>
    </row>
    <row r="112" spans="1:17">
      <c r="A112" s="62" t="str">
        <f>IFERROR(INDEX($H$2:$H$3000,MATCH(0,INDEX(COUNTIF($A$1:A111,$H$2:$H$3000)+($H$2:$H$3000=""),0,0),0)),"")</f>
        <v>GWM♦TANK 500</v>
      </c>
      <c r="B112" s="62" t="str">
        <f t="shared" si="4"/>
        <v>GWM</v>
      </c>
      <c r="C112" s="62" t="str">
        <f t="shared" si="5"/>
        <v>TANK 500</v>
      </c>
      <c r="D112" s="63">
        <f t="shared" si="6"/>
        <v>60</v>
      </c>
      <c r="E112" s="62">
        <f>IF(D112="","",_xlfn.RANK.EQ(D112,$D$2:$D$1001,0)+COUNTIF($D$2:D112,D112)-1)</f>
        <v>92</v>
      </c>
      <c r="F112" s="62">
        <f>IF(B112="","",--(COUNTIF(CN_Brands!$A$2:$A$300,UPPER(B112))&gt;0))</f>
        <v>1</v>
      </c>
      <c r="G112" s="62" t="str">
        <f t="shared" si="7"/>
        <v>SUV</v>
      </c>
      <c r="H112" s="62" t="str">
        <f>IF(AND('Data Export'!A112=前十整体车型排名!$B$2,'Data Export'!B112=前十整体车型排名!$B$3,'Data Export'!D112&lt;&gt;""),UPPER('Data Export'!C112)&amp;"♦"&amp;'Data Export'!D112,"")</f>
        <v>BMW♦OTHER</v>
      </c>
      <c r="I112" s="63">
        <f>IF(H112="","",IFERROR(INDEX('Data Export'!G112:CZ112,1,MATCH(前十整体车型排名!$B$4,'Data Export'!$G$1:$CZ$1,0)),0))</f>
        <v>0</v>
      </c>
      <c r="J112" s="62" t="str">
        <f>IF(H112="","",IF(OR('Data Export'!F112="三厢轿车",'Data Export'!F112="掀背轿车",'Data Export'!F112="旅行车",'Data Export'!F112="微型车",'Data Export'!F112="硬顶跑车",'Data Export'!F112="敞蓬车",'Data Export'!F112="Targa"),"轿车",IF(OR('Data Export'!F112="小型MPV",'Data Export'!F112="客车"),"MPV",IF('Data Export'!F112="运动型多功能车","SUV","其他"))))</f>
        <v>其他</v>
      </c>
      <c r="K112" s="62">
        <f>IF(OR(D112="",NOT(F112=1)),"",1+SUMPRODUCT(($F$2:$F$1001=1)*($D$2:$D$1001&gt;D112))+COUNTIFS($F$2:F112,1,$D$2:D112,D112)-1)</f>
        <v>43</v>
      </c>
      <c r="L112" s="62" t="str">
        <f>IF(OR(D112="",NOT(G112="轿车")),"",1+SUMPRODUCT(($G$2:$G$1001="轿车")*($D$2:$D$1001&gt;D112))+COUNTIFS($G$2:G112,"轿车",$D$2:D112,D112)-1)</f>
        <v/>
      </c>
      <c r="M112" s="62" t="str">
        <f>IF(OR(D112="",NOT(G112="MPV")),"",1+SUMPRODUCT(($G$2:$G$1001="MPV")*($D$2:$D$1001&gt;D112))+COUNTIFS($G$2:G112,"MPV",$D$2:D112,D112)-1)</f>
        <v/>
      </c>
      <c r="N112" s="62">
        <f>IF(OR(D112="",NOT(G112="SUV")),"",1+SUMPRODUCT(($G$2:$G$1001="SUV")*($D$2:$D$1001&gt;D112))+COUNTIFS($G$2:G112,"SUV",$D$2:D112,D112)-1)</f>
        <v>46</v>
      </c>
      <c r="O112" s="62" t="str">
        <f>IF(OR(D112="",NOT(AND(F112=1,G112="轿车"))),"",1+SUMPRODUCT(($F$2:$F$1001=1)*($G$2:$G$1001="轿车")*($D$2:$D$1001&gt;D112))+COUNTIFS($F$2:F112,1,$G$2:G112,"轿车",$D$2:D112,D112)-1)</f>
        <v/>
      </c>
      <c r="P112" s="62" t="str">
        <f>IF(OR(D112="",NOT(AND(F112=1,G112="MPV"))),"",1+SUMPRODUCT(($F$2:$F$1001=1)*($G$2:$G$1001="MPV")*($D$2:$D$1001&gt;D112))+COUNTIFS($F$2:F112,1,$G$2:G112,"MPV",$D$2:D112,D112)-1)</f>
        <v/>
      </c>
      <c r="Q112" s="62">
        <f>IF(OR(D112="",NOT(AND(F112=1,G112="SUV"))),"",1+SUMPRODUCT(($F$2:$F$1001=1)*($G$2:$G$1001="SUV")*($D$2:$D$1001&gt;D112))+COUNTIFS($F$2:F112,1,$G$2:G112,"SUV",$D$2:D112,D112)-1)</f>
        <v>26</v>
      </c>
    </row>
    <row r="113" spans="1:17">
      <c r="A113" s="62" t="str">
        <f>IFERROR(INDEX($H$2:$H$3000,MATCH(0,INDEX(COUNTIF($A$1:A112,$H$2:$H$3000)+($H$2:$H$3000=""),0,0),0)),"")</f>
        <v>HAVAL♦H6</v>
      </c>
      <c r="B113" s="62" t="str">
        <f t="shared" si="4"/>
        <v>HAVAL</v>
      </c>
      <c r="C113" s="62" t="str">
        <f t="shared" si="5"/>
        <v>H6</v>
      </c>
      <c r="D113" s="63">
        <f t="shared" si="6"/>
        <v>130</v>
      </c>
      <c r="E113" s="62">
        <f>IF(D113="","",_xlfn.RANK.EQ(D113,$D$2:$D$1001,0)+COUNTIF($D$2:D113,D113)-1)</f>
        <v>65</v>
      </c>
      <c r="F113" s="62">
        <f>IF(B113="","",--(COUNTIF(CN_Brands!$A$2:$A$300,UPPER(B113))&gt;0))</f>
        <v>1</v>
      </c>
      <c r="G113" s="62" t="str">
        <f t="shared" si="7"/>
        <v>SUV</v>
      </c>
      <c r="H113" s="62" t="str">
        <f>IF(AND('Data Export'!A113=前十整体车型排名!$B$2,'Data Export'!B113=前十整体车型排名!$B$3,'Data Export'!D113&lt;&gt;""),UPPER('Data Export'!C113)&amp;"♦"&amp;'Data Export'!D113,"")</f>
        <v>BMW♦SERIES 2</v>
      </c>
      <c r="I113" s="63">
        <f>IF(H113="","",IFERROR(INDEX('Data Export'!G113:CZ113,1,MATCH(前十整体车型排名!$B$4,'Data Export'!$G$1:$CZ$1,0)),0))</f>
        <v>70</v>
      </c>
      <c r="J113" s="62" t="str">
        <f>IF(H113="","",IF(OR('Data Export'!F113="三厢轿车",'Data Export'!F113="掀背轿车",'Data Export'!F113="旅行车",'Data Export'!F113="微型车",'Data Export'!F113="硬顶跑车",'Data Export'!F113="敞蓬车",'Data Export'!F113="Targa"),"轿车",IF(OR('Data Export'!F113="小型MPV",'Data Export'!F113="客车"),"MPV",IF('Data Export'!F113="运动型多功能车","SUV","其他"))))</f>
        <v>轿车</v>
      </c>
      <c r="K113" s="62">
        <f>IF(OR(D113="",NOT(F113=1)),"",1+SUMPRODUCT(($F$2:$F$1001=1)*($D$2:$D$1001&gt;D113))+COUNTIFS($F$2:F113,1,$D$2:D113,D113)-1)</f>
        <v>33</v>
      </c>
      <c r="L113" s="62" t="str">
        <f>IF(OR(D113="",NOT(G113="轿车")),"",1+SUMPRODUCT(($G$2:$G$1001="轿车")*($D$2:$D$1001&gt;D113))+COUNTIFS($G$2:G113,"轿车",$D$2:D113,D113)-1)</f>
        <v/>
      </c>
      <c r="M113" s="62" t="str">
        <f>IF(OR(D113="",NOT(G113="MPV")),"",1+SUMPRODUCT(($G$2:$G$1001="MPV")*($D$2:$D$1001&gt;D113))+COUNTIFS($G$2:G113,"MPV",$D$2:D113,D113)-1)</f>
        <v/>
      </c>
      <c r="N113" s="62">
        <f>IF(OR(D113="",NOT(G113="SUV")),"",1+SUMPRODUCT(($G$2:$G$1001="SUV")*($D$2:$D$1001&gt;D113))+COUNTIFS($G$2:G113,"SUV",$D$2:D113,D113)-1)</f>
        <v>34</v>
      </c>
      <c r="O113" s="62" t="str">
        <f>IF(OR(D113="",NOT(AND(F113=1,G113="轿车"))),"",1+SUMPRODUCT(($F$2:$F$1001=1)*($G$2:$G$1001="轿车")*($D$2:$D$1001&gt;D113))+COUNTIFS($F$2:F113,1,$G$2:G113,"轿车",$D$2:D113,D113)-1)</f>
        <v/>
      </c>
      <c r="P113" s="62" t="str">
        <f>IF(OR(D113="",NOT(AND(F113=1,G113="MPV"))),"",1+SUMPRODUCT(($F$2:$F$1001=1)*($G$2:$G$1001="MPV")*($D$2:$D$1001&gt;D113))+COUNTIFS($F$2:F113,1,$G$2:G113,"MPV",$D$2:D113,D113)-1)</f>
        <v/>
      </c>
      <c r="Q113" s="62">
        <f>IF(OR(D113="",NOT(AND(F113=1,G113="SUV"))),"",1+SUMPRODUCT(($F$2:$F$1001=1)*($G$2:$G$1001="SUV")*($D$2:$D$1001&gt;D113))+COUNTIFS($F$2:F113,1,$G$2:G113,"SUV",$D$2:D113,D113)-1)</f>
        <v>21</v>
      </c>
    </row>
    <row r="114" spans="1:17">
      <c r="A114" s="62" t="str">
        <f>IFERROR(INDEX($H$2:$H$3000,MATCH(0,INDEX(COUNTIF($A$1:A113,$H$2:$H$3000)+($H$2:$H$3000=""),0,0),0)),"")</f>
        <v>HAVAL♦JOLION</v>
      </c>
      <c r="B114" s="62" t="str">
        <f t="shared" si="4"/>
        <v>HAVAL</v>
      </c>
      <c r="C114" s="62" t="str">
        <f t="shared" si="5"/>
        <v>JOLION</v>
      </c>
      <c r="D114" s="63">
        <f t="shared" si="6"/>
        <v>7</v>
      </c>
      <c r="E114" s="62">
        <f>IF(D114="","",_xlfn.RANK.EQ(D114,$D$2:$D$1001,0)+COUNTIF($D$2:D114,D114)-1)</f>
        <v>158</v>
      </c>
      <c r="F114" s="62">
        <f>IF(B114="","",--(COUNTIF(CN_Brands!$A$2:$A$300,UPPER(B114))&gt;0))</f>
        <v>1</v>
      </c>
      <c r="G114" s="62" t="str">
        <f t="shared" si="7"/>
        <v>SUV</v>
      </c>
      <c r="H114" s="62" t="str">
        <f>IF(AND('Data Export'!A114=前十整体车型排名!$B$2,'Data Export'!B114=前十整体车型排名!$B$3,'Data Export'!D114&lt;&gt;""),UPPER('Data Export'!C114)&amp;"♦"&amp;'Data Export'!D114,"")</f>
        <v>BMW♦SERIES 2</v>
      </c>
      <c r="I114" s="63">
        <f>IF(H114="","",IFERROR(INDEX('Data Export'!G114:CZ114,1,MATCH(前十整体车型排名!$B$4,'Data Export'!$G$1:$CZ$1,0)),0))</f>
        <v>0</v>
      </c>
      <c r="J114" s="62" t="str">
        <f>IF(H114="","",IF(OR('Data Export'!F114="三厢轿车",'Data Export'!F114="掀背轿车",'Data Export'!F114="旅行车",'Data Export'!F114="微型车",'Data Export'!F114="硬顶跑车",'Data Export'!F114="敞蓬车",'Data Export'!F114="Targa"),"轿车",IF(OR('Data Export'!F114="小型MPV",'Data Export'!F114="客车"),"MPV",IF('Data Export'!F114="运动型多功能车","SUV","其他"))))</f>
        <v>轿车</v>
      </c>
      <c r="K114" s="62">
        <f>IF(OR(D114="",NOT(F114=1)),"",1+SUMPRODUCT(($F$2:$F$1001=1)*($D$2:$D$1001&gt;D114))+COUNTIFS($F$2:F114,1,$D$2:D114,D114)-1)</f>
        <v>54</v>
      </c>
      <c r="L114" s="62" t="str">
        <f>IF(OR(D114="",NOT(G114="轿车")),"",1+SUMPRODUCT(($G$2:$G$1001="轿车")*($D$2:$D$1001&gt;D114))+COUNTIFS($G$2:G114,"轿车",$D$2:D114,D114)-1)</f>
        <v/>
      </c>
      <c r="M114" s="62" t="str">
        <f>IF(OR(D114="",NOT(G114="MPV")),"",1+SUMPRODUCT(($G$2:$G$1001="MPV")*($D$2:$D$1001&gt;D114))+COUNTIFS($G$2:G114,"MPV",$D$2:D114,D114)-1)</f>
        <v/>
      </c>
      <c r="N114" s="62">
        <f>IF(OR(D114="",NOT(G114="SUV")),"",1+SUMPRODUCT(($G$2:$G$1001="SUV")*($D$2:$D$1001&gt;D114))+COUNTIFS($G$2:G114,"SUV",$D$2:D114,D114)-1)</f>
        <v>86</v>
      </c>
      <c r="O114" s="62" t="str">
        <f>IF(OR(D114="",NOT(AND(F114=1,G114="轿车"))),"",1+SUMPRODUCT(($F$2:$F$1001=1)*($G$2:$G$1001="轿车")*($D$2:$D$1001&gt;D114))+COUNTIFS($F$2:F114,1,$G$2:G114,"轿车",$D$2:D114,D114)-1)</f>
        <v/>
      </c>
      <c r="P114" s="62" t="str">
        <f>IF(OR(D114="",NOT(AND(F114=1,G114="MPV"))),"",1+SUMPRODUCT(($F$2:$F$1001=1)*($G$2:$G$1001="MPV")*($D$2:$D$1001&gt;D114))+COUNTIFS($F$2:F114,1,$G$2:G114,"MPV",$D$2:D114,D114)-1)</f>
        <v/>
      </c>
      <c r="Q114" s="62">
        <f>IF(OR(D114="",NOT(AND(F114=1,G114="SUV"))),"",1+SUMPRODUCT(($F$2:$F$1001=1)*($G$2:$G$1001="SUV")*($D$2:$D$1001&gt;D114))+COUNTIFS($F$2:F114,1,$G$2:G114,"SUV",$D$2:D114,D114)-1)</f>
        <v>32</v>
      </c>
    </row>
    <row r="115" spans="1:17">
      <c r="A115" s="62" t="str">
        <f>IFERROR(INDEX($H$2:$H$3000,MATCH(0,INDEX(COUNTIF($A$1:A114,$H$2:$H$3000)+($H$2:$H$3000=""),0,0),0)),"")</f>
        <v>HONDA♦ACCORD</v>
      </c>
      <c r="B115" s="62" t="str">
        <f t="shared" si="4"/>
        <v>HONDA</v>
      </c>
      <c r="C115" s="62" t="str">
        <f t="shared" si="5"/>
        <v>ACCORD</v>
      </c>
      <c r="D115" s="63">
        <f t="shared" si="6"/>
        <v>143</v>
      </c>
      <c r="E115" s="62">
        <f>IF(D115="","",_xlfn.RANK.EQ(D115,$D$2:$D$1001,0)+COUNTIF($D$2:D115,D115)-1)</f>
        <v>59</v>
      </c>
      <c r="F115" s="62">
        <f>IF(B115="","",--(COUNTIF(CN_Brands!$A$2:$A$300,UPPER(B115))&gt;0))</f>
        <v>0</v>
      </c>
      <c r="G115" s="62" t="str">
        <f t="shared" si="7"/>
        <v>轿车</v>
      </c>
      <c r="H115" s="62" t="str">
        <f>IF(AND('Data Export'!A115=前十整体车型排名!$B$2,'Data Export'!B115=前十整体车型排名!$B$3,'Data Export'!D115&lt;&gt;""),UPPER('Data Export'!C115)&amp;"♦"&amp;'Data Export'!D115,"")</f>
        <v>BMW♦SERIES 2</v>
      </c>
      <c r="I115" s="63">
        <f>IF(H115="","",IFERROR(INDEX('Data Export'!G115:CZ115,1,MATCH(前十整体车型排名!$B$4,'Data Export'!$G$1:$CZ$1,0)),0))</f>
        <v>1</v>
      </c>
      <c r="J115" s="62" t="str">
        <f>IF(H115="","",IF(OR('Data Export'!F115="三厢轿车",'Data Export'!F115="掀背轿车",'Data Export'!F115="旅行车",'Data Export'!F115="微型车",'Data Export'!F115="硬顶跑车",'Data Export'!F115="敞蓬车",'Data Export'!F115="Targa"),"轿车",IF(OR('Data Export'!F115="小型MPV",'Data Export'!F115="客车"),"MPV",IF('Data Export'!F115="运动型多功能车","SUV","其他"))))</f>
        <v>轿车</v>
      </c>
      <c r="K115" s="62" t="str">
        <f>IF(OR(D115="",NOT(F115=1)),"",1+SUMPRODUCT(($F$2:$F$1001=1)*($D$2:$D$1001&gt;D115))+COUNTIFS($F$2:F115,1,$D$2:D115,D115)-1)</f>
        <v/>
      </c>
      <c r="L115" s="62">
        <f>IF(OR(D115="",NOT(G115="轿车")),"",1+SUMPRODUCT(($G$2:$G$1001="轿车")*($D$2:$D$1001&gt;D115))+COUNTIFS($G$2:G115,"轿车",$D$2:D115,D115)-1)</f>
        <v>16</v>
      </c>
      <c r="M115" s="62" t="str">
        <f>IF(OR(D115="",NOT(G115="MPV")),"",1+SUMPRODUCT(($G$2:$G$1001="MPV")*($D$2:$D$1001&gt;D115))+COUNTIFS($G$2:G115,"MPV",$D$2:D115,D115)-1)</f>
        <v/>
      </c>
      <c r="N115" s="62" t="str">
        <f>IF(OR(D115="",NOT(G115="SUV")),"",1+SUMPRODUCT(($G$2:$G$1001="SUV")*($D$2:$D$1001&gt;D115))+COUNTIFS($G$2:G115,"SUV",$D$2:D115,D115)-1)</f>
        <v/>
      </c>
      <c r="O115" s="62" t="str">
        <f>IF(OR(D115="",NOT(AND(F115=1,G115="轿车"))),"",1+SUMPRODUCT(($F$2:$F$1001=1)*($G$2:$G$1001="轿车")*($D$2:$D$1001&gt;D115))+COUNTIFS($F$2:F115,1,$G$2:G115,"轿车",$D$2:D115,D115)-1)</f>
        <v/>
      </c>
      <c r="P115" s="62" t="str">
        <f>IF(OR(D115="",NOT(AND(F115=1,G115="MPV"))),"",1+SUMPRODUCT(($F$2:$F$1001=1)*($G$2:$G$1001="MPV")*($D$2:$D$1001&gt;D115))+COUNTIFS($F$2:F115,1,$G$2:G115,"MPV",$D$2:D115,D115)-1)</f>
        <v/>
      </c>
      <c r="Q115" s="62" t="str">
        <f>IF(OR(D115="",NOT(AND(F115=1,G115="SUV"))),"",1+SUMPRODUCT(($F$2:$F$1001=1)*($G$2:$G$1001="SUV")*($D$2:$D$1001&gt;D115))+COUNTIFS($F$2:F115,1,$G$2:G115,"SUV",$D$2:D115,D115)-1)</f>
        <v/>
      </c>
    </row>
    <row r="116" spans="1:17">
      <c r="A116" s="62" t="str">
        <f>IFERROR(INDEX($H$2:$H$3000,MATCH(0,INDEX(COUNTIF($A$1:A115,$H$2:$H$3000)+($H$2:$H$3000=""),0,0),0)),"")</f>
        <v>HONDA♦AMAZE</v>
      </c>
      <c r="B116" s="62" t="str">
        <f t="shared" si="4"/>
        <v>HONDA</v>
      </c>
      <c r="C116" s="62" t="str">
        <f t="shared" si="5"/>
        <v>AMAZE</v>
      </c>
      <c r="D116" s="63">
        <f t="shared" si="6"/>
        <v>0</v>
      </c>
      <c r="E116" s="62">
        <f>IF(D116="","",_xlfn.RANK.EQ(D116,$D$2:$D$1001,0)+COUNTIF($D$2:D116,D116)-1)</f>
        <v>302</v>
      </c>
      <c r="F116" s="62">
        <f>IF(B116="","",--(COUNTIF(CN_Brands!$A$2:$A$300,UPPER(B116))&gt;0))</f>
        <v>0</v>
      </c>
      <c r="G116" s="62" t="str">
        <f t="shared" si="7"/>
        <v>其他</v>
      </c>
      <c r="H116" s="62" t="str">
        <f>IF(AND('Data Export'!A116=前十整体车型排名!$B$2,'Data Export'!B116=前十整体车型排名!$B$3,'Data Export'!D116&lt;&gt;""),UPPER('Data Export'!C116)&amp;"♦"&amp;'Data Export'!D116,"")</f>
        <v>BMW♦SERIES 2</v>
      </c>
      <c r="I116" s="63">
        <f>IF(H116="","",IFERROR(INDEX('Data Export'!G116:CZ116,1,MATCH(前十整体车型排名!$B$4,'Data Export'!$G$1:$CZ$1,0)),0))</f>
        <v>2</v>
      </c>
      <c r="J116" s="62" t="str">
        <f>IF(H116="","",IF(OR('Data Export'!F116="三厢轿车",'Data Export'!F116="掀背轿车",'Data Export'!F116="旅行车",'Data Export'!F116="微型车",'Data Export'!F116="硬顶跑车",'Data Export'!F116="敞蓬车",'Data Export'!F116="Targa"),"轿车",IF(OR('Data Export'!F116="小型MPV",'Data Export'!F116="客车"),"MPV",IF('Data Export'!F116="运动型多功能车","SUV","其他"))))</f>
        <v>轿车</v>
      </c>
      <c r="K116" s="62" t="str">
        <f>IF(OR(D116="",NOT(F116=1)),"",1+SUMPRODUCT(($F$2:$F$1001=1)*($D$2:$D$1001&gt;D116))+COUNTIFS($F$2:F116,1,$D$2:D116,D116)-1)</f>
        <v/>
      </c>
      <c r="L116" s="62" t="str">
        <f>IF(OR(D116="",NOT(G116="轿车")),"",1+SUMPRODUCT(($G$2:$G$1001="轿车")*($D$2:$D$1001&gt;D116))+COUNTIFS($G$2:G116,"轿车",$D$2:D116,D116)-1)</f>
        <v/>
      </c>
      <c r="M116" s="62" t="str">
        <f>IF(OR(D116="",NOT(G116="MPV")),"",1+SUMPRODUCT(($G$2:$G$1001="MPV")*($D$2:$D$1001&gt;D116))+COUNTIFS($G$2:G116,"MPV",$D$2:D116,D116)-1)</f>
        <v/>
      </c>
      <c r="N116" s="62" t="str">
        <f>IF(OR(D116="",NOT(G116="SUV")),"",1+SUMPRODUCT(($G$2:$G$1001="SUV")*($D$2:$D$1001&gt;D116))+COUNTIFS($G$2:G116,"SUV",$D$2:D116,D116)-1)</f>
        <v/>
      </c>
      <c r="O116" s="62" t="str">
        <f>IF(OR(D116="",NOT(AND(F116=1,G116="轿车"))),"",1+SUMPRODUCT(($F$2:$F$1001=1)*($G$2:$G$1001="轿车")*($D$2:$D$1001&gt;D116))+COUNTIFS($F$2:F116,1,$G$2:G116,"轿车",$D$2:D116,D116)-1)</f>
        <v/>
      </c>
      <c r="P116" s="62" t="str">
        <f>IF(OR(D116="",NOT(AND(F116=1,G116="MPV"))),"",1+SUMPRODUCT(($F$2:$F$1001=1)*($G$2:$G$1001="MPV")*($D$2:$D$1001&gt;D116))+COUNTIFS($F$2:F116,1,$G$2:G116,"MPV",$D$2:D116,D116)-1)</f>
        <v/>
      </c>
      <c r="Q116" s="62" t="str">
        <f>IF(OR(D116="",NOT(AND(F116=1,G116="SUV"))),"",1+SUMPRODUCT(($F$2:$F$1001=1)*($G$2:$G$1001="SUV")*($D$2:$D$1001&gt;D116))+COUNTIFS($F$2:F116,1,$G$2:G116,"SUV",$D$2:D116,D116)-1)</f>
        <v/>
      </c>
    </row>
    <row r="117" spans="1:17">
      <c r="A117" s="62" t="str">
        <f>IFERROR(INDEX($H$2:$H$3000,MATCH(0,INDEX(COUNTIF($A$1:A116,$H$2:$H$3000)+($H$2:$H$3000=""),0,0),0)),"")</f>
        <v>HONDA♦BR-V</v>
      </c>
      <c r="B117" s="62" t="str">
        <f t="shared" si="4"/>
        <v>HONDA</v>
      </c>
      <c r="C117" s="62" t="str">
        <f t="shared" si="5"/>
        <v>BR-V</v>
      </c>
      <c r="D117" s="63">
        <f t="shared" si="6"/>
        <v>0</v>
      </c>
      <c r="E117" s="62">
        <f>IF(D117="","",_xlfn.RANK.EQ(D117,$D$2:$D$1001,0)+COUNTIF($D$2:D117,D117)-1)</f>
        <v>303</v>
      </c>
      <c r="F117" s="62">
        <f>IF(B117="","",--(COUNTIF(CN_Brands!$A$2:$A$300,UPPER(B117))&gt;0))</f>
        <v>0</v>
      </c>
      <c r="G117" s="62" t="str">
        <f t="shared" si="7"/>
        <v>SUV</v>
      </c>
      <c r="H117" s="62" t="str">
        <f>IF(AND('Data Export'!A117=前十整体车型排名!$B$2,'Data Export'!B117=前十整体车型排名!$B$3,'Data Export'!D117&lt;&gt;""),UPPER('Data Export'!C117)&amp;"♦"&amp;'Data Export'!D117,"")</f>
        <v>BMW♦SERIES 2</v>
      </c>
      <c r="I117" s="63">
        <f>IF(H117="","",IFERROR(INDEX('Data Export'!G117:CZ117,1,MATCH(前十整体车型排名!$B$4,'Data Export'!$G$1:$CZ$1,0)),0))</f>
        <v>0</v>
      </c>
      <c r="J117" s="62" t="str">
        <f>IF(H117="","",IF(OR('Data Export'!F117="三厢轿车",'Data Export'!F117="掀背轿车",'Data Export'!F117="旅行车",'Data Export'!F117="微型车",'Data Export'!F117="硬顶跑车",'Data Export'!F117="敞蓬车",'Data Export'!F117="Targa"),"轿车",IF(OR('Data Export'!F117="小型MPV",'Data Export'!F117="客车"),"MPV",IF('Data Export'!F117="运动型多功能车","SUV","其他"))))</f>
        <v>其他</v>
      </c>
      <c r="K117" s="62" t="str">
        <f>IF(OR(D117="",NOT(F117=1)),"",1+SUMPRODUCT(($F$2:$F$1001=1)*($D$2:$D$1001&gt;D117))+COUNTIFS($F$2:F117,1,$D$2:D117,D117)-1)</f>
        <v/>
      </c>
      <c r="L117" s="62" t="str">
        <f>IF(OR(D117="",NOT(G117="轿车")),"",1+SUMPRODUCT(($G$2:$G$1001="轿车")*($D$2:$D$1001&gt;D117))+COUNTIFS($G$2:G117,"轿车",$D$2:D117,D117)-1)</f>
        <v/>
      </c>
      <c r="M117" s="62" t="str">
        <f>IF(OR(D117="",NOT(G117="MPV")),"",1+SUMPRODUCT(($G$2:$G$1001="MPV")*($D$2:$D$1001&gt;D117))+COUNTIFS($G$2:G117,"MPV",$D$2:D117,D117)-1)</f>
        <v/>
      </c>
      <c r="N117" s="62">
        <f>IF(OR(D117="",NOT(G117="SUV")),"",1+SUMPRODUCT(($G$2:$G$1001="SUV")*($D$2:$D$1001&gt;D117))+COUNTIFS($G$2:G117,"SUV",$D$2:D117,D117)-1)</f>
        <v>141</v>
      </c>
      <c r="O117" s="62" t="str">
        <f>IF(OR(D117="",NOT(AND(F117=1,G117="轿车"))),"",1+SUMPRODUCT(($F$2:$F$1001=1)*($G$2:$G$1001="轿车")*($D$2:$D$1001&gt;D117))+COUNTIFS($F$2:F117,1,$G$2:G117,"轿车",$D$2:D117,D117)-1)</f>
        <v/>
      </c>
      <c r="P117" s="62" t="str">
        <f>IF(OR(D117="",NOT(AND(F117=1,G117="MPV"))),"",1+SUMPRODUCT(($F$2:$F$1001=1)*($G$2:$G$1001="MPV")*($D$2:$D$1001&gt;D117))+COUNTIFS($F$2:F117,1,$G$2:G117,"MPV",$D$2:D117,D117)-1)</f>
        <v/>
      </c>
      <c r="Q117" s="62" t="str">
        <f>IF(OR(D117="",NOT(AND(F117=1,G117="SUV"))),"",1+SUMPRODUCT(($F$2:$F$1001=1)*($G$2:$G$1001="SUV")*($D$2:$D$1001&gt;D117))+COUNTIFS($F$2:F117,1,$G$2:G117,"SUV",$D$2:D117,D117)-1)</f>
        <v/>
      </c>
    </row>
    <row r="118" spans="1:17">
      <c r="A118" s="62" t="str">
        <f>IFERROR(INDEX($H$2:$H$3000,MATCH(0,INDEX(COUNTIF($A$1:A117,$H$2:$H$3000)+($H$2:$H$3000=""),0,0),0)),"")</f>
        <v>HONDA♦CITY</v>
      </c>
      <c r="B118" s="62" t="str">
        <f t="shared" si="4"/>
        <v>HONDA</v>
      </c>
      <c r="C118" s="62" t="str">
        <f t="shared" si="5"/>
        <v>CITY</v>
      </c>
      <c r="D118" s="63">
        <f t="shared" si="6"/>
        <v>1029</v>
      </c>
      <c r="E118" s="62">
        <f>IF(D118="","",_xlfn.RANK.EQ(D118,$D$2:$D$1001,0)+COUNTIF($D$2:D118,D118)-1)</f>
        <v>11</v>
      </c>
      <c r="F118" s="62">
        <f>IF(B118="","",--(COUNTIF(CN_Brands!$A$2:$A$300,UPPER(B118))&gt;0))</f>
        <v>0</v>
      </c>
      <c r="G118" s="62" t="str">
        <f t="shared" si="7"/>
        <v>其他</v>
      </c>
      <c r="H118" s="62" t="str">
        <f>IF(AND('Data Export'!A118=前十整体车型排名!$B$2,'Data Export'!B118=前十整体车型排名!$B$3,'Data Export'!D118&lt;&gt;""),UPPER('Data Export'!C118)&amp;"♦"&amp;'Data Export'!D118,"")</f>
        <v>BMW♦SERIES 3</v>
      </c>
      <c r="I118" s="63">
        <f>IF(H118="","",IFERROR(INDEX('Data Export'!G118:CZ118,1,MATCH(前十整体车型排名!$B$4,'Data Export'!$G$1:$CZ$1,0)),0))</f>
        <v>90</v>
      </c>
      <c r="J118" s="62" t="str">
        <f>IF(H118="","",IF(OR('Data Export'!F118="三厢轿车",'Data Export'!F118="掀背轿车",'Data Export'!F118="旅行车",'Data Export'!F118="微型车",'Data Export'!F118="硬顶跑车",'Data Export'!F118="敞蓬车",'Data Export'!F118="Targa"),"轿车",IF(OR('Data Export'!F118="小型MPV",'Data Export'!F118="客车"),"MPV",IF('Data Export'!F118="运动型多功能车","SUV","其他"))))</f>
        <v>轿车</v>
      </c>
      <c r="K118" s="62" t="str">
        <f>IF(OR(D118="",NOT(F118=1)),"",1+SUMPRODUCT(($F$2:$F$1001=1)*($D$2:$D$1001&gt;D118))+COUNTIFS($F$2:F118,1,$D$2:D118,D118)-1)</f>
        <v/>
      </c>
      <c r="L118" s="62" t="str">
        <f>IF(OR(D118="",NOT(G118="轿车")),"",1+SUMPRODUCT(($G$2:$G$1001="轿车")*($D$2:$D$1001&gt;D118))+COUNTIFS($G$2:G118,"轿车",$D$2:D118,D118)-1)</f>
        <v/>
      </c>
      <c r="M118" s="62" t="str">
        <f>IF(OR(D118="",NOT(G118="MPV")),"",1+SUMPRODUCT(($G$2:$G$1001="MPV")*($D$2:$D$1001&gt;D118))+COUNTIFS($G$2:G118,"MPV",$D$2:D118,D118)-1)</f>
        <v/>
      </c>
      <c r="N118" s="62" t="str">
        <f>IF(OR(D118="",NOT(G118="SUV")),"",1+SUMPRODUCT(($G$2:$G$1001="SUV")*($D$2:$D$1001&gt;D118))+COUNTIFS($G$2:G118,"SUV",$D$2:D118,D118)-1)</f>
        <v/>
      </c>
      <c r="O118" s="62" t="str">
        <f>IF(OR(D118="",NOT(AND(F118=1,G118="轿车"))),"",1+SUMPRODUCT(($F$2:$F$1001=1)*($G$2:$G$1001="轿车")*($D$2:$D$1001&gt;D118))+COUNTIFS($F$2:F118,1,$G$2:G118,"轿车",$D$2:D118,D118)-1)</f>
        <v/>
      </c>
      <c r="P118" s="62" t="str">
        <f>IF(OR(D118="",NOT(AND(F118=1,G118="MPV"))),"",1+SUMPRODUCT(($F$2:$F$1001=1)*($G$2:$G$1001="MPV")*($D$2:$D$1001&gt;D118))+COUNTIFS($F$2:F118,1,$G$2:G118,"MPV",$D$2:D118,D118)-1)</f>
        <v/>
      </c>
      <c r="Q118" s="62" t="str">
        <f>IF(OR(D118="",NOT(AND(F118=1,G118="SUV"))),"",1+SUMPRODUCT(($F$2:$F$1001=1)*($G$2:$G$1001="SUV")*($D$2:$D$1001&gt;D118))+COUNTIFS($F$2:F118,1,$G$2:G118,"SUV",$D$2:D118,D118)-1)</f>
        <v/>
      </c>
    </row>
    <row r="119" spans="1:17">
      <c r="A119" s="62" t="str">
        <f>IFERROR(INDEX($H$2:$H$3000,MATCH(0,INDEX(COUNTIF($A$1:A118,$H$2:$H$3000)+($H$2:$H$3000=""),0,0),0)),"")</f>
        <v>HONDA♦CIVIC</v>
      </c>
      <c r="B119" s="62" t="str">
        <f t="shared" si="4"/>
        <v>HONDA</v>
      </c>
      <c r="C119" s="62" t="str">
        <f t="shared" si="5"/>
        <v>CIVIC</v>
      </c>
      <c r="D119" s="63">
        <f t="shared" si="6"/>
        <v>633</v>
      </c>
      <c r="E119" s="62">
        <f>IF(D119="","",_xlfn.RANK.EQ(D119,$D$2:$D$1001,0)+COUNTIF($D$2:D119,D119)-1)</f>
        <v>18</v>
      </c>
      <c r="F119" s="62">
        <f>IF(B119="","",--(COUNTIF(CN_Brands!$A$2:$A$300,UPPER(B119))&gt;0))</f>
        <v>0</v>
      </c>
      <c r="G119" s="62" t="str">
        <f t="shared" si="7"/>
        <v>其他</v>
      </c>
      <c r="H119" s="62" t="str">
        <f>IF(AND('Data Export'!A119=前十整体车型排名!$B$2,'Data Export'!B119=前十整体车型排名!$B$3,'Data Export'!D119&lt;&gt;""),UPPER('Data Export'!C119)&amp;"♦"&amp;'Data Export'!D119,"")</f>
        <v>BMW♦SERIES 3</v>
      </c>
      <c r="I119" s="63">
        <f>IF(H119="","",IFERROR(INDEX('Data Export'!G119:CZ119,1,MATCH(前十整体车型排名!$B$4,'Data Export'!$G$1:$CZ$1,0)),0))</f>
        <v>0</v>
      </c>
      <c r="J119" s="62" t="str">
        <f>IF(H119="","",IF(OR('Data Export'!F119="三厢轿车",'Data Export'!F119="掀背轿车",'Data Export'!F119="旅行车",'Data Export'!F119="微型车",'Data Export'!F119="硬顶跑车",'Data Export'!F119="敞蓬车",'Data Export'!F119="Targa"),"轿车",IF(OR('Data Export'!F119="小型MPV",'Data Export'!F119="客车"),"MPV",IF('Data Export'!F119="运动型多功能车","SUV","其他"))))</f>
        <v>轿车</v>
      </c>
      <c r="K119" s="62" t="str">
        <f>IF(OR(D119="",NOT(F119=1)),"",1+SUMPRODUCT(($F$2:$F$1001=1)*($D$2:$D$1001&gt;D119))+COUNTIFS($F$2:F119,1,$D$2:D119,D119)-1)</f>
        <v/>
      </c>
      <c r="L119" s="62" t="str">
        <f>IF(OR(D119="",NOT(G119="轿车")),"",1+SUMPRODUCT(($G$2:$G$1001="轿车")*($D$2:$D$1001&gt;D119))+COUNTIFS($G$2:G119,"轿车",$D$2:D119,D119)-1)</f>
        <v/>
      </c>
      <c r="M119" s="62" t="str">
        <f>IF(OR(D119="",NOT(G119="MPV")),"",1+SUMPRODUCT(($G$2:$G$1001="MPV")*($D$2:$D$1001&gt;D119))+COUNTIFS($G$2:G119,"MPV",$D$2:D119,D119)-1)</f>
        <v/>
      </c>
      <c r="N119" s="62" t="str">
        <f>IF(OR(D119="",NOT(G119="SUV")),"",1+SUMPRODUCT(($G$2:$G$1001="SUV")*($D$2:$D$1001&gt;D119))+COUNTIFS($G$2:G119,"SUV",$D$2:D119,D119)-1)</f>
        <v/>
      </c>
      <c r="O119" s="62" t="str">
        <f>IF(OR(D119="",NOT(AND(F119=1,G119="轿车"))),"",1+SUMPRODUCT(($F$2:$F$1001=1)*($G$2:$G$1001="轿车")*($D$2:$D$1001&gt;D119))+COUNTIFS($F$2:F119,1,$G$2:G119,"轿车",$D$2:D119,D119)-1)</f>
        <v/>
      </c>
      <c r="P119" s="62" t="str">
        <f>IF(OR(D119="",NOT(AND(F119=1,G119="MPV"))),"",1+SUMPRODUCT(($F$2:$F$1001=1)*($G$2:$G$1001="MPV")*($D$2:$D$1001&gt;D119))+COUNTIFS($F$2:F119,1,$G$2:G119,"MPV",$D$2:D119,D119)-1)</f>
        <v/>
      </c>
      <c r="Q119" s="62" t="str">
        <f>IF(OR(D119="",NOT(AND(F119=1,G119="SUV"))),"",1+SUMPRODUCT(($F$2:$F$1001=1)*($G$2:$G$1001="SUV")*($D$2:$D$1001&gt;D119))+COUNTIFS($F$2:F119,1,$G$2:G119,"SUV",$D$2:D119,D119)-1)</f>
        <v/>
      </c>
    </row>
    <row r="120" spans="1:17">
      <c r="A120" s="62" t="str">
        <f>IFERROR(INDEX($H$2:$H$3000,MATCH(0,INDEX(COUNTIF($A$1:A119,$H$2:$H$3000)+($H$2:$H$3000=""),0,0),0)),"")</f>
        <v>HONDA♦CR-V</v>
      </c>
      <c r="B120" s="62" t="str">
        <f t="shared" si="4"/>
        <v>HONDA</v>
      </c>
      <c r="C120" s="62" t="str">
        <f t="shared" si="5"/>
        <v>CR-V</v>
      </c>
      <c r="D120" s="63">
        <f t="shared" si="6"/>
        <v>650</v>
      </c>
      <c r="E120" s="62">
        <f>IF(D120="","",_xlfn.RANK.EQ(D120,$D$2:$D$1001,0)+COUNTIF($D$2:D120,D120)-1)</f>
        <v>17</v>
      </c>
      <c r="F120" s="62">
        <f>IF(B120="","",--(COUNTIF(CN_Brands!$A$2:$A$300,UPPER(B120))&gt;0))</f>
        <v>0</v>
      </c>
      <c r="G120" s="62" t="str">
        <f t="shared" si="7"/>
        <v>SUV</v>
      </c>
      <c r="H120" s="62" t="str">
        <f>IF(AND('Data Export'!A120=前十整体车型排名!$B$2,'Data Export'!B120=前十整体车型排名!$B$3,'Data Export'!D120&lt;&gt;""),UPPER('Data Export'!C120)&amp;"♦"&amp;'Data Export'!D120,"")</f>
        <v>BMW♦SERIES 3</v>
      </c>
      <c r="I120" s="63">
        <f>IF(H120="","",IFERROR(INDEX('Data Export'!G120:CZ120,1,MATCH(前十整体车型排名!$B$4,'Data Export'!$G$1:$CZ$1,0)),0))</f>
        <v>106</v>
      </c>
      <c r="J120" s="62" t="str">
        <f>IF(H120="","",IF(OR('Data Export'!F120="三厢轿车",'Data Export'!F120="掀背轿车",'Data Export'!F120="旅行车",'Data Export'!F120="微型车",'Data Export'!F120="硬顶跑车",'Data Export'!F120="敞蓬车",'Data Export'!F120="Targa"),"轿车",IF(OR('Data Export'!F120="小型MPV",'Data Export'!F120="客车"),"MPV",IF('Data Export'!F120="运动型多功能车","SUV","其他"))))</f>
        <v>轿车</v>
      </c>
      <c r="K120" s="62" t="str">
        <f>IF(OR(D120="",NOT(F120=1)),"",1+SUMPRODUCT(($F$2:$F$1001=1)*($D$2:$D$1001&gt;D120))+COUNTIFS($F$2:F120,1,$D$2:D120,D120)-1)</f>
        <v/>
      </c>
      <c r="L120" s="62" t="str">
        <f>IF(OR(D120="",NOT(G120="轿车")),"",1+SUMPRODUCT(($G$2:$G$1001="轿车")*($D$2:$D$1001&gt;D120))+COUNTIFS($G$2:G120,"轿车",$D$2:D120,D120)-1)</f>
        <v/>
      </c>
      <c r="M120" s="62" t="str">
        <f>IF(OR(D120="",NOT(G120="MPV")),"",1+SUMPRODUCT(($G$2:$G$1001="MPV")*($D$2:$D$1001&gt;D120))+COUNTIFS($G$2:G120,"MPV",$D$2:D120,D120)-1)</f>
        <v/>
      </c>
      <c r="N120" s="62">
        <f>IF(OR(D120="",NOT(G120="SUV")),"",1+SUMPRODUCT(($G$2:$G$1001="SUV")*($D$2:$D$1001&gt;D120))+COUNTIFS($G$2:G120,"SUV",$D$2:D120,D120)-1)</f>
        <v>12</v>
      </c>
      <c r="O120" s="62" t="str">
        <f>IF(OR(D120="",NOT(AND(F120=1,G120="轿车"))),"",1+SUMPRODUCT(($F$2:$F$1001=1)*($G$2:$G$1001="轿车")*($D$2:$D$1001&gt;D120))+COUNTIFS($F$2:F120,1,$G$2:G120,"轿车",$D$2:D120,D120)-1)</f>
        <v/>
      </c>
      <c r="P120" s="62" t="str">
        <f>IF(OR(D120="",NOT(AND(F120=1,G120="MPV"))),"",1+SUMPRODUCT(($F$2:$F$1001=1)*($G$2:$G$1001="MPV")*($D$2:$D$1001&gt;D120))+COUNTIFS($F$2:F120,1,$G$2:G120,"MPV",$D$2:D120,D120)-1)</f>
        <v/>
      </c>
      <c r="Q120" s="62" t="str">
        <f>IF(OR(D120="",NOT(AND(F120=1,G120="SUV"))),"",1+SUMPRODUCT(($F$2:$F$1001=1)*($G$2:$G$1001="SUV")*($D$2:$D$1001&gt;D120))+COUNTIFS($F$2:F120,1,$G$2:G120,"SUV",$D$2:D120,D120)-1)</f>
        <v/>
      </c>
    </row>
    <row r="121" spans="1:17">
      <c r="A121" s="62" t="str">
        <f>IFERROR(INDEX($H$2:$H$3000,MATCH(0,INDEX(COUNTIF($A$1:A120,$H$2:$H$3000)+($H$2:$H$3000=""),0,0),0)),"")</f>
        <v>HONDA♦EN1</v>
      </c>
      <c r="B121" s="62" t="str">
        <f t="shared" si="4"/>
        <v>HONDA</v>
      </c>
      <c r="C121" s="62" t="str">
        <f t="shared" si="5"/>
        <v>EN1</v>
      </c>
      <c r="D121" s="63">
        <f t="shared" si="6"/>
        <v>24</v>
      </c>
      <c r="E121" s="62">
        <f>IF(D121="","",_xlfn.RANK.EQ(D121,$D$2:$D$1001,0)+COUNTIF($D$2:D121,D121)-1)</f>
        <v>115</v>
      </c>
      <c r="F121" s="62">
        <f>IF(B121="","",--(COUNTIF(CN_Brands!$A$2:$A$300,UPPER(B121))&gt;0))</f>
        <v>0</v>
      </c>
      <c r="G121" s="62" t="str">
        <f t="shared" si="7"/>
        <v>SUV</v>
      </c>
      <c r="H121" s="62" t="str">
        <f>IF(AND('Data Export'!A121=前十整体车型排名!$B$2,'Data Export'!B121=前十整体车型排名!$B$3,'Data Export'!D121&lt;&gt;""),UPPER('Data Export'!C121)&amp;"♦"&amp;'Data Export'!D121,"")</f>
        <v>BMW♦SERIES 3</v>
      </c>
      <c r="I121" s="63">
        <f>IF(H121="","",IFERROR(INDEX('Data Export'!G121:CZ121,1,MATCH(前十整体车型排名!$B$4,'Data Export'!$G$1:$CZ$1,0)),0))</f>
        <v>0</v>
      </c>
      <c r="J121" s="62" t="str">
        <f>IF(H121="","",IF(OR('Data Export'!F121="三厢轿车",'Data Export'!F121="掀背轿车",'Data Export'!F121="旅行车",'Data Export'!F121="微型车",'Data Export'!F121="硬顶跑车",'Data Export'!F121="敞蓬车",'Data Export'!F121="Targa"),"轿车",IF(OR('Data Export'!F121="小型MPV",'Data Export'!F121="客车"),"MPV",IF('Data Export'!F121="运动型多功能车","SUV","其他"))))</f>
        <v>轿车</v>
      </c>
      <c r="K121" s="62" t="str">
        <f>IF(OR(D121="",NOT(F121=1)),"",1+SUMPRODUCT(($F$2:$F$1001=1)*($D$2:$D$1001&gt;D121))+COUNTIFS($F$2:F121,1,$D$2:D121,D121)-1)</f>
        <v/>
      </c>
      <c r="L121" s="62" t="str">
        <f>IF(OR(D121="",NOT(G121="轿车")),"",1+SUMPRODUCT(($G$2:$G$1001="轿车")*($D$2:$D$1001&gt;D121))+COUNTIFS($G$2:G121,"轿车",$D$2:D121,D121)-1)</f>
        <v/>
      </c>
      <c r="M121" s="62" t="str">
        <f>IF(OR(D121="",NOT(G121="MPV")),"",1+SUMPRODUCT(($G$2:$G$1001="MPV")*($D$2:$D$1001&gt;D121))+COUNTIFS($G$2:G121,"MPV",$D$2:D121,D121)-1)</f>
        <v/>
      </c>
      <c r="N121" s="62">
        <f>IF(OR(D121="",NOT(G121="SUV")),"",1+SUMPRODUCT(($G$2:$G$1001="SUV")*($D$2:$D$1001&gt;D121))+COUNTIFS($G$2:G121,"SUV",$D$2:D121,D121)-1)</f>
        <v>59</v>
      </c>
      <c r="O121" s="62" t="str">
        <f>IF(OR(D121="",NOT(AND(F121=1,G121="轿车"))),"",1+SUMPRODUCT(($F$2:$F$1001=1)*($G$2:$G$1001="轿车")*($D$2:$D$1001&gt;D121))+COUNTIFS($F$2:F121,1,$G$2:G121,"轿车",$D$2:D121,D121)-1)</f>
        <v/>
      </c>
      <c r="P121" s="62" t="str">
        <f>IF(OR(D121="",NOT(AND(F121=1,G121="MPV"))),"",1+SUMPRODUCT(($F$2:$F$1001=1)*($G$2:$G$1001="MPV")*($D$2:$D$1001&gt;D121))+COUNTIFS($F$2:F121,1,$G$2:G121,"MPV",$D$2:D121,D121)-1)</f>
        <v/>
      </c>
      <c r="Q121" s="62" t="str">
        <f>IF(OR(D121="",NOT(AND(F121=1,G121="SUV"))),"",1+SUMPRODUCT(($F$2:$F$1001=1)*($G$2:$G$1001="SUV")*($D$2:$D$1001&gt;D121))+COUNTIFS($F$2:F121,1,$G$2:G121,"SUV",$D$2:D121,D121)-1)</f>
        <v/>
      </c>
    </row>
    <row r="122" spans="1:17">
      <c r="A122" s="62" t="str">
        <f>IFERROR(INDEX($H$2:$H$3000,MATCH(0,INDEX(COUNTIF($A$1:A121,$H$2:$H$3000)+($H$2:$H$3000=""),0,0),0)),"")</f>
        <v>HONDA♦EN2</v>
      </c>
      <c r="B122" s="62" t="str">
        <f t="shared" si="4"/>
        <v>HONDA</v>
      </c>
      <c r="C122" s="62" t="str">
        <f t="shared" si="5"/>
        <v>EN2</v>
      </c>
      <c r="D122" s="63">
        <f t="shared" si="6"/>
        <v>6</v>
      </c>
      <c r="E122" s="62">
        <f>IF(D122="","",_xlfn.RANK.EQ(D122,$D$2:$D$1001,0)+COUNTIF($D$2:D122,D122)-1)</f>
        <v>165</v>
      </c>
      <c r="F122" s="62">
        <f>IF(B122="","",--(COUNTIF(CN_Brands!$A$2:$A$300,UPPER(B122))&gt;0))</f>
        <v>0</v>
      </c>
      <c r="G122" s="62" t="str">
        <f t="shared" si="7"/>
        <v>SUV</v>
      </c>
      <c r="H122" s="62" t="str">
        <f>IF(AND('Data Export'!A122=前十整体车型排名!$B$2,'Data Export'!B122=前十整体车型排名!$B$3,'Data Export'!D122&lt;&gt;""),UPPER('Data Export'!C122)&amp;"♦"&amp;'Data Export'!D122,"")</f>
        <v>BMW♦SERIES 3</v>
      </c>
      <c r="I122" s="63">
        <f>IF(H122="","",IFERROR(INDEX('Data Export'!G122:CZ122,1,MATCH(前十整体车型排名!$B$4,'Data Export'!$G$1:$CZ$1,0)),0))</f>
        <v>1</v>
      </c>
      <c r="J122" s="62" t="str">
        <f>IF(H122="","",IF(OR('Data Export'!F122="三厢轿车",'Data Export'!F122="掀背轿车",'Data Export'!F122="旅行车",'Data Export'!F122="微型车",'Data Export'!F122="硬顶跑车",'Data Export'!F122="敞蓬车",'Data Export'!F122="Targa"),"轿车",IF(OR('Data Export'!F122="小型MPV",'Data Export'!F122="客车"),"MPV",IF('Data Export'!F122="运动型多功能车","SUV","其他"))))</f>
        <v>轿车</v>
      </c>
      <c r="K122" s="62" t="str">
        <f>IF(OR(D122="",NOT(F122=1)),"",1+SUMPRODUCT(($F$2:$F$1001=1)*($D$2:$D$1001&gt;D122))+COUNTIFS($F$2:F122,1,$D$2:D122,D122)-1)</f>
        <v/>
      </c>
      <c r="L122" s="62" t="str">
        <f>IF(OR(D122="",NOT(G122="轿车")),"",1+SUMPRODUCT(($G$2:$G$1001="轿车")*($D$2:$D$1001&gt;D122))+COUNTIFS($G$2:G122,"轿车",$D$2:D122,D122)-1)</f>
        <v/>
      </c>
      <c r="M122" s="62" t="str">
        <f>IF(OR(D122="",NOT(G122="MPV")),"",1+SUMPRODUCT(($G$2:$G$1001="MPV")*($D$2:$D$1001&gt;D122))+COUNTIFS($G$2:G122,"MPV",$D$2:D122,D122)-1)</f>
        <v/>
      </c>
      <c r="N122" s="62">
        <f>IF(OR(D122="",NOT(G122="SUV")),"",1+SUMPRODUCT(($G$2:$G$1001="SUV")*($D$2:$D$1001&gt;D122))+COUNTIFS($G$2:G122,"SUV",$D$2:D122,D122)-1)</f>
        <v>90</v>
      </c>
      <c r="O122" s="62" t="str">
        <f>IF(OR(D122="",NOT(AND(F122=1,G122="轿车"))),"",1+SUMPRODUCT(($F$2:$F$1001=1)*($G$2:$G$1001="轿车")*($D$2:$D$1001&gt;D122))+COUNTIFS($F$2:F122,1,$G$2:G122,"轿车",$D$2:D122,D122)-1)</f>
        <v/>
      </c>
      <c r="P122" s="62" t="str">
        <f>IF(OR(D122="",NOT(AND(F122=1,G122="MPV"))),"",1+SUMPRODUCT(($F$2:$F$1001=1)*($G$2:$G$1001="MPV")*($D$2:$D$1001&gt;D122))+COUNTIFS($F$2:F122,1,$G$2:G122,"MPV",$D$2:D122,D122)-1)</f>
        <v/>
      </c>
      <c r="Q122" s="62" t="str">
        <f>IF(OR(D122="",NOT(AND(F122=1,G122="SUV"))),"",1+SUMPRODUCT(($F$2:$F$1001=1)*($G$2:$G$1001="SUV")*($D$2:$D$1001&gt;D122))+COUNTIFS($F$2:F122,1,$G$2:G122,"SUV",$D$2:D122,D122)-1)</f>
        <v/>
      </c>
    </row>
    <row r="123" spans="1:17">
      <c r="A123" s="62" t="str">
        <f>IFERROR(INDEX($H$2:$H$3000,MATCH(0,INDEX(COUNTIF($A$1:A122,$H$2:$H$3000)+($H$2:$H$3000=""),0,0),0)),"")</f>
        <v>HONDA♦FIT</v>
      </c>
      <c r="B123" s="62" t="str">
        <f t="shared" si="4"/>
        <v>HONDA</v>
      </c>
      <c r="C123" s="62" t="str">
        <f t="shared" si="5"/>
        <v>FIT</v>
      </c>
      <c r="D123" s="63">
        <f t="shared" si="6"/>
        <v>0</v>
      </c>
      <c r="E123" s="62">
        <f>IF(D123="","",_xlfn.RANK.EQ(D123,$D$2:$D$1001,0)+COUNTIF($D$2:D123,D123)-1)</f>
        <v>304</v>
      </c>
      <c r="F123" s="62">
        <f>IF(B123="","",--(COUNTIF(CN_Brands!$A$2:$A$300,UPPER(B123))&gt;0))</f>
        <v>0</v>
      </c>
      <c r="G123" s="62" t="str">
        <f t="shared" si="7"/>
        <v>其他</v>
      </c>
      <c r="H123" s="62" t="str">
        <f>IF(AND('Data Export'!A123=前十整体车型排名!$B$2,'Data Export'!B123=前十整体车型排名!$B$3,'Data Export'!D123&lt;&gt;""),UPPER('Data Export'!C123)&amp;"♦"&amp;'Data Export'!D123,"")</f>
        <v>BMW♦SERIES 3</v>
      </c>
      <c r="I123" s="63">
        <f>IF(H123="","",IFERROR(INDEX('Data Export'!G123:CZ123,1,MATCH(前十整体车型排名!$B$4,'Data Export'!$G$1:$CZ$1,0)),0))</f>
        <v>0</v>
      </c>
      <c r="J123" s="62" t="str">
        <f>IF(H123="","",IF(OR('Data Export'!F123="三厢轿车",'Data Export'!F123="掀背轿车",'Data Export'!F123="旅行车",'Data Export'!F123="微型车",'Data Export'!F123="硬顶跑车",'Data Export'!F123="敞蓬车",'Data Export'!F123="Targa"),"轿车",IF(OR('Data Export'!F123="小型MPV",'Data Export'!F123="客车"),"MPV",IF('Data Export'!F123="运动型多功能车","SUV","其他"))))</f>
        <v>轿车</v>
      </c>
      <c r="K123" s="62" t="str">
        <f>IF(OR(D123="",NOT(F123=1)),"",1+SUMPRODUCT(($F$2:$F$1001=1)*($D$2:$D$1001&gt;D123))+COUNTIFS($F$2:F123,1,$D$2:D123,D123)-1)</f>
        <v/>
      </c>
      <c r="L123" s="62" t="str">
        <f>IF(OR(D123="",NOT(G123="轿车")),"",1+SUMPRODUCT(($G$2:$G$1001="轿车")*($D$2:$D$1001&gt;D123))+COUNTIFS($G$2:G123,"轿车",$D$2:D123,D123)-1)</f>
        <v/>
      </c>
      <c r="M123" s="62" t="str">
        <f>IF(OR(D123="",NOT(G123="MPV")),"",1+SUMPRODUCT(($G$2:$G$1001="MPV")*($D$2:$D$1001&gt;D123))+COUNTIFS($G$2:G123,"MPV",$D$2:D123,D123)-1)</f>
        <v/>
      </c>
      <c r="N123" s="62" t="str">
        <f>IF(OR(D123="",NOT(G123="SUV")),"",1+SUMPRODUCT(($G$2:$G$1001="SUV")*($D$2:$D$1001&gt;D123))+COUNTIFS($G$2:G123,"SUV",$D$2:D123,D123)-1)</f>
        <v/>
      </c>
      <c r="O123" s="62" t="str">
        <f>IF(OR(D123="",NOT(AND(F123=1,G123="轿车"))),"",1+SUMPRODUCT(($F$2:$F$1001=1)*($G$2:$G$1001="轿车")*($D$2:$D$1001&gt;D123))+COUNTIFS($F$2:F123,1,$G$2:G123,"轿车",$D$2:D123,D123)-1)</f>
        <v/>
      </c>
      <c r="P123" s="62" t="str">
        <f>IF(OR(D123="",NOT(AND(F123=1,G123="MPV"))),"",1+SUMPRODUCT(($F$2:$F$1001=1)*($G$2:$G$1001="MPV")*($D$2:$D$1001&gt;D123))+COUNTIFS($F$2:F123,1,$G$2:G123,"MPV",$D$2:D123,D123)-1)</f>
        <v/>
      </c>
      <c r="Q123" s="62" t="str">
        <f>IF(OR(D123="",NOT(AND(F123=1,G123="SUV"))),"",1+SUMPRODUCT(($F$2:$F$1001=1)*($G$2:$G$1001="SUV")*($D$2:$D$1001&gt;D123))+COUNTIFS($F$2:F123,1,$G$2:G123,"SUV",$D$2:D123,D123)-1)</f>
        <v/>
      </c>
    </row>
    <row r="124" spans="1:17">
      <c r="A124" s="62" t="str">
        <f>IFERROR(INDEX($H$2:$H$3000,MATCH(0,INDEX(COUNTIF($A$1:A123,$H$2:$H$3000)+($H$2:$H$3000=""),0,0),0)),"")</f>
        <v>HONDA♦FREED</v>
      </c>
      <c r="B124" s="62" t="str">
        <f t="shared" si="4"/>
        <v>HONDA</v>
      </c>
      <c r="C124" s="62" t="str">
        <f t="shared" si="5"/>
        <v>FREED</v>
      </c>
      <c r="D124" s="63">
        <f t="shared" si="6"/>
        <v>0</v>
      </c>
      <c r="E124" s="62">
        <f>IF(D124="","",_xlfn.RANK.EQ(D124,$D$2:$D$1001,0)+COUNTIF($D$2:D124,D124)-1)</f>
        <v>305</v>
      </c>
      <c r="F124" s="62">
        <f>IF(B124="","",--(COUNTIF(CN_Brands!$A$2:$A$300,UPPER(B124))&gt;0))</f>
        <v>0</v>
      </c>
      <c r="G124" s="62" t="str">
        <f t="shared" si="7"/>
        <v>MPV</v>
      </c>
      <c r="H124" s="62" t="str">
        <f>IF(AND('Data Export'!A124=前十整体车型排名!$B$2,'Data Export'!B124=前十整体车型排名!$B$3,'Data Export'!D124&lt;&gt;""),UPPER('Data Export'!C124)&amp;"♦"&amp;'Data Export'!D124,"")</f>
        <v>BMW♦SERIES 3</v>
      </c>
      <c r="I124" s="63">
        <f>IF(H124="","",IFERROR(INDEX('Data Export'!G124:CZ124,1,MATCH(前十整体车型排名!$B$4,'Data Export'!$G$1:$CZ$1,0)),0))</f>
        <v>0</v>
      </c>
      <c r="J124" s="62" t="str">
        <f>IF(H124="","",IF(OR('Data Export'!F124="三厢轿车",'Data Export'!F124="掀背轿车",'Data Export'!F124="旅行车",'Data Export'!F124="微型车",'Data Export'!F124="硬顶跑车",'Data Export'!F124="敞蓬车",'Data Export'!F124="Targa"),"轿车",IF(OR('Data Export'!F124="小型MPV",'Data Export'!F124="客车"),"MPV",IF('Data Export'!F124="运动型多功能车","SUV","其他"))))</f>
        <v>其他</v>
      </c>
      <c r="K124" s="62" t="str">
        <f>IF(OR(D124="",NOT(F124=1)),"",1+SUMPRODUCT(($F$2:$F$1001=1)*($D$2:$D$1001&gt;D124))+COUNTIFS($F$2:F124,1,$D$2:D124,D124)-1)</f>
        <v/>
      </c>
      <c r="L124" s="62" t="str">
        <f>IF(OR(D124="",NOT(G124="轿车")),"",1+SUMPRODUCT(($G$2:$G$1001="轿车")*($D$2:$D$1001&gt;D124))+COUNTIFS($G$2:G124,"轿车",$D$2:D124,D124)-1)</f>
        <v/>
      </c>
      <c r="M124" s="62">
        <f>IF(OR(D124="",NOT(G124="MPV")),"",1+SUMPRODUCT(($G$2:$G$1001="MPV")*($D$2:$D$1001&gt;D124))+COUNTIFS($G$2:G124,"MPV",$D$2:D124,D124)-1)</f>
        <v>4</v>
      </c>
      <c r="N124" s="62" t="str">
        <f>IF(OR(D124="",NOT(G124="SUV")),"",1+SUMPRODUCT(($G$2:$G$1001="SUV")*($D$2:$D$1001&gt;D124))+COUNTIFS($G$2:G124,"SUV",$D$2:D124,D124)-1)</f>
        <v/>
      </c>
      <c r="O124" s="62" t="str">
        <f>IF(OR(D124="",NOT(AND(F124=1,G124="轿车"))),"",1+SUMPRODUCT(($F$2:$F$1001=1)*($G$2:$G$1001="轿车")*($D$2:$D$1001&gt;D124))+COUNTIFS($F$2:F124,1,$G$2:G124,"轿车",$D$2:D124,D124)-1)</f>
        <v/>
      </c>
      <c r="P124" s="62" t="str">
        <f>IF(OR(D124="",NOT(AND(F124=1,G124="MPV"))),"",1+SUMPRODUCT(($F$2:$F$1001=1)*($G$2:$G$1001="MPV")*($D$2:$D$1001&gt;D124))+COUNTIFS($F$2:F124,1,$G$2:G124,"MPV",$D$2:D124,D124)-1)</f>
        <v/>
      </c>
      <c r="Q124" s="62" t="str">
        <f>IF(OR(D124="",NOT(AND(F124=1,G124="SUV"))),"",1+SUMPRODUCT(($F$2:$F$1001=1)*($G$2:$G$1001="SUV")*($D$2:$D$1001&gt;D124))+COUNTIFS($F$2:F124,1,$G$2:G124,"SUV",$D$2:D124,D124)-1)</f>
        <v/>
      </c>
    </row>
    <row r="125" spans="1:17">
      <c r="A125" s="62" t="str">
        <f>IFERROR(INDEX($H$2:$H$3000,MATCH(0,INDEX(COUNTIF($A$1:A124,$H$2:$H$3000)+($H$2:$H$3000=""),0,0),0)),"")</f>
        <v>HONDA♦HONDA E</v>
      </c>
      <c r="B125" s="62" t="str">
        <f t="shared" si="4"/>
        <v>HONDA</v>
      </c>
      <c r="C125" s="62" t="str">
        <f t="shared" si="5"/>
        <v>HONDA E</v>
      </c>
      <c r="D125" s="63">
        <f t="shared" si="6"/>
        <v>0</v>
      </c>
      <c r="E125" s="62">
        <f>IF(D125="","",_xlfn.RANK.EQ(D125,$D$2:$D$1001,0)+COUNTIF($D$2:D125,D125)-1)</f>
        <v>306</v>
      </c>
      <c r="F125" s="62">
        <f>IF(B125="","",--(COUNTIF(CN_Brands!$A$2:$A$300,UPPER(B125))&gt;0))</f>
        <v>0</v>
      </c>
      <c r="G125" s="62" t="str">
        <f t="shared" si="7"/>
        <v>轿车</v>
      </c>
      <c r="H125" s="62" t="str">
        <f>IF(AND('Data Export'!A125=前十整体车型排名!$B$2,'Data Export'!B125=前十整体车型排名!$B$3,'Data Export'!D125&lt;&gt;""),UPPER('Data Export'!C125)&amp;"♦"&amp;'Data Export'!D125,"")</f>
        <v>BMW♦SERIES 3</v>
      </c>
      <c r="I125" s="63">
        <f>IF(H125="","",IFERROR(INDEX('Data Export'!G125:CZ125,1,MATCH(前十整体车型排名!$B$4,'Data Export'!$G$1:$CZ$1,0)),0))</f>
        <v>15</v>
      </c>
      <c r="J125" s="62" t="str">
        <f>IF(H125="","",IF(OR('Data Export'!F125="三厢轿车",'Data Export'!F125="掀背轿车",'Data Export'!F125="旅行车",'Data Export'!F125="微型车",'Data Export'!F125="硬顶跑车",'Data Export'!F125="敞蓬车",'Data Export'!F125="Targa"),"轿车",IF(OR('Data Export'!F125="小型MPV",'Data Export'!F125="客车"),"MPV",IF('Data Export'!F125="运动型多功能车","SUV","其他"))))</f>
        <v>轿车</v>
      </c>
      <c r="K125" s="62" t="str">
        <f>IF(OR(D125="",NOT(F125=1)),"",1+SUMPRODUCT(($F$2:$F$1001=1)*($D$2:$D$1001&gt;D125))+COUNTIFS($F$2:F125,1,$D$2:D125,D125)-1)</f>
        <v/>
      </c>
      <c r="L125" s="62">
        <f>IF(OR(D125="",NOT(G125="轿车")),"",1+SUMPRODUCT(($G$2:$G$1001="轿车")*($D$2:$D$1001&gt;D125))+COUNTIFS($G$2:G125,"轿车",$D$2:D125,D125)-1)</f>
        <v>100</v>
      </c>
      <c r="M125" s="62" t="str">
        <f>IF(OR(D125="",NOT(G125="MPV")),"",1+SUMPRODUCT(($G$2:$G$1001="MPV")*($D$2:$D$1001&gt;D125))+COUNTIFS($G$2:G125,"MPV",$D$2:D125,D125)-1)</f>
        <v/>
      </c>
      <c r="N125" s="62" t="str">
        <f>IF(OR(D125="",NOT(G125="SUV")),"",1+SUMPRODUCT(($G$2:$G$1001="SUV")*($D$2:$D$1001&gt;D125))+COUNTIFS($G$2:G125,"SUV",$D$2:D125,D125)-1)</f>
        <v/>
      </c>
      <c r="O125" s="62" t="str">
        <f>IF(OR(D125="",NOT(AND(F125=1,G125="轿车"))),"",1+SUMPRODUCT(($F$2:$F$1001=1)*($G$2:$G$1001="轿车")*($D$2:$D$1001&gt;D125))+COUNTIFS($F$2:F125,1,$G$2:G125,"轿车",$D$2:D125,D125)-1)</f>
        <v/>
      </c>
      <c r="P125" s="62" t="str">
        <f>IF(OR(D125="",NOT(AND(F125=1,G125="MPV"))),"",1+SUMPRODUCT(($F$2:$F$1001=1)*($G$2:$G$1001="MPV")*($D$2:$D$1001&gt;D125))+COUNTIFS($F$2:F125,1,$G$2:G125,"MPV",$D$2:D125,D125)-1)</f>
        <v/>
      </c>
      <c r="Q125" s="62" t="str">
        <f>IF(OR(D125="",NOT(AND(F125=1,G125="SUV"))),"",1+SUMPRODUCT(($F$2:$F$1001=1)*($G$2:$G$1001="SUV")*($D$2:$D$1001&gt;D125))+COUNTIFS($F$2:F125,1,$G$2:G125,"SUV",$D$2:D125,D125)-1)</f>
        <v/>
      </c>
    </row>
    <row r="126" spans="1:17">
      <c r="A126" s="62" t="str">
        <f>IFERROR(INDEX($H$2:$H$3000,MATCH(0,INDEX(COUNTIF($A$1:A125,$H$2:$H$3000)+($H$2:$H$3000=""),0,0),0)),"")</f>
        <v>HONDA♦HR-V</v>
      </c>
      <c r="B126" s="62" t="str">
        <f t="shared" si="4"/>
        <v>HONDA</v>
      </c>
      <c r="C126" s="62" t="str">
        <f t="shared" si="5"/>
        <v>HR-V</v>
      </c>
      <c r="D126" s="63">
        <f t="shared" si="6"/>
        <v>1734</v>
      </c>
      <c r="E126" s="62">
        <f>IF(D126="","",_xlfn.RANK.EQ(D126,$D$2:$D$1001,0)+COUNTIF($D$2:D126,D126)-1)</f>
        <v>5</v>
      </c>
      <c r="F126" s="62">
        <f>IF(B126="","",--(COUNTIF(CN_Brands!$A$2:$A$300,UPPER(B126))&gt;0))</f>
        <v>0</v>
      </c>
      <c r="G126" s="62" t="str">
        <f t="shared" si="7"/>
        <v>SUV</v>
      </c>
      <c r="H126" s="62" t="str">
        <f>IF(AND('Data Export'!A126=前十整体车型排名!$B$2,'Data Export'!B126=前十整体车型排名!$B$3,'Data Export'!D126&lt;&gt;""),UPPER('Data Export'!C126)&amp;"♦"&amp;'Data Export'!D126,"")</f>
        <v>BMW♦SERIES 3</v>
      </c>
      <c r="I126" s="63">
        <f>IF(H126="","",IFERROR(INDEX('Data Export'!G126:CZ126,1,MATCH(前十整体车型排名!$B$4,'Data Export'!$G$1:$CZ$1,0)),0))</f>
        <v>0</v>
      </c>
      <c r="J126" s="62" t="str">
        <f>IF(H126="","",IF(OR('Data Export'!F126="三厢轿车",'Data Export'!F126="掀背轿车",'Data Export'!F126="旅行车",'Data Export'!F126="微型车",'Data Export'!F126="硬顶跑车",'Data Export'!F126="敞蓬车",'Data Export'!F126="Targa"),"轿车",IF(OR('Data Export'!F126="小型MPV",'Data Export'!F126="客车"),"MPV",IF('Data Export'!F126="运动型多功能车","SUV","其他"))))</f>
        <v>轿车</v>
      </c>
      <c r="K126" s="62" t="str">
        <f>IF(OR(D126="",NOT(F126=1)),"",1+SUMPRODUCT(($F$2:$F$1001=1)*($D$2:$D$1001&gt;D126))+COUNTIFS($F$2:F126,1,$D$2:D126,D126)-1)</f>
        <v/>
      </c>
      <c r="L126" s="62" t="str">
        <f>IF(OR(D126="",NOT(G126="轿车")),"",1+SUMPRODUCT(($G$2:$G$1001="轿车")*($D$2:$D$1001&gt;D126))+COUNTIFS($G$2:G126,"轿车",$D$2:D126,D126)-1)</f>
        <v/>
      </c>
      <c r="M126" s="62" t="str">
        <f>IF(OR(D126="",NOT(G126="MPV")),"",1+SUMPRODUCT(($G$2:$G$1001="MPV")*($D$2:$D$1001&gt;D126))+COUNTIFS($G$2:G126,"MPV",$D$2:D126,D126)-1)</f>
        <v/>
      </c>
      <c r="N126" s="62">
        <f>IF(OR(D126="",NOT(G126="SUV")),"",1+SUMPRODUCT(($G$2:$G$1001="SUV")*($D$2:$D$1001&gt;D126))+COUNTIFS($G$2:G126,"SUV",$D$2:D126,D126)-1)</f>
        <v>3</v>
      </c>
      <c r="O126" s="62" t="str">
        <f>IF(OR(D126="",NOT(AND(F126=1,G126="轿车"))),"",1+SUMPRODUCT(($F$2:$F$1001=1)*($G$2:$G$1001="轿车")*($D$2:$D$1001&gt;D126))+COUNTIFS($F$2:F126,1,$G$2:G126,"轿车",$D$2:D126,D126)-1)</f>
        <v/>
      </c>
      <c r="P126" s="62" t="str">
        <f>IF(OR(D126="",NOT(AND(F126=1,G126="MPV"))),"",1+SUMPRODUCT(($F$2:$F$1001=1)*($G$2:$G$1001="MPV")*($D$2:$D$1001&gt;D126))+COUNTIFS($F$2:F126,1,$G$2:G126,"MPV",$D$2:D126,D126)-1)</f>
        <v/>
      </c>
      <c r="Q126" s="62" t="str">
        <f>IF(OR(D126="",NOT(AND(F126=1,G126="SUV"))),"",1+SUMPRODUCT(($F$2:$F$1001=1)*($G$2:$G$1001="SUV")*($D$2:$D$1001&gt;D126))+COUNTIFS($F$2:F126,1,$G$2:G126,"SUV",$D$2:D126,D126)-1)</f>
        <v/>
      </c>
    </row>
    <row r="127" spans="1:17">
      <c r="A127" s="62" t="str">
        <f>IFERROR(INDEX($H$2:$H$3000,MATCH(0,INDEX(COUNTIF($A$1:A126,$H$2:$H$3000)+($H$2:$H$3000=""),0,0),0)),"")</f>
        <v>HONDA♦JAZZ</v>
      </c>
      <c r="B127" s="62" t="str">
        <f t="shared" si="4"/>
        <v>HONDA</v>
      </c>
      <c r="C127" s="62" t="str">
        <f t="shared" si="5"/>
        <v>JAZZ</v>
      </c>
      <c r="D127" s="63">
        <f t="shared" si="6"/>
        <v>0</v>
      </c>
      <c r="E127" s="62">
        <f>IF(D127="","",_xlfn.RANK.EQ(D127,$D$2:$D$1001,0)+COUNTIF($D$2:D127,D127)-1)</f>
        <v>307</v>
      </c>
      <c r="F127" s="62">
        <f>IF(B127="","",--(COUNTIF(CN_Brands!$A$2:$A$300,UPPER(B127))&gt;0))</f>
        <v>0</v>
      </c>
      <c r="G127" s="62" t="str">
        <f t="shared" si="7"/>
        <v>轿车</v>
      </c>
      <c r="H127" s="62" t="str">
        <f>IF(AND('Data Export'!A127=前十整体车型排名!$B$2,'Data Export'!B127=前十整体车型排名!$B$3,'Data Export'!D127&lt;&gt;""),UPPER('Data Export'!C127)&amp;"♦"&amp;'Data Export'!D127,"")</f>
        <v>BMW♦SERIES 3</v>
      </c>
      <c r="I127" s="63">
        <f>IF(H127="","",IFERROR(INDEX('Data Export'!G127:CZ127,1,MATCH(前十整体车型排名!$B$4,'Data Export'!$G$1:$CZ$1,0)),0))</f>
        <v>0</v>
      </c>
      <c r="J127" s="62" t="str">
        <f>IF(H127="","",IF(OR('Data Export'!F127="三厢轿车",'Data Export'!F127="掀背轿车",'Data Export'!F127="旅行车",'Data Export'!F127="微型车",'Data Export'!F127="硬顶跑车",'Data Export'!F127="敞蓬车",'Data Export'!F127="Targa"),"轿车",IF(OR('Data Export'!F127="小型MPV",'Data Export'!F127="客车"),"MPV",IF('Data Export'!F127="运动型多功能车","SUV","其他"))))</f>
        <v>其他</v>
      </c>
      <c r="K127" s="62" t="str">
        <f>IF(OR(D127="",NOT(F127=1)),"",1+SUMPRODUCT(($F$2:$F$1001=1)*($D$2:$D$1001&gt;D127))+COUNTIFS($F$2:F127,1,$D$2:D127,D127)-1)</f>
        <v/>
      </c>
      <c r="L127" s="62">
        <f>IF(OR(D127="",NOT(G127="轿车")),"",1+SUMPRODUCT(($G$2:$G$1001="轿车")*($D$2:$D$1001&gt;D127))+COUNTIFS($G$2:G127,"轿车",$D$2:D127,D127)-1)</f>
        <v>101</v>
      </c>
      <c r="M127" s="62" t="str">
        <f>IF(OR(D127="",NOT(G127="MPV")),"",1+SUMPRODUCT(($G$2:$G$1001="MPV")*($D$2:$D$1001&gt;D127))+COUNTIFS($G$2:G127,"MPV",$D$2:D127,D127)-1)</f>
        <v/>
      </c>
      <c r="N127" s="62" t="str">
        <f>IF(OR(D127="",NOT(G127="SUV")),"",1+SUMPRODUCT(($G$2:$G$1001="SUV")*($D$2:$D$1001&gt;D127))+COUNTIFS($G$2:G127,"SUV",$D$2:D127,D127)-1)</f>
        <v/>
      </c>
      <c r="O127" s="62" t="str">
        <f>IF(OR(D127="",NOT(AND(F127=1,G127="轿车"))),"",1+SUMPRODUCT(($F$2:$F$1001=1)*($G$2:$G$1001="轿车")*($D$2:$D$1001&gt;D127))+COUNTIFS($F$2:F127,1,$G$2:G127,"轿车",$D$2:D127,D127)-1)</f>
        <v/>
      </c>
      <c r="P127" s="62" t="str">
        <f>IF(OR(D127="",NOT(AND(F127=1,G127="MPV"))),"",1+SUMPRODUCT(($F$2:$F$1001=1)*($G$2:$G$1001="MPV")*($D$2:$D$1001&gt;D127))+COUNTIFS($F$2:F127,1,$G$2:G127,"MPV",$D$2:D127,D127)-1)</f>
        <v/>
      </c>
      <c r="Q127" s="62" t="str">
        <f>IF(OR(D127="",NOT(AND(F127=1,G127="SUV"))),"",1+SUMPRODUCT(($F$2:$F$1001=1)*($G$2:$G$1001="SUV")*($D$2:$D$1001&gt;D127))+COUNTIFS($F$2:F127,1,$G$2:G127,"SUV",$D$2:D127,D127)-1)</f>
        <v/>
      </c>
    </row>
    <row r="128" spans="1:17">
      <c r="A128" s="62" t="str">
        <f>IFERROR(INDEX($H$2:$H$3000,MATCH(0,INDEX(COUNTIF($A$1:A127,$H$2:$H$3000)+($H$2:$H$3000=""),0,0),0)),"")</f>
        <v>HONDA♦MOBILIO</v>
      </c>
      <c r="B128" s="62" t="str">
        <f t="shared" si="4"/>
        <v>HONDA</v>
      </c>
      <c r="C128" s="62" t="str">
        <f t="shared" si="5"/>
        <v>MOBILIO</v>
      </c>
      <c r="D128" s="63">
        <f t="shared" si="6"/>
        <v>0</v>
      </c>
      <c r="E128" s="62">
        <f>IF(D128="","",_xlfn.RANK.EQ(D128,$D$2:$D$1001,0)+COUNTIF($D$2:D128,D128)-1)</f>
        <v>308</v>
      </c>
      <c r="F128" s="62">
        <f>IF(B128="","",--(COUNTIF(CN_Brands!$A$2:$A$300,UPPER(B128))&gt;0))</f>
        <v>0</v>
      </c>
      <c r="G128" s="62" t="str">
        <f t="shared" si="7"/>
        <v>MPV</v>
      </c>
      <c r="H128" s="62" t="str">
        <f>IF(AND('Data Export'!A128=前十整体车型排名!$B$2,'Data Export'!B128=前十整体车型排名!$B$3,'Data Export'!D128&lt;&gt;""),UPPER('Data Export'!C128)&amp;"♦"&amp;'Data Export'!D128,"")</f>
        <v>BMW♦SERIES 3</v>
      </c>
      <c r="I128" s="63">
        <f>IF(H128="","",IFERROR(INDEX('Data Export'!G128:CZ128,1,MATCH(前十整体车型排名!$B$4,'Data Export'!$G$1:$CZ$1,0)),0))</f>
        <v>16</v>
      </c>
      <c r="J128" s="62" t="str">
        <f>IF(H128="","",IF(OR('Data Export'!F128="三厢轿车",'Data Export'!F128="掀背轿车",'Data Export'!F128="旅行车",'Data Export'!F128="微型车",'Data Export'!F128="硬顶跑车",'Data Export'!F128="敞蓬车",'Data Export'!F128="Targa"),"轿车",IF(OR('Data Export'!F128="小型MPV",'Data Export'!F128="客车"),"MPV",IF('Data Export'!F128="运动型多功能车","SUV","其他"))))</f>
        <v>其他</v>
      </c>
      <c r="K128" s="62" t="str">
        <f>IF(OR(D128="",NOT(F128=1)),"",1+SUMPRODUCT(($F$2:$F$1001=1)*($D$2:$D$1001&gt;D128))+COUNTIFS($F$2:F128,1,$D$2:D128,D128)-1)</f>
        <v/>
      </c>
      <c r="L128" s="62" t="str">
        <f>IF(OR(D128="",NOT(G128="轿车")),"",1+SUMPRODUCT(($G$2:$G$1001="轿车")*($D$2:$D$1001&gt;D128))+COUNTIFS($G$2:G128,"轿车",$D$2:D128,D128)-1)</f>
        <v/>
      </c>
      <c r="M128" s="62">
        <f>IF(OR(D128="",NOT(G128="MPV")),"",1+SUMPRODUCT(($G$2:$G$1001="MPV")*($D$2:$D$1001&gt;D128))+COUNTIFS($G$2:G128,"MPV",$D$2:D128,D128)-1)</f>
        <v>5</v>
      </c>
      <c r="N128" s="62" t="str">
        <f>IF(OR(D128="",NOT(G128="SUV")),"",1+SUMPRODUCT(($G$2:$G$1001="SUV")*($D$2:$D$1001&gt;D128))+COUNTIFS($G$2:G128,"SUV",$D$2:D128,D128)-1)</f>
        <v/>
      </c>
      <c r="O128" s="62" t="str">
        <f>IF(OR(D128="",NOT(AND(F128=1,G128="轿车"))),"",1+SUMPRODUCT(($F$2:$F$1001=1)*($G$2:$G$1001="轿车")*($D$2:$D$1001&gt;D128))+COUNTIFS($F$2:F128,1,$G$2:G128,"轿车",$D$2:D128,D128)-1)</f>
        <v/>
      </c>
      <c r="P128" s="62" t="str">
        <f>IF(OR(D128="",NOT(AND(F128=1,G128="MPV"))),"",1+SUMPRODUCT(($F$2:$F$1001=1)*($G$2:$G$1001="MPV")*($D$2:$D$1001&gt;D128))+COUNTIFS($F$2:F128,1,$G$2:G128,"MPV",$D$2:D128,D128)-1)</f>
        <v/>
      </c>
      <c r="Q128" s="62" t="str">
        <f>IF(OR(D128="",NOT(AND(F128=1,G128="SUV"))),"",1+SUMPRODUCT(($F$2:$F$1001=1)*($G$2:$G$1001="SUV")*($D$2:$D$1001&gt;D128))+COUNTIFS($F$2:F128,1,$G$2:G128,"SUV",$D$2:D128,D128)-1)</f>
        <v/>
      </c>
    </row>
    <row r="129" spans="1:17">
      <c r="A129" s="62" t="str">
        <f>IFERROR(INDEX($H$2:$H$3000,MATCH(0,INDEX(COUNTIF($A$1:A128,$H$2:$H$3000)+($H$2:$H$3000=""),0,0),0)),"")</f>
        <v>HONDA♦N-BOX</v>
      </c>
      <c r="B129" s="62" t="str">
        <f t="shared" si="4"/>
        <v>HONDA</v>
      </c>
      <c r="C129" s="62" t="str">
        <f t="shared" si="5"/>
        <v>N-BOX</v>
      </c>
      <c r="D129" s="63">
        <f t="shared" si="6"/>
        <v>1</v>
      </c>
      <c r="E129" s="62">
        <f>IF(D129="","",_xlfn.RANK.EQ(D129,$D$2:$D$1001,0)+COUNTIF($D$2:D129,D129)-1)</f>
        <v>234</v>
      </c>
      <c r="F129" s="62">
        <f>IF(B129="","",--(COUNTIF(CN_Brands!$A$2:$A$300,UPPER(B129))&gt;0))</f>
        <v>0</v>
      </c>
      <c r="G129" s="62" t="str">
        <f t="shared" si="7"/>
        <v>其他</v>
      </c>
      <c r="H129" s="62" t="str">
        <f>IF(AND('Data Export'!A129=前十整体车型排名!$B$2,'Data Export'!B129=前十整体车型排名!$B$3,'Data Export'!D129&lt;&gt;""),UPPER('Data Export'!C129)&amp;"♦"&amp;'Data Export'!D129,"")</f>
        <v>BMW♦SERIES 4</v>
      </c>
      <c r="I129" s="63">
        <f>IF(H129="","",IFERROR(INDEX('Data Export'!G129:CZ129,1,MATCH(前十整体车型排名!$B$4,'Data Export'!$G$1:$CZ$1,0)),0))</f>
        <v>3</v>
      </c>
      <c r="J129" s="62" t="str">
        <f>IF(H129="","",IF(OR('Data Export'!F129="三厢轿车",'Data Export'!F129="掀背轿车",'Data Export'!F129="旅行车",'Data Export'!F129="微型车",'Data Export'!F129="硬顶跑车",'Data Export'!F129="敞蓬车",'Data Export'!F129="Targa"),"轿车",IF(OR('Data Export'!F129="小型MPV",'Data Export'!F129="客车"),"MPV",IF('Data Export'!F129="运动型多功能车","SUV","其他"))))</f>
        <v>轿车</v>
      </c>
      <c r="K129" s="62" t="str">
        <f>IF(OR(D129="",NOT(F129=1)),"",1+SUMPRODUCT(($F$2:$F$1001=1)*($D$2:$D$1001&gt;D129))+COUNTIFS($F$2:F129,1,$D$2:D129,D129)-1)</f>
        <v/>
      </c>
      <c r="L129" s="62" t="str">
        <f>IF(OR(D129="",NOT(G129="轿车")),"",1+SUMPRODUCT(($G$2:$G$1001="轿车")*($D$2:$D$1001&gt;D129))+COUNTIFS($G$2:G129,"轿车",$D$2:D129,D129)-1)</f>
        <v/>
      </c>
      <c r="M129" s="62" t="str">
        <f>IF(OR(D129="",NOT(G129="MPV")),"",1+SUMPRODUCT(($G$2:$G$1001="MPV")*($D$2:$D$1001&gt;D129))+COUNTIFS($G$2:G129,"MPV",$D$2:D129,D129)-1)</f>
        <v/>
      </c>
      <c r="N129" s="62" t="str">
        <f>IF(OR(D129="",NOT(G129="SUV")),"",1+SUMPRODUCT(($G$2:$G$1001="SUV")*($D$2:$D$1001&gt;D129))+COUNTIFS($G$2:G129,"SUV",$D$2:D129,D129)-1)</f>
        <v/>
      </c>
      <c r="O129" s="62" t="str">
        <f>IF(OR(D129="",NOT(AND(F129=1,G129="轿车"))),"",1+SUMPRODUCT(($F$2:$F$1001=1)*($G$2:$G$1001="轿车")*($D$2:$D$1001&gt;D129))+COUNTIFS($F$2:F129,1,$G$2:G129,"轿车",$D$2:D129,D129)-1)</f>
        <v/>
      </c>
      <c r="P129" s="62" t="str">
        <f>IF(OR(D129="",NOT(AND(F129=1,G129="MPV"))),"",1+SUMPRODUCT(($F$2:$F$1001=1)*($G$2:$G$1001="MPV")*($D$2:$D$1001&gt;D129))+COUNTIFS($F$2:F129,1,$G$2:G129,"MPV",$D$2:D129,D129)-1)</f>
        <v/>
      </c>
      <c r="Q129" s="62" t="str">
        <f>IF(OR(D129="",NOT(AND(F129=1,G129="SUV"))),"",1+SUMPRODUCT(($F$2:$F$1001=1)*($G$2:$G$1001="SUV")*($D$2:$D$1001&gt;D129))+COUNTIFS($F$2:F129,1,$G$2:G129,"SUV",$D$2:D129,D129)-1)</f>
        <v/>
      </c>
    </row>
    <row r="130" spans="1:17">
      <c r="A130" s="62" t="str">
        <f>IFERROR(INDEX($H$2:$H$3000,MATCH(0,INDEX(COUNTIF($A$1:A129,$H$2:$H$3000)+($H$2:$H$3000=""),0,0),0)),"")</f>
        <v>HONDA♦ODYSSEY</v>
      </c>
      <c r="B130" s="62" t="str">
        <f t="shared" ref="B130:B193" si="8">IF(A130="","",LEFT(A130,FIND("♦",A130)-1))</f>
        <v>HONDA</v>
      </c>
      <c r="C130" s="62" t="str">
        <f t="shared" ref="C130:C193" si="9">IF(A130="","",MID(A130,FIND("♦",A130)+1,999))</f>
        <v>ODYSSEY</v>
      </c>
      <c r="D130" s="63">
        <f t="shared" ref="D130:D193" si="10">IF(A130="","",SUMIF($H$2:$H$3000,A130,$I$2:$I$3000))</f>
        <v>1</v>
      </c>
      <c r="E130" s="62">
        <f>IF(D130="","",_xlfn.RANK.EQ(D130,$D$2:$D$1001,0)+COUNTIF($D$2:D130,D130)-1)</f>
        <v>235</v>
      </c>
      <c r="F130" s="62">
        <f>IF(B130="","",--(COUNTIF(CN_Brands!$A$2:$A$300,UPPER(B130))&gt;0))</f>
        <v>0</v>
      </c>
      <c r="G130" s="62" t="str">
        <f t="shared" ref="G130:G193" si="11">IF(A130="","",IFERROR(INDEX($J$2:$J$3000,MATCH(A130,$H$2:$H$3000,0)),"其他"))</f>
        <v>其他</v>
      </c>
      <c r="H130" s="62" t="str">
        <f>IF(AND('Data Export'!A130=前十整体车型排名!$B$2,'Data Export'!B130=前十整体车型排名!$B$3,'Data Export'!D130&lt;&gt;""),UPPER('Data Export'!C130)&amp;"♦"&amp;'Data Export'!D130,"")</f>
        <v>BMW♦SERIES 4</v>
      </c>
      <c r="I130" s="63">
        <f>IF(H130="","",IFERROR(INDEX('Data Export'!G130:CZ130,1,MATCH(前十整体车型排名!$B$4,'Data Export'!$G$1:$CZ$1,0)),0))</f>
        <v>2</v>
      </c>
      <c r="J130" s="62" t="str">
        <f>IF(H130="","",IF(OR('Data Export'!F130="三厢轿车",'Data Export'!F130="掀背轿车",'Data Export'!F130="旅行车",'Data Export'!F130="微型车",'Data Export'!F130="硬顶跑车",'Data Export'!F130="敞蓬车",'Data Export'!F130="Targa"),"轿车",IF(OR('Data Export'!F130="小型MPV",'Data Export'!F130="客车"),"MPV",IF('Data Export'!F130="运动型多功能车","SUV","其他"))))</f>
        <v>轿车</v>
      </c>
      <c r="K130" s="62" t="str">
        <f>IF(OR(D130="",NOT(F130=1)),"",1+SUMPRODUCT(($F$2:$F$1001=1)*($D$2:$D$1001&gt;D130))+COUNTIFS($F$2:F130,1,$D$2:D130,D130)-1)</f>
        <v/>
      </c>
      <c r="L130" s="62" t="str">
        <f>IF(OR(D130="",NOT(G130="轿车")),"",1+SUMPRODUCT(($G$2:$G$1001="轿车")*($D$2:$D$1001&gt;D130))+COUNTIFS($G$2:G130,"轿车",$D$2:D130,D130)-1)</f>
        <v/>
      </c>
      <c r="M130" s="62" t="str">
        <f>IF(OR(D130="",NOT(G130="MPV")),"",1+SUMPRODUCT(($G$2:$G$1001="MPV")*($D$2:$D$1001&gt;D130))+COUNTIFS($G$2:G130,"MPV",$D$2:D130,D130)-1)</f>
        <v/>
      </c>
      <c r="N130" s="62" t="str">
        <f>IF(OR(D130="",NOT(G130="SUV")),"",1+SUMPRODUCT(($G$2:$G$1001="SUV")*($D$2:$D$1001&gt;D130))+COUNTIFS($G$2:G130,"SUV",$D$2:D130,D130)-1)</f>
        <v/>
      </c>
      <c r="O130" s="62" t="str">
        <f>IF(OR(D130="",NOT(AND(F130=1,G130="轿车"))),"",1+SUMPRODUCT(($F$2:$F$1001=1)*($G$2:$G$1001="轿车")*($D$2:$D$1001&gt;D130))+COUNTIFS($F$2:F130,1,$G$2:G130,"轿车",$D$2:D130,D130)-1)</f>
        <v/>
      </c>
      <c r="P130" s="62" t="str">
        <f>IF(OR(D130="",NOT(AND(F130=1,G130="MPV"))),"",1+SUMPRODUCT(($F$2:$F$1001=1)*($G$2:$G$1001="MPV")*($D$2:$D$1001&gt;D130))+COUNTIFS($F$2:F130,1,$G$2:G130,"MPV",$D$2:D130,D130)-1)</f>
        <v/>
      </c>
      <c r="Q130" s="62" t="str">
        <f>IF(OR(D130="",NOT(AND(F130=1,G130="SUV"))),"",1+SUMPRODUCT(($F$2:$F$1001=1)*($G$2:$G$1001="SUV")*($D$2:$D$1001&gt;D130))+COUNTIFS($F$2:F130,1,$G$2:G130,"SUV",$D$2:D130,D130)-1)</f>
        <v/>
      </c>
    </row>
    <row r="131" spans="1:17">
      <c r="A131" s="62" t="str">
        <f>IFERROR(INDEX($H$2:$H$3000,MATCH(0,INDEX(COUNTIF($A$1:A130,$H$2:$H$3000)+($H$2:$H$3000=""),0,0),0)),"")</f>
        <v>HONDA♦OTHER</v>
      </c>
      <c r="B131" s="62" t="str">
        <f t="shared" si="8"/>
        <v>HONDA</v>
      </c>
      <c r="C131" s="62" t="str">
        <f t="shared" si="9"/>
        <v>OTHER</v>
      </c>
      <c r="D131" s="63">
        <f t="shared" si="10"/>
        <v>0</v>
      </c>
      <c r="E131" s="62">
        <f>IF(D131="","",_xlfn.RANK.EQ(D131,$D$2:$D$1001,0)+COUNTIF($D$2:D131,D131)-1)</f>
        <v>309</v>
      </c>
      <c r="F131" s="62">
        <f>IF(B131="","",--(COUNTIF(CN_Brands!$A$2:$A$300,UPPER(B131))&gt;0))</f>
        <v>0</v>
      </c>
      <c r="G131" s="62" t="str">
        <f t="shared" si="11"/>
        <v>其他</v>
      </c>
      <c r="H131" s="62" t="str">
        <f>IF(AND('Data Export'!A131=前十整体车型排名!$B$2,'Data Export'!B131=前十整体车型排名!$B$3,'Data Export'!D131&lt;&gt;""),UPPER('Data Export'!C131)&amp;"♦"&amp;'Data Export'!D131,"")</f>
        <v>BMW♦SERIES 4</v>
      </c>
      <c r="I131" s="63">
        <f>IF(H131="","",IFERROR(INDEX('Data Export'!G131:CZ131,1,MATCH(前十整体车型排名!$B$4,'Data Export'!$G$1:$CZ$1,0)),0))</f>
        <v>0</v>
      </c>
      <c r="J131" s="62" t="str">
        <f>IF(H131="","",IF(OR('Data Export'!F131="三厢轿车",'Data Export'!F131="掀背轿车",'Data Export'!F131="旅行车",'Data Export'!F131="微型车",'Data Export'!F131="硬顶跑车",'Data Export'!F131="敞蓬车",'Data Export'!F131="Targa"),"轿车",IF(OR('Data Export'!F131="小型MPV",'Data Export'!F131="客车"),"MPV",IF('Data Export'!F131="运动型多功能车","SUV","其他"))))</f>
        <v>轿车</v>
      </c>
      <c r="K131" s="62" t="str">
        <f>IF(OR(D131="",NOT(F131=1)),"",1+SUMPRODUCT(($F$2:$F$1001=1)*($D$2:$D$1001&gt;D131))+COUNTIFS($F$2:F131,1,$D$2:D131,D131)-1)</f>
        <v/>
      </c>
      <c r="L131" s="62" t="str">
        <f>IF(OR(D131="",NOT(G131="轿车")),"",1+SUMPRODUCT(($G$2:$G$1001="轿车")*($D$2:$D$1001&gt;D131))+COUNTIFS($G$2:G131,"轿车",$D$2:D131,D131)-1)</f>
        <v/>
      </c>
      <c r="M131" s="62" t="str">
        <f>IF(OR(D131="",NOT(G131="MPV")),"",1+SUMPRODUCT(($G$2:$G$1001="MPV")*($D$2:$D$1001&gt;D131))+COUNTIFS($G$2:G131,"MPV",$D$2:D131,D131)-1)</f>
        <v/>
      </c>
      <c r="N131" s="62" t="str">
        <f>IF(OR(D131="",NOT(G131="SUV")),"",1+SUMPRODUCT(($G$2:$G$1001="SUV")*($D$2:$D$1001&gt;D131))+COUNTIFS($G$2:G131,"SUV",$D$2:D131,D131)-1)</f>
        <v/>
      </c>
      <c r="O131" s="62" t="str">
        <f>IF(OR(D131="",NOT(AND(F131=1,G131="轿车"))),"",1+SUMPRODUCT(($F$2:$F$1001=1)*($G$2:$G$1001="轿车")*($D$2:$D$1001&gt;D131))+COUNTIFS($F$2:F131,1,$G$2:G131,"轿车",$D$2:D131,D131)-1)</f>
        <v/>
      </c>
      <c r="P131" s="62" t="str">
        <f>IF(OR(D131="",NOT(AND(F131=1,G131="MPV"))),"",1+SUMPRODUCT(($F$2:$F$1001=1)*($G$2:$G$1001="MPV")*($D$2:$D$1001&gt;D131))+COUNTIFS($F$2:F131,1,$G$2:G131,"MPV",$D$2:D131,D131)-1)</f>
        <v/>
      </c>
      <c r="Q131" s="62" t="str">
        <f>IF(OR(D131="",NOT(AND(F131=1,G131="SUV"))),"",1+SUMPRODUCT(($F$2:$F$1001=1)*($G$2:$G$1001="SUV")*($D$2:$D$1001&gt;D131))+COUNTIFS($F$2:F131,1,$G$2:G131,"SUV",$D$2:D131,D131)-1)</f>
        <v/>
      </c>
    </row>
    <row r="132" spans="1:17">
      <c r="A132" s="62" t="str">
        <f>IFERROR(INDEX($H$2:$H$3000,MATCH(0,INDEX(COUNTIF($A$1:A131,$H$2:$H$3000)+($H$2:$H$3000=""),0,0),0)),"")</f>
        <v>HONDA♦PRELUDE</v>
      </c>
      <c r="B132" s="62" t="str">
        <f t="shared" si="8"/>
        <v>HONDA</v>
      </c>
      <c r="C132" s="62" t="str">
        <f t="shared" si="9"/>
        <v>PRELUDE</v>
      </c>
      <c r="D132" s="63">
        <f t="shared" si="10"/>
        <v>1</v>
      </c>
      <c r="E132" s="62">
        <f>IF(D132="","",_xlfn.RANK.EQ(D132,$D$2:$D$1001,0)+COUNTIF($D$2:D132,D132)-1)</f>
        <v>236</v>
      </c>
      <c r="F132" s="62">
        <f>IF(B132="","",--(COUNTIF(CN_Brands!$A$2:$A$300,UPPER(B132))&gt;0))</f>
        <v>0</v>
      </c>
      <c r="G132" s="62" t="str">
        <f t="shared" si="11"/>
        <v>轿车</v>
      </c>
      <c r="H132" s="62" t="str">
        <f>IF(AND('Data Export'!A132=前十整体车型排名!$B$2,'Data Export'!B132=前十整体车型排名!$B$3,'Data Export'!D132&lt;&gt;""),UPPER('Data Export'!C132)&amp;"♦"&amp;'Data Export'!D132,"")</f>
        <v>BMW♦SERIES 4</v>
      </c>
      <c r="I132" s="63">
        <f>IF(H132="","",IFERROR(INDEX('Data Export'!G132:CZ132,1,MATCH(前十整体车型排名!$B$4,'Data Export'!$G$1:$CZ$1,0)),0))</f>
        <v>3</v>
      </c>
      <c r="J132" s="62" t="str">
        <f>IF(H132="","",IF(OR('Data Export'!F132="三厢轿车",'Data Export'!F132="掀背轿车",'Data Export'!F132="旅行车",'Data Export'!F132="微型车",'Data Export'!F132="硬顶跑车",'Data Export'!F132="敞蓬车",'Data Export'!F132="Targa"),"轿车",IF(OR('Data Export'!F132="小型MPV",'Data Export'!F132="客车"),"MPV",IF('Data Export'!F132="运动型多功能车","SUV","其他"))))</f>
        <v>轿车</v>
      </c>
      <c r="K132" s="62" t="str">
        <f>IF(OR(D132="",NOT(F132=1)),"",1+SUMPRODUCT(($F$2:$F$1001=1)*($D$2:$D$1001&gt;D132))+COUNTIFS($F$2:F132,1,$D$2:D132,D132)-1)</f>
        <v/>
      </c>
      <c r="L132" s="62">
        <f>IF(OR(D132="",NOT(G132="轿车")),"",1+SUMPRODUCT(($G$2:$G$1001="轿车")*($D$2:$D$1001&gt;D132))+COUNTIFS($G$2:G132,"轿车",$D$2:D132,D132)-1)</f>
        <v>73</v>
      </c>
      <c r="M132" s="62" t="str">
        <f>IF(OR(D132="",NOT(G132="MPV")),"",1+SUMPRODUCT(($G$2:$G$1001="MPV")*($D$2:$D$1001&gt;D132))+COUNTIFS($G$2:G132,"MPV",$D$2:D132,D132)-1)</f>
        <v/>
      </c>
      <c r="N132" s="62" t="str">
        <f>IF(OR(D132="",NOT(G132="SUV")),"",1+SUMPRODUCT(($G$2:$G$1001="SUV")*($D$2:$D$1001&gt;D132))+COUNTIFS($G$2:G132,"SUV",$D$2:D132,D132)-1)</f>
        <v/>
      </c>
      <c r="O132" s="62" t="str">
        <f>IF(OR(D132="",NOT(AND(F132=1,G132="轿车"))),"",1+SUMPRODUCT(($F$2:$F$1001=1)*($G$2:$G$1001="轿车")*($D$2:$D$1001&gt;D132))+COUNTIFS($F$2:F132,1,$G$2:G132,"轿车",$D$2:D132,D132)-1)</f>
        <v/>
      </c>
      <c r="P132" s="62" t="str">
        <f>IF(OR(D132="",NOT(AND(F132=1,G132="MPV"))),"",1+SUMPRODUCT(($F$2:$F$1001=1)*($G$2:$G$1001="MPV")*($D$2:$D$1001&gt;D132))+COUNTIFS($F$2:F132,1,$G$2:G132,"MPV",$D$2:D132,D132)-1)</f>
        <v/>
      </c>
      <c r="Q132" s="62" t="str">
        <f>IF(OR(D132="",NOT(AND(F132=1,G132="SUV"))),"",1+SUMPRODUCT(($F$2:$F$1001=1)*($G$2:$G$1001="SUV")*($D$2:$D$1001&gt;D132))+COUNTIFS($F$2:F132,1,$G$2:G132,"SUV",$D$2:D132,D132)-1)</f>
        <v/>
      </c>
    </row>
    <row r="133" spans="1:17">
      <c r="A133" s="62" t="str">
        <f>IFERROR(INDEX($H$2:$H$3000,MATCH(0,INDEX(COUNTIF($A$1:A132,$H$2:$H$3000)+($H$2:$H$3000=""),0,0),0)),"")</f>
        <v>HONDA♦S660</v>
      </c>
      <c r="B133" s="62" t="str">
        <f t="shared" si="8"/>
        <v>HONDA</v>
      </c>
      <c r="C133" s="62" t="str">
        <f t="shared" si="9"/>
        <v>S660</v>
      </c>
      <c r="D133" s="63">
        <f t="shared" si="10"/>
        <v>0</v>
      </c>
      <c r="E133" s="62">
        <f>IF(D133="","",_xlfn.RANK.EQ(D133,$D$2:$D$1001,0)+COUNTIF($D$2:D133,D133)-1)</f>
        <v>310</v>
      </c>
      <c r="F133" s="62">
        <f>IF(B133="","",--(COUNTIF(CN_Brands!$A$2:$A$300,UPPER(B133))&gt;0))</f>
        <v>0</v>
      </c>
      <c r="G133" s="62" t="str">
        <f t="shared" si="11"/>
        <v>其他</v>
      </c>
      <c r="H133" s="62" t="str">
        <f>IF(AND('Data Export'!A133=前十整体车型排名!$B$2,'Data Export'!B133=前十整体车型排名!$B$3,'Data Export'!D133&lt;&gt;""),UPPER('Data Export'!C133)&amp;"♦"&amp;'Data Export'!D133,"")</f>
        <v>BMW♦SERIES 4</v>
      </c>
      <c r="I133" s="63">
        <f>IF(H133="","",IFERROR(INDEX('Data Export'!G133:CZ133,1,MATCH(前十整体车型排名!$B$4,'Data Export'!$G$1:$CZ$1,0)),0))</f>
        <v>6</v>
      </c>
      <c r="J133" s="62" t="str">
        <f>IF(H133="","",IF(OR('Data Export'!F133="三厢轿车",'Data Export'!F133="掀背轿车",'Data Export'!F133="旅行车",'Data Export'!F133="微型车",'Data Export'!F133="硬顶跑车",'Data Export'!F133="敞蓬车",'Data Export'!F133="Targa"),"轿车",IF(OR('Data Export'!F133="小型MPV",'Data Export'!F133="客车"),"MPV",IF('Data Export'!F133="运动型多功能车","SUV","其他"))))</f>
        <v>轿车</v>
      </c>
      <c r="K133" s="62" t="str">
        <f>IF(OR(D133="",NOT(F133=1)),"",1+SUMPRODUCT(($F$2:$F$1001=1)*($D$2:$D$1001&gt;D133))+COUNTIFS($F$2:F133,1,$D$2:D133,D133)-1)</f>
        <v/>
      </c>
      <c r="L133" s="62" t="str">
        <f>IF(OR(D133="",NOT(G133="轿车")),"",1+SUMPRODUCT(($G$2:$G$1001="轿车")*($D$2:$D$1001&gt;D133))+COUNTIFS($G$2:G133,"轿车",$D$2:D133,D133)-1)</f>
        <v/>
      </c>
      <c r="M133" s="62" t="str">
        <f>IF(OR(D133="",NOT(G133="MPV")),"",1+SUMPRODUCT(($G$2:$G$1001="MPV")*($D$2:$D$1001&gt;D133))+COUNTIFS($G$2:G133,"MPV",$D$2:D133,D133)-1)</f>
        <v/>
      </c>
      <c r="N133" s="62" t="str">
        <f>IF(OR(D133="",NOT(G133="SUV")),"",1+SUMPRODUCT(($G$2:$G$1001="SUV")*($D$2:$D$1001&gt;D133))+COUNTIFS($G$2:G133,"SUV",$D$2:D133,D133)-1)</f>
        <v/>
      </c>
      <c r="O133" s="62" t="str">
        <f>IF(OR(D133="",NOT(AND(F133=1,G133="轿车"))),"",1+SUMPRODUCT(($F$2:$F$1001=1)*($G$2:$G$1001="轿车")*($D$2:$D$1001&gt;D133))+COUNTIFS($F$2:F133,1,$G$2:G133,"轿车",$D$2:D133,D133)-1)</f>
        <v/>
      </c>
      <c r="P133" s="62" t="str">
        <f>IF(OR(D133="",NOT(AND(F133=1,G133="MPV"))),"",1+SUMPRODUCT(($F$2:$F$1001=1)*($G$2:$G$1001="MPV")*($D$2:$D$1001&gt;D133))+COUNTIFS($F$2:F133,1,$G$2:G133,"MPV",$D$2:D133,D133)-1)</f>
        <v/>
      </c>
      <c r="Q133" s="62" t="str">
        <f>IF(OR(D133="",NOT(AND(F133=1,G133="SUV"))),"",1+SUMPRODUCT(($F$2:$F$1001=1)*($G$2:$G$1001="SUV")*($D$2:$D$1001&gt;D133))+COUNTIFS($F$2:F133,1,$G$2:G133,"SUV",$D$2:D133,D133)-1)</f>
        <v/>
      </c>
    </row>
    <row r="134" spans="1:17">
      <c r="A134" s="62" t="str">
        <f>IFERROR(INDEX($H$2:$H$3000,MATCH(0,INDEX(COUNTIF($A$1:A133,$H$2:$H$3000)+($H$2:$H$3000=""),0,0),0)),"")</f>
        <v>HONDA♦STEP WGN</v>
      </c>
      <c r="B134" s="62" t="str">
        <f t="shared" si="8"/>
        <v>HONDA</v>
      </c>
      <c r="C134" s="62" t="str">
        <f t="shared" si="9"/>
        <v>STEP WGN</v>
      </c>
      <c r="D134" s="63">
        <f t="shared" si="10"/>
        <v>70</v>
      </c>
      <c r="E134" s="62">
        <f>IF(D134="","",_xlfn.RANK.EQ(D134,$D$2:$D$1001,0)+COUNTIF($D$2:D134,D134)-1)</f>
        <v>87</v>
      </c>
      <c r="F134" s="62">
        <f>IF(B134="","",--(COUNTIF(CN_Brands!$A$2:$A$300,UPPER(B134))&gt;0))</f>
        <v>0</v>
      </c>
      <c r="G134" s="62" t="str">
        <f t="shared" si="11"/>
        <v>其他</v>
      </c>
      <c r="H134" s="62" t="str">
        <f>IF(AND('Data Export'!A134=前十整体车型排名!$B$2,'Data Export'!B134=前十整体车型排名!$B$3,'Data Export'!D134&lt;&gt;""),UPPER('Data Export'!C134)&amp;"♦"&amp;'Data Export'!D134,"")</f>
        <v>BMW♦SERIES 4</v>
      </c>
      <c r="I134" s="63">
        <f>IF(H134="","",IFERROR(INDEX('Data Export'!G134:CZ134,1,MATCH(前十整体车型排名!$B$4,'Data Export'!$G$1:$CZ$1,0)),0))</f>
        <v>1</v>
      </c>
      <c r="J134" s="62" t="str">
        <f>IF(H134="","",IF(OR('Data Export'!F134="三厢轿车",'Data Export'!F134="掀背轿车",'Data Export'!F134="旅行车",'Data Export'!F134="微型车",'Data Export'!F134="硬顶跑车",'Data Export'!F134="敞蓬车",'Data Export'!F134="Targa"),"轿车",IF(OR('Data Export'!F134="小型MPV",'Data Export'!F134="客车"),"MPV",IF('Data Export'!F134="运动型多功能车","SUV","其他"))))</f>
        <v>轿车</v>
      </c>
      <c r="K134" s="62" t="str">
        <f>IF(OR(D134="",NOT(F134=1)),"",1+SUMPRODUCT(($F$2:$F$1001=1)*($D$2:$D$1001&gt;D134))+COUNTIFS($F$2:F134,1,$D$2:D134,D134)-1)</f>
        <v/>
      </c>
      <c r="L134" s="62" t="str">
        <f>IF(OR(D134="",NOT(G134="轿车")),"",1+SUMPRODUCT(($G$2:$G$1001="轿车")*($D$2:$D$1001&gt;D134))+COUNTIFS($G$2:G134,"轿车",$D$2:D134,D134)-1)</f>
        <v/>
      </c>
      <c r="M134" s="62" t="str">
        <f>IF(OR(D134="",NOT(G134="MPV")),"",1+SUMPRODUCT(($G$2:$G$1001="MPV")*($D$2:$D$1001&gt;D134))+COUNTIFS($G$2:G134,"MPV",$D$2:D134,D134)-1)</f>
        <v/>
      </c>
      <c r="N134" s="62" t="str">
        <f>IF(OR(D134="",NOT(G134="SUV")),"",1+SUMPRODUCT(($G$2:$G$1001="SUV")*($D$2:$D$1001&gt;D134))+COUNTIFS($G$2:G134,"SUV",$D$2:D134,D134)-1)</f>
        <v/>
      </c>
      <c r="O134" s="62" t="str">
        <f>IF(OR(D134="",NOT(AND(F134=1,G134="轿车"))),"",1+SUMPRODUCT(($F$2:$F$1001=1)*($G$2:$G$1001="轿车")*($D$2:$D$1001&gt;D134))+COUNTIFS($F$2:F134,1,$G$2:G134,"轿车",$D$2:D134,D134)-1)</f>
        <v/>
      </c>
      <c r="P134" s="62" t="str">
        <f>IF(OR(D134="",NOT(AND(F134=1,G134="MPV"))),"",1+SUMPRODUCT(($F$2:$F$1001=1)*($G$2:$G$1001="MPV")*($D$2:$D$1001&gt;D134))+COUNTIFS($F$2:F134,1,$G$2:G134,"MPV",$D$2:D134,D134)-1)</f>
        <v/>
      </c>
      <c r="Q134" s="62" t="str">
        <f>IF(OR(D134="",NOT(AND(F134=1,G134="SUV"))),"",1+SUMPRODUCT(($F$2:$F$1001=1)*($G$2:$G$1001="SUV")*($D$2:$D$1001&gt;D134))+COUNTIFS($F$2:F134,1,$G$2:G134,"SUV",$D$2:D134,D134)-1)</f>
        <v/>
      </c>
    </row>
    <row r="135" spans="1:17">
      <c r="A135" s="62" t="str">
        <f>IFERROR(INDEX($H$2:$H$3000,MATCH(0,INDEX(COUNTIF($A$1:A134,$H$2:$H$3000)+($H$2:$H$3000=""),0,0),0)),"")</f>
        <v>HONDA♦WR-V</v>
      </c>
      <c r="B135" s="62" t="str">
        <f t="shared" si="8"/>
        <v>HONDA</v>
      </c>
      <c r="C135" s="62" t="str">
        <f t="shared" si="9"/>
        <v>WR-V</v>
      </c>
      <c r="D135" s="63">
        <f t="shared" si="10"/>
        <v>0</v>
      </c>
      <c r="E135" s="62">
        <f>IF(D135="","",_xlfn.RANK.EQ(D135,$D$2:$D$1001,0)+COUNTIF($D$2:D135,D135)-1)</f>
        <v>311</v>
      </c>
      <c r="F135" s="62">
        <f>IF(B135="","",--(COUNTIF(CN_Brands!$A$2:$A$300,UPPER(B135))&gt;0))</f>
        <v>0</v>
      </c>
      <c r="G135" s="62" t="str">
        <f t="shared" si="11"/>
        <v>SUV</v>
      </c>
      <c r="H135" s="62" t="str">
        <f>IF(AND('Data Export'!A135=前十整体车型排名!$B$2,'Data Export'!B135=前十整体车型排名!$B$3,'Data Export'!D135&lt;&gt;""),UPPER('Data Export'!C135)&amp;"♦"&amp;'Data Export'!D135,"")</f>
        <v>BMW♦SERIES 5</v>
      </c>
      <c r="I135" s="63">
        <f>IF(H135="","",IFERROR(INDEX('Data Export'!G135:CZ135,1,MATCH(前十整体车型排名!$B$4,'Data Export'!$G$1:$CZ$1,0)),0))</f>
        <v>38</v>
      </c>
      <c r="J135" s="62" t="str">
        <f>IF(H135="","",IF(OR('Data Export'!F135="三厢轿车",'Data Export'!F135="掀背轿车",'Data Export'!F135="旅行车",'Data Export'!F135="微型车",'Data Export'!F135="硬顶跑车",'Data Export'!F135="敞蓬车",'Data Export'!F135="Targa"),"轿车",IF(OR('Data Export'!F135="小型MPV",'Data Export'!F135="客车"),"MPV",IF('Data Export'!F135="运动型多功能车","SUV","其他"))))</f>
        <v>轿车</v>
      </c>
      <c r="K135" s="62" t="str">
        <f>IF(OR(D135="",NOT(F135=1)),"",1+SUMPRODUCT(($F$2:$F$1001=1)*($D$2:$D$1001&gt;D135))+COUNTIFS($F$2:F135,1,$D$2:D135,D135)-1)</f>
        <v/>
      </c>
      <c r="L135" s="62" t="str">
        <f>IF(OR(D135="",NOT(G135="轿车")),"",1+SUMPRODUCT(($G$2:$G$1001="轿车")*($D$2:$D$1001&gt;D135))+COUNTIFS($G$2:G135,"轿车",$D$2:D135,D135)-1)</f>
        <v/>
      </c>
      <c r="M135" s="62" t="str">
        <f>IF(OR(D135="",NOT(G135="MPV")),"",1+SUMPRODUCT(($G$2:$G$1001="MPV")*($D$2:$D$1001&gt;D135))+COUNTIFS($G$2:G135,"MPV",$D$2:D135,D135)-1)</f>
        <v/>
      </c>
      <c r="N135" s="62">
        <f>IF(OR(D135="",NOT(G135="SUV")),"",1+SUMPRODUCT(($G$2:$G$1001="SUV")*($D$2:$D$1001&gt;D135))+COUNTIFS($G$2:G135,"SUV",$D$2:D135,D135)-1)</f>
        <v>142</v>
      </c>
      <c r="O135" s="62" t="str">
        <f>IF(OR(D135="",NOT(AND(F135=1,G135="轿车"))),"",1+SUMPRODUCT(($F$2:$F$1001=1)*($G$2:$G$1001="轿车")*($D$2:$D$1001&gt;D135))+COUNTIFS($F$2:F135,1,$G$2:G135,"轿车",$D$2:D135,D135)-1)</f>
        <v/>
      </c>
      <c r="P135" s="62" t="str">
        <f>IF(OR(D135="",NOT(AND(F135=1,G135="MPV"))),"",1+SUMPRODUCT(($F$2:$F$1001=1)*($G$2:$G$1001="MPV")*($D$2:$D$1001&gt;D135))+COUNTIFS($F$2:F135,1,$G$2:G135,"MPV",$D$2:D135,D135)-1)</f>
        <v/>
      </c>
      <c r="Q135" s="62" t="str">
        <f>IF(OR(D135="",NOT(AND(F135=1,G135="SUV"))),"",1+SUMPRODUCT(($F$2:$F$1001=1)*($G$2:$G$1001="SUV")*($D$2:$D$1001&gt;D135))+COUNTIFS($F$2:F135,1,$G$2:G135,"SUV",$D$2:D135,D135)-1)</f>
        <v/>
      </c>
    </row>
    <row r="136" spans="1:17">
      <c r="A136" s="62" t="str">
        <f>IFERROR(INDEX($H$2:$H$3000,MATCH(0,INDEX(COUNTIF($A$1:A135,$H$2:$H$3000)+($H$2:$H$3000=""),0,0),0)),"")</f>
        <v>HYPTEC♦HT</v>
      </c>
      <c r="B136" s="62" t="str">
        <f t="shared" si="8"/>
        <v>HYPTEC</v>
      </c>
      <c r="C136" s="62" t="str">
        <f t="shared" si="9"/>
        <v>HT</v>
      </c>
      <c r="D136" s="63">
        <f t="shared" si="10"/>
        <v>353</v>
      </c>
      <c r="E136" s="62">
        <f>IF(D136="","",_xlfn.RANK.EQ(D136,$D$2:$D$1001,0)+COUNTIF($D$2:D136,D136)-1)</f>
        <v>36</v>
      </c>
      <c r="F136" s="62">
        <f>IF(B136="","",--(COUNTIF(CN_Brands!$A$2:$A$300,UPPER(B136))&gt;0))</f>
        <v>0</v>
      </c>
      <c r="G136" s="62" t="str">
        <f t="shared" si="11"/>
        <v>SUV</v>
      </c>
      <c r="H136" s="62" t="str">
        <f>IF(AND('Data Export'!A136=前十整体车型排名!$B$2,'Data Export'!B136=前十整体车型排名!$B$3,'Data Export'!D136&lt;&gt;""),UPPER('Data Export'!C136)&amp;"♦"&amp;'Data Export'!D136,"")</f>
        <v>BMW♦SERIES 5</v>
      </c>
      <c r="I136" s="63">
        <f>IF(H136="","",IFERROR(INDEX('Data Export'!G136:CZ136,1,MATCH(前十整体车型排名!$B$4,'Data Export'!$G$1:$CZ$1,0)),0))</f>
        <v>16</v>
      </c>
      <c r="J136" s="62" t="str">
        <f>IF(H136="","",IF(OR('Data Export'!F136="三厢轿车",'Data Export'!F136="掀背轿车",'Data Export'!F136="旅行车",'Data Export'!F136="微型车",'Data Export'!F136="硬顶跑车",'Data Export'!F136="敞蓬车",'Data Export'!F136="Targa"),"轿车",IF(OR('Data Export'!F136="小型MPV",'Data Export'!F136="客车"),"MPV",IF('Data Export'!F136="运动型多功能车","SUV","其他"))))</f>
        <v>轿车</v>
      </c>
      <c r="K136" s="62" t="str">
        <f>IF(OR(D136="",NOT(F136=1)),"",1+SUMPRODUCT(($F$2:$F$1001=1)*($D$2:$D$1001&gt;D136))+COUNTIFS($F$2:F136,1,$D$2:D136,D136)-1)</f>
        <v/>
      </c>
      <c r="L136" s="62" t="str">
        <f>IF(OR(D136="",NOT(G136="轿车")),"",1+SUMPRODUCT(($G$2:$G$1001="轿车")*($D$2:$D$1001&gt;D136))+COUNTIFS($G$2:G136,"轿车",$D$2:D136,D136)-1)</f>
        <v/>
      </c>
      <c r="M136" s="62" t="str">
        <f>IF(OR(D136="",NOT(G136="MPV")),"",1+SUMPRODUCT(($G$2:$G$1001="MPV")*($D$2:$D$1001&gt;D136))+COUNTIFS($G$2:G136,"MPV",$D$2:D136,D136)-1)</f>
        <v/>
      </c>
      <c r="N136" s="62">
        <f>IF(OR(D136="",NOT(G136="SUV")),"",1+SUMPRODUCT(($G$2:$G$1001="SUV")*($D$2:$D$1001&gt;D136))+COUNTIFS($G$2:G136,"SUV",$D$2:D136,D136)-1)</f>
        <v>24</v>
      </c>
      <c r="O136" s="62" t="str">
        <f>IF(OR(D136="",NOT(AND(F136=1,G136="轿车"))),"",1+SUMPRODUCT(($F$2:$F$1001=1)*($G$2:$G$1001="轿车")*($D$2:$D$1001&gt;D136))+COUNTIFS($F$2:F136,1,$G$2:G136,"轿车",$D$2:D136,D136)-1)</f>
        <v/>
      </c>
      <c r="P136" s="62" t="str">
        <f>IF(OR(D136="",NOT(AND(F136=1,G136="MPV"))),"",1+SUMPRODUCT(($F$2:$F$1001=1)*($G$2:$G$1001="MPV")*($D$2:$D$1001&gt;D136))+COUNTIFS($F$2:F136,1,$G$2:G136,"MPV",$D$2:D136,D136)-1)</f>
        <v/>
      </c>
      <c r="Q136" s="62" t="str">
        <f>IF(OR(D136="",NOT(AND(F136=1,G136="SUV"))),"",1+SUMPRODUCT(($F$2:$F$1001=1)*($G$2:$G$1001="SUV")*($D$2:$D$1001&gt;D136))+COUNTIFS($F$2:F136,1,$G$2:G136,"SUV",$D$2:D136,D136)-1)</f>
        <v/>
      </c>
    </row>
    <row r="137" spans="1:17">
      <c r="A137" s="62" t="str">
        <f>IFERROR(INDEX($H$2:$H$3000,MATCH(0,INDEX(COUNTIF($A$1:A136,$H$2:$H$3000)+($H$2:$H$3000=""),0,0),0)),"")</f>
        <v>HYPTEC♦HYPTEC HT</v>
      </c>
      <c r="B137" s="62" t="str">
        <f t="shared" si="8"/>
        <v>HYPTEC</v>
      </c>
      <c r="C137" s="62" t="str">
        <f t="shared" si="9"/>
        <v>HYPTEC HT</v>
      </c>
      <c r="D137" s="63">
        <f t="shared" si="10"/>
        <v>0</v>
      </c>
      <c r="E137" s="62">
        <f>IF(D137="","",_xlfn.RANK.EQ(D137,$D$2:$D$1001,0)+COUNTIF($D$2:D137,D137)-1)</f>
        <v>312</v>
      </c>
      <c r="F137" s="62">
        <f>IF(B137="","",--(COUNTIF(CN_Brands!$A$2:$A$300,UPPER(B137))&gt;0))</f>
        <v>0</v>
      </c>
      <c r="G137" s="62" t="str">
        <f t="shared" si="11"/>
        <v>SUV</v>
      </c>
      <c r="H137" s="62" t="str">
        <f>IF(AND('Data Export'!A137=前十整体车型排名!$B$2,'Data Export'!B137=前十整体车型排名!$B$3,'Data Export'!D137&lt;&gt;""),UPPER('Data Export'!C137)&amp;"♦"&amp;'Data Export'!D137,"")</f>
        <v>BMW♦SERIES 5</v>
      </c>
      <c r="I137" s="63">
        <f>IF(H137="","",IFERROR(INDEX('Data Export'!G137:CZ137,1,MATCH(前十整体车型排名!$B$4,'Data Export'!$G$1:$CZ$1,0)),0))</f>
        <v>0</v>
      </c>
      <c r="J137" s="62" t="str">
        <f>IF(H137="","",IF(OR('Data Export'!F137="三厢轿车",'Data Export'!F137="掀背轿车",'Data Export'!F137="旅行车",'Data Export'!F137="微型车",'Data Export'!F137="硬顶跑车",'Data Export'!F137="敞蓬车",'Data Export'!F137="Targa"),"轿车",IF(OR('Data Export'!F137="小型MPV",'Data Export'!F137="客车"),"MPV",IF('Data Export'!F137="运动型多功能车","SUV","其他"))))</f>
        <v>轿车</v>
      </c>
      <c r="K137" s="62" t="str">
        <f>IF(OR(D137="",NOT(F137=1)),"",1+SUMPRODUCT(($F$2:$F$1001=1)*($D$2:$D$1001&gt;D137))+COUNTIFS($F$2:F137,1,$D$2:D137,D137)-1)</f>
        <v/>
      </c>
      <c r="L137" s="62" t="str">
        <f>IF(OR(D137="",NOT(G137="轿车")),"",1+SUMPRODUCT(($G$2:$G$1001="轿车")*($D$2:$D$1001&gt;D137))+COUNTIFS($G$2:G137,"轿车",$D$2:D137,D137)-1)</f>
        <v/>
      </c>
      <c r="M137" s="62" t="str">
        <f>IF(OR(D137="",NOT(G137="MPV")),"",1+SUMPRODUCT(($G$2:$G$1001="MPV")*($D$2:$D$1001&gt;D137))+COUNTIFS($G$2:G137,"MPV",$D$2:D137,D137)-1)</f>
        <v/>
      </c>
      <c r="N137" s="62">
        <f>IF(OR(D137="",NOT(G137="SUV")),"",1+SUMPRODUCT(($G$2:$G$1001="SUV")*($D$2:$D$1001&gt;D137))+COUNTIFS($G$2:G137,"SUV",$D$2:D137,D137)-1)</f>
        <v>143</v>
      </c>
      <c r="O137" s="62" t="str">
        <f>IF(OR(D137="",NOT(AND(F137=1,G137="轿车"))),"",1+SUMPRODUCT(($F$2:$F$1001=1)*($G$2:$G$1001="轿车")*($D$2:$D$1001&gt;D137))+COUNTIFS($F$2:F137,1,$G$2:G137,"轿车",$D$2:D137,D137)-1)</f>
        <v/>
      </c>
      <c r="P137" s="62" t="str">
        <f>IF(OR(D137="",NOT(AND(F137=1,G137="MPV"))),"",1+SUMPRODUCT(($F$2:$F$1001=1)*($G$2:$G$1001="MPV")*($D$2:$D$1001&gt;D137))+COUNTIFS($F$2:F137,1,$G$2:G137,"MPV",$D$2:D137,D137)-1)</f>
        <v/>
      </c>
      <c r="Q137" s="62" t="str">
        <f>IF(OR(D137="",NOT(AND(F137=1,G137="SUV"))),"",1+SUMPRODUCT(($F$2:$F$1001=1)*($G$2:$G$1001="SUV")*($D$2:$D$1001&gt;D137))+COUNTIFS($F$2:F137,1,$G$2:G137,"SUV",$D$2:D137,D137)-1)</f>
        <v/>
      </c>
    </row>
    <row r="138" spans="1:17">
      <c r="A138" s="62" t="str">
        <f>IFERROR(INDEX($H$2:$H$3000,MATCH(0,INDEX(COUNTIF($A$1:A137,$H$2:$H$3000)+($H$2:$H$3000=""),0,0),0)),"")</f>
        <v>HYPTEC♦HYPTEC SSR</v>
      </c>
      <c r="B138" s="62" t="str">
        <f t="shared" si="8"/>
        <v>HYPTEC</v>
      </c>
      <c r="C138" s="62" t="str">
        <f t="shared" si="9"/>
        <v>HYPTEC SSR</v>
      </c>
      <c r="D138" s="63">
        <f t="shared" si="10"/>
        <v>0</v>
      </c>
      <c r="E138" s="62">
        <f>IF(D138="","",_xlfn.RANK.EQ(D138,$D$2:$D$1001,0)+COUNTIF($D$2:D138,D138)-1)</f>
        <v>313</v>
      </c>
      <c r="F138" s="62">
        <f>IF(B138="","",--(COUNTIF(CN_Brands!$A$2:$A$300,UPPER(B138))&gt;0))</f>
        <v>0</v>
      </c>
      <c r="G138" s="62" t="str">
        <f t="shared" si="11"/>
        <v>轿车</v>
      </c>
      <c r="H138" s="62" t="str">
        <f>IF(AND('Data Export'!A138=前十整体车型排名!$B$2,'Data Export'!B138=前十整体车型排名!$B$3,'Data Export'!D138&lt;&gt;""),UPPER('Data Export'!C138)&amp;"♦"&amp;'Data Export'!D138,"")</f>
        <v>BMW♦SERIES 5</v>
      </c>
      <c r="I138" s="63">
        <f>IF(H138="","",IFERROR(INDEX('Data Export'!G138:CZ138,1,MATCH(前十整体车型排名!$B$4,'Data Export'!$G$1:$CZ$1,0)),0))</f>
        <v>10</v>
      </c>
      <c r="J138" s="62" t="str">
        <f>IF(H138="","",IF(OR('Data Export'!F138="三厢轿车",'Data Export'!F138="掀背轿车",'Data Export'!F138="旅行车",'Data Export'!F138="微型车",'Data Export'!F138="硬顶跑车",'Data Export'!F138="敞蓬车",'Data Export'!F138="Targa"),"轿车",IF(OR('Data Export'!F138="小型MPV",'Data Export'!F138="客车"),"MPV",IF('Data Export'!F138="运动型多功能车","SUV","其他"))))</f>
        <v>轿车</v>
      </c>
      <c r="K138" s="62" t="str">
        <f>IF(OR(D138="",NOT(F138=1)),"",1+SUMPRODUCT(($F$2:$F$1001=1)*($D$2:$D$1001&gt;D138))+COUNTIFS($F$2:F138,1,$D$2:D138,D138)-1)</f>
        <v/>
      </c>
      <c r="L138" s="62">
        <f>IF(OR(D138="",NOT(G138="轿车")),"",1+SUMPRODUCT(($G$2:$G$1001="轿车")*($D$2:$D$1001&gt;D138))+COUNTIFS($G$2:G138,"轿车",$D$2:D138,D138)-1)</f>
        <v>102</v>
      </c>
      <c r="M138" s="62" t="str">
        <f>IF(OR(D138="",NOT(G138="MPV")),"",1+SUMPRODUCT(($G$2:$G$1001="MPV")*($D$2:$D$1001&gt;D138))+COUNTIFS($G$2:G138,"MPV",$D$2:D138,D138)-1)</f>
        <v/>
      </c>
      <c r="N138" s="62" t="str">
        <f>IF(OR(D138="",NOT(G138="SUV")),"",1+SUMPRODUCT(($G$2:$G$1001="SUV")*($D$2:$D$1001&gt;D138))+COUNTIFS($G$2:G138,"SUV",$D$2:D138,D138)-1)</f>
        <v/>
      </c>
      <c r="O138" s="62" t="str">
        <f>IF(OR(D138="",NOT(AND(F138=1,G138="轿车"))),"",1+SUMPRODUCT(($F$2:$F$1001=1)*($G$2:$G$1001="轿车")*($D$2:$D$1001&gt;D138))+COUNTIFS($F$2:F138,1,$G$2:G138,"轿车",$D$2:D138,D138)-1)</f>
        <v/>
      </c>
      <c r="P138" s="62" t="str">
        <f>IF(OR(D138="",NOT(AND(F138=1,G138="MPV"))),"",1+SUMPRODUCT(($F$2:$F$1001=1)*($G$2:$G$1001="MPV")*($D$2:$D$1001&gt;D138))+COUNTIFS($F$2:F138,1,$G$2:G138,"MPV",$D$2:D138,D138)-1)</f>
        <v/>
      </c>
      <c r="Q138" s="62" t="str">
        <f>IF(OR(D138="",NOT(AND(F138=1,G138="SUV"))),"",1+SUMPRODUCT(($F$2:$F$1001=1)*($G$2:$G$1001="SUV")*($D$2:$D$1001&gt;D138))+COUNTIFS($F$2:F138,1,$G$2:G138,"SUV",$D$2:D138,D138)-1)</f>
        <v/>
      </c>
    </row>
    <row r="139" spans="1:17">
      <c r="A139" s="62" t="str">
        <f>IFERROR(INDEX($H$2:$H$3000,MATCH(0,INDEX(COUNTIF($A$1:A138,$H$2:$H$3000)+($H$2:$H$3000=""),0,0),0)),"")</f>
        <v>HYUNDAI♦CRETA</v>
      </c>
      <c r="B139" s="62" t="str">
        <f t="shared" si="8"/>
        <v>HYUNDAI</v>
      </c>
      <c r="C139" s="62" t="str">
        <f t="shared" si="9"/>
        <v>CRETA</v>
      </c>
      <c r="D139" s="63">
        <f t="shared" si="10"/>
        <v>2</v>
      </c>
      <c r="E139" s="62">
        <f>IF(D139="","",_xlfn.RANK.EQ(D139,$D$2:$D$1001,0)+COUNTIF($D$2:D139,D139)-1)</f>
        <v>205</v>
      </c>
      <c r="F139" s="62">
        <f>IF(B139="","",--(COUNTIF(CN_Brands!$A$2:$A$300,UPPER(B139))&gt;0))</f>
        <v>0</v>
      </c>
      <c r="G139" s="62" t="str">
        <f t="shared" si="11"/>
        <v>SUV</v>
      </c>
      <c r="H139" s="62" t="str">
        <f>IF(AND('Data Export'!A139=前十整体车型排名!$B$2,'Data Export'!B139=前十整体车型排名!$B$3,'Data Export'!D139&lt;&gt;""),UPPER('Data Export'!C139)&amp;"♦"&amp;'Data Export'!D139,"")</f>
        <v>BMW♦SERIES 5</v>
      </c>
      <c r="I139" s="63">
        <f>IF(H139="","",IFERROR(INDEX('Data Export'!G139:CZ139,1,MATCH(前十整体车型排名!$B$4,'Data Export'!$G$1:$CZ$1,0)),0))</f>
        <v>39</v>
      </c>
      <c r="J139" s="62" t="str">
        <f>IF(H139="","",IF(OR('Data Export'!F139="三厢轿车",'Data Export'!F139="掀背轿车",'Data Export'!F139="旅行车",'Data Export'!F139="微型车",'Data Export'!F139="硬顶跑车",'Data Export'!F139="敞蓬车",'Data Export'!F139="Targa"),"轿车",IF(OR('Data Export'!F139="小型MPV",'Data Export'!F139="客车"),"MPV",IF('Data Export'!F139="运动型多功能车","SUV","其他"))))</f>
        <v>轿车</v>
      </c>
      <c r="K139" s="62" t="str">
        <f>IF(OR(D139="",NOT(F139=1)),"",1+SUMPRODUCT(($F$2:$F$1001=1)*($D$2:$D$1001&gt;D139))+COUNTIFS($F$2:F139,1,$D$2:D139,D139)-1)</f>
        <v/>
      </c>
      <c r="L139" s="62" t="str">
        <f>IF(OR(D139="",NOT(G139="轿车")),"",1+SUMPRODUCT(($G$2:$G$1001="轿车")*($D$2:$D$1001&gt;D139))+COUNTIFS($G$2:G139,"轿车",$D$2:D139,D139)-1)</f>
        <v/>
      </c>
      <c r="M139" s="62" t="str">
        <f>IF(OR(D139="",NOT(G139="MPV")),"",1+SUMPRODUCT(($G$2:$G$1001="MPV")*($D$2:$D$1001&gt;D139))+COUNTIFS($G$2:G139,"MPV",$D$2:D139,D139)-1)</f>
        <v/>
      </c>
      <c r="N139" s="62">
        <f>IF(OR(D139="",NOT(G139="SUV")),"",1+SUMPRODUCT(($G$2:$G$1001="SUV")*($D$2:$D$1001&gt;D139))+COUNTIFS($G$2:G139,"SUV",$D$2:D139,D139)-1)</f>
        <v>109</v>
      </c>
      <c r="O139" s="62" t="str">
        <f>IF(OR(D139="",NOT(AND(F139=1,G139="轿车"))),"",1+SUMPRODUCT(($F$2:$F$1001=1)*($G$2:$G$1001="轿车")*($D$2:$D$1001&gt;D139))+COUNTIFS($F$2:F139,1,$G$2:G139,"轿车",$D$2:D139,D139)-1)</f>
        <v/>
      </c>
      <c r="P139" s="62" t="str">
        <f>IF(OR(D139="",NOT(AND(F139=1,G139="MPV"))),"",1+SUMPRODUCT(($F$2:$F$1001=1)*($G$2:$G$1001="MPV")*($D$2:$D$1001&gt;D139))+COUNTIFS($F$2:F139,1,$G$2:G139,"MPV",$D$2:D139,D139)-1)</f>
        <v/>
      </c>
      <c r="Q139" s="62" t="str">
        <f>IF(OR(D139="",NOT(AND(F139=1,G139="SUV"))),"",1+SUMPRODUCT(($F$2:$F$1001=1)*($G$2:$G$1001="SUV")*($D$2:$D$1001&gt;D139))+COUNTIFS($F$2:F139,1,$G$2:G139,"SUV",$D$2:D139,D139)-1)</f>
        <v/>
      </c>
    </row>
    <row r="140" spans="1:17">
      <c r="A140" s="62" t="str">
        <f>IFERROR(INDEX($H$2:$H$3000,MATCH(0,INDEX(COUNTIF($A$1:A139,$H$2:$H$3000)+($H$2:$H$3000=""),0,0),0)),"")</f>
        <v>HYUNDAI♦IONIQ</v>
      </c>
      <c r="B140" s="62" t="str">
        <f t="shared" si="8"/>
        <v>HYUNDAI</v>
      </c>
      <c r="C140" s="62" t="str">
        <f t="shared" si="9"/>
        <v>IONIQ</v>
      </c>
      <c r="D140" s="63">
        <f t="shared" si="10"/>
        <v>0</v>
      </c>
      <c r="E140" s="62">
        <f>IF(D140="","",_xlfn.RANK.EQ(D140,$D$2:$D$1001,0)+COUNTIF($D$2:D140,D140)-1)</f>
        <v>314</v>
      </c>
      <c r="F140" s="62">
        <f>IF(B140="","",--(COUNTIF(CN_Brands!$A$2:$A$300,UPPER(B140))&gt;0))</f>
        <v>0</v>
      </c>
      <c r="G140" s="62" t="str">
        <f t="shared" si="11"/>
        <v>轿车</v>
      </c>
      <c r="H140" s="62" t="str">
        <f>IF(AND('Data Export'!A140=前十整体车型排名!$B$2,'Data Export'!B140=前十整体车型排名!$B$3,'Data Export'!D140&lt;&gt;""),UPPER('Data Export'!C140)&amp;"♦"&amp;'Data Export'!D140,"")</f>
        <v>BMW♦SERIES 5</v>
      </c>
      <c r="I140" s="63">
        <f>IF(H140="","",IFERROR(INDEX('Data Export'!G140:CZ140,1,MATCH(前十整体车型排名!$B$4,'Data Export'!$G$1:$CZ$1,0)),0))</f>
        <v>26</v>
      </c>
      <c r="J140" s="62" t="str">
        <f>IF(H140="","",IF(OR('Data Export'!F140="三厢轿车",'Data Export'!F140="掀背轿车",'Data Export'!F140="旅行车",'Data Export'!F140="微型车",'Data Export'!F140="硬顶跑车",'Data Export'!F140="敞蓬车",'Data Export'!F140="Targa"),"轿车",IF(OR('Data Export'!F140="小型MPV",'Data Export'!F140="客车"),"MPV",IF('Data Export'!F140="运动型多功能车","SUV","其他"))))</f>
        <v>轿车</v>
      </c>
      <c r="K140" s="62" t="str">
        <f>IF(OR(D140="",NOT(F140=1)),"",1+SUMPRODUCT(($F$2:$F$1001=1)*($D$2:$D$1001&gt;D140))+COUNTIFS($F$2:F140,1,$D$2:D140,D140)-1)</f>
        <v/>
      </c>
      <c r="L140" s="62">
        <f>IF(OR(D140="",NOT(G140="轿车")),"",1+SUMPRODUCT(($G$2:$G$1001="轿车")*($D$2:$D$1001&gt;D140))+COUNTIFS($G$2:G140,"轿车",$D$2:D140,D140)-1)</f>
        <v>103</v>
      </c>
      <c r="M140" s="62" t="str">
        <f>IF(OR(D140="",NOT(G140="MPV")),"",1+SUMPRODUCT(($G$2:$G$1001="MPV")*($D$2:$D$1001&gt;D140))+COUNTIFS($G$2:G140,"MPV",$D$2:D140,D140)-1)</f>
        <v/>
      </c>
      <c r="N140" s="62" t="str">
        <f>IF(OR(D140="",NOT(G140="SUV")),"",1+SUMPRODUCT(($G$2:$G$1001="SUV")*($D$2:$D$1001&gt;D140))+COUNTIFS($G$2:G140,"SUV",$D$2:D140,D140)-1)</f>
        <v/>
      </c>
      <c r="O140" s="62" t="str">
        <f>IF(OR(D140="",NOT(AND(F140=1,G140="轿车"))),"",1+SUMPRODUCT(($F$2:$F$1001=1)*($G$2:$G$1001="轿车")*($D$2:$D$1001&gt;D140))+COUNTIFS($F$2:F140,1,$G$2:G140,"轿车",$D$2:D140,D140)-1)</f>
        <v/>
      </c>
      <c r="P140" s="62" t="str">
        <f>IF(OR(D140="",NOT(AND(F140=1,G140="MPV"))),"",1+SUMPRODUCT(($F$2:$F$1001=1)*($G$2:$G$1001="MPV")*($D$2:$D$1001&gt;D140))+COUNTIFS($F$2:F140,1,$G$2:G140,"MPV",$D$2:D140,D140)-1)</f>
        <v/>
      </c>
      <c r="Q140" s="62" t="str">
        <f>IF(OR(D140="",NOT(AND(F140=1,G140="SUV"))),"",1+SUMPRODUCT(($F$2:$F$1001=1)*($G$2:$G$1001="SUV")*($D$2:$D$1001&gt;D140))+COUNTIFS($F$2:F140,1,$G$2:G140,"SUV",$D$2:D140,D140)-1)</f>
        <v/>
      </c>
    </row>
    <row r="141" spans="1:17">
      <c r="A141" s="62" t="str">
        <f>IFERROR(INDEX($H$2:$H$3000,MATCH(0,INDEX(COUNTIF($A$1:A140,$H$2:$H$3000)+($H$2:$H$3000=""),0,0),0)),"")</f>
        <v>HYUNDAI♦IONIQ 5</v>
      </c>
      <c r="B141" s="62" t="str">
        <f t="shared" si="8"/>
        <v>HYUNDAI</v>
      </c>
      <c r="C141" s="62" t="str">
        <f t="shared" si="9"/>
        <v>IONIQ 5</v>
      </c>
      <c r="D141" s="63">
        <f t="shared" si="10"/>
        <v>3</v>
      </c>
      <c r="E141" s="62">
        <f>IF(D141="","",_xlfn.RANK.EQ(D141,$D$2:$D$1001,0)+COUNTIF($D$2:D141,D141)-1)</f>
        <v>185</v>
      </c>
      <c r="F141" s="62">
        <f>IF(B141="","",--(COUNTIF(CN_Brands!$A$2:$A$300,UPPER(B141))&gt;0))</f>
        <v>0</v>
      </c>
      <c r="G141" s="62" t="str">
        <f t="shared" si="11"/>
        <v>SUV</v>
      </c>
      <c r="H141" s="62" t="str">
        <f>IF(AND('Data Export'!A141=前十整体车型排名!$B$2,'Data Export'!B141=前十整体车型排名!$B$3,'Data Export'!D141&lt;&gt;""),UPPER('Data Export'!C141)&amp;"♦"&amp;'Data Export'!D141,"")</f>
        <v>BMW♦SERIES 5</v>
      </c>
      <c r="I141" s="63">
        <f>IF(H141="","",IFERROR(INDEX('Data Export'!G141:CZ141,1,MATCH(前十整体车型排名!$B$4,'Data Export'!$G$1:$CZ$1,0)),0))</f>
        <v>0</v>
      </c>
      <c r="J141" s="62" t="str">
        <f>IF(H141="","",IF(OR('Data Export'!F141="三厢轿车",'Data Export'!F141="掀背轿车",'Data Export'!F141="旅行车",'Data Export'!F141="微型车",'Data Export'!F141="硬顶跑车",'Data Export'!F141="敞蓬车",'Data Export'!F141="Targa"),"轿车",IF(OR('Data Export'!F141="小型MPV",'Data Export'!F141="客车"),"MPV",IF('Data Export'!F141="运动型多功能车","SUV","其他"))))</f>
        <v>轿车</v>
      </c>
      <c r="K141" s="62" t="str">
        <f>IF(OR(D141="",NOT(F141=1)),"",1+SUMPRODUCT(($F$2:$F$1001=1)*($D$2:$D$1001&gt;D141))+COUNTIFS($F$2:F141,1,$D$2:D141,D141)-1)</f>
        <v/>
      </c>
      <c r="L141" s="62" t="str">
        <f>IF(OR(D141="",NOT(G141="轿车")),"",1+SUMPRODUCT(($G$2:$G$1001="轿车")*($D$2:$D$1001&gt;D141))+COUNTIFS($G$2:G141,"轿车",$D$2:D141,D141)-1)</f>
        <v/>
      </c>
      <c r="M141" s="62" t="str">
        <f>IF(OR(D141="",NOT(G141="MPV")),"",1+SUMPRODUCT(($G$2:$G$1001="MPV")*($D$2:$D$1001&gt;D141))+COUNTIFS($G$2:G141,"MPV",$D$2:D141,D141)-1)</f>
        <v/>
      </c>
      <c r="N141" s="62">
        <f>IF(OR(D141="",NOT(G141="SUV")),"",1+SUMPRODUCT(($G$2:$G$1001="SUV")*($D$2:$D$1001&gt;D141))+COUNTIFS($G$2:G141,"SUV",$D$2:D141,D141)-1)</f>
        <v>103</v>
      </c>
      <c r="O141" s="62" t="str">
        <f>IF(OR(D141="",NOT(AND(F141=1,G141="轿车"))),"",1+SUMPRODUCT(($F$2:$F$1001=1)*($G$2:$G$1001="轿车")*($D$2:$D$1001&gt;D141))+COUNTIFS($F$2:F141,1,$G$2:G141,"轿车",$D$2:D141,D141)-1)</f>
        <v/>
      </c>
      <c r="P141" s="62" t="str">
        <f>IF(OR(D141="",NOT(AND(F141=1,G141="MPV"))),"",1+SUMPRODUCT(($F$2:$F$1001=1)*($G$2:$G$1001="MPV")*($D$2:$D$1001&gt;D141))+COUNTIFS($F$2:F141,1,$G$2:G141,"MPV",$D$2:D141,D141)-1)</f>
        <v/>
      </c>
      <c r="Q141" s="62" t="str">
        <f>IF(OR(D141="",NOT(AND(F141=1,G141="SUV"))),"",1+SUMPRODUCT(($F$2:$F$1001=1)*($G$2:$G$1001="SUV")*($D$2:$D$1001&gt;D141))+COUNTIFS($F$2:F141,1,$G$2:G141,"SUV",$D$2:D141,D141)-1)</f>
        <v/>
      </c>
    </row>
    <row r="142" spans="1:17">
      <c r="A142" s="62" t="str">
        <f>IFERROR(INDEX($H$2:$H$3000,MATCH(0,INDEX(COUNTIF($A$1:A141,$H$2:$H$3000)+($H$2:$H$3000=""),0,0),0)),"")</f>
        <v>HYUNDAI♦IONIQ 6</v>
      </c>
      <c r="B142" s="62" t="str">
        <f t="shared" si="8"/>
        <v>HYUNDAI</v>
      </c>
      <c r="C142" s="62" t="str">
        <f t="shared" si="9"/>
        <v>IONIQ 6</v>
      </c>
      <c r="D142" s="63">
        <f t="shared" si="10"/>
        <v>2</v>
      </c>
      <c r="E142" s="62">
        <f>IF(D142="","",_xlfn.RANK.EQ(D142,$D$2:$D$1001,0)+COUNTIF($D$2:D142,D142)-1)</f>
        <v>206</v>
      </c>
      <c r="F142" s="62">
        <f>IF(B142="","",--(COUNTIF(CN_Brands!$A$2:$A$300,UPPER(B142))&gt;0))</f>
        <v>0</v>
      </c>
      <c r="G142" s="62" t="str">
        <f t="shared" si="11"/>
        <v>轿车</v>
      </c>
      <c r="H142" s="62" t="str">
        <f>IF(AND('Data Export'!A142=前十整体车型排名!$B$2,'Data Export'!B142=前十整体车型排名!$B$3,'Data Export'!D142&lt;&gt;""),UPPER('Data Export'!C142)&amp;"♦"&amp;'Data Export'!D142,"")</f>
        <v>BMW♦SERIES 5</v>
      </c>
      <c r="I142" s="63">
        <f>IF(H142="","",IFERROR(INDEX('Data Export'!G142:CZ142,1,MATCH(前十整体车型排名!$B$4,'Data Export'!$G$1:$CZ$1,0)),0))</f>
        <v>0</v>
      </c>
      <c r="J142" s="62" t="str">
        <f>IF(H142="","",IF(OR('Data Export'!F142="三厢轿车",'Data Export'!F142="掀背轿车",'Data Export'!F142="旅行车",'Data Export'!F142="微型车",'Data Export'!F142="硬顶跑车",'Data Export'!F142="敞蓬车",'Data Export'!F142="Targa"),"轿车",IF(OR('Data Export'!F142="小型MPV",'Data Export'!F142="客车"),"MPV",IF('Data Export'!F142="运动型多功能车","SUV","其他"))))</f>
        <v>其他</v>
      </c>
      <c r="K142" s="62" t="str">
        <f>IF(OR(D142="",NOT(F142=1)),"",1+SUMPRODUCT(($F$2:$F$1001=1)*($D$2:$D$1001&gt;D142))+COUNTIFS($F$2:F142,1,$D$2:D142,D142)-1)</f>
        <v/>
      </c>
      <c r="L142" s="62">
        <f>IF(OR(D142="",NOT(G142="轿车")),"",1+SUMPRODUCT(($G$2:$G$1001="轿车")*($D$2:$D$1001&gt;D142))+COUNTIFS($G$2:G142,"轿车",$D$2:D142,D142)-1)</f>
        <v>60</v>
      </c>
      <c r="M142" s="62" t="str">
        <f>IF(OR(D142="",NOT(G142="MPV")),"",1+SUMPRODUCT(($G$2:$G$1001="MPV")*($D$2:$D$1001&gt;D142))+COUNTIFS($G$2:G142,"MPV",$D$2:D142,D142)-1)</f>
        <v/>
      </c>
      <c r="N142" s="62" t="str">
        <f>IF(OR(D142="",NOT(G142="SUV")),"",1+SUMPRODUCT(($G$2:$G$1001="SUV")*($D$2:$D$1001&gt;D142))+COUNTIFS($G$2:G142,"SUV",$D$2:D142,D142)-1)</f>
        <v/>
      </c>
      <c r="O142" s="62" t="str">
        <f>IF(OR(D142="",NOT(AND(F142=1,G142="轿车"))),"",1+SUMPRODUCT(($F$2:$F$1001=1)*($G$2:$G$1001="轿车")*($D$2:$D$1001&gt;D142))+COUNTIFS($F$2:F142,1,$G$2:G142,"轿车",$D$2:D142,D142)-1)</f>
        <v/>
      </c>
      <c r="P142" s="62" t="str">
        <f>IF(OR(D142="",NOT(AND(F142=1,G142="MPV"))),"",1+SUMPRODUCT(($F$2:$F$1001=1)*($G$2:$G$1001="MPV")*($D$2:$D$1001&gt;D142))+COUNTIFS($F$2:F142,1,$G$2:G142,"MPV",$D$2:D142,D142)-1)</f>
        <v/>
      </c>
      <c r="Q142" s="62" t="str">
        <f>IF(OR(D142="",NOT(AND(F142=1,G142="SUV"))),"",1+SUMPRODUCT(($F$2:$F$1001=1)*($G$2:$G$1001="SUV")*($D$2:$D$1001&gt;D142))+COUNTIFS($F$2:F142,1,$G$2:G142,"SUV",$D$2:D142,D142)-1)</f>
        <v/>
      </c>
    </row>
    <row r="143" spans="1:17">
      <c r="A143" s="62" t="str">
        <f>IFERROR(INDEX($H$2:$H$3000,MATCH(0,INDEX(COUNTIF($A$1:A142,$H$2:$H$3000)+($H$2:$H$3000=""),0,0),0)),"")</f>
        <v>HYUNDAI♦PALISADE</v>
      </c>
      <c r="B143" s="62" t="str">
        <f t="shared" si="8"/>
        <v>HYUNDAI</v>
      </c>
      <c r="C143" s="62" t="str">
        <f t="shared" si="9"/>
        <v>PALISADE</v>
      </c>
      <c r="D143" s="63">
        <f t="shared" si="10"/>
        <v>24</v>
      </c>
      <c r="E143" s="62">
        <f>IF(D143="","",_xlfn.RANK.EQ(D143,$D$2:$D$1001,0)+COUNTIF($D$2:D143,D143)-1)</f>
        <v>116</v>
      </c>
      <c r="F143" s="62">
        <f>IF(B143="","",--(COUNTIF(CN_Brands!$A$2:$A$300,UPPER(B143))&gt;0))</f>
        <v>0</v>
      </c>
      <c r="G143" s="62" t="str">
        <f t="shared" si="11"/>
        <v>SUV</v>
      </c>
      <c r="H143" s="62" t="str">
        <f>IF(AND('Data Export'!A143=前十整体车型排名!$B$2,'Data Export'!B143=前十整体车型排名!$B$3,'Data Export'!D143&lt;&gt;""),UPPER('Data Export'!C143)&amp;"♦"&amp;'Data Export'!D143,"")</f>
        <v>BMW♦SERIES 6</v>
      </c>
      <c r="I143" s="63">
        <f>IF(H143="","",IFERROR(INDEX('Data Export'!G143:CZ143,1,MATCH(前十整体车型排名!$B$4,'Data Export'!$G$1:$CZ$1,0)),0))</f>
        <v>1</v>
      </c>
      <c r="J143" s="62" t="str">
        <f>IF(H143="","",IF(OR('Data Export'!F143="三厢轿车",'Data Export'!F143="掀背轿车",'Data Export'!F143="旅行车",'Data Export'!F143="微型车",'Data Export'!F143="硬顶跑车",'Data Export'!F143="敞蓬车",'Data Export'!F143="Targa"),"轿车",IF(OR('Data Export'!F143="小型MPV",'Data Export'!F143="客车"),"MPV",IF('Data Export'!F143="运动型多功能车","SUV","其他"))))</f>
        <v>轿车</v>
      </c>
      <c r="K143" s="62" t="str">
        <f>IF(OR(D143="",NOT(F143=1)),"",1+SUMPRODUCT(($F$2:$F$1001=1)*($D$2:$D$1001&gt;D143))+COUNTIFS($F$2:F143,1,$D$2:D143,D143)-1)</f>
        <v/>
      </c>
      <c r="L143" s="62" t="str">
        <f>IF(OR(D143="",NOT(G143="轿车")),"",1+SUMPRODUCT(($G$2:$G$1001="轿车")*($D$2:$D$1001&gt;D143))+COUNTIFS($G$2:G143,"轿车",$D$2:D143,D143)-1)</f>
        <v/>
      </c>
      <c r="M143" s="62" t="str">
        <f>IF(OR(D143="",NOT(G143="MPV")),"",1+SUMPRODUCT(($G$2:$G$1001="MPV")*($D$2:$D$1001&gt;D143))+COUNTIFS($G$2:G143,"MPV",$D$2:D143,D143)-1)</f>
        <v/>
      </c>
      <c r="N143" s="62">
        <f>IF(OR(D143="",NOT(G143="SUV")),"",1+SUMPRODUCT(($G$2:$G$1001="SUV")*($D$2:$D$1001&gt;D143))+COUNTIFS($G$2:G143,"SUV",$D$2:D143,D143)-1)</f>
        <v>60</v>
      </c>
      <c r="O143" s="62" t="str">
        <f>IF(OR(D143="",NOT(AND(F143=1,G143="轿车"))),"",1+SUMPRODUCT(($F$2:$F$1001=1)*($G$2:$G$1001="轿车")*($D$2:$D$1001&gt;D143))+COUNTIFS($F$2:F143,1,$G$2:G143,"轿车",$D$2:D143,D143)-1)</f>
        <v/>
      </c>
      <c r="P143" s="62" t="str">
        <f>IF(OR(D143="",NOT(AND(F143=1,G143="MPV"))),"",1+SUMPRODUCT(($F$2:$F$1001=1)*($G$2:$G$1001="MPV")*($D$2:$D$1001&gt;D143))+COUNTIFS($F$2:F143,1,$G$2:G143,"MPV",$D$2:D143,D143)-1)</f>
        <v/>
      </c>
      <c r="Q143" s="62" t="str">
        <f>IF(OR(D143="",NOT(AND(F143=1,G143="SUV"))),"",1+SUMPRODUCT(($F$2:$F$1001=1)*($G$2:$G$1001="SUV")*($D$2:$D$1001&gt;D143))+COUNTIFS($F$2:F143,1,$G$2:G143,"SUV",$D$2:D143,D143)-1)</f>
        <v/>
      </c>
    </row>
    <row r="144" spans="1:17">
      <c r="A144" s="62" t="str">
        <f>IFERROR(INDEX($H$2:$H$3000,MATCH(0,INDEX(COUNTIF($A$1:A143,$H$2:$H$3000)+($H$2:$H$3000=""),0,0),0)),"")</f>
        <v>HYUNDAI♦SANTA FE</v>
      </c>
      <c r="B144" s="62" t="str">
        <f t="shared" si="8"/>
        <v>HYUNDAI</v>
      </c>
      <c r="C144" s="62" t="str">
        <f t="shared" si="9"/>
        <v>SANTA FE</v>
      </c>
      <c r="D144" s="63">
        <f t="shared" si="10"/>
        <v>34</v>
      </c>
      <c r="E144" s="62">
        <f>IF(D144="","",_xlfn.RANK.EQ(D144,$D$2:$D$1001,0)+COUNTIF($D$2:D144,D144)-1)</f>
        <v>105</v>
      </c>
      <c r="F144" s="62">
        <f>IF(B144="","",--(COUNTIF(CN_Brands!$A$2:$A$300,UPPER(B144))&gt;0))</f>
        <v>0</v>
      </c>
      <c r="G144" s="62" t="str">
        <f t="shared" si="11"/>
        <v>SUV</v>
      </c>
      <c r="H144" s="62" t="str">
        <f>IF(AND('Data Export'!A144=前十整体车型排名!$B$2,'Data Export'!B144=前十整体车型排名!$B$3,'Data Export'!D144&lt;&gt;""),UPPER('Data Export'!C144)&amp;"♦"&amp;'Data Export'!D144,"")</f>
        <v>BMW♦SERIES 7</v>
      </c>
      <c r="I144" s="63">
        <f>IF(H144="","",IFERROR(INDEX('Data Export'!G144:CZ144,1,MATCH(前十整体车型排名!$B$4,'Data Export'!$G$1:$CZ$1,0)),0))</f>
        <v>1</v>
      </c>
      <c r="J144" s="62" t="str">
        <f>IF(H144="","",IF(OR('Data Export'!F144="三厢轿车",'Data Export'!F144="掀背轿车",'Data Export'!F144="旅行车",'Data Export'!F144="微型车",'Data Export'!F144="硬顶跑车",'Data Export'!F144="敞蓬车",'Data Export'!F144="Targa"),"轿车",IF(OR('Data Export'!F144="小型MPV",'Data Export'!F144="客车"),"MPV",IF('Data Export'!F144="运动型多功能车","SUV","其他"))))</f>
        <v>轿车</v>
      </c>
      <c r="K144" s="62" t="str">
        <f>IF(OR(D144="",NOT(F144=1)),"",1+SUMPRODUCT(($F$2:$F$1001=1)*($D$2:$D$1001&gt;D144))+COUNTIFS($F$2:F144,1,$D$2:D144,D144)-1)</f>
        <v/>
      </c>
      <c r="L144" s="62" t="str">
        <f>IF(OR(D144="",NOT(G144="轿车")),"",1+SUMPRODUCT(($G$2:$G$1001="轿车")*($D$2:$D$1001&gt;D144))+COUNTIFS($G$2:G144,"轿车",$D$2:D144,D144)-1)</f>
        <v/>
      </c>
      <c r="M144" s="62" t="str">
        <f>IF(OR(D144="",NOT(G144="MPV")),"",1+SUMPRODUCT(($G$2:$G$1001="MPV")*($D$2:$D$1001&gt;D144))+COUNTIFS($G$2:G144,"MPV",$D$2:D144,D144)-1)</f>
        <v/>
      </c>
      <c r="N144" s="62">
        <f>IF(OR(D144="",NOT(G144="SUV")),"",1+SUMPRODUCT(($G$2:$G$1001="SUV")*($D$2:$D$1001&gt;D144))+COUNTIFS($G$2:G144,"SUV",$D$2:D144,D144)-1)</f>
        <v>55</v>
      </c>
      <c r="O144" s="62" t="str">
        <f>IF(OR(D144="",NOT(AND(F144=1,G144="轿车"))),"",1+SUMPRODUCT(($F$2:$F$1001=1)*($G$2:$G$1001="轿车")*($D$2:$D$1001&gt;D144))+COUNTIFS($F$2:F144,1,$G$2:G144,"轿车",$D$2:D144,D144)-1)</f>
        <v/>
      </c>
      <c r="P144" s="62" t="str">
        <f>IF(OR(D144="",NOT(AND(F144=1,G144="MPV"))),"",1+SUMPRODUCT(($F$2:$F$1001=1)*($G$2:$G$1001="MPV")*($D$2:$D$1001&gt;D144))+COUNTIFS($F$2:F144,1,$G$2:G144,"MPV",$D$2:D144,D144)-1)</f>
        <v/>
      </c>
      <c r="Q144" s="62" t="str">
        <f>IF(OR(D144="",NOT(AND(F144=1,G144="SUV"))),"",1+SUMPRODUCT(($F$2:$F$1001=1)*($G$2:$G$1001="SUV")*($D$2:$D$1001&gt;D144))+COUNTIFS($F$2:F144,1,$G$2:G144,"SUV",$D$2:D144,D144)-1)</f>
        <v/>
      </c>
    </row>
    <row r="145" spans="1:17">
      <c r="A145" s="62" t="str">
        <f>IFERROR(INDEX($H$2:$H$3000,MATCH(0,INDEX(COUNTIF($A$1:A144,$H$2:$H$3000)+($H$2:$H$3000=""),0,0),0)),"")</f>
        <v>HYUNDAI♦STARGAZER</v>
      </c>
      <c r="B145" s="62" t="str">
        <f t="shared" si="8"/>
        <v>HYUNDAI</v>
      </c>
      <c r="C145" s="62" t="str">
        <f t="shared" si="9"/>
        <v>STARGAZER</v>
      </c>
      <c r="D145" s="63">
        <f t="shared" si="10"/>
        <v>26</v>
      </c>
      <c r="E145" s="62">
        <f>IF(D145="","",_xlfn.RANK.EQ(D145,$D$2:$D$1001,0)+COUNTIF($D$2:D145,D145)-1)</f>
        <v>112</v>
      </c>
      <c r="F145" s="62">
        <f>IF(B145="","",--(COUNTIF(CN_Brands!$A$2:$A$300,UPPER(B145))&gt;0))</f>
        <v>0</v>
      </c>
      <c r="G145" s="62" t="str">
        <f t="shared" si="11"/>
        <v>MPV</v>
      </c>
      <c r="H145" s="62" t="str">
        <f>IF(AND('Data Export'!A145=前十整体车型排名!$B$2,'Data Export'!B145=前十整体车型排名!$B$3,'Data Export'!D145&lt;&gt;""),UPPER('Data Export'!C145)&amp;"♦"&amp;'Data Export'!D145,"")</f>
        <v>BMW♦SERIES 7</v>
      </c>
      <c r="I145" s="63">
        <f>IF(H145="","",IFERROR(INDEX('Data Export'!G145:CZ145,1,MATCH(前十整体车型排名!$B$4,'Data Export'!$G$1:$CZ$1,0)),0))</f>
        <v>3</v>
      </c>
      <c r="J145" s="62" t="str">
        <f>IF(H145="","",IF(OR('Data Export'!F145="三厢轿车",'Data Export'!F145="掀背轿车",'Data Export'!F145="旅行车",'Data Export'!F145="微型车",'Data Export'!F145="硬顶跑车",'Data Export'!F145="敞蓬车",'Data Export'!F145="Targa"),"轿车",IF(OR('Data Export'!F145="小型MPV",'Data Export'!F145="客车"),"MPV",IF('Data Export'!F145="运动型多功能车","SUV","其他"))))</f>
        <v>轿车</v>
      </c>
      <c r="K145" s="62" t="str">
        <f>IF(OR(D145="",NOT(F145=1)),"",1+SUMPRODUCT(($F$2:$F$1001=1)*($D$2:$D$1001&gt;D145))+COUNTIFS($F$2:F145,1,$D$2:D145,D145)-1)</f>
        <v/>
      </c>
      <c r="L145" s="62" t="str">
        <f>IF(OR(D145="",NOT(G145="轿车")),"",1+SUMPRODUCT(($G$2:$G$1001="轿车")*($D$2:$D$1001&gt;D145))+COUNTIFS($G$2:G145,"轿车",$D$2:D145,D145)-1)</f>
        <v/>
      </c>
      <c r="M145" s="62">
        <f>IF(OR(D145="",NOT(G145="MPV")),"",1+SUMPRODUCT(($G$2:$G$1001="MPV")*($D$2:$D$1001&gt;D145))+COUNTIFS($G$2:G145,"MPV",$D$2:D145,D145)-1)</f>
        <v>2</v>
      </c>
      <c r="N145" s="62" t="str">
        <f>IF(OR(D145="",NOT(G145="SUV")),"",1+SUMPRODUCT(($G$2:$G$1001="SUV")*($D$2:$D$1001&gt;D145))+COUNTIFS($G$2:G145,"SUV",$D$2:D145,D145)-1)</f>
        <v/>
      </c>
      <c r="O145" s="62" t="str">
        <f>IF(OR(D145="",NOT(AND(F145=1,G145="轿车"))),"",1+SUMPRODUCT(($F$2:$F$1001=1)*($G$2:$G$1001="轿车")*($D$2:$D$1001&gt;D145))+COUNTIFS($F$2:F145,1,$G$2:G145,"轿车",$D$2:D145,D145)-1)</f>
        <v/>
      </c>
      <c r="P145" s="62" t="str">
        <f>IF(OR(D145="",NOT(AND(F145=1,G145="MPV"))),"",1+SUMPRODUCT(($F$2:$F$1001=1)*($G$2:$G$1001="MPV")*($D$2:$D$1001&gt;D145))+COUNTIFS($F$2:F145,1,$G$2:G145,"MPV",$D$2:D145,D145)-1)</f>
        <v/>
      </c>
      <c r="Q145" s="62" t="str">
        <f>IF(OR(D145="",NOT(AND(F145=1,G145="SUV"))),"",1+SUMPRODUCT(($F$2:$F$1001=1)*($G$2:$G$1001="SUV")*($D$2:$D$1001&gt;D145))+COUNTIFS($F$2:F145,1,$G$2:G145,"SUV",$D$2:D145,D145)-1)</f>
        <v/>
      </c>
    </row>
    <row r="146" spans="1:17">
      <c r="A146" s="62" t="str">
        <f>IFERROR(INDEX($H$2:$H$3000,MATCH(0,INDEX(COUNTIF($A$1:A145,$H$2:$H$3000)+($H$2:$H$3000=""),0,0),0)),"")</f>
        <v>HYUNDAI♦STARIA</v>
      </c>
      <c r="B146" s="62" t="str">
        <f t="shared" si="8"/>
        <v>HYUNDAI</v>
      </c>
      <c r="C146" s="62" t="str">
        <f t="shared" si="9"/>
        <v>STARIA</v>
      </c>
      <c r="D146" s="63">
        <f t="shared" si="10"/>
        <v>95</v>
      </c>
      <c r="E146" s="62">
        <f>IF(D146="","",_xlfn.RANK.EQ(D146,$D$2:$D$1001,0)+COUNTIF($D$2:D146,D146)-1)</f>
        <v>75</v>
      </c>
      <c r="F146" s="62">
        <f>IF(B146="","",--(COUNTIF(CN_Brands!$A$2:$A$300,UPPER(B146))&gt;0))</f>
        <v>0</v>
      </c>
      <c r="G146" s="62" t="str">
        <f t="shared" si="11"/>
        <v>其他</v>
      </c>
      <c r="H146" s="62" t="str">
        <f>IF(AND('Data Export'!A146=前十整体车型排名!$B$2,'Data Export'!B146=前十整体车型排名!$B$3,'Data Export'!D146&lt;&gt;""),UPPER('Data Export'!C146)&amp;"♦"&amp;'Data Export'!D146,"")</f>
        <v>BMW♦SERIES 7</v>
      </c>
      <c r="I146" s="63">
        <f>IF(H146="","",IFERROR(INDEX('Data Export'!G146:CZ146,1,MATCH(前十整体车型排名!$B$4,'Data Export'!$G$1:$CZ$1,0)),0))</f>
        <v>0</v>
      </c>
      <c r="J146" s="62" t="str">
        <f>IF(H146="","",IF(OR('Data Export'!F146="三厢轿车",'Data Export'!F146="掀背轿车",'Data Export'!F146="旅行车",'Data Export'!F146="微型车",'Data Export'!F146="硬顶跑车",'Data Export'!F146="敞蓬车",'Data Export'!F146="Targa"),"轿车",IF(OR('Data Export'!F146="小型MPV",'Data Export'!F146="客车"),"MPV",IF('Data Export'!F146="运动型多功能车","SUV","其他"))))</f>
        <v>轿车</v>
      </c>
      <c r="K146" s="62" t="str">
        <f>IF(OR(D146="",NOT(F146=1)),"",1+SUMPRODUCT(($F$2:$F$1001=1)*($D$2:$D$1001&gt;D146))+COUNTIFS($F$2:F146,1,$D$2:D146,D146)-1)</f>
        <v/>
      </c>
      <c r="L146" s="62" t="str">
        <f>IF(OR(D146="",NOT(G146="轿车")),"",1+SUMPRODUCT(($G$2:$G$1001="轿车")*($D$2:$D$1001&gt;D146))+COUNTIFS($G$2:G146,"轿车",$D$2:D146,D146)-1)</f>
        <v/>
      </c>
      <c r="M146" s="62" t="str">
        <f>IF(OR(D146="",NOT(G146="MPV")),"",1+SUMPRODUCT(($G$2:$G$1001="MPV")*($D$2:$D$1001&gt;D146))+COUNTIFS($G$2:G146,"MPV",$D$2:D146,D146)-1)</f>
        <v/>
      </c>
      <c r="N146" s="62" t="str">
        <f>IF(OR(D146="",NOT(G146="SUV")),"",1+SUMPRODUCT(($G$2:$G$1001="SUV")*($D$2:$D$1001&gt;D146))+COUNTIFS($G$2:G146,"SUV",$D$2:D146,D146)-1)</f>
        <v/>
      </c>
      <c r="O146" s="62" t="str">
        <f>IF(OR(D146="",NOT(AND(F146=1,G146="轿车"))),"",1+SUMPRODUCT(($F$2:$F$1001=1)*($G$2:$G$1001="轿车")*($D$2:$D$1001&gt;D146))+COUNTIFS($F$2:F146,1,$G$2:G146,"轿车",$D$2:D146,D146)-1)</f>
        <v/>
      </c>
      <c r="P146" s="62" t="str">
        <f>IF(OR(D146="",NOT(AND(F146=1,G146="MPV"))),"",1+SUMPRODUCT(($F$2:$F$1001=1)*($G$2:$G$1001="MPV")*($D$2:$D$1001&gt;D146))+COUNTIFS($F$2:F146,1,$G$2:G146,"MPV",$D$2:D146,D146)-1)</f>
        <v/>
      </c>
      <c r="Q146" s="62" t="str">
        <f>IF(OR(D146="",NOT(AND(F146=1,G146="SUV"))),"",1+SUMPRODUCT(($F$2:$F$1001=1)*($G$2:$G$1001="SUV")*($D$2:$D$1001&gt;D146))+COUNTIFS($F$2:F146,1,$G$2:G146,"SUV",$D$2:D146,D146)-1)</f>
        <v/>
      </c>
    </row>
    <row r="147" spans="1:17">
      <c r="A147" s="62" t="str">
        <f>IFERROR(INDEX($H$2:$H$3000,MATCH(0,INDEX(COUNTIF($A$1:A146,$H$2:$H$3000)+($H$2:$H$3000=""),0,0),0)),"")</f>
        <v>ISUZU♦MU-X</v>
      </c>
      <c r="B147" s="62" t="str">
        <f t="shared" si="8"/>
        <v>ISUZU</v>
      </c>
      <c r="C147" s="62" t="str">
        <f t="shared" si="9"/>
        <v>MU-X</v>
      </c>
      <c r="D147" s="63">
        <f t="shared" si="10"/>
        <v>737</v>
      </c>
      <c r="E147" s="62">
        <f>IF(D147="","",_xlfn.RANK.EQ(D147,$D$2:$D$1001,0)+COUNTIF($D$2:D147,D147)-1)</f>
        <v>15</v>
      </c>
      <c r="F147" s="62">
        <f>IF(B147="","",--(COUNTIF(CN_Brands!$A$2:$A$300,UPPER(B147))&gt;0))</f>
        <v>0</v>
      </c>
      <c r="G147" s="62" t="str">
        <f t="shared" si="11"/>
        <v>SUV</v>
      </c>
      <c r="H147" s="62" t="str">
        <f>IF(AND('Data Export'!A147=前十整体车型排名!$B$2,'Data Export'!B147=前十整体车型排名!$B$3,'Data Export'!D147&lt;&gt;""),UPPER('Data Export'!C147)&amp;"♦"&amp;'Data Export'!D147,"")</f>
        <v>BMW♦SERIES 7</v>
      </c>
      <c r="I147" s="63">
        <f>IF(H147="","",IFERROR(INDEX('Data Export'!G147:CZ147,1,MATCH(前十整体车型排名!$B$4,'Data Export'!$G$1:$CZ$1,0)),0))</f>
        <v>0</v>
      </c>
      <c r="J147" s="62" t="str">
        <f>IF(H147="","",IF(OR('Data Export'!F147="三厢轿车",'Data Export'!F147="掀背轿车",'Data Export'!F147="旅行车",'Data Export'!F147="微型车",'Data Export'!F147="硬顶跑车",'Data Export'!F147="敞蓬车",'Data Export'!F147="Targa"),"轿车",IF(OR('Data Export'!F147="小型MPV",'Data Export'!F147="客车"),"MPV",IF('Data Export'!F147="运动型多功能车","SUV","其他"))))</f>
        <v>轿车</v>
      </c>
      <c r="K147" s="62" t="str">
        <f>IF(OR(D147="",NOT(F147=1)),"",1+SUMPRODUCT(($F$2:$F$1001=1)*($D$2:$D$1001&gt;D147))+COUNTIFS($F$2:F147,1,$D$2:D147,D147)-1)</f>
        <v/>
      </c>
      <c r="L147" s="62" t="str">
        <f>IF(OR(D147="",NOT(G147="轿车")),"",1+SUMPRODUCT(($G$2:$G$1001="轿车")*($D$2:$D$1001&gt;D147))+COUNTIFS($G$2:G147,"轿车",$D$2:D147,D147)-1)</f>
        <v/>
      </c>
      <c r="M147" s="62" t="str">
        <f>IF(OR(D147="",NOT(G147="MPV")),"",1+SUMPRODUCT(($G$2:$G$1001="MPV")*($D$2:$D$1001&gt;D147))+COUNTIFS($G$2:G147,"MPV",$D$2:D147,D147)-1)</f>
        <v/>
      </c>
      <c r="N147" s="62">
        <f>IF(OR(D147="",NOT(G147="SUV")),"",1+SUMPRODUCT(($G$2:$G$1001="SUV")*($D$2:$D$1001&gt;D147))+COUNTIFS($G$2:G147,"SUV",$D$2:D147,D147)-1)</f>
        <v>10</v>
      </c>
      <c r="O147" s="62" t="str">
        <f>IF(OR(D147="",NOT(AND(F147=1,G147="轿车"))),"",1+SUMPRODUCT(($F$2:$F$1001=1)*($G$2:$G$1001="轿车")*($D$2:$D$1001&gt;D147))+COUNTIFS($F$2:F147,1,$G$2:G147,"轿车",$D$2:D147,D147)-1)</f>
        <v/>
      </c>
      <c r="P147" s="62" t="str">
        <f>IF(OR(D147="",NOT(AND(F147=1,G147="MPV"))),"",1+SUMPRODUCT(($F$2:$F$1001=1)*($G$2:$G$1001="MPV")*($D$2:$D$1001&gt;D147))+COUNTIFS($F$2:F147,1,$G$2:G147,"MPV",$D$2:D147,D147)-1)</f>
        <v/>
      </c>
      <c r="Q147" s="62" t="str">
        <f>IF(OR(D147="",NOT(AND(F147=1,G147="SUV"))),"",1+SUMPRODUCT(($F$2:$F$1001=1)*($G$2:$G$1001="SUV")*($D$2:$D$1001&gt;D147))+COUNTIFS($F$2:F147,1,$G$2:G147,"SUV",$D$2:D147,D147)-1)</f>
        <v/>
      </c>
    </row>
    <row r="148" spans="1:17">
      <c r="A148" s="62" t="str">
        <f>IFERROR(INDEX($H$2:$H$3000,MATCH(0,INDEX(COUNTIF($A$1:A147,$H$2:$H$3000)+($H$2:$H$3000=""),0,0),0)),"")</f>
        <v>ISUZU♦OTHER</v>
      </c>
      <c r="B148" s="62" t="str">
        <f t="shared" si="8"/>
        <v>ISUZU</v>
      </c>
      <c r="C148" s="62" t="str">
        <f t="shared" si="9"/>
        <v>OTHER</v>
      </c>
      <c r="D148" s="63">
        <f t="shared" si="10"/>
        <v>0</v>
      </c>
      <c r="E148" s="62">
        <f>IF(D148="","",_xlfn.RANK.EQ(D148,$D$2:$D$1001,0)+COUNTIF($D$2:D148,D148)-1)</f>
        <v>315</v>
      </c>
      <c r="F148" s="62">
        <f>IF(B148="","",--(COUNTIF(CN_Brands!$A$2:$A$300,UPPER(B148))&gt;0))</f>
        <v>0</v>
      </c>
      <c r="G148" s="62" t="str">
        <f t="shared" si="11"/>
        <v>其他</v>
      </c>
      <c r="H148" s="62" t="str">
        <f>IF(AND('Data Export'!A148=前十整体车型排名!$B$2,'Data Export'!B148=前十整体车型排名!$B$3,'Data Export'!D148&lt;&gt;""),UPPER('Data Export'!C148)&amp;"♦"&amp;'Data Export'!D148,"")</f>
        <v>BMW♦SERIES 7</v>
      </c>
      <c r="I148" s="63">
        <f>IF(H148="","",IFERROR(INDEX('Data Export'!G148:CZ148,1,MATCH(前十整体车型排名!$B$4,'Data Export'!$G$1:$CZ$1,0)),0))</f>
        <v>2</v>
      </c>
      <c r="J148" s="62" t="str">
        <f>IF(H148="","",IF(OR('Data Export'!F148="三厢轿车",'Data Export'!F148="掀背轿车",'Data Export'!F148="旅行车",'Data Export'!F148="微型车",'Data Export'!F148="硬顶跑车",'Data Export'!F148="敞蓬车",'Data Export'!F148="Targa"),"轿车",IF(OR('Data Export'!F148="小型MPV",'Data Export'!F148="客车"),"MPV",IF('Data Export'!F148="运动型多功能车","SUV","其他"))))</f>
        <v>轿车</v>
      </c>
      <c r="K148" s="62" t="str">
        <f>IF(OR(D148="",NOT(F148=1)),"",1+SUMPRODUCT(($F$2:$F$1001=1)*($D$2:$D$1001&gt;D148))+COUNTIFS($F$2:F148,1,$D$2:D148,D148)-1)</f>
        <v/>
      </c>
      <c r="L148" s="62" t="str">
        <f>IF(OR(D148="",NOT(G148="轿车")),"",1+SUMPRODUCT(($G$2:$G$1001="轿车")*($D$2:$D$1001&gt;D148))+COUNTIFS($G$2:G148,"轿车",$D$2:D148,D148)-1)</f>
        <v/>
      </c>
      <c r="M148" s="62" t="str">
        <f>IF(OR(D148="",NOT(G148="MPV")),"",1+SUMPRODUCT(($G$2:$G$1001="MPV")*($D$2:$D$1001&gt;D148))+COUNTIFS($G$2:G148,"MPV",$D$2:D148,D148)-1)</f>
        <v/>
      </c>
      <c r="N148" s="62" t="str">
        <f>IF(OR(D148="",NOT(G148="SUV")),"",1+SUMPRODUCT(($G$2:$G$1001="SUV")*($D$2:$D$1001&gt;D148))+COUNTIFS($G$2:G148,"SUV",$D$2:D148,D148)-1)</f>
        <v/>
      </c>
      <c r="O148" s="62" t="str">
        <f>IF(OR(D148="",NOT(AND(F148=1,G148="轿车"))),"",1+SUMPRODUCT(($F$2:$F$1001=1)*($G$2:$G$1001="轿车")*($D$2:$D$1001&gt;D148))+COUNTIFS($F$2:F148,1,$G$2:G148,"轿车",$D$2:D148,D148)-1)</f>
        <v/>
      </c>
      <c r="P148" s="62" t="str">
        <f>IF(OR(D148="",NOT(AND(F148=1,G148="MPV"))),"",1+SUMPRODUCT(($F$2:$F$1001=1)*($G$2:$G$1001="MPV")*($D$2:$D$1001&gt;D148))+COUNTIFS($F$2:F148,1,$G$2:G148,"MPV",$D$2:D148,D148)-1)</f>
        <v/>
      </c>
      <c r="Q148" s="62" t="str">
        <f>IF(OR(D148="",NOT(AND(F148=1,G148="SUV"))),"",1+SUMPRODUCT(($F$2:$F$1001=1)*($G$2:$G$1001="SUV")*($D$2:$D$1001&gt;D148))+COUNTIFS($F$2:F148,1,$G$2:G148,"SUV",$D$2:D148,D148)-1)</f>
        <v/>
      </c>
    </row>
    <row r="149" spans="1:17">
      <c r="A149" s="62" t="str">
        <f>IFERROR(INDEX($H$2:$H$3000,MATCH(0,INDEX(COUNTIF($A$1:A148,$H$2:$H$3000)+($H$2:$H$3000=""),0,0),0)),"")</f>
        <v>JAC♦T8</v>
      </c>
      <c r="B149" s="62" t="str">
        <f t="shared" si="8"/>
        <v>JAC</v>
      </c>
      <c r="C149" s="62" t="str">
        <f t="shared" si="9"/>
        <v>T8</v>
      </c>
      <c r="D149" s="63">
        <f t="shared" si="10"/>
        <v>0</v>
      </c>
      <c r="E149" s="62">
        <f>IF(D149="","",_xlfn.RANK.EQ(D149,$D$2:$D$1001,0)+COUNTIF($D$2:D149,D149)-1)</f>
        <v>316</v>
      </c>
      <c r="F149" s="62">
        <f>IF(B149="","",--(COUNTIF(CN_Brands!$A$2:$A$300,UPPER(B149))&gt;0))</f>
        <v>1</v>
      </c>
      <c r="G149" s="62" t="str">
        <f t="shared" si="11"/>
        <v>其他</v>
      </c>
      <c r="H149" s="62" t="str">
        <f>IF(AND('Data Export'!A149=前十整体车型排名!$B$2,'Data Export'!B149=前十整体车型排名!$B$3,'Data Export'!D149&lt;&gt;""),UPPER('Data Export'!C149)&amp;"♦"&amp;'Data Export'!D149,"")</f>
        <v>BMW♦SERIES 8</v>
      </c>
      <c r="I149" s="63">
        <f>IF(H149="","",IFERROR(INDEX('Data Export'!G149:CZ149,1,MATCH(前十整体车型排名!$B$4,'Data Export'!$G$1:$CZ$1,0)),0))</f>
        <v>0</v>
      </c>
      <c r="J149" s="62" t="str">
        <f>IF(H149="","",IF(OR('Data Export'!F149="三厢轿车",'Data Export'!F149="掀背轿车",'Data Export'!F149="旅行车",'Data Export'!F149="微型车",'Data Export'!F149="硬顶跑车",'Data Export'!F149="敞蓬车",'Data Export'!F149="Targa"),"轿车",IF(OR('Data Export'!F149="小型MPV",'Data Export'!F149="客车"),"MPV",IF('Data Export'!F149="运动型多功能车","SUV","其他"))))</f>
        <v>轿车</v>
      </c>
      <c r="K149" s="62">
        <f>IF(OR(D149="",NOT(F149=1)),"",1+SUMPRODUCT(($F$2:$F$1001=1)*($D$2:$D$1001&gt;D149))+COUNTIFS($F$2:F149,1,$D$2:D149,D149)-1)</f>
        <v>71</v>
      </c>
      <c r="L149" s="62" t="str">
        <f>IF(OR(D149="",NOT(G149="轿车")),"",1+SUMPRODUCT(($G$2:$G$1001="轿车")*($D$2:$D$1001&gt;D149))+COUNTIFS($G$2:G149,"轿车",$D$2:D149,D149)-1)</f>
        <v/>
      </c>
      <c r="M149" s="62" t="str">
        <f>IF(OR(D149="",NOT(G149="MPV")),"",1+SUMPRODUCT(($G$2:$G$1001="MPV")*($D$2:$D$1001&gt;D149))+COUNTIFS($G$2:G149,"MPV",$D$2:D149,D149)-1)</f>
        <v/>
      </c>
      <c r="N149" s="62" t="str">
        <f>IF(OR(D149="",NOT(G149="SUV")),"",1+SUMPRODUCT(($G$2:$G$1001="SUV")*($D$2:$D$1001&gt;D149))+COUNTIFS($G$2:G149,"SUV",$D$2:D149,D149)-1)</f>
        <v/>
      </c>
      <c r="O149" s="62" t="str">
        <f>IF(OR(D149="",NOT(AND(F149=1,G149="轿车"))),"",1+SUMPRODUCT(($F$2:$F$1001=1)*($G$2:$G$1001="轿车")*($D$2:$D$1001&gt;D149))+COUNTIFS($F$2:F149,1,$G$2:G149,"轿车",$D$2:D149,D149)-1)</f>
        <v/>
      </c>
      <c r="P149" s="62" t="str">
        <f>IF(OR(D149="",NOT(AND(F149=1,G149="MPV"))),"",1+SUMPRODUCT(($F$2:$F$1001=1)*($G$2:$G$1001="MPV")*($D$2:$D$1001&gt;D149))+COUNTIFS($F$2:F149,1,$G$2:G149,"MPV",$D$2:D149,D149)-1)</f>
        <v/>
      </c>
      <c r="Q149" s="62" t="str">
        <f>IF(OR(D149="",NOT(AND(F149=1,G149="SUV"))),"",1+SUMPRODUCT(($F$2:$F$1001=1)*($G$2:$G$1001="SUV")*($D$2:$D$1001&gt;D149))+COUNTIFS($F$2:F149,1,$G$2:G149,"SUV",$D$2:D149,D149)-1)</f>
        <v/>
      </c>
    </row>
    <row r="150" spans="1:17">
      <c r="A150" s="62" t="str">
        <f>IFERROR(INDEX($H$2:$H$3000,MATCH(0,INDEX(COUNTIF($A$1:A149,$H$2:$H$3000)+($H$2:$H$3000=""),0,0),0)),"")</f>
        <v>JAECOO♦5</v>
      </c>
      <c r="B150" s="62" t="str">
        <f t="shared" si="8"/>
        <v>JAECOO</v>
      </c>
      <c r="C150" s="62" t="str">
        <f t="shared" si="9"/>
        <v>5</v>
      </c>
      <c r="D150" s="63">
        <f t="shared" si="10"/>
        <v>2136</v>
      </c>
      <c r="E150" s="62">
        <f>IF(D150="","",_xlfn.RANK.EQ(D150,$D$2:$D$1001,0)+COUNTIF($D$2:D150,D150)-1)</f>
        <v>4</v>
      </c>
      <c r="F150" s="62">
        <f>IF(B150="","",--(COUNTIF(CN_Brands!$A$2:$A$300,UPPER(B150))&gt;0))</f>
        <v>1</v>
      </c>
      <c r="G150" s="62" t="str">
        <f t="shared" si="11"/>
        <v>SUV</v>
      </c>
      <c r="H150" s="62" t="str">
        <f>IF(AND('Data Export'!A150=前十整体车型排名!$B$2,'Data Export'!B150=前十整体车型排名!$B$3,'Data Export'!D150&lt;&gt;""),UPPER('Data Export'!C150)&amp;"♦"&amp;'Data Export'!D150,"")</f>
        <v>BMW♦X1</v>
      </c>
      <c r="I150" s="63">
        <f>IF(H150="","",IFERROR(INDEX('Data Export'!G150:CZ150,1,MATCH(前十整体车型排名!$B$4,'Data Export'!$G$1:$CZ$1,0)),0))</f>
        <v>0</v>
      </c>
      <c r="J150" s="62" t="str">
        <f>IF(H150="","",IF(OR('Data Export'!F150="三厢轿车",'Data Export'!F150="掀背轿车",'Data Export'!F150="旅行车",'Data Export'!F150="微型车",'Data Export'!F150="硬顶跑车",'Data Export'!F150="敞蓬车",'Data Export'!F150="Targa"),"轿车",IF(OR('Data Export'!F150="小型MPV",'Data Export'!F150="客车"),"MPV",IF('Data Export'!F150="运动型多功能车","SUV","其他"))))</f>
        <v>SUV</v>
      </c>
      <c r="K150" s="62">
        <f>IF(OR(D150="",NOT(F150=1)),"",1+SUMPRODUCT(($F$2:$F$1001=1)*($D$2:$D$1001&gt;D150))+COUNTIFS($F$2:F150,1,$D$2:D150,D150)-1)</f>
        <v>2</v>
      </c>
      <c r="L150" s="62" t="str">
        <f>IF(OR(D150="",NOT(G150="轿车")),"",1+SUMPRODUCT(($G$2:$G$1001="轿车")*($D$2:$D$1001&gt;D150))+COUNTIFS($G$2:G150,"轿车",$D$2:D150,D150)-1)</f>
        <v/>
      </c>
      <c r="M150" s="62" t="str">
        <f>IF(OR(D150="",NOT(G150="MPV")),"",1+SUMPRODUCT(($G$2:$G$1001="MPV")*($D$2:$D$1001&gt;D150))+COUNTIFS($G$2:G150,"MPV",$D$2:D150,D150)-1)</f>
        <v/>
      </c>
      <c r="N150" s="62">
        <f>IF(OR(D150="",NOT(G150="SUV")),"",1+SUMPRODUCT(($G$2:$G$1001="SUV")*($D$2:$D$1001&gt;D150))+COUNTIFS($G$2:G150,"SUV",$D$2:D150,D150)-1)</f>
        <v>2</v>
      </c>
      <c r="O150" s="62" t="str">
        <f>IF(OR(D150="",NOT(AND(F150=1,G150="轿车"))),"",1+SUMPRODUCT(($F$2:$F$1001=1)*($G$2:$G$1001="轿车")*($D$2:$D$1001&gt;D150))+COUNTIFS($F$2:F150,1,$G$2:G150,"轿车",$D$2:D150,D150)-1)</f>
        <v/>
      </c>
      <c r="P150" s="62" t="str">
        <f>IF(OR(D150="",NOT(AND(F150=1,G150="MPV"))),"",1+SUMPRODUCT(($F$2:$F$1001=1)*($G$2:$G$1001="MPV")*($D$2:$D$1001&gt;D150))+COUNTIFS($F$2:F150,1,$G$2:G150,"MPV",$D$2:D150,D150)-1)</f>
        <v/>
      </c>
      <c r="Q150" s="62">
        <f>IF(OR(D150="",NOT(AND(F150=1,G150="SUV"))),"",1+SUMPRODUCT(($F$2:$F$1001=1)*($G$2:$G$1001="SUV")*($D$2:$D$1001&gt;D150))+COUNTIFS($F$2:F150,1,$G$2:G150,"SUV",$D$2:D150,D150)-1)</f>
        <v>1</v>
      </c>
    </row>
    <row r="151" spans="1:17">
      <c r="A151" s="62" t="str">
        <f>IFERROR(INDEX($H$2:$H$3000,MATCH(0,INDEX(COUNTIF($A$1:A150,$H$2:$H$3000)+($H$2:$H$3000=""),0,0),0)),"")</f>
        <v>JAECOO♦6</v>
      </c>
      <c r="B151" s="62" t="str">
        <f t="shared" si="8"/>
        <v>JAECOO</v>
      </c>
      <c r="C151" s="62" t="str">
        <f t="shared" si="9"/>
        <v>6</v>
      </c>
      <c r="D151" s="63">
        <f t="shared" si="10"/>
        <v>632</v>
      </c>
      <c r="E151" s="62">
        <f>IF(D151="","",_xlfn.RANK.EQ(D151,$D$2:$D$1001,0)+COUNTIF($D$2:D151,D151)-1)</f>
        <v>19</v>
      </c>
      <c r="F151" s="62">
        <f>IF(B151="","",--(COUNTIF(CN_Brands!$A$2:$A$300,UPPER(B151))&gt;0))</f>
        <v>1</v>
      </c>
      <c r="G151" s="62" t="str">
        <f t="shared" si="11"/>
        <v>SUV</v>
      </c>
      <c r="H151" s="62" t="str">
        <f>IF(AND('Data Export'!A151=前十整体车型排名!$B$2,'Data Export'!B151=前十整体车型排名!$B$3,'Data Export'!D151&lt;&gt;""),UPPER('Data Export'!C151)&amp;"♦"&amp;'Data Export'!D151,"")</f>
        <v>BMW♦X1</v>
      </c>
      <c r="I151" s="63">
        <f>IF(H151="","",IFERROR(INDEX('Data Export'!G151:CZ151,1,MATCH(前十整体车型排名!$B$4,'Data Export'!$G$1:$CZ$1,0)),0))</f>
        <v>132</v>
      </c>
      <c r="J151" s="62" t="str">
        <f>IF(H151="","",IF(OR('Data Export'!F151="三厢轿车",'Data Export'!F151="掀背轿车",'Data Export'!F151="旅行车",'Data Export'!F151="微型车",'Data Export'!F151="硬顶跑车",'Data Export'!F151="敞蓬车",'Data Export'!F151="Targa"),"轿车",IF(OR('Data Export'!F151="小型MPV",'Data Export'!F151="客车"),"MPV",IF('Data Export'!F151="运动型多功能车","SUV","其他"))))</f>
        <v>SUV</v>
      </c>
      <c r="K151" s="62">
        <f>IF(OR(D151="",NOT(F151=1)),"",1+SUMPRODUCT(($F$2:$F$1001=1)*($D$2:$D$1001&gt;D151))+COUNTIFS($F$2:F151,1,$D$2:D151,D151)-1)</f>
        <v>9</v>
      </c>
      <c r="L151" s="62" t="str">
        <f>IF(OR(D151="",NOT(G151="轿车")),"",1+SUMPRODUCT(($G$2:$G$1001="轿车")*($D$2:$D$1001&gt;D151))+COUNTIFS($G$2:G151,"轿车",$D$2:D151,D151)-1)</f>
        <v/>
      </c>
      <c r="M151" s="62" t="str">
        <f>IF(OR(D151="",NOT(G151="MPV")),"",1+SUMPRODUCT(($G$2:$G$1001="MPV")*($D$2:$D$1001&gt;D151))+COUNTIFS($G$2:G151,"MPV",$D$2:D151,D151)-1)</f>
        <v/>
      </c>
      <c r="N151" s="62">
        <f>IF(OR(D151="",NOT(G151="SUV")),"",1+SUMPRODUCT(($G$2:$G$1001="SUV")*($D$2:$D$1001&gt;D151))+COUNTIFS($G$2:G151,"SUV",$D$2:D151,D151)-1)</f>
        <v>13</v>
      </c>
      <c r="O151" s="62" t="str">
        <f>IF(OR(D151="",NOT(AND(F151=1,G151="轿车"))),"",1+SUMPRODUCT(($F$2:$F$1001=1)*($G$2:$G$1001="轿车")*($D$2:$D$1001&gt;D151))+COUNTIFS($F$2:F151,1,$G$2:G151,"轿车",$D$2:D151,D151)-1)</f>
        <v/>
      </c>
      <c r="P151" s="62" t="str">
        <f>IF(OR(D151="",NOT(AND(F151=1,G151="MPV"))),"",1+SUMPRODUCT(($F$2:$F$1001=1)*($G$2:$G$1001="MPV")*($D$2:$D$1001&gt;D151))+COUNTIFS($F$2:F151,1,$G$2:G151,"MPV",$D$2:D151,D151)-1)</f>
        <v/>
      </c>
      <c r="Q151" s="62">
        <f>IF(OR(D151="",NOT(AND(F151=1,G151="SUV"))),"",1+SUMPRODUCT(($F$2:$F$1001=1)*($G$2:$G$1001="SUV")*($D$2:$D$1001&gt;D151))+COUNTIFS($F$2:F151,1,$G$2:G151,"SUV",$D$2:D151,D151)-1)</f>
        <v>6</v>
      </c>
    </row>
    <row r="152" spans="1:17">
      <c r="A152" s="62" t="str">
        <f>IFERROR(INDEX($H$2:$H$3000,MATCH(0,INDEX(COUNTIF($A$1:A151,$H$2:$H$3000)+($H$2:$H$3000=""),0,0),0)),"")</f>
        <v>JAECOO♦7</v>
      </c>
      <c r="B152" s="62" t="str">
        <f t="shared" si="8"/>
        <v>JAECOO</v>
      </c>
      <c r="C152" s="62" t="str">
        <f t="shared" si="9"/>
        <v>7</v>
      </c>
      <c r="D152" s="63">
        <f t="shared" si="10"/>
        <v>40</v>
      </c>
      <c r="E152" s="62">
        <f>IF(D152="","",_xlfn.RANK.EQ(D152,$D$2:$D$1001,0)+COUNTIF($D$2:D152,D152)-1)</f>
        <v>101</v>
      </c>
      <c r="F152" s="62">
        <f>IF(B152="","",--(COUNTIF(CN_Brands!$A$2:$A$300,UPPER(B152))&gt;0))</f>
        <v>1</v>
      </c>
      <c r="G152" s="62" t="str">
        <f t="shared" si="11"/>
        <v>SUV</v>
      </c>
      <c r="H152" s="62" t="str">
        <f>IF(AND('Data Export'!A152=前十整体车型排名!$B$2,'Data Export'!B152=前十整体车型排名!$B$3,'Data Export'!D152&lt;&gt;""),UPPER('Data Export'!C152)&amp;"♦"&amp;'Data Export'!D152,"")</f>
        <v>BMW♦X1</v>
      </c>
      <c r="I152" s="63">
        <f>IF(H152="","",IFERROR(INDEX('Data Export'!G152:CZ152,1,MATCH(前十整体车型排名!$B$4,'Data Export'!$G$1:$CZ$1,0)),0))</f>
        <v>2</v>
      </c>
      <c r="J152" s="62" t="str">
        <f>IF(H152="","",IF(OR('Data Export'!F152="三厢轿车",'Data Export'!F152="掀背轿车",'Data Export'!F152="旅行车",'Data Export'!F152="微型车",'Data Export'!F152="硬顶跑车",'Data Export'!F152="敞蓬车",'Data Export'!F152="Targa"),"轿车",IF(OR('Data Export'!F152="小型MPV",'Data Export'!F152="客车"),"MPV",IF('Data Export'!F152="运动型多功能车","SUV","其他"))))</f>
        <v>SUV</v>
      </c>
      <c r="K152" s="62">
        <f>IF(OR(D152="",NOT(F152=1)),"",1+SUMPRODUCT(($F$2:$F$1001=1)*($D$2:$D$1001&gt;D152))+COUNTIFS($F$2:F152,1,$D$2:D152,D152)-1)</f>
        <v>46</v>
      </c>
      <c r="L152" s="62" t="str">
        <f>IF(OR(D152="",NOT(G152="轿车")),"",1+SUMPRODUCT(($G$2:$G$1001="轿车")*($D$2:$D$1001&gt;D152))+COUNTIFS($G$2:G152,"轿车",$D$2:D152,D152)-1)</f>
        <v/>
      </c>
      <c r="M152" s="62" t="str">
        <f>IF(OR(D152="",NOT(G152="MPV")),"",1+SUMPRODUCT(($G$2:$G$1001="MPV")*($D$2:$D$1001&gt;D152))+COUNTIFS($G$2:G152,"MPV",$D$2:D152,D152)-1)</f>
        <v/>
      </c>
      <c r="N152" s="62">
        <f>IF(OR(D152="",NOT(G152="SUV")),"",1+SUMPRODUCT(($G$2:$G$1001="SUV")*($D$2:$D$1001&gt;D152))+COUNTIFS($G$2:G152,"SUV",$D$2:D152,D152)-1)</f>
        <v>53</v>
      </c>
      <c r="O152" s="62" t="str">
        <f>IF(OR(D152="",NOT(AND(F152=1,G152="轿车"))),"",1+SUMPRODUCT(($F$2:$F$1001=1)*($G$2:$G$1001="轿车")*($D$2:$D$1001&gt;D152))+COUNTIFS($F$2:F152,1,$G$2:G152,"轿车",$D$2:D152,D152)-1)</f>
        <v/>
      </c>
      <c r="P152" s="62" t="str">
        <f>IF(OR(D152="",NOT(AND(F152=1,G152="MPV"))),"",1+SUMPRODUCT(($F$2:$F$1001=1)*($G$2:$G$1001="MPV")*($D$2:$D$1001&gt;D152))+COUNTIFS($F$2:F152,1,$G$2:G152,"MPV",$D$2:D152,D152)-1)</f>
        <v/>
      </c>
      <c r="Q152" s="62">
        <f>IF(OR(D152="",NOT(AND(F152=1,G152="SUV"))),"",1+SUMPRODUCT(($F$2:$F$1001=1)*($G$2:$G$1001="SUV")*($D$2:$D$1001&gt;D152))+COUNTIFS($F$2:F152,1,$G$2:G152,"SUV",$D$2:D152,D152)-1)</f>
        <v>28</v>
      </c>
    </row>
    <row r="153" spans="1:17">
      <c r="A153" s="62" t="str">
        <f>IFERROR(INDEX($H$2:$H$3000,MATCH(0,INDEX(COUNTIF($A$1:A152,$H$2:$H$3000)+($H$2:$H$3000=""),0,0),0)),"")</f>
        <v>JEEP♦GRAND CHEROKEE</v>
      </c>
      <c r="B153" s="62" t="str">
        <f t="shared" si="8"/>
        <v>JEEP</v>
      </c>
      <c r="C153" s="62" t="str">
        <f t="shared" si="9"/>
        <v>GRAND CHEROKEE</v>
      </c>
      <c r="D153" s="63">
        <f t="shared" si="10"/>
        <v>2</v>
      </c>
      <c r="E153" s="62">
        <f>IF(D153="","",_xlfn.RANK.EQ(D153,$D$2:$D$1001,0)+COUNTIF($D$2:D153,D153)-1)</f>
        <v>207</v>
      </c>
      <c r="F153" s="62">
        <f>IF(B153="","",--(COUNTIF(CN_Brands!$A$2:$A$300,UPPER(B153))&gt;0))</f>
        <v>0</v>
      </c>
      <c r="G153" s="62" t="str">
        <f t="shared" si="11"/>
        <v>SUV</v>
      </c>
      <c r="H153" s="62" t="str">
        <f>IF(AND('Data Export'!A153=前十整体车型排名!$B$2,'Data Export'!B153=前十整体车型排名!$B$3,'Data Export'!D153&lt;&gt;""),UPPER('Data Export'!C153)&amp;"♦"&amp;'Data Export'!D153,"")</f>
        <v>BMW♦X1</v>
      </c>
      <c r="I153" s="63">
        <f>IF(H153="","",IFERROR(INDEX('Data Export'!G153:CZ153,1,MATCH(前十整体车型排名!$B$4,'Data Export'!$G$1:$CZ$1,0)),0))</f>
        <v>0</v>
      </c>
      <c r="J153" s="62" t="str">
        <f>IF(H153="","",IF(OR('Data Export'!F153="三厢轿车",'Data Export'!F153="掀背轿车",'Data Export'!F153="旅行车",'Data Export'!F153="微型车",'Data Export'!F153="硬顶跑车",'Data Export'!F153="敞蓬车",'Data Export'!F153="Targa"),"轿车",IF(OR('Data Export'!F153="小型MPV",'Data Export'!F153="客车"),"MPV",IF('Data Export'!F153="运动型多功能车","SUV","其他"))))</f>
        <v>其他</v>
      </c>
      <c r="K153" s="62" t="str">
        <f>IF(OR(D153="",NOT(F153=1)),"",1+SUMPRODUCT(($F$2:$F$1001=1)*($D$2:$D$1001&gt;D153))+COUNTIFS($F$2:F153,1,$D$2:D153,D153)-1)</f>
        <v/>
      </c>
      <c r="L153" s="62" t="str">
        <f>IF(OR(D153="",NOT(G153="轿车")),"",1+SUMPRODUCT(($G$2:$G$1001="轿车")*($D$2:$D$1001&gt;D153))+COUNTIFS($G$2:G153,"轿车",$D$2:D153,D153)-1)</f>
        <v/>
      </c>
      <c r="M153" s="62" t="str">
        <f>IF(OR(D153="",NOT(G153="MPV")),"",1+SUMPRODUCT(($G$2:$G$1001="MPV")*($D$2:$D$1001&gt;D153))+COUNTIFS($G$2:G153,"MPV",$D$2:D153,D153)-1)</f>
        <v/>
      </c>
      <c r="N153" s="62">
        <f>IF(OR(D153="",NOT(G153="SUV")),"",1+SUMPRODUCT(($G$2:$G$1001="SUV")*($D$2:$D$1001&gt;D153))+COUNTIFS($G$2:G153,"SUV",$D$2:D153,D153)-1)</f>
        <v>110</v>
      </c>
      <c r="O153" s="62" t="str">
        <f>IF(OR(D153="",NOT(AND(F153=1,G153="轿车"))),"",1+SUMPRODUCT(($F$2:$F$1001=1)*($G$2:$G$1001="轿车")*($D$2:$D$1001&gt;D153))+COUNTIFS($F$2:F153,1,$G$2:G153,"轿车",$D$2:D153,D153)-1)</f>
        <v/>
      </c>
      <c r="P153" s="62" t="str">
        <f>IF(OR(D153="",NOT(AND(F153=1,G153="MPV"))),"",1+SUMPRODUCT(($F$2:$F$1001=1)*($G$2:$G$1001="MPV")*($D$2:$D$1001&gt;D153))+COUNTIFS($F$2:F153,1,$G$2:G153,"MPV",$D$2:D153,D153)-1)</f>
        <v/>
      </c>
      <c r="Q153" s="62" t="str">
        <f>IF(OR(D153="",NOT(AND(F153=1,G153="SUV"))),"",1+SUMPRODUCT(($F$2:$F$1001=1)*($G$2:$G$1001="SUV")*($D$2:$D$1001&gt;D153))+COUNTIFS($F$2:F153,1,$G$2:G153,"SUV",$D$2:D153,D153)-1)</f>
        <v/>
      </c>
    </row>
    <row r="154" spans="1:17">
      <c r="A154" s="62" t="str">
        <f>IFERROR(INDEX($H$2:$H$3000,MATCH(0,INDEX(COUNTIF($A$1:A153,$H$2:$H$3000)+($H$2:$H$3000=""),0,0),0)),"")</f>
        <v>JEEP♦WRANGLER</v>
      </c>
      <c r="B154" s="62" t="str">
        <f t="shared" si="8"/>
        <v>JEEP</v>
      </c>
      <c r="C154" s="62" t="str">
        <f t="shared" si="9"/>
        <v>WRANGLER</v>
      </c>
      <c r="D154" s="63">
        <f t="shared" si="10"/>
        <v>6</v>
      </c>
      <c r="E154" s="62">
        <f>IF(D154="","",_xlfn.RANK.EQ(D154,$D$2:$D$1001,0)+COUNTIF($D$2:D154,D154)-1)</f>
        <v>166</v>
      </c>
      <c r="F154" s="62">
        <f>IF(B154="","",--(COUNTIF(CN_Brands!$A$2:$A$300,UPPER(B154))&gt;0))</f>
        <v>0</v>
      </c>
      <c r="G154" s="62" t="str">
        <f t="shared" si="11"/>
        <v>SUV</v>
      </c>
      <c r="H154" s="62" t="str">
        <f>IF(AND('Data Export'!A154=前十整体车型排名!$B$2,'Data Export'!B154=前十整体车型排名!$B$3,'Data Export'!D154&lt;&gt;""),UPPER('Data Export'!C154)&amp;"♦"&amp;'Data Export'!D154,"")</f>
        <v>BMW♦X1</v>
      </c>
      <c r="I154" s="63">
        <f>IF(H154="","",IFERROR(INDEX('Data Export'!G154:CZ154,1,MATCH(前十整体车型排名!$B$4,'Data Export'!$G$1:$CZ$1,0)),0))</f>
        <v>0</v>
      </c>
      <c r="J154" s="62" t="str">
        <f>IF(H154="","",IF(OR('Data Export'!F154="三厢轿车",'Data Export'!F154="掀背轿车",'Data Export'!F154="旅行车",'Data Export'!F154="微型车",'Data Export'!F154="硬顶跑车",'Data Export'!F154="敞蓬车",'Data Export'!F154="Targa"),"轿车",IF(OR('Data Export'!F154="小型MPV",'Data Export'!F154="客车"),"MPV",IF('Data Export'!F154="运动型多功能车","SUV","其他"))))</f>
        <v>SUV</v>
      </c>
      <c r="K154" s="62" t="str">
        <f>IF(OR(D154="",NOT(F154=1)),"",1+SUMPRODUCT(($F$2:$F$1001=1)*($D$2:$D$1001&gt;D154))+COUNTIFS($F$2:F154,1,$D$2:D154,D154)-1)</f>
        <v/>
      </c>
      <c r="L154" s="62" t="str">
        <f>IF(OR(D154="",NOT(G154="轿车")),"",1+SUMPRODUCT(($G$2:$G$1001="轿车")*($D$2:$D$1001&gt;D154))+COUNTIFS($G$2:G154,"轿车",$D$2:D154,D154)-1)</f>
        <v/>
      </c>
      <c r="M154" s="62" t="str">
        <f>IF(OR(D154="",NOT(G154="MPV")),"",1+SUMPRODUCT(($G$2:$G$1001="MPV")*($D$2:$D$1001&gt;D154))+COUNTIFS($G$2:G154,"MPV",$D$2:D154,D154)-1)</f>
        <v/>
      </c>
      <c r="N154" s="62">
        <f>IF(OR(D154="",NOT(G154="SUV")),"",1+SUMPRODUCT(($G$2:$G$1001="SUV")*($D$2:$D$1001&gt;D154))+COUNTIFS($G$2:G154,"SUV",$D$2:D154,D154)-1)</f>
        <v>91</v>
      </c>
      <c r="O154" s="62" t="str">
        <f>IF(OR(D154="",NOT(AND(F154=1,G154="轿车"))),"",1+SUMPRODUCT(($F$2:$F$1001=1)*($G$2:$G$1001="轿车")*($D$2:$D$1001&gt;D154))+COUNTIFS($F$2:F154,1,$G$2:G154,"轿车",$D$2:D154,D154)-1)</f>
        <v/>
      </c>
      <c r="P154" s="62" t="str">
        <f>IF(OR(D154="",NOT(AND(F154=1,G154="MPV"))),"",1+SUMPRODUCT(($F$2:$F$1001=1)*($G$2:$G$1001="MPV")*($D$2:$D$1001&gt;D154))+COUNTIFS($F$2:F154,1,$G$2:G154,"MPV",$D$2:D154,D154)-1)</f>
        <v/>
      </c>
      <c r="Q154" s="62" t="str">
        <f>IF(OR(D154="",NOT(AND(F154=1,G154="SUV"))),"",1+SUMPRODUCT(($F$2:$F$1001=1)*($G$2:$G$1001="SUV")*($D$2:$D$1001&gt;D154))+COUNTIFS($F$2:F154,1,$G$2:G154,"SUV",$D$2:D154,D154)-1)</f>
        <v/>
      </c>
    </row>
    <row r="155" spans="1:17">
      <c r="A155" s="62" t="str">
        <f>IFERROR(INDEX($H$2:$H$3000,MATCH(0,INDEX(COUNTIF($A$1:A154,$H$2:$H$3000)+($H$2:$H$3000=""),0,0),0)),"")</f>
        <v>JIAYUAN♦OTHER</v>
      </c>
      <c r="B155" s="62" t="str">
        <f t="shared" si="8"/>
        <v>JIAYUAN</v>
      </c>
      <c r="C155" s="62" t="str">
        <f t="shared" si="9"/>
        <v>OTHER</v>
      </c>
      <c r="D155" s="63">
        <f t="shared" si="10"/>
        <v>0</v>
      </c>
      <c r="E155" s="62">
        <f>IF(D155="","",_xlfn.RANK.EQ(D155,$D$2:$D$1001,0)+COUNTIF($D$2:D155,D155)-1)</f>
        <v>317</v>
      </c>
      <c r="F155" s="62">
        <f>IF(B155="","",--(COUNTIF(CN_Brands!$A$2:$A$300,UPPER(B155))&gt;0))</f>
        <v>0</v>
      </c>
      <c r="G155" s="62" t="str">
        <f t="shared" si="11"/>
        <v>其他</v>
      </c>
      <c r="H155" s="62" t="str">
        <f>IF(AND('Data Export'!A155=前十整体车型排名!$B$2,'Data Export'!B155=前十整体车型排名!$B$3,'Data Export'!D155&lt;&gt;""),UPPER('Data Export'!C155)&amp;"♦"&amp;'Data Export'!D155,"")</f>
        <v>BMW♦X1</v>
      </c>
      <c r="I155" s="63">
        <f>IF(H155="","",IFERROR(INDEX('Data Export'!G155:CZ155,1,MATCH(前十整体车型排名!$B$4,'Data Export'!$G$1:$CZ$1,0)),0))</f>
        <v>1</v>
      </c>
      <c r="J155" s="62" t="str">
        <f>IF(H155="","",IF(OR('Data Export'!F155="三厢轿车",'Data Export'!F155="掀背轿车",'Data Export'!F155="旅行车",'Data Export'!F155="微型车",'Data Export'!F155="硬顶跑车",'Data Export'!F155="敞蓬车",'Data Export'!F155="Targa"),"轿车",IF(OR('Data Export'!F155="小型MPV",'Data Export'!F155="客车"),"MPV",IF('Data Export'!F155="运动型多功能车","SUV","其他"))))</f>
        <v>其他</v>
      </c>
      <c r="K155" s="62" t="str">
        <f>IF(OR(D155="",NOT(F155=1)),"",1+SUMPRODUCT(($F$2:$F$1001=1)*($D$2:$D$1001&gt;D155))+COUNTIFS($F$2:F155,1,$D$2:D155,D155)-1)</f>
        <v/>
      </c>
      <c r="L155" s="62" t="str">
        <f>IF(OR(D155="",NOT(G155="轿车")),"",1+SUMPRODUCT(($G$2:$G$1001="轿车")*($D$2:$D$1001&gt;D155))+COUNTIFS($G$2:G155,"轿车",$D$2:D155,D155)-1)</f>
        <v/>
      </c>
      <c r="M155" s="62" t="str">
        <f>IF(OR(D155="",NOT(G155="MPV")),"",1+SUMPRODUCT(($G$2:$G$1001="MPV")*($D$2:$D$1001&gt;D155))+COUNTIFS($G$2:G155,"MPV",$D$2:D155,D155)-1)</f>
        <v/>
      </c>
      <c r="N155" s="62" t="str">
        <f>IF(OR(D155="",NOT(G155="SUV")),"",1+SUMPRODUCT(($G$2:$G$1001="SUV")*($D$2:$D$1001&gt;D155))+COUNTIFS($G$2:G155,"SUV",$D$2:D155,D155)-1)</f>
        <v/>
      </c>
      <c r="O155" s="62" t="str">
        <f>IF(OR(D155="",NOT(AND(F155=1,G155="轿车"))),"",1+SUMPRODUCT(($F$2:$F$1001=1)*($G$2:$G$1001="轿车")*($D$2:$D$1001&gt;D155))+COUNTIFS($F$2:F155,1,$G$2:G155,"轿车",$D$2:D155,D155)-1)</f>
        <v/>
      </c>
      <c r="P155" s="62" t="str">
        <f>IF(OR(D155="",NOT(AND(F155=1,G155="MPV"))),"",1+SUMPRODUCT(($F$2:$F$1001=1)*($G$2:$G$1001="MPV")*($D$2:$D$1001&gt;D155))+COUNTIFS($F$2:F155,1,$G$2:G155,"MPV",$D$2:D155,D155)-1)</f>
        <v/>
      </c>
      <c r="Q155" s="62" t="str">
        <f>IF(OR(D155="",NOT(AND(F155=1,G155="SUV"))),"",1+SUMPRODUCT(($F$2:$F$1001=1)*($G$2:$G$1001="SUV")*($D$2:$D$1001&gt;D155))+COUNTIFS($F$2:F155,1,$G$2:G155,"SUV",$D$2:D155,D155)-1)</f>
        <v/>
      </c>
    </row>
    <row r="156" spans="1:17">
      <c r="A156" s="62" t="str">
        <f>IFERROR(INDEX($H$2:$H$3000,MATCH(0,INDEX(COUNTIF($A$1:A155,$H$2:$H$3000)+($H$2:$H$3000=""),0,0),0)),"")</f>
        <v>JONWAY♦OTHER</v>
      </c>
      <c r="B156" s="62" t="str">
        <f t="shared" si="8"/>
        <v>JONWAY</v>
      </c>
      <c r="C156" s="62" t="str">
        <f t="shared" si="9"/>
        <v>OTHER</v>
      </c>
      <c r="D156" s="63">
        <f t="shared" si="10"/>
        <v>0</v>
      </c>
      <c r="E156" s="62">
        <f>IF(D156="","",_xlfn.RANK.EQ(D156,$D$2:$D$1001,0)+COUNTIF($D$2:D156,D156)-1)</f>
        <v>318</v>
      </c>
      <c r="F156" s="62">
        <f>IF(B156="","",--(COUNTIF(CN_Brands!$A$2:$A$300,UPPER(B156))&gt;0))</f>
        <v>0</v>
      </c>
      <c r="G156" s="62" t="str">
        <f t="shared" si="11"/>
        <v>其他</v>
      </c>
      <c r="H156" s="62" t="str">
        <f>IF(AND('Data Export'!A156=前十整体车型排名!$B$2,'Data Export'!B156=前十整体车型排名!$B$3,'Data Export'!D156&lt;&gt;""),UPPER('Data Export'!C156)&amp;"♦"&amp;'Data Export'!D156,"")</f>
        <v>BMW♦X1</v>
      </c>
      <c r="I156" s="63">
        <f>IF(H156="","",IFERROR(INDEX('Data Export'!G156:CZ156,1,MATCH(前十整体车型排名!$B$4,'Data Export'!$G$1:$CZ$1,0)),0))</f>
        <v>1</v>
      </c>
      <c r="J156" s="62" t="str">
        <f>IF(H156="","",IF(OR('Data Export'!F156="三厢轿车",'Data Export'!F156="掀背轿车",'Data Export'!F156="旅行车",'Data Export'!F156="微型车",'Data Export'!F156="硬顶跑车",'Data Export'!F156="敞蓬车",'Data Export'!F156="Targa"),"轿车",IF(OR('Data Export'!F156="小型MPV",'Data Export'!F156="客车"),"MPV",IF('Data Export'!F156="运动型多功能车","SUV","其他"))))</f>
        <v>其他</v>
      </c>
      <c r="K156" s="62" t="str">
        <f>IF(OR(D156="",NOT(F156=1)),"",1+SUMPRODUCT(($F$2:$F$1001=1)*($D$2:$D$1001&gt;D156))+COUNTIFS($F$2:F156,1,$D$2:D156,D156)-1)</f>
        <v/>
      </c>
      <c r="L156" s="62" t="str">
        <f>IF(OR(D156="",NOT(G156="轿车")),"",1+SUMPRODUCT(($G$2:$G$1001="轿车")*($D$2:$D$1001&gt;D156))+COUNTIFS($G$2:G156,"轿车",$D$2:D156,D156)-1)</f>
        <v/>
      </c>
      <c r="M156" s="62" t="str">
        <f>IF(OR(D156="",NOT(G156="MPV")),"",1+SUMPRODUCT(($G$2:$G$1001="MPV")*($D$2:$D$1001&gt;D156))+COUNTIFS($G$2:G156,"MPV",$D$2:D156,D156)-1)</f>
        <v/>
      </c>
      <c r="N156" s="62" t="str">
        <f>IF(OR(D156="",NOT(G156="SUV")),"",1+SUMPRODUCT(($G$2:$G$1001="SUV")*($D$2:$D$1001&gt;D156))+COUNTIFS($G$2:G156,"SUV",$D$2:D156,D156)-1)</f>
        <v/>
      </c>
      <c r="O156" s="62" t="str">
        <f>IF(OR(D156="",NOT(AND(F156=1,G156="轿车"))),"",1+SUMPRODUCT(($F$2:$F$1001=1)*($G$2:$G$1001="轿车")*($D$2:$D$1001&gt;D156))+COUNTIFS($F$2:F156,1,$G$2:G156,"轿车",$D$2:D156,D156)-1)</f>
        <v/>
      </c>
      <c r="P156" s="62" t="str">
        <f>IF(OR(D156="",NOT(AND(F156=1,G156="MPV"))),"",1+SUMPRODUCT(($F$2:$F$1001=1)*($G$2:$G$1001="MPV")*($D$2:$D$1001&gt;D156))+COUNTIFS($F$2:F156,1,$G$2:G156,"MPV",$D$2:D156,D156)-1)</f>
        <v/>
      </c>
      <c r="Q156" s="62" t="str">
        <f>IF(OR(D156="",NOT(AND(F156=1,G156="SUV"))),"",1+SUMPRODUCT(($F$2:$F$1001=1)*($G$2:$G$1001="SUV")*($D$2:$D$1001&gt;D156))+COUNTIFS($F$2:F156,1,$G$2:G156,"SUV",$D$2:D156,D156)-1)</f>
        <v/>
      </c>
    </row>
    <row r="157" spans="1:17">
      <c r="A157" s="62" t="str">
        <f>IFERROR(INDEX($H$2:$H$3000,MATCH(0,INDEX(COUNTIF($A$1:A156,$H$2:$H$3000)+($H$2:$H$3000=""),0,0),0)),"")</f>
        <v>JUNEYAO♦JY AIR</v>
      </c>
      <c r="B157" s="62" t="str">
        <f t="shared" si="8"/>
        <v>JUNEYAO</v>
      </c>
      <c r="C157" s="62" t="str">
        <f t="shared" si="9"/>
        <v>JY AIR</v>
      </c>
      <c r="D157" s="63">
        <f t="shared" si="10"/>
        <v>0</v>
      </c>
      <c r="E157" s="62">
        <f>IF(D157="","",_xlfn.RANK.EQ(D157,$D$2:$D$1001,0)+COUNTIF($D$2:D157,D157)-1)</f>
        <v>319</v>
      </c>
      <c r="F157" s="62">
        <f>IF(B157="","",--(COUNTIF(CN_Brands!$A$2:$A$300,UPPER(B157))&gt;0))</f>
        <v>0</v>
      </c>
      <c r="G157" s="62" t="str">
        <f t="shared" si="11"/>
        <v>轿车</v>
      </c>
      <c r="H157" s="62" t="str">
        <f>IF(AND('Data Export'!A157=前十整体车型排名!$B$2,'Data Export'!B157=前十整体车型排名!$B$3,'Data Export'!D157&lt;&gt;""),UPPER('Data Export'!C157)&amp;"♦"&amp;'Data Export'!D157,"")</f>
        <v>BMW♦X1</v>
      </c>
      <c r="I157" s="63">
        <f>IF(H157="","",IFERROR(INDEX('Data Export'!G157:CZ157,1,MATCH(前十整体车型排名!$B$4,'Data Export'!$G$1:$CZ$1,0)),0))</f>
        <v>1</v>
      </c>
      <c r="J157" s="62" t="str">
        <f>IF(H157="","",IF(OR('Data Export'!F157="三厢轿车",'Data Export'!F157="掀背轿车",'Data Export'!F157="旅行车",'Data Export'!F157="微型车",'Data Export'!F157="硬顶跑车",'Data Export'!F157="敞蓬车",'Data Export'!F157="Targa"),"轿车",IF(OR('Data Export'!F157="小型MPV",'Data Export'!F157="客车"),"MPV",IF('Data Export'!F157="运动型多功能车","SUV","其他"))))</f>
        <v>其他</v>
      </c>
      <c r="K157" s="62" t="str">
        <f>IF(OR(D157="",NOT(F157=1)),"",1+SUMPRODUCT(($F$2:$F$1001=1)*($D$2:$D$1001&gt;D157))+COUNTIFS($F$2:F157,1,$D$2:D157,D157)-1)</f>
        <v/>
      </c>
      <c r="L157" s="62">
        <f>IF(OR(D157="",NOT(G157="轿车")),"",1+SUMPRODUCT(($G$2:$G$1001="轿车")*($D$2:$D$1001&gt;D157))+COUNTIFS($G$2:G157,"轿车",$D$2:D157,D157)-1)</f>
        <v>104</v>
      </c>
      <c r="M157" s="62" t="str">
        <f>IF(OR(D157="",NOT(G157="MPV")),"",1+SUMPRODUCT(($G$2:$G$1001="MPV")*($D$2:$D$1001&gt;D157))+COUNTIFS($G$2:G157,"MPV",$D$2:D157,D157)-1)</f>
        <v/>
      </c>
      <c r="N157" s="62" t="str">
        <f>IF(OR(D157="",NOT(G157="SUV")),"",1+SUMPRODUCT(($G$2:$G$1001="SUV")*($D$2:$D$1001&gt;D157))+COUNTIFS($G$2:G157,"SUV",$D$2:D157,D157)-1)</f>
        <v/>
      </c>
      <c r="O157" s="62" t="str">
        <f>IF(OR(D157="",NOT(AND(F157=1,G157="轿车"))),"",1+SUMPRODUCT(($F$2:$F$1001=1)*($G$2:$G$1001="轿车")*($D$2:$D$1001&gt;D157))+COUNTIFS($F$2:F157,1,$G$2:G157,"轿车",$D$2:D157,D157)-1)</f>
        <v/>
      </c>
      <c r="P157" s="62" t="str">
        <f>IF(OR(D157="",NOT(AND(F157=1,G157="MPV"))),"",1+SUMPRODUCT(($F$2:$F$1001=1)*($G$2:$G$1001="MPV")*($D$2:$D$1001&gt;D157))+COUNTIFS($F$2:F157,1,$G$2:G157,"MPV",$D$2:D157,D157)-1)</f>
        <v/>
      </c>
      <c r="Q157" s="62" t="str">
        <f>IF(OR(D157="",NOT(AND(F157=1,G157="SUV"))),"",1+SUMPRODUCT(($F$2:$F$1001=1)*($G$2:$G$1001="SUV")*($D$2:$D$1001&gt;D157))+COUNTIFS($F$2:F157,1,$G$2:G157,"SUV",$D$2:D157,D157)-1)</f>
        <v/>
      </c>
    </row>
    <row r="158" spans="1:17">
      <c r="A158" s="62" t="str">
        <f>IFERROR(INDEX($H$2:$H$3000,MATCH(0,INDEX(COUNTIF($A$1:A157,$H$2:$H$3000)+($H$2:$H$3000=""),0,0),0)),"")</f>
        <v>KIA♦CARNIVAL</v>
      </c>
      <c r="B158" s="62" t="str">
        <f t="shared" si="8"/>
        <v>KIA</v>
      </c>
      <c r="C158" s="62" t="str">
        <f t="shared" si="9"/>
        <v>CARNIVAL</v>
      </c>
      <c r="D158" s="63">
        <f t="shared" si="10"/>
        <v>74</v>
      </c>
      <c r="E158" s="62">
        <f>IF(D158="","",_xlfn.RANK.EQ(D158,$D$2:$D$1001,0)+COUNTIF($D$2:D158,D158)-1)</f>
        <v>84</v>
      </c>
      <c r="F158" s="62">
        <f>IF(B158="","",--(COUNTIF(CN_Brands!$A$2:$A$300,UPPER(B158))&gt;0))</f>
        <v>0</v>
      </c>
      <c r="G158" s="62" t="str">
        <f t="shared" si="11"/>
        <v>其他</v>
      </c>
      <c r="H158" s="62" t="str">
        <f>IF(AND('Data Export'!A158=前十整体车型排名!$B$2,'Data Export'!B158=前十整体车型排名!$B$3,'Data Export'!D158&lt;&gt;""),UPPER('Data Export'!C158)&amp;"♦"&amp;'Data Export'!D158,"")</f>
        <v>BMW♦X3</v>
      </c>
      <c r="I158" s="63">
        <f>IF(H158="","",IFERROR(INDEX('Data Export'!G158:CZ158,1,MATCH(前十整体车型排名!$B$4,'Data Export'!$G$1:$CZ$1,0)),0))</f>
        <v>0</v>
      </c>
      <c r="J158" s="62" t="str">
        <f>IF(H158="","",IF(OR('Data Export'!F158="三厢轿车",'Data Export'!F158="掀背轿车",'Data Export'!F158="旅行车",'Data Export'!F158="微型车",'Data Export'!F158="硬顶跑车",'Data Export'!F158="敞蓬车",'Data Export'!F158="Targa"),"轿车",IF(OR('Data Export'!F158="小型MPV",'Data Export'!F158="客车"),"MPV",IF('Data Export'!F158="运动型多功能车","SUV","其他"))))</f>
        <v>SUV</v>
      </c>
      <c r="K158" s="62" t="str">
        <f>IF(OR(D158="",NOT(F158=1)),"",1+SUMPRODUCT(($F$2:$F$1001=1)*($D$2:$D$1001&gt;D158))+COUNTIFS($F$2:F158,1,$D$2:D158,D158)-1)</f>
        <v/>
      </c>
      <c r="L158" s="62" t="str">
        <f>IF(OR(D158="",NOT(G158="轿车")),"",1+SUMPRODUCT(($G$2:$G$1001="轿车")*($D$2:$D$1001&gt;D158))+COUNTIFS($G$2:G158,"轿车",$D$2:D158,D158)-1)</f>
        <v/>
      </c>
      <c r="M158" s="62" t="str">
        <f>IF(OR(D158="",NOT(G158="MPV")),"",1+SUMPRODUCT(($G$2:$G$1001="MPV")*($D$2:$D$1001&gt;D158))+COUNTIFS($G$2:G158,"MPV",$D$2:D158,D158)-1)</f>
        <v/>
      </c>
      <c r="N158" s="62" t="str">
        <f>IF(OR(D158="",NOT(G158="SUV")),"",1+SUMPRODUCT(($G$2:$G$1001="SUV")*($D$2:$D$1001&gt;D158))+COUNTIFS($G$2:G158,"SUV",$D$2:D158,D158)-1)</f>
        <v/>
      </c>
      <c r="O158" s="62" t="str">
        <f>IF(OR(D158="",NOT(AND(F158=1,G158="轿车"))),"",1+SUMPRODUCT(($F$2:$F$1001=1)*($G$2:$G$1001="轿车")*($D$2:$D$1001&gt;D158))+COUNTIFS($F$2:F158,1,$G$2:G158,"轿车",$D$2:D158,D158)-1)</f>
        <v/>
      </c>
      <c r="P158" s="62" t="str">
        <f>IF(OR(D158="",NOT(AND(F158=1,G158="MPV"))),"",1+SUMPRODUCT(($F$2:$F$1001=1)*($G$2:$G$1001="MPV")*($D$2:$D$1001&gt;D158))+COUNTIFS($F$2:F158,1,$G$2:G158,"MPV",$D$2:D158,D158)-1)</f>
        <v/>
      </c>
      <c r="Q158" s="62" t="str">
        <f>IF(OR(D158="",NOT(AND(F158=1,G158="SUV"))),"",1+SUMPRODUCT(($F$2:$F$1001=1)*($G$2:$G$1001="SUV")*($D$2:$D$1001&gt;D158))+COUNTIFS($F$2:F158,1,$G$2:G158,"SUV",$D$2:D158,D158)-1)</f>
        <v/>
      </c>
    </row>
    <row r="159" spans="1:17">
      <c r="A159" s="62" t="str">
        <f>IFERROR(INDEX($H$2:$H$3000,MATCH(0,INDEX(COUNTIF($A$1:A158,$H$2:$H$3000)+($H$2:$H$3000=""),0,0),0)),"")</f>
        <v>KIA♦EV5</v>
      </c>
      <c r="B159" s="62" t="str">
        <f t="shared" si="8"/>
        <v>KIA</v>
      </c>
      <c r="C159" s="62" t="str">
        <f t="shared" si="9"/>
        <v>EV5</v>
      </c>
      <c r="D159" s="63">
        <f t="shared" si="10"/>
        <v>52</v>
      </c>
      <c r="E159" s="62">
        <f>IF(D159="","",_xlfn.RANK.EQ(D159,$D$2:$D$1001,0)+COUNTIF($D$2:D159,D159)-1)</f>
        <v>97</v>
      </c>
      <c r="F159" s="62">
        <f>IF(B159="","",--(COUNTIF(CN_Brands!$A$2:$A$300,UPPER(B159))&gt;0))</f>
        <v>0</v>
      </c>
      <c r="G159" s="62" t="str">
        <f t="shared" si="11"/>
        <v>SUV</v>
      </c>
      <c r="H159" s="62" t="str">
        <f>IF(AND('Data Export'!A159=前十整体车型排名!$B$2,'Data Export'!B159=前十整体车型排名!$B$3,'Data Export'!D159&lt;&gt;""),UPPER('Data Export'!C159)&amp;"♦"&amp;'Data Export'!D159,"")</f>
        <v>BMW♦X3</v>
      </c>
      <c r="I159" s="63">
        <f>IF(H159="","",IFERROR(INDEX('Data Export'!G159:CZ159,1,MATCH(前十整体车型排名!$B$4,'Data Export'!$G$1:$CZ$1,0)),0))</f>
        <v>77</v>
      </c>
      <c r="J159" s="62" t="str">
        <f>IF(H159="","",IF(OR('Data Export'!F159="三厢轿车",'Data Export'!F159="掀背轿车",'Data Export'!F159="旅行车",'Data Export'!F159="微型车",'Data Export'!F159="硬顶跑车",'Data Export'!F159="敞蓬车",'Data Export'!F159="Targa"),"轿车",IF(OR('Data Export'!F159="小型MPV",'Data Export'!F159="客车"),"MPV",IF('Data Export'!F159="运动型多功能车","SUV","其他"))))</f>
        <v>SUV</v>
      </c>
      <c r="K159" s="62" t="str">
        <f>IF(OR(D159="",NOT(F159=1)),"",1+SUMPRODUCT(($F$2:$F$1001=1)*($D$2:$D$1001&gt;D159))+COUNTIFS($F$2:F159,1,$D$2:D159,D159)-1)</f>
        <v/>
      </c>
      <c r="L159" s="62" t="str">
        <f>IF(OR(D159="",NOT(G159="轿车")),"",1+SUMPRODUCT(($G$2:$G$1001="轿车")*($D$2:$D$1001&gt;D159))+COUNTIFS($G$2:G159,"轿车",$D$2:D159,D159)-1)</f>
        <v/>
      </c>
      <c r="M159" s="62" t="str">
        <f>IF(OR(D159="",NOT(G159="MPV")),"",1+SUMPRODUCT(($G$2:$G$1001="MPV")*($D$2:$D$1001&gt;D159))+COUNTIFS($G$2:G159,"MPV",$D$2:D159,D159)-1)</f>
        <v/>
      </c>
      <c r="N159" s="62">
        <f>IF(OR(D159="",NOT(G159="SUV")),"",1+SUMPRODUCT(($G$2:$G$1001="SUV")*($D$2:$D$1001&gt;D159))+COUNTIFS($G$2:G159,"SUV",$D$2:D159,D159)-1)</f>
        <v>49</v>
      </c>
      <c r="O159" s="62" t="str">
        <f>IF(OR(D159="",NOT(AND(F159=1,G159="轿车"))),"",1+SUMPRODUCT(($F$2:$F$1001=1)*($G$2:$G$1001="轿车")*($D$2:$D$1001&gt;D159))+COUNTIFS($F$2:F159,1,$G$2:G159,"轿车",$D$2:D159,D159)-1)</f>
        <v/>
      </c>
      <c r="P159" s="62" t="str">
        <f>IF(OR(D159="",NOT(AND(F159=1,G159="MPV"))),"",1+SUMPRODUCT(($F$2:$F$1001=1)*($G$2:$G$1001="MPV")*($D$2:$D$1001&gt;D159))+COUNTIFS($F$2:F159,1,$G$2:G159,"MPV",$D$2:D159,D159)-1)</f>
        <v/>
      </c>
      <c r="Q159" s="62" t="str">
        <f>IF(OR(D159="",NOT(AND(F159=1,G159="SUV"))),"",1+SUMPRODUCT(($F$2:$F$1001=1)*($G$2:$G$1001="SUV")*($D$2:$D$1001&gt;D159))+COUNTIFS($F$2:F159,1,$G$2:G159,"SUV",$D$2:D159,D159)-1)</f>
        <v/>
      </c>
    </row>
    <row r="160" spans="1:17">
      <c r="A160" s="62" t="str">
        <f>IFERROR(INDEX($H$2:$H$3000,MATCH(0,INDEX(COUNTIF($A$1:A159,$H$2:$H$3000)+($H$2:$H$3000=""),0,0),0)),"")</f>
        <v>KIA♦EV9</v>
      </c>
      <c r="B160" s="62" t="str">
        <f t="shared" si="8"/>
        <v>KIA</v>
      </c>
      <c r="C160" s="62" t="str">
        <f t="shared" si="9"/>
        <v>EV9</v>
      </c>
      <c r="D160" s="63">
        <f t="shared" si="10"/>
        <v>1</v>
      </c>
      <c r="E160" s="62">
        <f>IF(D160="","",_xlfn.RANK.EQ(D160,$D$2:$D$1001,0)+COUNTIF($D$2:D160,D160)-1)</f>
        <v>237</v>
      </c>
      <c r="F160" s="62">
        <f>IF(B160="","",--(COUNTIF(CN_Brands!$A$2:$A$300,UPPER(B160))&gt;0))</f>
        <v>0</v>
      </c>
      <c r="G160" s="62" t="str">
        <f t="shared" si="11"/>
        <v>SUV</v>
      </c>
      <c r="H160" s="62" t="str">
        <f>IF(AND('Data Export'!A160=前十整体车型排名!$B$2,'Data Export'!B160=前十整体车型排名!$B$3,'Data Export'!D160&lt;&gt;""),UPPER('Data Export'!C160)&amp;"♦"&amp;'Data Export'!D160,"")</f>
        <v>BMW♦X3</v>
      </c>
      <c r="I160" s="63">
        <f>IF(H160="","",IFERROR(INDEX('Data Export'!G160:CZ160,1,MATCH(前十整体车型排名!$B$4,'Data Export'!$G$1:$CZ$1,0)),0))</f>
        <v>7</v>
      </c>
      <c r="J160" s="62" t="str">
        <f>IF(H160="","",IF(OR('Data Export'!F160="三厢轿车",'Data Export'!F160="掀背轿车",'Data Export'!F160="旅行车",'Data Export'!F160="微型车",'Data Export'!F160="硬顶跑车",'Data Export'!F160="敞蓬车",'Data Export'!F160="Targa"),"轿车",IF(OR('Data Export'!F160="小型MPV",'Data Export'!F160="客车"),"MPV",IF('Data Export'!F160="运动型多功能车","SUV","其他"))))</f>
        <v>SUV</v>
      </c>
      <c r="K160" s="62" t="str">
        <f>IF(OR(D160="",NOT(F160=1)),"",1+SUMPRODUCT(($F$2:$F$1001=1)*($D$2:$D$1001&gt;D160))+COUNTIFS($F$2:F160,1,$D$2:D160,D160)-1)</f>
        <v/>
      </c>
      <c r="L160" s="62" t="str">
        <f>IF(OR(D160="",NOT(G160="轿车")),"",1+SUMPRODUCT(($G$2:$G$1001="轿车")*($D$2:$D$1001&gt;D160))+COUNTIFS($G$2:G160,"轿车",$D$2:D160,D160)-1)</f>
        <v/>
      </c>
      <c r="M160" s="62" t="str">
        <f>IF(OR(D160="",NOT(G160="MPV")),"",1+SUMPRODUCT(($G$2:$G$1001="MPV")*($D$2:$D$1001&gt;D160))+COUNTIFS($G$2:G160,"MPV",$D$2:D160,D160)-1)</f>
        <v/>
      </c>
      <c r="N160" s="62">
        <f>IF(OR(D160="",NOT(G160="SUV")),"",1+SUMPRODUCT(($G$2:$G$1001="SUV")*($D$2:$D$1001&gt;D160))+COUNTIFS($G$2:G160,"SUV",$D$2:D160,D160)-1)</f>
        <v>119</v>
      </c>
      <c r="O160" s="62" t="str">
        <f>IF(OR(D160="",NOT(AND(F160=1,G160="轿车"))),"",1+SUMPRODUCT(($F$2:$F$1001=1)*($G$2:$G$1001="轿车")*($D$2:$D$1001&gt;D160))+COUNTIFS($F$2:F160,1,$G$2:G160,"轿车",$D$2:D160,D160)-1)</f>
        <v/>
      </c>
      <c r="P160" s="62" t="str">
        <f>IF(OR(D160="",NOT(AND(F160=1,G160="MPV"))),"",1+SUMPRODUCT(($F$2:$F$1001=1)*($G$2:$G$1001="MPV")*($D$2:$D$1001&gt;D160))+COUNTIFS($F$2:F160,1,$G$2:G160,"MPV",$D$2:D160,D160)-1)</f>
        <v/>
      </c>
      <c r="Q160" s="62" t="str">
        <f>IF(OR(D160="",NOT(AND(F160=1,G160="SUV"))),"",1+SUMPRODUCT(($F$2:$F$1001=1)*($G$2:$G$1001="SUV")*($D$2:$D$1001&gt;D160))+COUNTIFS($F$2:F160,1,$G$2:G160,"SUV",$D$2:D160,D160)-1)</f>
        <v/>
      </c>
    </row>
    <row r="161" spans="1:17">
      <c r="A161" s="62" t="str">
        <f>IFERROR(INDEX($H$2:$H$3000,MATCH(0,INDEX(COUNTIF($A$1:A160,$H$2:$H$3000)+($H$2:$H$3000=""),0,0),0)),"")</f>
        <v>KIA♦GRAND CARNIVAL</v>
      </c>
      <c r="B161" s="62" t="str">
        <f t="shared" si="8"/>
        <v>KIA</v>
      </c>
      <c r="C161" s="62" t="str">
        <f t="shared" si="9"/>
        <v>GRAND CARNIVAL</v>
      </c>
      <c r="D161" s="63">
        <f t="shared" si="10"/>
        <v>0</v>
      </c>
      <c r="E161" s="62">
        <f>IF(D161="","",_xlfn.RANK.EQ(D161,$D$2:$D$1001,0)+COUNTIF($D$2:D161,D161)-1)</f>
        <v>320</v>
      </c>
      <c r="F161" s="62">
        <f>IF(B161="","",--(COUNTIF(CN_Brands!$A$2:$A$300,UPPER(B161))&gt;0))</f>
        <v>0</v>
      </c>
      <c r="G161" s="62" t="str">
        <f t="shared" si="11"/>
        <v>其他</v>
      </c>
      <c r="H161" s="62" t="str">
        <f>IF(AND('Data Export'!A161=前十整体车型排名!$B$2,'Data Export'!B161=前十整体车型排名!$B$3,'Data Export'!D161&lt;&gt;""),UPPER('Data Export'!C161)&amp;"♦"&amp;'Data Export'!D161,"")</f>
        <v>BMW♦X3</v>
      </c>
      <c r="I161" s="63">
        <f>IF(H161="","",IFERROR(INDEX('Data Export'!G161:CZ161,1,MATCH(前十整体车型排名!$B$4,'Data Export'!$G$1:$CZ$1,0)),0))</f>
        <v>11</v>
      </c>
      <c r="J161" s="62" t="str">
        <f>IF(H161="","",IF(OR('Data Export'!F161="三厢轿车",'Data Export'!F161="掀背轿车",'Data Export'!F161="旅行车",'Data Export'!F161="微型车",'Data Export'!F161="硬顶跑车",'Data Export'!F161="敞蓬车",'Data Export'!F161="Targa"),"轿车",IF(OR('Data Export'!F161="小型MPV",'Data Export'!F161="客车"),"MPV",IF('Data Export'!F161="运动型多功能车","SUV","其他"))))</f>
        <v>SUV</v>
      </c>
      <c r="K161" s="62" t="str">
        <f>IF(OR(D161="",NOT(F161=1)),"",1+SUMPRODUCT(($F$2:$F$1001=1)*($D$2:$D$1001&gt;D161))+COUNTIFS($F$2:F161,1,$D$2:D161,D161)-1)</f>
        <v/>
      </c>
      <c r="L161" s="62" t="str">
        <f>IF(OR(D161="",NOT(G161="轿车")),"",1+SUMPRODUCT(($G$2:$G$1001="轿车")*($D$2:$D$1001&gt;D161))+COUNTIFS($G$2:G161,"轿车",$D$2:D161,D161)-1)</f>
        <v/>
      </c>
      <c r="M161" s="62" t="str">
        <f>IF(OR(D161="",NOT(G161="MPV")),"",1+SUMPRODUCT(($G$2:$G$1001="MPV")*($D$2:$D$1001&gt;D161))+COUNTIFS($G$2:G161,"MPV",$D$2:D161,D161)-1)</f>
        <v/>
      </c>
      <c r="N161" s="62" t="str">
        <f>IF(OR(D161="",NOT(G161="SUV")),"",1+SUMPRODUCT(($G$2:$G$1001="SUV")*($D$2:$D$1001&gt;D161))+COUNTIFS($G$2:G161,"SUV",$D$2:D161,D161)-1)</f>
        <v/>
      </c>
      <c r="O161" s="62" t="str">
        <f>IF(OR(D161="",NOT(AND(F161=1,G161="轿车"))),"",1+SUMPRODUCT(($F$2:$F$1001=1)*($G$2:$G$1001="轿车")*($D$2:$D$1001&gt;D161))+COUNTIFS($F$2:F161,1,$G$2:G161,"轿车",$D$2:D161,D161)-1)</f>
        <v/>
      </c>
      <c r="P161" s="62" t="str">
        <f>IF(OR(D161="",NOT(AND(F161=1,G161="MPV"))),"",1+SUMPRODUCT(($F$2:$F$1001=1)*($G$2:$G$1001="MPV")*($D$2:$D$1001&gt;D161))+COUNTIFS($F$2:F161,1,$G$2:G161,"MPV",$D$2:D161,D161)-1)</f>
        <v/>
      </c>
      <c r="Q161" s="62" t="str">
        <f>IF(OR(D161="",NOT(AND(F161=1,G161="SUV"))),"",1+SUMPRODUCT(($F$2:$F$1001=1)*($G$2:$G$1001="SUV")*($D$2:$D$1001&gt;D161))+COUNTIFS($F$2:F161,1,$G$2:G161,"SUV",$D$2:D161,D161)-1)</f>
        <v/>
      </c>
    </row>
    <row r="162" spans="1:17">
      <c r="A162" s="62" t="str">
        <f>IFERROR(INDEX($H$2:$H$3000,MATCH(0,INDEX(COUNTIF($A$1:A161,$H$2:$H$3000)+($H$2:$H$3000=""),0,0),0)),"")</f>
        <v>KIA♦SORENTO</v>
      </c>
      <c r="B162" s="62" t="str">
        <f t="shared" si="8"/>
        <v>KIA</v>
      </c>
      <c r="C162" s="62" t="str">
        <f t="shared" si="9"/>
        <v>SORENTO</v>
      </c>
      <c r="D162" s="63">
        <f t="shared" si="10"/>
        <v>8</v>
      </c>
      <c r="E162" s="62">
        <f>IF(D162="","",_xlfn.RANK.EQ(D162,$D$2:$D$1001,0)+COUNTIF($D$2:D162,D162)-1)</f>
        <v>152</v>
      </c>
      <c r="F162" s="62">
        <f>IF(B162="","",--(COUNTIF(CN_Brands!$A$2:$A$300,UPPER(B162))&gt;0))</f>
        <v>0</v>
      </c>
      <c r="G162" s="62" t="str">
        <f t="shared" si="11"/>
        <v>SUV</v>
      </c>
      <c r="H162" s="62" t="str">
        <f>IF(AND('Data Export'!A162=前十整体车型排名!$B$2,'Data Export'!B162=前十整体车型排名!$B$3,'Data Export'!D162&lt;&gt;""),UPPER('Data Export'!C162)&amp;"♦"&amp;'Data Export'!D162,"")</f>
        <v>BMW♦X3</v>
      </c>
      <c r="I162" s="63">
        <f>IF(H162="","",IFERROR(INDEX('Data Export'!G162:CZ162,1,MATCH(前十整体车型排名!$B$4,'Data Export'!$G$1:$CZ$1,0)),0))</f>
        <v>0</v>
      </c>
      <c r="J162" s="62" t="str">
        <f>IF(H162="","",IF(OR('Data Export'!F162="三厢轿车",'Data Export'!F162="掀背轿车",'Data Export'!F162="旅行车",'Data Export'!F162="微型车",'Data Export'!F162="硬顶跑车",'Data Export'!F162="敞蓬车",'Data Export'!F162="Targa"),"轿车",IF(OR('Data Export'!F162="小型MPV",'Data Export'!F162="客车"),"MPV",IF('Data Export'!F162="运动型多功能车","SUV","其他"))))</f>
        <v>SUV</v>
      </c>
      <c r="K162" s="62" t="str">
        <f>IF(OR(D162="",NOT(F162=1)),"",1+SUMPRODUCT(($F$2:$F$1001=1)*($D$2:$D$1001&gt;D162))+COUNTIFS($F$2:F162,1,$D$2:D162,D162)-1)</f>
        <v/>
      </c>
      <c r="L162" s="62" t="str">
        <f>IF(OR(D162="",NOT(G162="轿车")),"",1+SUMPRODUCT(($G$2:$G$1001="轿车")*($D$2:$D$1001&gt;D162))+COUNTIFS($G$2:G162,"轿车",$D$2:D162,D162)-1)</f>
        <v/>
      </c>
      <c r="M162" s="62" t="str">
        <f>IF(OR(D162="",NOT(G162="MPV")),"",1+SUMPRODUCT(($G$2:$G$1001="MPV")*($D$2:$D$1001&gt;D162))+COUNTIFS($G$2:G162,"MPV",$D$2:D162,D162)-1)</f>
        <v/>
      </c>
      <c r="N162" s="62">
        <f>IF(OR(D162="",NOT(G162="SUV")),"",1+SUMPRODUCT(($G$2:$G$1001="SUV")*($D$2:$D$1001&gt;D162))+COUNTIFS($G$2:G162,"SUV",$D$2:D162,D162)-1)</f>
        <v>83</v>
      </c>
      <c r="O162" s="62" t="str">
        <f>IF(OR(D162="",NOT(AND(F162=1,G162="轿车"))),"",1+SUMPRODUCT(($F$2:$F$1001=1)*($G$2:$G$1001="轿车")*($D$2:$D$1001&gt;D162))+COUNTIFS($F$2:F162,1,$G$2:G162,"轿车",$D$2:D162,D162)-1)</f>
        <v/>
      </c>
      <c r="P162" s="62" t="str">
        <f>IF(OR(D162="",NOT(AND(F162=1,G162="MPV"))),"",1+SUMPRODUCT(($F$2:$F$1001=1)*($G$2:$G$1001="MPV")*($D$2:$D$1001&gt;D162))+COUNTIFS($F$2:F162,1,$G$2:G162,"MPV",$D$2:D162,D162)-1)</f>
        <v/>
      </c>
      <c r="Q162" s="62" t="str">
        <f>IF(OR(D162="",NOT(AND(F162=1,G162="SUV"))),"",1+SUMPRODUCT(($F$2:$F$1001=1)*($G$2:$G$1001="SUV")*($D$2:$D$1001&gt;D162))+COUNTIFS($F$2:F162,1,$G$2:G162,"SUV",$D$2:D162,D162)-1)</f>
        <v/>
      </c>
    </row>
    <row r="163" spans="1:17">
      <c r="A163" s="62" t="str">
        <f>IFERROR(INDEX($H$2:$H$3000,MATCH(0,INDEX(COUNTIF($A$1:A162,$H$2:$H$3000)+($H$2:$H$3000=""),0,0),0)),"")</f>
        <v>LAMBORGHINI♦HURACAN</v>
      </c>
      <c r="B163" s="62" t="str">
        <f t="shared" si="8"/>
        <v>LAMBORGHINI</v>
      </c>
      <c r="C163" s="62" t="str">
        <f t="shared" si="9"/>
        <v>HURACAN</v>
      </c>
      <c r="D163" s="63">
        <f t="shared" si="10"/>
        <v>3</v>
      </c>
      <c r="E163" s="62">
        <f>IF(D163="","",_xlfn.RANK.EQ(D163,$D$2:$D$1001,0)+COUNTIF($D$2:D163,D163)-1)</f>
        <v>186</v>
      </c>
      <c r="F163" s="62">
        <f>IF(B163="","",--(COUNTIF(CN_Brands!$A$2:$A$300,UPPER(B163))&gt;0))</f>
        <v>0</v>
      </c>
      <c r="G163" s="62" t="str">
        <f t="shared" si="11"/>
        <v>轿车</v>
      </c>
      <c r="H163" s="62" t="str">
        <f>IF(AND('Data Export'!A163=前十整体车型排名!$B$2,'Data Export'!B163=前十整体车型排名!$B$3,'Data Export'!D163&lt;&gt;""),UPPER('Data Export'!C163)&amp;"♦"&amp;'Data Export'!D163,"")</f>
        <v>BMW♦X3</v>
      </c>
      <c r="I163" s="63">
        <f>IF(H163="","",IFERROR(INDEX('Data Export'!G163:CZ163,1,MATCH(前十整体车型排名!$B$4,'Data Export'!$G$1:$CZ$1,0)),0))</f>
        <v>0</v>
      </c>
      <c r="J163" s="62" t="str">
        <f>IF(H163="","",IF(OR('Data Export'!F163="三厢轿车",'Data Export'!F163="掀背轿车",'Data Export'!F163="旅行车",'Data Export'!F163="微型车",'Data Export'!F163="硬顶跑车",'Data Export'!F163="敞蓬车",'Data Export'!F163="Targa"),"轿车",IF(OR('Data Export'!F163="小型MPV",'Data Export'!F163="客车"),"MPV",IF('Data Export'!F163="运动型多功能车","SUV","其他"))))</f>
        <v>SUV</v>
      </c>
      <c r="K163" s="62" t="str">
        <f>IF(OR(D163="",NOT(F163=1)),"",1+SUMPRODUCT(($F$2:$F$1001=1)*($D$2:$D$1001&gt;D163))+COUNTIFS($F$2:F163,1,$D$2:D163,D163)-1)</f>
        <v/>
      </c>
      <c r="L163" s="62">
        <f>IF(OR(D163="",NOT(G163="轿车")),"",1+SUMPRODUCT(($G$2:$G$1001="轿车")*($D$2:$D$1001&gt;D163))+COUNTIFS($G$2:G163,"轿车",$D$2:D163,D163)-1)</f>
        <v>49</v>
      </c>
      <c r="M163" s="62" t="str">
        <f>IF(OR(D163="",NOT(G163="MPV")),"",1+SUMPRODUCT(($G$2:$G$1001="MPV")*($D$2:$D$1001&gt;D163))+COUNTIFS($G$2:G163,"MPV",$D$2:D163,D163)-1)</f>
        <v/>
      </c>
      <c r="N163" s="62" t="str">
        <f>IF(OR(D163="",NOT(G163="SUV")),"",1+SUMPRODUCT(($G$2:$G$1001="SUV")*($D$2:$D$1001&gt;D163))+COUNTIFS($G$2:G163,"SUV",$D$2:D163,D163)-1)</f>
        <v/>
      </c>
      <c r="O163" s="62" t="str">
        <f>IF(OR(D163="",NOT(AND(F163=1,G163="轿车"))),"",1+SUMPRODUCT(($F$2:$F$1001=1)*($G$2:$G$1001="轿车")*($D$2:$D$1001&gt;D163))+COUNTIFS($F$2:F163,1,$G$2:G163,"轿车",$D$2:D163,D163)-1)</f>
        <v/>
      </c>
      <c r="P163" s="62" t="str">
        <f>IF(OR(D163="",NOT(AND(F163=1,G163="MPV"))),"",1+SUMPRODUCT(($F$2:$F$1001=1)*($G$2:$G$1001="MPV")*($D$2:$D$1001&gt;D163))+COUNTIFS($F$2:F163,1,$G$2:G163,"MPV",$D$2:D163,D163)-1)</f>
        <v/>
      </c>
      <c r="Q163" s="62" t="str">
        <f>IF(OR(D163="",NOT(AND(F163=1,G163="SUV"))),"",1+SUMPRODUCT(($F$2:$F$1001=1)*($G$2:$G$1001="SUV")*($D$2:$D$1001&gt;D163))+COUNTIFS($F$2:F163,1,$G$2:G163,"SUV",$D$2:D163,D163)-1)</f>
        <v/>
      </c>
    </row>
    <row r="164" spans="1:17">
      <c r="A164" s="62" t="str">
        <f>IFERROR(INDEX($H$2:$H$3000,MATCH(0,INDEX(COUNTIF($A$1:A163,$H$2:$H$3000)+($H$2:$H$3000=""),0,0),0)),"")</f>
        <v>LAMBORGHINI♦REVUELTO</v>
      </c>
      <c r="B164" s="62" t="str">
        <f t="shared" si="8"/>
        <v>LAMBORGHINI</v>
      </c>
      <c r="C164" s="62" t="str">
        <f t="shared" si="9"/>
        <v>REVUELTO</v>
      </c>
      <c r="D164" s="63">
        <f t="shared" si="10"/>
        <v>0</v>
      </c>
      <c r="E164" s="62">
        <f>IF(D164="","",_xlfn.RANK.EQ(D164,$D$2:$D$1001,0)+COUNTIF($D$2:D164,D164)-1)</f>
        <v>321</v>
      </c>
      <c r="F164" s="62">
        <f>IF(B164="","",--(COUNTIF(CN_Brands!$A$2:$A$300,UPPER(B164))&gt;0))</f>
        <v>0</v>
      </c>
      <c r="G164" s="62" t="str">
        <f t="shared" si="11"/>
        <v>轿车</v>
      </c>
      <c r="H164" s="62" t="str">
        <f>IF(AND('Data Export'!A164=前十整体车型排名!$B$2,'Data Export'!B164=前十整体车型排名!$B$3,'Data Export'!D164&lt;&gt;""),UPPER('Data Export'!C164)&amp;"♦"&amp;'Data Export'!D164,"")</f>
        <v>BMW♦X4</v>
      </c>
      <c r="I164" s="63">
        <f>IF(H164="","",IFERROR(INDEX('Data Export'!G164:CZ164,1,MATCH(前十整体车型排名!$B$4,'Data Export'!$G$1:$CZ$1,0)),0))</f>
        <v>14</v>
      </c>
      <c r="J164" s="62" t="str">
        <f>IF(H164="","",IF(OR('Data Export'!F164="三厢轿车",'Data Export'!F164="掀背轿车",'Data Export'!F164="旅行车",'Data Export'!F164="微型车",'Data Export'!F164="硬顶跑车",'Data Export'!F164="敞蓬车",'Data Export'!F164="Targa"),"轿车",IF(OR('Data Export'!F164="小型MPV",'Data Export'!F164="客车"),"MPV",IF('Data Export'!F164="运动型多功能车","SUV","其他"))))</f>
        <v>SUV</v>
      </c>
      <c r="K164" s="62" t="str">
        <f>IF(OR(D164="",NOT(F164=1)),"",1+SUMPRODUCT(($F$2:$F$1001=1)*($D$2:$D$1001&gt;D164))+COUNTIFS($F$2:F164,1,$D$2:D164,D164)-1)</f>
        <v/>
      </c>
      <c r="L164" s="62">
        <f>IF(OR(D164="",NOT(G164="轿车")),"",1+SUMPRODUCT(($G$2:$G$1001="轿车")*($D$2:$D$1001&gt;D164))+COUNTIFS($G$2:G164,"轿车",$D$2:D164,D164)-1)</f>
        <v>105</v>
      </c>
      <c r="M164" s="62" t="str">
        <f>IF(OR(D164="",NOT(G164="MPV")),"",1+SUMPRODUCT(($G$2:$G$1001="MPV")*($D$2:$D$1001&gt;D164))+COUNTIFS($G$2:G164,"MPV",$D$2:D164,D164)-1)</f>
        <v/>
      </c>
      <c r="N164" s="62" t="str">
        <f>IF(OR(D164="",NOT(G164="SUV")),"",1+SUMPRODUCT(($G$2:$G$1001="SUV")*($D$2:$D$1001&gt;D164))+COUNTIFS($G$2:G164,"SUV",$D$2:D164,D164)-1)</f>
        <v/>
      </c>
      <c r="O164" s="62" t="str">
        <f>IF(OR(D164="",NOT(AND(F164=1,G164="轿车"))),"",1+SUMPRODUCT(($F$2:$F$1001=1)*($G$2:$G$1001="轿车")*($D$2:$D$1001&gt;D164))+COUNTIFS($F$2:F164,1,$G$2:G164,"轿车",$D$2:D164,D164)-1)</f>
        <v/>
      </c>
      <c r="P164" s="62" t="str">
        <f>IF(OR(D164="",NOT(AND(F164=1,G164="MPV"))),"",1+SUMPRODUCT(($F$2:$F$1001=1)*($G$2:$G$1001="MPV")*($D$2:$D$1001&gt;D164))+COUNTIFS($F$2:F164,1,$G$2:G164,"MPV",$D$2:D164,D164)-1)</f>
        <v/>
      </c>
      <c r="Q164" s="62" t="str">
        <f>IF(OR(D164="",NOT(AND(F164=1,G164="SUV"))),"",1+SUMPRODUCT(($F$2:$F$1001=1)*($G$2:$G$1001="SUV")*($D$2:$D$1001&gt;D164))+COUNTIFS($F$2:F164,1,$G$2:G164,"SUV",$D$2:D164,D164)-1)</f>
        <v/>
      </c>
    </row>
    <row r="165" spans="1:17">
      <c r="A165" s="62" t="str">
        <f>IFERROR(INDEX($H$2:$H$3000,MATCH(0,INDEX(COUNTIF($A$1:A164,$H$2:$H$3000)+($H$2:$H$3000=""),0,0),0)),"")</f>
        <v>LAMBORGHINI♦TEMERARIO</v>
      </c>
      <c r="B165" s="62" t="str">
        <f t="shared" si="8"/>
        <v>LAMBORGHINI</v>
      </c>
      <c r="C165" s="62" t="str">
        <f t="shared" si="9"/>
        <v>TEMERARIO</v>
      </c>
      <c r="D165" s="63">
        <f t="shared" si="10"/>
        <v>1</v>
      </c>
      <c r="E165" s="62">
        <f>IF(D165="","",_xlfn.RANK.EQ(D165,$D$2:$D$1001,0)+COUNTIF($D$2:D165,D165)-1)</f>
        <v>238</v>
      </c>
      <c r="F165" s="62">
        <f>IF(B165="","",--(COUNTIF(CN_Brands!$A$2:$A$300,UPPER(B165))&gt;0))</f>
        <v>0</v>
      </c>
      <c r="G165" s="62" t="str">
        <f t="shared" si="11"/>
        <v>轿车</v>
      </c>
      <c r="H165" s="62" t="str">
        <f>IF(AND('Data Export'!A165=前十整体车型排名!$B$2,'Data Export'!B165=前十整体车型排名!$B$3,'Data Export'!D165&lt;&gt;""),UPPER('Data Export'!C165)&amp;"♦"&amp;'Data Export'!D165,"")</f>
        <v>BMW♦X4</v>
      </c>
      <c r="I165" s="63">
        <f>IF(H165="","",IFERROR(INDEX('Data Export'!G165:CZ165,1,MATCH(前十整体车型排名!$B$4,'Data Export'!$G$1:$CZ$1,0)),0))</f>
        <v>0</v>
      </c>
      <c r="J165" s="62" t="str">
        <f>IF(H165="","",IF(OR('Data Export'!F165="三厢轿车",'Data Export'!F165="掀背轿车",'Data Export'!F165="旅行车",'Data Export'!F165="微型车",'Data Export'!F165="硬顶跑车",'Data Export'!F165="敞蓬车",'Data Export'!F165="Targa"),"轿车",IF(OR('Data Export'!F165="小型MPV",'Data Export'!F165="客车"),"MPV",IF('Data Export'!F165="运动型多功能车","SUV","其他"))))</f>
        <v>SUV</v>
      </c>
      <c r="K165" s="62" t="str">
        <f>IF(OR(D165="",NOT(F165=1)),"",1+SUMPRODUCT(($F$2:$F$1001=1)*($D$2:$D$1001&gt;D165))+COUNTIFS($F$2:F165,1,$D$2:D165,D165)-1)</f>
        <v/>
      </c>
      <c r="L165" s="62">
        <f>IF(OR(D165="",NOT(G165="轿车")),"",1+SUMPRODUCT(($G$2:$G$1001="轿车")*($D$2:$D$1001&gt;D165))+COUNTIFS($G$2:G165,"轿车",$D$2:D165,D165)-1)</f>
        <v>74</v>
      </c>
      <c r="M165" s="62" t="str">
        <f>IF(OR(D165="",NOT(G165="MPV")),"",1+SUMPRODUCT(($G$2:$G$1001="MPV")*($D$2:$D$1001&gt;D165))+COUNTIFS($G$2:G165,"MPV",$D$2:D165,D165)-1)</f>
        <v/>
      </c>
      <c r="N165" s="62" t="str">
        <f>IF(OR(D165="",NOT(G165="SUV")),"",1+SUMPRODUCT(($G$2:$G$1001="SUV")*($D$2:$D$1001&gt;D165))+COUNTIFS($G$2:G165,"SUV",$D$2:D165,D165)-1)</f>
        <v/>
      </c>
      <c r="O165" s="62" t="str">
        <f>IF(OR(D165="",NOT(AND(F165=1,G165="轿车"))),"",1+SUMPRODUCT(($F$2:$F$1001=1)*($G$2:$G$1001="轿车")*($D$2:$D$1001&gt;D165))+COUNTIFS($F$2:F165,1,$G$2:G165,"轿车",$D$2:D165,D165)-1)</f>
        <v/>
      </c>
      <c r="P165" s="62" t="str">
        <f>IF(OR(D165="",NOT(AND(F165=1,G165="MPV"))),"",1+SUMPRODUCT(($F$2:$F$1001=1)*($G$2:$G$1001="MPV")*($D$2:$D$1001&gt;D165))+COUNTIFS($F$2:F165,1,$G$2:G165,"MPV",$D$2:D165,D165)-1)</f>
        <v/>
      </c>
      <c r="Q165" s="62" t="str">
        <f>IF(OR(D165="",NOT(AND(F165=1,G165="SUV"))),"",1+SUMPRODUCT(($F$2:$F$1001=1)*($G$2:$G$1001="SUV")*($D$2:$D$1001&gt;D165))+COUNTIFS($F$2:F165,1,$G$2:G165,"SUV",$D$2:D165,D165)-1)</f>
        <v/>
      </c>
    </row>
    <row r="166" spans="1:17">
      <c r="A166" s="62" t="str">
        <f>IFERROR(INDEX($H$2:$H$3000,MATCH(0,INDEX(COUNTIF($A$1:A165,$H$2:$H$3000)+($H$2:$H$3000=""),0,0),0)),"")</f>
        <v>LAMBORGHINI♦URUS</v>
      </c>
      <c r="B166" s="62" t="str">
        <f t="shared" si="8"/>
        <v>LAMBORGHINI</v>
      </c>
      <c r="C166" s="62" t="str">
        <f t="shared" si="9"/>
        <v>URUS</v>
      </c>
      <c r="D166" s="63">
        <f t="shared" si="10"/>
        <v>0</v>
      </c>
      <c r="E166" s="62">
        <f>IF(D166="","",_xlfn.RANK.EQ(D166,$D$2:$D$1001,0)+COUNTIF($D$2:D166,D166)-1)</f>
        <v>322</v>
      </c>
      <c r="F166" s="62">
        <f>IF(B166="","",--(COUNTIF(CN_Brands!$A$2:$A$300,UPPER(B166))&gt;0))</f>
        <v>0</v>
      </c>
      <c r="G166" s="62" t="str">
        <f t="shared" si="11"/>
        <v>SUV</v>
      </c>
      <c r="H166" s="62" t="str">
        <f>IF(AND('Data Export'!A166=前十整体车型排名!$B$2,'Data Export'!B166=前十整体车型排名!$B$3,'Data Export'!D166&lt;&gt;""),UPPER('Data Export'!C166)&amp;"♦"&amp;'Data Export'!D166,"")</f>
        <v>BMW♦X5</v>
      </c>
      <c r="I166" s="63">
        <f>IF(H166="","",IFERROR(INDEX('Data Export'!G166:CZ166,1,MATCH(前十整体车型排名!$B$4,'Data Export'!$G$1:$CZ$1,0)),0))</f>
        <v>20</v>
      </c>
      <c r="J166" s="62" t="str">
        <f>IF(H166="","",IF(OR('Data Export'!F166="三厢轿车",'Data Export'!F166="掀背轿车",'Data Export'!F166="旅行车",'Data Export'!F166="微型车",'Data Export'!F166="硬顶跑车",'Data Export'!F166="敞蓬车",'Data Export'!F166="Targa"),"轿车",IF(OR('Data Export'!F166="小型MPV",'Data Export'!F166="客车"),"MPV",IF('Data Export'!F166="运动型多功能车","SUV","其他"))))</f>
        <v>SUV</v>
      </c>
      <c r="K166" s="62" t="str">
        <f>IF(OR(D166="",NOT(F166=1)),"",1+SUMPRODUCT(($F$2:$F$1001=1)*($D$2:$D$1001&gt;D166))+COUNTIFS($F$2:F166,1,$D$2:D166,D166)-1)</f>
        <v/>
      </c>
      <c r="L166" s="62" t="str">
        <f>IF(OR(D166="",NOT(G166="轿车")),"",1+SUMPRODUCT(($G$2:$G$1001="轿车")*($D$2:$D$1001&gt;D166))+COUNTIFS($G$2:G166,"轿车",$D$2:D166,D166)-1)</f>
        <v/>
      </c>
      <c r="M166" s="62" t="str">
        <f>IF(OR(D166="",NOT(G166="MPV")),"",1+SUMPRODUCT(($G$2:$G$1001="MPV")*($D$2:$D$1001&gt;D166))+COUNTIFS($G$2:G166,"MPV",$D$2:D166,D166)-1)</f>
        <v/>
      </c>
      <c r="N166" s="62">
        <f>IF(OR(D166="",NOT(G166="SUV")),"",1+SUMPRODUCT(($G$2:$G$1001="SUV")*($D$2:$D$1001&gt;D166))+COUNTIFS($G$2:G166,"SUV",$D$2:D166,D166)-1)</f>
        <v>144</v>
      </c>
      <c r="O166" s="62" t="str">
        <f>IF(OR(D166="",NOT(AND(F166=1,G166="轿车"))),"",1+SUMPRODUCT(($F$2:$F$1001=1)*($G$2:$G$1001="轿车")*($D$2:$D$1001&gt;D166))+COUNTIFS($F$2:F166,1,$G$2:G166,"轿车",$D$2:D166,D166)-1)</f>
        <v/>
      </c>
      <c r="P166" s="62" t="str">
        <f>IF(OR(D166="",NOT(AND(F166=1,G166="MPV"))),"",1+SUMPRODUCT(($F$2:$F$1001=1)*($G$2:$G$1001="MPV")*($D$2:$D$1001&gt;D166))+COUNTIFS($F$2:F166,1,$G$2:G166,"MPV",$D$2:D166,D166)-1)</f>
        <v/>
      </c>
      <c r="Q166" s="62" t="str">
        <f>IF(OR(D166="",NOT(AND(F166=1,G166="SUV"))),"",1+SUMPRODUCT(($F$2:$F$1001=1)*($G$2:$G$1001="SUV")*($D$2:$D$1001&gt;D166))+COUNTIFS($F$2:F166,1,$G$2:G166,"SUV",$D$2:D166,D166)-1)</f>
        <v/>
      </c>
    </row>
    <row r="167" spans="1:17">
      <c r="A167" s="62" t="str">
        <f>IFERROR(INDEX($H$2:$H$3000,MATCH(0,INDEX(COUNTIF($A$1:A166,$H$2:$H$3000)+($H$2:$H$3000=""),0,0),0)),"")</f>
        <v>LAND ROVER♦DEFENDER</v>
      </c>
      <c r="B167" s="62" t="str">
        <f t="shared" si="8"/>
        <v>LAND ROVER</v>
      </c>
      <c r="C167" s="62" t="str">
        <f t="shared" si="9"/>
        <v>DEFENDER</v>
      </c>
      <c r="D167" s="63">
        <f t="shared" si="10"/>
        <v>3</v>
      </c>
      <c r="E167" s="62">
        <f>IF(D167="","",_xlfn.RANK.EQ(D167,$D$2:$D$1001,0)+COUNTIF($D$2:D167,D167)-1)</f>
        <v>187</v>
      </c>
      <c r="F167" s="62">
        <f>IF(B167="","",--(COUNTIF(CN_Brands!$A$2:$A$300,UPPER(B167))&gt;0))</f>
        <v>0</v>
      </c>
      <c r="G167" s="62" t="str">
        <f t="shared" si="11"/>
        <v>SUV</v>
      </c>
      <c r="H167" s="62" t="str">
        <f>IF(AND('Data Export'!A167=前十整体车型排名!$B$2,'Data Export'!B167=前十整体车型排名!$B$3,'Data Export'!D167&lt;&gt;""),UPPER('Data Export'!C167)&amp;"♦"&amp;'Data Export'!D167,"")</f>
        <v>BMW♦X5</v>
      </c>
      <c r="I167" s="63">
        <f>IF(H167="","",IFERROR(INDEX('Data Export'!G167:CZ167,1,MATCH(前十整体车型排名!$B$4,'Data Export'!$G$1:$CZ$1,0)),0))</f>
        <v>18</v>
      </c>
      <c r="J167" s="62" t="str">
        <f>IF(H167="","",IF(OR('Data Export'!F167="三厢轿车",'Data Export'!F167="掀背轿车",'Data Export'!F167="旅行车",'Data Export'!F167="微型车",'Data Export'!F167="硬顶跑车",'Data Export'!F167="敞蓬车",'Data Export'!F167="Targa"),"轿车",IF(OR('Data Export'!F167="小型MPV",'Data Export'!F167="客车"),"MPV",IF('Data Export'!F167="运动型多功能车","SUV","其他"))))</f>
        <v>SUV</v>
      </c>
      <c r="K167" s="62" t="str">
        <f>IF(OR(D167="",NOT(F167=1)),"",1+SUMPRODUCT(($F$2:$F$1001=1)*($D$2:$D$1001&gt;D167))+COUNTIFS($F$2:F167,1,$D$2:D167,D167)-1)</f>
        <v/>
      </c>
      <c r="L167" s="62" t="str">
        <f>IF(OR(D167="",NOT(G167="轿车")),"",1+SUMPRODUCT(($G$2:$G$1001="轿车")*($D$2:$D$1001&gt;D167))+COUNTIFS($G$2:G167,"轿车",$D$2:D167,D167)-1)</f>
        <v/>
      </c>
      <c r="M167" s="62" t="str">
        <f>IF(OR(D167="",NOT(G167="MPV")),"",1+SUMPRODUCT(($G$2:$G$1001="MPV")*($D$2:$D$1001&gt;D167))+COUNTIFS($G$2:G167,"MPV",$D$2:D167,D167)-1)</f>
        <v/>
      </c>
      <c r="N167" s="62">
        <f>IF(OR(D167="",NOT(G167="SUV")),"",1+SUMPRODUCT(($G$2:$G$1001="SUV")*($D$2:$D$1001&gt;D167))+COUNTIFS($G$2:G167,"SUV",$D$2:D167,D167)-1)</f>
        <v>104</v>
      </c>
      <c r="O167" s="62" t="str">
        <f>IF(OR(D167="",NOT(AND(F167=1,G167="轿车"))),"",1+SUMPRODUCT(($F$2:$F$1001=1)*($G$2:$G$1001="轿车")*($D$2:$D$1001&gt;D167))+COUNTIFS($F$2:F167,1,$G$2:G167,"轿车",$D$2:D167,D167)-1)</f>
        <v/>
      </c>
      <c r="P167" s="62" t="str">
        <f>IF(OR(D167="",NOT(AND(F167=1,G167="MPV"))),"",1+SUMPRODUCT(($F$2:$F$1001=1)*($G$2:$G$1001="MPV")*($D$2:$D$1001&gt;D167))+COUNTIFS($F$2:F167,1,$G$2:G167,"MPV",$D$2:D167,D167)-1)</f>
        <v/>
      </c>
      <c r="Q167" s="62" t="str">
        <f>IF(OR(D167="",NOT(AND(F167=1,G167="SUV"))),"",1+SUMPRODUCT(($F$2:$F$1001=1)*($G$2:$G$1001="SUV")*($D$2:$D$1001&gt;D167))+COUNTIFS($F$2:F167,1,$G$2:G167,"SUV",$D$2:D167,D167)-1)</f>
        <v/>
      </c>
    </row>
    <row r="168" spans="1:17">
      <c r="A168" s="62" t="str">
        <f>IFERROR(INDEX($H$2:$H$3000,MATCH(0,INDEX(COUNTIF($A$1:A167,$H$2:$H$3000)+($H$2:$H$3000=""),0,0),0)),"")</f>
        <v>LAND ROVER♦DISCOVERY</v>
      </c>
      <c r="B168" s="62" t="str">
        <f t="shared" si="8"/>
        <v>LAND ROVER</v>
      </c>
      <c r="C168" s="62" t="str">
        <f t="shared" si="9"/>
        <v>DISCOVERY</v>
      </c>
      <c r="D168" s="63">
        <f t="shared" si="10"/>
        <v>0</v>
      </c>
      <c r="E168" s="62">
        <f>IF(D168="","",_xlfn.RANK.EQ(D168,$D$2:$D$1001,0)+COUNTIF($D$2:D168,D168)-1)</f>
        <v>323</v>
      </c>
      <c r="F168" s="62">
        <f>IF(B168="","",--(COUNTIF(CN_Brands!$A$2:$A$300,UPPER(B168))&gt;0))</f>
        <v>0</v>
      </c>
      <c r="G168" s="62" t="str">
        <f t="shared" si="11"/>
        <v>SUV</v>
      </c>
      <c r="H168" s="62" t="str">
        <f>IF(AND('Data Export'!A168=前十整体车型排名!$B$2,'Data Export'!B168=前十整体车型排名!$B$3,'Data Export'!D168&lt;&gt;""),UPPER('Data Export'!C168)&amp;"♦"&amp;'Data Export'!D168,"")</f>
        <v>BMW♦X5</v>
      </c>
      <c r="I168" s="63">
        <f>IF(H168="","",IFERROR(INDEX('Data Export'!G168:CZ168,1,MATCH(前十整体车型排名!$B$4,'Data Export'!$G$1:$CZ$1,0)),0))</f>
        <v>0</v>
      </c>
      <c r="J168" s="62" t="str">
        <f>IF(H168="","",IF(OR('Data Export'!F168="三厢轿车",'Data Export'!F168="掀背轿车",'Data Export'!F168="旅行车",'Data Export'!F168="微型车",'Data Export'!F168="硬顶跑车",'Data Export'!F168="敞蓬车",'Data Export'!F168="Targa"),"轿车",IF(OR('Data Export'!F168="小型MPV",'Data Export'!F168="客车"),"MPV",IF('Data Export'!F168="运动型多功能车","SUV","其他"))))</f>
        <v>SUV</v>
      </c>
      <c r="K168" s="62" t="str">
        <f>IF(OR(D168="",NOT(F168=1)),"",1+SUMPRODUCT(($F$2:$F$1001=1)*($D$2:$D$1001&gt;D168))+COUNTIFS($F$2:F168,1,$D$2:D168,D168)-1)</f>
        <v/>
      </c>
      <c r="L168" s="62" t="str">
        <f>IF(OR(D168="",NOT(G168="轿车")),"",1+SUMPRODUCT(($G$2:$G$1001="轿车")*($D$2:$D$1001&gt;D168))+COUNTIFS($G$2:G168,"轿车",$D$2:D168,D168)-1)</f>
        <v/>
      </c>
      <c r="M168" s="62" t="str">
        <f>IF(OR(D168="",NOT(G168="MPV")),"",1+SUMPRODUCT(($G$2:$G$1001="MPV")*($D$2:$D$1001&gt;D168))+COUNTIFS($G$2:G168,"MPV",$D$2:D168,D168)-1)</f>
        <v/>
      </c>
      <c r="N168" s="62">
        <f>IF(OR(D168="",NOT(G168="SUV")),"",1+SUMPRODUCT(($G$2:$G$1001="SUV")*($D$2:$D$1001&gt;D168))+COUNTIFS($G$2:G168,"SUV",$D$2:D168,D168)-1)</f>
        <v>145</v>
      </c>
      <c r="O168" s="62" t="str">
        <f>IF(OR(D168="",NOT(AND(F168=1,G168="轿车"))),"",1+SUMPRODUCT(($F$2:$F$1001=1)*($G$2:$G$1001="轿车")*($D$2:$D$1001&gt;D168))+COUNTIFS($F$2:F168,1,$G$2:G168,"轿车",$D$2:D168,D168)-1)</f>
        <v/>
      </c>
      <c r="P168" s="62" t="str">
        <f>IF(OR(D168="",NOT(AND(F168=1,G168="MPV"))),"",1+SUMPRODUCT(($F$2:$F$1001=1)*($G$2:$G$1001="MPV")*($D$2:$D$1001&gt;D168))+COUNTIFS($F$2:F168,1,$G$2:G168,"MPV",$D$2:D168,D168)-1)</f>
        <v/>
      </c>
      <c r="Q168" s="62" t="str">
        <f>IF(OR(D168="",NOT(AND(F168=1,G168="SUV"))),"",1+SUMPRODUCT(($F$2:$F$1001=1)*($G$2:$G$1001="SUV")*($D$2:$D$1001&gt;D168))+COUNTIFS($F$2:F168,1,$G$2:G168,"SUV",$D$2:D168,D168)-1)</f>
        <v/>
      </c>
    </row>
    <row r="169" spans="1:17">
      <c r="A169" s="62" t="str">
        <f>IFERROR(INDEX($H$2:$H$3000,MATCH(0,INDEX(COUNTIF($A$1:A168,$H$2:$H$3000)+($H$2:$H$3000=""),0,0),0)),"")</f>
        <v>LAND ROVER♦RANGE ROVER</v>
      </c>
      <c r="B169" s="62" t="str">
        <f t="shared" si="8"/>
        <v>LAND ROVER</v>
      </c>
      <c r="C169" s="62" t="str">
        <f t="shared" si="9"/>
        <v>RANGE ROVER</v>
      </c>
      <c r="D169" s="63">
        <f t="shared" si="10"/>
        <v>3</v>
      </c>
      <c r="E169" s="62">
        <f>IF(D169="","",_xlfn.RANK.EQ(D169,$D$2:$D$1001,0)+COUNTIF($D$2:D169,D169)-1)</f>
        <v>188</v>
      </c>
      <c r="F169" s="62">
        <f>IF(B169="","",--(COUNTIF(CN_Brands!$A$2:$A$300,UPPER(B169))&gt;0))</f>
        <v>0</v>
      </c>
      <c r="G169" s="62" t="str">
        <f t="shared" si="11"/>
        <v>SUV</v>
      </c>
      <c r="H169" s="62" t="str">
        <f>IF(AND('Data Export'!A169=前十整体车型排名!$B$2,'Data Export'!B169=前十整体车型排名!$B$3,'Data Export'!D169&lt;&gt;""),UPPER('Data Export'!C169)&amp;"♦"&amp;'Data Export'!D169,"")</f>
        <v>BMW♦X6</v>
      </c>
      <c r="I169" s="63">
        <f>IF(H169="","",IFERROR(INDEX('Data Export'!G169:CZ169,1,MATCH(前十整体车型排名!$B$4,'Data Export'!$G$1:$CZ$1,0)),0))</f>
        <v>9</v>
      </c>
      <c r="J169" s="62" t="str">
        <f>IF(H169="","",IF(OR('Data Export'!F169="三厢轿车",'Data Export'!F169="掀背轿车",'Data Export'!F169="旅行车",'Data Export'!F169="微型车",'Data Export'!F169="硬顶跑车",'Data Export'!F169="敞蓬车",'Data Export'!F169="Targa"),"轿车",IF(OR('Data Export'!F169="小型MPV",'Data Export'!F169="客车"),"MPV",IF('Data Export'!F169="运动型多功能车","SUV","其他"))))</f>
        <v>SUV</v>
      </c>
      <c r="K169" s="62" t="str">
        <f>IF(OR(D169="",NOT(F169=1)),"",1+SUMPRODUCT(($F$2:$F$1001=1)*($D$2:$D$1001&gt;D169))+COUNTIFS($F$2:F169,1,$D$2:D169,D169)-1)</f>
        <v/>
      </c>
      <c r="L169" s="62" t="str">
        <f>IF(OR(D169="",NOT(G169="轿车")),"",1+SUMPRODUCT(($G$2:$G$1001="轿车")*($D$2:$D$1001&gt;D169))+COUNTIFS($G$2:G169,"轿车",$D$2:D169,D169)-1)</f>
        <v/>
      </c>
      <c r="M169" s="62" t="str">
        <f>IF(OR(D169="",NOT(G169="MPV")),"",1+SUMPRODUCT(($G$2:$G$1001="MPV")*($D$2:$D$1001&gt;D169))+COUNTIFS($G$2:G169,"MPV",$D$2:D169,D169)-1)</f>
        <v/>
      </c>
      <c r="N169" s="62">
        <f>IF(OR(D169="",NOT(G169="SUV")),"",1+SUMPRODUCT(($G$2:$G$1001="SUV")*($D$2:$D$1001&gt;D169))+COUNTIFS($G$2:G169,"SUV",$D$2:D169,D169)-1)</f>
        <v>105</v>
      </c>
      <c r="O169" s="62" t="str">
        <f>IF(OR(D169="",NOT(AND(F169=1,G169="轿车"))),"",1+SUMPRODUCT(($F$2:$F$1001=1)*($G$2:$G$1001="轿车")*($D$2:$D$1001&gt;D169))+COUNTIFS($F$2:F169,1,$G$2:G169,"轿车",$D$2:D169,D169)-1)</f>
        <v/>
      </c>
      <c r="P169" s="62" t="str">
        <f>IF(OR(D169="",NOT(AND(F169=1,G169="MPV"))),"",1+SUMPRODUCT(($F$2:$F$1001=1)*($G$2:$G$1001="MPV")*($D$2:$D$1001&gt;D169))+COUNTIFS($F$2:F169,1,$G$2:G169,"MPV",$D$2:D169,D169)-1)</f>
        <v/>
      </c>
      <c r="Q169" s="62" t="str">
        <f>IF(OR(D169="",NOT(AND(F169=1,G169="SUV"))),"",1+SUMPRODUCT(($F$2:$F$1001=1)*($G$2:$G$1001="SUV")*($D$2:$D$1001&gt;D169))+COUNTIFS($F$2:F169,1,$G$2:G169,"SUV",$D$2:D169,D169)-1)</f>
        <v/>
      </c>
    </row>
    <row r="170" spans="1:17">
      <c r="A170" s="62" t="str">
        <f>IFERROR(INDEX($H$2:$H$3000,MATCH(0,INDEX(COUNTIF($A$1:A169,$H$2:$H$3000)+($H$2:$H$3000=""),0,0),0)),"")</f>
        <v>LAND ROVER♦RANGE ROVER EVOQUE</v>
      </c>
      <c r="B170" s="62" t="str">
        <f t="shared" si="8"/>
        <v>LAND ROVER</v>
      </c>
      <c r="C170" s="62" t="str">
        <f t="shared" si="9"/>
        <v>RANGE ROVER EVOQUE</v>
      </c>
      <c r="D170" s="63">
        <f t="shared" si="10"/>
        <v>0</v>
      </c>
      <c r="E170" s="62">
        <f>IF(D170="","",_xlfn.RANK.EQ(D170,$D$2:$D$1001,0)+COUNTIF($D$2:D170,D170)-1)</f>
        <v>324</v>
      </c>
      <c r="F170" s="62">
        <f>IF(B170="","",--(COUNTIF(CN_Brands!$A$2:$A$300,UPPER(B170))&gt;0))</f>
        <v>0</v>
      </c>
      <c r="G170" s="62" t="str">
        <f t="shared" si="11"/>
        <v>SUV</v>
      </c>
      <c r="H170" s="62" t="str">
        <f>IF(AND('Data Export'!A170=前十整体车型排名!$B$2,'Data Export'!B170=前十整体车型排名!$B$3,'Data Export'!D170&lt;&gt;""),UPPER('Data Export'!C170)&amp;"♦"&amp;'Data Export'!D170,"")</f>
        <v>BMW♦X6</v>
      </c>
      <c r="I170" s="63">
        <f>IF(H170="","",IFERROR(INDEX('Data Export'!G170:CZ170,1,MATCH(前十整体车型排名!$B$4,'Data Export'!$G$1:$CZ$1,0)),0))</f>
        <v>0</v>
      </c>
      <c r="J170" s="62" t="str">
        <f>IF(H170="","",IF(OR('Data Export'!F170="三厢轿车",'Data Export'!F170="掀背轿车",'Data Export'!F170="旅行车",'Data Export'!F170="微型车",'Data Export'!F170="硬顶跑车",'Data Export'!F170="敞蓬车",'Data Export'!F170="Targa"),"轿车",IF(OR('Data Export'!F170="小型MPV",'Data Export'!F170="客车"),"MPV",IF('Data Export'!F170="运动型多功能车","SUV","其他"))))</f>
        <v>SUV</v>
      </c>
      <c r="K170" s="62" t="str">
        <f>IF(OR(D170="",NOT(F170=1)),"",1+SUMPRODUCT(($F$2:$F$1001=1)*($D$2:$D$1001&gt;D170))+COUNTIFS($F$2:F170,1,$D$2:D170,D170)-1)</f>
        <v/>
      </c>
      <c r="L170" s="62" t="str">
        <f>IF(OR(D170="",NOT(G170="轿车")),"",1+SUMPRODUCT(($G$2:$G$1001="轿车")*($D$2:$D$1001&gt;D170))+COUNTIFS($G$2:G170,"轿车",$D$2:D170,D170)-1)</f>
        <v/>
      </c>
      <c r="M170" s="62" t="str">
        <f>IF(OR(D170="",NOT(G170="MPV")),"",1+SUMPRODUCT(($G$2:$G$1001="MPV")*($D$2:$D$1001&gt;D170))+COUNTIFS($G$2:G170,"MPV",$D$2:D170,D170)-1)</f>
        <v/>
      </c>
      <c r="N170" s="62">
        <f>IF(OR(D170="",NOT(G170="SUV")),"",1+SUMPRODUCT(($G$2:$G$1001="SUV")*($D$2:$D$1001&gt;D170))+COUNTIFS($G$2:G170,"SUV",$D$2:D170,D170)-1)</f>
        <v>146</v>
      </c>
      <c r="O170" s="62" t="str">
        <f>IF(OR(D170="",NOT(AND(F170=1,G170="轿车"))),"",1+SUMPRODUCT(($F$2:$F$1001=1)*($G$2:$G$1001="轿车")*($D$2:$D$1001&gt;D170))+COUNTIFS($F$2:F170,1,$G$2:G170,"轿车",$D$2:D170,D170)-1)</f>
        <v/>
      </c>
      <c r="P170" s="62" t="str">
        <f>IF(OR(D170="",NOT(AND(F170=1,G170="MPV"))),"",1+SUMPRODUCT(($F$2:$F$1001=1)*($G$2:$G$1001="MPV")*($D$2:$D$1001&gt;D170))+COUNTIFS($F$2:F170,1,$G$2:G170,"MPV",$D$2:D170,D170)-1)</f>
        <v/>
      </c>
      <c r="Q170" s="62" t="str">
        <f>IF(OR(D170="",NOT(AND(F170=1,G170="SUV"))),"",1+SUMPRODUCT(($F$2:$F$1001=1)*($G$2:$G$1001="SUV")*($D$2:$D$1001&gt;D170))+COUNTIFS($F$2:F170,1,$G$2:G170,"SUV",$D$2:D170,D170)-1)</f>
        <v/>
      </c>
    </row>
    <row r="171" spans="1:17">
      <c r="A171" s="62" t="str">
        <f>IFERROR(INDEX($H$2:$H$3000,MATCH(0,INDEX(COUNTIF($A$1:A170,$H$2:$H$3000)+($H$2:$H$3000=""),0,0),0)),"")</f>
        <v>LAND ROVER♦RANGE ROVER SPORT</v>
      </c>
      <c r="B171" s="62" t="str">
        <f t="shared" si="8"/>
        <v>LAND ROVER</v>
      </c>
      <c r="C171" s="62" t="str">
        <f t="shared" si="9"/>
        <v>RANGE ROVER SPORT</v>
      </c>
      <c r="D171" s="63">
        <f t="shared" si="10"/>
        <v>1</v>
      </c>
      <c r="E171" s="62">
        <f>IF(D171="","",_xlfn.RANK.EQ(D171,$D$2:$D$1001,0)+COUNTIF($D$2:D171,D171)-1)</f>
        <v>239</v>
      </c>
      <c r="F171" s="62">
        <f>IF(B171="","",--(COUNTIF(CN_Brands!$A$2:$A$300,UPPER(B171))&gt;0))</f>
        <v>0</v>
      </c>
      <c r="G171" s="62" t="str">
        <f t="shared" si="11"/>
        <v>SUV</v>
      </c>
      <c r="H171" s="62" t="str">
        <f>IF(AND('Data Export'!A171=前十整体车型排名!$B$2,'Data Export'!B171=前十整体车型排名!$B$3,'Data Export'!D171&lt;&gt;""),UPPER('Data Export'!C171)&amp;"♦"&amp;'Data Export'!D171,"")</f>
        <v>BMW♦X7</v>
      </c>
      <c r="I171" s="63">
        <f>IF(H171="","",IFERROR(INDEX('Data Export'!G171:CZ171,1,MATCH(前十整体车型排名!$B$4,'Data Export'!$G$1:$CZ$1,0)),0))</f>
        <v>6</v>
      </c>
      <c r="J171" s="62" t="str">
        <f>IF(H171="","",IF(OR('Data Export'!F171="三厢轿车",'Data Export'!F171="掀背轿车",'Data Export'!F171="旅行车",'Data Export'!F171="微型车",'Data Export'!F171="硬顶跑车",'Data Export'!F171="敞蓬车",'Data Export'!F171="Targa"),"轿车",IF(OR('Data Export'!F171="小型MPV",'Data Export'!F171="客车"),"MPV",IF('Data Export'!F171="运动型多功能车","SUV","其他"))))</f>
        <v>SUV</v>
      </c>
      <c r="K171" s="62" t="str">
        <f>IF(OR(D171="",NOT(F171=1)),"",1+SUMPRODUCT(($F$2:$F$1001=1)*($D$2:$D$1001&gt;D171))+COUNTIFS($F$2:F171,1,$D$2:D171,D171)-1)</f>
        <v/>
      </c>
      <c r="L171" s="62" t="str">
        <f>IF(OR(D171="",NOT(G171="轿车")),"",1+SUMPRODUCT(($G$2:$G$1001="轿车")*($D$2:$D$1001&gt;D171))+COUNTIFS($G$2:G171,"轿车",$D$2:D171,D171)-1)</f>
        <v/>
      </c>
      <c r="M171" s="62" t="str">
        <f>IF(OR(D171="",NOT(G171="MPV")),"",1+SUMPRODUCT(($G$2:$G$1001="MPV")*($D$2:$D$1001&gt;D171))+COUNTIFS($G$2:G171,"MPV",$D$2:D171,D171)-1)</f>
        <v/>
      </c>
      <c r="N171" s="62">
        <f>IF(OR(D171="",NOT(G171="SUV")),"",1+SUMPRODUCT(($G$2:$G$1001="SUV")*($D$2:$D$1001&gt;D171))+COUNTIFS($G$2:G171,"SUV",$D$2:D171,D171)-1)</f>
        <v>120</v>
      </c>
      <c r="O171" s="62" t="str">
        <f>IF(OR(D171="",NOT(AND(F171=1,G171="轿车"))),"",1+SUMPRODUCT(($F$2:$F$1001=1)*($G$2:$G$1001="轿车")*($D$2:$D$1001&gt;D171))+COUNTIFS($F$2:F171,1,$G$2:G171,"轿车",$D$2:D171,D171)-1)</f>
        <v/>
      </c>
      <c r="P171" s="62" t="str">
        <f>IF(OR(D171="",NOT(AND(F171=1,G171="MPV"))),"",1+SUMPRODUCT(($F$2:$F$1001=1)*($G$2:$G$1001="MPV")*($D$2:$D$1001&gt;D171))+COUNTIFS($F$2:F171,1,$G$2:G171,"MPV",$D$2:D171,D171)-1)</f>
        <v/>
      </c>
      <c r="Q171" s="62" t="str">
        <f>IF(OR(D171="",NOT(AND(F171=1,G171="SUV"))),"",1+SUMPRODUCT(($F$2:$F$1001=1)*($G$2:$G$1001="SUV")*($D$2:$D$1001&gt;D171))+COUNTIFS($F$2:F171,1,$G$2:G171,"SUV",$D$2:D171,D171)-1)</f>
        <v/>
      </c>
    </row>
    <row r="172" spans="1:17">
      <c r="A172" s="62" t="str">
        <f>IFERROR(INDEX($H$2:$H$3000,MATCH(0,INDEX(COUNTIF($A$1:A171,$H$2:$H$3000)+($H$2:$H$3000=""),0,0),0)),"")</f>
        <v>LAND ROVER♦RANGE ROVER VELAR</v>
      </c>
      <c r="B172" s="62" t="str">
        <f t="shared" si="8"/>
        <v>LAND ROVER</v>
      </c>
      <c r="C172" s="62" t="str">
        <f t="shared" si="9"/>
        <v>RANGE ROVER VELAR</v>
      </c>
      <c r="D172" s="63">
        <f t="shared" si="10"/>
        <v>5</v>
      </c>
      <c r="E172" s="62">
        <f>IF(D172="","",_xlfn.RANK.EQ(D172,$D$2:$D$1001,0)+COUNTIF($D$2:D172,D172)-1)</f>
        <v>171</v>
      </c>
      <c r="F172" s="62">
        <f>IF(B172="","",--(COUNTIF(CN_Brands!$A$2:$A$300,UPPER(B172))&gt;0))</f>
        <v>0</v>
      </c>
      <c r="G172" s="62" t="str">
        <f t="shared" si="11"/>
        <v>SUV</v>
      </c>
      <c r="H172" s="62" t="str">
        <f>IF(AND('Data Export'!A172=前十整体车型排名!$B$2,'Data Export'!B172=前十整体车型排名!$B$3,'Data Export'!D172&lt;&gt;""),UPPER('Data Export'!C172)&amp;"♦"&amp;'Data Export'!D172,"")</f>
        <v>BMW♦XM</v>
      </c>
      <c r="I172" s="63">
        <f>IF(H172="","",IFERROR(INDEX('Data Export'!G172:CZ172,1,MATCH(前十整体车型排名!$B$4,'Data Export'!$G$1:$CZ$1,0)),0))</f>
        <v>0</v>
      </c>
      <c r="J172" s="62" t="str">
        <f>IF(H172="","",IF(OR('Data Export'!F172="三厢轿车",'Data Export'!F172="掀背轿车",'Data Export'!F172="旅行车",'Data Export'!F172="微型车",'Data Export'!F172="硬顶跑车",'Data Export'!F172="敞蓬车",'Data Export'!F172="Targa"),"轿车",IF(OR('Data Export'!F172="小型MPV",'Data Export'!F172="客车"),"MPV",IF('Data Export'!F172="运动型多功能车","SUV","其他"))))</f>
        <v>SUV</v>
      </c>
      <c r="K172" s="62" t="str">
        <f>IF(OR(D172="",NOT(F172=1)),"",1+SUMPRODUCT(($F$2:$F$1001=1)*($D$2:$D$1001&gt;D172))+COUNTIFS($F$2:F172,1,$D$2:D172,D172)-1)</f>
        <v/>
      </c>
      <c r="L172" s="62" t="str">
        <f>IF(OR(D172="",NOT(G172="轿车")),"",1+SUMPRODUCT(($G$2:$G$1001="轿车")*($D$2:$D$1001&gt;D172))+COUNTIFS($G$2:G172,"轿车",$D$2:D172,D172)-1)</f>
        <v/>
      </c>
      <c r="M172" s="62" t="str">
        <f>IF(OR(D172="",NOT(G172="MPV")),"",1+SUMPRODUCT(($G$2:$G$1001="MPV")*($D$2:$D$1001&gt;D172))+COUNTIFS($G$2:G172,"MPV",$D$2:D172,D172)-1)</f>
        <v/>
      </c>
      <c r="N172" s="62">
        <f>IF(OR(D172="",NOT(G172="SUV")),"",1+SUMPRODUCT(($G$2:$G$1001="SUV")*($D$2:$D$1001&gt;D172))+COUNTIFS($G$2:G172,"SUV",$D$2:D172,D172)-1)</f>
        <v>95</v>
      </c>
      <c r="O172" s="62" t="str">
        <f>IF(OR(D172="",NOT(AND(F172=1,G172="轿车"))),"",1+SUMPRODUCT(($F$2:$F$1001=1)*($G$2:$G$1001="轿车")*($D$2:$D$1001&gt;D172))+COUNTIFS($F$2:F172,1,$G$2:G172,"轿车",$D$2:D172,D172)-1)</f>
        <v/>
      </c>
      <c r="P172" s="62" t="str">
        <f>IF(OR(D172="",NOT(AND(F172=1,G172="MPV"))),"",1+SUMPRODUCT(($F$2:$F$1001=1)*($G$2:$G$1001="MPV")*($D$2:$D$1001&gt;D172))+COUNTIFS($F$2:F172,1,$G$2:G172,"MPV",$D$2:D172,D172)-1)</f>
        <v/>
      </c>
      <c r="Q172" s="62" t="str">
        <f>IF(OR(D172="",NOT(AND(F172=1,G172="SUV"))),"",1+SUMPRODUCT(($F$2:$F$1001=1)*($G$2:$G$1001="SUV")*($D$2:$D$1001&gt;D172))+COUNTIFS($F$2:F172,1,$G$2:G172,"SUV",$D$2:D172,D172)-1)</f>
        <v/>
      </c>
    </row>
    <row r="173" spans="1:17">
      <c r="A173" s="62" t="str">
        <f>IFERROR(INDEX($H$2:$H$3000,MATCH(0,INDEX(COUNTIF($A$1:A172,$H$2:$H$3000)+($H$2:$H$3000=""),0,0),0)),"")</f>
        <v>LEAPMOTOR♦B10</v>
      </c>
      <c r="B173" s="62" t="str">
        <f t="shared" si="8"/>
        <v>LEAPMOTOR</v>
      </c>
      <c r="C173" s="62" t="str">
        <f t="shared" si="9"/>
        <v>B10</v>
      </c>
      <c r="D173" s="63">
        <f t="shared" si="10"/>
        <v>21</v>
      </c>
      <c r="E173" s="62">
        <f>IF(D173="","",_xlfn.RANK.EQ(D173,$D$2:$D$1001,0)+COUNTIF($D$2:D173,D173)-1)</f>
        <v>119</v>
      </c>
      <c r="F173" s="62">
        <f>IF(B173="","",--(COUNTIF(CN_Brands!$A$2:$A$300,UPPER(B173))&gt;0))</f>
        <v>1</v>
      </c>
      <c r="G173" s="62" t="str">
        <f t="shared" si="11"/>
        <v>SUV</v>
      </c>
      <c r="H173" s="62" t="str">
        <f>IF(AND('Data Export'!A173=前十整体车型排名!$B$2,'Data Export'!B173=前十整体车型排名!$B$3,'Data Export'!D173&lt;&gt;""),UPPER('Data Export'!C173)&amp;"♦"&amp;'Data Export'!D173,"")</f>
        <v>BMW♦XM</v>
      </c>
      <c r="I173" s="63">
        <f>IF(H173="","",IFERROR(INDEX('Data Export'!G173:CZ173,1,MATCH(前十整体车型排名!$B$4,'Data Export'!$G$1:$CZ$1,0)),0))</f>
        <v>7</v>
      </c>
      <c r="J173" s="62" t="str">
        <f>IF(H173="","",IF(OR('Data Export'!F173="三厢轿车",'Data Export'!F173="掀背轿车",'Data Export'!F173="旅行车",'Data Export'!F173="微型车",'Data Export'!F173="硬顶跑车",'Data Export'!F173="敞蓬车",'Data Export'!F173="Targa"),"轿车",IF(OR('Data Export'!F173="小型MPV",'Data Export'!F173="客车"),"MPV",IF('Data Export'!F173="运动型多功能车","SUV","其他"))))</f>
        <v>SUV</v>
      </c>
      <c r="K173" s="62">
        <f>IF(OR(D173="",NOT(F173=1)),"",1+SUMPRODUCT(($F$2:$F$1001=1)*($D$2:$D$1001&gt;D173))+COUNTIFS($F$2:F173,1,$D$2:D173,D173)-1)</f>
        <v>49</v>
      </c>
      <c r="L173" s="62" t="str">
        <f>IF(OR(D173="",NOT(G173="轿车")),"",1+SUMPRODUCT(($G$2:$G$1001="轿车")*($D$2:$D$1001&gt;D173))+COUNTIFS($G$2:G173,"轿车",$D$2:D173,D173)-1)</f>
        <v/>
      </c>
      <c r="M173" s="62" t="str">
        <f>IF(OR(D173="",NOT(G173="MPV")),"",1+SUMPRODUCT(($G$2:$G$1001="MPV")*($D$2:$D$1001&gt;D173))+COUNTIFS($G$2:G173,"MPV",$D$2:D173,D173)-1)</f>
        <v/>
      </c>
      <c r="N173" s="62">
        <f>IF(OR(D173="",NOT(G173="SUV")),"",1+SUMPRODUCT(($G$2:$G$1001="SUV")*($D$2:$D$1001&gt;D173))+COUNTIFS($G$2:G173,"SUV",$D$2:D173,D173)-1)</f>
        <v>63</v>
      </c>
      <c r="O173" s="62" t="str">
        <f>IF(OR(D173="",NOT(AND(F173=1,G173="轿车"))),"",1+SUMPRODUCT(($F$2:$F$1001=1)*($G$2:$G$1001="轿车")*($D$2:$D$1001&gt;D173))+COUNTIFS($F$2:F173,1,$G$2:G173,"轿车",$D$2:D173,D173)-1)</f>
        <v/>
      </c>
      <c r="P173" s="62" t="str">
        <f>IF(OR(D173="",NOT(AND(F173=1,G173="MPV"))),"",1+SUMPRODUCT(($F$2:$F$1001=1)*($G$2:$G$1001="MPV")*($D$2:$D$1001&gt;D173))+COUNTIFS($F$2:F173,1,$G$2:G173,"MPV",$D$2:D173,D173)-1)</f>
        <v/>
      </c>
      <c r="Q173" s="62">
        <f>IF(OR(D173="",NOT(AND(F173=1,G173="SUV"))),"",1+SUMPRODUCT(($F$2:$F$1001=1)*($G$2:$G$1001="SUV")*($D$2:$D$1001&gt;D173))+COUNTIFS($F$2:F173,1,$G$2:G173,"SUV",$D$2:D173,D173)-1)</f>
        <v>29</v>
      </c>
    </row>
    <row r="174" spans="1:17">
      <c r="A174" s="62" t="str">
        <f>IFERROR(INDEX($H$2:$H$3000,MATCH(0,INDEX(COUNTIF($A$1:A173,$H$2:$H$3000)+($H$2:$H$3000=""),0,0),0)),"")</f>
        <v>LEAPMOTOR♦C10</v>
      </c>
      <c r="B174" s="62" t="str">
        <f t="shared" si="8"/>
        <v>LEAPMOTOR</v>
      </c>
      <c r="C174" s="62" t="str">
        <f t="shared" si="9"/>
        <v>C10</v>
      </c>
      <c r="D174" s="63">
        <f t="shared" si="10"/>
        <v>7</v>
      </c>
      <c r="E174" s="62">
        <f>IF(D174="","",_xlfn.RANK.EQ(D174,$D$2:$D$1001,0)+COUNTIF($D$2:D174,D174)-1)</f>
        <v>159</v>
      </c>
      <c r="F174" s="62">
        <f>IF(B174="","",--(COUNTIF(CN_Brands!$A$2:$A$300,UPPER(B174))&gt;0))</f>
        <v>1</v>
      </c>
      <c r="G174" s="62" t="str">
        <f t="shared" si="11"/>
        <v>SUV</v>
      </c>
      <c r="H174" s="62" t="str">
        <f>IF(AND('Data Export'!A174=前十整体车型排名!$B$2,'Data Export'!B174=前十整体车型排名!$B$3,'Data Export'!D174&lt;&gt;""),UPPER('Data Export'!C174)&amp;"♦"&amp;'Data Export'!D174,"")</f>
        <v>BMW♦Z4</v>
      </c>
      <c r="I174" s="63">
        <f>IF(H174="","",IFERROR(INDEX('Data Export'!G174:CZ174,1,MATCH(前十整体车型排名!$B$4,'Data Export'!$G$1:$CZ$1,0)),0))</f>
        <v>0</v>
      </c>
      <c r="J174" s="62" t="str">
        <f>IF(H174="","",IF(OR('Data Export'!F174="三厢轿车",'Data Export'!F174="掀背轿车",'Data Export'!F174="旅行车",'Data Export'!F174="微型车",'Data Export'!F174="硬顶跑车",'Data Export'!F174="敞蓬车",'Data Export'!F174="Targa"),"轿车",IF(OR('Data Export'!F174="小型MPV",'Data Export'!F174="客车"),"MPV",IF('Data Export'!F174="运动型多功能车","SUV","其他"))))</f>
        <v>轿车</v>
      </c>
      <c r="K174" s="62">
        <f>IF(OR(D174="",NOT(F174=1)),"",1+SUMPRODUCT(($F$2:$F$1001=1)*($D$2:$D$1001&gt;D174))+COUNTIFS($F$2:F174,1,$D$2:D174,D174)-1)</f>
        <v>55</v>
      </c>
      <c r="L174" s="62" t="str">
        <f>IF(OR(D174="",NOT(G174="轿车")),"",1+SUMPRODUCT(($G$2:$G$1001="轿车")*($D$2:$D$1001&gt;D174))+COUNTIFS($G$2:G174,"轿车",$D$2:D174,D174)-1)</f>
        <v/>
      </c>
      <c r="M174" s="62" t="str">
        <f>IF(OR(D174="",NOT(G174="MPV")),"",1+SUMPRODUCT(($G$2:$G$1001="MPV")*($D$2:$D$1001&gt;D174))+COUNTIFS($G$2:G174,"MPV",$D$2:D174,D174)-1)</f>
        <v/>
      </c>
      <c r="N174" s="62">
        <f>IF(OR(D174="",NOT(G174="SUV")),"",1+SUMPRODUCT(($G$2:$G$1001="SUV")*($D$2:$D$1001&gt;D174))+COUNTIFS($G$2:G174,"SUV",$D$2:D174,D174)-1)</f>
        <v>87</v>
      </c>
      <c r="O174" s="62" t="str">
        <f>IF(OR(D174="",NOT(AND(F174=1,G174="轿车"))),"",1+SUMPRODUCT(($F$2:$F$1001=1)*($G$2:$G$1001="轿车")*($D$2:$D$1001&gt;D174))+COUNTIFS($F$2:F174,1,$G$2:G174,"轿车",$D$2:D174,D174)-1)</f>
        <v/>
      </c>
      <c r="P174" s="62" t="str">
        <f>IF(OR(D174="",NOT(AND(F174=1,G174="MPV"))),"",1+SUMPRODUCT(($F$2:$F$1001=1)*($G$2:$G$1001="MPV")*($D$2:$D$1001&gt;D174))+COUNTIFS($F$2:F174,1,$G$2:G174,"MPV",$D$2:D174,D174)-1)</f>
        <v/>
      </c>
      <c r="Q174" s="62">
        <f>IF(OR(D174="",NOT(AND(F174=1,G174="SUV"))),"",1+SUMPRODUCT(($F$2:$F$1001=1)*($G$2:$G$1001="SUV")*($D$2:$D$1001&gt;D174))+COUNTIFS($F$2:F174,1,$G$2:G174,"SUV",$D$2:D174,D174)-1)</f>
        <v>33</v>
      </c>
    </row>
    <row r="175" spans="1:17">
      <c r="A175" s="62" t="str">
        <f>IFERROR(INDEX($H$2:$H$3000,MATCH(0,INDEX(COUNTIF($A$1:A174,$H$2:$H$3000)+($H$2:$H$3000=""),0,0),0)),"")</f>
        <v>LEXUS♦ES</v>
      </c>
      <c r="B175" s="62" t="str">
        <f t="shared" si="8"/>
        <v>LEXUS</v>
      </c>
      <c r="C175" s="62" t="str">
        <f t="shared" si="9"/>
        <v>ES</v>
      </c>
      <c r="D175" s="63">
        <f t="shared" si="10"/>
        <v>0</v>
      </c>
      <c r="E175" s="62">
        <f>IF(D175="","",_xlfn.RANK.EQ(D175,$D$2:$D$1001,0)+COUNTIF($D$2:D175,D175)-1)</f>
        <v>325</v>
      </c>
      <c r="F175" s="62">
        <f>IF(B175="","",--(COUNTIF(CN_Brands!$A$2:$A$300,UPPER(B175))&gt;0))</f>
        <v>0</v>
      </c>
      <c r="G175" s="62" t="str">
        <f t="shared" si="11"/>
        <v>轿车</v>
      </c>
      <c r="H175" s="62" t="str">
        <f>IF(AND('Data Export'!A175=前十整体车型排名!$B$2,'Data Export'!B175=前十整体车型排名!$B$3,'Data Export'!D175&lt;&gt;""),UPPER('Data Export'!C175)&amp;"♦"&amp;'Data Export'!D175,"")</f>
        <v>BMW♦Z4</v>
      </c>
      <c r="I175" s="63">
        <f>IF(H175="","",IFERROR(INDEX('Data Export'!G175:CZ175,1,MATCH(前十整体车型排名!$B$4,'Data Export'!$G$1:$CZ$1,0)),0))</f>
        <v>1</v>
      </c>
      <c r="J175" s="62" t="str">
        <f>IF(H175="","",IF(OR('Data Export'!F175="三厢轿车",'Data Export'!F175="掀背轿车",'Data Export'!F175="旅行车",'Data Export'!F175="微型车",'Data Export'!F175="硬顶跑车",'Data Export'!F175="敞蓬车",'Data Export'!F175="Targa"),"轿车",IF(OR('Data Export'!F175="小型MPV",'Data Export'!F175="客车"),"MPV",IF('Data Export'!F175="运动型多功能车","SUV","其他"))))</f>
        <v>轿车</v>
      </c>
      <c r="K175" s="62" t="str">
        <f>IF(OR(D175="",NOT(F175=1)),"",1+SUMPRODUCT(($F$2:$F$1001=1)*($D$2:$D$1001&gt;D175))+COUNTIFS($F$2:F175,1,$D$2:D175,D175)-1)</f>
        <v/>
      </c>
      <c r="L175" s="62">
        <f>IF(OR(D175="",NOT(G175="轿车")),"",1+SUMPRODUCT(($G$2:$G$1001="轿车")*($D$2:$D$1001&gt;D175))+COUNTIFS($G$2:G175,"轿车",$D$2:D175,D175)-1)</f>
        <v>106</v>
      </c>
      <c r="M175" s="62" t="str">
        <f>IF(OR(D175="",NOT(G175="MPV")),"",1+SUMPRODUCT(($G$2:$G$1001="MPV")*($D$2:$D$1001&gt;D175))+COUNTIFS($G$2:G175,"MPV",$D$2:D175,D175)-1)</f>
        <v/>
      </c>
      <c r="N175" s="62" t="str">
        <f>IF(OR(D175="",NOT(G175="SUV")),"",1+SUMPRODUCT(($G$2:$G$1001="SUV")*($D$2:$D$1001&gt;D175))+COUNTIFS($G$2:G175,"SUV",$D$2:D175,D175)-1)</f>
        <v/>
      </c>
      <c r="O175" s="62" t="str">
        <f>IF(OR(D175="",NOT(AND(F175=1,G175="轿车"))),"",1+SUMPRODUCT(($F$2:$F$1001=1)*($G$2:$G$1001="轿车")*($D$2:$D$1001&gt;D175))+COUNTIFS($F$2:F175,1,$G$2:G175,"轿车",$D$2:D175,D175)-1)</f>
        <v/>
      </c>
      <c r="P175" s="62" t="str">
        <f>IF(OR(D175="",NOT(AND(F175=1,G175="MPV"))),"",1+SUMPRODUCT(($F$2:$F$1001=1)*($G$2:$G$1001="MPV")*($D$2:$D$1001&gt;D175))+COUNTIFS($F$2:F175,1,$G$2:G175,"MPV",$D$2:D175,D175)-1)</f>
        <v/>
      </c>
      <c r="Q175" s="62" t="str">
        <f>IF(OR(D175="",NOT(AND(F175=1,G175="SUV"))),"",1+SUMPRODUCT(($F$2:$F$1001=1)*($G$2:$G$1001="SUV")*($D$2:$D$1001&gt;D175))+COUNTIFS($F$2:F175,1,$G$2:G175,"SUV",$D$2:D175,D175)-1)</f>
        <v/>
      </c>
    </row>
    <row r="176" spans="1:17">
      <c r="A176" s="62" t="str">
        <f>IFERROR(INDEX($H$2:$H$3000,MATCH(0,INDEX(COUNTIF($A$1:A175,$H$2:$H$3000)+($H$2:$H$3000=""),0,0),0)),"")</f>
        <v>LEXUS♦IS</v>
      </c>
      <c r="B176" s="62" t="str">
        <f t="shared" si="8"/>
        <v>LEXUS</v>
      </c>
      <c r="C176" s="62" t="str">
        <f t="shared" si="9"/>
        <v>IS</v>
      </c>
      <c r="D176" s="63">
        <f t="shared" si="10"/>
        <v>7</v>
      </c>
      <c r="E176" s="62">
        <f>IF(D176="","",_xlfn.RANK.EQ(D176,$D$2:$D$1001,0)+COUNTIF($D$2:D176,D176)-1)</f>
        <v>160</v>
      </c>
      <c r="F176" s="62">
        <f>IF(B176="","",--(COUNTIF(CN_Brands!$A$2:$A$300,UPPER(B176))&gt;0))</f>
        <v>0</v>
      </c>
      <c r="G176" s="62" t="str">
        <f t="shared" si="11"/>
        <v>轿车</v>
      </c>
      <c r="H176" s="62" t="str">
        <f>IF(AND('Data Export'!A176=前十整体车型排名!$B$2,'Data Export'!B176=前十整体车型排名!$B$3,'Data Export'!D176&lt;&gt;""),UPPER('Data Export'!C176)&amp;"♦"&amp;'Data Export'!D176,"")</f>
        <v>BYD♦ATTO 1</v>
      </c>
      <c r="I176" s="63">
        <f>IF(H176="","",IFERROR(INDEX('Data Export'!G176:CZ176,1,MATCH(前十整体车型排名!$B$4,'Data Export'!$G$1:$CZ$1,0)),0))</f>
        <v>45</v>
      </c>
      <c r="J176" s="62" t="str">
        <f>IF(H176="","",IF(OR('Data Export'!F176="三厢轿车",'Data Export'!F176="掀背轿车",'Data Export'!F176="旅行车",'Data Export'!F176="微型车",'Data Export'!F176="硬顶跑车",'Data Export'!F176="敞蓬车",'Data Export'!F176="Targa"),"轿车",IF(OR('Data Export'!F176="小型MPV",'Data Export'!F176="客车"),"MPV",IF('Data Export'!F176="运动型多功能车","SUV","其他"))))</f>
        <v>轿车</v>
      </c>
      <c r="K176" s="62" t="str">
        <f>IF(OR(D176="",NOT(F176=1)),"",1+SUMPRODUCT(($F$2:$F$1001=1)*($D$2:$D$1001&gt;D176))+COUNTIFS($F$2:F176,1,$D$2:D176,D176)-1)</f>
        <v/>
      </c>
      <c r="L176" s="62">
        <f>IF(OR(D176="",NOT(G176="轿车")),"",1+SUMPRODUCT(($G$2:$G$1001="轿车")*($D$2:$D$1001&gt;D176))+COUNTIFS($G$2:G176,"轿车",$D$2:D176,D176)-1)</f>
        <v>43</v>
      </c>
      <c r="M176" s="62" t="str">
        <f>IF(OR(D176="",NOT(G176="MPV")),"",1+SUMPRODUCT(($G$2:$G$1001="MPV")*($D$2:$D$1001&gt;D176))+COUNTIFS($G$2:G176,"MPV",$D$2:D176,D176)-1)</f>
        <v/>
      </c>
      <c r="N176" s="62" t="str">
        <f>IF(OR(D176="",NOT(G176="SUV")),"",1+SUMPRODUCT(($G$2:$G$1001="SUV")*($D$2:$D$1001&gt;D176))+COUNTIFS($G$2:G176,"SUV",$D$2:D176,D176)-1)</f>
        <v/>
      </c>
      <c r="O176" s="62" t="str">
        <f>IF(OR(D176="",NOT(AND(F176=1,G176="轿车"))),"",1+SUMPRODUCT(($F$2:$F$1001=1)*($G$2:$G$1001="轿车")*($D$2:$D$1001&gt;D176))+COUNTIFS($F$2:F176,1,$G$2:G176,"轿车",$D$2:D176,D176)-1)</f>
        <v/>
      </c>
      <c r="P176" s="62" t="str">
        <f>IF(OR(D176="",NOT(AND(F176=1,G176="MPV"))),"",1+SUMPRODUCT(($F$2:$F$1001=1)*($G$2:$G$1001="MPV")*($D$2:$D$1001&gt;D176))+COUNTIFS($F$2:F176,1,$G$2:G176,"MPV",$D$2:D176,D176)-1)</f>
        <v/>
      </c>
      <c r="Q176" s="62" t="str">
        <f>IF(OR(D176="",NOT(AND(F176=1,G176="SUV"))),"",1+SUMPRODUCT(($F$2:$F$1001=1)*($G$2:$G$1001="SUV")*($D$2:$D$1001&gt;D176))+COUNTIFS($F$2:F176,1,$G$2:G176,"SUV",$D$2:D176,D176)-1)</f>
        <v/>
      </c>
    </row>
    <row r="177" spans="1:17">
      <c r="A177" s="62" t="str">
        <f>IFERROR(INDEX($H$2:$H$3000,MATCH(0,INDEX(COUNTIF($A$1:A176,$H$2:$H$3000)+($H$2:$H$3000=""),0,0),0)),"")</f>
        <v>LEXUS♦LBX</v>
      </c>
      <c r="B177" s="62" t="str">
        <f t="shared" si="8"/>
        <v>LEXUS</v>
      </c>
      <c r="C177" s="62" t="str">
        <f t="shared" si="9"/>
        <v>LBX</v>
      </c>
      <c r="D177" s="63">
        <f t="shared" si="10"/>
        <v>4</v>
      </c>
      <c r="E177" s="62">
        <f>IF(D177="","",_xlfn.RANK.EQ(D177,$D$2:$D$1001,0)+COUNTIF($D$2:D177,D177)-1)</f>
        <v>177</v>
      </c>
      <c r="F177" s="62">
        <f>IF(B177="","",--(COUNTIF(CN_Brands!$A$2:$A$300,UPPER(B177))&gt;0))</f>
        <v>0</v>
      </c>
      <c r="G177" s="62" t="str">
        <f t="shared" si="11"/>
        <v>SUV</v>
      </c>
      <c r="H177" s="62" t="str">
        <f>IF(AND('Data Export'!A177=前十整体车型排名!$B$2,'Data Export'!B177=前十整体车型排名!$B$3,'Data Export'!D177&lt;&gt;""),UPPER('Data Export'!C177)&amp;"♦"&amp;'Data Export'!D177,"")</f>
        <v>BYD♦ATTO 1</v>
      </c>
      <c r="I177" s="63">
        <f>IF(H177="","",IFERROR(INDEX('Data Export'!G177:CZ177,1,MATCH(前十整体车型排名!$B$4,'Data Export'!$G$1:$CZ$1,0)),0))</f>
        <v>265</v>
      </c>
      <c r="J177" s="62" t="str">
        <f>IF(H177="","",IF(OR('Data Export'!F177="三厢轿车",'Data Export'!F177="掀背轿车",'Data Export'!F177="旅行车",'Data Export'!F177="微型车",'Data Export'!F177="硬顶跑车",'Data Export'!F177="敞蓬车",'Data Export'!F177="Targa"),"轿车",IF(OR('Data Export'!F177="小型MPV",'Data Export'!F177="客车"),"MPV",IF('Data Export'!F177="运动型多功能车","SUV","其他"))))</f>
        <v>轿车</v>
      </c>
      <c r="K177" s="62" t="str">
        <f>IF(OR(D177="",NOT(F177=1)),"",1+SUMPRODUCT(($F$2:$F$1001=1)*($D$2:$D$1001&gt;D177))+COUNTIFS($F$2:F177,1,$D$2:D177,D177)-1)</f>
        <v/>
      </c>
      <c r="L177" s="62" t="str">
        <f>IF(OR(D177="",NOT(G177="轿车")),"",1+SUMPRODUCT(($G$2:$G$1001="轿车")*($D$2:$D$1001&gt;D177))+COUNTIFS($G$2:G177,"轿车",$D$2:D177,D177)-1)</f>
        <v/>
      </c>
      <c r="M177" s="62" t="str">
        <f>IF(OR(D177="",NOT(G177="MPV")),"",1+SUMPRODUCT(($G$2:$G$1001="MPV")*($D$2:$D$1001&gt;D177))+COUNTIFS($G$2:G177,"MPV",$D$2:D177,D177)-1)</f>
        <v/>
      </c>
      <c r="N177" s="62">
        <f>IF(OR(D177="",NOT(G177="SUV")),"",1+SUMPRODUCT(($G$2:$G$1001="SUV")*($D$2:$D$1001&gt;D177))+COUNTIFS($G$2:G177,"SUV",$D$2:D177,D177)-1)</f>
        <v>99</v>
      </c>
      <c r="O177" s="62" t="str">
        <f>IF(OR(D177="",NOT(AND(F177=1,G177="轿车"))),"",1+SUMPRODUCT(($F$2:$F$1001=1)*($G$2:$G$1001="轿车")*($D$2:$D$1001&gt;D177))+COUNTIFS($F$2:F177,1,$G$2:G177,"轿车",$D$2:D177,D177)-1)</f>
        <v/>
      </c>
      <c r="P177" s="62" t="str">
        <f>IF(OR(D177="",NOT(AND(F177=1,G177="MPV"))),"",1+SUMPRODUCT(($F$2:$F$1001=1)*($G$2:$G$1001="MPV")*($D$2:$D$1001&gt;D177))+COUNTIFS($F$2:F177,1,$G$2:G177,"MPV",$D$2:D177,D177)-1)</f>
        <v/>
      </c>
      <c r="Q177" s="62" t="str">
        <f>IF(OR(D177="",NOT(AND(F177=1,G177="SUV"))),"",1+SUMPRODUCT(($F$2:$F$1001=1)*($G$2:$G$1001="SUV")*($D$2:$D$1001&gt;D177))+COUNTIFS($F$2:F177,1,$G$2:G177,"SUV",$D$2:D177,D177)-1)</f>
        <v/>
      </c>
    </row>
    <row r="178" spans="1:17">
      <c r="A178" s="62" t="str">
        <f>IFERROR(INDEX($H$2:$H$3000,MATCH(0,INDEX(COUNTIF($A$1:A177,$H$2:$H$3000)+($H$2:$H$3000=""),0,0),0)),"")</f>
        <v>LEXUS♦LC</v>
      </c>
      <c r="B178" s="62" t="str">
        <f t="shared" si="8"/>
        <v>LEXUS</v>
      </c>
      <c r="C178" s="62" t="str">
        <f t="shared" si="9"/>
        <v>LC</v>
      </c>
      <c r="D178" s="63">
        <f t="shared" si="10"/>
        <v>0</v>
      </c>
      <c r="E178" s="62">
        <f>IF(D178="","",_xlfn.RANK.EQ(D178,$D$2:$D$1001,0)+COUNTIF($D$2:D178,D178)-1)</f>
        <v>326</v>
      </c>
      <c r="F178" s="62">
        <f>IF(B178="","",--(COUNTIF(CN_Brands!$A$2:$A$300,UPPER(B178))&gt;0))</f>
        <v>0</v>
      </c>
      <c r="G178" s="62" t="str">
        <f t="shared" si="11"/>
        <v>轿车</v>
      </c>
      <c r="H178" s="62" t="str">
        <f>IF(AND('Data Export'!A178=前十整体车型排名!$B$2,'Data Export'!B178=前十整体车型排名!$B$3,'Data Export'!D178&lt;&gt;""),UPPER('Data Export'!C178)&amp;"♦"&amp;'Data Export'!D178,"")</f>
        <v>BYD♦ATTO 2</v>
      </c>
      <c r="I178" s="63">
        <f>IF(H178="","",IFERROR(INDEX('Data Export'!G178:CZ178,1,MATCH(前十整体车型排名!$B$4,'Data Export'!$G$1:$CZ$1,0)),0))</f>
        <v>17</v>
      </c>
      <c r="J178" s="62" t="str">
        <f>IF(H178="","",IF(OR('Data Export'!F178="三厢轿车",'Data Export'!F178="掀背轿车",'Data Export'!F178="旅行车",'Data Export'!F178="微型车",'Data Export'!F178="硬顶跑车",'Data Export'!F178="敞蓬车",'Data Export'!F178="Targa"),"轿车",IF(OR('Data Export'!F178="小型MPV",'Data Export'!F178="客车"),"MPV",IF('Data Export'!F178="运动型多功能车","SUV","其他"))))</f>
        <v>SUV</v>
      </c>
      <c r="K178" s="62" t="str">
        <f>IF(OR(D178="",NOT(F178=1)),"",1+SUMPRODUCT(($F$2:$F$1001=1)*($D$2:$D$1001&gt;D178))+COUNTIFS($F$2:F178,1,$D$2:D178,D178)-1)</f>
        <v/>
      </c>
      <c r="L178" s="62">
        <f>IF(OR(D178="",NOT(G178="轿车")),"",1+SUMPRODUCT(($G$2:$G$1001="轿车")*($D$2:$D$1001&gt;D178))+COUNTIFS($G$2:G178,"轿车",$D$2:D178,D178)-1)</f>
        <v>107</v>
      </c>
      <c r="M178" s="62" t="str">
        <f>IF(OR(D178="",NOT(G178="MPV")),"",1+SUMPRODUCT(($G$2:$G$1001="MPV")*($D$2:$D$1001&gt;D178))+COUNTIFS($G$2:G178,"MPV",$D$2:D178,D178)-1)</f>
        <v/>
      </c>
      <c r="N178" s="62" t="str">
        <f>IF(OR(D178="",NOT(G178="SUV")),"",1+SUMPRODUCT(($G$2:$G$1001="SUV")*($D$2:$D$1001&gt;D178))+COUNTIFS($G$2:G178,"SUV",$D$2:D178,D178)-1)</f>
        <v/>
      </c>
      <c r="O178" s="62" t="str">
        <f>IF(OR(D178="",NOT(AND(F178=1,G178="轿车"))),"",1+SUMPRODUCT(($F$2:$F$1001=1)*($G$2:$G$1001="轿车")*($D$2:$D$1001&gt;D178))+COUNTIFS($F$2:F178,1,$G$2:G178,"轿车",$D$2:D178,D178)-1)</f>
        <v/>
      </c>
      <c r="P178" s="62" t="str">
        <f>IF(OR(D178="",NOT(AND(F178=1,G178="MPV"))),"",1+SUMPRODUCT(($F$2:$F$1001=1)*($G$2:$G$1001="MPV")*($D$2:$D$1001&gt;D178))+COUNTIFS($F$2:F178,1,$G$2:G178,"MPV",$D$2:D178,D178)-1)</f>
        <v/>
      </c>
      <c r="Q178" s="62" t="str">
        <f>IF(OR(D178="",NOT(AND(F178=1,G178="SUV"))),"",1+SUMPRODUCT(($F$2:$F$1001=1)*($G$2:$G$1001="SUV")*($D$2:$D$1001&gt;D178))+COUNTIFS($F$2:F178,1,$G$2:G178,"SUV",$D$2:D178,D178)-1)</f>
        <v/>
      </c>
    </row>
    <row r="179" spans="1:17">
      <c r="A179" s="62" t="str">
        <f>IFERROR(INDEX($H$2:$H$3000,MATCH(0,INDEX(COUNTIF($A$1:A178,$H$2:$H$3000)+($H$2:$H$3000=""),0,0),0)),"")</f>
        <v>LEXUS♦LM</v>
      </c>
      <c r="B179" s="62" t="str">
        <f t="shared" si="8"/>
        <v>LEXUS</v>
      </c>
      <c r="C179" s="62" t="str">
        <f t="shared" si="9"/>
        <v>LM</v>
      </c>
      <c r="D179" s="63">
        <f t="shared" si="10"/>
        <v>30</v>
      </c>
      <c r="E179" s="62">
        <f>IF(D179="","",_xlfn.RANK.EQ(D179,$D$2:$D$1001,0)+COUNTIF($D$2:D179,D179)-1)</f>
        <v>108</v>
      </c>
      <c r="F179" s="62">
        <f>IF(B179="","",--(COUNTIF(CN_Brands!$A$2:$A$300,UPPER(B179))&gt;0))</f>
        <v>0</v>
      </c>
      <c r="G179" s="62" t="str">
        <f t="shared" si="11"/>
        <v>其他</v>
      </c>
      <c r="H179" s="62" t="str">
        <f>IF(AND('Data Export'!A179=前十整体车型排名!$B$2,'Data Export'!B179=前十整体车型排名!$B$3,'Data Export'!D179&lt;&gt;""),UPPER('Data Export'!C179)&amp;"♦"&amp;'Data Export'!D179,"")</f>
        <v>BYD♦ATTO 2</v>
      </c>
      <c r="I179" s="63">
        <f>IF(H179="","",IFERROR(INDEX('Data Export'!G179:CZ179,1,MATCH(前十整体车型排名!$B$4,'Data Export'!$G$1:$CZ$1,0)),0))</f>
        <v>341</v>
      </c>
      <c r="J179" s="62" t="str">
        <f>IF(H179="","",IF(OR('Data Export'!F179="三厢轿车",'Data Export'!F179="掀背轿车",'Data Export'!F179="旅行车",'Data Export'!F179="微型车",'Data Export'!F179="硬顶跑车",'Data Export'!F179="敞蓬车",'Data Export'!F179="Targa"),"轿车",IF(OR('Data Export'!F179="小型MPV",'Data Export'!F179="客车"),"MPV",IF('Data Export'!F179="运动型多功能车","SUV","其他"))))</f>
        <v>SUV</v>
      </c>
      <c r="K179" s="62" t="str">
        <f>IF(OR(D179="",NOT(F179=1)),"",1+SUMPRODUCT(($F$2:$F$1001=1)*($D$2:$D$1001&gt;D179))+COUNTIFS($F$2:F179,1,$D$2:D179,D179)-1)</f>
        <v/>
      </c>
      <c r="L179" s="62" t="str">
        <f>IF(OR(D179="",NOT(G179="轿车")),"",1+SUMPRODUCT(($G$2:$G$1001="轿车")*($D$2:$D$1001&gt;D179))+COUNTIFS($G$2:G179,"轿车",$D$2:D179,D179)-1)</f>
        <v/>
      </c>
      <c r="M179" s="62" t="str">
        <f>IF(OR(D179="",NOT(G179="MPV")),"",1+SUMPRODUCT(($G$2:$G$1001="MPV")*($D$2:$D$1001&gt;D179))+COUNTIFS($G$2:G179,"MPV",$D$2:D179,D179)-1)</f>
        <v/>
      </c>
      <c r="N179" s="62" t="str">
        <f>IF(OR(D179="",NOT(G179="SUV")),"",1+SUMPRODUCT(($G$2:$G$1001="SUV")*($D$2:$D$1001&gt;D179))+COUNTIFS($G$2:G179,"SUV",$D$2:D179,D179)-1)</f>
        <v/>
      </c>
      <c r="O179" s="62" t="str">
        <f>IF(OR(D179="",NOT(AND(F179=1,G179="轿车"))),"",1+SUMPRODUCT(($F$2:$F$1001=1)*($G$2:$G$1001="轿车")*($D$2:$D$1001&gt;D179))+COUNTIFS($F$2:F179,1,$G$2:G179,"轿车",$D$2:D179,D179)-1)</f>
        <v/>
      </c>
      <c r="P179" s="62" t="str">
        <f>IF(OR(D179="",NOT(AND(F179=1,G179="MPV"))),"",1+SUMPRODUCT(($F$2:$F$1001=1)*($G$2:$G$1001="MPV")*($D$2:$D$1001&gt;D179))+COUNTIFS($F$2:F179,1,$G$2:G179,"MPV",$D$2:D179,D179)-1)</f>
        <v/>
      </c>
      <c r="Q179" s="62" t="str">
        <f>IF(OR(D179="",NOT(AND(F179=1,G179="SUV"))),"",1+SUMPRODUCT(($F$2:$F$1001=1)*($G$2:$G$1001="SUV")*($D$2:$D$1001&gt;D179))+COUNTIFS($F$2:F179,1,$G$2:G179,"SUV",$D$2:D179,D179)-1)</f>
        <v/>
      </c>
    </row>
    <row r="180" spans="1:17">
      <c r="A180" s="62" t="str">
        <f>IFERROR(INDEX($H$2:$H$3000,MATCH(0,INDEX(COUNTIF($A$1:A179,$H$2:$H$3000)+($H$2:$H$3000=""),0,0),0)),"")</f>
        <v>LEXUS♦LX</v>
      </c>
      <c r="B180" s="62" t="str">
        <f t="shared" si="8"/>
        <v>LEXUS</v>
      </c>
      <c r="C180" s="62" t="str">
        <f t="shared" si="9"/>
        <v>LX</v>
      </c>
      <c r="D180" s="63">
        <f t="shared" si="10"/>
        <v>0</v>
      </c>
      <c r="E180" s="62">
        <f>IF(D180="","",_xlfn.RANK.EQ(D180,$D$2:$D$1001,0)+COUNTIF($D$2:D180,D180)-1)</f>
        <v>327</v>
      </c>
      <c r="F180" s="62">
        <f>IF(B180="","",--(COUNTIF(CN_Brands!$A$2:$A$300,UPPER(B180))&gt;0))</f>
        <v>0</v>
      </c>
      <c r="G180" s="62" t="str">
        <f t="shared" si="11"/>
        <v>SUV</v>
      </c>
      <c r="H180" s="62" t="str">
        <f>IF(AND('Data Export'!A180=前十整体车型排名!$B$2,'Data Export'!B180=前十整体车型排名!$B$3,'Data Export'!D180&lt;&gt;""),UPPER('Data Export'!C180)&amp;"♦"&amp;'Data Export'!D180,"")</f>
        <v>BYD♦ATTO 3</v>
      </c>
      <c r="I180" s="63">
        <f>IF(H180="","",IFERROR(INDEX('Data Export'!G180:CZ180,1,MATCH(前十整体车型排名!$B$4,'Data Export'!$G$1:$CZ$1,0)),0))</f>
        <v>0</v>
      </c>
      <c r="J180" s="62" t="str">
        <f>IF(H180="","",IF(OR('Data Export'!F180="三厢轿车",'Data Export'!F180="掀背轿车",'Data Export'!F180="旅行车",'Data Export'!F180="微型车",'Data Export'!F180="硬顶跑车",'Data Export'!F180="敞蓬车",'Data Export'!F180="Targa"),"轿车",IF(OR('Data Export'!F180="小型MPV",'Data Export'!F180="客车"),"MPV",IF('Data Export'!F180="运动型多功能车","SUV","其他"))))</f>
        <v>SUV</v>
      </c>
      <c r="K180" s="62" t="str">
        <f>IF(OR(D180="",NOT(F180=1)),"",1+SUMPRODUCT(($F$2:$F$1001=1)*($D$2:$D$1001&gt;D180))+COUNTIFS($F$2:F180,1,$D$2:D180,D180)-1)</f>
        <v/>
      </c>
      <c r="L180" s="62" t="str">
        <f>IF(OR(D180="",NOT(G180="轿车")),"",1+SUMPRODUCT(($G$2:$G$1001="轿车")*($D$2:$D$1001&gt;D180))+COUNTIFS($G$2:G180,"轿车",$D$2:D180,D180)-1)</f>
        <v/>
      </c>
      <c r="M180" s="62" t="str">
        <f>IF(OR(D180="",NOT(G180="MPV")),"",1+SUMPRODUCT(($G$2:$G$1001="MPV")*($D$2:$D$1001&gt;D180))+COUNTIFS($G$2:G180,"MPV",$D$2:D180,D180)-1)</f>
        <v/>
      </c>
      <c r="N180" s="62">
        <f>IF(OR(D180="",NOT(G180="SUV")),"",1+SUMPRODUCT(($G$2:$G$1001="SUV")*($D$2:$D$1001&gt;D180))+COUNTIFS($G$2:G180,"SUV",$D$2:D180,D180)-1)</f>
        <v>147</v>
      </c>
      <c r="O180" s="62" t="str">
        <f>IF(OR(D180="",NOT(AND(F180=1,G180="轿车"))),"",1+SUMPRODUCT(($F$2:$F$1001=1)*($G$2:$G$1001="轿车")*($D$2:$D$1001&gt;D180))+COUNTIFS($F$2:F180,1,$G$2:G180,"轿车",$D$2:D180,D180)-1)</f>
        <v/>
      </c>
      <c r="P180" s="62" t="str">
        <f>IF(OR(D180="",NOT(AND(F180=1,G180="MPV"))),"",1+SUMPRODUCT(($F$2:$F$1001=1)*($G$2:$G$1001="MPV")*($D$2:$D$1001&gt;D180))+COUNTIFS($F$2:F180,1,$G$2:G180,"MPV",$D$2:D180,D180)-1)</f>
        <v/>
      </c>
      <c r="Q180" s="62" t="str">
        <f>IF(OR(D180="",NOT(AND(F180=1,G180="SUV"))),"",1+SUMPRODUCT(($F$2:$F$1001=1)*($G$2:$G$1001="SUV")*($D$2:$D$1001&gt;D180))+COUNTIFS($F$2:F180,1,$G$2:G180,"SUV",$D$2:D180,D180)-1)</f>
        <v/>
      </c>
    </row>
    <row r="181" spans="1:17">
      <c r="A181" s="62" t="str">
        <f>IFERROR(INDEX($H$2:$H$3000,MATCH(0,INDEX(COUNTIF($A$1:A180,$H$2:$H$3000)+($H$2:$H$3000=""),0,0),0)),"")</f>
        <v>LEXUS♦NX</v>
      </c>
      <c r="B181" s="62" t="str">
        <f t="shared" si="8"/>
        <v>LEXUS</v>
      </c>
      <c r="C181" s="62" t="str">
        <f t="shared" si="9"/>
        <v>NX</v>
      </c>
      <c r="D181" s="63">
        <f t="shared" si="10"/>
        <v>17</v>
      </c>
      <c r="E181" s="62">
        <f>IF(D181="","",_xlfn.RANK.EQ(D181,$D$2:$D$1001,0)+COUNTIF($D$2:D181,D181)-1)</f>
        <v>125</v>
      </c>
      <c r="F181" s="62">
        <f>IF(B181="","",--(COUNTIF(CN_Brands!$A$2:$A$300,UPPER(B181))&gt;0))</f>
        <v>0</v>
      </c>
      <c r="G181" s="62" t="str">
        <f t="shared" si="11"/>
        <v>SUV</v>
      </c>
      <c r="H181" s="62" t="str">
        <f>IF(AND('Data Export'!A181=前十整体车型排名!$B$2,'Data Export'!B181=前十整体车型排名!$B$3,'Data Export'!D181&lt;&gt;""),UPPER('Data Export'!C181)&amp;"♦"&amp;'Data Export'!D181,"")</f>
        <v>BYD♦ATTO 3</v>
      </c>
      <c r="I181" s="63">
        <f>IF(H181="","",IFERROR(INDEX('Data Export'!G181:CZ181,1,MATCH(前十整体车型排名!$B$4,'Data Export'!$G$1:$CZ$1,0)),0))</f>
        <v>0</v>
      </c>
      <c r="J181" s="62" t="str">
        <f>IF(H181="","",IF(OR('Data Export'!F181="三厢轿车",'Data Export'!F181="掀背轿车",'Data Export'!F181="旅行车",'Data Export'!F181="微型车",'Data Export'!F181="硬顶跑车",'Data Export'!F181="敞蓬车",'Data Export'!F181="Targa"),"轿车",IF(OR('Data Export'!F181="小型MPV",'Data Export'!F181="客车"),"MPV",IF('Data Export'!F181="运动型多功能车","SUV","其他"))))</f>
        <v>SUV</v>
      </c>
      <c r="K181" s="62" t="str">
        <f>IF(OR(D181="",NOT(F181=1)),"",1+SUMPRODUCT(($F$2:$F$1001=1)*($D$2:$D$1001&gt;D181))+COUNTIFS($F$2:F181,1,$D$2:D181,D181)-1)</f>
        <v/>
      </c>
      <c r="L181" s="62" t="str">
        <f>IF(OR(D181="",NOT(G181="轿车")),"",1+SUMPRODUCT(($G$2:$G$1001="轿车")*($D$2:$D$1001&gt;D181))+COUNTIFS($G$2:G181,"轿车",$D$2:D181,D181)-1)</f>
        <v/>
      </c>
      <c r="M181" s="62" t="str">
        <f>IF(OR(D181="",NOT(G181="MPV")),"",1+SUMPRODUCT(($G$2:$G$1001="MPV")*($D$2:$D$1001&gt;D181))+COUNTIFS($G$2:G181,"MPV",$D$2:D181,D181)-1)</f>
        <v/>
      </c>
      <c r="N181" s="62">
        <f>IF(OR(D181="",NOT(G181="SUV")),"",1+SUMPRODUCT(($G$2:$G$1001="SUV")*($D$2:$D$1001&gt;D181))+COUNTIFS($G$2:G181,"SUV",$D$2:D181,D181)-1)</f>
        <v>68</v>
      </c>
      <c r="O181" s="62" t="str">
        <f>IF(OR(D181="",NOT(AND(F181=1,G181="轿车"))),"",1+SUMPRODUCT(($F$2:$F$1001=1)*($G$2:$G$1001="轿车")*($D$2:$D$1001&gt;D181))+COUNTIFS($F$2:F181,1,$G$2:G181,"轿车",$D$2:D181,D181)-1)</f>
        <v/>
      </c>
      <c r="P181" s="62" t="str">
        <f>IF(OR(D181="",NOT(AND(F181=1,G181="MPV"))),"",1+SUMPRODUCT(($F$2:$F$1001=1)*($G$2:$G$1001="MPV")*($D$2:$D$1001&gt;D181))+COUNTIFS($F$2:F181,1,$G$2:G181,"MPV",$D$2:D181,D181)-1)</f>
        <v/>
      </c>
      <c r="Q181" s="62" t="str">
        <f>IF(OR(D181="",NOT(AND(F181=1,G181="SUV"))),"",1+SUMPRODUCT(($F$2:$F$1001=1)*($G$2:$G$1001="SUV")*($D$2:$D$1001&gt;D181))+COUNTIFS($F$2:F181,1,$G$2:G181,"SUV",$D$2:D181,D181)-1)</f>
        <v/>
      </c>
    </row>
    <row r="182" spans="1:17">
      <c r="A182" s="62" t="str">
        <f>IFERROR(INDEX($H$2:$H$3000,MATCH(0,INDEX(COUNTIF($A$1:A181,$H$2:$H$3000)+($H$2:$H$3000=""),0,0),0)),"")</f>
        <v>LEXUS♦OTHER</v>
      </c>
      <c r="B182" s="62" t="str">
        <f t="shared" si="8"/>
        <v>LEXUS</v>
      </c>
      <c r="C182" s="62" t="str">
        <f t="shared" si="9"/>
        <v>OTHER</v>
      </c>
      <c r="D182" s="63">
        <f t="shared" si="10"/>
        <v>0</v>
      </c>
      <c r="E182" s="62">
        <f>IF(D182="","",_xlfn.RANK.EQ(D182,$D$2:$D$1001,0)+COUNTIF($D$2:D182,D182)-1)</f>
        <v>328</v>
      </c>
      <c r="F182" s="62">
        <f>IF(B182="","",--(COUNTIF(CN_Brands!$A$2:$A$300,UPPER(B182))&gt;0))</f>
        <v>0</v>
      </c>
      <c r="G182" s="62" t="str">
        <f t="shared" si="11"/>
        <v>其他</v>
      </c>
      <c r="H182" s="62" t="str">
        <f>IF(AND('Data Export'!A182=前十整体车型排名!$B$2,'Data Export'!B182=前十整体车型排名!$B$3,'Data Export'!D182&lt;&gt;""),UPPER('Data Export'!C182)&amp;"♦"&amp;'Data Export'!D182,"")</f>
        <v>BYD♦ATTO 3</v>
      </c>
      <c r="I182" s="63">
        <f>IF(H182="","",IFERROR(INDEX('Data Export'!G182:CZ182,1,MATCH(前十整体车型排名!$B$4,'Data Export'!$G$1:$CZ$1,0)),0))</f>
        <v>0</v>
      </c>
      <c r="J182" s="62" t="str">
        <f>IF(H182="","",IF(OR('Data Export'!F182="三厢轿车",'Data Export'!F182="掀背轿车",'Data Export'!F182="旅行车",'Data Export'!F182="微型车",'Data Export'!F182="硬顶跑车",'Data Export'!F182="敞蓬车",'Data Export'!F182="Targa"),"轿车",IF(OR('Data Export'!F182="小型MPV",'Data Export'!F182="客车"),"MPV",IF('Data Export'!F182="运动型多功能车","SUV","其他"))))</f>
        <v>SUV</v>
      </c>
      <c r="K182" s="62" t="str">
        <f>IF(OR(D182="",NOT(F182=1)),"",1+SUMPRODUCT(($F$2:$F$1001=1)*($D$2:$D$1001&gt;D182))+COUNTIFS($F$2:F182,1,$D$2:D182,D182)-1)</f>
        <v/>
      </c>
      <c r="L182" s="62" t="str">
        <f>IF(OR(D182="",NOT(G182="轿车")),"",1+SUMPRODUCT(($G$2:$G$1001="轿车")*($D$2:$D$1001&gt;D182))+COUNTIFS($G$2:G182,"轿车",$D$2:D182,D182)-1)</f>
        <v/>
      </c>
      <c r="M182" s="62" t="str">
        <f>IF(OR(D182="",NOT(G182="MPV")),"",1+SUMPRODUCT(($G$2:$G$1001="MPV")*($D$2:$D$1001&gt;D182))+COUNTIFS($G$2:G182,"MPV",$D$2:D182,D182)-1)</f>
        <v/>
      </c>
      <c r="N182" s="62" t="str">
        <f>IF(OR(D182="",NOT(G182="SUV")),"",1+SUMPRODUCT(($G$2:$G$1001="SUV")*($D$2:$D$1001&gt;D182))+COUNTIFS($G$2:G182,"SUV",$D$2:D182,D182)-1)</f>
        <v/>
      </c>
      <c r="O182" s="62" t="str">
        <f>IF(OR(D182="",NOT(AND(F182=1,G182="轿车"))),"",1+SUMPRODUCT(($F$2:$F$1001=1)*($G$2:$G$1001="轿车")*($D$2:$D$1001&gt;D182))+COUNTIFS($F$2:F182,1,$G$2:G182,"轿车",$D$2:D182,D182)-1)</f>
        <v/>
      </c>
      <c r="P182" s="62" t="str">
        <f>IF(OR(D182="",NOT(AND(F182=1,G182="MPV"))),"",1+SUMPRODUCT(($F$2:$F$1001=1)*($G$2:$G$1001="MPV")*($D$2:$D$1001&gt;D182))+COUNTIFS($F$2:F182,1,$G$2:G182,"MPV",$D$2:D182,D182)-1)</f>
        <v/>
      </c>
      <c r="Q182" s="62" t="str">
        <f>IF(OR(D182="",NOT(AND(F182=1,G182="SUV"))),"",1+SUMPRODUCT(($F$2:$F$1001=1)*($G$2:$G$1001="SUV")*($D$2:$D$1001&gt;D182))+COUNTIFS($F$2:F182,1,$G$2:G182,"SUV",$D$2:D182,D182)-1)</f>
        <v/>
      </c>
    </row>
    <row r="183" spans="1:17">
      <c r="A183" s="62" t="str">
        <f>IFERROR(INDEX($H$2:$H$3000,MATCH(0,INDEX(COUNTIF($A$1:A182,$H$2:$H$3000)+($H$2:$H$3000=""),0,0),0)),"")</f>
        <v>LEXUS♦RC</v>
      </c>
      <c r="B183" s="62" t="str">
        <f t="shared" si="8"/>
        <v>LEXUS</v>
      </c>
      <c r="C183" s="62" t="str">
        <f t="shared" si="9"/>
        <v>RC</v>
      </c>
      <c r="D183" s="63">
        <f t="shared" si="10"/>
        <v>0</v>
      </c>
      <c r="E183" s="62">
        <f>IF(D183="","",_xlfn.RANK.EQ(D183,$D$2:$D$1001,0)+COUNTIF($D$2:D183,D183)-1)</f>
        <v>329</v>
      </c>
      <c r="F183" s="62">
        <f>IF(B183="","",--(COUNTIF(CN_Brands!$A$2:$A$300,UPPER(B183))&gt;0))</f>
        <v>0</v>
      </c>
      <c r="G183" s="62" t="str">
        <f t="shared" si="11"/>
        <v>轿车</v>
      </c>
      <c r="H183" s="62" t="str">
        <f>IF(AND('Data Export'!A183=前十整体车型排名!$B$2,'Data Export'!B183=前十整体车型排名!$B$3,'Data Export'!D183&lt;&gt;""),UPPER('Data Export'!C183)&amp;"♦"&amp;'Data Export'!D183,"")</f>
        <v>BYD♦ATTO 3</v>
      </c>
      <c r="I183" s="63">
        <f>IF(H183="","",IFERROR(INDEX('Data Export'!G183:CZ183,1,MATCH(前十整体车型排名!$B$4,'Data Export'!$G$1:$CZ$1,0)),0))</f>
        <v>309</v>
      </c>
      <c r="J183" s="62" t="str">
        <f>IF(H183="","",IF(OR('Data Export'!F183="三厢轿车",'Data Export'!F183="掀背轿车",'Data Export'!F183="旅行车",'Data Export'!F183="微型车",'Data Export'!F183="硬顶跑车",'Data Export'!F183="敞蓬车",'Data Export'!F183="Targa"),"轿车",IF(OR('Data Export'!F183="小型MPV",'Data Export'!F183="客车"),"MPV",IF('Data Export'!F183="运动型多功能车","SUV","其他"))))</f>
        <v>SUV</v>
      </c>
      <c r="K183" s="62" t="str">
        <f>IF(OR(D183="",NOT(F183=1)),"",1+SUMPRODUCT(($F$2:$F$1001=1)*($D$2:$D$1001&gt;D183))+COUNTIFS($F$2:F183,1,$D$2:D183,D183)-1)</f>
        <v/>
      </c>
      <c r="L183" s="62">
        <f>IF(OR(D183="",NOT(G183="轿车")),"",1+SUMPRODUCT(($G$2:$G$1001="轿车")*($D$2:$D$1001&gt;D183))+COUNTIFS($G$2:G183,"轿车",$D$2:D183,D183)-1)</f>
        <v>108</v>
      </c>
      <c r="M183" s="62" t="str">
        <f>IF(OR(D183="",NOT(G183="MPV")),"",1+SUMPRODUCT(($G$2:$G$1001="MPV")*($D$2:$D$1001&gt;D183))+COUNTIFS($G$2:G183,"MPV",$D$2:D183,D183)-1)</f>
        <v/>
      </c>
      <c r="N183" s="62" t="str">
        <f>IF(OR(D183="",NOT(G183="SUV")),"",1+SUMPRODUCT(($G$2:$G$1001="SUV")*($D$2:$D$1001&gt;D183))+COUNTIFS($G$2:G183,"SUV",$D$2:D183,D183)-1)</f>
        <v/>
      </c>
      <c r="O183" s="62" t="str">
        <f>IF(OR(D183="",NOT(AND(F183=1,G183="轿车"))),"",1+SUMPRODUCT(($F$2:$F$1001=1)*($G$2:$G$1001="轿车")*($D$2:$D$1001&gt;D183))+COUNTIFS($F$2:F183,1,$G$2:G183,"轿车",$D$2:D183,D183)-1)</f>
        <v/>
      </c>
      <c r="P183" s="62" t="str">
        <f>IF(OR(D183="",NOT(AND(F183=1,G183="MPV"))),"",1+SUMPRODUCT(($F$2:$F$1001=1)*($G$2:$G$1001="MPV")*($D$2:$D$1001&gt;D183))+COUNTIFS($F$2:F183,1,$G$2:G183,"MPV",$D$2:D183,D183)-1)</f>
        <v/>
      </c>
      <c r="Q183" s="62" t="str">
        <f>IF(OR(D183="",NOT(AND(F183=1,G183="SUV"))),"",1+SUMPRODUCT(($F$2:$F$1001=1)*($G$2:$G$1001="SUV")*($D$2:$D$1001&gt;D183))+COUNTIFS($F$2:F183,1,$G$2:G183,"SUV",$D$2:D183,D183)-1)</f>
        <v/>
      </c>
    </row>
    <row r="184" spans="1:17">
      <c r="A184" s="62" t="str">
        <f>IFERROR(INDEX($H$2:$H$3000,MATCH(0,INDEX(COUNTIF($A$1:A183,$H$2:$H$3000)+($H$2:$H$3000=""),0,0),0)),"")</f>
        <v>LEXUS♦RX</v>
      </c>
      <c r="B184" s="62" t="str">
        <f t="shared" si="8"/>
        <v>LEXUS</v>
      </c>
      <c r="C184" s="62" t="str">
        <f t="shared" si="9"/>
        <v>RX</v>
      </c>
      <c r="D184" s="63">
        <f t="shared" si="10"/>
        <v>7</v>
      </c>
      <c r="E184" s="62">
        <f>IF(D184="","",_xlfn.RANK.EQ(D184,$D$2:$D$1001,0)+COUNTIF($D$2:D184,D184)-1)</f>
        <v>161</v>
      </c>
      <c r="F184" s="62">
        <f>IF(B184="","",--(COUNTIF(CN_Brands!$A$2:$A$300,UPPER(B184))&gt;0))</f>
        <v>0</v>
      </c>
      <c r="G184" s="62" t="str">
        <f t="shared" si="11"/>
        <v>SUV</v>
      </c>
      <c r="H184" s="62" t="str">
        <f>IF(AND('Data Export'!A184=前十整体车型排名!$B$2,'Data Export'!B184=前十整体车型排名!$B$3,'Data Export'!D184&lt;&gt;""),UPPER('Data Export'!C184)&amp;"♦"&amp;'Data Export'!D184,"")</f>
        <v>BYD♦ATTO 3</v>
      </c>
      <c r="I184" s="63">
        <f>IF(H184="","",IFERROR(INDEX('Data Export'!G184:CZ184,1,MATCH(前十整体车型排名!$B$4,'Data Export'!$G$1:$CZ$1,0)),0))</f>
        <v>293</v>
      </c>
      <c r="J184" s="62" t="str">
        <f>IF(H184="","",IF(OR('Data Export'!F184="三厢轿车",'Data Export'!F184="掀背轿车",'Data Export'!F184="旅行车",'Data Export'!F184="微型车",'Data Export'!F184="硬顶跑车",'Data Export'!F184="敞蓬车",'Data Export'!F184="Targa"),"轿车",IF(OR('Data Export'!F184="小型MPV",'Data Export'!F184="客车"),"MPV",IF('Data Export'!F184="运动型多功能车","SUV","其他"))))</f>
        <v>SUV</v>
      </c>
      <c r="K184" s="62" t="str">
        <f>IF(OR(D184="",NOT(F184=1)),"",1+SUMPRODUCT(($F$2:$F$1001=1)*($D$2:$D$1001&gt;D184))+COUNTIFS($F$2:F184,1,$D$2:D184,D184)-1)</f>
        <v/>
      </c>
      <c r="L184" s="62" t="str">
        <f>IF(OR(D184="",NOT(G184="轿车")),"",1+SUMPRODUCT(($G$2:$G$1001="轿车")*($D$2:$D$1001&gt;D184))+COUNTIFS($G$2:G184,"轿车",$D$2:D184,D184)-1)</f>
        <v/>
      </c>
      <c r="M184" s="62" t="str">
        <f>IF(OR(D184="",NOT(G184="MPV")),"",1+SUMPRODUCT(($G$2:$G$1001="MPV")*($D$2:$D$1001&gt;D184))+COUNTIFS($G$2:G184,"MPV",$D$2:D184,D184)-1)</f>
        <v/>
      </c>
      <c r="N184" s="62">
        <f>IF(OR(D184="",NOT(G184="SUV")),"",1+SUMPRODUCT(($G$2:$G$1001="SUV")*($D$2:$D$1001&gt;D184))+COUNTIFS($G$2:G184,"SUV",$D$2:D184,D184)-1)</f>
        <v>88</v>
      </c>
      <c r="O184" s="62" t="str">
        <f>IF(OR(D184="",NOT(AND(F184=1,G184="轿车"))),"",1+SUMPRODUCT(($F$2:$F$1001=1)*($G$2:$G$1001="轿车")*($D$2:$D$1001&gt;D184))+COUNTIFS($F$2:F184,1,$G$2:G184,"轿车",$D$2:D184,D184)-1)</f>
        <v/>
      </c>
      <c r="P184" s="62" t="str">
        <f>IF(OR(D184="",NOT(AND(F184=1,G184="MPV"))),"",1+SUMPRODUCT(($F$2:$F$1001=1)*($G$2:$G$1001="MPV")*($D$2:$D$1001&gt;D184))+COUNTIFS($F$2:F184,1,$G$2:G184,"MPV",$D$2:D184,D184)-1)</f>
        <v/>
      </c>
      <c r="Q184" s="62" t="str">
        <f>IF(OR(D184="",NOT(AND(F184=1,G184="SUV"))),"",1+SUMPRODUCT(($F$2:$F$1001=1)*($G$2:$G$1001="SUV")*($D$2:$D$1001&gt;D184))+COUNTIFS($F$2:F184,1,$G$2:G184,"SUV",$D$2:D184,D184)-1)</f>
        <v/>
      </c>
    </row>
    <row r="185" spans="1:17">
      <c r="A185" s="62" t="str">
        <f>IFERROR(INDEX($H$2:$H$3000,MATCH(0,INDEX(COUNTIF($A$1:A184,$H$2:$H$3000)+($H$2:$H$3000=""),0,0),0)),"")</f>
        <v>LEXUS♦RZ</v>
      </c>
      <c r="B185" s="62" t="str">
        <f t="shared" si="8"/>
        <v>LEXUS</v>
      </c>
      <c r="C185" s="62" t="str">
        <f t="shared" si="9"/>
        <v>RZ</v>
      </c>
      <c r="D185" s="63">
        <f t="shared" si="10"/>
        <v>2</v>
      </c>
      <c r="E185" s="62">
        <f>IF(D185="","",_xlfn.RANK.EQ(D185,$D$2:$D$1001,0)+COUNTIF($D$2:D185,D185)-1)</f>
        <v>208</v>
      </c>
      <c r="F185" s="62">
        <f>IF(B185="","",--(COUNTIF(CN_Brands!$A$2:$A$300,UPPER(B185))&gt;0))</f>
        <v>0</v>
      </c>
      <c r="G185" s="62" t="str">
        <f t="shared" si="11"/>
        <v>SUV</v>
      </c>
      <c r="H185" s="62" t="str">
        <f>IF(AND('Data Export'!A185=前十整体车型排名!$B$2,'Data Export'!B185=前十整体车型排名!$B$3,'Data Export'!D185&lt;&gt;""),UPPER('Data Export'!C185)&amp;"♦"&amp;'Data Export'!D185,"")</f>
        <v>BYD♦ATTO 3</v>
      </c>
      <c r="I185" s="63">
        <f>IF(H185="","",IFERROR(INDEX('Data Export'!G185:CZ185,1,MATCH(前十整体车型排名!$B$4,'Data Export'!$G$1:$CZ$1,0)),0))</f>
        <v>0</v>
      </c>
      <c r="J185" s="62" t="str">
        <f>IF(H185="","",IF(OR('Data Export'!F185="三厢轿车",'Data Export'!F185="掀背轿车",'Data Export'!F185="旅行车",'Data Export'!F185="微型车",'Data Export'!F185="硬顶跑车",'Data Export'!F185="敞蓬车",'Data Export'!F185="Targa"),"轿车",IF(OR('Data Export'!F185="小型MPV",'Data Export'!F185="客车"),"MPV",IF('Data Export'!F185="运动型多功能车","SUV","其他"))))</f>
        <v>SUV</v>
      </c>
      <c r="K185" s="62" t="str">
        <f>IF(OR(D185="",NOT(F185=1)),"",1+SUMPRODUCT(($F$2:$F$1001=1)*($D$2:$D$1001&gt;D185))+COUNTIFS($F$2:F185,1,$D$2:D185,D185)-1)</f>
        <v/>
      </c>
      <c r="L185" s="62" t="str">
        <f>IF(OR(D185="",NOT(G185="轿车")),"",1+SUMPRODUCT(($G$2:$G$1001="轿车")*($D$2:$D$1001&gt;D185))+COUNTIFS($G$2:G185,"轿车",$D$2:D185,D185)-1)</f>
        <v/>
      </c>
      <c r="M185" s="62" t="str">
        <f>IF(OR(D185="",NOT(G185="MPV")),"",1+SUMPRODUCT(($G$2:$G$1001="MPV")*($D$2:$D$1001&gt;D185))+COUNTIFS($G$2:G185,"MPV",$D$2:D185,D185)-1)</f>
        <v/>
      </c>
      <c r="N185" s="62">
        <f>IF(OR(D185="",NOT(G185="SUV")),"",1+SUMPRODUCT(($G$2:$G$1001="SUV")*($D$2:$D$1001&gt;D185))+COUNTIFS($G$2:G185,"SUV",$D$2:D185,D185)-1)</f>
        <v>111</v>
      </c>
      <c r="O185" s="62" t="str">
        <f>IF(OR(D185="",NOT(AND(F185=1,G185="轿车"))),"",1+SUMPRODUCT(($F$2:$F$1001=1)*($G$2:$G$1001="轿车")*($D$2:$D$1001&gt;D185))+COUNTIFS($F$2:F185,1,$G$2:G185,"轿车",$D$2:D185,D185)-1)</f>
        <v/>
      </c>
      <c r="P185" s="62" t="str">
        <f>IF(OR(D185="",NOT(AND(F185=1,G185="MPV"))),"",1+SUMPRODUCT(($F$2:$F$1001=1)*($G$2:$G$1001="MPV")*($D$2:$D$1001&gt;D185))+COUNTIFS($F$2:F185,1,$G$2:G185,"MPV",$D$2:D185,D185)-1)</f>
        <v/>
      </c>
      <c r="Q185" s="62" t="str">
        <f>IF(OR(D185="",NOT(AND(F185=1,G185="SUV"))),"",1+SUMPRODUCT(($F$2:$F$1001=1)*($G$2:$G$1001="SUV")*($D$2:$D$1001&gt;D185))+COUNTIFS($F$2:F185,1,$G$2:G185,"SUV",$D$2:D185,D185)-1)</f>
        <v/>
      </c>
    </row>
    <row r="186" spans="1:17">
      <c r="A186" s="62" t="str">
        <f>IFERROR(INDEX($H$2:$H$3000,MATCH(0,INDEX(COUNTIF($A$1:A185,$H$2:$H$3000)+($H$2:$H$3000=""),0,0),0)),"")</f>
        <v>LEXUS♦UX</v>
      </c>
      <c r="B186" s="62" t="str">
        <f t="shared" si="8"/>
        <v>LEXUS</v>
      </c>
      <c r="C186" s="62" t="str">
        <f t="shared" si="9"/>
        <v>UX</v>
      </c>
      <c r="D186" s="63">
        <f t="shared" si="10"/>
        <v>0</v>
      </c>
      <c r="E186" s="62">
        <f>IF(D186="","",_xlfn.RANK.EQ(D186,$D$2:$D$1001,0)+COUNTIF($D$2:D186,D186)-1)</f>
        <v>330</v>
      </c>
      <c r="F186" s="62">
        <f>IF(B186="","",--(COUNTIF(CN_Brands!$A$2:$A$300,UPPER(B186))&gt;0))</f>
        <v>0</v>
      </c>
      <c r="G186" s="62" t="str">
        <f t="shared" si="11"/>
        <v>SUV</v>
      </c>
      <c r="H186" s="62" t="str">
        <f>IF(AND('Data Export'!A186=前十整体车型排名!$B$2,'Data Export'!B186=前十整体车型排名!$B$3,'Data Export'!D186&lt;&gt;""),UPPER('Data Export'!C186)&amp;"♦"&amp;'Data Export'!D186,"")</f>
        <v>BYD♦DOLPHIN</v>
      </c>
      <c r="I186" s="63">
        <f>IF(H186="","",IFERROR(INDEX('Data Export'!G186:CZ186,1,MATCH(前十整体车型排名!$B$4,'Data Export'!$G$1:$CZ$1,0)),0))</f>
        <v>338</v>
      </c>
      <c r="J186" s="62" t="str">
        <f>IF(H186="","",IF(OR('Data Export'!F186="三厢轿车",'Data Export'!F186="掀背轿车",'Data Export'!F186="旅行车",'Data Export'!F186="微型车",'Data Export'!F186="硬顶跑车",'Data Export'!F186="敞蓬车",'Data Export'!F186="Targa"),"轿车",IF(OR('Data Export'!F186="小型MPV",'Data Export'!F186="客车"),"MPV",IF('Data Export'!F186="运动型多功能车","SUV","其他"))))</f>
        <v>轿车</v>
      </c>
      <c r="K186" s="62" t="str">
        <f>IF(OR(D186="",NOT(F186=1)),"",1+SUMPRODUCT(($F$2:$F$1001=1)*($D$2:$D$1001&gt;D186))+COUNTIFS($F$2:F186,1,$D$2:D186,D186)-1)</f>
        <v/>
      </c>
      <c r="L186" s="62" t="str">
        <f>IF(OR(D186="",NOT(G186="轿车")),"",1+SUMPRODUCT(($G$2:$G$1001="轿车")*($D$2:$D$1001&gt;D186))+COUNTIFS($G$2:G186,"轿车",$D$2:D186,D186)-1)</f>
        <v/>
      </c>
      <c r="M186" s="62" t="str">
        <f>IF(OR(D186="",NOT(G186="MPV")),"",1+SUMPRODUCT(($G$2:$G$1001="MPV")*($D$2:$D$1001&gt;D186))+COUNTIFS($G$2:G186,"MPV",$D$2:D186,D186)-1)</f>
        <v/>
      </c>
      <c r="N186" s="62">
        <f>IF(OR(D186="",NOT(G186="SUV")),"",1+SUMPRODUCT(($G$2:$G$1001="SUV")*($D$2:$D$1001&gt;D186))+COUNTIFS($G$2:G186,"SUV",$D$2:D186,D186)-1)</f>
        <v>148</v>
      </c>
      <c r="O186" s="62" t="str">
        <f>IF(OR(D186="",NOT(AND(F186=1,G186="轿车"))),"",1+SUMPRODUCT(($F$2:$F$1001=1)*($G$2:$G$1001="轿车")*($D$2:$D$1001&gt;D186))+COUNTIFS($F$2:F186,1,$G$2:G186,"轿车",$D$2:D186,D186)-1)</f>
        <v/>
      </c>
      <c r="P186" s="62" t="str">
        <f>IF(OR(D186="",NOT(AND(F186=1,G186="MPV"))),"",1+SUMPRODUCT(($F$2:$F$1001=1)*($G$2:$G$1001="MPV")*($D$2:$D$1001&gt;D186))+COUNTIFS($F$2:F186,1,$G$2:G186,"MPV",$D$2:D186,D186)-1)</f>
        <v/>
      </c>
      <c r="Q186" s="62" t="str">
        <f>IF(OR(D186="",NOT(AND(F186=1,G186="SUV"))),"",1+SUMPRODUCT(($F$2:$F$1001=1)*($G$2:$G$1001="SUV")*($D$2:$D$1001&gt;D186))+COUNTIFS($F$2:F186,1,$G$2:G186,"SUV",$D$2:D186,D186)-1)</f>
        <v/>
      </c>
    </row>
    <row r="187" spans="1:17">
      <c r="A187" s="62" t="str">
        <f>IFERROR(INDEX($H$2:$H$3000,MATCH(0,INDEX(COUNTIF($A$1:A186,$H$2:$H$3000)+($H$2:$H$3000=""),0,0),0)),"")</f>
        <v>LOTUS♦ELETRE</v>
      </c>
      <c r="B187" s="62" t="str">
        <f t="shared" si="8"/>
        <v>LOTUS</v>
      </c>
      <c r="C187" s="62" t="str">
        <f t="shared" si="9"/>
        <v>ELETRE</v>
      </c>
      <c r="D187" s="63">
        <f t="shared" si="10"/>
        <v>6</v>
      </c>
      <c r="E187" s="62">
        <f>IF(D187="","",_xlfn.RANK.EQ(D187,$D$2:$D$1001,0)+COUNTIF($D$2:D187,D187)-1)</f>
        <v>167</v>
      </c>
      <c r="F187" s="62">
        <f>IF(B187="","",--(COUNTIF(CN_Brands!$A$2:$A$300,UPPER(B187))&gt;0))</f>
        <v>0</v>
      </c>
      <c r="G187" s="62" t="str">
        <f t="shared" si="11"/>
        <v>SUV</v>
      </c>
      <c r="H187" s="62" t="str">
        <f>IF(AND('Data Export'!A187=前十整体车型排名!$B$2,'Data Export'!B187=前十整体车型排名!$B$3,'Data Export'!D187&lt;&gt;""),UPPER('Data Export'!C187)&amp;"♦"&amp;'Data Export'!D187,"")</f>
        <v>BYD♦DOLPHIN</v>
      </c>
      <c r="I187" s="63">
        <f>IF(H187="","",IFERROR(INDEX('Data Export'!G187:CZ187,1,MATCH(前十整体车型排名!$B$4,'Data Export'!$G$1:$CZ$1,0)),0))</f>
        <v>195</v>
      </c>
      <c r="J187" s="62" t="str">
        <f>IF(H187="","",IF(OR('Data Export'!F187="三厢轿车",'Data Export'!F187="掀背轿车",'Data Export'!F187="旅行车",'Data Export'!F187="微型车",'Data Export'!F187="硬顶跑车",'Data Export'!F187="敞蓬车",'Data Export'!F187="Targa"),"轿车",IF(OR('Data Export'!F187="小型MPV",'Data Export'!F187="客车"),"MPV",IF('Data Export'!F187="运动型多功能车","SUV","其他"))))</f>
        <v>轿车</v>
      </c>
      <c r="K187" s="62" t="str">
        <f>IF(OR(D187="",NOT(F187=1)),"",1+SUMPRODUCT(($F$2:$F$1001=1)*($D$2:$D$1001&gt;D187))+COUNTIFS($F$2:F187,1,$D$2:D187,D187)-1)</f>
        <v/>
      </c>
      <c r="L187" s="62" t="str">
        <f>IF(OR(D187="",NOT(G187="轿车")),"",1+SUMPRODUCT(($G$2:$G$1001="轿车")*($D$2:$D$1001&gt;D187))+COUNTIFS($G$2:G187,"轿车",$D$2:D187,D187)-1)</f>
        <v/>
      </c>
      <c r="M187" s="62" t="str">
        <f>IF(OR(D187="",NOT(G187="MPV")),"",1+SUMPRODUCT(($G$2:$G$1001="MPV")*($D$2:$D$1001&gt;D187))+COUNTIFS($G$2:G187,"MPV",$D$2:D187,D187)-1)</f>
        <v/>
      </c>
      <c r="N187" s="62">
        <f>IF(OR(D187="",NOT(G187="SUV")),"",1+SUMPRODUCT(($G$2:$G$1001="SUV")*($D$2:$D$1001&gt;D187))+COUNTIFS($G$2:G187,"SUV",$D$2:D187,D187)-1)</f>
        <v>92</v>
      </c>
      <c r="O187" s="62" t="str">
        <f>IF(OR(D187="",NOT(AND(F187=1,G187="轿车"))),"",1+SUMPRODUCT(($F$2:$F$1001=1)*($G$2:$G$1001="轿车")*($D$2:$D$1001&gt;D187))+COUNTIFS($F$2:F187,1,$G$2:G187,"轿车",$D$2:D187,D187)-1)</f>
        <v/>
      </c>
      <c r="P187" s="62" t="str">
        <f>IF(OR(D187="",NOT(AND(F187=1,G187="MPV"))),"",1+SUMPRODUCT(($F$2:$F$1001=1)*($G$2:$G$1001="MPV")*($D$2:$D$1001&gt;D187))+COUNTIFS($F$2:F187,1,$G$2:G187,"MPV",$D$2:D187,D187)-1)</f>
        <v/>
      </c>
      <c r="Q187" s="62" t="str">
        <f>IF(OR(D187="",NOT(AND(F187=1,G187="SUV"))),"",1+SUMPRODUCT(($F$2:$F$1001=1)*($G$2:$G$1001="SUV")*($D$2:$D$1001&gt;D187))+COUNTIFS($F$2:F187,1,$G$2:G187,"SUV",$D$2:D187,D187)-1)</f>
        <v/>
      </c>
    </row>
    <row r="188" spans="1:17">
      <c r="A188" s="62" t="str">
        <f>IFERROR(INDEX($H$2:$H$3000,MATCH(0,INDEX(COUNTIF($A$1:A187,$H$2:$H$3000)+($H$2:$H$3000=""),0,0),0)),"")</f>
        <v>LOTUS♦EMEYA</v>
      </c>
      <c r="B188" s="62" t="str">
        <f t="shared" si="8"/>
        <v>LOTUS</v>
      </c>
      <c r="C188" s="62" t="str">
        <f t="shared" si="9"/>
        <v>EMEYA</v>
      </c>
      <c r="D188" s="63">
        <f t="shared" si="10"/>
        <v>0</v>
      </c>
      <c r="E188" s="62">
        <f>IF(D188="","",_xlfn.RANK.EQ(D188,$D$2:$D$1001,0)+COUNTIF($D$2:D188,D188)-1)</f>
        <v>331</v>
      </c>
      <c r="F188" s="62">
        <f>IF(B188="","",--(COUNTIF(CN_Brands!$A$2:$A$300,UPPER(B188))&gt;0))</f>
        <v>0</v>
      </c>
      <c r="G188" s="62" t="str">
        <f t="shared" si="11"/>
        <v>轿车</v>
      </c>
      <c r="H188" s="62" t="str">
        <f>IF(AND('Data Export'!A188=前十整体车型排名!$B$2,'Data Export'!B188=前十整体车型排名!$B$3,'Data Export'!D188&lt;&gt;""),UPPER('Data Export'!C188)&amp;"♦"&amp;'Data Export'!D188,"")</f>
        <v>BYD♦E6</v>
      </c>
      <c r="I188" s="63">
        <f>IF(H188="","",IFERROR(INDEX('Data Export'!G188:CZ188,1,MATCH(前十整体车型排名!$B$4,'Data Export'!$G$1:$CZ$1,0)),0))</f>
        <v>1</v>
      </c>
      <c r="J188" s="62" t="str">
        <f>IF(H188="","",IF(OR('Data Export'!F188="三厢轿车",'Data Export'!F188="掀背轿车",'Data Export'!F188="旅行车",'Data Export'!F188="微型车",'Data Export'!F188="硬顶跑车",'Data Export'!F188="敞蓬车",'Data Export'!F188="Targa"),"轿车",IF(OR('Data Export'!F188="小型MPV",'Data Export'!F188="客车"),"MPV",IF('Data Export'!F188="运动型多功能车","SUV","其他"))))</f>
        <v>MPV</v>
      </c>
      <c r="K188" s="62" t="str">
        <f>IF(OR(D188="",NOT(F188=1)),"",1+SUMPRODUCT(($F$2:$F$1001=1)*($D$2:$D$1001&gt;D188))+COUNTIFS($F$2:F188,1,$D$2:D188,D188)-1)</f>
        <v/>
      </c>
      <c r="L188" s="62">
        <f>IF(OR(D188="",NOT(G188="轿车")),"",1+SUMPRODUCT(($G$2:$G$1001="轿车")*($D$2:$D$1001&gt;D188))+COUNTIFS($G$2:G188,"轿车",$D$2:D188,D188)-1)</f>
        <v>109</v>
      </c>
      <c r="M188" s="62" t="str">
        <f>IF(OR(D188="",NOT(G188="MPV")),"",1+SUMPRODUCT(($G$2:$G$1001="MPV")*($D$2:$D$1001&gt;D188))+COUNTIFS($G$2:G188,"MPV",$D$2:D188,D188)-1)</f>
        <v/>
      </c>
      <c r="N188" s="62" t="str">
        <f>IF(OR(D188="",NOT(G188="SUV")),"",1+SUMPRODUCT(($G$2:$G$1001="SUV")*($D$2:$D$1001&gt;D188))+COUNTIFS($G$2:G188,"SUV",$D$2:D188,D188)-1)</f>
        <v/>
      </c>
      <c r="O188" s="62" t="str">
        <f>IF(OR(D188="",NOT(AND(F188=1,G188="轿车"))),"",1+SUMPRODUCT(($F$2:$F$1001=1)*($G$2:$G$1001="轿车")*($D$2:$D$1001&gt;D188))+COUNTIFS($F$2:F188,1,$G$2:G188,"轿车",$D$2:D188,D188)-1)</f>
        <v/>
      </c>
      <c r="P188" s="62" t="str">
        <f>IF(OR(D188="",NOT(AND(F188=1,G188="MPV"))),"",1+SUMPRODUCT(($F$2:$F$1001=1)*($G$2:$G$1001="MPV")*($D$2:$D$1001&gt;D188))+COUNTIFS($F$2:F188,1,$G$2:G188,"MPV",$D$2:D188,D188)-1)</f>
        <v/>
      </c>
      <c r="Q188" s="62" t="str">
        <f>IF(OR(D188="",NOT(AND(F188=1,G188="SUV"))),"",1+SUMPRODUCT(($F$2:$F$1001=1)*($G$2:$G$1001="SUV")*($D$2:$D$1001&gt;D188))+COUNTIFS($F$2:F188,1,$G$2:G188,"SUV",$D$2:D188,D188)-1)</f>
        <v/>
      </c>
    </row>
    <row r="189" spans="1:17">
      <c r="A189" s="62" t="str">
        <f>IFERROR(INDEX($H$2:$H$3000,MATCH(0,INDEX(COUNTIF($A$1:A188,$H$2:$H$3000)+($H$2:$H$3000=""),0,0),0)),"")</f>
        <v>LOTUS♦EMIRA</v>
      </c>
      <c r="B189" s="62" t="str">
        <f t="shared" si="8"/>
        <v>LOTUS</v>
      </c>
      <c r="C189" s="62" t="str">
        <f t="shared" si="9"/>
        <v>EMIRA</v>
      </c>
      <c r="D189" s="63">
        <f t="shared" si="10"/>
        <v>0</v>
      </c>
      <c r="E189" s="62">
        <f>IF(D189="","",_xlfn.RANK.EQ(D189,$D$2:$D$1001,0)+COUNTIF($D$2:D189,D189)-1)</f>
        <v>332</v>
      </c>
      <c r="F189" s="62">
        <f>IF(B189="","",--(COUNTIF(CN_Brands!$A$2:$A$300,UPPER(B189))&gt;0))</f>
        <v>0</v>
      </c>
      <c r="G189" s="62" t="str">
        <f t="shared" si="11"/>
        <v>轿车</v>
      </c>
      <c r="H189" s="62" t="str">
        <f>IF(AND('Data Export'!A189=前十整体车型排名!$B$2,'Data Export'!B189=前十整体车型排名!$B$3,'Data Export'!D189&lt;&gt;""),UPPER('Data Export'!C189)&amp;"♦"&amp;'Data Export'!D189,"")</f>
        <v>BYD♦M6</v>
      </c>
      <c r="I189" s="63">
        <f>IF(H189="","",IFERROR(INDEX('Data Export'!G189:CZ189,1,MATCH(前十整体车型排名!$B$4,'Data Export'!$G$1:$CZ$1,0)),0))</f>
        <v>3</v>
      </c>
      <c r="J189" s="62" t="str">
        <f>IF(H189="","",IF(OR('Data Export'!F189="三厢轿车",'Data Export'!F189="掀背轿车",'Data Export'!F189="旅行车",'Data Export'!F189="微型车",'Data Export'!F189="硬顶跑车",'Data Export'!F189="敞蓬车",'Data Export'!F189="Targa"),"轿车",IF(OR('Data Export'!F189="小型MPV",'Data Export'!F189="客车"),"MPV",IF('Data Export'!F189="运动型多功能车","SUV","其他"))))</f>
        <v>其他</v>
      </c>
      <c r="K189" s="62" t="str">
        <f>IF(OR(D189="",NOT(F189=1)),"",1+SUMPRODUCT(($F$2:$F$1001=1)*($D$2:$D$1001&gt;D189))+COUNTIFS($F$2:F189,1,$D$2:D189,D189)-1)</f>
        <v/>
      </c>
      <c r="L189" s="62">
        <f>IF(OR(D189="",NOT(G189="轿车")),"",1+SUMPRODUCT(($G$2:$G$1001="轿车")*($D$2:$D$1001&gt;D189))+COUNTIFS($G$2:G189,"轿车",$D$2:D189,D189)-1)</f>
        <v>110</v>
      </c>
      <c r="M189" s="62" t="str">
        <f>IF(OR(D189="",NOT(G189="MPV")),"",1+SUMPRODUCT(($G$2:$G$1001="MPV")*($D$2:$D$1001&gt;D189))+COUNTIFS($G$2:G189,"MPV",$D$2:D189,D189)-1)</f>
        <v/>
      </c>
      <c r="N189" s="62" t="str">
        <f>IF(OR(D189="",NOT(G189="SUV")),"",1+SUMPRODUCT(($G$2:$G$1001="SUV")*($D$2:$D$1001&gt;D189))+COUNTIFS($G$2:G189,"SUV",$D$2:D189,D189)-1)</f>
        <v/>
      </c>
      <c r="O189" s="62" t="str">
        <f>IF(OR(D189="",NOT(AND(F189=1,G189="轿车"))),"",1+SUMPRODUCT(($F$2:$F$1001=1)*($G$2:$G$1001="轿车")*($D$2:$D$1001&gt;D189))+COUNTIFS($F$2:F189,1,$G$2:G189,"轿车",$D$2:D189,D189)-1)</f>
        <v/>
      </c>
      <c r="P189" s="62" t="str">
        <f>IF(OR(D189="",NOT(AND(F189=1,G189="MPV"))),"",1+SUMPRODUCT(($F$2:$F$1001=1)*($G$2:$G$1001="MPV")*($D$2:$D$1001&gt;D189))+COUNTIFS($F$2:F189,1,$G$2:G189,"MPV",$D$2:D189,D189)-1)</f>
        <v/>
      </c>
      <c r="Q189" s="62" t="str">
        <f>IF(OR(D189="",NOT(AND(F189=1,G189="SUV"))),"",1+SUMPRODUCT(($F$2:$F$1001=1)*($G$2:$G$1001="SUV")*($D$2:$D$1001&gt;D189))+COUNTIFS($F$2:F189,1,$G$2:G189,"SUV",$D$2:D189,D189)-1)</f>
        <v/>
      </c>
    </row>
    <row r="190" spans="1:17">
      <c r="A190" s="62" t="str">
        <f>IFERROR(INDEX($H$2:$H$3000,MATCH(0,INDEX(COUNTIF($A$1:A189,$H$2:$H$3000)+($H$2:$H$3000=""),0,0),0)),"")</f>
        <v>MARUTI SUZUKI♦JIMNY</v>
      </c>
      <c r="B190" s="62" t="str">
        <f t="shared" si="8"/>
        <v>MARUTI SUZUKI</v>
      </c>
      <c r="C190" s="62" t="str">
        <f t="shared" si="9"/>
        <v>JIMNY</v>
      </c>
      <c r="D190" s="63">
        <f t="shared" si="10"/>
        <v>1</v>
      </c>
      <c r="E190" s="62">
        <f>IF(D190="","",_xlfn.RANK.EQ(D190,$D$2:$D$1001,0)+COUNTIF($D$2:D190,D190)-1)</f>
        <v>240</v>
      </c>
      <c r="F190" s="62">
        <f>IF(B190="","",--(COUNTIF(CN_Brands!$A$2:$A$300,UPPER(B190))&gt;0))</f>
        <v>0</v>
      </c>
      <c r="G190" s="62" t="str">
        <f t="shared" si="11"/>
        <v>其他</v>
      </c>
      <c r="H190" s="62" t="str">
        <f>IF(AND('Data Export'!A190=前十整体车型排名!$B$2,'Data Export'!B190=前十整体车型排名!$B$3,'Data Export'!D190&lt;&gt;""),UPPER('Data Export'!C190)&amp;"♦"&amp;'Data Export'!D190,"")</f>
        <v>BYD♦M6</v>
      </c>
      <c r="I190" s="63">
        <f>IF(H190="","",IFERROR(INDEX('Data Export'!G190:CZ190,1,MATCH(前十整体车型排名!$B$4,'Data Export'!$G$1:$CZ$1,0)),0))</f>
        <v>130</v>
      </c>
      <c r="J190" s="62" t="str">
        <f>IF(H190="","",IF(OR('Data Export'!F190="三厢轿车",'Data Export'!F190="掀背轿车",'Data Export'!F190="旅行车",'Data Export'!F190="微型车",'Data Export'!F190="硬顶跑车",'Data Export'!F190="敞蓬车",'Data Export'!F190="Targa"),"轿车",IF(OR('Data Export'!F190="小型MPV",'Data Export'!F190="客车"),"MPV",IF('Data Export'!F190="运动型多功能车","SUV","其他"))))</f>
        <v>其他</v>
      </c>
      <c r="K190" s="62" t="str">
        <f>IF(OR(D190="",NOT(F190=1)),"",1+SUMPRODUCT(($F$2:$F$1001=1)*($D$2:$D$1001&gt;D190))+COUNTIFS($F$2:F190,1,$D$2:D190,D190)-1)</f>
        <v/>
      </c>
      <c r="L190" s="62" t="str">
        <f>IF(OR(D190="",NOT(G190="轿车")),"",1+SUMPRODUCT(($G$2:$G$1001="轿车")*($D$2:$D$1001&gt;D190))+COUNTIFS($G$2:G190,"轿车",$D$2:D190,D190)-1)</f>
        <v/>
      </c>
      <c r="M190" s="62" t="str">
        <f>IF(OR(D190="",NOT(G190="MPV")),"",1+SUMPRODUCT(($G$2:$G$1001="MPV")*($D$2:$D$1001&gt;D190))+COUNTIFS($G$2:G190,"MPV",$D$2:D190,D190)-1)</f>
        <v/>
      </c>
      <c r="N190" s="62" t="str">
        <f>IF(OR(D190="",NOT(G190="SUV")),"",1+SUMPRODUCT(($G$2:$G$1001="SUV")*($D$2:$D$1001&gt;D190))+COUNTIFS($G$2:G190,"SUV",$D$2:D190,D190)-1)</f>
        <v/>
      </c>
      <c r="O190" s="62" t="str">
        <f>IF(OR(D190="",NOT(AND(F190=1,G190="轿车"))),"",1+SUMPRODUCT(($F$2:$F$1001=1)*($G$2:$G$1001="轿车")*($D$2:$D$1001&gt;D190))+COUNTIFS($F$2:F190,1,$G$2:G190,"轿车",$D$2:D190,D190)-1)</f>
        <v/>
      </c>
      <c r="P190" s="62" t="str">
        <f>IF(OR(D190="",NOT(AND(F190=1,G190="MPV"))),"",1+SUMPRODUCT(($F$2:$F$1001=1)*($G$2:$G$1001="MPV")*($D$2:$D$1001&gt;D190))+COUNTIFS($F$2:F190,1,$G$2:G190,"MPV",$D$2:D190,D190)-1)</f>
        <v/>
      </c>
      <c r="Q190" s="62" t="str">
        <f>IF(OR(D190="",NOT(AND(F190=1,G190="SUV"))),"",1+SUMPRODUCT(($F$2:$F$1001=1)*($G$2:$G$1001="SUV")*($D$2:$D$1001&gt;D190))+COUNTIFS($F$2:F190,1,$G$2:G190,"SUV",$D$2:D190,D190)-1)</f>
        <v/>
      </c>
    </row>
    <row r="191" spans="1:17">
      <c r="A191" s="62" t="str">
        <f>IFERROR(INDEX($H$2:$H$3000,MATCH(0,INDEX(COUNTIF($A$1:A190,$H$2:$H$3000)+($H$2:$H$3000=""),0,0),0)),"")</f>
        <v>MASERATI♦GHIBLI</v>
      </c>
      <c r="B191" s="62" t="str">
        <f t="shared" si="8"/>
        <v>MASERATI</v>
      </c>
      <c r="C191" s="62" t="str">
        <f t="shared" si="9"/>
        <v>GHIBLI</v>
      </c>
      <c r="D191" s="63">
        <f t="shared" si="10"/>
        <v>0</v>
      </c>
      <c r="E191" s="62">
        <f>IF(D191="","",_xlfn.RANK.EQ(D191,$D$2:$D$1001,0)+COUNTIF($D$2:D191,D191)-1)</f>
        <v>333</v>
      </c>
      <c r="F191" s="62">
        <f>IF(B191="","",--(COUNTIF(CN_Brands!$A$2:$A$300,UPPER(B191))&gt;0))</f>
        <v>0</v>
      </c>
      <c r="G191" s="62" t="str">
        <f t="shared" si="11"/>
        <v>轿车</v>
      </c>
      <c r="H191" s="62" t="str">
        <f>IF(AND('Data Export'!A191=前十整体车型排名!$B$2,'Data Export'!B191=前十整体车型排名!$B$3,'Data Export'!D191&lt;&gt;""),UPPER('Data Export'!C191)&amp;"♦"&amp;'Data Export'!D191,"")</f>
        <v>BYD♦SEAL</v>
      </c>
      <c r="I191" s="63">
        <f>IF(H191="","",IFERROR(INDEX('Data Export'!G191:CZ191,1,MATCH(前十整体车型排名!$B$4,'Data Export'!$G$1:$CZ$1,0)),0))</f>
        <v>0</v>
      </c>
      <c r="J191" s="62" t="str">
        <f>IF(H191="","",IF(OR('Data Export'!F191="三厢轿车",'Data Export'!F191="掀背轿车",'Data Export'!F191="旅行车",'Data Export'!F191="微型车",'Data Export'!F191="硬顶跑车",'Data Export'!F191="敞蓬车",'Data Export'!F191="Targa"),"轿车",IF(OR('Data Export'!F191="小型MPV",'Data Export'!F191="客车"),"MPV",IF('Data Export'!F191="运动型多功能车","SUV","其他"))))</f>
        <v>轿车</v>
      </c>
      <c r="K191" s="62" t="str">
        <f>IF(OR(D191="",NOT(F191=1)),"",1+SUMPRODUCT(($F$2:$F$1001=1)*($D$2:$D$1001&gt;D191))+COUNTIFS($F$2:F191,1,$D$2:D191,D191)-1)</f>
        <v/>
      </c>
      <c r="L191" s="62">
        <f>IF(OR(D191="",NOT(G191="轿车")),"",1+SUMPRODUCT(($G$2:$G$1001="轿车")*($D$2:$D$1001&gt;D191))+COUNTIFS($G$2:G191,"轿车",$D$2:D191,D191)-1)</f>
        <v>111</v>
      </c>
      <c r="M191" s="62" t="str">
        <f>IF(OR(D191="",NOT(G191="MPV")),"",1+SUMPRODUCT(($G$2:$G$1001="MPV")*($D$2:$D$1001&gt;D191))+COUNTIFS($G$2:G191,"MPV",$D$2:D191,D191)-1)</f>
        <v/>
      </c>
      <c r="N191" s="62" t="str">
        <f>IF(OR(D191="",NOT(G191="SUV")),"",1+SUMPRODUCT(($G$2:$G$1001="SUV")*($D$2:$D$1001&gt;D191))+COUNTIFS($G$2:G191,"SUV",$D$2:D191,D191)-1)</f>
        <v/>
      </c>
      <c r="O191" s="62" t="str">
        <f>IF(OR(D191="",NOT(AND(F191=1,G191="轿车"))),"",1+SUMPRODUCT(($F$2:$F$1001=1)*($G$2:$G$1001="轿车")*($D$2:$D$1001&gt;D191))+COUNTIFS($F$2:F191,1,$G$2:G191,"轿车",$D$2:D191,D191)-1)</f>
        <v/>
      </c>
      <c r="P191" s="62" t="str">
        <f>IF(OR(D191="",NOT(AND(F191=1,G191="MPV"))),"",1+SUMPRODUCT(($F$2:$F$1001=1)*($G$2:$G$1001="MPV")*($D$2:$D$1001&gt;D191))+COUNTIFS($F$2:F191,1,$G$2:G191,"MPV",$D$2:D191,D191)-1)</f>
        <v/>
      </c>
      <c r="Q191" s="62" t="str">
        <f>IF(OR(D191="",NOT(AND(F191=1,G191="SUV"))),"",1+SUMPRODUCT(($F$2:$F$1001=1)*($G$2:$G$1001="SUV")*($D$2:$D$1001&gt;D191))+COUNTIFS($F$2:F191,1,$G$2:G191,"SUV",$D$2:D191,D191)-1)</f>
        <v/>
      </c>
    </row>
    <row r="192" spans="1:17">
      <c r="A192" s="62" t="str">
        <f>IFERROR(INDEX($H$2:$H$3000,MATCH(0,INDEX(COUNTIF($A$1:A191,$H$2:$H$3000)+($H$2:$H$3000=""),0,0),0)),"")</f>
        <v>MASERATI♦GRANTURISMO</v>
      </c>
      <c r="B192" s="62" t="str">
        <f t="shared" si="8"/>
        <v>MASERATI</v>
      </c>
      <c r="C192" s="62" t="str">
        <f t="shared" si="9"/>
        <v>GRANTURISMO</v>
      </c>
      <c r="D192" s="63">
        <f t="shared" si="10"/>
        <v>3</v>
      </c>
      <c r="E192" s="62">
        <f>IF(D192="","",_xlfn.RANK.EQ(D192,$D$2:$D$1001,0)+COUNTIF($D$2:D192,D192)-1)</f>
        <v>189</v>
      </c>
      <c r="F192" s="62">
        <f>IF(B192="","",--(COUNTIF(CN_Brands!$A$2:$A$300,UPPER(B192))&gt;0))</f>
        <v>0</v>
      </c>
      <c r="G192" s="62" t="str">
        <f t="shared" si="11"/>
        <v>轿车</v>
      </c>
      <c r="H192" s="62" t="str">
        <f>IF(AND('Data Export'!A192=前十整体车型排名!$B$2,'Data Export'!B192=前十整体车型排名!$B$3,'Data Export'!D192&lt;&gt;""),UPPER('Data Export'!C192)&amp;"♦"&amp;'Data Export'!D192,"")</f>
        <v>BYD♦SEAL</v>
      </c>
      <c r="I192" s="63">
        <f>IF(H192="","",IFERROR(INDEX('Data Export'!G192:CZ192,1,MATCH(前十整体车型排名!$B$4,'Data Export'!$G$1:$CZ$1,0)),0))</f>
        <v>0</v>
      </c>
      <c r="J192" s="62" t="str">
        <f>IF(H192="","",IF(OR('Data Export'!F192="三厢轿车",'Data Export'!F192="掀背轿车",'Data Export'!F192="旅行车",'Data Export'!F192="微型车",'Data Export'!F192="硬顶跑车",'Data Export'!F192="敞蓬车",'Data Export'!F192="Targa"),"轿车",IF(OR('Data Export'!F192="小型MPV",'Data Export'!F192="客车"),"MPV",IF('Data Export'!F192="运动型多功能车","SUV","其他"))))</f>
        <v>轿车</v>
      </c>
      <c r="K192" s="62" t="str">
        <f>IF(OR(D192="",NOT(F192=1)),"",1+SUMPRODUCT(($F$2:$F$1001=1)*($D$2:$D$1001&gt;D192))+COUNTIFS($F$2:F192,1,$D$2:D192,D192)-1)</f>
        <v/>
      </c>
      <c r="L192" s="62">
        <f>IF(OR(D192="",NOT(G192="轿车")),"",1+SUMPRODUCT(($G$2:$G$1001="轿车")*($D$2:$D$1001&gt;D192))+COUNTIFS($G$2:G192,"轿车",$D$2:D192,D192)-1)</f>
        <v>50</v>
      </c>
      <c r="M192" s="62" t="str">
        <f>IF(OR(D192="",NOT(G192="MPV")),"",1+SUMPRODUCT(($G$2:$G$1001="MPV")*($D$2:$D$1001&gt;D192))+COUNTIFS($G$2:G192,"MPV",$D$2:D192,D192)-1)</f>
        <v/>
      </c>
      <c r="N192" s="62" t="str">
        <f>IF(OR(D192="",NOT(G192="SUV")),"",1+SUMPRODUCT(($G$2:$G$1001="SUV")*($D$2:$D$1001&gt;D192))+COUNTIFS($G$2:G192,"SUV",$D$2:D192,D192)-1)</f>
        <v/>
      </c>
      <c r="O192" s="62" t="str">
        <f>IF(OR(D192="",NOT(AND(F192=1,G192="轿车"))),"",1+SUMPRODUCT(($F$2:$F$1001=1)*($G$2:$G$1001="轿车")*($D$2:$D$1001&gt;D192))+COUNTIFS($F$2:F192,1,$G$2:G192,"轿车",$D$2:D192,D192)-1)</f>
        <v/>
      </c>
      <c r="P192" s="62" t="str">
        <f>IF(OR(D192="",NOT(AND(F192=1,G192="MPV"))),"",1+SUMPRODUCT(($F$2:$F$1001=1)*($G$2:$G$1001="MPV")*($D$2:$D$1001&gt;D192))+COUNTIFS($F$2:F192,1,$G$2:G192,"MPV",$D$2:D192,D192)-1)</f>
        <v/>
      </c>
      <c r="Q192" s="62" t="str">
        <f>IF(OR(D192="",NOT(AND(F192=1,G192="SUV"))),"",1+SUMPRODUCT(($F$2:$F$1001=1)*($G$2:$G$1001="SUV")*($D$2:$D$1001&gt;D192))+COUNTIFS($F$2:F192,1,$G$2:G192,"SUV",$D$2:D192,D192)-1)</f>
        <v/>
      </c>
    </row>
    <row r="193" spans="1:17">
      <c r="A193" s="62" t="str">
        <f>IFERROR(INDEX($H$2:$H$3000,MATCH(0,INDEX(COUNTIF($A$1:A192,$H$2:$H$3000)+($H$2:$H$3000=""),0,0),0)),"")</f>
        <v>MASERATI♦GRECALE</v>
      </c>
      <c r="B193" s="62" t="str">
        <f t="shared" si="8"/>
        <v>MASERATI</v>
      </c>
      <c r="C193" s="62" t="str">
        <f t="shared" si="9"/>
        <v>GRECALE</v>
      </c>
      <c r="D193" s="63">
        <f t="shared" si="10"/>
        <v>3</v>
      </c>
      <c r="E193" s="62">
        <f>IF(D193="","",_xlfn.RANK.EQ(D193,$D$2:$D$1001,0)+COUNTIF($D$2:D193,D193)-1)</f>
        <v>190</v>
      </c>
      <c r="F193" s="62">
        <f>IF(B193="","",--(COUNTIF(CN_Brands!$A$2:$A$300,UPPER(B193))&gt;0))</f>
        <v>0</v>
      </c>
      <c r="G193" s="62" t="str">
        <f t="shared" si="11"/>
        <v>SUV</v>
      </c>
      <c r="H193" s="62" t="str">
        <f>IF(AND('Data Export'!A193=前十整体车型排名!$B$2,'Data Export'!B193=前十整体车型排名!$B$3,'Data Export'!D193&lt;&gt;""),UPPER('Data Export'!C193)&amp;"♦"&amp;'Data Export'!D193,"")</f>
        <v>BYD♦SEAL</v>
      </c>
      <c r="I193" s="63">
        <f>IF(H193="","",IFERROR(INDEX('Data Export'!G193:CZ193,1,MATCH(前十整体车型排名!$B$4,'Data Export'!$G$1:$CZ$1,0)),0))</f>
        <v>0</v>
      </c>
      <c r="J193" s="62" t="str">
        <f>IF(H193="","",IF(OR('Data Export'!F193="三厢轿车",'Data Export'!F193="掀背轿车",'Data Export'!F193="旅行车",'Data Export'!F193="微型车",'Data Export'!F193="硬顶跑车",'Data Export'!F193="敞蓬车",'Data Export'!F193="Targa"),"轿车",IF(OR('Data Export'!F193="小型MPV",'Data Export'!F193="客车"),"MPV",IF('Data Export'!F193="运动型多功能车","SUV","其他"))))</f>
        <v>轿车</v>
      </c>
      <c r="K193" s="62" t="str">
        <f>IF(OR(D193="",NOT(F193=1)),"",1+SUMPRODUCT(($F$2:$F$1001=1)*($D$2:$D$1001&gt;D193))+COUNTIFS($F$2:F193,1,$D$2:D193,D193)-1)</f>
        <v/>
      </c>
      <c r="L193" s="62" t="str">
        <f>IF(OR(D193="",NOT(G193="轿车")),"",1+SUMPRODUCT(($G$2:$G$1001="轿车")*($D$2:$D$1001&gt;D193))+COUNTIFS($G$2:G193,"轿车",$D$2:D193,D193)-1)</f>
        <v/>
      </c>
      <c r="M193" s="62" t="str">
        <f>IF(OR(D193="",NOT(G193="MPV")),"",1+SUMPRODUCT(($G$2:$G$1001="MPV")*($D$2:$D$1001&gt;D193))+COUNTIFS($G$2:G193,"MPV",$D$2:D193,D193)-1)</f>
        <v/>
      </c>
      <c r="N193" s="62">
        <f>IF(OR(D193="",NOT(G193="SUV")),"",1+SUMPRODUCT(($G$2:$G$1001="SUV")*($D$2:$D$1001&gt;D193))+COUNTIFS($G$2:G193,"SUV",$D$2:D193,D193)-1)</f>
        <v>106</v>
      </c>
      <c r="O193" s="62" t="str">
        <f>IF(OR(D193="",NOT(AND(F193=1,G193="轿车"))),"",1+SUMPRODUCT(($F$2:$F$1001=1)*($G$2:$G$1001="轿车")*($D$2:$D$1001&gt;D193))+COUNTIFS($F$2:F193,1,$G$2:G193,"轿车",$D$2:D193,D193)-1)</f>
        <v/>
      </c>
      <c r="P193" s="62" t="str">
        <f>IF(OR(D193="",NOT(AND(F193=1,G193="MPV"))),"",1+SUMPRODUCT(($F$2:$F$1001=1)*($G$2:$G$1001="MPV")*($D$2:$D$1001&gt;D193))+COUNTIFS($F$2:F193,1,$G$2:G193,"MPV",$D$2:D193,D193)-1)</f>
        <v/>
      </c>
      <c r="Q193" s="62" t="str">
        <f>IF(OR(D193="",NOT(AND(F193=1,G193="SUV"))),"",1+SUMPRODUCT(($F$2:$F$1001=1)*($G$2:$G$1001="SUV")*($D$2:$D$1001&gt;D193))+COUNTIFS($F$2:F193,1,$G$2:G193,"SUV",$D$2:D193,D193)-1)</f>
        <v/>
      </c>
    </row>
    <row r="194" spans="1:17">
      <c r="A194" s="62" t="str">
        <f>IFERROR(INDEX($H$2:$H$3000,MATCH(0,INDEX(COUNTIF($A$1:A193,$H$2:$H$3000)+($H$2:$H$3000=""),0,0),0)),"")</f>
        <v>MASERATI♦LEVANTE</v>
      </c>
      <c r="B194" s="62" t="str">
        <f t="shared" ref="B194:B257" si="12">IF(A194="","",LEFT(A194,FIND("♦",A194)-1))</f>
        <v>MASERATI</v>
      </c>
      <c r="C194" s="62" t="str">
        <f t="shared" ref="C194:C257" si="13">IF(A194="","",MID(A194,FIND("♦",A194)+1,999))</f>
        <v>LEVANTE</v>
      </c>
      <c r="D194" s="63">
        <f t="shared" ref="D194:D257" si="14">IF(A194="","",SUMIF($H$2:$H$3000,A194,$I$2:$I$3000))</f>
        <v>0</v>
      </c>
      <c r="E194" s="62">
        <f>IF(D194="","",_xlfn.RANK.EQ(D194,$D$2:$D$1001,0)+COUNTIF($D$2:D194,D194)-1)</f>
        <v>334</v>
      </c>
      <c r="F194" s="62">
        <f>IF(B194="","",--(COUNTIF(CN_Brands!$A$2:$A$300,UPPER(B194))&gt;0))</f>
        <v>0</v>
      </c>
      <c r="G194" s="62" t="str">
        <f t="shared" ref="G194:G257" si="15">IF(A194="","",IFERROR(INDEX($J$2:$J$3000,MATCH(A194,$H$2:$H$3000,0)),"其他"))</f>
        <v>SUV</v>
      </c>
      <c r="H194" s="62" t="str">
        <f>IF(AND('Data Export'!A194=前十整体车型排名!$B$2,'Data Export'!B194=前十整体车型排名!$B$3,'Data Export'!D194&lt;&gt;""),UPPER('Data Export'!C194)&amp;"♦"&amp;'Data Export'!D194,"")</f>
        <v>BYD♦SEAL 5</v>
      </c>
      <c r="I194" s="63">
        <f>IF(H194="","",IFERROR(INDEX('Data Export'!G194:CZ194,1,MATCH(前十整体车型排名!$B$4,'Data Export'!$G$1:$CZ$1,0)),0))</f>
        <v>24</v>
      </c>
      <c r="J194" s="62" t="str">
        <f>IF(H194="","",IF(OR('Data Export'!F194="三厢轿车",'Data Export'!F194="掀背轿车",'Data Export'!F194="旅行车",'Data Export'!F194="微型车",'Data Export'!F194="硬顶跑车",'Data Export'!F194="敞蓬车",'Data Export'!F194="Targa"),"轿车",IF(OR('Data Export'!F194="小型MPV",'Data Export'!F194="客车"),"MPV",IF('Data Export'!F194="运动型多功能车","SUV","其他"))))</f>
        <v>轿车</v>
      </c>
      <c r="K194" s="62" t="str">
        <f>IF(OR(D194="",NOT(F194=1)),"",1+SUMPRODUCT(($F$2:$F$1001=1)*($D$2:$D$1001&gt;D194))+COUNTIFS($F$2:F194,1,$D$2:D194,D194)-1)</f>
        <v/>
      </c>
      <c r="L194" s="62" t="str">
        <f>IF(OR(D194="",NOT(G194="轿车")),"",1+SUMPRODUCT(($G$2:$G$1001="轿车")*($D$2:$D$1001&gt;D194))+COUNTIFS($G$2:G194,"轿车",$D$2:D194,D194)-1)</f>
        <v/>
      </c>
      <c r="M194" s="62" t="str">
        <f>IF(OR(D194="",NOT(G194="MPV")),"",1+SUMPRODUCT(($G$2:$G$1001="MPV")*($D$2:$D$1001&gt;D194))+COUNTIFS($G$2:G194,"MPV",$D$2:D194,D194)-1)</f>
        <v/>
      </c>
      <c r="N194" s="62">
        <f>IF(OR(D194="",NOT(G194="SUV")),"",1+SUMPRODUCT(($G$2:$G$1001="SUV")*($D$2:$D$1001&gt;D194))+COUNTIFS($G$2:G194,"SUV",$D$2:D194,D194)-1)</f>
        <v>149</v>
      </c>
      <c r="O194" s="62" t="str">
        <f>IF(OR(D194="",NOT(AND(F194=1,G194="轿车"))),"",1+SUMPRODUCT(($F$2:$F$1001=1)*($G$2:$G$1001="轿车")*($D$2:$D$1001&gt;D194))+COUNTIFS($F$2:F194,1,$G$2:G194,"轿车",$D$2:D194,D194)-1)</f>
        <v/>
      </c>
      <c r="P194" s="62" t="str">
        <f>IF(OR(D194="",NOT(AND(F194=1,G194="MPV"))),"",1+SUMPRODUCT(($F$2:$F$1001=1)*($G$2:$G$1001="MPV")*($D$2:$D$1001&gt;D194))+COUNTIFS($F$2:F194,1,$G$2:G194,"MPV",$D$2:D194,D194)-1)</f>
        <v/>
      </c>
      <c r="Q194" s="62" t="str">
        <f>IF(OR(D194="",NOT(AND(F194=1,G194="SUV"))),"",1+SUMPRODUCT(($F$2:$F$1001=1)*($G$2:$G$1001="SUV")*($D$2:$D$1001&gt;D194))+COUNTIFS($F$2:F194,1,$G$2:G194,"SUV",$D$2:D194,D194)-1)</f>
        <v/>
      </c>
    </row>
    <row r="195" spans="1:17">
      <c r="A195" s="62" t="str">
        <f>IFERROR(INDEX($H$2:$H$3000,MATCH(0,INDEX(COUNTIF($A$1:A194,$H$2:$H$3000)+($H$2:$H$3000=""),0,0),0)),"")</f>
        <v>MASERATI♦MC20</v>
      </c>
      <c r="B195" s="62" t="str">
        <f t="shared" si="12"/>
        <v>MASERATI</v>
      </c>
      <c r="C195" s="62" t="str">
        <f t="shared" si="13"/>
        <v>MC20</v>
      </c>
      <c r="D195" s="63">
        <f t="shared" si="14"/>
        <v>1</v>
      </c>
      <c r="E195" s="62">
        <f>IF(D195="","",_xlfn.RANK.EQ(D195,$D$2:$D$1001,0)+COUNTIF($D$2:D195,D195)-1)</f>
        <v>241</v>
      </c>
      <c r="F195" s="62">
        <f>IF(B195="","",--(COUNTIF(CN_Brands!$A$2:$A$300,UPPER(B195))&gt;0))</f>
        <v>0</v>
      </c>
      <c r="G195" s="62" t="str">
        <f t="shared" si="15"/>
        <v>其他</v>
      </c>
      <c r="H195" s="62" t="str">
        <f>IF(AND('Data Export'!A195=前十整体车型排名!$B$2,'Data Export'!B195=前十整体车型排名!$B$3,'Data Export'!D195&lt;&gt;""),UPPER('Data Export'!C195)&amp;"♦"&amp;'Data Export'!D195,"")</f>
        <v>BYD♦SEAL 5</v>
      </c>
      <c r="I195" s="63">
        <f>IF(H195="","",IFERROR(INDEX('Data Export'!G195:CZ195,1,MATCH(前十整体车型排名!$B$4,'Data Export'!$G$1:$CZ$1,0)),0))</f>
        <v>74</v>
      </c>
      <c r="J195" s="62" t="str">
        <f>IF(H195="","",IF(OR('Data Export'!F195="三厢轿车",'Data Export'!F195="掀背轿车",'Data Export'!F195="旅行车",'Data Export'!F195="微型车",'Data Export'!F195="硬顶跑车",'Data Export'!F195="敞蓬车",'Data Export'!F195="Targa"),"轿车",IF(OR('Data Export'!F195="小型MPV",'Data Export'!F195="客车"),"MPV",IF('Data Export'!F195="运动型多功能车","SUV","其他"))))</f>
        <v>轿车</v>
      </c>
      <c r="K195" s="62" t="str">
        <f>IF(OR(D195="",NOT(F195=1)),"",1+SUMPRODUCT(($F$2:$F$1001=1)*($D$2:$D$1001&gt;D195))+COUNTIFS($F$2:F195,1,$D$2:D195,D195)-1)</f>
        <v/>
      </c>
      <c r="L195" s="62" t="str">
        <f>IF(OR(D195="",NOT(G195="轿车")),"",1+SUMPRODUCT(($G$2:$G$1001="轿车")*($D$2:$D$1001&gt;D195))+COUNTIFS($G$2:G195,"轿车",$D$2:D195,D195)-1)</f>
        <v/>
      </c>
      <c r="M195" s="62" t="str">
        <f>IF(OR(D195="",NOT(G195="MPV")),"",1+SUMPRODUCT(($G$2:$G$1001="MPV")*($D$2:$D$1001&gt;D195))+COUNTIFS($G$2:G195,"MPV",$D$2:D195,D195)-1)</f>
        <v/>
      </c>
      <c r="N195" s="62" t="str">
        <f>IF(OR(D195="",NOT(G195="SUV")),"",1+SUMPRODUCT(($G$2:$G$1001="SUV")*($D$2:$D$1001&gt;D195))+COUNTIFS($G$2:G195,"SUV",$D$2:D195,D195)-1)</f>
        <v/>
      </c>
      <c r="O195" s="62" t="str">
        <f>IF(OR(D195="",NOT(AND(F195=1,G195="轿车"))),"",1+SUMPRODUCT(($F$2:$F$1001=1)*($G$2:$G$1001="轿车")*($D$2:$D$1001&gt;D195))+COUNTIFS($F$2:F195,1,$G$2:G195,"轿车",$D$2:D195,D195)-1)</f>
        <v/>
      </c>
      <c r="P195" s="62" t="str">
        <f>IF(OR(D195="",NOT(AND(F195=1,G195="MPV"))),"",1+SUMPRODUCT(($F$2:$F$1001=1)*($G$2:$G$1001="MPV")*($D$2:$D$1001&gt;D195))+COUNTIFS($F$2:F195,1,$G$2:G195,"MPV",$D$2:D195,D195)-1)</f>
        <v/>
      </c>
      <c r="Q195" s="62" t="str">
        <f>IF(OR(D195="",NOT(AND(F195=1,G195="SUV"))),"",1+SUMPRODUCT(($F$2:$F$1001=1)*($G$2:$G$1001="SUV")*($D$2:$D$1001&gt;D195))+COUNTIFS($F$2:F195,1,$G$2:G195,"SUV",$D$2:D195,D195)-1)</f>
        <v/>
      </c>
    </row>
    <row r="196" spans="1:17">
      <c r="A196" s="62" t="str">
        <f>IFERROR(INDEX($H$2:$H$3000,MATCH(0,INDEX(COUNTIF($A$1:A195,$H$2:$H$3000)+($H$2:$H$3000=""),0,0),0)),"")</f>
        <v>MASERATI♦QUATTROPORTE</v>
      </c>
      <c r="B196" s="62" t="str">
        <f t="shared" si="12"/>
        <v>MASERATI</v>
      </c>
      <c r="C196" s="62" t="str">
        <f t="shared" si="13"/>
        <v>QUATTROPORTE</v>
      </c>
      <c r="D196" s="63">
        <f t="shared" si="14"/>
        <v>0</v>
      </c>
      <c r="E196" s="62">
        <f>IF(D196="","",_xlfn.RANK.EQ(D196,$D$2:$D$1001,0)+COUNTIF($D$2:D196,D196)-1)</f>
        <v>335</v>
      </c>
      <c r="F196" s="62">
        <f>IF(B196="","",--(COUNTIF(CN_Brands!$A$2:$A$300,UPPER(B196))&gt;0))</f>
        <v>0</v>
      </c>
      <c r="G196" s="62" t="str">
        <f t="shared" si="15"/>
        <v>轿车</v>
      </c>
      <c r="H196" s="62" t="str">
        <f>IF(AND('Data Export'!A196=前十整体车型排名!$B$2,'Data Export'!B196=前十整体车型排名!$B$3,'Data Export'!D196&lt;&gt;""),UPPER('Data Export'!C196)&amp;"♦"&amp;'Data Export'!D196,"")</f>
        <v>BYD♦SEAL 5</v>
      </c>
      <c r="I196" s="63">
        <f>IF(H196="","",IFERROR(INDEX('Data Export'!G196:CZ196,1,MATCH(前十整体车型排名!$B$4,'Data Export'!$G$1:$CZ$1,0)),0))</f>
        <v>40</v>
      </c>
      <c r="J196" s="62" t="str">
        <f>IF(H196="","",IF(OR('Data Export'!F196="三厢轿车",'Data Export'!F196="掀背轿车",'Data Export'!F196="旅行车",'Data Export'!F196="微型车",'Data Export'!F196="硬顶跑车",'Data Export'!F196="敞蓬车",'Data Export'!F196="Targa"),"轿车",IF(OR('Data Export'!F196="小型MPV",'Data Export'!F196="客车"),"MPV",IF('Data Export'!F196="运动型多功能车","SUV","其他"))))</f>
        <v>轿车</v>
      </c>
      <c r="K196" s="62" t="str">
        <f>IF(OR(D196="",NOT(F196=1)),"",1+SUMPRODUCT(($F$2:$F$1001=1)*($D$2:$D$1001&gt;D196))+COUNTIFS($F$2:F196,1,$D$2:D196,D196)-1)</f>
        <v/>
      </c>
      <c r="L196" s="62">
        <f>IF(OR(D196="",NOT(G196="轿车")),"",1+SUMPRODUCT(($G$2:$G$1001="轿车")*($D$2:$D$1001&gt;D196))+COUNTIFS($G$2:G196,"轿车",$D$2:D196,D196)-1)</f>
        <v>112</v>
      </c>
      <c r="M196" s="62" t="str">
        <f>IF(OR(D196="",NOT(G196="MPV")),"",1+SUMPRODUCT(($G$2:$G$1001="MPV")*($D$2:$D$1001&gt;D196))+COUNTIFS($G$2:G196,"MPV",$D$2:D196,D196)-1)</f>
        <v/>
      </c>
      <c r="N196" s="62" t="str">
        <f>IF(OR(D196="",NOT(G196="SUV")),"",1+SUMPRODUCT(($G$2:$G$1001="SUV")*($D$2:$D$1001&gt;D196))+COUNTIFS($G$2:G196,"SUV",$D$2:D196,D196)-1)</f>
        <v/>
      </c>
      <c r="O196" s="62" t="str">
        <f>IF(OR(D196="",NOT(AND(F196=1,G196="轿车"))),"",1+SUMPRODUCT(($F$2:$F$1001=1)*($G$2:$G$1001="轿车")*($D$2:$D$1001&gt;D196))+COUNTIFS($F$2:F196,1,$G$2:G196,"轿车",$D$2:D196,D196)-1)</f>
        <v/>
      </c>
      <c r="P196" s="62" t="str">
        <f>IF(OR(D196="",NOT(AND(F196=1,G196="MPV"))),"",1+SUMPRODUCT(($F$2:$F$1001=1)*($G$2:$G$1001="MPV")*($D$2:$D$1001&gt;D196))+COUNTIFS($F$2:F196,1,$G$2:G196,"MPV",$D$2:D196,D196)-1)</f>
        <v/>
      </c>
      <c r="Q196" s="62" t="str">
        <f>IF(OR(D196="",NOT(AND(F196=1,G196="SUV"))),"",1+SUMPRODUCT(($F$2:$F$1001=1)*($G$2:$G$1001="SUV")*($D$2:$D$1001&gt;D196))+COUNTIFS($F$2:F196,1,$G$2:G196,"SUV",$D$2:D196,D196)-1)</f>
        <v/>
      </c>
    </row>
    <row r="197" spans="1:17">
      <c r="A197" s="62" t="str">
        <f>IFERROR(INDEX($H$2:$H$3000,MATCH(0,INDEX(COUNTIF($A$1:A196,$H$2:$H$3000)+($H$2:$H$3000=""),0,0),0)),"")</f>
        <v>MAXUS♦MIFA 7</v>
      </c>
      <c r="B197" s="62" t="str">
        <f t="shared" si="12"/>
        <v>MAXUS</v>
      </c>
      <c r="C197" s="62" t="str">
        <f t="shared" si="13"/>
        <v>MIFA 7</v>
      </c>
      <c r="D197" s="63">
        <f t="shared" si="14"/>
        <v>0</v>
      </c>
      <c r="E197" s="62">
        <f>IF(D197="","",_xlfn.RANK.EQ(D197,$D$2:$D$1001,0)+COUNTIF($D$2:D197,D197)-1)</f>
        <v>336</v>
      </c>
      <c r="F197" s="62">
        <f>IF(B197="","",--(COUNTIF(CN_Brands!$A$2:$A$300,UPPER(B197))&gt;0))</f>
        <v>1</v>
      </c>
      <c r="G197" s="62" t="str">
        <f t="shared" si="15"/>
        <v>其他</v>
      </c>
      <c r="H197" s="62" t="str">
        <f>IF(AND('Data Export'!A197=前十整体车型排名!$B$2,'Data Export'!B197=前十整体车型排名!$B$3,'Data Export'!D197&lt;&gt;""),UPPER('Data Export'!C197)&amp;"♦"&amp;'Data Export'!D197,"")</f>
        <v>BYD♦SEAL 6</v>
      </c>
      <c r="I197" s="63">
        <f>IF(H197="","",IFERROR(INDEX('Data Export'!G197:CZ197,1,MATCH(前十整体车型排名!$B$4,'Data Export'!$G$1:$CZ$1,0)),0))</f>
        <v>5</v>
      </c>
      <c r="J197" s="62" t="str">
        <f>IF(H197="","",IF(OR('Data Export'!F197="三厢轿车",'Data Export'!F197="掀背轿车",'Data Export'!F197="旅行车",'Data Export'!F197="微型车",'Data Export'!F197="硬顶跑车",'Data Export'!F197="敞蓬车",'Data Export'!F197="Targa"),"轿车",IF(OR('Data Export'!F197="小型MPV",'Data Export'!F197="客车"),"MPV",IF('Data Export'!F197="运动型多功能车","SUV","其他"))))</f>
        <v>轿车</v>
      </c>
      <c r="K197" s="62">
        <f>IF(OR(D197="",NOT(F197=1)),"",1+SUMPRODUCT(($F$2:$F$1001=1)*($D$2:$D$1001&gt;D197))+COUNTIFS($F$2:F197,1,$D$2:D197,D197)-1)</f>
        <v>72</v>
      </c>
      <c r="L197" s="62" t="str">
        <f>IF(OR(D197="",NOT(G197="轿车")),"",1+SUMPRODUCT(($G$2:$G$1001="轿车")*($D$2:$D$1001&gt;D197))+COUNTIFS($G$2:G197,"轿车",$D$2:D197,D197)-1)</f>
        <v/>
      </c>
      <c r="M197" s="62" t="str">
        <f>IF(OR(D197="",NOT(G197="MPV")),"",1+SUMPRODUCT(($G$2:$G$1001="MPV")*($D$2:$D$1001&gt;D197))+COUNTIFS($G$2:G197,"MPV",$D$2:D197,D197)-1)</f>
        <v/>
      </c>
      <c r="N197" s="62" t="str">
        <f>IF(OR(D197="",NOT(G197="SUV")),"",1+SUMPRODUCT(($G$2:$G$1001="SUV")*($D$2:$D$1001&gt;D197))+COUNTIFS($G$2:G197,"SUV",$D$2:D197,D197)-1)</f>
        <v/>
      </c>
      <c r="O197" s="62" t="str">
        <f>IF(OR(D197="",NOT(AND(F197=1,G197="轿车"))),"",1+SUMPRODUCT(($F$2:$F$1001=1)*($G$2:$G$1001="轿车")*($D$2:$D$1001&gt;D197))+COUNTIFS($F$2:F197,1,$G$2:G197,"轿车",$D$2:D197,D197)-1)</f>
        <v/>
      </c>
      <c r="P197" s="62" t="str">
        <f>IF(OR(D197="",NOT(AND(F197=1,G197="MPV"))),"",1+SUMPRODUCT(($F$2:$F$1001=1)*($G$2:$G$1001="MPV")*($D$2:$D$1001&gt;D197))+COUNTIFS($F$2:F197,1,$G$2:G197,"MPV",$D$2:D197,D197)-1)</f>
        <v/>
      </c>
      <c r="Q197" s="62" t="str">
        <f>IF(OR(D197="",NOT(AND(F197=1,G197="SUV"))),"",1+SUMPRODUCT(($F$2:$F$1001=1)*($G$2:$G$1001="SUV")*($D$2:$D$1001&gt;D197))+COUNTIFS($F$2:F197,1,$G$2:G197,"SUV",$D$2:D197,D197)-1)</f>
        <v/>
      </c>
    </row>
    <row r="198" spans="1:17">
      <c r="A198" s="62" t="str">
        <f>IFERROR(INDEX($H$2:$H$3000,MATCH(0,INDEX(COUNTIF($A$1:A197,$H$2:$H$3000)+($H$2:$H$3000=""),0,0),0)),"")</f>
        <v>MAZDA♦CX-3</v>
      </c>
      <c r="B198" s="62" t="str">
        <f t="shared" si="12"/>
        <v>MAZDA</v>
      </c>
      <c r="C198" s="62" t="str">
        <f t="shared" si="13"/>
        <v>CX-3</v>
      </c>
      <c r="D198" s="63">
        <f t="shared" si="14"/>
        <v>56</v>
      </c>
      <c r="E198" s="62">
        <f>IF(D198="","",_xlfn.RANK.EQ(D198,$D$2:$D$1001,0)+COUNTIF($D$2:D198,D198)-1)</f>
        <v>93</v>
      </c>
      <c r="F198" s="62">
        <f>IF(B198="","",--(COUNTIF(CN_Brands!$A$2:$A$300,UPPER(B198))&gt;0))</f>
        <v>0</v>
      </c>
      <c r="G198" s="62" t="str">
        <f t="shared" si="15"/>
        <v>SUV</v>
      </c>
      <c r="H198" s="62" t="str">
        <f>IF(AND('Data Export'!A198=前十整体车型排名!$B$2,'Data Export'!B198=前十整体车型排名!$B$3,'Data Export'!D198&lt;&gt;""),UPPER('Data Export'!C198)&amp;"♦"&amp;'Data Export'!D198,"")</f>
        <v>BYD♦SEAL 6</v>
      </c>
      <c r="I198" s="63">
        <f>IF(H198="","",IFERROR(INDEX('Data Export'!G198:CZ198,1,MATCH(前十整体车型排名!$B$4,'Data Export'!$G$1:$CZ$1,0)),0))</f>
        <v>31</v>
      </c>
      <c r="J198" s="62" t="str">
        <f>IF(H198="","",IF(OR('Data Export'!F198="三厢轿车",'Data Export'!F198="掀背轿车",'Data Export'!F198="旅行车",'Data Export'!F198="微型车",'Data Export'!F198="硬顶跑车",'Data Export'!F198="敞蓬车",'Data Export'!F198="Targa"),"轿车",IF(OR('Data Export'!F198="小型MPV",'Data Export'!F198="客车"),"MPV",IF('Data Export'!F198="运动型多功能车","SUV","其他"))))</f>
        <v>轿车</v>
      </c>
      <c r="K198" s="62" t="str">
        <f>IF(OR(D198="",NOT(F198=1)),"",1+SUMPRODUCT(($F$2:$F$1001=1)*($D$2:$D$1001&gt;D198))+COUNTIFS($F$2:F198,1,$D$2:D198,D198)-1)</f>
        <v/>
      </c>
      <c r="L198" s="62" t="str">
        <f>IF(OR(D198="",NOT(G198="轿车")),"",1+SUMPRODUCT(($G$2:$G$1001="轿车")*($D$2:$D$1001&gt;D198))+COUNTIFS($G$2:G198,"轿车",$D$2:D198,D198)-1)</f>
        <v/>
      </c>
      <c r="M198" s="62" t="str">
        <f>IF(OR(D198="",NOT(G198="MPV")),"",1+SUMPRODUCT(($G$2:$G$1001="MPV")*($D$2:$D$1001&gt;D198))+COUNTIFS($G$2:G198,"MPV",$D$2:D198,D198)-1)</f>
        <v/>
      </c>
      <c r="N198" s="62">
        <f>IF(OR(D198="",NOT(G198="SUV")),"",1+SUMPRODUCT(($G$2:$G$1001="SUV")*($D$2:$D$1001&gt;D198))+COUNTIFS($G$2:G198,"SUV",$D$2:D198,D198)-1)</f>
        <v>47</v>
      </c>
      <c r="O198" s="62" t="str">
        <f>IF(OR(D198="",NOT(AND(F198=1,G198="轿车"))),"",1+SUMPRODUCT(($F$2:$F$1001=1)*($G$2:$G$1001="轿车")*($D$2:$D$1001&gt;D198))+COUNTIFS($F$2:F198,1,$G$2:G198,"轿车",$D$2:D198,D198)-1)</f>
        <v/>
      </c>
      <c r="P198" s="62" t="str">
        <f>IF(OR(D198="",NOT(AND(F198=1,G198="MPV"))),"",1+SUMPRODUCT(($F$2:$F$1001=1)*($G$2:$G$1001="MPV")*($D$2:$D$1001&gt;D198))+COUNTIFS($F$2:F198,1,$G$2:G198,"MPV",$D$2:D198,D198)-1)</f>
        <v/>
      </c>
      <c r="Q198" s="62" t="str">
        <f>IF(OR(D198="",NOT(AND(F198=1,G198="SUV"))),"",1+SUMPRODUCT(($F$2:$F$1001=1)*($G$2:$G$1001="SUV")*($D$2:$D$1001&gt;D198))+COUNTIFS($F$2:F198,1,$G$2:G198,"SUV",$D$2:D198,D198)-1)</f>
        <v/>
      </c>
    </row>
    <row r="199" spans="1:17">
      <c r="A199" s="62" t="str">
        <f>IFERROR(INDEX($H$2:$H$3000,MATCH(0,INDEX(COUNTIF($A$1:A198,$H$2:$H$3000)+($H$2:$H$3000=""),0,0),0)),"")</f>
        <v>MAZDA♦CX-30</v>
      </c>
      <c r="B199" s="62" t="str">
        <f t="shared" si="12"/>
        <v>MAZDA</v>
      </c>
      <c r="C199" s="62" t="str">
        <f t="shared" si="13"/>
        <v>CX-30</v>
      </c>
      <c r="D199" s="63">
        <f t="shared" si="14"/>
        <v>88</v>
      </c>
      <c r="E199" s="62">
        <f>IF(D199="","",_xlfn.RANK.EQ(D199,$D$2:$D$1001,0)+COUNTIF($D$2:D199,D199)-1)</f>
        <v>78</v>
      </c>
      <c r="F199" s="62">
        <f>IF(B199="","",--(COUNTIF(CN_Brands!$A$2:$A$300,UPPER(B199))&gt;0))</f>
        <v>0</v>
      </c>
      <c r="G199" s="62" t="str">
        <f t="shared" si="15"/>
        <v>SUV</v>
      </c>
      <c r="H199" s="62" t="str">
        <f>IF(AND('Data Export'!A199=前十整体车型排名!$B$2,'Data Export'!B199=前十整体车型排名!$B$3,'Data Export'!D199&lt;&gt;""),UPPER('Data Export'!C199)&amp;"♦"&amp;'Data Export'!D199,"")</f>
        <v>BYD♦SEALION 5</v>
      </c>
      <c r="I199" s="63">
        <f>IF(H199="","",IFERROR(INDEX('Data Export'!G199:CZ199,1,MATCH(前十整体车型排名!$B$4,'Data Export'!$G$1:$CZ$1,0)),0))</f>
        <v>9</v>
      </c>
      <c r="J199" s="62" t="str">
        <f>IF(H199="","",IF(OR('Data Export'!F199="三厢轿车",'Data Export'!F199="掀背轿车",'Data Export'!F199="旅行车",'Data Export'!F199="微型车",'Data Export'!F199="硬顶跑车",'Data Export'!F199="敞蓬车",'Data Export'!F199="Targa"),"轿车",IF(OR('Data Export'!F199="小型MPV",'Data Export'!F199="客车"),"MPV",IF('Data Export'!F199="运动型多功能车","SUV","其他"))))</f>
        <v>SUV</v>
      </c>
      <c r="K199" s="62" t="str">
        <f>IF(OR(D199="",NOT(F199=1)),"",1+SUMPRODUCT(($F$2:$F$1001=1)*($D$2:$D$1001&gt;D199))+COUNTIFS($F$2:F199,1,$D$2:D199,D199)-1)</f>
        <v/>
      </c>
      <c r="L199" s="62" t="str">
        <f>IF(OR(D199="",NOT(G199="轿车")),"",1+SUMPRODUCT(($G$2:$G$1001="轿车")*($D$2:$D$1001&gt;D199))+COUNTIFS($G$2:G199,"轿车",$D$2:D199,D199)-1)</f>
        <v/>
      </c>
      <c r="M199" s="62" t="str">
        <f>IF(OR(D199="",NOT(G199="MPV")),"",1+SUMPRODUCT(($G$2:$G$1001="MPV")*($D$2:$D$1001&gt;D199))+COUNTIFS($G$2:G199,"MPV",$D$2:D199,D199)-1)</f>
        <v/>
      </c>
      <c r="N199" s="62">
        <f>IF(OR(D199="",NOT(G199="SUV")),"",1+SUMPRODUCT(($G$2:$G$1001="SUV")*($D$2:$D$1001&gt;D199))+COUNTIFS($G$2:G199,"SUV",$D$2:D199,D199)-1)</f>
        <v>41</v>
      </c>
      <c r="O199" s="62" t="str">
        <f>IF(OR(D199="",NOT(AND(F199=1,G199="轿车"))),"",1+SUMPRODUCT(($F$2:$F$1001=1)*($G$2:$G$1001="轿车")*($D$2:$D$1001&gt;D199))+COUNTIFS($F$2:F199,1,$G$2:G199,"轿车",$D$2:D199,D199)-1)</f>
        <v/>
      </c>
      <c r="P199" s="62" t="str">
        <f>IF(OR(D199="",NOT(AND(F199=1,G199="MPV"))),"",1+SUMPRODUCT(($F$2:$F$1001=1)*($G$2:$G$1001="MPV")*($D$2:$D$1001&gt;D199))+COUNTIFS($F$2:F199,1,$G$2:G199,"MPV",$D$2:D199,D199)-1)</f>
        <v/>
      </c>
      <c r="Q199" s="62" t="str">
        <f>IF(OR(D199="",NOT(AND(F199=1,G199="SUV"))),"",1+SUMPRODUCT(($F$2:$F$1001=1)*($G$2:$G$1001="SUV")*($D$2:$D$1001&gt;D199))+COUNTIFS($F$2:F199,1,$G$2:G199,"SUV",$D$2:D199,D199)-1)</f>
        <v/>
      </c>
    </row>
    <row r="200" spans="1:17">
      <c r="A200" s="62" t="str">
        <f>IFERROR(INDEX($H$2:$H$3000,MATCH(0,INDEX(COUNTIF($A$1:A199,$H$2:$H$3000)+($H$2:$H$3000=""),0,0),0)),"")</f>
        <v>MAZDA♦CX-5</v>
      </c>
      <c r="B200" s="62" t="str">
        <f t="shared" si="12"/>
        <v>MAZDA</v>
      </c>
      <c r="C200" s="62" t="str">
        <f t="shared" si="13"/>
        <v>CX-5</v>
      </c>
      <c r="D200" s="63">
        <f t="shared" si="14"/>
        <v>44</v>
      </c>
      <c r="E200" s="62">
        <f>IF(D200="","",_xlfn.RANK.EQ(D200,$D$2:$D$1001,0)+COUNTIF($D$2:D200,D200)-1)</f>
        <v>99</v>
      </c>
      <c r="F200" s="62">
        <f>IF(B200="","",--(COUNTIF(CN_Brands!$A$2:$A$300,UPPER(B200))&gt;0))</f>
        <v>0</v>
      </c>
      <c r="G200" s="62" t="str">
        <f t="shared" si="15"/>
        <v>SUV</v>
      </c>
      <c r="H200" s="62" t="str">
        <f>IF(AND('Data Export'!A200=前十整体车型排名!$B$2,'Data Export'!B200=前十整体车型排名!$B$3,'Data Export'!D200&lt;&gt;""),UPPER('Data Export'!C200)&amp;"♦"&amp;'Data Export'!D200,"")</f>
        <v>BYD♦SEALION 5</v>
      </c>
      <c r="I200" s="63">
        <f>IF(H200="","",IFERROR(INDEX('Data Export'!G200:CZ200,1,MATCH(前十整体车型排名!$B$4,'Data Export'!$G$1:$CZ$1,0)),0))</f>
        <v>258</v>
      </c>
      <c r="J200" s="62" t="str">
        <f>IF(H200="","",IF(OR('Data Export'!F200="三厢轿车",'Data Export'!F200="掀背轿车",'Data Export'!F200="旅行车",'Data Export'!F200="微型车",'Data Export'!F200="硬顶跑车",'Data Export'!F200="敞蓬车",'Data Export'!F200="Targa"),"轿车",IF(OR('Data Export'!F200="小型MPV",'Data Export'!F200="客车"),"MPV",IF('Data Export'!F200="运动型多功能车","SUV","其他"))))</f>
        <v>SUV</v>
      </c>
      <c r="K200" s="62" t="str">
        <f>IF(OR(D200="",NOT(F200=1)),"",1+SUMPRODUCT(($F$2:$F$1001=1)*($D$2:$D$1001&gt;D200))+COUNTIFS($F$2:F200,1,$D$2:D200,D200)-1)</f>
        <v/>
      </c>
      <c r="L200" s="62" t="str">
        <f>IF(OR(D200="",NOT(G200="轿车")),"",1+SUMPRODUCT(($G$2:$G$1001="轿车")*($D$2:$D$1001&gt;D200))+COUNTIFS($G$2:G200,"轿车",$D$2:D200,D200)-1)</f>
        <v/>
      </c>
      <c r="M200" s="62" t="str">
        <f>IF(OR(D200="",NOT(G200="MPV")),"",1+SUMPRODUCT(($G$2:$G$1001="MPV")*($D$2:$D$1001&gt;D200))+COUNTIFS($G$2:G200,"MPV",$D$2:D200,D200)-1)</f>
        <v/>
      </c>
      <c r="N200" s="62">
        <f>IF(OR(D200="",NOT(G200="SUV")),"",1+SUMPRODUCT(($G$2:$G$1001="SUV")*($D$2:$D$1001&gt;D200))+COUNTIFS($G$2:G200,"SUV",$D$2:D200,D200)-1)</f>
        <v>51</v>
      </c>
      <c r="O200" s="62" t="str">
        <f>IF(OR(D200="",NOT(AND(F200=1,G200="轿车"))),"",1+SUMPRODUCT(($F$2:$F$1001=1)*($G$2:$G$1001="轿车")*($D$2:$D$1001&gt;D200))+COUNTIFS($F$2:F200,1,$G$2:G200,"轿车",$D$2:D200,D200)-1)</f>
        <v/>
      </c>
      <c r="P200" s="62" t="str">
        <f>IF(OR(D200="",NOT(AND(F200=1,G200="MPV"))),"",1+SUMPRODUCT(($F$2:$F$1001=1)*($G$2:$G$1001="MPV")*($D$2:$D$1001&gt;D200))+COUNTIFS($F$2:F200,1,$G$2:G200,"MPV",$D$2:D200,D200)-1)</f>
        <v/>
      </c>
      <c r="Q200" s="62" t="str">
        <f>IF(OR(D200="",NOT(AND(F200=1,G200="SUV"))),"",1+SUMPRODUCT(($F$2:$F$1001=1)*($G$2:$G$1001="SUV")*($D$2:$D$1001&gt;D200))+COUNTIFS($F$2:F200,1,$G$2:G200,"SUV",$D$2:D200,D200)-1)</f>
        <v/>
      </c>
    </row>
    <row r="201" spans="1:17">
      <c r="A201" s="62" t="str">
        <f>IFERROR(INDEX($H$2:$H$3000,MATCH(0,INDEX(COUNTIF($A$1:A200,$H$2:$H$3000)+($H$2:$H$3000=""),0,0),0)),"")</f>
        <v>MAZDA♦CX-8</v>
      </c>
      <c r="B201" s="62" t="str">
        <f t="shared" si="12"/>
        <v>MAZDA</v>
      </c>
      <c r="C201" s="62" t="str">
        <f t="shared" si="13"/>
        <v>CX-8</v>
      </c>
      <c r="D201" s="63">
        <f t="shared" si="14"/>
        <v>8</v>
      </c>
      <c r="E201" s="62">
        <f>IF(D201="","",_xlfn.RANK.EQ(D201,$D$2:$D$1001,0)+COUNTIF($D$2:D201,D201)-1)</f>
        <v>153</v>
      </c>
      <c r="F201" s="62">
        <f>IF(B201="","",--(COUNTIF(CN_Brands!$A$2:$A$300,UPPER(B201))&gt;0))</f>
        <v>0</v>
      </c>
      <c r="G201" s="62" t="str">
        <f t="shared" si="15"/>
        <v>SUV</v>
      </c>
      <c r="H201" s="62" t="str">
        <f>IF(AND('Data Export'!A201=前十整体车型排名!$B$2,'Data Export'!B201=前十整体车型排名!$B$3,'Data Export'!D201&lt;&gt;""),UPPER('Data Export'!C201)&amp;"♦"&amp;'Data Export'!D201,"")</f>
        <v>BYD♦SEALION 6</v>
      </c>
      <c r="I201" s="63">
        <f>IF(H201="","",IFERROR(INDEX('Data Export'!G201:CZ201,1,MATCH(前十整体车型排名!$B$4,'Data Export'!$G$1:$CZ$1,0)),0))</f>
        <v>1</v>
      </c>
      <c r="J201" s="62" t="str">
        <f>IF(H201="","",IF(OR('Data Export'!F201="三厢轿车",'Data Export'!F201="掀背轿车",'Data Export'!F201="旅行车",'Data Export'!F201="微型车",'Data Export'!F201="硬顶跑车",'Data Export'!F201="敞蓬车",'Data Export'!F201="Targa"),"轿车",IF(OR('Data Export'!F201="小型MPV",'Data Export'!F201="客车"),"MPV",IF('Data Export'!F201="运动型多功能车","SUV","其他"))))</f>
        <v>SUV</v>
      </c>
      <c r="K201" s="62" t="str">
        <f>IF(OR(D201="",NOT(F201=1)),"",1+SUMPRODUCT(($F$2:$F$1001=1)*($D$2:$D$1001&gt;D201))+COUNTIFS($F$2:F201,1,$D$2:D201,D201)-1)</f>
        <v/>
      </c>
      <c r="L201" s="62" t="str">
        <f>IF(OR(D201="",NOT(G201="轿车")),"",1+SUMPRODUCT(($G$2:$G$1001="轿车")*($D$2:$D$1001&gt;D201))+COUNTIFS($G$2:G201,"轿车",$D$2:D201,D201)-1)</f>
        <v/>
      </c>
      <c r="M201" s="62" t="str">
        <f>IF(OR(D201="",NOT(G201="MPV")),"",1+SUMPRODUCT(($G$2:$G$1001="MPV")*($D$2:$D$1001&gt;D201))+COUNTIFS($G$2:G201,"MPV",$D$2:D201,D201)-1)</f>
        <v/>
      </c>
      <c r="N201" s="62">
        <f>IF(OR(D201="",NOT(G201="SUV")),"",1+SUMPRODUCT(($G$2:$G$1001="SUV")*($D$2:$D$1001&gt;D201))+COUNTIFS($G$2:G201,"SUV",$D$2:D201,D201)-1)</f>
        <v>84</v>
      </c>
      <c r="O201" s="62" t="str">
        <f>IF(OR(D201="",NOT(AND(F201=1,G201="轿车"))),"",1+SUMPRODUCT(($F$2:$F$1001=1)*($G$2:$G$1001="轿车")*($D$2:$D$1001&gt;D201))+COUNTIFS($F$2:F201,1,$G$2:G201,"轿车",$D$2:D201,D201)-1)</f>
        <v/>
      </c>
      <c r="P201" s="62" t="str">
        <f>IF(OR(D201="",NOT(AND(F201=1,G201="MPV"))),"",1+SUMPRODUCT(($F$2:$F$1001=1)*($G$2:$G$1001="MPV")*($D$2:$D$1001&gt;D201))+COUNTIFS($F$2:F201,1,$G$2:G201,"MPV",$D$2:D201,D201)-1)</f>
        <v/>
      </c>
      <c r="Q201" s="62" t="str">
        <f>IF(OR(D201="",NOT(AND(F201=1,G201="SUV"))),"",1+SUMPRODUCT(($F$2:$F$1001=1)*($G$2:$G$1001="SUV")*($D$2:$D$1001&gt;D201))+COUNTIFS($F$2:F201,1,$G$2:G201,"SUV",$D$2:D201,D201)-1)</f>
        <v/>
      </c>
    </row>
    <row r="202" spans="1:17">
      <c r="A202" s="62" t="str">
        <f>IFERROR(INDEX($H$2:$H$3000,MATCH(0,INDEX(COUNTIF($A$1:A201,$H$2:$H$3000)+($H$2:$H$3000=""),0,0),0)),"")</f>
        <v>MAZDA♦MAZDA2</v>
      </c>
      <c r="B202" s="62" t="str">
        <f t="shared" si="12"/>
        <v>MAZDA</v>
      </c>
      <c r="C202" s="62" t="str">
        <f t="shared" si="13"/>
        <v>MAZDA2</v>
      </c>
      <c r="D202" s="63">
        <f t="shared" si="14"/>
        <v>390</v>
      </c>
      <c r="E202" s="62">
        <f>IF(D202="","",_xlfn.RANK.EQ(D202,$D$2:$D$1001,0)+COUNTIF($D$2:D202,D202)-1)</f>
        <v>30</v>
      </c>
      <c r="F202" s="62">
        <f>IF(B202="","",--(COUNTIF(CN_Brands!$A$2:$A$300,UPPER(B202))&gt;0))</f>
        <v>0</v>
      </c>
      <c r="G202" s="62" t="str">
        <f t="shared" si="15"/>
        <v>其他</v>
      </c>
      <c r="H202" s="62" t="str">
        <f>IF(AND('Data Export'!A202=前十整体车型排名!$B$2,'Data Export'!B202=前十整体车型排名!$B$3,'Data Export'!D202&lt;&gt;""),UPPER('Data Export'!C202)&amp;"♦"&amp;'Data Export'!D202,"")</f>
        <v>BYD♦SEALION 6</v>
      </c>
      <c r="I202" s="63">
        <f>IF(H202="","",IFERROR(INDEX('Data Export'!G202:CZ202,1,MATCH(前十整体车型排名!$B$4,'Data Export'!$G$1:$CZ$1,0)),0))</f>
        <v>37</v>
      </c>
      <c r="J202" s="62" t="str">
        <f>IF(H202="","",IF(OR('Data Export'!F202="三厢轿车",'Data Export'!F202="掀背轿车",'Data Export'!F202="旅行车",'Data Export'!F202="微型车",'Data Export'!F202="硬顶跑车",'Data Export'!F202="敞蓬车",'Data Export'!F202="Targa"),"轿车",IF(OR('Data Export'!F202="小型MPV",'Data Export'!F202="客车"),"MPV",IF('Data Export'!F202="运动型多功能车","SUV","其他"))))</f>
        <v>SUV</v>
      </c>
      <c r="K202" s="62" t="str">
        <f>IF(OR(D202="",NOT(F202=1)),"",1+SUMPRODUCT(($F$2:$F$1001=1)*($D$2:$D$1001&gt;D202))+COUNTIFS($F$2:F202,1,$D$2:D202,D202)-1)</f>
        <v/>
      </c>
      <c r="L202" s="62" t="str">
        <f>IF(OR(D202="",NOT(G202="轿车")),"",1+SUMPRODUCT(($G$2:$G$1001="轿车")*($D$2:$D$1001&gt;D202))+COUNTIFS($G$2:G202,"轿车",$D$2:D202,D202)-1)</f>
        <v/>
      </c>
      <c r="M202" s="62" t="str">
        <f>IF(OR(D202="",NOT(G202="MPV")),"",1+SUMPRODUCT(($G$2:$G$1001="MPV")*($D$2:$D$1001&gt;D202))+COUNTIFS($G$2:G202,"MPV",$D$2:D202,D202)-1)</f>
        <v/>
      </c>
      <c r="N202" s="62" t="str">
        <f>IF(OR(D202="",NOT(G202="SUV")),"",1+SUMPRODUCT(($G$2:$G$1001="SUV")*($D$2:$D$1001&gt;D202))+COUNTIFS($G$2:G202,"SUV",$D$2:D202,D202)-1)</f>
        <v/>
      </c>
      <c r="O202" s="62" t="str">
        <f>IF(OR(D202="",NOT(AND(F202=1,G202="轿车"))),"",1+SUMPRODUCT(($F$2:$F$1001=1)*($G$2:$G$1001="轿车")*($D$2:$D$1001&gt;D202))+COUNTIFS($F$2:F202,1,$G$2:G202,"轿车",$D$2:D202,D202)-1)</f>
        <v/>
      </c>
      <c r="P202" s="62" t="str">
        <f>IF(OR(D202="",NOT(AND(F202=1,G202="MPV"))),"",1+SUMPRODUCT(($F$2:$F$1001=1)*($G$2:$G$1001="MPV")*($D$2:$D$1001&gt;D202))+COUNTIFS($F$2:F202,1,$G$2:G202,"MPV",$D$2:D202,D202)-1)</f>
        <v/>
      </c>
      <c r="Q202" s="62" t="str">
        <f>IF(OR(D202="",NOT(AND(F202=1,G202="SUV"))),"",1+SUMPRODUCT(($F$2:$F$1001=1)*($G$2:$G$1001="SUV")*($D$2:$D$1001&gt;D202))+COUNTIFS($F$2:F202,1,$G$2:G202,"SUV",$D$2:D202,D202)-1)</f>
        <v/>
      </c>
    </row>
    <row r="203" spans="1:17">
      <c r="A203" s="62" t="str">
        <f>IFERROR(INDEX($H$2:$H$3000,MATCH(0,INDEX(COUNTIF($A$1:A202,$H$2:$H$3000)+($H$2:$H$3000=""),0,0),0)),"")</f>
        <v>MAZDA♦MAZDA3</v>
      </c>
      <c r="B203" s="62" t="str">
        <f t="shared" si="12"/>
        <v>MAZDA</v>
      </c>
      <c r="C203" s="62" t="str">
        <f t="shared" si="13"/>
        <v>MAZDA3</v>
      </c>
      <c r="D203" s="63">
        <f t="shared" si="14"/>
        <v>14</v>
      </c>
      <c r="E203" s="62">
        <f>IF(D203="","",_xlfn.RANK.EQ(D203,$D$2:$D$1001,0)+COUNTIF($D$2:D203,D203)-1)</f>
        <v>133</v>
      </c>
      <c r="F203" s="62">
        <f>IF(B203="","",--(COUNTIF(CN_Brands!$A$2:$A$300,UPPER(B203))&gt;0))</f>
        <v>0</v>
      </c>
      <c r="G203" s="62" t="str">
        <f t="shared" si="15"/>
        <v>其他</v>
      </c>
      <c r="H203" s="62" t="str">
        <f>IF(AND('Data Export'!A203=前十整体车型排名!$B$2,'Data Export'!B203=前十整体车型排名!$B$3,'Data Export'!D203&lt;&gt;""),UPPER('Data Export'!C203)&amp;"♦"&amp;'Data Export'!D203,"")</f>
        <v>BYD♦SEALION 6</v>
      </c>
      <c r="I203" s="63">
        <f>IF(H203="","",IFERROR(INDEX('Data Export'!G203:CZ203,1,MATCH(前十整体车型排名!$B$4,'Data Export'!$G$1:$CZ$1,0)),0))</f>
        <v>546</v>
      </c>
      <c r="J203" s="62" t="str">
        <f>IF(H203="","",IF(OR('Data Export'!F203="三厢轿车",'Data Export'!F203="掀背轿车",'Data Export'!F203="旅行车",'Data Export'!F203="微型车",'Data Export'!F203="硬顶跑车",'Data Export'!F203="敞蓬车",'Data Export'!F203="Targa"),"轿车",IF(OR('Data Export'!F203="小型MPV",'Data Export'!F203="客车"),"MPV",IF('Data Export'!F203="运动型多功能车","SUV","其他"))))</f>
        <v>SUV</v>
      </c>
      <c r="K203" s="62" t="str">
        <f>IF(OR(D203="",NOT(F203=1)),"",1+SUMPRODUCT(($F$2:$F$1001=1)*($D$2:$D$1001&gt;D203))+COUNTIFS($F$2:F203,1,$D$2:D203,D203)-1)</f>
        <v/>
      </c>
      <c r="L203" s="62" t="str">
        <f>IF(OR(D203="",NOT(G203="轿车")),"",1+SUMPRODUCT(($G$2:$G$1001="轿车")*($D$2:$D$1001&gt;D203))+COUNTIFS($G$2:G203,"轿车",$D$2:D203,D203)-1)</f>
        <v/>
      </c>
      <c r="M203" s="62" t="str">
        <f>IF(OR(D203="",NOT(G203="MPV")),"",1+SUMPRODUCT(($G$2:$G$1001="MPV")*($D$2:$D$1001&gt;D203))+COUNTIFS($G$2:G203,"MPV",$D$2:D203,D203)-1)</f>
        <v/>
      </c>
      <c r="N203" s="62" t="str">
        <f>IF(OR(D203="",NOT(G203="SUV")),"",1+SUMPRODUCT(($G$2:$G$1001="SUV")*($D$2:$D$1001&gt;D203))+COUNTIFS($G$2:G203,"SUV",$D$2:D203,D203)-1)</f>
        <v/>
      </c>
      <c r="O203" s="62" t="str">
        <f>IF(OR(D203="",NOT(AND(F203=1,G203="轿车"))),"",1+SUMPRODUCT(($F$2:$F$1001=1)*($G$2:$G$1001="轿车")*($D$2:$D$1001&gt;D203))+COUNTIFS($F$2:F203,1,$G$2:G203,"轿车",$D$2:D203,D203)-1)</f>
        <v/>
      </c>
      <c r="P203" s="62" t="str">
        <f>IF(OR(D203="",NOT(AND(F203=1,G203="MPV"))),"",1+SUMPRODUCT(($F$2:$F$1001=1)*($G$2:$G$1001="MPV")*($D$2:$D$1001&gt;D203))+COUNTIFS($F$2:F203,1,$G$2:G203,"MPV",$D$2:D203,D203)-1)</f>
        <v/>
      </c>
      <c r="Q203" s="62" t="str">
        <f>IF(OR(D203="",NOT(AND(F203=1,G203="SUV"))),"",1+SUMPRODUCT(($F$2:$F$1001=1)*($G$2:$G$1001="SUV")*($D$2:$D$1001&gt;D203))+COUNTIFS($F$2:F203,1,$G$2:G203,"SUV",$D$2:D203,D203)-1)</f>
        <v/>
      </c>
    </row>
    <row r="204" spans="1:17">
      <c r="A204" s="62" t="str">
        <f>IFERROR(INDEX($H$2:$H$3000,MATCH(0,INDEX(COUNTIF($A$1:A203,$H$2:$H$3000)+($H$2:$H$3000=""),0,0),0)),"")</f>
        <v>MAZDA♦MAZDA6</v>
      </c>
      <c r="B204" s="62" t="str">
        <f t="shared" si="12"/>
        <v>MAZDA</v>
      </c>
      <c r="C204" s="62" t="str">
        <f t="shared" si="13"/>
        <v>MAZDA6</v>
      </c>
      <c r="D204" s="63">
        <f t="shared" si="14"/>
        <v>55</v>
      </c>
      <c r="E204" s="62">
        <f>IF(D204="","",_xlfn.RANK.EQ(D204,$D$2:$D$1001,0)+COUNTIF($D$2:D204,D204)-1)</f>
        <v>94</v>
      </c>
      <c r="F204" s="62">
        <f>IF(B204="","",--(COUNTIF(CN_Brands!$A$2:$A$300,UPPER(B204))&gt;0))</f>
        <v>0</v>
      </c>
      <c r="G204" s="62" t="str">
        <f t="shared" si="15"/>
        <v>其他</v>
      </c>
      <c r="H204" s="62" t="str">
        <f>IF(AND('Data Export'!A204=前十整体车型排名!$B$2,'Data Export'!B204=前十整体车型排名!$B$3,'Data Export'!D204&lt;&gt;""),UPPER('Data Export'!C204)&amp;"♦"&amp;'Data Export'!D204,"")</f>
        <v>BYD♦SEALION 7</v>
      </c>
      <c r="I204" s="63">
        <f>IF(H204="","",IFERROR(INDEX('Data Export'!G204:CZ204,1,MATCH(前十整体车型排名!$B$4,'Data Export'!$G$1:$CZ$1,0)),0))</f>
        <v>133</v>
      </c>
      <c r="J204" s="62" t="str">
        <f>IF(H204="","",IF(OR('Data Export'!F204="三厢轿车",'Data Export'!F204="掀背轿车",'Data Export'!F204="旅行车",'Data Export'!F204="微型车",'Data Export'!F204="硬顶跑车",'Data Export'!F204="敞蓬车",'Data Export'!F204="Targa"),"轿车",IF(OR('Data Export'!F204="小型MPV",'Data Export'!F204="客车"),"MPV",IF('Data Export'!F204="运动型多功能车","SUV","其他"))))</f>
        <v>SUV</v>
      </c>
      <c r="K204" s="62" t="str">
        <f>IF(OR(D204="",NOT(F204=1)),"",1+SUMPRODUCT(($F$2:$F$1001=1)*($D$2:$D$1001&gt;D204))+COUNTIFS($F$2:F204,1,$D$2:D204,D204)-1)</f>
        <v/>
      </c>
      <c r="L204" s="62" t="str">
        <f>IF(OR(D204="",NOT(G204="轿车")),"",1+SUMPRODUCT(($G$2:$G$1001="轿车")*($D$2:$D$1001&gt;D204))+COUNTIFS($G$2:G204,"轿车",$D$2:D204,D204)-1)</f>
        <v/>
      </c>
      <c r="M204" s="62" t="str">
        <f>IF(OR(D204="",NOT(G204="MPV")),"",1+SUMPRODUCT(($G$2:$G$1001="MPV")*($D$2:$D$1001&gt;D204))+COUNTIFS($G$2:G204,"MPV",$D$2:D204,D204)-1)</f>
        <v/>
      </c>
      <c r="N204" s="62" t="str">
        <f>IF(OR(D204="",NOT(G204="SUV")),"",1+SUMPRODUCT(($G$2:$G$1001="SUV")*($D$2:$D$1001&gt;D204))+COUNTIFS($G$2:G204,"SUV",$D$2:D204,D204)-1)</f>
        <v/>
      </c>
      <c r="O204" s="62" t="str">
        <f>IF(OR(D204="",NOT(AND(F204=1,G204="轿车"))),"",1+SUMPRODUCT(($F$2:$F$1001=1)*($G$2:$G$1001="轿车")*($D$2:$D$1001&gt;D204))+COUNTIFS($F$2:F204,1,$G$2:G204,"轿车",$D$2:D204,D204)-1)</f>
        <v/>
      </c>
      <c r="P204" s="62" t="str">
        <f>IF(OR(D204="",NOT(AND(F204=1,G204="MPV"))),"",1+SUMPRODUCT(($F$2:$F$1001=1)*($G$2:$G$1001="MPV")*($D$2:$D$1001&gt;D204))+COUNTIFS($F$2:F204,1,$G$2:G204,"MPV",$D$2:D204,D204)-1)</f>
        <v/>
      </c>
      <c r="Q204" s="62" t="str">
        <f>IF(OR(D204="",NOT(AND(F204=1,G204="SUV"))),"",1+SUMPRODUCT(($F$2:$F$1001=1)*($G$2:$G$1001="SUV")*($D$2:$D$1001&gt;D204))+COUNTIFS($F$2:F204,1,$G$2:G204,"SUV",$D$2:D204,D204)-1)</f>
        <v/>
      </c>
    </row>
    <row r="205" spans="1:17">
      <c r="A205" s="62" t="str">
        <f>IFERROR(INDEX($H$2:$H$3000,MATCH(0,INDEX(COUNTIF($A$1:A204,$H$2:$H$3000)+($H$2:$H$3000=""),0,0),0)),"")</f>
        <v>MAZDA♦MX-5</v>
      </c>
      <c r="B205" s="62" t="str">
        <f t="shared" si="12"/>
        <v>MAZDA</v>
      </c>
      <c r="C205" s="62" t="str">
        <f t="shared" si="13"/>
        <v>MX-5</v>
      </c>
      <c r="D205" s="63">
        <f t="shared" si="14"/>
        <v>0</v>
      </c>
      <c r="E205" s="62">
        <f>IF(D205="","",_xlfn.RANK.EQ(D205,$D$2:$D$1001,0)+COUNTIF($D$2:D205,D205)-1)</f>
        <v>337</v>
      </c>
      <c r="F205" s="62">
        <f>IF(B205="","",--(COUNTIF(CN_Brands!$A$2:$A$300,UPPER(B205))&gt;0))</f>
        <v>0</v>
      </c>
      <c r="G205" s="62" t="str">
        <f t="shared" si="15"/>
        <v>轿车</v>
      </c>
      <c r="H205" s="62" t="str">
        <f>IF(AND('Data Export'!A205=前十整体车型排名!$B$2,'Data Export'!B205=前十整体车型排名!$B$3,'Data Export'!D205&lt;&gt;""),UPPER('Data Export'!C205)&amp;"♦"&amp;'Data Export'!D205,"")</f>
        <v>BYD♦SEALION 7</v>
      </c>
      <c r="I205" s="63">
        <f>IF(H205="","",IFERROR(INDEX('Data Export'!G205:CZ205,1,MATCH(前十整体车型排名!$B$4,'Data Export'!$G$1:$CZ$1,0)),0))</f>
        <v>83</v>
      </c>
      <c r="J205" s="62" t="str">
        <f>IF(H205="","",IF(OR('Data Export'!F205="三厢轿车",'Data Export'!F205="掀背轿车",'Data Export'!F205="旅行车",'Data Export'!F205="微型车",'Data Export'!F205="硬顶跑车",'Data Export'!F205="敞蓬车",'Data Export'!F205="Targa"),"轿车",IF(OR('Data Export'!F205="小型MPV",'Data Export'!F205="客车"),"MPV",IF('Data Export'!F205="运动型多功能车","SUV","其他"))))</f>
        <v>SUV</v>
      </c>
      <c r="K205" s="62" t="str">
        <f>IF(OR(D205="",NOT(F205=1)),"",1+SUMPRODUCT(($F$2:$F$1001=1)*($D$2:$D$1001&gt;D205))+COUNTIFS($F$2:F205,1,$D$2:D205,D205)-1)</f>
        <v/>
      </c>
      <c r="L205" s="62">
        <f>IF(OR(D205="",NOT(G205="轿车")),"",1+SUMPRODUCT(($G$2:$G$1001="轿车")*($D$2:$D$1001&gt;D205))+COUNTIFS($G$2:G205,"轿车",$D$2:D205,D205)-1)</f>
        <v>113</v>
      </c>
      <c r="M205" s="62" t="str">
        <f>IF(OR(D205="",NOT(G205="MPV")),"",1+SUMPRODUCT(($G$2:$G$1001="MPV")*($D$2:$D$1001&gt;D205))+COUNTIFS($G$2:G205,"MPV",$D$2:D205,D205)-1)</f>
        <v/>
      </c>
      <c r="N205" s="62" t="str">
        <f>IF(OR(D205="",NOT(G205="SUV")),"",1+SUMPRODUCT(($G$2:$G$1001="SUV")*($D$2:$D$1001&gt;D205))+COUNTIFS($G$2:G205,"SUV",$D$2:D205,D205)-1)</f>
        <v/>
      </c>
      <c r="O205" s="62" t="str">
        <f>IF(OR(D205="",NOT(AND(F205=1,G205="轿车"))),"",1+SUMPRODUCT(($F$2:$F$1001=1)*($G$2:$G$1001="轿车")*($D$2:$D$1001&gt;D205))+COUNTIFS($F$2:F205,1,$G$2:G205,"轿车",$D$2:D205,D205)-1)</f>
        <v/>
      </c>
      <c r="P205" s="62" t="str">
        <f>IF(OR(D205="",NOT(AND(F205=1,G205="MPV"))),"",1+SUMPRODUCT(($F$2:$F$1001=1)*($G$2:$G$1001="MPV")*($D$2:$D$1001&gt;D205))+COUNTIFS($F$2:F205,1,$G$2:G205,"MPV",$D$2:D205,D205)-1)</f>
        <v/>
      </c>
      <c r="Q205" s="62" t="str">
        <f>IF(OR(D205="",NOT(AND(F205=1,G205="SUV"))),"",1+SUMPRODUCT(($F$2:$F$1001=1)*($G$2:$G$1001="SUV")*($D$2:$D$1001&gt;D205))+COUNTIFS($F$2:F205,1,$G$2:G205,"SUV",$D$2:D205,D205)-1)</f>
        <v/>
      </c>
    </row>
    <row r="206" spans="1:17">
      <c r="A206" s="62" t="str">
        <f>IFERROR(INDEX($H$2:$H$3000,MATCH(0,INDEX(COUNTIF($A$1:A205,$H$2:$H$3000)+($H$2:$H$3000=""),0,0),0)),"")</f>
        <v>MAZDA♦ROADSTER</v>
      </c>
      <c r="B206" s="62" t="str">
        <f t="shared" si="12"/>
        <v>MAZDA</v>
      </c>
      <c r="C206" s="62" t="str">
        <f t="shared" si="13"/>
        <v>ROADSTER</v>
      </c>
      <c r="D206" s="63">
        <f t="shared" si="14"/>
        <v>4</v>
      </c>
      <c r="E206" s="62">
        <f>IF(D206="","",_xlfn.RANK.EQ(D206,$D$2:$D$1001,0)+COUNTIF($D$2:D206,D206)-1)</f>
        <v>178</v>
      </c>
      <c r="F206" s="62">
        <f>IF(B206="","",--(COUNTIF(CN_Brands!$A$2:$A$300,UPPER(B206))&gt;0))</f>
        <v>0</v>
      </c>
      <c r="G206" s="62" t="str">
        <f t="shared" si="15"/>
        <v>其他</v>
      </c>
      <c r="H206" s="62" t="str">
        <f>IF(AND('Data Export'!A206=前十整体车型排名!$B$2,'Data Export'!B206=前十整体车型排名!$B$3,'Data Export'!D206&lt;&gt;""),UPPER('Data Export'!C206)&amp;"♦"&amp;'Data Export'!D206,"")</f>
        <v>CHANGAN♦LUMIN</v>
      </c>
      <c r="I206" s="63">
        <f>IF(H206="","",IFERROR(INDEX('Data Export'!G206:CZ206,1,MATCH(前十整体车型排名!$B$4,'Data Export'!$G$1:$CZ$1,0)),0))</f>
        <v>0</v>
      </c>
      <c r="J206" s="62" t="str">
        <f>IF(H206="","",IF(OR('Data Export'!F206="三厢轿车",'Data Export'!F206="掀背轿车",'Data Export'!F206="旅行车",'Data Export'!F206="微型车",'Data Export'!F206="硬顶跑车",'Data Export'!F206="敞蓬车",'Data Export'!F206="Targa"),"轿车",IF(OR('Data Export'!F206="小型MPV",'Data Export'!F206="客车"),"MPV",IF('Data Export'!F206="运动型多功能车","SUV","其他"))))</f>
        <v>轿车</v>
      </c>
      <c r="K206" s="62" t="str">
        <f>IF(OR(D206="",NOT(F206=1)),"",1+SUMPRODUCT(($F$2:$F$1001=1)*($D$2:$D$1001&gt;D206))+COUNTIFS($F$2:F206,1,$D$2:D206,D206)-1)</f>
        <v/>
      </c>
      <c r="L206" s="62" t="str">
        <f>IF(OR(D206="",NOT(G206="轿车")),"",1+SUMPRODUCT(($G$2:$G$1001="轿车")*($D$2:$D$1001&gt;D206))+COUNTIFS($G$2:G206,"轿车",$D$2:D206,D206)-1)</f>
        <v/>
      </c>
      <c r="M206" s="62" t="str">
        <f>IF(OR(D206="",NOT(G206="MPV")),"",1+SUMPRODUCT(($G$2:$G$1001="MPV")*($D$2:$D$1001&gt;D206))+COUNTIFS($G$2:G206,"MPV",$D$2:D206,D206)-1)</f>
        <v/>
      </c>
      <c r="N206" s="62" t="str">
        <f>IF(OR(D206="",NOT(G206="SUV")),"",1+SUMPRODUCT(($G$2:$G$1001="SUV")*($D$2:$D$1001&gt;D206))+COUNTIFS($G$2:G206,"SUV",$D$2:D206,D206)-1)</f>
        <v/>
      </c>
      <c r="O206" s="62" t="str">
        <f>IF(OR(D206="",NOT(AND(F206=1,G206="轿车"))),"",1+SUMPRODUCT(($F$2:$F$1001=1)*($G$2:$G$1001="轿车")*($D$2:$D$1001&gt;D206))+COUNTIFS($F$2:F206,1,$G$2:G206,"轿车",$D$2:D206,D206)-1)</f>
        <v/>
      </c>
      <c r="P206" s="62" t="str">
        <f>IF(OR(D206="",NOT(AND(F206=1,G206="MPV"))),"",1+SUMPRODUCT(($F$2:$F$1001=1)*($G$2:$G$1001="MPV")*($D$2:$D$1001&gt;D206))+COUNTIFS($F$2:F206,1,$G$2:G206,"MPV",$D$2:D206,D206)-1)</f>
        <v/>
      </c>
      <c r="Q206" s="62" t="str">
        <f>IF(OR(D206="",NOT(AND(F206=1,G206="SUV"))),"",1+SUMPRODUCT(($F$2:$F$1001=1)*($G$2:$G$1001="SUV")*($D$2:$D$1001&gt;D206))+COUNTIFS($F$2:F206,1,$G$2:G206,"SUV",$D$2:D206,D206)-1)</f>
        <v/>
      </c>
    </row>
    <row r="207" spans="1:17">
      <c r="A207" s="62" t="str">
        <f>IFERROR(INDEX($H$2:$H$3000,MATCH(0,INDEX(COUNTIF($A$1:A206,$H$2:$H$3000)+($H$2:$H$3000=""),0,0),0)),"")</f>
        <v>MCLAREN♦750S</v>
      </c>
      <c r="B207" s="62" t="str">
        <f t="shared" si="12"/>
        <v>MCLAREN</v>
      </c>
      <c r="C207" s="62" t="str">
        <f t="shared" si="13"/>
        <v>750S</v>
      </c>
      <c r="D207" s="63">
        <f t="shared" si="14"/>
        <v>0</v>
      </c>
      <c r="E207" s="62">
        <f>IF(D207="","",_xlfn.RANK.EQ(D207,$D$2:$D$1001,0)+COUNTIF($D$2:D207,D207)-1)</f>
        <v>338</v>
      </c>
      <c r="F207" s="62">
        <f>IF(B207="","",--(COUNTIF(CN_Brands!$A$2:$A$300,UPPER(B207))&gt;0))</f>
        <v>0</v>
      </c>
      <c r="G207" s="62" t="str">
        <f t="shared" si="15"/>
        <v>轿车</v>
      </c>
      <c r="H207" s="62" t="str">
        <f>IF(AND('Data Export'!A207=前十整体车型排名!$B$2,'Data Export'!B207=前十整体车型排名!$B$3,'Data Export'!D207&lt;&gt;""),UPPER('Data Export'!C207)&amp;"♦"&amp;'Data Export'!D207,"")</f>
        <v>CHANGAN♦LUMIN</v>
      </c>
      <c r="I207" s="63">
        <f>IF(H207="","",IFERROR(INDEX('Data Export'!G207:CZ207,1,MATCH(前十整体车型排名!$B$4,'Data Export'!$G$1:$CZ$1,0)),0))</f>
        <v>360</v>
      </c>
      <c r="J207" s="62" t="str">
        <f>IF(H207="","",IF(OR('Data Export'!F207="三厢轿车",'Data Export'!F207="掀背轿车",'Data Export'!F207="旅行车",'Data Export'!F207="微型车",'Data Export'!F207="硬顶跑车",'Data Export'!F207="敞蓬车",'Data Export'!F207="Targa"),"轿车",IF(OR('Data Export'!F207="小型MPV",'Data Export'!F207="客车"),"MPV",IF('Data Export'!F207="运动型多功能车","SUV","其他"))))</f>
        <v>轿车</v>
      </c>
      <c r="K207" s="62" t="str">
        <f>IF(OR(D207="",NOT(F207=1)),"",1+SUMPRODUCT(($F$2:$F$1001=1)*($D$2:$D$1001&gt;D207))+COUNTIFS($F$2:F207,1,$D$2:D207,D207)-1)</f>
        <v/>
      </c>
      <c r="L207" s="62">
        <f>IF(OR(D207="",NOT(G207="轿车")),"",1+SUMPRODUCT(($G$2:$G$1001="轿车")*($D$2:$D$1001&gt;D207))+COUNTIFS($G$2:G207,"轿车",$D$2:D207,D207)-1)</f>
        <v>114</v>
      </c>
      <c r="M207" s="62" t="str">
        <f>IF(OR(D207="",NOT(G207="MPV")),"",1+SUMPRODUCT(($G$2:$G$1001="MPV")*($D$2:$D$1001&gt;D207))+COUNTIFS($G$2:G207,"MPV",$D$2:D207,D207)-1)</f>
        <v/>
      </c>
      <c r="N207" s="62" t="str">
        <f>IF(OR(D207="",NOT(G207="SUV")),"",1+SUMPRODUCT(($G$2:$G$1001="SUV")*($D$2:$D$1001&gt;D207))+COUNTIFS($G$2:G207,"SUV",$D$2:D207,D207)-1)</f>
        <v/>
      </c>
      <c r="O207" s="62" t="str">
        <f>IF(OR(D207="",NOT(AND(F207=1,G207="轿车"))),"",1+SUMPRODUCT(($F$2:$F$1001=1)*($G$2:$G$1001="轿车")*($D$2:$D$1001&gt;D207))+COUNTIFS($F$2:F207,1,$G$2:G207,"轿车",$D$2:D207,D207)-1)</f>
        <v/>
      </c>
      <c r="P207" s="62" t="str">
        <f>IF(OR(D207="",NOT(AND(F207=1,G207="MPV"))),"",1+SUMPRODUCT(($F$2:$F$1001=1)*($G$2:$G$1001="MPV")*($D$2:$D$1001&gt;D207))+COUNTIFS($F$2:F207,1,$G$2:G207,"MPV",$D$2:D207,D207)-1)</f>
        <v/>
      </c>
      <c r="Q207" s="62" t="str">
        <f>IF(OR(D207="",NOT(AND(F207=1,G207="SUV"))),"",1+SUMPRODUCT(($F$2:$F$1001=1)*($G$2:$G$1001="SUV")*($D$2:$D$1001&gt;D207))+COUNTIFS($F$2:F207,1,$G$2:G207,"SUV",$D$2:D207,D207)-1)</f>
        <v/>
      </c>
    </row>
    <row r="208" spans="1:17">
      <c r="A208" s="62" t="str">
        <f>IFERROR(INDEX($H$2:$H$3000,MATCH(0,INDEX(COUNTIF($A$1:A207,$H$2:$H$3000)+($H$2:$H$3000=""),0,0),0)),"")</f>
        <v>MCLAREN♦ARTURA</v>
      </c>
      <c r="B208" s="62" t="str">
        <f t="shared" si="12"/>
        <v>MCLAREN</v>
      </c>
      <c r="C208" s="62" t="str">
        <f t="shared" si="13"/>
        <v>ARTURA</v>
      </c>
      <c r="D208" s="63">
        <f t="shared" si="14"/>
        <v>0</v>
      </c>
      <c r="E208" s="62">
        <f>IF(D208="","",_xlfn.RANK.EQ(D208,$D$2:$D$1001,0)+COUNTIF($D$2:D208,D208)-1)</f>
        <v>339</v>
      </c>
      <c r="F208" s="62">
        <f>IF(B208="","",--(COUNTIF(CN_Brands!$A$2:$A$300,UPPER(B208))&gt;0))</f>
        <v>0</v>
      </c>
      <c r="G208" s="62" t="str">
        <f t="shared" si="15"/>
        <v>轿车</v>
      </c>
      <c r="H208" s="62" t="str">
        <f>IF(AND('Data Export'!A208=前十整体车型排名!$B$2,'Data Export'!B208=前十整体车型排名!$B$3,'Data Export'!D208&lt;&gt;""),UPPER('Data Export'!C208)&amp;"♦"&amp;'Data Export'!D208,"")</f>
        <v>CHANGAN♦NEVO Q05</v>
      </c>
      <c r="I208" s="63">
        <f>IF(H208="","",IFERROR(INDEX('Data Export'!G208:CZ208,1,MATCH(前十整体车型排名!$B$4,'Data Export'!$G$1:$CZ$1,0)),0))</f>
        <v>153</v>
      </c>
      <c r="J208" s="62" t="str">
        <f>IF(H208="","",IF(OR('Data Export'!F208="三厢轿车",'Data Export'!F208="掀背轿车",'Data Export'!F208="旅行车",'Data Export'!F208="微型车",'Data Export'!F208="硬顶跑车",'Data Export'!F208="敞蓬车",'Data Export'!F208="Targa"),"轿车",IF(OR('Data Export'!F208="小型MPV",'Data Export'!F208="客车"),"MPV",IF('Data Export'!F208="运动型多功能车","SUV","其他"))))</f>
        <v>SUV</v>
      </c>
      <c r="K208" s="62" t="str">
        <f>IF(OR(D208="",NOT(F208=1)),"",1+SUMPRODUCT(($F$2:$F$1001=1)*($D$2:$D$1001&gt;D208))+COUNTIFS($F$2:F208,1,$D$2:D208,D208)-1)</f>
        <v/>
      </c>
      <c r="L208" s="62">
        <f>IF(OR(D208="",NOT(G208="轿车")),"",1+SUMPRODUCT(($G$2:$G$1001="轿车")*($D$2:$D$1001&gt;D208))+COUNTIFS($G$2:G208,"轿车",$D$2:D208,D208)-1)</f>
        <v>115</v>
      </c>
      <c r="M208" s="62" t="str">
        <f>IF(OR(D208="",NOT(G208="MPV")),"",1+SUMPRODUCT(($G$2:$G$1001="MPV")*($D$2:$D$1001&gt;D208))+COUNTIFS($G$2:G208,"MPV",$D$2:D208,D208)-1)</f>
        <v/>
      </c>
      <c r="N208" s="62" t="str">
        <f>IF(OR(D208="",NOT(G208="SUV")),"",1+SUMPRODUCT(($G$2:$G$1001="SUV")*($D$2:$D$1001&gt;D208))+COUNTIFS($G$2:G208,"SUV",$D$2:D208,D208)-1)</f>
        <v/>
      </c>
      <c r="O208" s="62" t="str">
        <f>IF(OR(D208="",NOT(AND(F208=1,G208="轿车"))),"",1+SUMPRODUCT(($F$2:$F$1001=1)*($G$2:$G$1001="轿车")*($D$2:$D$1001&gt;D208))+COUNTIFS($F$2:F208,1,$G$2:G208,"轿车",$D$2:D208,D208)-1)</f>
        <v/>
      </c>
      <c r="P208" s="62" t="str">
        <f>IF(OR(D208="",NOT(AND(F208=1,G208="MPV"))),"",1+SUMPRODUCT(($F$2:$F$1001=1)*($G$2:$G$1001="MPV")*($D$2:$D$1001&gt;D208))+COUNTIFS($F$2:F208,1,$G$2:G208,"MPV",$D$2:D208,D208)-1)</f>
        <v/>
      </c>
      <c r="Q208" s="62" t="str">
        <f>IF(OR(D208="",NOT(AND(F208=1,G208="SUV"))),"",1+SUMPRODUCT(($F$2:$F$1001=1)*($G$2:$G$1001="SUV")*($D$2:$D$1001&gt;D208))+COUNTIFS($F$2:F208,1,$G$2:G208,"SUV",$D$2:D208,D208)-1)</f>
        <v/>
      </c>
    </row>
    <row r="209" spans="1:17">
      <c r="A209" s="62" t="str">
        <f>IFERROR(INDEX($H$2:$H$3000,MATCH(0,INDEX(COUNTIF($A$1:A208,$H$2:$H$3000)+($H$2:$H$3000=""),0,0),0)),"")</f>
        <v>MCLAREN♦GTS</v>
      </c>
      <c r="B209" s="62" t="str">
        <f t="shared" si="12"/>
        <v>MCLAREN</v>
      </c>
      <c r="C209" s="62" t="str">
        <f t="shared" si="13"/>
        <v>GTS</v>
      </c>
      <c r="D209" s="63">
        <f t="shared" si="14"/>
        <v>0</v>
      </c>
      <c r="E209" s="62">
        <f>IF(D209="","",_xlfn.RANK.EQ(D209,$D$2:$D$1001,0)+COUNTIF($D$2:D209,D209)-1)</f>
        <v>340</v>
      </c>
      <c r="F209" s="62">
        <f>IF(B209="","",--(COUNTIF(CN_Brands!$A$2:$A$300,UPPER(B209))&gt;0))</f>
        <v>0</v>
      </c>
      <c r="G209" s="62" t="str">
        <f t="shared" si="15"/>
        <v>轿车</v>
      </c>
      <c r="H209" s="62" t="str">
        <f>IF(AND('Data Export'!A209=前十整体车型排名!$B$2,'Data Export'!B209=前十整体车型排名!$B$3,'Data Export'!D209&lt;&gt;""),UPPER('Data Export'!C209)&amp;"♦"&amp;'Data Export'!D209,"")</f>
        <v>CHERY♦TIGGO 8</v>
      </c>
      <c r="I209" s="63">
        <f>IF(H209="","",IFERROR(INDEX('Data Export'!G209:CZ209,1,MATCH(前十整体车型排名!$B$4,'Data Export'!$G$1:$CZ$1,0)),0))</f>
        <v>8</v>
      </c>
      <c r="J209" s="62" t="str">
        <f>IF(H209="","",IF(OR('Data Export'!F209="三厢轿车",'Data Export'!F209="掀背轿车",'Data Export'!F209="旅行车",'Data Export'!F209="微型车",'Data Export'!F209="硬顶跑车",'Data Export'!F209="敞蓬车",'Data Export'!F209="Targa"),"轿车",IF(OR('Data Export'!F209="小型MPV",'Data Export'!F209="客车"),"MPV",IF('Data Export'!F209="运动型多功能车","SUV","其他"))))</f>
        <v>SUV</v>
      </c>
      <c r="K209" s="62" t="str">
        <f>IF(OR(D209="",NOT(F209=1)),"",1+SUMPRODUCT(($F$2:$F$1001=1)*($D$2:$D$1001&gt;D209))+COUNTIFS($F$2:F209,1,$D$2:D209,D209)-1)</f>
        <v/>
      </c>
      <c r="L209" s="62">
        <f>IF(OR(D209="",NOT(G209="轿车")),"",1+SUMPRODUCT(($G$2:$G$1001="轿车")*($D$2:$D$1001&gt;D209))+COUNTIFS($G$2:G209,"轿车",$D$2:D209,D209)-1)</f>
        <v>116</v>
      </c>
      <c r="M209" s="62" t="str">
        <f>IF(OR(D209="",NOT(G209="MPV")),"",1+SUMPRODUCT(($G$2:$G$1001="MPV")*($D$2:$D$1001&gt;D209))+COUNTIFS($G$2:G209,"MPV",$D$2:D209,D209)-1)</f>
        <v/>
      </c>
      <c r="N209" s="62" t="str">
        <f>IF(OR(D209="",NOT(G209="SUV")),"",1+SUMPRODUCT(($G$2:$G$1001="SUV")*($D$2:$D$1001&gt;D209))+COUNTIFS($G$2:G209,"SUV",$D$2:D209,D209)-1)</f>
        <v/>
      </c>
      <c r="O209" s="62" t="str">
        <f>IF(OR(D209="",NOT(AND(F209=1,G209="轿车"))),"",1+SUMPRODUCT(($F$2:$F$1001=1)*($G$2:$G$1001="轿车")*($D$2:$D$1001&gt;D209))+COUNTIFS($F$2:F209,1,$G$2:G209,"轿车",$D$2:D209,D209)-1)</f>
        <v/>
      </c>
      <c r="P209" s="62" t="str">
        <f>IF(OR(D209="",NOT(AND(F209=1,G209="MPV"))),"",1+SUMPRODUCT(($F$2:$F$1001=1)*($G$2:$G$1001="MPV")*($D$2:$D$1001&gt;D209))+COUNTIFS($F$2:F209,1,$G$2:G209,"MPV",$D$2:D209,D209)-1)</f>
        <v/>
      </c>
      <c r="Q209" s="62" t="str">
        <f>IF(OR(D209="",NOT(AND(F209=1,G209="SUV"))),"",1+SUMPRODUCT(($F$2:$F$1001=1)*($G$2:$G$1001="SUV")*($D$2:$D$1001&gt;D209))+COUNTIFS($F$2:F209,1,$G$2:G209,"SUV",$D$2:D209,D209)-1)</f>
        <v/>
      </c>
    </row>
    <row r="210" spans="1:17">
      <c r="A210" s="62" t="str">
        <f>IFERROR(INDEX($H$2:$H$3000,MATCH(0,INDEX(COUNTIF($A$1:A209,$H$2:$H$3000)+($H$2:$H$3000=""),0,0),0)),"")</f>
        <v>MERCEDES♦A-CLASS</v>
      </c>
      <c r="B210" s="62" t="str">
        <f t="shared" si="12"/>
        <v>MERCEDES</v>
      </c>
      <c r="C210" s="62" t="str">
        <f t="shared" si="13"/>
        <v>A-CLASS</v>
      </c>
      <c r="D210" s="63">
        <f t="shared" si="14"/>
        <v>14</v>
      </c>
      <c r="E210" s="62">
        <f>IF(D210="","",_xlfn.RANK.EQ(D210,$D$2:$D$1001,0)+COUNTIF($D$2:D210,D210)-1)</f>
        <v>134</v>
      </c>
      <c r="F210" s="62">
        <f>IF(B210="","",--(COUNTIF(CN_Brands!$A$2:$A$300,UPPER(B210))&gt;0))</f>
        <v>0</v>
      </c>
      <c r="G210" s="62" t="str">
        <f t="shared" si="15"/>
        <v>轿车</v>
      </c>
      <c r="H210" s="62" t="str">
        <f>IF(AND('Data Export'!A210=前十整体车型排名!$B$2,'Data Export'!B210=前十整体车型排名!$B$3,'Data Export'!D210&lt;&gt;""),UPPER('Data Export'!C210)&amp;"♦"&amp;'Data Export'!D210,"")</f>
        <v>CHERY♦TIGGO 8</v>
      </c>
      <c r="I210" s="63">
        <f>IF(H210="","",IFERROR(INDEX('Data Export'!G210:CZ210,1,MATCH(前十整体车型排名!$B$4,'Data Export'!$G$1:$CZ$1,0)),0))</f>
        <v>6</v>
      </c>
      <c r="J210" s="62" t="str">
        <f>IF(H210="","",IF(OR('Data Export'!F210="三厢轿车",'Data Export'!F210="掀背轿车",'Data Export'!F210="旅行车",'Data Export'!F210="微型车",'Data Export'!F210="硬顶跑车",'Data Export'!F210="敞蓬车",'Data Export'!F210="Targa"),"轿车",IF(OR('Data Export'!F210="小型MPV",'Data Export'!F210="客车"),"MPV",IF('Data Export'!F210="运动型多功能车","SUV","其他"))))</f>
        <v>SUV</v>
      </c>
      <c r="K210" s="62" t="str">
        <f>IF(OR(D210="",NOT(F210=1)),"",1+SUMPRODUCT(($F$2:$F$1001=1)*($D$2:$D$1001&gt;D210))+COUNTIFS($F$2:F210,1,$D$2:D210,D210)-1)</f>
        <v/>
      </c>
      <c r="L210" s="62">
        <f>IF(OR(D210="",NOT(G210="轿车")),"",1+SUMPRODUCT(($G$2:$G$1001="轿车")*($D$2:$D$1001&gt;D210))+COUNTIFS($G$2:G210,"轿车",$D$2:D210,D210)-1)</f>
        <v>34</v>
      </c>
      <c r="M210" s="62" t="str">
        <f>IF(OR(D210="",NOT(G210="MPV")),"",1+SUMPRODUCT(($G$2:$G$1001="MPV")*($D$2:$D$1001&gt;D210))+COUNTIFS($G$2:G210,"MPV",$D$2:D210,D210)-1)</f>
        <v/>
      </c>
      <c r="N210" s="62" t="str">
        <f>IF(OR(D210="",NOT(G210="SUV")),"",1+SUMPRODUCT(($G$2:$G$1001="SUV")*($D$2:$D$1001&gt;D210))+COUNTIFS($G$2:G210,"SUV",$D$2:D210,D210)-1)</f>
        <v/>
      </c>
      <c r="O210" s="62" t="str">
        <f>IF(OR(D210="",NOT(AND(F210=1,G210="轿车"))),"",1+SUMPRODUCT(($F$2:$F$1001=1)*($G$2:$G$1001="轿车")*($D$2:$D$1001&gt;D210))+COUNTIFS($F$2:F210,1,$G$2:G210,"轿车",$D$2:D210,D210)-1)</f>
        <v/>
      </c>
      <c r="P210" s="62" t="str">
        <f>IF(OR(D210="",NOT(AND(F210=1,G210="MPV"))),"",1+SUMPRODUCT(($F$2:$F$1001=1)*($G$2:$G$1001="MPV")*($D$2:$D$1001&gt;D210))+COUNTIFS($F$2:F210,1,$G$2:G210,"MPV",$D$2:D210,D210)-1)</f>
        <v/>
      </c>
      <c r="Q210" s="62" t="str">
        <f>IF(OR(D210="",NOT(AND(F210=1,G210="SUV"))),"",1+SUMPRODUCT(($F$2:$F$1001=1)*($G$2:$G$1001="SUV")*($D$2:$D$1001&gt;D210))+COUNTIFS($F$2:F210,1,$G$2:G210,"SUV",$D$2:D210,D210)-1)</f>
        <v/>
      </c>
    </row>
    <row r="211" spans="1:17">
      <c r="A211" s="62" t="str">
        <f>IFERROR(INDEX($H$2:$H$3000,MATCH(0,INDEX(COUNTIF($A$1:A210,$H$2:$H$3000)+($H$2:$H$3000=""),0,0),0)),"")</f>
        <v>MERCEDES♦AMG GT</v>
      </c>
      <c r="B211" s="62" t="str">
        <f t="shared" si="12"/>
        <v>MERCEDES</v>
      </c>
      <c r="C211" s="62" t="str">
        <f t="shared" si="13"/>
        <v>AMG GT</v>
      </c>
      <c r="D211" s="63">
        <f t="shared" si="14"/>
        <v>0</v>
      </c>
      <c r="E211" s="62">
        <f>IF(D211="","",_xlfn.RANK.EQ(D211,$D$2:$D$1001,0)+COUNTIF($D$2:D211,D211)-1)</f>
        <v>341</v>
      </c>
      <c r="F211" s="62">
        <f>IF(B211="","",--(COUNTIF(CN_Brands!$A$2:$A$300,UPPER(B211))&gt;0))</f>
        <v>0</v>
      </c>
      <c r="G211" s="62" t="str">
        <f t="shared" si="15"/>
        <v>轿车</v>
      </c>
      <c r="H211" s="62" t="str">
        <f>IF(AND('Data Export'!A211=前十整体车型排名!$B$2,'Data Export'!B211=前十整体车型排名!$B$3,'Data Export'!D211&lt;&gt;""),UPPER('Data Export'!C211)&amp;"♦"&amp;'Data Export'!D211,"")</f>
        <v>CHERY♦V23</v>
      </c>
      <c r="I211" s="63">
        <f>IF(H211="","",IFERROR(INDEX('Data Export'!G211:CZ211,1,MATCH(前十整体车型排名!$B$4,'Data Export'!$G$1:$CZ$1,0)),0))</f>
        <v>6</v>
      </c>
      <c r="J211" s="62" t="str">
        <f>IF(H211="","",IF(OR('Data Export'!F211="三厢轿车",'Data Export'!F211="掀背轿车",'Data Export'!F211="旅行车",'Data Export'!F211="微型车",'Data Export'!F211="硬顶跑车",'Data Export'!F211="敞蓬车",'Data Export'!F211="Targa"),"轿车",IF(OR('Data Export'!F211="小型MPV",'Data Export'!F211="客车"),"MPV",IF('Data Export'!F211="运动型多功能车","SUV","其他"))))</f>
        <v>SUV</v>
      </c>
      <c r="K211" s="62" t="str">
        <f>IF(OR(D211="",NOT(F211=1)),"",1+SUMPRODUCT(($F$2:$F$1001=1)*($D$2:$D$1001&gt;D211))+COUNTIFS($F$2:F211,1,$D$2:D211,D211)-1)</f>
        <v/>
      </c>
      <c r="L211" s="62">
        <f>IF(OR(D211="",NOT(G211="轿车")),"",1+SUMPRODUCT(($G$2:$G$1001="轿车")*($D$2:$D$1001&gt;D211))+COUNTIFS($G$2:G211,"轿车",$D$2:D211,D211)-1)</f>
        <v>117</v>
      </c>
      <c r="M211" s="62" t="str">
        <f>IF(OR(D211="",NOT(G211="MPV")),"",1+SUMPRODUCT(($G$2:$G$1001="MPV")*($D$2:$D$1001&gt;D211))+COUNTIFS($G$2:G211,"MPV",$D$2:D211,D211)-1)</f>
        <v/>
      </c>
      <c r="N211" s="62" t="str">
        <f>IF(OR(D211="",NOT(G211="SUV")),"",1+SUMPRODUCT(($G$2:$G$1001="SUV")*($D$2:$D$1001&gt;D211))+COUNTIFS($G$2:G211,"SUV",$D$2:D211,D211)-1)</f>
        <v/>
      </c>
      <c r="O211" s="62" t="str">
        <f>IF(OR(D211="",NOT(AND(F211=1,G211="轿车"))),"",1+SUMPRODUCT(($F$2:$F$1001=1)*($G$2:$G$1001="轿车")*($D$2:$D$1001&gt;D211))+COUNTIFS($F$2:F211,1,$G$2:G211,"轿车",$D$2:D211,D211)-1)</f>
        <v/>
      </c>
      <c r="P211" s="62" t="str">
        <f>IF(OR(D211="",NOT(AND(F211=1,G211="MPV"))),"",1+SUMPRODUCT(($F$2:$F$1001=1)*($G$2:$G$1001="MPV")*($D$2:$D$1001&gt;D211))+COUNTIFS($F$2:F211,1,$G$2:G211,"MPV",$D$2:D211,D211)-1)</f>
        <v/>
      </c>
      <c r="Q211" s="62" t="str">
        <f>IF(OR(D211="",NOT(AND(F211=1,G211="SUV"))),"",1+SUMPRODUCT(($F$2:$F$1001=1)*($G$2:$G$1001="SUV")*($D$2:$D$1001&gt;D211))+COUNTIFS($F$2:F211,1,$G$2:G211,"SUV",$D$2:D211,D211)-1)</f>
        <v/>
      </c>
    </row>
    <row r="212" spans="1:17">
      <c r="A212" s="62" t="str">
        <f>IFERROR(INDEX($H$2:$H$3000,MATCH(0,INDEX(COUNTIF($A$1:A211,$H$2:$H$3000)+($H$2:$H$3000=""),0,0),0)),"")</f>
        <v>MERCEDES♦C-CLASS</v>
      </c>
      <c r="B212" s="62" t="str">
        <f t="shared" si="12"/>
        <v>MERCEDES</v>
      </c>
      <c r="C212" s="62" t="str">
        <f t="shared" si="13"/>
        <v>C-CLASS</v>
      </c>
      <c r="D212" s="63">
        <f t="shared" si="14"/>
        <v>100</v>
      </c>
      <c r="E212" s="62">
        <f>IF(D212="","",_xlfn.RANK.EQ(D212,$D$2:$D$1001,0)+COUNTIF($D$2:D212,D212)-1)</f>
        <v>73</v>
      </c>
      <c r="F212" s="62">
        <f>IF(B212="","",--(COUNTIF(CN_Brands!$A$2:$A$300,UPPER(B212))&gt;0))</f>
        <v>0</v>
      </c>
      <c r="G212" s="62" t="str">
        <f t="shared" si="15"/>
        <v>轿车</v>
      </c>
      <c r="H212" s="62" t="str">
        <f>IF(AND('Data Export'!A212=前十整体车型排名!$B$2,'Data Export'!B212=前十整体车型排名!$B$3,'Data Export'!D212&lt;&gt;""),UPPER('Data Export'!C212)&amp;"♦"&amp;'Data Export'!D212,"")</f>
        <v>CHERY♦V23</v>
      </c>
      <c r="I212" s="63">
        <f>IF(H212="","",IFERROR(INDEX('Data Export'!G212:CZ212,1,MATCH(前十整体车型排名!$B$4,'Data Export'!$G$1:$CZ$1,0)),0))</f>
        <v>0</v>
      </c>
      <c r="J212" s="62" t="str">
        <f>IF(H212="","",IF(OR('Data Export'!F212="三厢轿车",'Data Export'!F212="掀背轿车",'Data Export'!F212="旅行车",'Data Export'!F212="微型车",'Data Export'!F212="硬顶跑车",'Data Export'!F212="敞蓬车",'Data Export'!F212="Targa"),"轿车",IF(OR('Data Export'!F212="小型MPV",'Data Export'!F212="客车"),"MPV",IF('Data Export'!F212="运动型多功能车","SUV","其他"))))</f>
        <v>SUV</v>
      </c>
      <c r="K212" s="62" t="str">
        <f>IF(OR(D212="",NOT(F212=1)),"",1+SUMPRODUCT(($F$2:$F$1001=1)*($D$2:$D$1001&gt;D212))+COUNTIFS($F$2:F212,1,$D$2:D212,D212)-1)</f>
        <v/>
      </c>
      <c r="L212" s="62">
        <f>IF(OR(D212="",NOT(G212="轿车")),"",1+SUMPRODUCT(($G$2:$G$1001="轿车")*($D$2:$D$1001&gt;D212))+COUNTIFS($G$2:G212,"轿车",$D$2:D212,D212)-1)</f>
        <v>22</v>
      </c>
      <c r="M212" s="62" t="str">
        <f>IF(OR(D212="",NOT(G212="MPV")),"",1+SUMPRODUCT(($G$2:$G$1001="MPV")*($D$2:$D$1001&gt;D212))+COUNTIFS($G$2:G212,"MPV",$D$2:D212,D212)-1)</f>
        <v/>
      </c>
      <c r="N212" s="62" t="str">
        <f>IF(OR(D212="",NOT(G212="SUV")),"",1+SUMPRODUCT(($G$2:$G$1001="SUV")*($D$2:$D$1001&gt;D212))+COUNTIFS($G$2:G212,"SUV",$D$2:D212,D212)-1)</f>
        <v/>
      </c>
      <c r="O212" s="62" t="str">
        <f>IF(OR(D212="",NOT(AND(F212=1,G212="轿车"))),"",1+SUMPRODUCT(($F$2:$F$1001=1)*($G$2:$G$1001="轿车")*($D$2:$D$1001&gt;D212))+COUNTIFS($F$2:F212,1,$G$2:G212,"轿车",$D$2:D212,D212)-1)</f>
        <v/>
      </c>
      <c r="P212" s="62" t="str">
        <f>IF(OR(D212="",NOT(AND(F212=1,G212="MPV"))),"",1+SUMPRODUCT(($F$2:$F$1001=1)*($G$2:$G$1001="MPV")*($D$2:$D$1001&gt;D212))+COUNTIFS($F$2:F212,1,$G$2:G212,"MPV",$D$2:D212,D212)-1)</f>
        <v/>
      </c>
      <c r="Q212" s="62" t="str">
        <f>IF(OR(D212="",NOT(AND(F212=1,G212="SUV"))),"",1+SUMPRODUCT(($F$2:$F$1001=1)*($G$2:$G$1001="SUV")*($D$2:$D$1001&gt;D212))+COUNTIFS($F$2:F212,1,$G$2:G212,"SUV",$D$2:D212,D212)-1)</f>
        <v/>
      </c>
    </row>
    <row r="213" spans="1:17">
      <c r="A213" s="62" t="str">
        <f>IFERROR(INDEX($H$2:$H$3000,MATCH(0,INDEX(COUNTIF($A$1:A212,$H$2:$H$3000)+($H$2:$H$3000=""),0,0),0)),"")</f>
        <v>MERCEDES♦CLA</v>
      </c>
      <c r="B213" s="62" t="str">
        <f t="shared" si="12"/>
        <v>MERCEDES</v>
      </c>
      <c r="C213" s="62" t="str">
        <f t="shared" si="13"/>
        <v>CLA</v>
      </c>
      <c r="D213" s="63">
        <f t="shared" si="14"/>
        <v>29</v>
      </c>
      <c r="E213" s="62">
        <f>IF(D213="","",_xlfn.RANK.EQ(D213,$D$2:$D$1001,0)+COUNTIF($D$2:D213,D213)-1)</f>
        <v>111</v>
      </c>
      <c r="F213" s="62">
        <f>IF(B213="","",--(COUNTIF(CN_Brands!$A$2:$A$300,UPPER(B213))&gt;0))</f>
        <v>0</v>
      </c>
      <c r="G213" s="62" t="str">
        <f t="shared" si="15"/>
        <v>轿车</v>
      </c>
      <c r="H213" s="62" t="str">
        <f>IF(AND('Data Export'!A213=前十整体车型排名!$B$2,'Data Export'!B213=前十整体车型排名!$B$3,'Data Export'!D213&lt;&gt;""),UPPER('Data Export'!C213)&amp;"♦"&amp;'Data Export'!D213,"")</f>
        <v>CHERY♦V23</v>
      </c>
      <c r="I213" s="63">
        <f>IF(H213="","",IFERROR(INDEX('Data Export'!G213:CZ213,1,MATCH(前十整体车型排名!$B$4,'Data Export'!$G$1:$CZ$1,0)),0))</f>
        <v>0</v>
      </c>
      <c r="J213" s="62" t="str">
        <f>IF(H213="","",IF(OR('Data Export'!F213="三厢轿车",'Data Export'!F213="掀背轿车",'Data Export'!F213="旅行车",'Data Export'!F213="微型车",'Data Export'!F213="硬顶跑车",'Data Export'!F213="敞蓬车",'Data Export'!F213="Targa"),"轿车",IF(OR('Data Export'!F213="小型MPV",'Data Export'!F213="客车"),"MPV",IF('Data Export'!F213="运动型多功能车","SUV","其他"))))</f>
        <v>SUV</v>
      </c>
      <c r="K213" s="62" t="str">
        <f>IF(OR(D213="",NOT(F213=1)),"",1+SUMPRODUCT(($F$2:$F$1001=1)*($D$2:$D$1001&gt;D213))+COUNTIFS($F$2:F213,1,$D$2:D213,D213)-1)</f>
        <v/>
      </c>
      <c r="L213" s="62">
        <f>IF(OR(D213="",NOT(G213="轿车")),"",1+SUMPRODUCT(($G$2:$G$1001="轿车")*($D$2:$D$1001&gt;D213))+COUNTIFS($G$2:G213,"轿车",$D$2:D213,D213)-1)</f>
        <v>30</v>
      </c>
      <c r="M213" s="62" t="str">
        <f>IF(OR(D213="",NOT(G213="MPV")),"",1+SUMPRODUCT(($G$2:$G$1001="MPV")*($D$2:$D$1001&gt;D213))+COUNTIFS($G$2:G213,"MPV",$D$2:D213,D213)-1)</f>
        <v/>
      </c>
      <c r="N213" s="62" t="str">
        <f>IF(OR(D213="",NOT(G213="SUV")),"",1+SUMPRODUCT(($G$2:$G$1001="SUV")*($D$2:$D$1001&gt;D213))+COUNTIFS($G$2:G213,"SUV",$D$2:D213,D213)-1)</f>
        <v/>
      </c>
      <c r="O213" s="62" t="str">
        <f>IF(OR(D213="",NOT(AND(F213=1,G213="轿车"))),"",1+SUMPRODUCT(($F$2:$F$1001=1)*($G$2:$G$1001="轿车")*($D$2:$D$1001&gt;D213))+COUNTIFS($F$2:F213,1,$G$2:G213,"轿车",$D$2:D213,D213)-1)</f>
        <v/>
      </c>
      <c r="P213" s="62" t="str">
        <f>IF(OR(D213="",NOT(AND(F213=1,G213="MPV"))),"",1+SUMPRODUCT(($F$2:$F$1001=1)*($G$2:$G$1001="MPV")*($D$2:$D$1001&gt;D213))+COUNTIFS($F$2:F213,1,$G$2:G213,"MPV",$D$2:D213,D213)-1)</f>
        <v/>
      </c>
      <c r="Q213" s="62" t="str">
        <f>IF(OR(D213="",NOT(AND(F213=1,G213="SUV"))),"",1+SUMPRODUCT(($F$2:$F$1001=1)*($G$2:$G$1001="SUV")*($D$2:$D$1001&gt;D213))+COUNTIFS($F$2:F213,1,$G$2:G213,"SUV",$D$2:D213,D213)-1)</f>
        <v/>
      </c>
    </row>
    <row r="214" spans="1:17">
      <c r="A214" s="62" t="str">
        <f>IFERROR(INDEX($H$2:$H$3000,MATCH(0,INDEX(COUNTIF($A$1:A213,$H$2:$H$3000)+($H$2:$H$3000=""),0,0),0)),"")</f>
        <v>MERCEDES♦CLE</v>
      </c>
      <c r="B214" s="62" t="str">
        <f t="shared" si="12"/>
        <v>MERCEDES</v>
      </c>
      <c r="C214" s="62" t="str">
        <f t="shared" si="13"/>
        <v>CLE</v>
      </c>
      <c r="D214" s="63">
        <f t="shared" si="14"/>
        <v>34</v>
      </c>
      <c r="E214" s="62">
        <f>IF(D214="","",_xlfn.RANK.EQ(D214,$D$2:$D$1001,0)+COUNTIF($D$2:D214,D214)-1)</f>
        <v>106</v>
      </c>
      <c r="F214" s="62">
        <f>IF(B214="","",--(COUNTIF(CN_Brands!$A$2:$A$300,UPPER(B214))&gt;0))</f>
        <v>0</v>
      </c>
      <c r="G214" s="62" t="str">
        <f t="shared" si="15"/>
        <v>轿车</v>
      </c>
      <c r="H214" s="62" t="str">
        <f>IF(AND('Data Export'!A214=前十整体车型排名!$B$2,'Data Export'!B214=前十整体车型排名!$B$3,'Data Export'!D214&lt;&gt;""),UPPER('Data Export'!C214)&amp;"♦"&amp;'Data Export'!D214,"")</f>
        <v>CHERY♦V23</v>
      </c>
      <c r="I214" s="63">
        <f>IF(H214="","",IFERROR(INDEX('Data Export'!G214:CZ214,1,MATCH(前十整体车型排名!$B$4,'Data Export'!$G$1:$CZ$1,0)),0))</f>
        <v>295</v>
      </c>
      <c r="J214" s="62" t="str">
        <f>IF(H214="","",IF(OR('Data Export'!F214="三厢轿车",'Data Export'!F214="掀背轿车",'Data Export'!F214="旅行车",'Data Export'!F214="微型车",'Data Export'!F214="硬顶跑车",'Data Export'!F214="敞蓬车",'Data Export'!F214="Targa"),"轿车",IF(OR('Data Export'!F214="小型MPV",'Data Export'!F214="客车"),"MPV",IF('Data Export'!F214="运动型多功能车","SUV","其他"))))</f>
        <v>SUV</v>
      </c>
      <c r="K214" s="62" t="str">
        <f>IF(OR(D214="",NOT(F214=1)),"",1+SUMPRODUCT(($F$2:$F$1001=1)*($D$2:$D$1001&gt;D214))+COUNTIFS($F$2:F214,1,$D$2:D214,D214)-1)</f>
        <v/>
      </c>
      <c r="L214" s="62">
        <f>IF(OR(D214="",NOT(G214="轿车")),"",1+SUMPRODUCT(($G$2:$G$1001="轿车")*($D$2:$D$1001&gt;D214))+COUNTIFS($G$2:G214,"轿车",$D$2:D214,D214)-1)</f>
        <v>29</v>
      </c>
      <c r="M214" s="62" t="str">
        <f>IF(OR(D214="",NOT(G214="MPV")),"",1+SUMPRODUCT(($G$2:$G$1001="MPV")*($D$2:$D$1001&gt;D214))+COUNTIFS($G$2:G214,"MPV",$D$2:D214,D214)-1)</f>
        <v/>
      </c>
      <c r="N214" s="62" t="str">
        <f>IF(OR(D214="",NOT(G214="SUV")),"",1+SUMPRODUCT(($G$2:$G$1001="SUV")*($D$2:$D$1001&gt;D214))+COUNTIFS($G$2:G214,"SUV",$D$2:D214,D214)-1)</f>
        <v/>
      </c>
      <c r="O214" s="62" t="str">
        <f>IF(OR(D214="",NOT(AND(F214=1,G214="轿车"))),"",1+SUMPRODUCT(($F$2:$F$1001=1)*($G$2:$G$1001="轿车")*($D$2:$D$1001&gt;D214))+COUNTIFS($F$2:F214,1,$G$2:G214,"轿车",$D$2:D214,D214)-1)</f>
        <v/>
      </c>
      <c r="P214" s="62" t="str">
        <f>IF(OR(D214="",NOT(AND(F214=1,G214="MPV"))),"",1+SUMPRODUCT(($F$2:$F$1001=1)*($G$2:$G$1001="MPV")*($D$2:$D$1001&gt;D214))+COUNTIFS($F$2:F214,1,$G$2:G214,"MPV",$D$2:D214,D214)-1)</f>
        <v/>
      </c>
      <c r="Q214" s="62" t="str">
        <f>IF(OR(D214="",NOT(AND(F214=1,G214="SUV"))),"",1+SUMPRODUCT(($F$2:$F$1001=1)*($G$2:$G$1001="SUV")*($D$2:$D$1001&gt;D214))+COUNTIFS($F$2:F214,1,$G$2:G214,"SUV",$D$2:D214,D214)-1)</f>
        <v/>
      </c>
    </row>
    <row r="215" spans="1:17">
      <c r="A215" s="62" t="str">
        <f>IFERROR(INDEX($H$2:$H$3000,MATCH(0,INDEX(COUNTIF($A$1:A214,$H$2:$H$3000)+($H$2:$H$3000=""),0,0),0)),"")</f>
        <v>MERCEDES♦CLS</v>
      </c>
      <c r="B215" s="62" t="str">
        <f t="shared" si="12"/>
        <v>MERCEDES</v>
      </c>
      <c r="C215" s="62" t="str">
        <f t="shared" si="13"/>
        <v>CLS</v>
      </c>
      <c r="D215" s="63">
        <f t="shared" si="14"/>
        <v>35</v>
      </c>
      <c r="E215" s="62">
        <f>IF(D215="","",_xlfn.RANK.EQ(D215,$D$2:$D$1001,0)+COUNTIF($D$2:D215,D215)-1)</f>
        <v>104</v>
      </c>
      <c r="F215" s="62">
        <f>IF(B215="","",--(COUNTIF(CN_Brands!$A$2:$A$300,UPPER(B215))&gt;0))</f>
        <v>0</v>
      </c>
      <c r="G215" s="62" t="str">
        <f t="shared" si="15"/>
        <v>轿车</v>
      </c>
      <c r="H215" s="62" t="str">
        <f>IF(AND('Data Export'!A215=前十整体车型排名!$B$2,'Data Export'!B215=前十整体车型排名!$B$3,'Data Export'!D215&lt;&gt;""),UPPER('Data Export'!C215)&amp;"♦"&amp;'Data Export'!D215,"")</f>
        <v>CHERY♦V23</v>
      </c>
      <c r="I215" s="63">
        <f>IF(H215="","",IFERROR(INDEX('Data Export'!G215:CZ215,1,MATCH(前十整体车型排名!$B$4,'Data Export'!$G$1:$CZ$1,0)),0))</f>
        <v>463</v>
      </c>
      <c r="J215" s="62" t="str">
        <f>IF(H215="","",IF(OR('Data Export'!F215="三厢轿车",'Data Export'!F215="掀背轿车",'Data Export'!F215="旅行车",'Data Export'!F215="微型车",'Data Export'!F215="硬顶跑车",'Data Export'!F215="敞蓬车",'Data Export'!F215="Targa"),"轿车",IF(OR('Data Export'!F215="小型MPV",'Data Export'!F215="客车"),"MPV",IF('Data Export'!F215="运动型多功能车","SUV","其他"))))</f>
        <v>SUV</v>
      </c>
      <c r="K215" s="62" t="str">
        <f>IF(OR(D215="",NOT(F215=1)),"",1+SUMPRODUCT(($F$2:$F$1001=1)*($D$2:$D$1001&gt;D215))+COUNTIFS($F$2:F215,1,$D$2:D215,D215)-1)</f>
        <v/>
      </c>
      <c r="L215" s="62">
        <f>IF(OR(D215="",NOT(G215="轿车")),"",1+SUMPRODUCT(($G$2:$G$1001="轿车")*($D$2:$D$1001&gt;D215))+COUNTIFS($G$2:G215,"轿车",$D$2:D215,D215)-1)</f>
        <v>28</v>
      </c>
      <c r="M215" s="62" t="str">
        <f>IF(OR(D215="",NOT(G215="MPV")),"",1+SUMPRODUCT(($G$2:$G$1001="MPV")*($D$2:$D$1001&gt;D215))+COUNTIFS($G$2:G215,"MPV",$D$2:D215,D215)-1)</f>
        <v/>
      </c>
      <c r="N215" s="62" t="str">
        <f>IF(OR(D215="",NOT(G215="SUV")),"",1+SUMPRODUCT(($G$2:$G$1001="SUV")*($D$2:$D$1001&gt;D215))+COUNTIFS($G$2:G215,"SUV",$D$2:D215,D215)-1)</f>
        <v/>
      </c>
      <c r="O215" s="62" t="str">
        <f>IF(OR(D215="",NOT(AND(F215=1,G215="轿车"))),"",1+SUMPRODUCT(($F$2:$F$1001=1)*($G$2:$G$1001="轿车")*($D$2:$D$1001&gt;D215))+COUNTIFS($F$2:F215,1,$G$2:G215,"轿车",$D$2:D215,D215)-1)</f>
        <v/>
      </c>
      <c r="P215" s="62" t="str">
        <f>IF(OR(D215="",NOT(AND(F215=1,G215="MPV"))),"",1+SUMPRODUCT(($F$2:$F$1001=1)*($G$2:$G$1001="MPV")*($D$2:$D$1001&gt;D215))+COUNTIFS($F$2:F215,1,$G$2:G215,"MPV",$D$2:D215,D215)-1)</f>
        <v/>
      </c>
      <c r="Q215" s="62" t="str">
        <f>IF(OR(D215="",NOT(AND(F215=1,G215="SUV"))),"",1+SUMPRODUCT(($F$2:$F$1001=1)*($G$2:$G$1001="SUV")*($D$2:$D$1001&gt;D215))+COUNTIFS($F$2:F215,1,$G$2:G215,"SUV",$D$2:D215,D215)-1)</f>
        <v/>
      </c>
    </row>
    <row r="216" spans="1:17">
      <c r="A216" s="62" t="str">
        <f>IFERROR(INDEX($H$2:$H$3000,MATCH(0,INDEX(COUNTIF($A$1:A215,$H$2:$H$3000)+($H$2:$H$3000=""),0,0),0)),"")</f>
        <v>MERCEDES♦E-CLASS</v>
      </c>
      <c r="B216" s="62" t="str">
        <f t="shared" si="12"/>
        <v>MERCEDES</v>
      </c>
      <c r="C216" s="62" t="str">
        <f t="shared" si="13"/>
        <v>E-CLASS</v>
      </c>
      <c r="D216" s="63">
        <f t="shared" si="14"/>
        <v>105</v>
      </c>
      <c r="E216" s="62">
        <f>IF(D216="","",_xlfn.RANK.EQ(D216,$D$2:$D$1001,0)+COUNTIF($D$2:D216,D216)-1)</f>
        <v>71</v>
      </c>
      <c r="F216" s="62">
        <f>IF(B216="","",--(COUNTIF(CN_Brands!$A$2:$A$300,UPPER(B216))&gt;0))</f>
        <v>0</v>
      </c>
      <c r="G216" s="62" t="str">
        <f t="shared" si="15"/>
        <v>轿车</v>
      </c>
      <c r="H216" s="62" t="str">
        <f>IF(AND('Data Export'!A216=前十整体车型排名!$B$2,'Data Export'!B216=前十整体车型排名!$B$3,'Data Export'!D216&lt;&gt;""),UPPER('Data Export'!C216)&amp;"♦"&amp;'Data Export'!D216,"")</f>
        <v>CHEVROLET♦CAPTIVA</v>
      </c>
      <c r="I216" s="63">
        <f>IF(H216="","",IFERROR(INDEX('Data Export'!G216:CZ216,1,MATCH(前十整体车型排名!$B$4,'Data Export'!$G$1:$CZ$1,0)),0))</f>
        <v>0</v>
      </c>
      <c r="J216" s="62" t="str">
        <f>IF(H216="","",IF(OR('Data Export'!F216="三厢轿车",'Data Export'!F216="掀背轿车",'Data Export'!F216="旅行车",'Data Export'!F216="微型车",'Data Export'!F216="硬顶跑车",'Data Export'!F216="敞蓬车",'Data Export'!F216="Targa"),"轿车",IF(OR('Data Export'!F216="小型MPV",'Data Export'!F216="客车"),"MPV",IF('Data Export'!F216="运动型多功能车","SUV","其他"))))</f>
        <v>SUV</v>
      </c>
      <c r="K216" s="62" t="str">
        <f>IF(OR(D216="",NOT(F216=1)),"",1+SUMPRODUCT(($F$2:$F$1001=1)*($D$2:$D$1001&gt;D216))+COUNTIFS($F$2:F216,1,$D$2:D216,D216)-1)</f>
        <v/>
      </c>
      <c r="L216" s="62">
        <f>IF(OR(D216="",NOT(G216="轿车")),"",1+SUMPRODUCT(($G$2:$G$1001="轿车")*($D$2:$D$1001&gt;D216))+COUNTIFS($G$2:G216,"轿车",$D$2:D216,D216)-1)</f>
        <v>21</v>
      </c>
      <c r="M216" s="62" t="str">
        <f>IF(OR(D216="",NOT(G216="MPV")),"",1+SUMPRODUCT(($G$2:$G$1001="MPV")*($D$2:$D$1001&gt;D216))+COUNTIFS($G$2:G216,"MPV",$D$2:D216,D216)-1)</f>
        <v/>
      </c>
      <c r="N216" s="62" t="str">
        <f>IF(OR(D216="",NOT(G216="SUV")),"",1+SUMPRODUCT(($G$2:$G$1001="SUV")*($D$2:$D$1001&gt;D216))+COUNTIFS($G$2:G216,"SUV",$D$2:D216,D216)-1)</f>
        <v/>
      </c>
      <c r="O216" s="62" t="str">
        <f>IF(OR(D216="",NOT(AND(F216=1,G216="轿车"))),"",1+SUMPRODUCT(($F$2:$F$1001=1)*($G$2:$G$1001="轿车")*($D$2:$D$1001&gt;D216))+COUNTIFS($F$2:F216,1,$G$2:G216,"轿车",$D$2:D216,D216)-1)</f>
        <v/>
      </c>
      <c r="P216" s="62" t="str">
        <f>IF(OR(D216="",NOT(AND(F216=1,G216="MPV"))),"",1+SUMPRODUCT(($F$2:$F$1001=1)*($G$2:$G$1001="MPV")*($D$2:$D$1001&gt;D216))+COUNTIFS($F$2:F216,1,$G$2:G216,"MPV",$D$2:D216,D216)-1)</f>
        <v/>
      </c>
      <c r="Q216" s="62" t="str">
        <f>IF(OR(D216="",NOT(AND(F216=1,G216="SUV"))),"",1+SUMPRODUCT(($F$2:$F$1001=1)*($G$2:$G$1001="SUV")*($D$2:$D$1001&gt;D216))+COUNTIFS($F$2:F216,1,$G$2:G216,"SUV",$D$2:D216,D216)-1)</f>
        <v/>
      </c>
    </row>
    <row r="217" spans="1:17">
      <c r="A217" s="62" t="str">
        <f>IFERROR(INDEX($H$2:$H$3000,MATCH(0,INDEX(COUNTIF($A$1:A216,$H$2:$H$3000)+($H$2:$H$3000=""),0,0),0)),"")</f>
        <v>MERCEDES♦EQE</v>
      </c>
      <c r="B217" s="62" t="str">
        <f t="shared" si="12"/>
        <v>MERCEDES</v>
      </c>
      <c r="C217" s="62" t="str">
        <f t="shared" si="13"/>
        <v>EQE</v>
      </c>
      <c r="D217" s="63">
        <f t="shared" si="14"/>
        <v>21</v>
      </c>
      <c r="E217" s="62">
        <f>IF(D217="","",_xlfn.RANK.EQ(D217,$D$2:$D$1001,0)+COUNTIF($D$2:D217,D217)-1)</f>
        <v>120</v>
      </c>
      <c r="F217" s="62">
        <f>IF(B217="","",--(COUNTIF(CN_Brands!$A$2:$A$300,UPPER(B217))&gt;0))</f>
        <v>0</v>
      </c>
      <c r="G217" s="62" t="str">
        <f t="shared" si="15"/>
        <v>SUV</v>
      </c>
      <c r="H217" s="62" t="str">
        <f>IF(AND('Data Export'!A217=前十整体车型排名!$B$2,'Data Export'!B217=前十整体车型排名!$B$3,'Data Export'!D217&lt;&gt;""),UPPER('Data Export'!C217)&amp;"♦"&amp;'Data Export'!D217,"")</f>
        <v>CHEVROLET♦CORVETTE</v>
      </c>
      <c r="I217" s="63">
        <f>IF(H217="","",IFERROR(INDEX('Data Export'!G217:CZ217,1,MATCH(前十整体车型排名!$B$4,'Data Export'!$G$1:$CZ$1,0)),0))</f>
        <v>0</v>
      </c>
      <c r="J217" s="62" t="str">
        <f>IF(H217="","",IF(OR('Data Export'!F217="三厢轿车",'Data Export'!F217="掀背轿车",'Data Export'!F217="旅行车",'Data Export'!F217="微型车",'Data Export'!F217="硬顶跑车",'Data Export'!F217="敞蓬车",'Data Export'!F217="Targa"),"轿车",IF(OR('Data Export'!F217="小型MPV",'Data Export'!F217="客车"),"MPV",IF('Data Export'!F217="运动型多功能车","SUV","其他"))))</f>
        <v>轿车</v>
      </c>
      <c r="K217" s="62" t="str">
        <f>IF(OR(D217="",NOT(F217=1)),"",1+SUMPRODUCT(($F$2:$F$1001=1)*($D$2:$D$1001&gt;D217))+COUNTIFS($F$2:F217,1,$D$2:D217,D217)-1)</f>
        <v/>
      </c>
      <c r="L217" s="62" t="str">
        <f>IF(OR(D217="",NOT(G217="轿车")),"",1+SUMPRODUCT(($G$2:$G$1001="轿车")*($D$2:$D$1001&gt;D217))+COUNTIFS($G$2:G217,"轿车",$D$2:D217,D217)-1)</f>
        <v/>
      </c>
      <c r="M217" s="62" t="str">
        <f>IF(OR(D217="",NOT(G217="MPV")),"",1+SUMPRODUCT(($G$2:$G$1001="MPV")*($D$2:$D$1001&gt;D217))+COUNTIFS($G$2:G217,"MPV",$D$2:D217,D217)-1)</f>
        <v/>
      </c>
      <c r="N217" s="62">
        <f>IF(OR(D217="",NOT(G217="SUV")),"",1+SUMPRODUCT(($G$2:$G$1001="SUV")*($D$2:$D$1001&gt;D217))+COUNTIFS($G$2:G217,"SUV",$D$2:D217,D217)-1)</f>
        <v>64</v>
      </c>
      <c r="O217" s="62" t="str">
        <f>IF(OR(D217="",NOT(AND(F217=1,G217="轿车"))),"",1+SUMPRODUCT(($F$2:$F$1001=1)*($G$2:$G$1001="轿车")*($D$2:$D$1001&gt;D217))+COUNTIFS($F$2:F217,1,$G$2:G217,"轿车",$D$2:D217,D217)-1)</f>
        <v/>
      </c>
      <c r="P217" s="62" t="str">
        <f>IF(OR(D217="",NOT(AND(F217=1,G217="MPV"))),"",1+SUMPRODUCT(($F$2:$F$1001=1)*($G$2:$G$1001="MPV")*($D$2:$D$1001&gt;D217))+COUNTIFS($F$2:F217,1,$G$2:G217,"MPV",$D$2:D217,D217)-1)</f>
        <v/>
      </c>
      <c r="Q217" s="62" t="str">
        <f>IF(OR(D217="",NOT(AND(F217=1,G217="SUV"))),"",1+SUMPRODUCT(($F$2:$F$1001=1)*($G$2:$G$1001="SUV")*($D$2:$D$1001&gt;D217))+COUNTIFS($F$2:F217,1,$G$2:G217,"SUV",$D$2:D217,D217)-1)</f>
        <v/>
      </c>
    </row>
    <row r="218" spans="1:17">
      <c r="A218" s="62" t="str">
        <f>IFERROR(INDEX($H$2:$H$3000,MATCH(0,INDEX(COUNTIF($A$1:A217,$H$2:$H$3000)+($H$2:$H$3000=""),0,0),0)),"")</f>
        <v>MERCEDES♦EQS</v>
      </c>
      <c r="B218" s="62" t="str">
        <f t="shared" si="12"/>
        <v>MERCEDES</v>
      </c>
      <c r="C218" s="62" t="str">
        <f t="shared" si="13"/>
        <v>EQS</v>
      </c>
      <c r="D218" s="63">
        <f t="shared" si="14"/>
        <v>26</v>
      </c>
      <c r="E218" s="62">
        <f>IF(D218="","",_xlfn.RANK.EQ(D218,$D$2:$D$1001,0)+COUNTIF($D$2:D218,D218)-1)</f>
        <v>113</v>
      </c>
      <c r="F218" s="62">
        <f>IF(B218="","",--(COUNTIF(CN_Brands!$A$2:$A$300,UPPER(B218))&gt;0))</f>
        <v>0</v>
      </c>
      <c r="G218" s="62" t="str">
        <f t="shared" si="15"/>
        <v>SUV</v>
      </c>
      <c r="H218" s="62" t="str">
        <f>IF(AND('Data Export'!A218=前十整体车型排名!$B$2,'Data Export'!B218=前十整体车型排名!$B$3,'Data Export'!D218&lt;&gt;""),UPPER('Data Export'!C218)&amp;"♦"&amp;'Data Export'!D218,"")</f>
        <v>CHEVROLET♦CORVETTE</v>
      </c>
      <c r="I218" s="63">
        <f>IF(H218="","",IFERROR(INDEX('Data Export'!G218:CZ218,1,MATCH(前十整体车型排名!$B$4,'Data Export'!$G$1:$CZ$1,0)),0))</f>
        <v>1</v>
      </c>
      <c r="J218" s="62" t="str">
        <f>IF(H218="","",IF(OR('Data Export'!F218="三厢轿车",'Data Export'!F218="掀背轿车",'Data Export'!F218="旅行车",'Data Export'!F218="微型车",'Data Export'!F218="硬顶跑车",'Data Export'!F218="敞蓬车",'Data Export'!F218="Targa"),"轿车",IF(OR('Data Export'!F218="小型MPV",'Data Export'!F218="客车"),"MPV",IF('Data Export'!F218="运动型多功能车","SUV","其他"))))</f>
        <v>轿车</v>
      </c>
      <c r="K218" s="62" t="str">
        <f>IF(OR(D218="",NOT(F218=1)),"",1+SUMPRODUCT(($F$2:$F$1001=1)*($D$2:$D$1001&gt;D218))+COUNTIFS($F$2:F218,1,$D$2:D218,D218)-1)</f>
        <v/>
      </c>
      <c r="L218" s="62" t="str">
        <f>IF(OR(D218="",NOT(G218="轿车")),"",1+SUMPRODUCT(($G$2:$G$1001="轿车")*($D$2:$D$1001&gt;D218))+COUNTIFS($G$2:G218,"轿车",$D$2:D218,D218)-1)</f>
        <v/>
      </c>
      <c r="M218" s="62" t="str">
        <f>IF(OR(D218="",NOT(G218="MPV")),"",1+SUMPRODUCT(($G$2:$G$1001="MPV")*($D$2:$D$1001&gt;D218))+COUNTIFS($G$2:G218,"MPV",$D$2:D218,D218)-1)</f>
        <v/>
      </c>
      <c r="N218" s="62">
        <f>IF(OR(D218="",NOT(G218="SUV")),"",1+SUMPRODUCT(($G$2:$G$1001="SUV")*($D$2:$D$1001&gt;D218))+COUNTIFS($G$2:G218,"SUV",$D$2:D218,D218)-1)</f>
        <v>57</v>
      </c>
      <c r="O218" s="62" t="str">
        <f>IF(OR(D218="",NOT(AND(F218=1,G218="轿车"))),"",1+SUMPRODUCT(($F$2:$F$1001=1)*($G$2:$G$1001="轿车")*($D$2:$D$1001&gt;D218))+COUNTIFS($F$2:F218,1,$G$2:G218,"轿车",$D$2:D218,D218)-1)</f>
        <v/>
      </c>
      <c r="P218" s="62" t="str">
        <f>IF(OR(D218="",NOT(AND(F218=1,G218="MPV"))),"",1+SUMPRODUCT(($F$2:$F$1001=1)*($G$2:$G$1001="MPV")*($D$2:$D$1001&gt;D218))+COUNTIFS($F$2:F218,1,$G$2:G218,"MPV",$D$2:D218,D218)-1)</f>
        <v/>
      </c>
      <c r="Q218" s="62" t="str">
        <f>IF(OR(D218="",NOT(AND(F218=1,G218="SUV"))),"",1+SUMPRODUCT(($F$2:$F$1001=1)*($G$2:$G$1001="SUV")*($D$2:$D$1001&gt;D218))+COUNTIFS($F$2:F218,1,$G$2:G218,"SUV",$D$2:D218,D218)-1)</f>
        <v/>
      </c>
    </row>
    <row r="219" spans="1:17">
      <c r="A219" s="62" t="str">
        <f>IFERROR(INDEX($H$2:$H$3000,MATCH(0,INDEX(COUNTIF($A$1:A218,$H$2:$H$3000)+($H$2:$H$3000=""),0,0),0)),"")</f>
        <v>MERCEDES♦G-CLASS</v>
      </c>
      <c r="B219" s="62" t="str">
        <f t="shared" si="12"/>
        <v>MERCEDES</v>
      </c>
      <c r="C219" s="62" t="str">
        <f t="shared" si="13"/>
        <v>G-CLASS</v>
      </c>
      <c r="D219" s="63">
        <f t="shared" si="14"/>
        <v>15</v>
      </c>
      <c r="E219" s="62">
        <f>IF(D219="","",_xlfn.RANK.EQ(D219,$D$2:$D$1001,0)+COUNTIF($D$2:D219,D219)-1)</f>
        <v>129</v>
      </c>
      <c r="F219" s="62">
        <f>IF(B219="","",--(COUNTIF(CN_Brands!$A$2:$A$300,UPPER(B219))&gt;0))</f>
        <v>0</v>
      </c>
      <c r="G219" s="62" t="str">
        <f t="shared" si="15"/>
        <v>SUV</v>
      </c>
      <c r="H219" s="62" t="str">
        <f>IF(AND('Data Export'!A219=前十整体车型排名!$B$2,'Data Export'!B219=前十整体车型排名!$B$3,'Data Export'!D219&lt;&gt;""),UPPER('Data Export'!C219)&amp;"♦"&amp;'Data Export'!D219,"")</f>
        <v>CHEVROLET♦CORVETTE</v>
      </c>
      <c r="I219" s="63">
        <f>IF(H219="","",IFERROR(INDEX('Data Export'!G219:CZ219,1,MATCH(前十整体车型排名!$B$4,'Data Export'!$G$1:$CZ$1,0)),0))</f>
        <v>0</v>
      </c>
      <c r="J219" s="62" t="str">
        <f>IF(H219="","",IF(OR('Data Export'!F219="三厢轿车",'Data Export'!F219="掀背轿车",'Data Export'!F219="旅行车",'Data Export'!F219="微型车",'Data Export'!F219="硬顶跑车",'Data Export'!F219="敞蓬车",'Data Export'!F219="Targa"),"轿车",IF(OR('Data Export'!F219="小型MPV",'Data Export'!F219="客车"),"MPV",IF('Data Export'!F219="运动型多功能车","SUV","其他"))))</f>
        <v>轿车</v>
      </c>
      <c r="K219" s="62" t="str">
        <f>IF(OR(D219="",NOT(F219=1)),"",1+SUMPRODUCT(($F$2:$F$1001=1)*($D$2:$D$1001&gt;D219))+COUNTIFS($F$2:F219,1,$D$2:D219,D219)-1)</f>
        <v/>
      </c>
      <c r="L219" s="62" t="str">
        <f>IF(OR(D219="",NOT(G219="轿车")),"",1+SUMPRODUCT(($G$2:$G$1001="轿车")*($D$2:$D$1001&gt;D219))+COUNTIFS($G$2:G219,"轿车",$D$2:D219,D219)-1)</f>
        <v/>
      </c>
      <c r="M219" s="62" t="str">
        <f>IF(OR(D219="",NOT(G219="MPV")),"",1+SUMPRODUCT(($G$2:$G$1001="MPV")*($D$2:$D$1001&gt;D219))+COUNTIFS($G$2:G219,"MPV",$D$2:D219,D219)-1)</f>
        <v/>
      </c>
      <c r="N219" s="62">
        <f>IF(OR(D219="",NOT(G219="SUV")),"",1+SUMPRODUCT(($G$2:$G$1001="SUV")*($D$2:$D$1001&gt;D219))+COUNTIFS($G$2:G219,"SUV",$D$2:D219,D219)-1)</f>
        <v>70</v>
      </c>
      <c r="O219" s="62" t="str">
        <f>IF(OR(D219="",NOT(AND(F219=1,G219="轿车"))),"",1+SUMPRODUCT(($F$2:$F$1001=1)*($G$2:$G$1001="轿车")*($D$2:$D$1001&gt;D219))+COUNTIFS($F$2:F219,1,$G$2:G219,"轿车",$D$2:D219,D219)-1)</f>
        <v/>
      </c>
      <c r="P219" s="62" t="str">
        <f>IF(OR(D219="",NOT(AND(F219=1,G219="MPV"))),"",1+SUMPRODUCT(($F$2:$F$1001=1)*($G$2:$G$1001="MPV")*($D$2:$D$1001&gt;D219))+COUNTIFS($F$2:F219,1,$G$2:G219,"MPV",$D$2:D219,D219)-1)</f>
        <v/>
      </c>
      <c r="Q219" s="62" t="str">
        <f>IF(OR(D219="",NOT(AND(F219=1,G219="SUV"))),"",1+SUMPRODUCT(($F$2:$F$1001=1)*($G$2:$G$1001="SUV")*($D$2:$D$1001&gt;D219))+COUNTIFS($F$2:F219,1,$G$2:G219,"SUV",$D$2:D219,D219)-1)</f>
        <v/>
      </c>
    </row>
    <row r="220" spans="1:17">
      <c r="A220" s="62" t="str">
        <f>IFERROR(INDEX($H$2:$H$3000,MATCH(0,INDEX(COUNTIF($A$1:A219,$H$2:$H$3000)+($H$2:$H$3000=""),0,0),0)),"")</f>
        <v>MERCEDES♦GLA</v>
      </c>
      <c r="B220" s="62" t="str">
        <f t="shared" si="12"/>
        <v>MERCEDES</v>
      </c>
      <c r="C220" s="62" t="str">
        <f t="shared" si="13"/>
        <v>GLA</v>
      </c>
      <c r="D220" s="63">
        <f t="shared" si="14"/>
        <v>30</v>
      </c>
      <c r="E220" s="62">
        <f>IF(D220="","",_xlfn.RANK.EQ(D220,$D$2:$D$1001,0)+COUNTIF($D$2:D220,D220)-1)</f>
        <v>109</v>
      </c>
      <c r="F220" s="62">
        <f>IF(B220="","",--(COUNTIF(CN_Brands!$A$2:$A$300,UPPER(B220))&gt;0))</f>
        <v>0</v>
      </c>
      <c r="G220" s="62" t="str">
        <f t="shared" si="15"/>
        <v>SUV</v>
      </c>
      <c r="H220" s="62" t="str">
        <f>IF(AND('Data Export'!A220=前十整体车型排名!$B$2,'Data Export'!B220=前十整体车型排名!$B$3,'Data Export'!D220&lt;&gt;""),UPPER('Data Export'!C220)&amp;"♦"&amp;'Data Export'!D220,"")</f>
        <v>DAIHATSU♦COPEN</v>
      </c>
      <c r="I220" s="63">
        <f>IF(H220="","",IFERROR(INDEX('Data Export'!G220:CZ220,1,MATCH(前十整体车型排名!$B$4,'Data Export'!$G$1:$CZ$1,0)),0))</f>
        <v>0</v>
      </c>
      <c r="J220" s="62" t="str">
        <f>IF(H220="","",IF(OR('Data Export'!F220="三厢轿车",'Data Export'!F220="掀背轿车",'Data Export'!F220="旅行车",'Data Export'!F220="微型车",'Data Export'!F220="硬顶跑车",'Data Export'!F220="敞蓬车",'Data Export'!F220="Targa"),"轿车",IF(OR('Data Export'!F220="小型MPV",'Data Export'!F220="客车"),"MPV",IF('Data Export'!F220="运动型多功能车","SUV","其他"))))</f>
        <v>轿车</v>
      </c>
      <c r="K220" s="62" t="str">
        <f>IF(OR(D220="",NOT(F220=1)),"",1+SUMPRODUCT(($F$2:$F$1001=1)*($D$2:$D$1001&gt;D220))+COUNTIFS($F$2:F220,1,$D$2:D220,D220)-1)</f>
        <v/>
      </c>
      <c r="L220" s="62" t="str">
        <f>IF(OR(D220="",NOT(G220="轿车")),"",1+SUMPRODUCT(($G$2:$G$1001="轿车")*($D$2:$D$1001&gt;D220))+COUNTIFS($G$2:G220,"轿车",$D$2:D220,D220)-1)</f>
        <v/>
      </c>
      <c r="M220" s="62" t="str">
        <f>IF(OR(D220="",NOT(G220="MPV")),"",1+SUMPRODUCT(($G$2:$G$1001="MPV")*($D$2:$D$1001&gt;D220))+COUNTIFS($G$2:G220,"MPV",$D$2:D220,D220)-1)</f>
        <v/>
      </c>
      <c r="N220" s="62">
        <f>IF(OR(D220="",NOT(G220="SUV")),"",1+SUMPRODUCT(($G$2:$G$1001="SUV")*($D$2:$D$1001&gt;D220))+COUNTIFS($G$2:G220,"SUV",$D$2:D220,D220)-1)</f>
        <v>56</v>
      </c>
      <c r="O220" s="62" t="str">
        <f>IF(OR(D220="",NOT(AND(F220=1,G220="轿车"))),"",1+SUMPRODUCT(($F$2:$F$1001=1)*($G$2:$G$1001="轿车")*($D$2:$D$1001&gt;D220))+COUNTIFS($F$2:F220,1,$G$2:G220,"轿车",$D$2:D220,D220)-1)</f>
        <v/>
      </c>
      <c r="P220" s="62" t="str">
        <f>IF(OR(D220="",NOT(AND(F220=1,G220="MPV"))),"",1+SUMPRODUCT(($F$2:$F$1001=1)*($G$2:$G$1001="MPV")*($D$2:$D$1001&gt;D220))+COUNTIFS($F$2:F220,1,$G$2:G220,"MPV",$D$2:D220,D220)-1)</f>
        <v/>
      </c>
      <c r="Q220" s="62" t="str">
        <f>IF(OR(D220="",NOT(AND(F220=1,G220="SUV"))),"",1+SUMPRODUCT(($F$2:$F$1001=1)*($G$2:$G$1001="SUV")*($D$2:$D$1001&gt;D220))+COUNTIFS($F$2:F220,1,$G$2:G220,"SUV",$D$2:D220,D220)-1)</f>
        <v/>
      </c>
    </row>
    <row r="221" spans="1:17">
      <c r="A221" s="62" t="str">
        <f>IFERROR(INDEX($H$2:$H$3000,MATCH(0,INDEX(COUNTIF($A$1:A220,$H$2:$H$3000)+($H$2:$H$3000=""),0,0),0)),"")</f>
        <v>MERCEDES♦GLB</v>
      </c>
      <c r="B221" s="62" t="str">
        <f t="shared" si="12"/>
        <v>MERCEDES</v>
      </c>
      <c r="C221" s="62" t="str">
        <f t="shared" si="13"/>
        <v>GLB</v>
      </c>
      <c r="D221" s="63">
        <f t="shared" si="14"/>
        <v>0</v>
      </c>
      <c r="E221" s="62">
        <f>IF(D221="","",_xlfn.RANK.EQ(D221,$D$2:$D$1001,0)+COUNTIF($D$2:D221,D221)-1)</f>
        <v>342</v>
      </c>
      <c r="F221" s="62">
        <f>IF(B221="","",--(COUNTIF(CN_Brands!$A$2:$A$300,UPPER(B221))&gt;0))</f>
        <v>0</v>
      </c>
      <c r="G221" s="62" t="str">
        <f t="shared" si="15"/>
        <v>SUV</v>
      </c>
      <c r="H221" s="62" t="str">
        <f>IF(AND('Data Export'!A221=前十整体车型排名!$B$2,'Data Export'!B221=前十整体车型排名!$B$3,'Data Export'!D221&lt;&gt;""),UPPER('Data Export'!C221)&amp;"♦"&amp;'Data Export'!D221,"")</f>
        <v>DAIHATSU♦MOVE</v>
      </c>
      <c r="I221" s="63">
        <f>IF(H221="","",IFERROR(INDEX('Data Export'!G221:CZ221,1,MATCH(前十整体车型排名!$B$4,'Data Export'!$G$1:$CZ$1,0)),0))</f>
        <v>0</v>
      </c>
      <c r="J221" s="62" t="str">
        <f>IF(H221="","",IF(OR('Data Export'!F221="三厢轿车",'Data Export'!F221="掀背轿车",'Data Export'!F221="旅行车",'Data Export'!F221="微型车",'Data Export'!F221="硬顶跑车",'Data Export'!F221="敞蓬车",'Data Export'!F221="Targa"),"轿车",IF(OR('Data Export'!F221="小型MPV",'Data Export'!F221="客车"),"MPV",IF('Data Export'!F221="运动型多功能车","SUV","其他"))))</f>
        <v>其他</v>
      </c>
      <c r="K221" s="62" t="str">
        <f>IF(OR(D221="",NOT(F221=1)),"",1+SUMPRODUCT(($F$2:$F$1001=1)*($D$2:$D$1001&gt;D221))+COUNTIFS($F$2:F221,1,$D$2:D221,D221)-1)</f>
        <v/>
      </c>
      <c r="L221" s="62" t="str">
        <f>IF(OR(D221="",NOT(G221="轿车")),"",1+SUMPRODUCT(($G$2:$G$1001="轿车")*($D$2:$D$1001&gt;D221))+COUNTIFS($G$2:G221,"轿车",$D$2:D221,D221)-1)</f>
        <v/>
      </c>
      <c r="M221" s="62" t="str">
        <f>IF(OR(D221="",NOT(G221="MPV")),"",1+SUMPRODUCT(($G$2:$G$1001="MPV")*($D$2:$D$1001&gt;D221))+COUNTIFS($G$2:G221,"MPV",$D$2:D221,D221)-1)</f>
        <v/>
      </c>
      <c r="N221" s="62">
        <f>IF(OR(D221="",NOT(G221="SUV")),"",1+SUMPRODUCT(($G$2:$G$1001="SUV")*($D$2:$D$1001&gt;D221))+COUNTIFS($G$2:G221,"SUV",$D$2:D221,D221)-1)</f>
        <v>150</v>
      </c>
      <c r="O221" s="62" t="str">
        <f>IF(OR(D221="",NOT(AND(F221=1,G221="轿车"))),"",1+SUMPRODUCT(($F$2:$F$1001=1)*($G$2:$G$1001="轿车")*($D$2:$D$1001&gt;D221))+COUNTIFS($F$2:F221,1,$G$2:G221,"轿车",$D$2:D221,D221)-1)</f>
        <v/>
      </c>
      <c r="P221" s="62" t="str">
        <f>IF(OR(D221="",NOT(AND(F221=1,G221="MPV"))),"",1+SUMPRODUCT(($F$2:$F$1001=1)*($G$2:$G$1001="MPV")*($D$2:$D$1001&gt;D221))+COUNTIFS($F$2:F221,1,$G$2:G221,"MPV",$D$2:D221,D221)-1)</f>
        <v/>
      </c>
      <c r="Q221" s="62" t="str">
        <f>IF(OR(D221="",NOT(AND(F221=1,G221="SUV"))),"",1+SUMPRODUCT(($F$2:$F$1001=1)*($G$2:$G$1001="SUV")*($D$2:$D$1001&gt;D221))+COUNTIFS($F$2:F221,1,$G$2:G221,"SUV",$D$2:D221,D221)-1)</f>
        <v/>
      </c>
    </row>
    <row r="222" spans="1:17">
      <c r="A222" s="62" t="str">
        <f>IFERROR(INDEX($H$2:$H$3000,MATCH(0,INDEX(COUNTIF($A$1:A221,$H$2:$H$3000)+($H$2:$H$3000=""),0,0),0)),"")</f>
        <v>MERCEDES♦GLC COUPE</v>
      </c>
      <c r="B222" s="62" t="str">
        <f t="shared" si="12"/>
        <v>MERCEDES</v>
      </c>
      <c r="C222" s="62" t="str">
        <f t="shared" si="13"/>
        <v>GLC COUPE</v>
      </c>
      <c r="D222" s="63">
        <f t="shared" si="14"/>
        <v>25</v>
      </c>
      <c r="E222" s="62">
        <f>IF(D222="","",_xlfn.RANK.EQ(D222,$D$2:$D$1001,0)+COUNTIF($D$2:D222,D222)-1)</f>
        <v>114</v>
      </c>
      <c r="F222" s="62">
        <f>IF(B222="","",--(COUNTIF(CN_Brands!$A$2:$A$300,UPPER(B222))&gt;0))</f>
        <v>0</v>
      </c>
      <c r="G222" s="62" t="str">
        <f t="shared" si="15"/>
        <v>SUV</v>
      </c>
      <c r="H222" s="62" t="str">
        <f>IF(AND('Data Export'!A222=前十整体车型排名!$B$2,'Data Export'!B222=前十整体车型排名!$B$3,'Data Export'!D222&lt;&gt;""),UPPER('Data Export'!C222)&amp;"♦"&amp;'Data Export'!D222,"")</f>
        <v>DAIHATSU♦MOVE</v>
      </c>
      <c r="I222" s="63">
        <f>IF(H222="","",IFERROR(INDEX('Data Export'!G222:CZ222,1,MATCH(前十整体车型排名!$B$4,'Data Export'!$G$1:$CZ$1,0)),0))</f>
        <v>1</v>
      </c>
      <c r="J222" s="62" t="str">
        <f>IF(H222="","",IF(OR('Data Export'!F222="三厢轿车",'Data Export'!F222="掀背轿车",'Data Export'!F222="旅行车",'Data Export'!F222="微型车",'Data Export'!F222="硬顶跑车",'Data Export'!F222="敞蓬车",'Data Export'!F222="Targa"),"轿车",IF(OR('Data Export'!F222="小型MPV",'Data Export'!F222="客车"),"MPV",IF('Data Export'!F222="运动型多功能车","SUV","其他"))))</f>
        <v>其他</v>
      </c>
      <c r="K222" s="62" t="str">
        <f>IF(OR(D222="",NOT(F222=1)),"",1+SUMPRODUCT(($F$2:$F$1001=1)*($D$2:$D$1001&gt;D222))+COUNTIFS($F$2:F222,1,$D$2:D222,D222)-1)</f>
        <v/>
      </c>
      <c r="L222" s="62" t="str">
        <f>IF(OR(D222="",NOT(G222="轿车")),"",1+SUMPRODUCT(($G$2:$G$1001="轿车")*($D$2:$D$1001&gt;D222))+COUNTIFS($G$2:G222,"轿车",$D$2:D222,D222)-1)</f>
        <v/>
      </c>
      <c r="M222" s="62" t="str">
        <f>IF(OR(D222="",NOT(G222="MPV")),"",1+SUMPRODUCT(($G$2:$G$1001="MPV")*($D$2:$D$1001&gt;D222))+COUNTIFS($G$2:G222,"MPV",$D$2:D222,D222)-1)</f>
        <v/>
      </c>
      <c r="N222" s="62">
        <f>IF(OR(D222="",NOT(G222="SUV")),"",1+SUMPRODUCT(($G$2:$G$1001="SUV")*($D$2:$D$1001&gt;D222))+COUNTIFS($G$2:G222,"SUV",$D$2:D222,D222)-1)</f>
        <v>58</v>
      </c>
      <c r="O222" s="62" t="str">
        <f>IF(OR(D222="",NOT(AND(F222=1,G222="轿车"))),"",1+SUMPRODUCT(($F$2:$F$1001=1)*($G$2:$G$1001="轿车")*($D$2:$D$1001&gt;D222))+COUNTIFS($F$2:F222,1,$G$2:G222,"轿车",$D$2:D222,D222)-1)</f>
        <v/>
      </c>
      <c r="P222" s="62" t="str">
        <f>IF(OR(D222="",NOT(AND(F222=1,G222="MPV"))),"",1+SUMPRODUCT(($F$2:$F$1001=1)*($G$2:$G$1001="MPV")*($D$2:$D$1001&gt;D222))+COUNTIFS($F$2:F222,1,$G$2:G222,"MPV",$D$2:D222,D222)-1)</f>
        <v/>
      </c>
      <c r="Q222" s="62" t="str">
        <f>IF(OR(D222="",NOT(AND(F222=1,G222="SUV"))),"",1+SUMPRODUCT(($F$2:$F$1001=1)*($G$2:$G$1001="SUV")*($D$2:$D$1001&gt;D222))+COUNTIFS($F$2:F222,1,$G$2:G222,"SUV",$D$2:D222,D222)-1)</f>
        <v/>
      </c>
    </row>
    <row r="223" spans="1:17">
      <c r="A223" s="62" t="str">
        <f>IFERROR(INDEX($H$2:$H$3000,MATCH(0,INDEX(COUNTIF($A$1:A222,$H$2:$H$3000)+($H$2:$H$3000=""),0,0),0)),"")</f>
        <v>MERCEDES♦GLC-CLASS</v>
      </c>
      <c r="B223" s="62" t="str">
        <f t="shared" si="12"/>
        <v>MERCEDES</v>
      </c>
      <c r="C223" s="62" t="str">
        <f t="shared" si="13"/>
        <v>GLC-CLASS</v>
      </c>
      <c r="D223" s="63">
        <f t="shared" si="14"/>
        <v>54</v>
      </c>
      <c r="E223" s="62">
        <f>IF(D223="","",_xlfn.RANK.EQ(D223,$D$2:$D$1001,0)+COUNTIF($D$2:D223,D223)-1)</f>
        <v>95</v>
      </c>
      <c r="F223" s="62">
        <f>IF(B223="","",--(COUNTIF(CN_Brands!$A$2:$A$300,UPPER(B223))&gt;0))</f>
        <v>0</v>
      </c>
      <c r="G223" s="62" t="str">
        <f t="shared" si="15"/>
        <v>SUV</v>
      </c>
      <c r="H223" s="62" t="str">
        <f>IF(AND('Data Export'!A223=前十整体车型排名!$B$2,'Data Export'!B223=前十整体车型排名!$B$3,'Data Export'!D223&lt;&gt;""),UPPER('Data Export'!C223)&amp;"♦"&amp;'Data Export'!D223,"")</f>
        <v>DAYUN♦OTHER</v>
      </c>
      <c r="I223" s="63">
        <f>IF(H223="","",IFERROR(INDEX('Data Export'!G223:CZ223,1,MATCH(前十整体车型排名!$B$4,'Data Export'!$G$1:$CZ$1,0)),0))</f>
        <v>0</v>
      </c>
      <c r="J223" s="62" t="str">
        <f>IF(H223="","",IF(OR('Data Export'!F223="三厢轿车",'Data Export'!F223="掀背轿车",'Data Export'!F223="旅行车",'Data Export'!F223="微型车",'Data Export'!F223="硬顶跑车",'Data Export'!F223="敞蓬车",'Data Export'!F223="Targa"),"轿车",IF(OR('Data Export'!F223="小型MPV",'Data Export'!F223="客车"),"MPV",IF('Data Export'!F223="运动型多功能车","SUV","其他"))))</f>
        <v>其他</v>
      </c>
      <c r="K223" s="62" t="str">
        <f>IF(OR(D223="",NOT(F223=1)),"",1+SUMPRODUCT(($F$2:$F$1001=1)*($D$2:$D$1001&gt;D223))+COUNTIFS($F$2:F223,1,$D$2:D223,D223)-1)</f>
        <v/>
      </c>
      <c r="L223" s="62" t="str">
        <f>IF(OR(D223="",NOT(G223="轿车")),"",1+SUMPRODUCT(($G$2:$G$1001="轿车")*($D$2:$D$1001&gt;D223))+COUNTIFS($G$2:G223,"轿车",$D$2:D223,D223)-1)</f>
        <v/>
      </c>
      <c r="M223" s="62" t="str">
        <f>IF(OR(D223="",NOT(G223="MPV")),"",1+SUMPRODUCT(($G$2:$G$1001="MPV")*($D$2:$D$1001&gt;D223))+COUNTIFS($G$2:G223,"MPV",$D$2:D223,D223)-1)</f>
        <v/>
      </c>
      <c r="N223" s="62">
        <f>IF(OR(D223="",NOT(G223="SUV")),"",1+SUMPRODUCT(($G$2:$G$1001="SUV")*($D$2:$D$1001&gt;D223))+COUNTIFS($G$2:G223,"SUV",$D$2:D223,D223)-1)</f>
        <v>48</v>
      </c>
      <c r="O223" s="62" t="str">
        <f>IF(OR(D223="",NOT(AND(F223=1,G223="轿车"))),"",1+SUMPRODUCT(($F$2:$F$1001=1)*($G$2:$G$1001="轿车")*($D$2:$D$1001&gt;D223))+COUNTIFS($F$2:F223,1,$G$2:G223,"轿车",$D$2:D223,D223)-1)</f>
        <v/>
      </c>
      <c r="P223" s="62" t="str">
        <f>IF(OR(D223="",NOT(AND(F223=1,G223="MPV"))),"",1+SUMPRODUCT(($F$2:$F$1001=1)*($G$2:$G$1001="MPV")*($D$2:$D$1001&gt;D223))+COUNTIFS($F$2:F223,1,$G$2:G223,"MPV",$D$2:D223,D223)-1)</f>
        <v/>
      </c>
      <c r="Q223" s="62" t="str">
        <f>IF(OR(D223="",NOT(AND(F223=1,G223="SUV"))),"",1+SUMPRODUCT(($F$2:$F$1001=1)*($G$2:$G$1001="SUV")*($D$2:$D$1001&gt;D223))+COUNTIFS($F$2:F223,1,$G$2:G223,"SUV",$D$2:D223,D223)-1)</f>
        <v/>
      </c>
    </row>
    <row r="224" spans="1:17">
      <c r="A224" s="62" t="str">
        <f>IFERROR(INDEX($H$2:$H$3000,MATCH(0,INDEX(COUNTIF($A$1:A223,$H$2:$H$3000)+($H$2:$H$3000=""),0,0),0)),"")</f>
        <v>MERCEDES♦GLE</v>
      </c>
      <c r="B224" s="62" t="str">
        <f t="shared" si="12"/>
        <v>MERCEDES</v>
      </c>
      <c r="C224" s="62" t="str">
        <f t="shared" si="13"/>
        <v>GLE</v>
      </c>
      <c r="D224" s="63">
        <f t="shared" si="14"/>
        <v>19</v>
      </c>
      <c r="E224" s="62">
        <f>IF(D224="","",_xlfn.RANK.EQ(D224,$D$2:$D$1001,0)+COUNTIF($D$2:D224,D224)-1)</f>
        <v>122</v>
      </c>
      <c r="F224" s="62">
        <f>IF(B224="","",--(COUNTIF(CN_Brands!$A$2:$A$300,UPPER(B224))&gt;0))</f>
        <v>0</v>
      </c>
      <c r="G224" s="62" t="str">
        <f t="shared" si="15"/>
        <v>SUV</v>
      </c>
      <c r="H224" s="62" t="str">
        <f>IF(AND('Data Export'!A224=前十整体车型排名!$B$2,'Data Export'!B224=前十整体车型排名!$B$3,'Data Export'!D224&lt;&gt;""),UPPER('Data Export'!C224)&amp;"♦"&amp;'Data Export'!D224,"")</f>
        <v>DEEPAL♦E07</v>
      </c>
      <c r="I224" s="63">
        <f>IF(H224="","",IFERROR(INDEX('Data Export'!G224:CZ224,1,MATCH(前十整体车型排名!$B$4,'Data Export'!$G$1:$CZ$1,0)),0))</f>
        <v>1</v>
      </c>
      <c r="J224" s="62" t="str">
        <f>IF(H224="","",IF(OR('Data Export'!F224="三厢轿车",'Data Export'!F224="掀背轿车",'Data Export'!F224="旅行车",'Data Export'!F224="微型车",'Data Export'!F224="硬顶跑车",'Data Export'!F224="敞蓬车",'Data Export'!F224="Targa"),"轿车",IF(OR('Data Export'!F224="小型MPV",'Data Export'!F224="客车"),"MPV",IF('Data Export'!F224="运动型多功能车","SUV","其他"))))</f>
        <v>SUV</v>
      </c>
      <c r="K224" s="62" t="str">
        <f>IF(OR(D224="",NOT(F224=1)),"",1+SUMPRODUCT(($F$2:$F$1001=1)*($D$2:$D$1001&gt;D224))+COUNTIFS($F$2:F224,1,$D$2:D224,D224)-1)</f>
        <v/>
      </c>
      <c r="L224" s="62" t="str">
        <f>IF(OR(D224="",NOT(G224="轿车")),"",1+SUMPRODUCT(($G$2:$G$1001="轿车")*($D$2:$D$1001&gt;D224))+COUNTIFS($G$2:G224,"轿车",$D$2:D224,D224)-1)</f>
        <v/>
      </c>
      <c r="M224" s="62" t="str">
        <f>IF(OR(D224="",NOT(G224="MPV")),"",1+SUMPRODUCT(($G$2:$G$1001="MPV")*($D$2:$D$1001&gt;D224))+COUNTIFS($G$2:G224,"MPV",$D$2:D224,D224)-1)</f>
        <v/>
      </c>
      <c r="N224" s="62">
        <f>IF(OR(D224="",NOT(G224="SUV")),"",1+SUMPRODUCT(($G$2:$G$1001="SUV")*($D$2:$D$1001&gt;D224))+COUNTIFS($G$2:G224,"SUV",$D$2:D224,D224)-1)</f>
        <v>66</v>
      </c>
      <c r="O224" s="62" t="str">
        <f>IF(OR(D224="",NOT(AND(F224=1,G224="轿车"))),"",1+SUMPRODUCT(($F$2:$F$1001=1)*($G$2:$G$1001="轿车")*($D$2:$D$1001&gt;D224))+COUNTIFS($F$2:F224,1,$G$2:G224,"轿车",$D$2:D224,D224)-1)</f>
        <v/>
      </c>
      <c r="P224" s="62" t="str">
        <f>IF(OR(D224="",NOT(AND(F224=1,G224="MPV"))),"",1+SUMPRODUCT(($F$2:$F$1001=1)*($G$2:$G$1001="MPV")*($D$2:$D$1001&gt;D224))+COUNTIFS($F$2:F224,1,$G$2:G224,"MPV",$D$2:D224,D224)-1)</f>
        <v/>
      </c>
      <c r="Q224" s="62" t="str">
        <f>IF(OR(D224="",NOT(AND(F224=1,G224="SUV"))),"",1+SUMPRODUCT(($F$2:$F$1001=1)*($G$2:$G$1001="SUV")*($D$2:$D$1001&gt;D224))+COUNTIFS($F$2:F224,1,$G$2:G224,"SUV",$D$2:D224,D224)-1)</f>
        <v/>
      </c>
    </row>
    <row r="225" spans="1:17">
      <c r="A225" s="62" t="str">
        <f>IFERROR(INDEX($H$2:$H$3000,MATCH(0,INDEX(COUNTIF($A$1:A224,$H$2:$H$3000)+($H$2:$H$3000=""),0,0),0)),"")</f>
        <v>MERCEDES♦GLS</v>
      </c>
      <c r="B225" s="62" t="str">
        <f t="shared" si="12"/>
        <v>MERCEDES</v>
      </c>
      <c r="C225" s="62" t="str">
        <f t="shared" si="13"/>
        <v>GLS</v>
      </c>
      <c r="D225" s="63">
        <f t="shared" si="14"/>
        <v>5</v>
      </c>
      <c r="E225" s="62">
        <f>IF(D225="","",_xlfn.RANK.EQ(D225,$D$2:$D$1001,0)+COUNTIF($D$2:D225,D225)-1)</f>
        <v>172</v>
      </c>
      <c r="F225" s="62">
        <f>IF(B225="","",--(COUNTIF(CN_Brands!$A$2:$A$300,UPPER(B225))&gt;0))</f>
        <v>0</v>
      </c>
      <c r="G225" s="62" t="str">
        <f t="shared" si="15"/>
        <v>SUV</v>
      </c>
      <c r="H225" s="62" t="str">
        <f>IF(AND('Data Export'!A225=前十整体车型排名!$B$2,'Data Export'!B225=前十整体车型排名!$B$3,'Data Export'!D225&lt;&gt;""),UPPER('Data Export'!C225)&amp;"♦"&amp;'Data Export'!D225,"")</f>
        <v>DEEPAL♦E07</v>
      </c>
      <c r="I225" s="63">
        <f>IF(H225="","",IFERROR(INDEX('Data Export'!G225:CZ225,1,MATCH(前十整体车型排名!$B$4,'Data Export'!$G$1:$CZ$1,0)),0))</f>
        <v>2</v>
      </c>
      <c r="J225" s="62" t="str">
        <f>IF(H225="","",IF(OR('Data Export'!F225="三厢轿车",'Data Export'!F225="掀背轿车",'Data Export'!F225="旅行车",'Data Export'!F225="微型车",'Data Export'!F225="硬顶跑车",'Data Export'!F225="敞蓬车",'Data Export'!F225="Targa"),"轿车",IF(OR('Data Export'!F225="小型MPV",'Data Export'!F225="客车"),"MPV",IF('Data Export'!F225="运动型多功能车","SUV","其他"))))</f>
        <v>SUV</v>
      </c>
      <c r="K225" s="62" t="str">
        <f>IF(OR(D225="",NOT(F225=1)),"",1+SUMPRODUCT(($F$2:$F$1001=1)*($D$2:$D$1001&gt;D225))+COUNTIFS($F$2:F225,1,$D$2:D225,D225)-1)</f>
        <v/>
      </c>
      <c r="L225" s="62" t="str">
        <f>IF(OR(D225="",NOT(G225="轿车")),"",1+SUMPRODUCT(($G$2:$G$1001="轿车")*($D$2:$D$1001&gt;D225))+COUNTIFS($G$2:G225,"轿车",$D$2:D225,D225)-1)</f>
        <v/>
      </c>
      <c r="M225" s="62" t="str">
        <f>IF(OR(D225="",NOT(G225="MPV")),"",1+SUMPRODUCT(($G$2:$G$1001="MPV")*($D$2:$D$1001&gt;D225))+COUNTIFS($G$2:G225,"MPV",$D$2:D225,D225)-1)</f>
        <v/>
      </c>
      <c r="N225" s="62">
        <f>IF(OR(D225="",NOT(G225="SUV")),"",1+SUMPRODUCT(($G$2:$G$1001="SUV")*($D$2:$D$1001&gt;D225))+COUNTIFS($G$2:G225,"SUV",$D$2:D225,D225)-1)</f>
        <v>96</v>
      </c>
      <c r="O225" s="62" t="str">
        <f>IF(OR(D225="",NOT(AND(F225=1,G225="轿车"))),"",1+SUMPRODUCT(($F$2:$F$1001=1)*($G$2:$G$1001="轿车")*($D$2:$D$1001&gt;D225))+COUNTIFS($F$2:F225,1,$G$2:G225,"轿车",$D$2:D225,D225)-1)</f>
        <v/>
      </c>
      <c r="P225" s="62" t="str">
        <f>IF(OR(D225="",NOT(AND(F225=1,G225="MPV"))),"",1+SUMPRODUCT(($F$2:$F$1001=1)*($G$2:$G$1001="MPV")*($D$2:$D$1001&gt;D225))+COUNTIFS($F$2:F225,1,$G$2:G225,"MPV",$D$2:D225,D225)-1)</f>
        <v/>
      </c>
      <c r="Q225" s="62" t="str">
        <f>IF(OR(D225="",NOT(AND(F225=1,G225="SUV"))),"",1+SUMPRODUCT(($F$2:$F$1001=1)*($G$2:$G$1001="SUV")*($D$2:$D$1001&gt;D225))+COUNTIFS($F$2:F225,1,$G$2:G225,"SUV",$D$2:D225,D225)-1)</f>
        <v/>
      </c>
    </row>
    <row r="226" spans="1:17">
      <c r="A226" s="62" t="str">
        <f>IFERROR(INDEX($H$2:$H$3000,MATCH(0,INDEX(COUNTIF($A$1:A225,$H$2:$H$3000)+($H$2:$H$3000=""),0,0),0)),"")</f>
        <v>MERCEDES♦OTHER</v>
      </c>
      <c r="B226" s="62" t="str">
        <f t="shared" si="12"/>
        <v>MERCEDES</v>
      </c>
      <c r="C226" s="62" t="str">
        <f t="shared" si="13"/>
        <v>OTHER</v>
      </c>
      <c r="D226" s="63">
        <f t="shared" si="14"/>
        <v>0</v>
      </c>
      <c r="E226" s="62">
        <f>IF(D226="","",_xlfn.RANK.EQ(D226,$D$2:$D$1001,0)+COUNTIF($D$2:D226,D226)-1)</f>
        <v>343</v>
      </c>
      <c r="F226" s="62">
        <f>IF(B226="","",--(COUNTIF(CN_Brands!$A$2:$A$300,UPPER(B226))&gt;0))</f>
        <v>0</v>
      </c>
      <c r="G226" s="62" t="str">
        <f t="shared" si="15"/>
        <v>其他</v>
      </c>
      <c r="H226" s="62" t="str">
        <f>IF(AND('Data Export'!A226=前十整体车型排名!$B$2,'Data Export'!B226=前十整体车型排名!$B$3,'Data Export'!D226&lt;&gt;""),UPPER('Data Export'!C226)&amp;"♦"&amp;'Data Export'!D226,"")</f>
        <v>DEEPAL♦L07</v>
      </c>
      <c r="I226" s="63">
        <f>IF(H226="","",IFERROR(INDEX('Data Export'!G226:CZ226,1,MATCH(前十整体车型排名!$B$4,'Data Export'!$G$1:$CZ$1,0)),0))</f>
        <v>2</v>
      </c>
      <c r="J226" s="62" t="str">
        <f>IF(H226="","",IF(OR('Data Export'!F226="三厢轿车",'Data Export'!F226="掀背轿车",'Data Export'!F226="旅行车",'Data Export'!F226="微型车",'Data Export'!F226="硬顶跑车",'Data Export'!F226="敞蓬车",'Data Export'!F226="Targa"),"轿车",IF(OR('Data Export'!F226="小型MPV",'Data Export'!F226="客车"),"MPV",IF('Data Export'!F226="运动型多功能车","SUV","其他"))))</f>
        <v>轿车</v>
      </c>
      <c r="K226" s="62" t="str">
        <f>IF(OR(D226="",NOT(F226=1)),"",1+SUMPRODUCT(($F$2:$F$1001=1)*($D$2:$D$1001&gt;D226))+COUNTIFS($F$2:F226,1,$D$2:D226,D226)-1)</f>
        <v/>
      </c>
      <c r="L226" s="62" t="str">
        <f>IF(OR(D226="",NOT(G226="轿车")),"",1+SUMPRODUCT(($G$2:$G$1001="轿车")*($D$2:$D$1001&gt;D226))+COUNTIFS($G$2:G226,"轿车",$D$2:D226,D226)-1)</f>
        <v/>
      </c>
      <c r="M226" s="62" t="str">
        <f>IF(OR(D226="",NOT(G226="MPV")),"",1+SUMPRODUCT(($G$2:$G$1001="MPV")*($D$2:$D$1001&gt;D226))+COUNTIFS($G$2:G226,"MPV",$D$2:D226,D226)-1)</f>
        <v/>
      </c>
      <c r="N226" s="62" t="str">
        <f>IF(OR(D226="",NOT(G226="SUV")),"",1+SUMPRODUCT(($G$2:$G$1001="SUV")*($D$2:$D$1001&gt;D226))+COUNTIFS($G$2:G226,"SUV",$D$2:D226,D226)-1)</f>
        <v/>
      </c>
      <c r="O226" s="62" t="str">
        <f>IF(OR(D226="",NOT(AND(F226=1,G226="轿车"))),"",1+SUMPRODUCT(($F$2:$F$1001=1)*($G$2:$G$1001="轿车")*($D$2:$D$1001&gt;D226))+COUNTIFS($F$2:F226,1,$G$2:G226,"轿车",$D$2:D226,D226)-1)</f>
        <v/>
      </c>
      <c r="P226" s="62" t="str">
        <f>IF(OR(D226="",NOT(AND(F226=1,G226="MPV"))),"",1+SUMPRODUCT(($F$2:$F$1001=1)*($G$2:$G$1001="MPV")*($D$2:$D$1001&gt;D226))+COUNTIFS($F$2:F226,1,$G$2:G226,"MPV",$D$2:D226,D226)-1)</f>
        <v/>
      </c>
      <c r="Q226" s="62" t="str">
        <f>IF(OR(D226="",NOT(AND(F226=1,G226="SUV"))),"",1+SUMPRODUCT(($F$2:$F$1001=1)*($G$2:$G$1001="SUV")*($D$2:$D$1001&gt;D226))+COUNTIFS($F$2:F226,1,$G$2:G226,"SUV",$D$2:D226,D226)-1)</f>
        <v/>
      </c>
    </row>
    <row r="227" spans="1:17">
      <c r="A227" s="62" t="str">
        <f>IFERROR(INDEX($H$2:$H$3000,MATCH(0,INDEX(COUNTIF($A$1:A226,$H$2:$H$3000)+($H$2:$H$3000=""),0,0),0)),"")</f>
        <v>MERCEDES♦S-CLASS</v>
      </c>
      <c r="B227" s="62" t="str">
        <f t="shared" si="12"/>
        <v>MERCEDES</v>
      </c>
      <c r="C227" s="62" t="str">
        <f t="shared" si="13"/>
        <v>S-CLASS</v>
      </c>
      <c r="D227" s="63">
        <f t="shared" si="14"/>
        <v>13</v>
      </c>
      <c r="E227" s="62">
        <f>IF(D227="","",_xlfn.RANK.EQ(D227,$D$2:$D$1001,0)+COUNTIF($D$2:D227,D227)-1)</f>
        <v>137</v>
      </c>
      <c r="F227" s="62">
        <f>IF(B227="","",--(COUNTIF(CN_Brands!$A$2:$A$300,UPPER(B227))&gt;0))</f>
        <v>0</v>
      </c>
      <c r="G227" s="62" t="str">
        <f t="shared" si="15"/>
        <v>轿车</v>
      </c>
      <c r="H227" s="62" t="str">
        <f>IF(AND('Data Export'!A227=前十整体车型排名!$B$2,'Data Export'!B227=前十整体车型排名!$B$3,'Data Export'!D227&lt;&gt;""),UPPER('Data Export'!C227)&amp;"♦"&amp;'Data Export'!D227,"")</f>
        <v>DEEPAL♦L07</v>
      </c>
      <c r="I227" s="63">
        <f>IF(H227="","",IFERROR(INDEX('Data Export'!G227:CZ227,1,MATCH(前十整体车型排名!$B$4,'Data Export'!$G$1:$CZ$1,0)),0))</f>
        <v>0</v>
      </c>
      <c r="J227" s="62" t="str">
        <f>IF(H227="","",IF(OR('Data Export'!F227="三厢轿车",'Data Export'!F227="掀背轿车",'Data Export'!F227="旅行车",'Data Export'!F227="微型车",'Data Export'!F227="硬顶跑车",'Data Export'!F227="敞蓬车",'Data Export'!F227="Targa"),"轿车",IF(OR('Data Export'!F227="小型MPV",'Data Export'!F227="客车"),"MPV",IF('Data Export'!F227="运动型多功能车","SUV","其他"))))</f>
        <v>轿车</v>
      </c>
      <c r="K227" s="62" t="str">
        <f>IF(OR(D227="",NOT(F227=1)),"",1+SUMPRODUCT(($F$2:$F$1001=1)*($D$2:$D$1001&gt;D227))+COUNTIFS($F$2:F227,1,$D$2:D227,D227)-1)</f>
        <v/>
      </c>
      <c r="L227" s="62">
        <f>IF(OR(D227="",NOT(G227="轿车")),"",1+SUMPRODUCT(($G$2:$G$1001="轿车")*($D$2:$D$1001&gt;D227))+COUNTIFS($G$2:G227,"轿车",$D$2:D227,D227)-1)</f>
        <v>36</v>
      </c>
      <c r="M227" s="62" t="str">
        <f>IF(OR(D227="",NOT(G227="MPV")),"",1+SUMPRODUCT(($G$2:$G$1001="MPV")*($D$2:$D$1001&gt;D227))+COUNTIFS($G$2:G227,"MPV",$D$2:D227,D227)-1)</f>
        <v/>
      </c>
      <c r="N227" s="62" t="str">
        <f>IF(OR(D227="",NOT(G227="SUV")),"",1+SUMPRODUCT(($G$2:$G$1001="SUV")*($D$2:$D$1001&gt;D227))+COUNTIFS($G$2:G227,"SUV",$D$2:D227,D227)-1)</f>
        <v/>
      </c>
      <c r="O227" s="62" t="str">
        <f>IF(OR(D227="",NOT(AND(F227=1,G227="轿车"))),"",1+SUMPRODUCT(($F$2:$F$1001=1)*($G$2:$G$1001="轿车")*($D$2:$D$1001&gt;D227))+COUNTIFS($F$2:F227,1,$G$2:G227,"轿车",$D$2:D227,D227)-1)</f>
        <v/>
      </c>
      <c r="P227" s="62" t="str">
        <f>IF(OR(D227="",NOT(AND(F227=1,G227="MPV"))),"",1+SUMPRODUCT(($F$2:$F$1001=1)*($G$2:$G$1001="MPV")*($D$2:$D$1001&gt;D227))+COUNTIFS($F$2:F227,1,$G$2:G227,"MPV",$D$2:D227,D227)-1)</f>
        <v/>
      </c>
      <c r="Q227" s="62" t="str">
        <f>IF(OR(D227="",NOT(AND(F227=1,G227="SUV"))),"",1+SUMPRODUCT(($F$2:$F$1001=1)*($G$2:$G$1001="SUV")*($D$2:$D$1001&gt;D227))+COUNTIFS($F$2:F227,1,$G$2:G227,"SUV",$D$2:D227,D227)-1)</f>
        <v/>
      </c>
    </row>
    <row r="228" spans="1:17">
      <c r="A228" s="62" t="str">
        <f>IFERROR(INDEX($H$2:$H$3000,MATCH(0,INDEX(COUNTIF($A$1:A227,$H$2:$H$3000)+($H$2:$H$3000=""),0,0),0)),"")</f>
        <v>MERCEDES♦SL</v>
      </c>
      <c r="B228" s="62" t="str">
        <f t="shared" si="12"/>
        <v>MERCEDES</v>
      </c>
      <c r="C228" s="62" t="str">
        <f t="shared" si="13"/>
        <v>SL</v>
      </c>
      <c r="D228" s="63">
        <f t="shared" si="14"/>
        <v>1</v>
      </c>
      <c r="E228" s="62">
        <f>IF(D228="","",_xlfn.RANK.EQ(D228,$D$2:$D$1001,0)+COUNTIF($D$2:D228,D228)-1)</f>
        <v>242</v>
      </c>
      <c r="F228" s="62">
        <f>IF(B228="","",--(COUNTIF(CN_Brands!$A$2:$A$300,UPPER(B228))&gt;0))</f>
        <v>0</v>
      </c>
      <c r="G228" s="62" t="str">
        <f t="shared" si="15"/>
        <v>轿车</v>
      </c>
      <c r="H228" s="62" t="str">
        <f>IF(AND('Data Export'!A228=前十整体车型排名!$B$2,'Data Export'!B228=前十整体车型排名!$B$3,'Data Export'!D228&lt;&gt;""),UPPER('Data Export'!C228)&amp;"♦"&amp;'Data Export'!D228,"")</f>
        <v>DEEPAL♦S05</v>
      </c>
      <c r="I228" s="63">
        <f>IF(H228="","",IFERROR(INDEX('Data Export'!G228:CZ228,1,MATCH(前十整体车型排名!$B$4,'Data Export'!$G$1:$CZ$1,0)),0))</f>
        <v>158</v>
      </c>
      <c r="J228" s="62" t="str">
        <f>IF(H228="","",IF(OR('Data Export'!F228="三厢轿车",'Data Export'!F228="掀背轿车",'Data Export'!F228="旅行车",'Data Export'!F228="微型车",'Data Export'!F228="硬顶跑车",'Data Export'!F228="敞蓬车",'Data Export'!F228="Targa"),"轿车",IF(OR('Data Export'!F228="小型MPV",'Data Export'!F228="客车"),"MPV",IF('Data Export'!F228="运动型多功能车","SUV","其他"))))</f>
        <v>SUV</v>
      </c>
      <c r="K228" s="62" t="str">
        <f>IF(OR(D228="",NOT(F228=1)),"",1+SUMPRODUCT(($F$2:$F$1001=1)*($D$2:$D$1001&gt;D228))+COUNTIFS($F$2:F228,1,$D$2:D228,D228)-1)</f>
        <v/>
      </c>
      <c r="L228" s="62">
        <f>IF(OR(D228="",NOT(G228="轿车")),"",1+SUMPRODUCT(($G$2:$G$1001="轿车")*($D$2:$D$1001&gt;D228))+COUNTIFS($G$2:G228,"轿车",$D$2:D228,D228)-1)</f>
        <v>75</v>
      </c>
      <c r="M228" s="62" t="str">
        <f>IF(OR(D228="",NOT(G228="MPV")),"",1+SUMPRODUCT(($G$2:$G$1001="MPV")*($D$2:$D$1001&gt;D228))+COUNTIFS($G$2:G228,"MPV",$D$2:D228,D228)-1)</f>
        <v/>
      </c>
      <c r="N228" s="62" t="str">
        <f>IF(OR(D228="",NOT(G228="SUV")),"",1+SUMPRODUCT(($G$2:$G$1001="SUV")*($D$2:$D$1001&gt;D228))+COUNTIFS($G$2:G228,"SUV",$D$2:D228,D228)-1)</f>
        <v/>
      </c>
      <c r="O228" s="62" t="str">
        <f>IF(OR(D228="",NOT(AND(F228=1,G228="轿车"))),"",1+SUMPRODUCT(($F$2:$F$1001=1)*($G$2:$G$1001="轿车")*($D$2:$D$1001&gt;D228))+COUNTIFS($F$2:F228,1,$G$2:G228,"轿车",$D$2:D228,D228)-1)</f>
        <v/>
      </c>
      <c r="P228" s="62" t="str">
        <f>IF(OR(D228="",NOT(AND(F228=1,G228="MPV"))),"",1+SUMPRODUCT(($F$2:$F$1001=1)*($G$2:$G$1001="MPV")*($D$2:$D$1001&gt;D228))+COUNTIFS($F$2:F228,1,$G$2:G228,"MPV",$D$2:D228,D228)-1)</f>
        <v/>
      </c>
      <c r="Q228" s="62" t="str">
        <f>IF(OR(D228="",NOT(AND(F228=1,G228="SUV"))),"",1+SUMPRODUCT(($F$2:$F$1001=1)*($G$2:$G$1001="SUV")*($D$2:$D$1001&gt;D228))+COUNTIFS($F$2:F228,1,$G$2:G228,"SUV",$D$2:D228,D228)-1)</f>
        <v/>
      </c>
    </row>
    <row r="229" spans="1:17">
      <c r="A229" s="62" t="str">
        <f>IFERROR(INDEX($H$2:$H$3000,MATCH(0,INDEX(COUNTIF($A$1:A228,$H$2:$H$3000)+($H$2:$H$3000=""),0,0),0)),"")</f>
        <v>MERCEDES♦V-CLASS</v>
      </c>
      <c r="B229" s="62" t="str">
        <f t="shared" si="12"/>
        <v>MERCEDES</v>
      </c>
      <c r="C229" s="62" t="str">
        <f t="shared" si="13"/>
        <v>V-CLASS</v>
      </c>
      <c r="D229" s="63">
        <f t="shared" si="14"/>
        <v>2</v>
      </c>
      <c r="E229" s="62">
        <f>IF(D229="","",_xlfn.RANK.EQ(D229,$D$2:$D$1001,0)+COUNTIF($D$2:D229,D229)-1)</f>
        <v>209</v>
      </c>
      <c r="F229" s="62">
        <f>IF(B229="","",--(COUNTIF(CN_Brands!$A$2:$A$300,UPPER(B229))&gt;0))</f>
        <v>0</v>
      </c>
      <c r="G229" s="62" t="str">
        <f t="shared" si="15"/>
        <v>其他</v>
      </c>
      <c r="H229" s="62" t="str">
        <f>IF(AND('Data Export'!A229=前十整体车型排名!$B$2,'Data Export'!B229=前十整体车型排名!$B$3,'Data Export'!D229&lt;&gt;""),UPPER('Data Export'!C229)&amp;"♦"&amp;'Data Export'!D229,"")</f>
        <v>DEEPAL♦S05</v>
      </c>
      <c r="I229" s="63">
        <f>IF(H229="","",IFERROR(INDEX('Data Export'!G229:CZ229,1,MATCH(前十整体车型排名!$B$4,'Data Export'!$G$1:$CZ$1,0)),0))</f>
        <v>0</v>
      </c>
      <c r="J229" s="62" t="str">
        <f>IF(H229="","",IF(OR('Data Export'!F229="三厢轿车",'Data Export'!F229="掀背轿车",'Data Export'!F229="旅行车",'Data Export'!F229="微型车",'Data Export'!F229="硬顶跑车",'Data Export'!F229="敞蓬车",'Data Export'!F229="Targa"),"轿车",IF(OR('Data Export'!F229="小型MPV",'Data Export'!F229="客车"),"MPV",IF('Data Export'!F229="运动型多功能车","SUV","其他"))))</f>
        <v>SUV</v>
      </c>
      <c r="K229" s="62" t="str">
        <f>IF(OR(D229="",NOT(F229=1)),"",1+SUMPRODUCT(($F$2:$F$1001=1)*($D$2:$D$1001&gt;D229))+COUNTIFS($F$2:F229,1,$D$2:D229,D229)-1)</f>
        <v/>
      </c>
      <c r="L229" s="62" t="str">
        <f>IF(OR(D229="",NOT(G229="轿车")),"",1+SUMPRODUCT(($G$2:$G$1001="轿车")*($D$2:$D$1001&gt;D229))+COUNTIFS($G$2:G229,"轿车",$D$2:D229,D229)-1)</f>
        <v/>
      </c>
      <c r="M229" s="62" t="str">
        <f>IF(OR(D229="",NOT(G229="MPV")),"",1+SUMPRODUCT(($G$2:$G$1001="MPV")*($D$2:$D$1001&gt;D229))+COUNTIFS($G$2:G229,"MPV",$D$2:D229,D229)-1)</f>
        <v/>
      </c>
      <c r="N229" s="62" t="str">
        <f>IF(OR(D229="",NOT(G229="SUV")),"",1+SUMPRODUCT(($G$2:$G$1001="SUV")*($D$2:$D$1001&gt;D229))+COUNTIFS($G$2:G229,"SUV",$D$2:D229,D229)-1)</f>
        <v/>
      </c>
      <c r="O229" s="62" t="str">
        <f>IF(OR(D229="",NOT(AND(F229=1,G229="轿车"))),"",1+SUMPRODUCT(($F$2:$F$1001=1)*($G$2:$G$1001="轿车")*($D$2:$D$1001&gt;D229))+COUNTIFS($F$2:F229,1,$G$2:G229,"轿车",$D$2:D229,D229)-1)</f>
        <v/>
      </c>
      <c r="P229" s="62" t="str">
        <f>IF(OR(D229="",NOT(AND(F229=1,G229="MPV"))),"",1+SUMPRODUCT(($F$2:$F$1001=1)*($G$2:$G$1001="MPV")*($D$2:$D$1001&gt;D229))+COUNTIFS($F$2:F229,1,$G$2:G229,"MPV",$D$2:D229,D229)-1)</f>
        <v/>
      </c>
      <c r="Q229" s="62" t="str">
        <f>IF(OR(D229="",NOT(AND(F229=1,G229="SUV"))),"",1+SUMPRODUCT(($F$2:$F$1001=1)*($G$2:$G$1001="SUV")*($D$2:$D$1001&gt;D229))+COUNTIFS($F$2:F229,1,$G$2:G229,"SUV",$D$2:D229,D229)-1)</f>
        <v/>
      </c>
    </row>
    <row r="230" spans="1:17">
      <c r="A230" s="62" t="str">
        <f>IFERROR(INDEX($H$2:$H$3000,MATCH(0,INDEX(COUNTIF($A$1:A229,$H$2:$H$3000)+($H$2:$H$3000=""),0,0),0)),"")</f>
        <v>MG♦CYBERSTER</v>
      </c>
      <c r="B230" s="62" t="str">
        <f t="shared" si="12"/>
        <v>MG</v>
      </c>
      <c r="C230" s="62" t="str">
        <f t="shared" si="13"/>
        <v>CYBERSTER</v>
      </c>
      <c r="D230" s="63">
        <f t="shared" si="14"/>
        <v>2</v>
      </c>
      <c r="E230" s="62">
        <f>IF(D230="","",_xlfn.RANK.EQ(D230,$D$2:$D$1001,0)+COUNTIF($D$2:D230,D230)-1)</f>
        <v>210</v>
      </c>
      <c r="F230" s="62">
        <f>IF(B230="","",--(COUNTIF(CN_Brands!$A$2:$A$300,UPPER(B230))&gt;0))</f>
        <v>1</v>
      </c>
      <c r="G230" s="62" t="str">
        <f t="shared" si="15"/>
        <v>轿车</v>
      </c>
      <c r="H230" s="62" t="str">
        <f>IF(AND('Data Export'!A230=前十整体车型排名!$B$2,'Data Export'!B230=前十整体车型排名!$B$3,'Data Export'!D230&lt;&gt;""),UPPER('Data Export'!C230)&amp;"♦"&amp;'Data Export'!D230,"")</f>
        <v>DEEPAL♦S05</v>
      </c>
      <c r="I230" s="63">
        <f>IF(H230="","",IFERROR(INDEX('Data Export'!G230:CZ230,1,MATCH(前十整体车型排名!$B$4,'Data Export'!$G$1:$CZ$1,0)),0))</f>
        <v>0</v>
      </c>
      <c r="J230" s="62" t="str">
        <f>IF(H230="","",IF(OR('Data Export'!F230="三厢轿车",'Data Export'!F230="掀背轿车",'Data Export'!F230="旅行车",'Data Export'!F230="微型车",'Data Export'!F230="硬顶跑车",'Data Export'!F230="敞蓬车",'Data Export'!F230="Targa"),"轿车",IF(OR('Data Export'!F230="小型MPV",'Data Export'!F230="客车"),"MPV",IF('Data Export'!F230="运动型多功能车","SUV","其他"))))</f>
        <v>SUV</v>
      </c>
      <c r="K230" s="62">
        <f>IF(OR(D230="",NOT(F230=1)),"",1+SUMPRODUCT(($F$2:$F$1001=1)*($D$2:$D$1001&gt;D230))+COUNTIFS($F$2:F230,1,$D$2:D230,D230)-1)</f>
        <v>62</v>
      </c>
      <c r="L230" s="62">
        <f>IF(OR(D230="",NOT(G230="轿车")),"",1+SUMPRODUCT(($G$2:$G$1001="轿车")*($D$2:$D$1001&gt;D230))+COUNTIFS($G$2:G230,"轿车",$D$2:D230,D230)-1)</f>
        <v>61</v>
      </c>
      <c r="M230" s="62" t="str">
        <f>IF(OR(D230="",NOT(G230="MPV")),"",1+SUMPRODUCT(($G$2:$G$1001="MPV")*($D$2:$D$1001&gt;D230))+COUNTIFS($G$2:G230,"MPV",$D$2:D230,D230)-1)</f>
        <v/>
      </c>
      <c r="N230" s="62" t="str">
        <f>IF(OR(D230="",NOT(G230="SUV")),"",1+SUMPRODUCT(($G$2:$G$1001="SUV")*($D$2:$D$1001&gt;D230))+COUNTIFS($G$2:G230,"SUV",$D$2:D230,D230)-1)</f>
        <v/>
      </c>
      <c r="O230" s="62">
        <f>IF(OR(D230="",NOT(AND(F230=1,G230="轿车"))),"",1+SUMPRODUCT(($F$2:$F$1001=1)*($G$2:$G$1001="轿车")*($D$2:$D$1001&gt;D230))+COUNTIFS($F$2:F230,1,$G$2:G230,"轿车",$D$2:D230,D230)-1)</f>
        <v>18</v>
      </c>
      <c r="P230" s="62" t="str">
        <f>IF(OR(D230="",NOT(AND(F230=1,G230="MPV"))),"",1+SUMPRODUCT(($F$2:$F$1001=1)*($G$2:$G$1001="MPV")*($D$2:$D$1001&gt;D230))+COUNTIFS($F$2:F230,1,$G$2:G230,"MPV",$D$2:D230,D230)-1)</f>
        <v/>
      </c>
      <c r="Q230" s="62" t="str">
        <f>IF(OR(D230="",NOT(AND(F230=1,G230="SUV"))),"",1+SUMPRODUCT(($F$2:$F$1001=1)*($G$2:$G$1001="SUV")*($D$2:$D$1001&gt;D230))+COUNTIFS($F$2:F230,1,$G$2:G230,"SUV",$D$2:D230,D230)-1)</f>
        <v/>
      </c>
    </row>
    <row r="231" spans="1:17">
      <c r="A231" s="62" t="str">
        <f>IFERROR(INDEX($H$2:$H$3000,MATCH(0,INDEX(COUNTIF($A$1:A230,$H$2:$H$3000)+($H$2:$H$3000=""),0,0),0)),"")</f>
        <v>MG♦EP</v>
      </c>
      <c r="B231" s="62" t="str">
        <f t="shared" si="12"/>
        <v>MG</v>
      </c>
      <c r="C231" s="62" t="str">
        <f t="shared" si="13"/>
        <v>EP</v>
      </c>
      <c r="D231" s="63">
        <f t="shared" si="14"/>
        <v>3</v>
      </c>
      <c r="E231" s="62">
        <f>IF(D231="","",_xlfn.RANK.EQ(D231,$D$2:$D$1001,0)+COUNTIF($D$2:D231,D231)-1)</f>
        <v>191</v>
      </c>
      <c r="F231" s="62">
        <f>IF(B231="","",--(COUNTIF(CN_Brands!$A$2:$A$300,UPPER(B231))&gt;0))</f>
        <v>1</v>
      </c>
      <c r="G231" s="62" t="str">
        <f t="shared" si="15"/>
        <v>轿车</v>
      </c>
      <c r="H231" s="62" t="str">
        <f>IF(AND('Data Export'!A231=前十整体车型排名!$B$2,'Data Export'!B231=前十整体车型排名!$B$3,'Data Export'!D231&lt;&gt;""),UPPER('Data Export'!C231)&amp;"♦"&amp;'Data Export'!D231,"")</f>
        <v>DEEPAL♦S05</v>
      </c>
      <c r="I231" s="63">
        <f>IF(H231="","",IFERROR(INDEX('Data Export'!G231:CZ231,1,MATCH(前十整体车型排名!$B$4,'Data Export'!$G$1:$CZ$1,0)),0))</f>
        <v>1006</v>
      </c>
      <c r="J231" s="62" t="str">
        <f>IF(H231="","",IF(OR('Data Export'!F231="三厢轿车",'Data Export'!F231="掀背轿车",'Data Export'!F231="旅行车",'Data Export'!F231="微型车",'Data Export'!F231="硬顶跑车",'Data Export'!F231="敞蓬车",'Data Export'!F231="Targa"),"轿车",IF(OR('Data Export'!F231="小型MPV",'Data Export'!F231="客车"),"MPV",IF('Data Export'!F231="运动型多功能车","SUV","其他"))))</f>
        <v>SUV</v>
      </c>
      <c r="K231" s="62">
        <f>IF(OR(D231="",NOT(F231=1)),"",1+SUMPRODUCT(($F$2:$F$1001=1)*($D$2:$D$1001&gt;D231))+COUNTIFS($F$2:F231,1,$D$2:D231,D231)-1)</f>
        <v>58</v>
      </c>
      <c r="L231" s="62">
        <f>IF(OR(D231="",NOT(G231="轿车")),"",1+SUMPRODUCT(($G$2:$G$1001="轿车")*($D$2:$D$1001&gt;D231))+COUNTIFS($G$2:G231,"轿车",$D$2:D231,D231)-1)</f>
        <v>51</v>
      </c>
      <c r="M231" s="62" t="str">
        <f>IF(OR(D231="",NOT(G231="MPV")),"",1+SUMPRODUCT(($G$2:$G$1001="MPV")*($D$2:$D$1001&gt;D231))+COUNTIFS($G$2:G231,"MPV",$D$2:D231,D231)-1)</f>
        <v/>
      </c>
      <c r="N231" s="62" t="str">
        <f>IF(OR(D231="",NOT(G231="SUV")),"",1+SUMPRODUCT(($G$2:$G$1001="SUV")*($D$2:$D$1001&gt;D231))+COUNTIFS($G$2:G231,"SUV",$D$2:D231,D231)-1)</f>
        <v/>
      </c>
      <c r="O231" s="62">
        <f>IF(OR(D231="",NOT(AND(F231=1,G231="轿车"))),"",1+SUMPRODUCT(($F$2:$F$1001=1)*($G$2:$G$1001="轿车")*($D$2:$D$1001&gt;D231))+COUNTIFS($F$2:F231,1,$G$2:G231,"轿车",$D$2:D231,D231)-1)</f>
        <v>15</v>
      </c>
      <c r="P231" s="62" t="str">
        <f>IF(OR(D231="",NOT(AND(F231=1,G231="MPV"))),"",1+SUMPRODUCT(($F$2:$F$1001=1)*($G$2:$G$1001="MPV")*($D$2:$D$1001&gt;D231))+COUNTIFS($F$2:F231,1,$G$2:G231,"MPV",$D$2:D231,D231)-1)</f>
        <v/>
      </c>
      <c r="Q231" s="62" t="str">
        <f>IF(OR(D231="",NOT(AND(F231=1,G231="SUV"))),"",1+SUMPRODUCT(($F$2:$F$1001=1)*($G$2:$G$1001="SUV")*($D$2:$D$1001&gt;D231))+COUNTIFS($F$2:F231,1,$G$2:G231,"SUV",$D$2:D231,D231)-1)</f>
        <v/>
      </c>
    </row>
    <row r="232" spans="1:17">
      <c r="A232" s="62" t="str">
        <f>IFERROR(INDEX($H$2:$H$3000,MATCH(0,INDEX(COUNTIF($A$1:A231,$H$2:$H$3000)+($H$2:$H$3000=""),0,0),0)),"")</f>
        <v>MG♦ES</v>
      </c>
      <c r="B232" s="62" t="str">
        <f t="shared" si="12"/>
        <v>MG</v>
      </c>
      <c r="C232" s="62" t="str">
        <f t="shared" si="13"/>
        <v>ES</v>
      </c>
      <c r="D232" s="63">
        <f t="shared" si="14"/>
        <v>0</v>
      </c>
      <c r="E232" s="62">
        <f>IF(D232="","",_xlfn.RANK.EQ(D232,$D$2:$D$1001,0)+COUNTIF($D$2:D232,D232)-1)</f>
        <v>344</v>
      </c>
      <c r="F232" s="62">
        <f>IF(B232="","",--(COUNTIF(CN_Brands!$A$2:$A$300,UPPER(B232))&gt;0))</f>
        <v>1</v>
      </c>
      <c r="G232" s="62" t="str">
        <f t="shared" si="15"/>
        <v>轿车</v>
      </c>
      <c r="H232" s="62" t="str">
        <f>IF(AND('Data Export'!A232=前十整体车型排名!$B$2,'Data Export'!B232=前十整体车型排名!$B$3,'Data Export'!D232&lt;&gt;""),UPPER('Data Export'!C232)&amp;"♦"&amp;'Data Export'!D232,"")</f>
        <v>DEEPAL♦S05</v>
      </c>
      <c r="I232" s="63">
        <f>IF(H232="","",IFERROR(INDEX('Data Export'!G232:CZ232,1,MATCH(前十整体车型排名!$B$4,'Data Export'!$G$1:$CZ$1,0)),0))</f>
        <v>249</v>
      </c>
      <c r="J232" s="62" t="str">
        <f>IF(H232="","",IF(OR('Data Export'!F232="三厢轿车",'Data Export'!F232="掀背轿车",'Data Export'!F232="旅行车",'Data Export'!F232="微型车",'Data Export'!F232="硬顶跑车",'Data Export'!F232="敞蓬车",'Data Export'!F232="Targa"),"轿车",IF(OR('Data Export'!F232="小型MPV",'Data Export'!F232="客车"),"MPV",IF('Data Export'!F232="运动型多功能车","SUV","其他"))))</f>
        <v>SUV</v>
      </c>
      <c r="K232" s="62">
        <f>IF(OR(D232="",NOT(F232=1)),"",1+SUMPRODUCT(($F$2:$F$1001=1)*($D$2:$D$1001&gt;D232))+COUNTIFS($F$2:F232,1,$D$2:D232,D232)-1)</f>
        <v>73</v>
      </c>
      <c r="L232" s="62">
        <f>IF(OR(D232="",NOT(G232="轿车")),"",1+SUMPRODUCT(($G$2:$G$1001="轿车")*($D$2:$D$1001&gt;D232))+COUNTIFS($G$2:G232,"轿车",$D$2:D232,D232)-1)</f>
        <v>118</v>
      </c>
      <c r="M232" s="62" t="str">
        <f>IF(OR(D232="",NOT(G232="MPV")),"",1+SUMPRODUCT(($G$2:$G$1001="MPV")*($D$2:$D$1001&gt;D232))+COUNTIFS($G$2:G232,"MPV",$D$2:D232,D232)-1)</f>
        <v/>
      </c>
      <c r="N232" s="62" t="str">
        <f>IF(OR(D232="",NOT(G232="SUV")),"",1+SUMPRODUCT(($G$2:$G$1001="SUV")*($D$2:$D$1001&gt;D232))+COUNTIFS($G$2:G232,"SUV",$D$2:D232,D232)-1)</f>
        <v/>
      </c>
      <c r="O232" s="62">
        <f>IF(OR(D232="",NOT(AND(F232=1,G232="轿车"))),"",1+SUMPRODUCT(($F$2:$F$1001=1)*($G$2:$G$1001="轿车")*($D$2:$D$1001&gt;D232))+COUNTIFS($F$2:F232,1,$G$2:G232,"轿车",$D$2:D232,D232)-1)</f>
        <v>21</v>
      </c>
      <c r="P232" s="62" t="str">
        <f>IF(OR(D232="",NOT(AND(F232=1,G232="MPV"))),"",1+SUMPRODUCT(($F$2:$F$1001=1)*($G$2:$G$1001="MPV")*($D$2:$D$1001&gt;D232))+COUNTIFS($F$2:F232,1,$G$2:G232,"MPV",$D$2:D232,D232)-1)</f>
        <v/>
      </c>
      <c r="Q232" s="62" t="str">
        <f>IF(OR(D232="",NOT(AND(F232=1,G232="SUV"))),"",1+SUMPRODUCT(($F$2:$F$1001=1)*($G$2:$G$1001="SUV")*($D$2:$D$1001&gt;D232))+COUNTIFS($F$2:F232,1,$G$2:G232,"SUV",$D$2:D232,D232)-1)</f>
        <v/>
      </c>
    </row>
    <row r="233" spans="1:17">
      <c r="A233" s="62" t="str">
        <f>IFERROR(INDEX($H$2:$H$3000,MATCH(0,INDEX(COUNTIF($A$1:A232,$H$2:$H$3000)+($H$2:$H$3000=""),0,0),0)),"")</f>
        <v>MG♦HS</v>
      </c>
      <c r="B233" s="62" t="str">
        <f t="shared" si="12"/>
        <v>MG</v>
      </c>
      <c r="C233" s="62" t="str">
        <f t="shared" si="13"/>
        <v>HS</v>
      </c>
      <c r="D233" s="63">
        <f t="shared" si="14"/>
        <v>16</v>
      </c>
      <c r="E233" s="62">
        <f>IF(D233="","",_xlfn.RANK.EQ(D233,$D$2:$D$1001,0)+COUNTIF($D$2:D233,D233)-1)</f>
        <v>126</v>
      </c>
      <c r="F233" s="62">
        <f>IF(B233="","",--(COUNTIF(CN_Brands!$A$2:$A$300,UPPER(B233))&gt;0))</f>
        <v>1</v>
      </c>
      <c r="G233" s="62" t="str">
        <f t="shared" si="15"/>
        <v>SUV</v>
      </c>
      <c r="H233" s="62" t="str">
        <f>IF(AND('Data Export'!A233=前十整体车型排名!$B$2,'Data Export'!B233=前十整体车型排名!$B$3,'Data Export'!D233&lt;&gt;""),UPPER('Data Export'!C233)&amp;"♦"&amp;'Data Export'!D233,"")</f>
        <v>DEEPAL♦S05</v>
      </c>
      <c r="I233" s="63">
        <f>IF(H233="","",IFERROR(INDEX('Data Export'!G233:CZ233,1,MATCH(前十整体车型排名!$B$4,'Data Export'!$G$1:$CZ$1,0)),0))</f>
        <v>3</v>
      </c>
      <c r="J233" s="62" t="str">
        <f>IF(H233="","",IF(OR('Data Export'!F233="三厢轿车",'Data Export'!F233="掀背轿车",'Data Export'!F233="旅行车",'Data Export'!F233="微型车",'Data Export'!F233="硬顶跑车",'Data Export'!F233="敞蓬车",'Data Export'!F233="Targa"),"轿车",IF(OR('Data Export'!F233="小型MPV",'Data Export'!F233="客车"),"MPV",IF('Data Export'!F233="运动型多功能车","SUV","其他"))))</f>
        <v>SUV</v>
      </c>
      <c r="K233" s="62">
        <f>IF(OR(D233="",NOT(F233=1)),"",1+SUMPRODUCT(($F$2:$F$1001=1)*($D$2:$D$1001&gt;D233))+COUNTIFS($F$2:F233,1,$D$2:D233,D233)-1)</f>
        <v>50</v>
      </c>
      <c r="L233" s="62" t="str">
        <f>IF(OR(D233="",NOT(G233="轿车")),"",1+SUMPRODUCT(($G$2:$G$1001="轿车")*($D$2:$D$1001&gt;D233))+COUNTIFS($G$2:G233,"轿车",$D$2:D233,D233)-1)</f>
        <v/>
      </c>
      <c r="M233" s="62" t="str">
        <f>IF(OR(D233="",NOT(G233="MPV")),"",1+SUMPRODUCT(($G$2:$G$1001="MPV")*($D$2:$D$1001&gt;D233))+COUNTIFS($G$2:G233,"MPV",$D$2:D233,D233)-1)</f>
        <v/>
      </c>
      <c r="N233" s="62">
        <f>IF(OR(D233="",NOT(G233="SUV")),"",1+SUMPRODUCT(($G$2:$G$1001="SUV")*($D$2:$D$1001&gt;D233))+COUNTIFS($G$2:G233,"SUV",$D$2:D233,D233)-1)</f>
        <v>69</v>
      </c>
      <c r="O233" s="62" t="str">
        <f>IF(OR(D233="",NOT(AND(F233=1,G233="轿车"))),"",1+SUMPRODUCT(($F$2:$F$1001=1)*($G$2:$G$1001="轿车")*($D$2:$D$1001&gt;D233))+COUNTIFS($F$2:F233,1,$G$2:G233,"轿车",$D$2:D233,D233)-1)</f>
        <v/>
      </c>
      <c r="P233" s="62" t="str">
        <f>IF(OR(D233="",NOT(AND(F233=1,G233="MPV"))),"",1+SUMPRODUCT(($F$2:$F$1001=1)*($G$2:$G$1001="MPV")*($D$2:$D$1001&gt;D233))+COUNTIFS($F$2:F233,1,$G$2:G233,"MPV",$D$2:D233,D233)-1)</f>
        <v/>
      </c>
      <c r="Q233" s="62">
        <f>IF(OR(D233="",NOT(AND(F233=1,G233="SUV"))),"",1+SUMPRODUCT(($F$2:$F$1001=1)*($G$2:$G$1001="SUV")*($D$2:$D$1001&gt;D233))+COUNTIFS($F$2:F233,1,$G$2:G233,"SUV",$D$2:D233,D233)-1)</f>
        <v>30</v>
      </c>
    </row>
    <row r="234" spans="1:17">
      <c r="A234" s="62" t="str">
        <f>IFERROR(INDEX($H$2:$H$3000,MATCH(0,INDEX(COUNTIF($A$1:A233,$H$2:$H$3000)+($H$2:$H$3000=""),0,0),0)),"")</f>
        <v>MG♦IM5</v>
      </c>
      <c r="B234" s="62" t="str">
        <f t="shared" si="12"/>
        <v>MG</v>
      </c>
      <c r="C234" s="62" t="str">
        <f t="shared" si="13"/>
        <v>IM5</v>
      </c>
      <c r="D234" s="63">
        <f t="shared" si="14"/>
        <v>187</v>
      </c>
      <c r="E234" s="62">
        <f>IF(D234="","",_xlfn.RANK.EQ(D234,$D$2:$D$1001,0)+COUNTIF($D$2:D234,D234)-1)</f>
        <v>50</v>
      </c>
      <c r="F234" s="62">
        <f>IF(B234="","",--(COUNTIF(CN_Brands!$A$2:$A$300,UPPER(B234))&gt;0))</f>
        <v>1</v>
      </c>
      <c r="G234" s="62" t="str">
        <f t="shared" si="15"/>
        <v>轿车</v>
      </c>
      <c r="H234" s="62" t="str">
        <f>IF(AND('Data Export'!A234=前十整体车型排名!$B$2,'Data Export'!B234=前十整体车型排名!$B$3,'Data Export'!D234&lt;&gt;""),UPPER('Data Export'!C234)&amp;"♦"&amp;'Data Export'!D234,"")</f>
        <v>DEEPAL♦S07</v>
      </c>
      <c r="I234" s="63">
        <f>IF(H234="","",IFERROR(INDEX('Data Export'!G234:CZ234,1,MATCH(前十整体车型排名!$B$4,'Data Export'!$G$1:$CZ$1,0)),0))</f>
        <v>146</v>
      </c>
      <c r="J234" s="62" t="str">
        <f>IF(H234="","",IF(OR('Data Export'!F234="三厢轿车",'Data Export'!F234="掀背轿车",'Data Export'!F234="旅行车",'Data Export'!F234="微型车",'Data Export'!F234="硬顶跑车",'Data Export'!F234="敞蓬车",'Data Export'!F234="Targa"),"轿车",IF(OR('Data Export'!F234="小型MPV",'Data Export'!F234="客车"),"MPV",IF('Data Export'!F234="运动型多功能车","SUV","其他"))))</f>
        <v>SUV</v>
      </c>
      <c r="K234" s="62">
        <f>IF(OR(D234="",NOT(F234=1)),"",1+SUMPRODUCT(($F$2:$F$1001=1)*($D$2:$D$1001&gt;D234))+COUNTIFS($F$2:F234,1,$D$2:D234,D234)-1)</f>
        <v>27</v>
      </c>
      <c r="L234" s="62">
        <f>IF(OR(D234="",NOT(G234="轿车")),"",1+SUMPRODUCT(($G$2:$G$1001="轿车")*($D$2:$D$1001&gt;D234))+COUNTIFS($G$2:G234,"轿车",$D$2:D234,D234)-1)</f>
        <v>12</v>
      </c>
      <c r="M234" s="62" t="str">
        <f>IF(OR(D234="",NOT(G234="MPV")),"",1+SUMPRODUCT(($G$2:$G$1001="MPV")*($D$2:$D$1001&gt;D234))+COUNTIFS($G$2:G234,"MPV",$D$2:D234,D234)-1)</f>
        <v/>
      </c>
      <c r="N234" s="62" t="str">
        <f>IF(OR(D234="",NOT(G234="SUV")),"",1+SUMPRODUCT(($G$2:$G$1001="SUV")*($D$2:$D$1001&gt;D234))+COUNTIFS($G$2:G234,"SUV",$D$2:D234,D234)-1)</f>
        <v/>
      </c>
      <c r="O234" s="62">
        <f>IF(OR(D234="",NOT(AND(F234=1,G234="轿车"))),"",1+SUMPRODUCT(($F$2:$F$1001=1)*($G$2:$G$1001="轿车")*($D$2:$D$1001&gt;D234))+COUNTIFS($F$2:F234,1,$G$2:G234,"轿车",$D$2:D234,D234)-1)</f>
        <v>7</v>
      </c>
      <c r="P234" s="62" t="str">
        <f>IF(OR(D234="",NOT(AND(F234=1,G234="MPV"))),"",1+SUMPRODUCT(($F$2:$F$1001=1)*($G$2:$G$1001="MPV")*($D$2:$D$1001&gt;D234))+COUNTIFS($F$2:F234,1,$G$2:G234,"MPV",$D$2:D234,D234)-1)</f>
        <v/>
      </c>
      <c r="Q234" s="62" t="str">
        <f>IF(OR(D234="",NOT(AND(F234=1,G234="SUV"))),"",1+SUMPRODUCT(($F$2:$F$1001=1)*($G$2:$G$1001="SUV")*($D$2:$D$1001&gt;D234))+COUNTIFS($F$2:F234,1,$G$2:G234,"SUV",$D$2:D234,D234)-1)</f>
        <v/>
      </c>
    </row>
    <row r="235" spans="1:17">
      <c r="A235" s="62" t="str">
        <f>IFERROR(INDEX($H$2:$H$3000,MATCH(0,INDEX(COUNTIF($A$1:A234,$H$2:$H$3000)+($H$2:$H$3000=""),0,0),0)),"")</f>
        <v>MG♦IM6</v>
      </c>
      <c r="B235" s="62" t="str">
        <f t="shared" si="12"/>
        <v>MG</v>
      </c>
      <c r="C235" s="62" t="str">
        <f t="shared" si="13"/>
        <v>IM6</v>
      </c>
      <c r="D235" s="63">
        <f t="shared" si="14"/>
        <v>127</v>
      </c>
      <c r="E235" s="62">
        <f>IF(D235="","",_xlfn.RANK.EQ(D235,$D$2:$D$1001,0)+COUNTIF($D$2:D235,D235)-1)</f>
        <v>67</v>
      </c>
      <c r="F235" s="62">
        <f>IF(B235="","",--(COUNTIF(CN_Brands!$A$2:$A$300,UPPER(B235))&gt;0))</f>
        <v>1</v>
      </c>
      <c r="G235" s="62" t="str">
        <f t="shared" si="15"/>
        <v>SUV</v>
      </c>
      <c r="H235" s="62" t="str">
        <f>IF(AND('Data Export'!A235=前十整体车型排名!$B$2,'Data Export'!B235=前十整体车型排名!$B$3,'Data Export'!D235&lt;&gt;""),UPPER('Data Export'!C235)&amp;"♦"&amp;'Data Export'!D235,"")</f>
        <v>DEEPAL♦S07</v>
      </c>
      <c r="I235" s="63">
        <f>IF(H235="","",IFERROR(INDEX('Data Export'!G235:CZ235,1,MATCH(前十整体车型排名!$B$4,'Data Export'!$G$1:$CZ$1,0)),0))</f>
        <v>5</v>
      </c>
      <c r="J235" s="62" t="str">
        <f>IF(H235="","",IF(OR('Data Export'!F235="三厢轿车",'Data Export'!F235="掀背轿车",'Data Export'!F235="旅行车",'Data Export'!F235="微型车",'Data Export'!F235="硬顶跑车",'Data Export'!F235="敞蓬车",'Data Export'!F235="Targa"),"轿车",IF(OR('Data Export'!F235="小型MPV",'Data Export'!F235="客车"),"MPV",IF('Data Export'!F235="运动型多功能车","SUV","其他"))))</f>
        <v>SUV</v>
      </c>
      <c r="K235" s="62">
        <f>IF(OR(D235="",NOT(F235=1)),"",1+SUMPRODUCT(($F$2:$F$1001=1)*($D$2:$D$1001&gt;D235))+COUNTIFS($F$2:F235,1,$D$2:D235,D235)-1)</f>
        <v>34</v>
      </c>
      <c r="L235" s="62" t="str">
        <f>IF(OR(D235="",NOT(G235="轿车")),"",1+SUMPRODUCT(($G$2:$G$1001="轿车")*($D$2:$D$1001&gt;D235))+COUNTIFS($G$2:G235,"轿车",$D$2:D235,D235)-1)</f>
        <v/>
      </c>
      <c r="M235" s="62" t="str">
        <f>IF(OR(D235="",NOT(G235="MPV")),"",1+SUMPRODUCT(($G$2:$G$1001="MPV")*($D$2:$D$1001&gt;D235))+COUNTIFS($G$2:G235,"MPV",$D$2:D235,D235)-1)</f>
        <v/>
      </c>
      <c r="N235" s="62">
        <f>IF(OR(D235="",NOT(G235="SUV")),"",1+SUMPRODUCT(($G$2:$G$1001="SUV")*($D$2:$D$1001&gt;D235))+COUNTIFS($G$2:G235,"SUV",$D$2:D235,D235)-1)</f>
        <v>35</v>
      </c>
      <c r="O235" s="62" t="str">
        <f>IF(OR(D235="",NOT(AND(F235=1,G235="轿车"))),"",1+SUMPRODUCT(($F$2:$F$1001=1)*($G$2:$G$1001="轿车")*($D$2:$D$1001&gt;D235))+COUNTIFS($F$2:F235,1,$G$2:G235,"轿车",$D$2:D235,D235)-1)</f>
        <v/>
      </c>
      <c r="P235" s="62" t="str">
        <f>IF(OR(D235="",NOT(AND(F235=1,G235="MPV"))),"",1+SUMPRODUCT(($F$2:$F$1001=1)*($G$2:$G$1001="MPV")*($D$2:$D$1001&gt;D235))+COUNTIFS($F$2:F235,1,$G$2:G235,"MPV",$D$2:D235,D235)-1)</f>
        <v/>
      </c>
      <c r="Q235" s="62">
        <f>IF(OR(D235="",NOT(AND(F235=1,G235="SUV"))),"",1+SUMPRODUCT(($F$2:$F$1001=1)*($G$2:$G$1001="SUV")*($D$2:$D$1001&gt;D235))+COUNTIFS($F$2:F235,1,$G$2:G235,"SUV",$D$2:D235,D235)-1)</f>
        <v>22</v>
      </c>
    </row>
    <row r="236" spans="1:17">
      <c r="A236" s="62" t="str">
        <f>IFERROR(INDEX($H$2:$H$3000,MATCH(0,INDEX(COUNTIF($A$1:A235,$H$2:$H$3000)+($H$2:$H$3000=""),0,0),0)),"")</f>
        <v>MG♦MAXUS 7</v>
      </c>
      <c r="B236" s="62" t="str">
        <f t="shared" si="12"/>
        <v>MG</v>
      </c>
      <c r="C236" s="62" t="str">
        <f t="shared" si="13"/>
        <v>MAXUS 7</v>
      </c>
      <c r="D236" s="63">
        <f t="shared" si="14"/>
        <v>74</v>
      </c>
      <c r="E236" s="62">
        <f>IF(D236="","",_xlfn.RANK.EQ(D236,$D$2:$D$1001,0)+COUNTIF($D$2:D236,D236)-1)</f>
        <v>85</v>
      </c>
      <c r="F236" s="62">
        <f>IF(B236="","",--(COUNTIF(CN_Brands!$A$2:$A$300,UPPER(B236))&gt;0))</f>
        <v>1</v>
      </c>
      <c r="G236" s="62" t="str">
        <f t="shared" si="15"/>
        <v>其他</v>
      </c>
      <c r="H236" s="62" t="str">
        <f>IF(AND('Data Export'!A236=前十整体车型排名!$B$2,'Data Export'!B236=前十整体车型排名!$B$3,'Data Export'!D236&lt;&gt;""),UPPER('Data Export'!C236)&amp;"♦"&amp;'Data Export'!D236,"")</f>
        <v>DENZA♦D9</v>
      </c>
      <c r="I236" s="63">
        <f>IF(H236="","",IFERROR(INDEX('Data Export'!G236:CZ236,1,MATCH(前十整体车型排名!$B$4,'Data Export'!$G$1:$CZ$1,0)),0))</f>
        <v>53</v>
      </c>
      <c r="J236" s="62" t="str">
        <f>IF(H236="","",IF(OR('Data Export'!F236="三厢轿车",'Data Export'!F236="掀背轿车",'Data Export'!F236="旅行车",'Data Export'!F236="微型车",'Data Export'!F236="硬顶跑车",'Data Export'!F236="敞蓬车",'Data Export'!F236="Targa"),"轿车",IF(OR('Data Export'!F236="小型MPV",'Data Export'!F236="客车"),"MPV",IF('Data Export'!F236="运动型多功能车","SUV","其他"))))</f>
        <v>其他</v>
      </c>
      <c r="K236" s="62">
        <f>IF(OR(D236="",NOT(F236=1)),"",1+SUMPRODUCT(($F$2:$F$1001=1)*($D$2:$D$1001&gt;D236))+COUNTIFS($F$2:F236,1,$D$2:D236,D236)-1)</f>
        <v>41</v>
      </c>
      <c r="L236" s="62" t="str">
        <f>IF(OR(D236="",NOT(G236="轿车")),"",1+SUMPRODUCT(($G$2:$G$1001="轿车")*($D$2:$D$1001&gt;D236))+COUNTIFS($G$2:G236,"轿车",$D$2:D236,D236)-1)</f>
        <v/>
      </c>
      <c r="M236" s="62" t="str">
        <f>IF(OR(D236="",NOT(G236="MPV")),"",1+SUMPRODUCT(($G$2:$G$1001="MPV")*($D$2:$D$1001&gt;D236))+COUNTIFS($G$2:G236,"MPV",$D$2:D236,D236)-1)</f>
        <v/>
      </c>
      <c r="N236" s="62" t="str">
        <f>IF(OR(D236="",NOT(G236="SUV")),"",1+SUMPRODUCT(($G$2:$G$1001="SUV")*($D$2:$D$1001&gt;D236))+COUNTIFS($G$2:G236,"SUV",$D$2:D236,D236)-1)</f>
        <v/>
      </c>
      <c r="O236" s="62" t="str">
        <f>IF(OR(D236="",NOT(AND(F236=1,G236="轿车"))),"",1+SUMPRODUCT(($F$2:$F$1001=1)*($G$2:$G$1001="轿车")*($D$2:$D$1001&gt;D236))+COUNTIFS($F$2:F236,1,$G$2:G236,"轿车",$D$2:D236,D236)-1)</f>
        <v/>
      </c>
      <c r="P236" s="62" t="str">
        <f>IF(OR(D236="",NOT(AND(F236=1,G236="MPV"))),"",1+SUMPRODUCT(($F$2:$F$1001=1)*($G$2:$G$1001="MPV")*($D$2:$D$1001&gt;D236))+COUNTIFS($F$2:F236,1,$G$2:G236,"MPV",$D$2:D236,D236)-1)</f>
        <v/>
      </c>
      <c r="Q236" s="62" t="str">
        <f>IF(OR(D236="",NOT(AND(F236=1,G236="SUV"))),"",1+SUMPRODUCT(($F$2:$F$1001=1)*($G$2:$G$1001="SUV")*($D$2:$D$1001&gt;D236))+COUNTIFS($F$2:F236,1,$G$2:G236,"SUV",$D$2:D236,D236)-1)</f>
        <v/>
      </c>
    </row>
    <row r="237" spans="1:17">
      <c r="A237" s="62" t="str">
        <f>IFERROR(INDEX($H$2:$H$3000,MATCH(0,INDEX(COUNTIF($A$1:A236,$H$2:$H$3000)+($H$2:$H$3000=""),0,0),0)),"")</f>
        <v>MG♦MAXUS 9</v>
      </c>
      <c r="B237" s="62" t="str">
        <f t="shared" si="12"/>
        <v>MG</v>
      </c>
      <c r="C237" s="62" t="str">
        <f t="shared" si="13"/>
        <v>MAXUS 9</v>
      </c>
      <c r="D237" s="63">
        <f t="shared" si="14"/>
        <v>63</v>
      </c>
      <c r="E237" s="62">
        <f>IF(D237="","",_xlfn.RANK.EQ(D237,$D$2:$D$1001,0)+COUNTIF($D$2:D237,D237)-1)</f>
        <v>90</v>
      </c>
      <c r="F237" s="62">
        <f>IF(B237="","",--(COUNTIF(CN_Brands!$A$2:$A$300,UPPER(B237))&gt;0))</f>
        <v>1</v>
      </c>
      <c r="G237" s="62" t="str">
        <f t="shared" si="15"/>
        <v>其他</v>
      </c>
      <c r="H237" s="62" t="str">
        <f>IF(AND('Data Export'!A237=前十整体车型排名!$B$2,'Data Export'!B237=前十整体车型排名!$B$3,'Data Export'!D237&lt;&gt;""),UPPER('Data Export'!C237)&amp;"♦"&amp;'Data Export'!D237,"")</f>
        <v>DENZA♦D9</v>
      </c>
      <c r="I237" s="63">
        <f>IF(H237="","",IFERROR(INDEX('Data Export'!G237:CZ237,1,MATCH(前十整体车型排名!$B$4,'Data Export'!$G$1:$CZ$1,0)),0))</f>
        <v>25</v>
      </c>
      <c r="J237" s="62" t="str">
        <f>IF(H237="","",IF(OR('Data Export'!F237="三厢轿车",'Data Export'!F237="掀背轿车",'Data Export'!F237="旅行车",'Data Export'!F237="微型车",'Data Export'!F237="硬顶跑车",'Data Export'!F237="敞蓬车",'Data Export'!F237="Targa"),"轿车",IF(OR('Data Export'!F237="小型MPV",'Data Export'!F237="客车"),"MPV",IF('Data Export'!F237="运动型多功能车","SUV","其他"))))</f>
        <v>其他</v>
      </c>
      <c r="K237" s="62">
        <f>IF(OR(D237="",NOT(F237=1)),"",1+SUMPRODUCT(($F$2:$F$1001=1)*($D$2:$D$1001&gt;D237))+COUNTIFS($F$2:F237,1,$D$2:D237,D237)-1)</f>
        <v>42</v>
      </c>
      <c r="L237" s="62" t="str">
        <f>IF(OR(D237="",NOT(G237="轿车")),"",1+SUMPRODUCT(($G$2:$G$1001="轿车")*($D$2:$D$1001&gt;D237))+COUNTIFS($G$2:G237,"轿车",$D$2:D237,D237)-1)</f>
        <v/>
      </c>
      <c r="M237" s="62" t="str">
        <f>IF(OR(D237="",NOT(G237="MPV")),"",1+SUMPRODUCT(($G$2:$G$1001="MPV")*($D$2:$D$1001&gt;D237))+COUNTIFS($G$2:G237,"MPV",$D$2:D237,D237)-1)</f>
        <v/>
      </c>
      <c r="N237" s="62" t="str">
        <f>IF(OR(D237="",NOT(G237="SUV")),"",1+SUMPRODUCT(($G$2:$G$1001="SUV")*($D$2:$D$1001&gt;D237))+COUNTIFS($G$2:G237,"SUV",$D$2:D237,D237)-1)</f>
        <v/>
      </c>
      <c r="O237" s="62" t="str">
        <f>IF(OR(D237="",NOT(AND(F237=1,G237="轿车"))),"",1+SUMPRODUCT(($F$2:$F$1001=1)*($G$2:$G$1001="轿车")*($D$2:$D$1001&gt;D237))+COUNTIFS($F$2:F237,1,$G$2:G237,"轿车",$D$2:D237,D237)-1)</f>
        <v/>
      </c>
      <c r="P237" s="62" t="str">
        <f>IF(OR(D237="",NOT(AND(F237=1,G237="MPV"))),"",1+SUMPRODUCT(($F$2:$F$1001=1)*($G$2:$G$1001="MPV")*($D$2:$D$1001&gt;D237))+COUNTIFS($F$2:F237,1,$G$2:G237,"MPV",$D$2:D237,D237)-1)</f>
        <v/>
      </c>
      <c r="Q237" s="62" t="str">
        <f>IF(OR(D237="",NOT(AND(F237=1,G237="SUV"))),"",1+SUMPRODUCT(($F$2:$F$1001=1)*($G$2:$G$1001="SUV")*($D$2:$D$1001&gt;D237))+COUNTIFS($F$2:F237,1,$G$2:G237,"SUV",$D$2:D237,D237)-1)</f>
        <v/>
      </c>
    </row>
    <row r="238" spans="1:17">
      <c r="A238" s="62" t="str">
        <f>IFERROR(INDEX($H$2:$H$3000,MATCH(0,INDEX(COUNTIF($A$1:A237,$H$2:$H$3000)+($H$2:$H$3000=""),0,0),0)),"")</f>
        <v>MG♦MG3</v>
      </c>
      <c r="B238" s="62" t="str">
        <f t="shared" si="12"/>
        <v>MG</v>
      </c>
      <c r="C238" s="62" t="str">
        <f t="shared" si="13"/>
        <v>MG3</v>
      </c>
      <c r="D238" s="63">
        <f t="shared" si="14"/>
        <v>87</v>
      </c>
      <c r="E238" s="62">
        <f>IF(D238="","",_xlfn.RANK.EQ(D238,$D$2:$D$1001,0)+COUNTIF($D$2:D238,D238)-1)</f>
        <v>79</v>
      </c>
      <c r="F238" s="62">
        <f>IF(B238="","",--(COUNTIF(CN_Brands!$A$2:$A$300,UPPER(B238))&gt;0))</f>
        <v>1</v>
      </c>
      <c r="G238" s="62" t="str">
        <f t="shared" si="15"/>
        <v>轿车</v>
      </c>
      <c r="H238" s="62" t="str">
        <f>IF(AND('Data Export'!A238=前十整体车型排名!$B$2,'Data Export'!B238=前十整体车型排名!$B$3,'Data Export'!D238&lt;&gt;""),UPPER('Data Export'!C238)&amp;"♦"&amp;'Data Export'!D238,"")</f>
        <v>DENZA♦D9</v>
      </c>
      <c r="I238" s="63">
        <f>IF(H238="","",IFERROR(INDEX('Data Export'!G238:CZ238,1,MATCH(前十整体车型排名!$B$4,'Data Export'!$G$1:$CZ$1,0)),0))</f>
        <v>0</v>
      </c>
      <c r="J238" s="62" t="str">
        <f>IF(H238="","",IF(OR('Data Export'!F238="三厢轿车",'Data Export'!F238="掀背轿车",'Data Export'!F238="旅行车",'Data Export'!F238="微型车",'Data Export'!F238="硬顶跑车",'Data Export'!F238="敞蓬车",'Data Export'!F238="Targa"),"轿车",IF(OR('Data Export'!F238="小型MPV",'Data Export'!F238="客车"),"MPV",IF('Data Export'!F238="运动型多功能车","SUV","其他"))))</f>
        <v>其他</v>
      </c>
      <c r="K238" s="62">
        <f>IF(OR(D238="",NOT(F238=1)),"",1+SUMPRODUCT(($F$2:$F$1001=1)*($D$2:$D$1001&gt;D238))+COUNTIFS($F$2:F238,1,$D$2:D238,D238)-1)</f>
        <v>38</v>
      </c>
      <c r="L238" s="62">
        <f>IF(OR(D238="",NOT(G238="轿车")),"",1+SUMPRODUCT(($G$2:$G$1001="轿车")*($D$2:$D$1001&gt;D238))+COUNTIFS($G$2:G238,"轿车",$D$2:D238,D238)-1)</f>
        <v>23</v>
      </c>
      <c r="M238" s="62" t="str">
        <f>IF(OR(D238="",NOT(G238="MPV")),"",1+SUMPRODUCT(($G$2:$G$1001="MPV")*($D$2:$D$1001&gt;D238))+COUNTIFS($G$2:G238,"MPV",$D$2:D238,D238)-1)</f>
        <v/>
      </c>
      <c r="N238" s="62" t="str">
        <f>IF(OR(D238="",NOT(G238="SUV")),"",1+SUMPRODUCT(($G$2:$G$1001="SUV")*($D$2:$D$1001&gt;D238))+COUNTIFS($G$2:G238,"SUV",$D$2:D238,D238)-1)</f>
        <v/>
      </c>
      <c r="O238" s="62">
        <f>IF(OR(D238="",NOT(AND(F238=1,G238="轿车"))),"",1+SUMPRODUCT(($F$2:$F$1001=1)*($G$2:$G$1001="轿车")*($D$2:$D$1001&gt;D238))+COUNTIFS($F$2:F238,1,$G$2:G238,"轿车",$D$2:D238,D238)-1)</f>
        <v>9</v>
      </c>
      <c r="P238" s="62" t="str">
        <f>IF(OR(D238="",NOT(AND(F238=1,G238="MPV"))),"",1+SUMPRODUCT(($F$2:$F$1001=1)*($G$2:$G$1001="MPV")*($D$2:$D$1001&gt;D238))+COUNTIFS($F$2:F238,1,$G$2:G238,"MPV",$D$2:D238,D238)-1)</f>
        <v/>
      </c>
      <c r="Q238" s="62" t="str">
        <f>IF(OR(D238="",NOT(AND(F238=1,G238="SUV"))),"",1+SUMPRODUCT(($F$2:$F$1001=1)*($G$2:$G$1001="SUV")*($D$2:$D$1001&gt;D238))+COUNTIFS($F$2:F238,1,$G$2:G238,"SUV",$D$2:D238,D238)-1)</f>
        <v/>
      </c>
    </row>
    <row r="239" spans="1:17">
      <c r="A239" s="62" t="str">
        <f>IFERROR(INDEX($H$2:$H$3000,MATCH(0,INDEX(COUNTIF($A$1:A238,$H$2:$H$3000)+($H$2:$H$3000=""),0,0),0)),"")</f>
        <v>MG♦MG4</v>
      </c>
      <c r="B239" s="62" t="str">
        <f t="shared" si="12"/>
        <v>MG</v>
      </c>
      <c r="C239" s="62" t="str">
        <f t="shared" si="13"/>
        <v>MG4</v>
      </c>
      <c r="D239" s="63">
        <f t="shared" si="14"/>
        <v>875</v>
      </c>
      <c r="E239" s="62">
        <f>IF(D239="","",_xlfn.RANK.EQ(D239,$D$2:$D$1001,0)+COUNTIF($D$2:D239,D239)-1)</f>
        <v>13</v>
      </c>
      <c r="F239" s="62">
        <f>IF(B239="","",--(COUNTIF(CN_Brands!$A$2:$A$300,UPPER(B239))&gt;0))</f>
        <v>1</v>
      </c>
      <c r="G239" s="62" t="str">
        <f t="shared" si="15"/>
        <v>轿车</v>
      </c>
      <c r="H239" s="62" t="str">
        <f>IF(AND('Data Export'!A239=前十整体车型排名!$B$2,'Data Export'!B239=前十整体车型排名!$B$3,'Data Export'!D239&lt;&gt;""),UPPER('Data Export'!C239)&amp;"♦"&amp;'Data Export'!D239,"")</f>
        <v>DFSK♦GLORY 580</v>
      </c>
      <c r="I239" s="63">
        <f>IF(H239="","",IFERROR(INDEX('Data Export'!G239:CZ239,1,MATCH(前十整体车型排名!$B$4,'Data Export'!$G$1:$CZ$1,0)),0))</f>
        <v>0</v>
      </c>
      <c r="J239" s="62" t="str">
        <f>IF(H239="","",IF(OR('Data Export'!F239="三厢轿车",'Data Export'!F239="掀背轿车",'Data Export'!F239="旅行车",'Data Export'!F239="微型车",'Data Export'!F239="硬顶跑车",'Data Export'!F239="敞蓬车",'Data Export'!F239="Targa"),"轿车",IF(OR('Data Export'!F239="小型MPV",'Data Export'!F239="客车"),"MPV",IF('Data Export'!F239="运动型多功能车","SUV","其他"))))</f>
        <v>SUV</v>
      </c>
      <c r="K239" s="62">
        <f>IF(OR(D239="",NOT(F239=1)),"",1+SUMPRODUCT(($F$2:$F$1001=1)*($D$2:$D$1001&gt;D239))+COUNTIFS($F$2:F239,1,$D$2:D239,D239)-1)</f>
        <v>7</v>
      </c>
      <c r="L239" s="62">
        <f>IF(OR(D239="",NOT(G239="轿车")),"",1+SUMPRODUCT(($G$2:$G$1001="轿车")*($D$2:$D$1001&gt;D239))+COUNTIFS($G$2:G239,"轿车",$D$2:D239,D239)-1)</f>
        <v>4</v>
      </c>
      <c r="M239" s="62" t="str">
        <f>IF(OR(D239="",NOT(G239="MPV")),"",1+SUMPRODUCT(($G$2:$G$1001="MPV")*($D$2:$D$1001&gt;D239))+COUNTIFS($G$2:G239,"MPV",$D$2:D239,D239)-1)</f>
        <v/>
      </c>
      <c r="N239" s="62" t="str">
        <f>IF(OR(D239="",NOT(G239="SUV")),"",1+SUMPRODUCT(($G$2:$G$1001="SUV")*($D$2:$D$1001&gt;D239))+COUNTIFS($G$2:G239,"SUV",$D$2:D239,D239)-1)</f>
        <v/>
      </c>
      <c r="O239" s="62">
        <f>IF(OR(D239="",NOT(AND(F239=1,G239="轿车"))),"",1+SUMPRODUCT(($F$2:$F$1001=1)*($G$2:$G$1001="轿车")*($D$2:$D$1001&gt;D239))+COUNTIFS($F$2:F239,1,$G$2:G239,"轿车",$D$2:D239,D239)-1)</f>
        <v>3</v>
      </c>
      <c r="P239" s="62" t="str">
        <f>IF(OR(D239="",NOT(AND(F239=1,G239="MPV"))),"",1+SUMPRODUCT(($F$2:$F$1001=1)*($G$2:$G$1001="MPV")*($D$2:$D$1001&gt;D239))+COUNTIFS($F$2:F239,1,$G$2:G239,"MPV",$D$2:D239,D239)-1)</f>
        <v/>
      </c>
      <c r="Q239" s="62" t="str">
        <f>IF(OR(D239="",NOT(AND(F239=1,G239="SUV"))),"",1+SUMPRODUCT(($F$2:$F$1001=1)*($G$2:$G$1001="SUV")*($D$2:$D$1001&gt;D239))+COUNTIFS($F$2:F239,1,$G$2:G239,"SUV",$D$2:D239,D239)-1)</f>
        <v/>
      </c>
    </row>
    <row r="240" spans="1:17">
      <c r="A240" s="62" t="str">
        <f>IFERROR(INDEX($H$2:$H$3000,MATCH(0,INDEX(COUNTIF($A$1:A239,$H$2:$H$3000)+($H$2:$H$3000=""),0,0),0)),"")</f>
        <v>MG♦MG4 URBAN</v>
      </c>
      <c r="B240" s="62" t="str">
        <f t="shared" si="12"/>
        <v>MG</v>
      </c>
      <c r="C240" s="62" t="str">
        <f t="shared" si="13"/>
        <v>MG4 URBAN</v>
      </c>
      <c r="D240" s="63">
        <f t="shared" si="14"/>
        <v>3</v>
      </c>
      <c r="E240" s="62">
        <f>IF(D240="","",_xlfn.RANK.EQ(D240,$D$2:$D$1001,0)+COUNTIF($D$2:D240,D240)-1)</f>
        <v>192</v>
      </c>
      <c r="F240" s="62">
        <f>IF(B240="","",--(COUNTIF(CN_Brands!$A$2:$A$300,UPPER(B240))&gt;0))</f>
        <v>1</v>
      </c>
      <c r="G240" s="62" t="str">
        <f t="shared" si="15"/>
        <v>轿车</v>
      </c>
      <c r="H240" s="62" t="str">
        <f>IF(AND('Data Export'!A240=前十整体车型排名!$B$2,'Data Export'!B240=前十整体车型排名!$B$3,'Data Export'!D240&lt;&gt;""),UPPER('Data Export'!C240)&amp;"♦"&amp;'Data Export'!D240,"")</f>
        <v>DFSK♦SERES 3</v>
      </c>
      <c r="I240" s="63">
        <f>IF(H240="","",IFERROR(INDEX('Data Export'!G240:CZ240,1,MATCH(前十整体车型排名!$B$4,'Data Export'!$G$1:$CZ$1,0)),0))</f>
        <v>1</v>
      </c>
      <c r="J240" s="62" t="str">
        <f>IF(H240="","",IF(OR('Data Export'!F240="三厢轿车",'Data Export'!F240="掀背轿车",'Data Export'!F240="旅行车",'Data Export'!F240="微型车",'Data Export'!F240="硬顶跑车",'Data Export'!F240="敞蓬车",'Data Export'!F240="Targa"),"轿车",IF(OR('Data Export'!F240="小型MPV",'Data Export'!F240="客车"),"MPV",IF('Data Export'!F240="运动型多功能车","SUV","其他"))))</f>
        <v>SUV</v>
      </c>
      <c r="K240" s="62">
        <f>IF(OR(D240="",NOT(F240=1)),"",1+SUMPRODUCT(($F$2:$F$1001=1)*($D$2:$D$1001&gt;D240))+COUNTIFS($F$2:F240,1,$D$2:D240,D240)-1)</f>
        <v>59</v>
      </c>
      <c r="L240" s="62">
        <f>IF(OR(D240="",NOT(G240="轿车")),"",1+SUMPRODUCT(($G$2:$G$1001="轿车")*($D$2:$D$1001&gt;D240))+COUNTIFS($G$2:G240,"轿车",$D$2:D240,D240)-1)</f>
        <v>52</v>
      </c>
      <c r="M240" s="62" t="str">
        <f>IF(OR(D240="",NOT(G240="MPV")),"",1+SUMPRODUCT(($G$2:$G$1001="MPV")*($D$2:$D$1001&gt;D240))+COUNTIFS($G$2:G240,"MPV",$D$2:D240,D240)-1)</f>
        <v/>
      </c>
      <c r="N240" s="62" t="str">
        <f>IF(OR(D240="",NOT(G240="SUV")),"",1+SUMPRODUCT(($G$2:$G$1001="SUV")*($D$2:$D$1001&gt;D240))+COUNTIFS($G$2:G240,"SUV",$D$2:D240,D240)-1)</f>
        <v/>
      </c>
      <c r="O240" s="62">
        <f>IF(OR(D240="",NOT(AND(F240=1,G240="轿车"))),"",1+SUMPRODUCT(($F$2:$F$1001=1)*($G$2:$G$1001="轿车")*($D$2:$D$1001&gt;D240))+COUNTIFS($F$2:F240,1,$G$2:G240,"轿车",$D$2:D240,D240)-1)</f>
        <v>16</v>
      </c>
      <c r="P240" s="62" t="str">
        <f>IF(OR(D240="",NOT(AND(F240=1,G240="MPV"))),"",1+SUMPRODUCT(($F$2:$F$1001=1)*($G$2:$G$1001="MPV")*($D$2:$D$1001&gt;D240))+COUNTIFS($F$2:F240,1,$G$2:G240,"MPV",$D$2:D240,D240)-1)</f>
        <v/>
      </c>
      <c r="Q240" s="62" t="str">
        <f>IF(OR(D240="",NOT(AND(F240=1,G240="SUV"))),"",1+SUMPRODUCT(($F$2:$F$1001=1)*($G$2:$G$1001="SUV")*($D$2:$D$1001&gt;D240))+COUNTIFS($F$2:F240,1,$G$2:G240,"SUV",$D$2:D240,D240)-1)</f>
        <v/>
      </c>
    </row>
    <row r="241" spans="1:17">
      <c r="A241" s="62" t="str">
        <f>IFERROR(INDEX($H$2:$H$3000,MATCH(0,INDEX(COUNTIF($A$1:A240,$H$2:$H$3000)+($H$2:$H$3000=""),0,0),0)),"")</f>
        <v>MG♦MG5</v>
      </c>
      <c r="B241" s="62" t="str">
        <f t="shared" si="12"/>
        <v>MG</v>
      </c>
      <c r="C241" s="62" t="str">
        <f t="shared" si="13"/>
        <v>MG5</v>
      </c>
      <c r="D241" s="63">
        <f t="shared" si="14"/>
        <v>81</v>
      </c>
      <c r="E241" s="62">
        <f>IF(D241="","",_xlfn.RANK.EQ(D241,$D$2:$D$1001,0)+COUNTIF($D$2:D241,D241)-1)</f>
        <v>82</v>
      </c>
      <c r="F241" s="62">
        <f>IF(B241="","",--(COUNTIF(CN_Brands!$A$2:$A$300,UPPER(B241))&gt;0))</f>
        <v>1</v>
      </c>
      <c r="G241" s="62" t="str">
        <f t="shared" si="15"/>
        <v>轿车</v>
      </c>
      <c r="H241" s="62" t="str">
        <f>IF(AND('Data Export'!A241=前十整体车型排名!$B$2,'Data Export'!B241=前十整体车型排名!$B$3,'Data Export'!D241&lt;&gt;""),UPPER('Data Export'!C241)&amp;"♦"&amp;'Data Export'!D241,"")</f>
        <v>DS♦DS 3</v>
      </c>
      <c r="I241" s="63">
        <f>IF(H241="","",IFERROR(INDEX('Data Export'!G241:CZ241,1,MATCH(前十整体车型排名!$B$4,'Data Export'!$G$1:$CZ$1,0)),0))</f>
        <v>0</v>
      </c>
      <c r="J241" s="62" t="str">
        <f>IF(H241="","",IF(OR('Data Export'!F241="三厢轿车",'Data Export'!F241="掀背轿车",'Data Export'!F241="旅行车",'Data Export'!F241="微型车",'Data Export'!F241="硬顶跑车",'Data Export'!F241="敞蓬车",'Data Export'!F241="Targa"),"轿车",IF(OR('Data Export'!F241="小型MPV",'Data Export'!F241="客车"),"MPV",IF('Data Export'!F241="运动型多功能车","SUV","其他"))))</f>
        <v>轿车</v>
      </c>
      <c r="K241" s="62">
        <f>IF(OR(D241="",NOT(F241=1)),"",1+SUMPRODUCT(($F$2:$F$1001=1)*($D$2:$D$1001&gt;D241))+COUNTIFS($F$2:F241,1,$D$2:D241,D241)-1)</f>
        <v>39</v>
      </c>
      <c r="L241" s="62">
        <f>IF(OR(D241="",NOT(G241="轿车")),"",1+SUMPRODUCT(($G$2:$G$1001="轿车")*($D$2:$D$1001&gt;D241))+COUNTIFS($G$2:G241,"轿车",$D$2:D241,D241)-1)</f>
        <v>24</v>
      </c>
      <c r="M241" s="62" t="str">
        <f>IF(OR(D241="",NOT(G241="MPV")),"",1+SUMPRODUCT(($G$2:$G$1001="MPV")*($D$2:$D$1001&gt;D241))+COUNTIFS($G$2:G241,"MPV",$D$2:D241,D241)-1)</f>
        <v/>
      </c>
      <c r="N241" s="62" t="str">
        <f>IF(OR(D241="",NOT(G241="SUV")),"",1+SUMPRODUCT(($G$2:$G$1001="SUV")*($D$2:$D$1001&gt;D241))+COUNTIFS($G$2:G241,"SUV",$D$2:D241,D241)-1)</f>
        <v/>
      </c>
      <c r="O241" s="62">
        <f>IF(OR(D241="",NOT(AND(F241=1,G241="轿车"))),"",1+SUMPRODUCT(($F$2:$F$1001=1)*($G$2:$G$1001="轿车")*($D$2:$D$1001&gt;D241))+COUNTIFS($F$2:F241,1,$G$2:G241,"轿车",$D$2:D241,D241)-1)</f>
        <v>10</v>
      </c>
      <c r="P241" s="62" t="str">
        <f>IF(OR(D241="",NOT(AND(F241=1,G241="MPV"))),"",1+SUMPRODUCT(($F$2:$F$1001=1)*($G$2:$G$1001="MPV")*($D$2:$D$1001&gt;D241))+COUNTIFS($F$2:F241,1,$G$2:G241,"MPV",$D$2:D241,D241)-1)</f>
        <v/>
      </c>
      <c r="Q241" s="62" t="str">
        <f>IF(OR(D241="",NOT(AND(F241=1,G241="SUV"))),"",1+SUMPRODUCT(($F$2:$F$1001=1)*($G$2:$G$1001="SUV")*($D$2:$D$1001&gt;D241))+COUNTIFS($F$2:F241,1,$G$2:G241,"SUV",$D$2:D241,D241)-1)</f>
        <v/>
      </c>
    </row>
    <row r="242" spans="1:17">
      <c r="A242" s="62" t="str">
        <f>IFERROR(INDEX($H$2:$H$3000,MATCH(0,INDEX(COUNTIF($A$1:A241,$H$2:$H$3000)+($H$2:$H$3000=""),0,0),0)),"")</f>
        <v>MG♦S5</v>
      </c>
      <c r="B242" s="62" t="str">
        <f t="shared" si="12"/>
        <v>MG</v>
      </c>
      <c r="C242" s="62" t="str">
        <f t="shared" si="13"/>
        <v>S5</v>
      </c>
      <c r="D242" s="63">
        <f t="shared" si="14"/>
        <v>1295</v>
      </c>
      <c r="E242" s="62">
        <f>IF(D242="","",_xlfn.RANK.EQ(D242,$D$2:$D$1001,0)+COUNTIF($D$2:D242,D242)-1)</f>
        <v>9</v>
      </c>
      <c r="F242" s="62">
        <f>IF(B242="","",--(COUNTIF(CN_Brands!$A$2:$A$300,UPPER(B242))&gt;0))</f>
        <v>1</v>
      </c>
      <c r="G242" s="62" t="str">
        <f t="shared" si="15"/>
        <v>SUV</v>
      </c>
      <c r="H242" s="62" t="str">
        <f>IF(AND('Data Export'!A242=前十整体车型排名!$B$2,'Data Export'!B242=前十整体车型排名!$B$3,'Data Export'!D242&lt;&gt;""),UPPER('Data Export'!C242)&amp;"♦"&amp;'Data Export'!D242,"")</f>
        <v>EVEASY♦OTHER</v>
      </c>
      <c r="I242" s="63">
        <f>IF(H242="","",IFERROR(INDEX('Data Export'!G242:CZ242,1,MATCH(前十整体车型排名!$B$4,'Data Export'!$G$1:$CZ$1,0)),0))</f>
        <v>0</v>
      </c>
      <c r="J242" s="62" t="str">
        <f>IF(H242="","",IF(OR('Data Export'!F242="三厢轿车",'Data Export'!F242="掀背轿车",'Data Export'!F242="旅行车",'Data Export'!F242="微型车",'Data Export'!F242="硬顶跑车",'Data Export'!F242="敞蓬车",'Data Export'!F242="Targa"),"轿车",IF(OR('Data Export'!F242="小型MPV",'Data Export'!F242="客车"),"MPV",IF('Data Export'!F242="运动型多功能车","SUV","其他"))))</f>
        <v>其他</v>
      </c>
      <c r="K242" s="62">
        <f>IF(OR(D242="",NOT(F242=1)),"",1+SUMPRODUCT(($F$2:$F$1001=1)*($D$2:$D$1001&gt;D242))+COUNTIFS($F$2:F242,1,$D$2:D242,D242)-1)</f>
        <v>5</v>
      </c>
      <c r="L242" s="62" t="str">
        <f>IF(OR(D242="",NOT(G242="轿车")),"",1+SUMPRODUCT(($G$2:$G$1001="轿车")*($D$2:$D$1001&gt;D242))+COUNTIFS($G$2:G242,"轿车",$D$2:D242,D242)-1)</f>
        <v/>
      </c>
      <c r="M242" s="62" t="str">
        <f>IF(OR(D242="",NOT(G242="MPV")),"",1+SUMPRODUCT(($G$2:$G$1001="MPV")*($D$2:$D$1001&gt;D242))+COUNTIFS($G$2:G242,"MPV",$D$2:D242,D242)-1)</f>
        <v/>
      </c>
      <c r="N242" s="62">
        <f>IF(OR(D242="",NOT(G242="SUV")),"",1+SUMPRODUCT(($G$2:$G$1001="SUV")*($D$2:$D$1001&gt;D242))+COUNTIFS($G$2:G242,"SUV",$D$2:D242,D242)-1)</f>
        <v>7</v>
      </c>
      <c r="O242" s="62" t="str">
        <f>IF(OR(D242="",NOT(AND(F242=1,G242="轿车"))),"",1+SUMPRODUCT(($F$2:$F$1001=1)*($G$2:$G$1001="轿车")*($D$2:$D$1001&gt;D242))+COUNTIFS($F$2:F242,1,$G$2:G242,"轿车",$D$2:D242,D242)-1)</f>
        <v/>
      </c>
      <c r="P242" s="62" t="str">
        <f>IF(OR(D242="",NOT(AND(F242=1,G242="MPV"))),"",1+SUMPRODUCT(($F$2:$F$1001=1)*($G$2:$G$1001="MPV")*($D$2:$D$1001&gt;D242))+COUNTIFS($F$2:F242,1,$G$2:G242,"MPV",$D$2:D242,D242)-1)</f>
        <v/>
      </c>
      <c r="Q242" s="62">
        <f>IF(OR(D242="",NOT(AND(F242=1,G242="SUV"))),"",1+SUMPRODUCT(($F$2:$F$1001=1)*($G$2:$G$1001="SUV")*($D$2:$D$1001&gt;D242))+COUNTIFS($F$2:F242,1,$G$2:G242,"SUV",$D$2:D242,D242)-1)</f>
        <v>4</v>
      </c>
    </row>
    <row r="243" spans="1:17">
      <c r="A243" s="62" t="str">
        <f>IFERROR(INDEX($H$2:$H$3000,MATCH(0,INDEX(COUNTIF($A$1:A242,$H$2:$H$3000)+($H$2:$H$3000=""),0,0),0)),"")</f>
        <v>MG♦VS</v>
      </c>
      <c r="B243" s="62" t="str">
        <f t="shared" si="12"/>
        <v>MG</v>
      </c>
      <c r="C243" s="62" t="str">
        <f t="shared" si="13"/>
        <v>VS</v>
      </c>
      <c r="D243" s="63">
        <f t="shared" si="14"/>
        <v>2</v>
      </c>
      <c r="E243" s="62">
        <f>IF(D243="","",_xlfn.RANK.EQ(D243,$D$2:$D$1001,0)+COUNTIF($D$2:D243,D243)-1)</f>
        <v>211</v>
      </c>
      <c r="F243" s="62">
        <f>IF(B243="","",--(COUNTIF(CN_Brands!$A$2:$A$300,UPPER(B243))&gt;0))</f>
        <v>1</v>
      </c>
      <c r="G243" s="62" t="str">
        <f t="shared" si="15"/>
        <v>SUV</v>
      </c>
      <c r="H243" s="62" t="str">
        <f>IF(AND('Data Export'!A243=前十整体车型排名!$B$2,'Data Export'!B243=前十整体车型排名!$B$3,'Data Export'!D243&lt;&gt;""),UPPER('Data Export'!C243)&amp;"♦"&amp;'Data Export'!D243,"")</f>
        <v>FARIZON♦SV</v>
      </c>
      <c r="I243" s="63">
        <f>IF(H243="","",IFERROR(INDEX('Data Export'!G243:CZ243,1,MATCH(前十整体车型排名!$B$4,'Data Export'!$G$1:$CZ$1,0)),0))</f>
        <v>2</v>
      </c>
      <c r="J243" s="62" t="str">
        <f>IF(H243="","",IF(OR('Data Export'!F243="三厢轿车",'Data Export'!F243="掀背轿车",'Data Export'!F243="旅行车",'Data Export'!F243="微型车",'Data Export'!F243="硬顶跑车",'Data Export'!F243="敞蓬车",'Data Export'!F243="Targa"),"轿车",IF(OR('Data Export'!F243="小型MPV",'Data Export'!F243="客车"),"MPV",IF('Data Export'!F243="运动型多功能车","SUV","其他"))))</f>
        <v>其他</v>
      </c>
      <c r="K243" s="62">
        <f>IF(OR(D243="",NOT(F243=1)),"",1+SUMPRODUCT(($F$2:$F$1001=1)*($D$2:$D$1001&gt;D243))+COUNTIFS($F$2:F243,1,$D$2:D243,D243)-1)</f>
        <v>63</v>
      </c>
      <c r="L243" s="62" t="str">
        <f>IF(OR(D243="",NOT(G243="轿车")),"",1+SUMPRODUCT(($G$2:$G$1001="轿车")*($D$2:$D$1001&gt;D243))+COUNTIFS($G$2:G243,"轿车",$D$2:D243,D243)-1)</f>
        <v/>
      </c>
      <c r="M243" s="62" t="str">
        <f>IF(OR(D243="",NOT(G243="MPV")),"",1+SUMPRODUCT(($G$2:$G$1001="MPV")*($D$2:$D$1001&gt;D243))+COUNTIFS($G$2:G243,"MPV",$D$2:D243,D243)-1)</f>
        <v/>
      </c>
      <c r="N243" s="62">
        <f>IF(OR(D243="",NOT(G243="SUV")),"",1+SUMPRODUCT(($G$2:$G$1001="SUV")*($D$2:$D$1001&gt;D243))+COUNTIFS($G$2:G243,"SUV",$D$2:D243,D243)-1)</f>
        <v>112</v>
      </c>
      <c r="O243" s="62" t="str">
        <f>IF(OR(D243="",NOT(AND(F243=1,G243="轿车"))),"",1+SUMPRODUCT(($F$2:$F$1001=1)*($G$2:$G$1001="轿车")*($D$2:$D$1001&gt;D243))+COUNTIFS($F$2:F243,1,$G$2:G243,"轿车",$D$2:D243,D243)-1)</f>
        <v/>
      </c>
      <c r="P243" s="62" t="str">
        <f>IF(OR(D243="",NOT(AND(F243=1,G243="MPV"))),"",1+SUMPRODUCT(($F$2:$F$1001=1)*($G$2:$G$1001="MPV")*($D$2:$D$1001&gt;D243))+COUNTIFS($F$2:F243,1,$G$2:G243,"MPV",$D$2:D243,D243)-1)</f>
        <v/>
      </c>
      <c r="Q243" s="62">
        <f>IF(OR(D243="",NOT(AND(F243=1,G243="SUV"))),"",1+SUMPRODUCT(($F$2:$F$1001=1)*($G$2:$G$1001="SUV")*($D$2:$D$1001&gt;D243))+COUNTIFS($F$2:F243,1,$G$2:G243,"SUV",$D$2:D243,D243)-1)</f>
        <v>35</v>
      </c>
    </row>
    <row r="244" spans="1:17">
      <c r="A244" s="62" t="str">
        <f>IFERROR(INDEX($H$2:$H$3000,MATCH(0,INDEX(COUNTIF($A$1:A243,$H$2:$H$3000)+($H$2:$H$3000=""),0,0),0)),"")</f>
        <v>MG♦ZS</v>
      </c>
      <c r="B244" s="62" t="str">
        <f t="shared" si="12"/>
        <v>MG</v>
      </c>
      <c r="C244" s="62" t="str">
        <f t="shared" si="13"/>
        <v>ZS</v>
      </c>
      <c r="D244" s="63">
        <f t="shared" si="14"/>
        <v>44</v>
      </c>
      <c r="E244" s="62">
        <f>IF(D244="","",_xlfn.RANK.EQ(D244,$D$2:$D$1001,0)+COUNTIF($D$2:D244,D244)-1)</f>
        <v>100</v>
      </c>
      <c r="F244" s="62">
        <f>IF(B244="","",--(COUNTIF(CN_Brands!$A$2:$A$300,UPPER(B244))&gt;0))</f>
        <v>1</v>
      </c>
      <c r="G244" s="62" t="str">
        <f t="shared" si="15"/>
        <v>SUV</v>
      </c>
      <c r="H244" s="62" t="str">
        <f>IF(AND('Data Export'!A244=前十整体车型排名!$B$2,'Data Export'!B244=前十整体车型排名!$B$3,'Data Export'!D244&lt;&gt;""),UPPER('Data Export'!C244)&amp;"♦"&amp;'Data Export'!D244,"")</f>
        <v>FERRARI♦12CILINDRI</v>
      </c>
      <c r="I244" s="63">
        <f>IF(H244="","",IFERROR(INDEX('Data Export'!G244:CZ244,1,MATCH(前十整体车型排名!$B$4,'Data Export'!$G$1:$CZ$1,0)),0))</f>
        <v>0</v>
      </c>
      <c r="J244" s="62" t="str">
        <f>IF(H244="","",IF(OR('Data Export'!F244="三厢轿车",'Data Export'!F244="掀背轿车",'Data Export'!F244="旅行车",'Data Export'!F244="微型车",'Data Export'!F244="硬顶跑车",'Data Export'!F244="敞蓬车",'Data Export'!F244="Targa"),"轿车",IF(OR('Data Export'!F244="小型MPV",'Data Export'!F244="客车"),"MPV",IF('Data Export'!F244="运动型多功能车","SUV","其他"))))</f>
        <v>其他</v>
      </c>
      <c r="K244" s="62">
        <f>IF(OR(D244="",NOT(F244=1)),"",1+SUMPRODUCT(($F$2:$F$1001=1)*($D$2:$D$1001&gt;D244))+COUNTIFS($F$2:F244,1,$D$2:D244,D244)-1)</f>
        <v>45</v>
      </c>
      <c r="L244" s="62" t="str">
        <f>IF(OR(D244="",NOT(G244="轿车")),"",1+SUMPRODUCT(($G$2:$G$1001="轿车")*($D$2:$D$1001&gt;D244))+COUNTIFS($G$2:G244,"轿车",$D$2:D244,D244)-1)</f>
        <v/>
      </c>
      <c r="M244" s="62" t="str">
        <f>IF(OR(D244="",NOT(G244="MPV")),"",1+SUMPRODUCT(($G$2:$G$1001="MPV")*($D$2:$D$1001&gt;D244))+COUNTIFS($G$2:G244,"MPV",$D$2:D244,D244)-1)</f>
        <v/>
      </c>
      <c r="N244" s="62">
        <f>IF(OR(D244="",NOT(G244="SUV")),"",1+SUMPRODUCT(($G$2:$G$1001="SUV")*($D$2:$D$1001&gt;D244))+COUNTIFS($G$2:G244,"SUV",$D$2:D244,D244)-1)</f>
        <v>52</v>
      </c>
      <c r="O244" s="62" t="str">
        <f>IF(OR(D244="",NOT(AND(F244=1,G244="轿车"))),"",1+SUMPRODUCT(($F$2:$F$1001=1)*($G$2:$G$1001="轿车")*($D$2:$D$1001&gt;D244))+COUNTIFS($F$2:F244,1,$G$2:G244,"轿车",$D$2:D244,D244)-1)</f>
        <v/>
      </c>
      <c r="P244" s="62" t="str">
        <f>IF(OR(D244="",NOT(AND(F244=1,G244="MPV"))),"",1+SUMPRODUCT(($F$2:$F$1001=1)*($G$2:$G$1001="MPV")*($D$2:$D$1001&gt;D244))+COUNTIFS($F$2:F244,1,$G$2:G244,"MPV",$D$2:D244,D244)-1)</f>
        <v/>
      </c>
      <c r="Q244" s="62">
        <f>IF(OR(D244="",NOT(AND(F244=1,G244="SUV"))),"",1+SUMPRODUCT(($F$2:$F$1001=1)*($G$2:$G$1001="SUV")*($D$2:$D$1001&gt;D244))+COUNTIFS($F$2:F244,1,$G$2:G244,"SUV",$D$2:D244,D244)-1)</f>
        <v>27</v>
      </c>
    </row>
    <row r="245" spans="1:17">
      <c r="A245" s="62" t="str">
        <f>IFERROR(INDEX($H$2:$H$3000,MATCH(0,INDEX(COUNTIF($A$1:A244,$H$2:$H$3000)+($H$2:$H$3000=""),0,0),0)),"")</f>
        <v>MINI♦ACEMAN</v>
      </c>
      <c r="B245" s="62" t="str">
        <f t="shared" si="12"/>
        <v>MINI</v>
      </c>
      <c r="C245" s="62" t="str">
        <f t="shared" si="13"/>
        <v>ACEMAN</v>
      </c>
      <c r="D245" s="63">
        <f t="shared" si="14"/>
        <v>68</v>
      </c>
      <c r="E245" s="62">
        <f>IF(D245="","",_xlfn.RANK.EQ(D245,$D$2:$D$1001,0)+COUNTIF($D$2:D245,D245)-1)</f>
        <v>89</v>
      </c>
      <c r="F245" s="62">
        <f>IF(B245="","",--(COUNTIF(CN_Brands!$A$2:$A$300,UPPER(B245))&gt;0))</f>
        <v>0</v>
      </c>
      <c r="G245" s="62" t="str">
        <f t="shared" si="15"/>
        <v>SUV</v>
      </c>
      <c r="H245" s="62" t="str">
        <f>IF(AND('Data Export'!A245=前十整体车型排名!$B$2,'Data Export'!B245=前十整体车型排名!$B$3,'Data Export'!D245&lt;&gt;""),UPPER('Data Export'!C245)&amp;"♦"&amp;'Data Export'!D245,"")</f>
        <v>FERRARI♦12CILINDRI</v>
      </c>
      <c r="I245" s="63">
        <f>IF(H245="","",IFERROR(INDEX('Data Export'!G245:CZ245,1,MATCH(前十整体车型排名!$B$4,'Data Export'!$G$1:$CZ$1,0)),0))</f>
        <v>0</v>
      </c>
      <c r="J245" s="62" t="str">
        <f>IF(H245="","",IF(OR('Data Export'!F245="三厢轿车",'Data Export'!F245="掀背轿车",'Data Export'!F245="旅行车",'Data Export'!F245="微型车",'Data Export'!F245="硬顶跑车",'Data Export'!F245="敞蓬车",'Data Export'!F245="Targa"),"轿车",IF(OR('Data Export'!F245="小型MPV",'Data Export'!F245="客车"),"MPV",IF('Data Export'!F245="运动型多功能车","SUV","其他"))))</f>
        <v>轿车</v>
      </c>
      <c r="K245" s="62" t="str">
        <f>IF(OR(D245="",NOT(F245=1)),"",1+SUMPRODUCT(($F$2:$F$1001=1)*($D$2:$D$1001&gt;D245))+COUNTIFS($F$2:F245,1,$D$2:D245,D245)-1)</f>
        <v/>
      </c>
      <c r="L245" s="62" t="str">
        <f>IF(OR(D245="",NOT(G245="轿车")),"",1+SUMPRODUCT(($G$2:$G$1001="轿车")*($D$2:$D$1001&gt;D245))+COUNTIFS($G$2:G245,"轿车",$D$2:D245,D245)-1)</f>
        <v/>
      </c>
      <c r="M245" s="62" t="str">
        <f>IF(OR(D245="",NOT(G245="MPV")),"",1+SUMPRODUCT(($G$2:$G$1001="MPV")*($D$2:$D$1001&gt;D245))+COUNTIFS($G$2:G245,"MPV",$D$2:D245,D245)-1)</f>
        <v/>
      </c>
      <c r="N245" s="62">
        <f>IF(OR(D245="",NOT(G245="SUV")),"",1+SUMPRODUCT(($G$2:$G$1001="SUV")*($D$2:$D$1001&gt;D245))+COUNTIFS($G$2:G245,"SUV",$D$2:D245,D245)-1)</f>
        <v>44</v>
      </c>
      <c r="O245" s="62" t="str">
        <f>IF(OR(D245="",NOT(AND(F245=1,G245="轿车"))),"",1+SUMPRODUCT(($F$2:$F$1001=1)*($G$2:$G$1001="轿车")*($D$2:$D$1001&gt;D245))+COUNTIFS($F$2:F245,1,$G$2:G245,"轿车",$D$2:D245,D245)-1)</f>
        <v/>
      </c>
      <c r="P245" s="62" t="str">
        <f>IF(OR(D245="",NOT(AND(F245=1,G245="MPV"))),"",1+SUMPRODUCT(($F$2:$F$1001=1)*($G$2:$G$1001="MPV")*($D$2:$D$1001&gt;D245))+COUNTIFS($F$2:F245,1,$G$2:G245,"MPV",$D$2:D245,D245)-1)</f>
        <v/>
      </c>
      <c r="Q245" s="62" t="str">
        <f>IF(OR(D245="",NOT(AND(F245=1,G245="SUV"))),"",1+SUMPRODUCT(($F$2:$F$1001=1)*($G$2:$G$1001="SUV")*($D$2:$D$1001&gt;D245))+COUNTIFS($F$2:F245,1,$G$2:G245,"SUV",$D$2:D245,D245)-1)</f>
        <v/>
      </c>
    </row>
    <row r="246" spans="1:17">
      <c r="A246" s="62" t="str">
        <f>IFERROR(INDEX($H$2:$H$3000,MATCH(0,INDEX(COUNTIF($A$1:A245,$H$2:$H$3000)+($H$2:$H$3000=""),0,0),0)),"")</f>
        <v>MINI♦CLUBMAN</v>
      </c>
      <c r="B246" s="62" t="str">
        <f t="shared" si="12"/>
        <v>MINI</v>
      </c>
      <c r="C246" s="62" t="str">
        <f t="shared" si="13"/>
        <v>CLUBMAN</v>
      </c>
      <c r="D246" s="63">
        <f t="shared" si="14"/>
        <v>0</v>
      </c>
      <c r="E246" s="62">
        <f>IF(D246="","",_xlfn.RANK.EQ(D246,$D$2:$D$1001,0)+COUNTIF($D$2:D246,D246)-1)</f>
        <v>345</v>
      </c>
      <c r="F246" s="62">
        <f>IF(B246="","",--(COUNTIF(CN_Brands!$A$2:$A$300,UPPER(B246))&gt;0))</f>
        <v>0</v>
      </c>
      <c r="G246" s="62" t="str">
        <f t="shared" si="15"/>
        <v>轿车</v>
      </c>
      <c r="H246" s="62" t="str">
        <f>IF(AND('Data Export'!A246=前十整体车型排名!$B$2,'Data Export'!B246=前十整体车型排名!$B$3,'Data Export'!D246&lt;&gt;""),UPPER('Data Export'!C246)&amp;"♦"&amp;'Data Export'!D246,"")</f>
        <v>FERRARI♦296</v>
      </c>
      <c r="I246" s="63">
        <f>IF(H246="","",IFERROR(INDEX('Data Export'!G246:CZ246,1,MATCH(前十整体车型排名!$B$4,'Data Export'!$G$1:$CZ$1,0)),0))</f>
        <v>0</v>
      </c>
      <c r="J246" s="62" t="str">
        <f>IF(H246="","",IF(OR('Data Export'!F246="三厢轿车",'Data Export'!F246="掀背轿车",'Data Export'!F246="旅行车",'Data Export'!F246="微型车",'Data Export'!F246="硬顶跑车",'Data Export'!F246="敞蓬车",'Data Export'!F246="Targa"),"轿车",IF(OR('Data Export'!F246="小型MPV",'Data Export'!F246="客车"),"MPV",IF('Data Export'!F246="运动型多功能车","SUV","其他"))))</f>
        <v>轿车</v>
      </c>
      <c r="K246" s="62" t="str">
        <f>IF(OR(D246="",NOT(F246=1)),"",1+SUMPRODUCT(($F$2:$F$1001=1)*($D$2:$D$1001&gt;D246))+COUNTIFS($F$2:F246,1,$D$2:D246,D246)-1)</f>
        <v/>
      </c>
      <c r="L246" s="62">
        <f>IF(OR(D246="",NOT(G246="轿车")),"",1+SUMPRODUCT(($G$2:$G$1001="轿车")*($D$2:$D$1001&gt;D246))+COUNTIFS($G$2:G246,"轿车",$D$2:D246,D246)-1)</f>
        <v>119</v>
      </c>
      <c r="M246" s="62" t="str">
        <f>IF(OR(D246="",NOT(G246="MPV")),"",1+SUMPRODUCT(($G$2:$G$1001="MPV")*($D$2:$D$1001&gt;D246))+COUNTIFS($G$2:G246,"MPV",$D$2:D246,D246)-1)</f>
        <v/>
      </c>
      <c r="N246" s="62" t="str">
        <f>IF(OR(D246="",NOT(G246="SUV")),"",1+SUMPRODUCT(($G$2:$G$1001="SUV")*($D$2:$D$1001&gt;D246))+COUNTIFS($G$2:G246,"SUV",$D$2:D246,D246)-1)</f>
        <v/>
      </c>
      <c r="O246" s="62" t="str">
        <f>IF(OR(D246="",NOT(AND(F246=1,G246="轿车"))),"",1+SUMPRODUCT(($F$2:$F$1001=1)*($G$2:$G$1001="轿车")*($D$2:$D$1001&gt;D246))+COUNTIFS($F$2:F246,1,$G$2:G246,"轿车",$D$2:D246,D246)-1)</f>
        <v/>
      </c>
      <c r="P246" s="62" t="str">
        <f>IF(OR(D246="",NOT(AND(F246=1,G246="MPV"))),"",1+SUMPRODUCT(($F$2:$F$1001=1)*($G$2:$G$1001="MPV")*($D$2:$D$1001&gt;D246))+COUNTIFS($F$2:F246,1,$G$2:G246,"MPV",$D$2:D246,D246)-1)</f>
        <v/>
      </c>
      <c r="Q246" s="62" t="str">
        <f>IF(OR(D246="",NOT(AND(F246=1,G246="SUV"))),"",1+SUMPRODUCT(($F$2:$F$1001=1)*($G$2:$G$1001="SUV")*($D$2:$D$1001&gt;D246))+COUNTIFS($F$2:F246,1,$G$2:G246,"SUV",$D$2:D246,D246)-1)</f>
        <v/>
      </c>
    </row>
    <row r="247" spans="1:17">
      <c r="A247" s="62" t="str">
        <f>IFERROR(INDEX($H$2:$H$3000,MATCH(0,INDEX(COUNTIF($A$1:A246,$H$2:$H$3000)+($H$2:$H$3000=""),0,0),0)),"")</f>
        <v>MINI♦COOPER</v>
      </c>
      <c r="B247" s="62" t="str">
        <f t="shared" si="12"/>
        <v>MINI</v>
      </c>
      <c r="C247" s="62" t="str">
        <f t="shared" si="13"/>
        <v>COOPER</v>
      </c>
      <c r="D247" s="63">
        <f t="shared" si="14"/>
        <v>69</v>
      </c>
      <c r="E247" s="62">
        <f>IF(D247="","",_xlfn.RANK.EQ(D247,$D$2:$D$1001,0)+COUNTIF($D$2:D247,D247)-1)</f>
        <v>88</v>
      </c>
      <c r="F247" s="62">
        <f>IF(B247="","",--(COUNTIF(CN_Brands!$A$2:$A$300,UPPER(B247))&gt;0))</f>
        <v>0</v>
      </c>
      <c r="G247" s="62" t="str">
        <f t="shared" si="15"/>
        <v>轿车</v>
      </c>
      <c r="H247" s="62" t="str">
        <f>IF(AND('Data Export'!A247=前十整体车型排名!$B$2,'Data Export'!B247=前十整体车型排名!$B$3,'Data Export'!D247&lt;&gt;""),UPPER('Data Export'!C247)&amp;"♦"&amp;'Data Export'!D247,"")</f>
        <v>FERRARI♦296</v>
      </c>
      <c r="I247" s="63">
        <f>IF(H247="","",IFERROR(INDEX('Data Export'!G247:CZ247,1,MATCH(前十整体车型排名!$B$4,'Data Export'!$G$1:$CZ$1,0)),0))</f>
        <v>1</v>
      </c>
      <c r="J247" s="62" t="str">
        <f>IF(H247="","",IF(OR('Data Export'!F247="三厢轿车",'Data Export'!F247="掀背轿车",'Data Export'!F247="旅行车",'Data Export'!F247="微型车",'Data Export'!F247="硬顶跑车",'Data Export'!F247="敞蓬车",'Data Export'!F247="Targa"),"轿车",IF(OR('Data Export'!F247="小型MPV",'Data Export'!F247="客车"),"MPV",IF('Data Export'!F247="运动型多功能车","SUV","其他"))))</f>
        <v>其他</v>
      </c>
      <c r="K247" s="62" t="str">
        <f>IF(OR(D247="",NOT(F247=1)),"",1+SUMPRODUCT(($F$2:$F$1001=1)*($D$2:$D$1001&gt;D247))+COUNTIFS($F$2:F247,1,$D$2:D247,D247)-1)</f>
        <v/>
      </c>
      <c r="L247" s="62">
        <f>IF(OR(D247="",NOT(G247="轿车")),"",1+SUMPRODUCT(($G$2:$G$1001="轿车")*($D$2:$D$1001&gt;D247))+COUNTIFS($G$2:G247,"轿车",$D$2:D247,D247)-1)</f>
        <v>26</v>
      </c>
      <c r="M247" s="62" t="str">
        <f>IF(OR(D247="",NOT(G247="MPV")),"",1+SUMPRODUCT(($G$2:$G$1001="MPV")*($D$2:$D$1001&gt;D247))+COUNTIFS($G$2:G247,"MPV",$D$2:D247,D247)-1)</f>
        <v/>
      </c>
      <c r="N247" s="62" t="str">
        <f>IF(OR(D247="",NOT(G247="SUV")),"",1+SUMPRODUCT(($G$2:$G$1001="SUV")*($D$2:$D$1001&gt;D247))+COUNTIFS($G$2:G247,"SUV",$D$2:D247,D247)-1)</f>
        <v/>
      </c>
      <c r="O247" s="62" t="str">
        <f>IF(OR(D247="",NOT(AND(F247=1,G247="轿车"))),"",1+SUMPRODUCT(($F$2:$F$1001=1)*($G$2:$G$1001="轿车")*($D$2:$D$1001&gt;D247))+COUNTIFS($F$2:F247,1,$G$2:G247,"轿车",$D$2:D247,D247)-1)</f>
        <v/>
      </c>
      <c r="P247" s="62" t="str">
        <f>IF(OR(D247="",NOT(AND(F247=1,G247="MPV"))),"",1+SUMPRODUCT(($F$2:$F$1001=1)*($G$2:$G$1001="MPV")*($D$2:$D$1001&gt;D247))+COUNTIFS($F$2:F247,1,$G$2:G247,"MPV",$D$2:D247,D247)-1)</f>
        <v/>
      </c>
      <c r="Q247" s="62" t="str">
        <f>IF(OR(D247="",NOT(AND(F247=1,G247="SUV"))),"",1+SUMPRODUCT(($F$2:$F$1001=1)*($G$2:$G$1001="SUV")*($D$2:$D$1001&gt;D247))+COUNTIFS($F$2:F247,1,$G$2:G247,"SUV",$D$2:D247,D247)-1)</f>
        <v/>
      </c>
    </row>
    <row r="248" spans="1:17">
      <c r="A248" s="62" t="str">
        <f>IFERROR(INDEX($H$2:$H$3000,MATCH(0,INDEX(COUNTIF($A$1:A247,$H$2:$H$3000)+($H$2:$H$3000=""),0,0),0)),"")</f>
        <v>MINI♦COUNTRYMAN</v>
      </c>
      <c r="B248" s="62" t="str">
        <f t="shared" si="12"/>
        <v>MINI</v>
      </c>
      <c r="C248" s="62" t="str">
        <f t="shared" si="13"/>
        <v>COUNTRYMAN</v>
      </c>
      <c r="D248" s="63">
        <f t="shared" si="14"/>
        <v>19</v>
      </c>
      <c r="E248" s="62">
        <f>IF(D248="","",_xlfn.RANK.EQ(D248,$D$2:$D$1001,0)+COUNTIF($D$2:D248,D248)-1)</f>
        <v>123</v>
      </c>
      <c r="F248" s="62">
        <f>IF(B248="","",--(COUNTIF(CN_Brands!$A$2:$A$300,UPPER(B248))&gt;0))</f>
        <v>0</v>
      </c>
      <c r="G248" s="62" t="str">
        <f t="shared" si="15"/>
        <v>SUV</v>
      </c>
      <c r="H248" s="62" t="str">
        <f>IF(AND('Data Export'!A248=前十整体车型排名!$B$2,'Data Export'!B248=前十整体车型排名!$B$3,'Data Export'!D248&lt;&gt;""),UPPER('Data Export'!C248)&amp;"♦"&amp;'Data Export'!D248,"")</f>
        <v>FERRARI♦488</v>
      </c>
      <c r="I248" s="63">
        <f>IF(H248="","",IFERROR(INDEX('Data Export'!G248:CZ248,1,MATCH(前十整体车型排名!$B$4,'Data Export'!$G$1:$CZ$1,0)),0))</f>
        <v>0</v>
      </c>
      <c r="J248" s="62" t="str">
        <f>IF(H248="","",IF(OR('Data Export'!F248="三厢轿车",'Data Export'!F248="掀背轿车",'Data Export'!F248="旅行车",'Data Export'!F248="微型车",'Data Export'!F248="硬顶跑车",'Data Export'!F248="敞蓬车",'Data Export'!F248="Targa"),"轿车",IF(OR('Data Export'!F248="小型MPV",'Data Export'!F248="客车"),"MPV",IF('Data Export'!F248="运动型多功能车","SUV","其他"))))</f>
        <v>轿车</v>
      </c>
      <c r="K248" s="62" t="str">
        <f>IF(OR(D248="",NOT(F248=1)),"",1+SUMPRODUCT(($F$2:$F$1001=1)*($D$2:$D$1001&gt;D248))+COUNTIFS($F$2:F248,1,$D$2:D248,D248)-1)</f>
        <v/>
      </c>
      <c r="L248" s="62" t="str">
        <f>IF(OR(D248="",NOT(G248="轿车")),"",1+SUMPRODUCT(($G$2:$G$1001="轿车")*($D$2:$D$1001&gt;D248))+COUNTIFS($G$2:G248,"轿车",$D$2:D248,D248)-1)</f>
        <v/>
      </c>
      <c r="M248" s="62" t="str">
        <f>IF(OR(D248="",NOT(G248="MPV")),"",1+SUMPRODUCT(($G$2:$G$1001="MPV")*($D$2:$D$1001&gt;D248))+COUNTIFS($G$2:G248,"MPV",$D$2:D248,D248)-1)</f>
        <v/>
      </c>
      <c r="N248" s="62">
        <f>IF(OR(D248="",NOT(G248="SUV")),"",1+SUMPRODUCT(($G$2:$G$1001="SUV")*($D$2:$D$1001&gt;D248))+COUNTIFS($G$2:G248,"SUV",$D$2:D248,D248)-1)</f>
        <v>67</v>
      </c>
      <c r="O248" s="62" t="str">
        <f>IF(OR(D248="",NOT(AND(F248=1,G248="轿车"))),"",1+SUMPRODUCT(($F$2:$F$1001=1)*($G$2:$G$1001="轿车")*($D$2:$D$1001&gt;D248))+COUNTIFS($F$2:F248,1,$G$2:G248,"轿车",$D$2:D248,D248)-1)</f>
        <v/>
      </c>
      <c r="P248" s="62" t="str">
        <f>IF(OR(D248="",NOT(AND(F248=1,G248="MPV"))),"",1+SUMPRODUCT(($F$2:$F$1001=1)*($G$2:$G$1001="MPV")*($D$2:$D$1001&gt;D248))+COUNTIFS($F$2:F248,1,$G$2:G248,"MPV",$D$2:D248,D248)-1)</f>
        <v/>
      </c>
      <c r="Q248" s="62" t="str">
        <f>IF(OR(D248="",NOT(AND(F248=1,G248="SUV"))),"",1+SUMPRODUCT(($F$2:$F$1001=1)*($G$2:$G$1001="SUV")*($D$2:$D$1001&gt;D248))+COUNTIFS($F$2:F248,1,$G$2:G248,"SUV",$D$2:D248,D248)-1)</f>
        <v/>
      </c>
    </row>
    <row r="249" spans="1:17">
      <c r="A249" s="62" t="str">
        <f>IFERROR(INDEX($H$2:$H$3000,MATCH(0,INDEX(COUNTIF($A$1:A248,$H$2:$H$3000)+($H$2:$H$3000=""),0,0),0)),"")</f>
        <v>MINI♦MINI</v>
      </c>
      <c r="B249" s="62" t="str">
        <f t="shared" si="12"/>
        <v>MINI</v>
      </c>
      <c r="C249" s="62" t="str">
        <f t="shared" si="13"/>
        <v>MINI</v>
      </c>
      <c r="D249" s="63">
        <f t="shared" si="14"/>
        <v>0</v>
      </c>
      <c r="E249" s="62">
        <f>IF(D249="","",_xlfn.RANK.EQ(D249,$D$2:$D$1001,0)+COUNTIF($D$2:D249,D249)-1)</f>
        <v>346</v>
      </c>
      <c r="F249" s="62">
        <f>IF(B249="","",--(COUNTIF(CN_Brands!$A$2:$A$300,UPPER(B249))&gt;0))</f>
        <v>0</v>
      </c>
      <c r="G249" s="62" t="str">
        <f t="shared" si="15"/>
        <v>轿车</v>
      </c>
      <c r="H249" s="62" t="str">
        <f>IF(AND('Data Export'!A249=前十整体车型排名!$B$2,'Data Export'!B249=前十整体车型排名!$B$3,'Data Export'!D249&lt;&gt;""),UPPER('Data Export'!C249)&amp;"♦"&amp;'Data Export'!D249,"")</f>
        <v>FERRARI♦F8</v>
      </c>
      <c r="I249" s="63">
        <f>IF(H249="","",IFERROR(INDEX('Data Export'!G249:CZ249,1,MATCH(前十整体车型排名!$B$4,'Data Export'!$G$1:$CZ$1,0)),0))</f>
        <v>0</v>
      </c>
      <c r="J249" s="62" t="str">
        <f>IF(H249="","",IF(OR('Data Export'!F249="三厢轿车",'Data Export'!F249="掀背轿车",'Data Export'!F249="旅行车",'Data Export'!F249="微型车",'Data Export'!F249="硬顶跑车",'Data Export'!F249="敞蓬车",'Data Export'!F249="Targa"),"轿车",IF(OR('Data Export'!F249="小型MPV",'Data Export'!F249="客车"),"MPV",IF('Data Export'!F249="运动型多功能车","SUV","其他"))))</f>
        <v>轿车</v>
      </c>
      <c r="K249" s="62" t="str">
        <f>IF(OR(D249="",NOT(F249=1)),"",1+SUMPRODUCT(($F$2:$F$1001=1)*($D$2:$D$1001&gt;D249))+COUNTIFS($F$2:F249,1,$D$2:D249,D249)-1)</f>
        <v/>
      </c>
      <c r="L249" s="62">
        <f>IF(OR(D249="",NOT(G249="轿车")),"",1+SUMPRODUCT(($G$2:$G$1001="轿车")*($D$2:$D$1001&gt;D249))+COUNTIFS($G$2:G249,"轿车",$D$2:D249,D249)-1)</f>
        <v>120</v>
      </c>
      <c r="M249" s="62" t="str">
        <f>IF(OR(D249="",NOT(G249="MPV")),"",1+SUMPRODUCT(($G$2:$G$1001="MPV")*($D$2:$D$1001&gt;D249))+COUNTIFS($G$2:G249,"MPV",$D$2:D249,D249)-1)</f>
        <v/>
      </c>
      <c r="N249" s="62" t="str">
        <f>IF(OR(D249="",NOT(G249="SUV")),"",1+SUMPRODUCT(($G$2:$G$1001="SUV")*($D$2:$D$1001&gt;D249))+COUNTIFS($G$2:G249,"SUV",$D$2:D249,D249)-1)</f>
        <v/>
      </c>
      <c r="O249" s="62" t="str">
        <f>IF(OR(D249="",NOT(AND(F249=1,G249="轿车"))),"",1+SUMPRODUCT(($F$2:$F$1001=1)*($G$2:$G$1001="轿车")*($D$2:$D$1001&gt;D249))+COUNTIFS($F$2:F249,1,$G$2:G249,"轿车",$D$2:D249,D249)-1)</f>
        <v/>
      </c>
      <c r="P249" s="62" t="str">
        <f>IF(OR(D249="",NOT(AND(F249=1,G249="MPV"))),"",1+SUMPRODUCT(($F$2:$F$1001=1)*($G$2:$G$1001="MPV")*($D$2:$D$1001&gt;D249))+COUNTIFS($F$2:F249,1,$G$2:G249,"MPV",$D$2:D249,D249)-1)</f>
        <v/>
      </c>
      <c r="Q249" s="62" t="str">
        <f>IF(OR(D249="",NOT(AND(F249=1,G249="SUV"))),"",1+SUMPRODUCT(($F$2:$F$1001=1)*($G$2:$G$1001="SUV")*($D$2:$D$1001&gt;D249))+COUNTIFS($F$2:F249,1,$G$2:G249,"SUV",$D$2:D249,D249)-1)</f>
        <v/>
      </c>
    </row>
    <row r="250" spans="1:17">
      <c r="A250" s="62" t="str">
        <f>IFERROR(INDEX($H$2:$H$3000,MATCH(0,INDEX(COUNTIF($A$1:A249,$H$2:$H$3000)+($H$2:$H$3000=""),0,0),0)),"")</f>
        <v>MINI♦OTHER</v>
      </c>
      <c r="B250" s="62" t="str">
        <f t="shared" si="12"/>
        <v>MINI</v>
      </c>
      <c r="C250" s="62" t="str">
        <f t="shared" si="13"/>
        <v>OTHER</v>
      </c>
      <c r="D250" s="63">
        <f t="shared" si="14"/>
        <v>15</v>
      </c>
      <c r="E250" s="62">
        <f>IF(D250="","",_xlfn.RANK.EQ(D250,$D$2:$D$1001,0)+COUNTIF($D$2:D250,D250)-1)</f>
        <v>130</v>
      </c>
      <c r="F250" s="62">
        <f>IF(B250="","",--(COUNTIF(CN_Brands!$A$2:$A$300,UPPER(B250))&gt;0))</f>
        <v>0</v>
      </c>
      <c r="G250" s="62" t="str">
        <f t="shared" si="15"/>
        <v>其他</v>
      </c>
      <c r="H250" s="62" t="str">
        <f>IF(AND('Data Export'!A250=前十整体车型排名!$B$2,'Data Export'!B250=前十整体车型排名!$B$3,'Data Export'!D250&lt;&gt;""),UPPER('Data Export'!C250)&amp;"♦"&amp;'Data Export'!D250,"")</f>
        <v>FERRARI♦F8</v>
      </c>
      <c r="I250" s="63">
        <f>IF(H250="","",IFERROR(INDEX('Data Export'!G250:CZ250,1,MATCH(前十整体车型排名!$B$4,'Data Export'!$G$1:$CZ$1,0)),0))</f>
        <v>0</v>
      </c>
      <c r="J250" s="62" t="str">
        <f>IF(H250="","",IF(OR('Data Export'!F250="三厢轿车",'Data Export'!F250="掀背轿车",'Data Export'!F250="旅行车",'Data Export'!F250="微型车",'Data Export'!F250="硬顶跑车",'Data Export'!F250="敞蓬车",'Data Export'!F250="Targa"),"轿车",IF(OR('Data Export'!F250="小型MPV",'Data Export'!F250="客车"),"MPV",IF('Data Export'!F250="运动型多功能车","SUV","其他"))))</f>
        <v>其他</v>
      </c>
      <c r="K250" s="62" t="str">
        <f>IF(OR(D250="",NOT(F250=1)),"",1+SUMPRODUCT(($F$2:$F$1001=1)*($D$2:$D$1001&gt;D250))+COUNTIFS($F$2:F250,1,$D$2:D250,D250)-1)</f>
        <v/>
      </c>
      <c r="L250" s="62" t="str">
        <f>IF(OR(D250="",NOT(G250="轿车")),"",1+SUMPRODUCT(($G$2:$G$1001="轿车")*($D$2:$D$1001&gt;D250))+COUNTIFS($G$2:G250,"轿车",$D$2:D250,D250)-1)</f>
        <v/>
      </c>
      <c r="M250" s="62" t="str">
        <f>IF(OR(D250="",NOT(G250="MPV")),"",1+SUMPRODUCT(($G$2:$G$1001="MPV")*($D$2:$D$1001&gt;D250))+COUNTIFS($G$2:G250,"MPV",$D$2:D250,D250)-1)</f>
        <v/>
      </c>
      <c r="N250" s="62" t="str">
        <f>IF(OR(D250="",NOT(G250="SUV")),"",1+SUMPRODUCT(($G$2:$G$1001="SUV")*($D$2:$D$1001&gt;D250))+COUNTIFS($G$2:G250,"SUV",$D$2:D250,D250)-1)</f>
        <v/>
      </c>
      <c r="O250" s="62" t="str">
        <f>IF(OR(D250="",NOT(AND(F250=1,G250="轿车"))),"",1+SUMPRODUCT(($F$2:$F$1001=1)*($G$2:$G$1001="轿车")*($D$2:$D$1001&gt;D250))+COUNTIFS($F$2:F250,1,$G$2:G250,"轿车",$D$2:D250,D250)-1)</f>
        <v/>
      </c>
      <c r="P250" s="62" t="str">
        <f>IF(OR(D250="",NOT(AND(F250=1,G250="MPV"))),"",1+SUMPRODUCT(($F$2:$F$1001=1)*($G$2:$G$1001="MPV")*($D$2:$D$1001&gt;D250))+COUNTIFS($F$2:F250,1,$G$2:G250,"MPV",$D$2:D250,D250)-1)</f>
        <v/>
      </c>
      <c r="Q250" s="62" t="str">
        <f>IF(OR(D250="",NOT(AND(F250=1,G250="SUV"))),"",1+SUMPRODUCT(($F$2:$F$1001=1)*($G$2:$G$1001="SUV")*($D$2:$D$1001&gt;D250))+COUNTIFS($F$2:F250,1,$G$2:G250,"SUV",$D$2:D250,D250)-1)</f>
        <v/>
      </c>
    </row>
    <row r="251" spans="1:17">
      <c r="A251" s="62" t="str">
        <f>IFERROR(INDEX($H$2:$H$3000,MATCH(0,INDEX(COUNTIF($A$1:A250,$H$2:$H$3000)+($H$2:$H$3000=""),0,0),0)),"")</f>
        <v>MINI♦PACEMAN</v>
      </c>
      <c r="B251" s="62" t="str">
        <f t="shared" si="12"/>
        <v>MINI</v>
      </c>
      <c r="C251" s="62" t="str">
        <f t="shared" si="13"/>
        <v>PACEMAN</v>
      </c>
      <c r="D251" s="63">
        <f t="shared" si="14"/>
        <v>0</v>
      </c>
      <c r="E251" s="62">
        <f>IF(D251="","",_xlfn.RANK.EQ(D251,$D$2:$D$1001,0)+COUNTIF($D$2:D251,D251)-1)</f>
        <v>347</v>
      </c>
      <c r="F251" s="62">
        <f>IF(B251="","",--(COUNTIF(CN_Brands!$A$2:$A$300,UPPER(B251))&gt;0))</f>
        <v>0</v>
      </c>
      <c r="G251" s="62" t="str">
        <f t="shared" si="15"/>
        <v>轿车</v>
      </c>
      <c r="H251" s="62" t="str">
        <f>IF(AND('Data Export'!A251=前十整体车型排名!$B$2,'Data Export'!B251=前十整体车型排名!$B$3,'Data Export'!D251&lt;&gt;""),UPPER('Data Export'!C251)&amp;"♦"&amp;'Data Export'!D251,"")</f>
        <v>FERRARI♦PORTOFINO</v>
      </c>
      <c r="I251" s="63">
        <f>IF(H251="","",IFERROR(INDEX('Data Export'!G251:CZ251,1,MATCH(前十整体车型排名!$B$4,'Data Export'!$G$1:$CZ$1,0)),0))</f>
        <v>0</v>
      </c>
      <c r="J251" s="62" t="str">
        <f>IF(H251="","",IF(OR('Data Export'!F251="三厢轿车",'Data Export'!F251="掀背轿车",'Data Export'!F251="旅行车",'Data Export'!F251="微型车",'Data Export'!F251="硬顶跑车",'Data Export'!F251="敞蓬车",'Data Export'!F251="Targa"),"轿车",IF(OR('Data Export'!F251="小型MPV",'Data Export'!F251="客车"),"MPV",IF('Data Export'!F251="运动型多功能车","SUV","其他"))))</f>
        <v>轿车</v>
      </c>
      <c r="K251" s="62" t="str">
        <f>IF(OR(D251="",NOT(F251=1)),"",1+SUMPRODUCT(($F$2:$F$1001=1)*($D$2:$D$1001&gt;D251))+COUNTIFS($F$2:F251,1,$D$2:D251,D251)-1)</f>
        <v/>
      </c>
      <c r="L251" s="62">
        <f>IF(OR(D251="",NOT(G251="轿车")),"",1+SUMPRODUCT(($G$2:$G$1001="轿车")*($D$2:$D$1001&gt;D251))+COUNTIFS($G$2:G251,"轿车",$D$2:D251,D251)-1)</f>
        <v>121</v>
      </c>
      <c r="M251" s="62" t="str">
        <f>IF(OR(D251="",NOT(G251="MPV")),"",1+SUMPRODUCT(($G$2:$G$1001="MPV")*($D$2:$D$1001&gt;D251))+COUNTIFS($G$2:G251,"MPV",$D$2:D251,D251)-1)</f>
        <v/>
      </c>
      <c r="N251" s="62" t="str">
        <f>IF(OR(D251="",NOT(G251="SUV")),"",1+SUMPRODUCT(($G$2:$G$1001="SUV")*($D$2:$D$1001&gt;D251))+COUNTIFS($G$2:G251,"SUV",$D$2:D251,D251)-1)</f>
        <v/>
      </c>
      <c r="O251" s="62" t="str">
        <f>IF(OR(D251="",NOT(AND(F251=1,G251="轿车"))),"",1+SUMPRODUCT(($F$2:$F$1001=1)*($G$2:$G$1001="轿车")*($D$2:$D$1001&gt;D251))+COUNTIFS($F$2:F251,1,$G$2:G251,"轿车",$D$2:D251,D251)-1)</f>
        <v/>
      </c>
      <c r="P251" s="62" t="str">
        <f>IF(OR(D251="",NOT(AND(F251=1,G251="MPV"))),"",1+SUMPRODUCT(($F$2:$F$1001=1)*($G$2:$G$1001="MPV")*($D$2:$D$1001&gt;D251))+COUNTIFS($F$2:F251,1,$G$2:G251,"MPV",$D$2:D251,D251)-1)</f>
        <v/>
      </c>
      <c r="Q251" s="62" t="str">
        <f>IF(OR(D251="",NOT(AND(F251=1,G251="SUV"))),"",1+SUMPRODUCT(($F$2:$F$1001=1)*($G$2:$G$1001="SUV")*($D$2:$D$1001&gt;D251))+COUNTIFS($F$2:F251,1,$G$2:G251,"SUV",$D$2:D251,D251)-1)</f>
        <v/>
      </c>
    </row>
    <row r="252" spans="1:17">
      <c r="A252" s="62" t="str">
        <f>IFERROR(INDEX($H$2:$H$3000,MATCH(0,INDEX(COUNTIF($A$1:A251,$H$2:$H$3000)+($H$2:$H$3000=""),0,0),0)),"")</f>
        <v>MITSUBISHI♦ATTRAGE</v>
      </c>
      <c r="B252" s="62" t="str">
        <f t="shared" si="12"/>
        <v>MITSUBISHI</v>
      </c>
      <c r="C252" s="62" t="str">
        <f t="shared" si="13"/>
        <v>ATTRAGE</v>
      </c>
      <c r="D252" s="63">
        <f t="shared" si="14"/>
        <v>183</v>
      </c>
      <c r="E252" s="62">
        <f>IF(D252="","",_xlfn.RANK.EQ(D252,$D$2:$D$1001,0)+COUNTIF($D$2:D252,D252)-1)</f>
        <v>51</v>
      </c>
      <c r="F252" s="62">
        <f>IF(B252="","",--(COUNTIF(CN_Brands!$A$2:$A$300,UPPER(B252))&gt;0))</f>
        <v>0</v>
      </c>
      <c r="G252" s="62" t="str">
        <f t="shared" si="15"/>
        <v>轿车</v>
      </c>
      <c r="H252" s="62" t="str">
        <f>IF(AND('Data Export'!A252=前十整体车型排名!$B$2,'Data Export'!B252=前十整体车型排名!$B$3,'Data Export'!D252&lt;&gt;""),UPPER('Data Export'!C252)&amp;"♦"&amp;'Data Export'!D252,"")</f>
        <v>FERRARI♦PUROSANGUE</v>
      </c>
      <c r="I252" s="63">
        <f>IF(H252="","",IFERROR(INDEX('Data Export'!G252:CZ252,1,MATCH(前十整体车型排名!$B$4,'Data Export'!$G$1:$CZ$1,0)),0))</f>
        <v>0</v>
      </c>
      <c r="J252" s="62" t="str">
        <f>IF(H252="","",IF(OR('Data Export'!F252="三厢轿车",'Data Export'!F252="掀背轿车",'Data Export'!F252="旅行车",'Data Export'!F252="微型车",'Data Export'!F252="硬顶跑车",'Data Export'!F252="敞蓬车",'Data Export'!F252="Targa"),"轿车",IF(OR('Data Export'!F252="小型MPV",'Data Export'!F252="客车"),"MPV",IF('Data Export'!F252="运动型多功能车","SUV","其他"))))</f>
        <v>SUV</v>
      </c>
      <c r="K252" s="62" t="str">
        <f>IF(OR(D252="",NOT(F252=1)),"",1+SUMPRODUCT(($F$2:$F$1001=1)*($D$2:$D$1001&gt;D252))+COUNTIFS($F$2:F252,1,$D$2:D252,D252)-1)</f>
        <v/>
      </c>
      <c r="L252" s="62">
        <f>IF(OR(D252="",NOT(G252="轿车")),"",1+SUMPRODUCT(($G$2:$G$1001="轿车")*($D$2:$D$1001&gt;D252))+COUNTIFS($G$2:G252,"轿车",$D$2:D252,D252)-1)</f>
        <v>13</v>
      </c>
      <c r="M252" s="62" t="str">
        <f>IF(OR(D252="",NOT(G252="MPV")),"",1+SUMPRODUCT(($G$2:$G$1001="MPV")*($D$2:$D$1001&gt;D252))+COUNTIFS($G$2:G252,"MPV",$D$2:D252,D252)-1)</f>
        <v/>
      </c>
      <c r="N252" s="62" t="str">
        <f>IF(OR(D252="",NOT(G252="SUV")),"",1+SUMPRODUCT(($G$2:$G$1001="SUV")*($D$2:$D$1001&gt;D252))+COUNTIFS($G$2:G252,"SUV",$D$2:D252,D252)-1)</f>
        <v/>
      </c>
      <c r="O252" s="62" t="str">
        <f>IF(OR(D252="",NOT(AND(F252=1,G252="轿车"))),"",1+SUMPRODUCT(($F$2:$F$1001=1)*($G$2:$G$1001="轿车")*($D$2:$D$1001&gt;D252))+COUNTIFS($F$2:F252,1,$G$2:G252,"轿车",$D$2:D252,D252)-1)</f>
        <v/>
      </c>
      <c r="P252" s="62" t="str">
        <f>IF(OR(D252="",NOT(AND(F252=1,G252="MPV"))),"",1+SUMPRODUCT(($F$2:$F$1001=1)*($G$2:$G$1001="MPV")*($D$2:$D$1001&gt;D252))+COUNTIFS($F$2:F252,1,$G$2:G252,"MPV",$D$2:D252,D252)-1)</f>
        <v/>
      </c>
      <c r="Q252" s="62" t="str">
        <f>IF(OR(D252="",NOT(AND(F252=1,G252="SUV"))),"",1+SUMPRODUCT(($F$2:$F$1001=1)*($G$2:$G$1001="SUV")*($D$2:$D$1001&gt;D252))+COUNTIFS($F$2:F252,1,$G$2:G252,"SUV",$D$2:D252,D252)-1)</f>
        <v/>
      </c>
    </row>
    <row r="253" spans="1:17">
      <c r="A253" s="62" t="str">
        <f>IFERROR(INDEX($H$2:$H$3000,MATCH(0,INDEX(COUNTIF($A$1:A252,$H$2:$H$3000)+($H$2:$H$3000=""),0,0),0)),"")</f>
        <v>MITSUBISHI♦LANCER EX</v>
      </c>
      <c r="B253" s="62" t="str">
        <f t="shared" si="12"/>
        <v>MITSUBISHI</v>
      </c>
      <c r="C253" s="62" t="str">
        <f t="shared" si="13"/>
        <v>LANCER EX</v>
      </c>
      <c r="D253" s="63">
        <f t="shared" si="14"/>
        <v>0</v>
      </c>
      <c r="E253" s="62">
        <f>IF(D253="","",_xlfn.RANK.EQ(D253,$D$2:$D$1001,0)+COUNTIF($D$2:D253,D253)-1)</f>
        <v>348</v>
      </c>
      <c r="F253" s="62">
        <f>IF(B253="","",--(COUNTIF(CN_Brands!$A$2:$A$300,UPPER(B253))&gt;0))</f>
        <v>0</v>
      </c>
      <c r="G253" s="62" t="str">
        <f t="shared" si="15"/>
        <v>轿车</v>
      </c>
      <c r="H253" s="62" t="str">
        <f>IF(AND('Data Export'!A253=前十整体车型排名!$B$2,'Data Export'!B253=前十整体车型排名!$B$3,'Data Export'!D253&lt;&gt;""),UPPER('Data Export'!C253)&amp;"♦"&amp;'Data Export'!D253,"")</f>
        <v>FERRARI♦ROMA</v>
      </c>
      <c r="I253" s="63">
        <f>IF(H253="","",IFERROR(INDEX('Data Export'!G253:CZ253,1,MATCH(前十整体车型排名!$B$4,'Data Export'!$G$1:$CZ$1,0)),0))</f>
        <v>0</v>
      </c>
      <c r="J253" s="62" t="str">
        <f>IF(H253="","",IF(OR('Data Export'!F253="三厢轿车",'Data Export'!F253="掀背轿车",'Data Export'!F253="旅行车",'Data Export'!F253="微型车",'Data Export'!F253="硬顶跑车",'Data Export'!F253="敞蓬车",'Data Export'!F253="Targa"),"轿车",IF(OR('Data Export'!F253="小型MPV",'Data Export'!F253="客车"),"MPV",IF('Data Export'!F253="运动型多功能车","SUV","其他"))))</f>
        <v>轿车</v>
      </c>
      <c r="K253" s="62" t="str">
        <f>IF(OR(D253="",NOT(F253=1)),"",1+SUMPRODUCT(($F$2:$F$1001=1)*($D$2:$D$1001&gt;D253))+COUNTIFS($F$2:F253,1,$D$2:D253,D253)-1)</f>
        <v/>
      </c>
      <c r="L253" s="62">
        <f>IF(OR(D253="",NOT(G253="轿车")),"",1+SUMPRODUCT(($G$2:$G$1001="轿车")*($D$2:$D$1001&gt;D253))+COUNTIFS($G$2:G253,"轿车",$D$2:D253,D253)-1)</f>
        <v>122</v>
      </c>
      <c r="M253" s="62" t="str">
        <f>IF(OR(D253="",NOT(G253="MPV")),"",1+SUMPRODUCT(($G$2:$G$1001="MPV")*($D$2:$D$1001&gt;D253))+COUNTIFS($G$2:G253,"MPV",$D$2:D253,D253)-1)</f>
        <v/>
      </c>
      <c r="N253" s="62" t="str">
        <f>IF(OR(D253="",NOT(G253="SUV")),"",1+SUMPRODUCT(($G$2:$G$1001="SUV")*($D$2:$D$1001&gt;D253))+COUNTIFS($G$2:G253,"SUV",$D$2:D253,D253)-1)</f>
        <v/>
      </c>
      <c r="O253" s="62" t="str">
        <f>IF(OR(D253="",NOT(AND(F253=1,G253="轿车"))),"",1+SUMPRODUCT(($F$2:$F$1001=1)*($G$2:$G$1001="轿车")*($D$2:$D$1001&gt;D253))+COUNTIFS($F$2:F253,1,$G$2:G253,"轿车",$D$2:D253,D253)-1)</f>
        <v/>
      </c>
      <c r="P253" s="62" t="str">
        <f>IF(OR(D253="",NOT(AND(F253=1,G253="MPV"))),"",1+SUMPRODUCT(($F$2:$F$1001=1)*($G$2:$G$1001="MPV")*($D$2:$D$1001&gt;D253))+COUNTIFS($F$2:F253,1,$G$2:G253,"MPV",$D$2:D253,D253)-1)</f>
        <v/>
      </c>
      <c r="Q253" s="62" t="str">
        <f>IF(OR(D253="",NOT(AND(F253=1,G253="SUV"))),"",1+SUMPRODUCT(($F$2:$F$1001=1)*($G$2:$G$1001="SUV")*($D$2:$D$1001&gt;D253))+COUNTIFS($F$2:F253,1,$G$2:G253,"SUV",$D$2:D253,D253)-1)</f>
        <v/>
      </c>
    </row>
    <row r="254" spans="1:17">
      <c r="A254" s="62" t="str">
        <f>IFERROR(INDEX($H$2:$H$3000,MATCH(0,INDEX(COUNTIF($A$1:A253,$H$2:$H$3000)+($H$2:$H$3000=""),0,0),0)),"")</f>
        <v>MITSUBISHI♦MIRAGE</v>
      </c>
      <c r="B254" s="62" t="str">
        <f t="shared" si="12"/>
        <v>MITSUBISHI</v>
      </c>
      <c r="C254" s="62" t="str">
        <f t="shared" si="13"/>
        <v>MIRAGE</v>
      </c>
      <c r="D254" s="63">
        <f t="shared" si="14"/>
        <v>155</v>
      </c>
      <c r="E254" s="62">
        <f>IF(D254="","",_xlfn.RANK.EQ(D254,$D$2:$D$1001,0)+COUNTIF($D$2:D254,D254)-1)</f>
        <v>54</v>
      </c>
      <c r="F254" s="62">
        <f>IF(B254="","",--(COUNTIF(CN_Brands!$A$2:$A$300,UPPER(B254))&gt;0))</f>
        <v>0</v>
      </c>
      <c r="G254" s="62" t="str">
        <f t="shared" si="15"/>
        <v>轿车</v>
      </c>
      <c r="H254" s="62" t="str">
        <f>IF(AND('Data Export'!A254=前十整体车型排名!$B$2,'Data Export'!B254=前十整体车型排名!$B$3,'Data Export'!D254&lt;&gt;""),UPPER('Data Export'!C254)&amp;"♦"&amp;'Data Export'!D254,"")</f>
        <v>FERRARI♦SF90</v>
      </c>
      <c r="I254" s="63">
        <f>IF(H254="","",IFERROR(INDEX('Data Export'!G254:CZ254,1,MATCH(前十整体车型排名!$B$4,'Data Export'!$G$1:$CZ$1,0)),0))</f>
        <v>0</v>
      </c>
      <c r="J254" s="62" t="str">
        <f>IF(H254="","",IF(OR('Data Export'!F254="三厢轿车",'Data Export'!F254="掀背轿车",'Data Export'!F254="旅行车",'Data Export'!F254="微型车",'Data Export'!F254="硬顶跑车",'Data Export'!F254="敞蓬车",'Data Export'!F254="Targa"),"轿车",IF(OR('Data Export'!F254="小型MPV",'Data Export'!F254="客车"),"MPV",IF('Data Export'!F254="运动型多功能车","SUV","其他"))))</f>
        <v>轿车</v>
      </c>
      <c r="K254" s="62" t="str">
        <f>IF(OR(D254="",NOT(F254=1)),"",1+SUMPRODUCT(($F$2:$F$1001=1)*($D$2:$D$1001&gt;D254))+COUNTIFS($F$2:F254,1,$D$2:D254,D254)-1)</f>
        <v/>
      </c>
      <c r="L254" s="62">
        <f>IF(OR(D254="",NOT(G254="轿车")),"",1+SUMPRODUCT(($G$2:$G$1001="轿车")*($D$2:$D$1001&gt;D254))+COUNTIFS($G$2:G254,"轿车",$D$2:D254,D254)-1)</f>
        <v>14</v>
      </c>
      <c r="M254" s="62" t="str">
        <f>IF(OR(D254="",NOT(G254="MPV")),"",1+SUMPRODUCT(($G$2:$G$1001="MPV")*($D$2:$D$1001&gt;D254))+COUNTIFS($G$2:G254,"MPV",$D$2:D254,D254)-1)</f>
        <v/>
      </c>
      <c r="N254" s="62" t="str">
        <f>IF(OR(D254="",NOT(G254="SUV")),"",1+SUMPRODUCT(($G$2:$G$1001="SUV")*($D$2:$D$1001&gt;D254))+COUNTIFS($G$2:G254,"SUV",$D$2:D254,D254)-1)</f>
        <v/>
      </c>
      <c r="O254" s="62" t="str">
        <f>IF(OR(D254="",NOT(AND(F254=1,G254="轿车"))),"",1+SUMPRODUCT(($F$2:$F$1001=1)*($G$2:$G$1001="轿车")*($D$2:$D$1001&gt;D254))+COUNTIFS($F$2:F254,1,$G$2:G254,"轿车",$D$2:D254,D254)-1)</f>
        <v/>
      </c>
      <c r="P254" s="62" t="str">
        <f>IF(OR(D254="",NOT(AND(F254=1,G254="MPV"))),"",1+SUMPRODUCT(($F$2:$F$1001=1)*($G$2:$G$1001="MPV")*($D$2:$D$1001&gt;D254))+COUNTIFS($F$2:F254,1,$G$2:G254,"MPV",$D$2:D254,D254)-1)</f>
        <v/>
      </c>
      <c r="Q254" s="62" t="str">
        <f>IF(OR(D254="",NOT(AND(F254=1,G254="SUV"))),"",1+SUMPRODUCT(($F$2:$F$1001=1)*($G$2:$G$1001="SUV")*($D$2:$D$1001&gt;D254))+COUNTIFS($F$2:F254,1,$G$2:G254,"SUV",$D$2:D254,D254)-1)</f>
        <v/>
      </c>
    </row>
    <row r="255" spans="1:17">
      <c r="A255" s="62" t="str">
        <f>IFERROR(INDEX($H$2:$H$3000,MATCH(0,INDEX(COUNTIF($A$1:A254,$H$2:$H$3000)+($H$2:$H$3000=""),0,0),0)),"")</f>
        <v>MITSUBISHI♦OTHER</v>
      </c>
      <c r="B255" s="62" t="str">
        <f t="shared" si="12"/>
        <v>MITSUBISHI</v>
      </c>
      <c r="C255" s="62" t="str">
        <f t="shared" si="13"/>
        <v>OTHER</v>
      </c>
      <c r="D255" s="63">
        <f t="shared" si="14"/>
        <v>0</v>
      </c>
      <c r="E255" s="62">
        <f>IF(D255="","",_xlfn.RANK.EQ(D255,$D$2:$D$1001,0)+COUNTIF($D$2:D255,D255)-1)</f>
        <v>349</v>
      </c>
      <c r="F255" s="62">
        <f>IF(B255="","",--(COUNTIF(CN_Brands!$A$2:$A$300,UPPER(B255))&gt;0))</f>
        <v>0</v>
      </c>
      <c r="G255" s="62" t="str">
        <f t="shared" si="15"/>
        <v>其他</v>
      </c>
      <c r="H255" s="62" t="str">
        <f>IF(AND('Data Export'!A255=前十整体车型排名!$B$2,'Data Export'!B255=前十整体车型排名!$B$3,'Data Export'!D255&lt;&gt;""),UPPER('Data Export'!C255)&amp;"♦"&amp;'Data Export'!D255,"")</f>
        <v>FERRARI♦SF90</v>
      </c>
      <c r="I255" s="63">
        <f>IF(H255="","",IFERROR(INDEX('Data Export'!G255:CZ255,1,MATCH(前十整体车型排名!$B$4,'Data Export'!$G$1:$CZ$1,0)),0))</f>
        <v>0</v>
      </c>
      <c r="J255" s="62" t="str">
        <f>IF(H255="","",IF(OR('Data Export'!F255="三厢轿车",'Data Export'!F255="掀背轿车",'Data Export'!F255="旅行车",'Data Export'!F255="微型车",'Data Export'!F255="硬顶跑车",'Data Export'!F255="敞蓬车",'Data Export'!F255="Targa"),"轿车",IF(OR('Data Export'!F255="小型MPV",'Data Export'!F255="客车"),"MPV",IF('Data Export'!F255="运动型多功能车","SUV","其他"))))</f>
        <v>轿车</v>
      </c>
      <c r="K255" s="62" t="str">
        <f>IF(OR(D255="",NOT(F255=1)),"",1+SUMPRODUCT(($F$2:$F$1001=1)*($D$2:$D$1001&gt;D255))+COUNTIFS($F$2:F255,1,$D$2:D255,D255)-1)</f>
        <v/>
      </c>
      <c r="L255" s="62" t="str">
        <f>IF(OR(D255="",NOT(G255="轿车")),"",1+SUMPRODUCT(($G$2:$G$1001="轿车")*($D$2:$D$1001&gt;D255))+COUNTIFS($G$2:G255,"轿车",$D$2:D255,D255)-1)</f>
        <v/>
      </c>
      <c r="M255" s="62" t="str">
        <f>IF(OR(D255="",NOT(G255="MPV")),"",1+SUMPRODUCT(($G$2:$G$1001="MPV")*($D$2:$D$1001&gt;D255))+COUNTIFS($G$2:G255,"MPV",$D$2:D255,D255)-1)</f>
        <v/>
      </c>
      <c r="N255" s="62" t="str">
        <f>IF(OR(D255="",NOT(G255="SUV")),"",1+SUMPRODUCT(($G$2:$G$1001="SUV")*($D$2:$D$1001&gt;D255))+COUNTIFS($G$2:G255,"SUV",$D$2:D255,D255)-1)</f>
        <v/>
      </c>
      <c r="O255" s="62" t="str">
        <f>IF(OR(D255="",NOT(AND(F255=1,G255="轿车"))),"",1+SUMPRODUCT(($F$2:$F$1001=1)*($G$2:$G$1001="轿车")*($D$2:$D$1001&gt;D255))+COUNTIFS($F$2:F255,1,$G$2:G255,"轿车",$D$2:D255,D255)-1)</f>
        <v/>
      </c>
      <c r="P255" s="62" t="str">
        <f>IF(OR(D255="",NOT(AND(F255=1,G255="MPV"))),"",1+SUMPRODUCT(($F$2:$F$1001=1)*($G$2:$G$1001="MPV")*($D$2:$D$1001&gt;D255))+COUNTIFS($F$2:F255,1,$G$2:G255,"MPV",$D$2:D255,D255)-1)</f>
        <v/>
      </c>
      <c r="Q255" s="62" t="str">
        <f>IF(OR(D255="",NOT(AND(F255=1,G255="SUV"))),"",1+SUMPRODUCT(($F$2:$F$1001=1)*($G$2:$G$1001="SUV")*($D$2:$D$1001&gt;D255))+COUNTIFS($F$2:F255,1,$G$2:G255,"SUV",$D$2:D255,D255)-1)</f>
        <v/>
      </c>
    </row>
    <row r="256" spans="1:17">
      <c r="A256" s="62" t="str">
        <f>IFERROR(INDEX($H$2:$H$3000,MATCH(0,INDEX(COUNTIF($A$1:A255,$H$2:$H$3000)+($H$2:$H$3000=""),0,0),0)),"")</f>
        <v>MITSUBISHI♦OUTLANDER</v>
      </c>
      <c r="B256" s="62" t="str">
        <f t="shared" si="12"/>
        <v>MITSUBISHI</v>
      </c>
      <c r="C256" s="62" t="str">
        <f t="shared" si="13"/>
        <v>OUTLANDER</v>
      </c>
      <c r="D256" s="63">
        <f t="shared" si="14"/>
        <v>2</v>
      </c>
      <c r="E256" s="62">
        <f>IF(D256="","",_xlfn.RANK.EQ(D256,$D$2:$D$1001,0)+COUNTIF($D$2:D256,D256)-1)</f>
        <v>212</v>
      </c>
      <c r="F256" s="62">
        <f>IF(B256="","",--(COUNTIF(CN_Brands!$A$2:$A$300,UPPER(B256))&gt;0))</f>
        <v>0</v>
      </c>
      <c r="G256" s="62" t="str">
        <f t="shared" si="15"/>
        <v>SUV</v>
      </c>
      <c r="H256" s="62" t="str">
        <f>IF(AND('Data Export'!A256=前十整体车型排名!$B$2,'Data Export'!B256=前十整体车型排名!$B$3,'Data Export'!D256&lt;&gt;""),UPPER('Data Export'!C256)&amp;"♦"&amp;'Data Export'!D256,"")</f>
        <v>FIREFLY♦FIREFLY</v>
      </c>
      <c r="I256" s="63">
        <f>IF(H256="","",IFERROR(INDEX('Data Export'!G256:CZ256,1,MATCH(前十整体车型排名!$B$4,'Data Export'!$G$1:$CZ$1,0)),0))</f>
        <v>1</v>
      </c>
      <c r="J256" s="62" t="str">
        <f>IF(H256="","",IF(OR('Data Export'!F256="三厢轿车",'Data Export'!F256="掀背轿车",'Data Export'!F256="旅行车",'Data Export'!F256="微型车",'Data Export'!F256="硬顶跑车",'Data Export'!F256="敞蓬车",'Data Export'!F256="Targa"),"轿车",IF(OR('Data Export'!F256="小型MPV",'Data Export'!F256="客车"),"MPV",IF('Data Export'!F256="运动型多功能车","SUV","其他"))))</f>
        <v>轿车</v>
      </c>
      <c r="K256" s="62" t="str">
        <f>IF(OR(D256="",NOT(F256=1)),"",1+SUMPRODUCT(($F$2:$F$1001=1)*($D$2:$D$1001&gt;D256))+COUNTIFS($F$2:F256,1,$D$2:D256,D256)-1)</f>
        <v/>
      </c>
      <c r="L256" s="62" t="str">
        <f>IF(OR(D256="",NOT(G256="轿车")),"",1+SUMPRODUCT(($G$2:$G$1001="轿车")*($D$2:$D$1001&gt;D256))+COUNTIFS($G$2:G256,"轿车",$D$2:D256,D256)-1)</f>
        <v/>
      </c>
      <c r="M256" s="62" t="str">
        <f>IF(OR(D256="",NOT(G256="MPV")),"",1+SUMPRODUCT(($G$2:$G$1001="MPV")*($D$2:$D$1001&gt;D256))+COUNTIFS($G$2:G256,"MPV",$D$2:D256,D256)-1)</f>
        <v/>
      </c>
      <c r="N256" s="62">
        <f>IF(OR(D256="",NOT(G256="SUV")),"",1+SUMPRODUCT(($G$2:$G$1001="SUV")*($D$2:$D$1001&gt;D256))+COUNTIFS($G$2:G256,"SUV",$D$2:D256,D256)-1)</f>
        <v>113</v>
      </c>
      <c r="O256" s="62" t="str">
        <f>IF(OR(D256="",NOT(AND(F256=1,G256="轿车"))),"",1+SUMPRODUCT(($F$2:$F$1001=1)*($G$2:$G$1001="轿车")*($D$2:$D$1001&gt;D256))+COUNTIFS($F$2:F256,1,$G$2:G256,"轿车",$D$2:D256,D256)-1)</f>
        <v/>
      </c>
      <c r="P256" s="62" t="str">
        <f>IF(OR(D256="",NOT(AND(F256=1,G256="MPV"))),"",1+SUMPRODUCT(($F$2:$F$1001=1)*($G$2:$G$1001="MPV")*($D$2:$D$1001&gt;D256))+COUNTIFS($F$2:F256,1,$G$2:G256,"MPV",$D$2:D256,D256)-1)</f>
        <v/>
      </c>
      <c r="Q256" s="62" t="str">
        <f>IF(OR(D256="",NOT(AND(F256=1,G256="SUV"))),"",1+SUMPRODUCT(($F$2:$F$1001=1)*($G$2:$G$1001="SUV")*($D$2:$D$1001&gt;D256))+COUNTIFS($F$2:F256,1,$G$2:G256,"SUV",$D$2:D256,D256)-1)</f>
        <v/>
      </c>
    </row>
    <row r="257" spans="1:17">
      <c r="A257" s="62" t="str">
        <f>IFERROR(INDEX($H$2:$H$3000,MATCH(0,INDEX(COUNTIF($A$1:A256,$H$2:$H$3000)+($H$2:$H$3000=""),0,0),0)),"")</f>
        <v>MITSUBISHI♦PAJERO SPORT</v>
      </c>
      <c r="B257" s="62" t="str">
        <f t="shared" si="12"/>
        <v>MITSUBISHI</v>
      </c>
      <c r="C257" s="62" t="str">
        <f t="shared" si="13"/>
        <v>PAJERO SPORT</v>
      </c>
      <c r="D257" s="63">
        <f t="shared" si="14"/>
        <v>89</v>
      </c>
      <c r="E257" s="62">
        <f>IF(D257="","",_xlfn.RANK.EQ(D257,$D$2:$D$1001,0)+COUNTIF($D$2:D257,D257)-1)</f>
        <v>77</v>
      </c>
      <c r="F257" s="62">
        <f>IF(B257="","",--(COUNTIF(CN_Brands!$A$2:$A$300,UPPER(B257))&gt;0))</f>
        <v>0</v>
      </c>
      <c r="G257" s="62" t="str">
        <f t="shared" si="15"/>
        <v>SUV</v>
      </c>
      <c r="H257" s="62" t="str">
        <f>IF(AND('Data Export'!A257=前十整体车型排名!$B$2,'Data Export'!B257=前十整体车型排名!$B$3,'Data Export'!D257&lt;&gt;""),UPPER('Data Export'!C257)&amp;"♦"&amp;'Data Export'!D257,"")</f>
        <v>FOMM♦ONE</v>
      </c>
      <c r="I257" s="63">
        <f>IF(H257="","",IFERROR(INDEX('Data Export'!G257:CZ257,1,MATCH(前十整体车型排名!$B$4,'Data Export'!$G$1:$CZ$1,0)),0))</f>
        <v>0</v>
      </c>
      <c r="J257" s="62" t="str">
        <f>IF(H257="","",IF(OR('Data Export'!F257="三厢轿车",'Data Export'!F257="掀背轿车",'Data Export'!F257="旅行车",'Data Export'!F257="微型车",'Data Export'!F257="硬顶跑车",'Data Export'!F257="敞蓬车",'Data Export'!F257="Targa"),"轿车",IF(OR('Data Export'!F257="小型MPV",'Data Export'!F257="客车"),"MPV",IF('Data Export'!F257="运动型多功能车","SUV","其他"))))</f>
        <v>其他</v>
      </c>
      <c r="K257" s="62" t="str">
        <f>IF(OR(D257="",NOT(F257=1)),"",1+SUMPRODUCT(($F$2:$F$1001=1)*($D$2:$D$1001&gt;D257))+COUNTIFS($F$2:F257,1,$D$2:D257,D257)-1)</f>
        <v/>
      </c>
      <c r="L257" s="62" t="str">
        <f>IF(OR(D257="",NOT(G257="轿车")),"",1+SUMPRODUCT(($G$2:$G$1001="轿车")*($D$2:$D$1001&gt;D257))+COUNTIFS($G$2:G257,"轿车",$D$2:D257,D257)-1)</f>
        <v/>
      </c>
      <c r="M257" s="62" t="str">
        <f>IF(OR(D257="",NOT(G257="MPV")),"",1+SUMPRODUCT(($G$2:$G$1001="MPV")*($D$2:$D$1001&gt;D257))+COUNTIFS($G$2:G257,"MPV",$D$2:D257,D257)-1)</f>
        <v/>
      </c>
      <c r="N257" s="62">
        <f>IF(OR(D257="",NOT(G257="SUV")),"",1+SUMPRODUCT(($G$2:$G$1001="SUV")*($D$2:$D$1001&gt;D257))+COUNTIFS($G$2:G257,"SUV",$D$2:D257,D257)-1)</f>
        <v>40</v>
      </c>
      <c r="O257" s="62" t="str">
        <f>IF(OR(D257="",NOT(AND(F257=1,G257="轿车"))),"",1+SUMPRODUCT(($F$2:$F$1001=1)*($G$2:$G$1001="轿车")*($D$2:$D$1001&gt;D257))+COUNTIFS($F$2:F257,1,$G$2:G257,"轿车",$D$2:D257,D257)-1)</f>
        <v/>
      </c>
      <c r="P257" s="62" t="str">
        <f>IF(OR(D257="",NOT(AND(F257=1,G257="MPV"))),"",1+SUMPRODUCT(($F$2:$F$1001=1)*($G$2:$G$1001="MPV")*($D$2:$D$1001&gt;D257))+COUNTIFS($F$2:F257,1,$G$2:G257,"MPV",$D$2:D257,D257)-1)</f>
        <v/>
      </c>
      <c r="Q257" s="62" t="str">
        <f>IF(OR(D257="",NOT(AND(F257=1,G257="SUV"))),"",1+SUMPRODUCT(($F$2:$F$1001=1)*($G$2:$G$1001="SUV")*($D$2:$D$1001&gt;D257))+COUNTIFS($F$2:F257,1,$G$2:G257,"SUV",$D$2:D257,D257)-1)</f>
        <v/>
      </c>
    </row>
    <row r="258" spans="1:17">
      <c r="A258" s="62" t="str">
        <f>IFERROR(INDEX($H$2:$H$3000,MATCH(0,INDEX(COUNTIF($A$1:A257,$H$2:$H$3000)+($H$2:$H$3000=""),0,0),0)),"")</f>
        <v>MITSUBISHI♦XFORCE</v>
      </c>
      <c r="B258" s="62" t="str">
        <f t="shared" ref="B258:B321" si="16">IF(A258="","",LEFT(A258,FIND("♦",A258)-1))</f>
        <v>MITSUBISHI</v>
      </c>
      <c r="C258" s="62" t="str">
        <f t="shared" ref="C258:C321" si="17">IF(A258="","",MID(A258,FIND("♦",A258)+1,999))</f>
        <v>XFORCE</v>
      </c>
      <c r="D258" s="63">
        <f t="shared" ref="D258:D321" si="18">IF(A258="","",SUMIF($H$2:$H$3000,A258,$I$2:$I$3000))</f>
        <v>718</v>
      </c>
      <c r="E258" s="62">
        <f>IF(D258="","",_xlfn.RANK.EQ(D258,$D$2:$D$1001,0)+COUNTIF($D$2:D258,D258)-1)</f>
        <v>16</v>
      </c>
      <c r="F258" s="62">
        <f>IF(B258="","",--(COUNTIF(CN_Brands!$A$2:$A$300,UPPER(B258))&gt;0))</f>
        <v>0</v>
      </c>
      <c r="G258" s="62" t="str">
        <f t="shared" ref="G258:G321" si="19">IF(A258="","",IFERROR(INDEX($J$2:$J$3000,MATCH(A258,$H$2:$H$3000,0)),"其他"))</f>
        <v>SUV</v>
      </c>
      <c r="H258" s="62" t="str">
        <f>IF(AND('Data Export'!A258=前十整体车型排名!$B$2,'Data Export'!B258=前十整体车型排名!$B$3,'Data Export'!D258&lt;&gt;""),UPPER('Data Export'!C258)&amp;"♦"&amp;'Data Export'!D258,"")</f>
        <v>FORD♦EVEREST</v>
      </c>
      <c r="I258" s="63">
        <f>IF(H258="","",IFERROR(INDEX('Data Export'!G258:CZ258,1,MATCH(前十整体车型排名!$B$4,'Data Export'!$G$1:$CZ$1,0)),0))</f>
        <v>552</v>
      </c>
      <c r="J258" s="62" t="str">
        <f>IF(H258="","",IF(OR('Data Export'!F258="三厢轿车",'Data Export'!F258="掀背轿车",'Data Export'!F258="旅行车",'Data Export'!F258="微型车",'Data Export'!F258="硬顶跑车",'Data Export'!F258="敞蓬车",'Data Export'!F258="Targa"),"轿车",IF(OR('Data Export'!F258="小型MPV",'Data Export'!F258="客车"),"MPV",IF('Data Export'!F258="运动型多功能车","SUV","其他"))))</f>
        <v>SUV</v>
      </c>
      <c r="K258" s="62" t="str">
        <f>IF(OR(D258="",NOT(F258=1)),"",1+SUMPRODUCT(($F$2:$F$1001=1)*($D$2:$D$1001&gt;D258))+COUNTIFS($F$2:F258,1,$D$2:D258,D258)-1)</f>
        <v/>
      </c>
      <c r="L258" s="62" t="str">
        <f>IF(OR(D258="",NOT(G258="轿车")),"",1+SUMPRODUCT(($G$2:$G$1001="轿车")*($D$2:$D$1001&gt;D258))+COUNTIFS($G$2:G258,"轿车",$D$2:D258,D258)-1)</f>
        <v/>
      </c>
      <c r="M258" s="62" t="str">
        <f>IF(OR(D258="",NOT(G258="MPV")),"",1+SUMPRODUCT(($G$2:$G$1001="MPV")*($D$2:$D$1001&gt;D258))+COUNTIFS($G$2:G258,"MPV",$D$2:D258,D258)-1)</f>
        <v/>
      </c>
      <c r="N258" s="62">
        <f>IF(OR(D258="",NOT(G258="SUV")),"",1+SUMPRODUCT(($G$2:$G$1001="SUV")*($D$2:$D$1001&gt;D258))+COUNTIFS($G$2:G258,"SUV",$D$2:D258,D258)-1)</f>
        <v>11</v>
      </c>
      <c r="O258" s="62" t="str">
        <f>IF(OR(D258="",NOT(AND(F258=1,G258="轿车"))),"",1+SUMPRODUCT(($F$2:$F$1001=1)*($G$2:$G$1001="轿车")*($D$2:$D$1001&gt;D258))+COUNTIFS($F$2:F258,1,$G$2:G258,"轿车",$D$2:D258,D258)-1)</f>
        <v/>
      </c>
      <c r="P258" s="62" t="str">
        <f>IF(OR(D258="",NOT(AND(F258=1,G258="MPV"))),"",1+SUMPRODUCT(($F$2:$F$1001=1)*($G$2:$G$1001="MPV")*($D$2:$D$1001&gt;D258))+COUNTIFS($F$2:F258,1,$G$2:G258,"MPV",$D$2:D258,D258)-1)</f>
        <v/>
      </c>
      <c r="Q258" s="62" t="str">
        <f>IF(OR(D258="",NOT(AND(F258=1,G258="SUV"))),"",1+SUMPRODUCT(($F$2:$F$1001=1)*($G$2:$G$1001="SUV")*($D$2:$D$1001&gt;D258))+COUNTIFS($F$2:F258,1,$G$2:G258,"SUV",$D$2:D258,D258)-1)</f>
        <v/>
      </c>
    </row>
    <row r="259" spans="1:17">
      <c r="A259" s="62" t="str">
        <f>IFERROR(INDEX($H$2:$H$3000,MATCH(0,INDEX(COUNTIF($A$1:A258,$H$2:$H$3000)+($H$2:$H$3000=""),0,0),0)),"")</f>
        <v>MITSUBISHI♦XPANDER</v>
      </c>
      <c r="B259" s="62" t="str">
        <f t="shared" si="16"/>
        <v>MITSUBISHI</v>
      </c>
      <c r="C259" s="62" t="str">
        <f t="shared" si="17"/>
        <v>XPANDER</v>
      </c>
      <c r="D259" s="63">
        <f t="shared" si="18"/>
        <v>372</v>
      </c>
      <c r="E259" s="62">
        <f>IF(D259="","",_xlfn.RANK.EQ(D259,$D$2:$D$1001,0)+COUNTIF($D$2:D259,D259)-1)</f>
        <v>32</v>
      </c>
      <c r="F259" s="62">
        <f>IF(B259="","",--(COUNTIF(CN_Brands!$A$2:$A$300,UPPER(B259))&gt;0))</f>
        <v>0</v>
      </c>
      <c r="G259" s="62" t="str">
        <f t="shared" si="19"/>
        <v>其他</v>
      </c>
      <c r="H259" s="62" t="str">
        <f>IF(AND('Data Export'!A259=前十整体车型排名!$B$2,'Data Export'!B259=前十整体车型排名!$B$3,'Data Export'!D259&lt;&gt;""),UPPER('Data Export'!C259)&amp;"♦"&amp;'Data Export'!D259,"")</f>
        <v>FORD♦FOCUS</v>
      </c>
      <c r="I259" s="63">
        <f>IF(H259="","",IFERROR(INDEX('Data Export'!G259:CZ259,1,MATCH(前十整体车型排名!$B$4,'Data Export'!$G$1:$CZ$1,0)),0))</f>
        <v>0</v>
      </c>
      <c r="J259" s="62" t="str">
        <f>IF(H259="","",IF(OR('Data Export'!F259="三厢轿车",'Data Export'!F259="掀背轿车",'Data Export'!F259="旅行车",'Data Export'!F259="微型车",'Data Export'!F259="硬顶跑车",'Data Export'!F259="敞蓬车",'Data Export'!F259="Targa"),"轿车",IF(OR('Data Export'!F259="小型MPV",'Data Export'!F259="客车"),"MPV",IF('Data Export'!F259="运动型多功能车","SUV","其他"))))</f>
        <v>其他</v>
      </c>
      <c r="K259" s="62" t="str">
        <f>IF(OR(D259="",NOT(F259=1)),"",1+SUMPRODUCT(($F$2:$F$1001=1)*($D$2:$D$1001&gt;D259))+COUNTIFS($F$2:F259,1,$D$2:D259,D259)-1)</f>
        <v/>
      </c>
      <c r="L259" s="62" t="str">
        <f>IF(OR(D259="",NOT(G259="轿车")),"",1+SUMPRODUCT(($G$2:$G$1001="轿车")*($D$2:$D$1001&gt;D259))+COUNTIFS($G$2:G259,"轿车",$D$2:D259,D259)-1)</f>
        <v/>
      </c>
      <c r="M259" s="62" t="str">
        <f>IF(OR(D259="",NOT(G259="MPV")),"",1+SUMPRODUCT(($G$2:$G$1001="MPV")*($D$2:$D$1001&gt;D259))+COUNTIFS($G$2:G259,"MPV",$D$2:D259,D259)-1)</f>
        <v/>
      </c>
      <c r="N259" s="62" t="str">
        <f>IF(OR(D259="",NOT(G259="SUV")),"",1+SUMPRODUCT(($G$2:$G$1001="SUV")*($D$2:$D$1001&gt;D259))+COUNTIFS($G$2:G259,"SUV",$D$2:D259,D259)-1)</f>
        <v/>
      </c>
      <c r="O259" s="62" t="str">
        <f>IF(OR(D259="",NOT(AND(F259=1,G259="轿车"))),"",1+SUMPRODUCT(($F$2:$F$1001=1)*($G$2:$G$1001="轿车")*($D$2:$D$1001&gt;D259))+COUNTIFS($F$2:F259,1,$G$2:G259,"轿车",$D$2:D259,D259)-1)</f>
        <v/>
      </c>
      <c r="P259" s="62" t="str">
        <f>IF(OR(D259="",NOT(AND(F259=1,G259="MPV"))),"",1+SUMPRODUCT(($F$2:$F$1001=1)*($G$2:$G$1001="MPV")*($D$2:$D$1001&gt;D259))+COUNTIFS($F$2:F259,1,$G$2:G259,"MPV",$D$2:D259,D259)-1)</f>
        <v/>
      </c>
      <c r="Q259" s="62" t="str">
        <f>IF(OR(D259="",NOT(AND(F259=1,G259="SUV"))),"",1+SUMPRODUCT(($F$2:$F$1001=1)*($G$2:$G$1001="SUV")*($D$2:$D$1001&gt;D259))+COUNTIFS($F$2:F259,1,$G$2:G259,"SUV",$D$2:D259,D259)-1)</f>
        <v/>
      </c>
    </row>
    <row r="260" spans="1:17">
      <c r="A260" s="62" t="str">
        <f>IFERROR(INDEX($H$2:$H$3000,MATCH(0,INDEX(COUNTIF($A$1:A259,$H$2:$H$3000)+($H$2:$H$3000=""),0,0),0)),"")</f>
        <v>MORGAN♦OTHER</v>
      </c>
      <c r="B260" s="62" t="str">
        <f t="shared" si="16"/>
        <v>MORGAN</v>
      </c>
      <c r="C260" s="62" t="str">
        <f t="shared" si="17"/>
        <v>OTHER</v>
      </c>
      <c r="D260" s="63">
        <f t="shared" si="18"/>
        <v>0</v>
      </c>
      <c r="E260" s="62">
        <f>IF(D260="","",_xlfn.RANK.EQ(D260,$D$2:$D$1001,0)+COUNTIF($D$2:D260,D260)-1)</f>
        <v>350</v>
      </c>
      <c r="F260" s="62">
        <f>IF(B260="","",--(COUNTIF(CN_Brands!$A$2:$A$300,UPPER(B260))&gt;0))</f>
        <v>0</v>
      </c>
      <c r="G260" s="62" t="str">
        <f t="shared" si="19"/>
        <v>其他</v>
      </c>
      <c r="H260" s="62" t="str">
        <f>IF(AND('Data Export'!A260=前十整体车型排名!$B$2,'Data Export'!B260=前十整体车型排名!$B$3,'Data Export'!D260&lt;&gt;""),UPPER('Data Export'!C260)&amp;"♦"&amp;'Data Export'!D260,"")</f>
        <v>FORD♦MUSTANG</v>
      </c>
      <c r="I260" s="63">
        <f>IF(H260="","",IFERROR(INDEX('Data Export'!G260:CZ260,1,MATCH(前十整体车型排名!$B$4,'Data Export'!$G$1:$CZ$1,0)),0))</f>
        <v>1</v>
      </c>
      <c r="J260" s="62" t="str">
        <f>IF(H260="","",IF(OR('Data Export'!F260="三厢轿车",'Data Export'!F260="掀背轿车",'Data Export'!F260="旅行车",'Data Export'!F260="微型车",'Data Export'!F260="硬顶跑车",'Data Export'!F260="敞蓬车",'Data Export'!F260="Targa"),"轿车",IF(OR('Data Export'!F260="小型MPV",'Data Export'!F260="客车"),"MPV",IF('Data Export'!F260="运动型多功能车","SUV","其他"))))</f>
        <v>轿车</v>
      </c>
      <c r="K260" s="62" t="str">
        <f>IF(OR(D260="",NOT(F260=1)),"",1+SUMPRODUCT(($F$2:$F$1001=1)*($D$2:$D$1001&gt;D260))+COUNTIFS($F$2:F260,1,$D$2:D260,D260)-1)</f>
        <v/>
      </c>
      <c r="L260" s="62" t="str">
        <f>IF(OR(D260="",NOT(G260="轿车")),"",1+SUMPRODUCT(($G$2:$G$1001="轿车")*($D$2:$D$1001&gt;D260))+COUNTIFS($G$2:G260,"轿车",$D$2:D260,D260)-1)</f>
        <v/>
      </c>
      <c r="M260" s="62" t="str">
        <f>IF(OR(D260="",NOT(G260="MPV")),"",1+SUMPRODUCT(($G$2:$G$1001="MPV")*($D$2:$D$1001&gt;D260))+COUNTIFS($G$2:G260,"MPV",$D$2:D260,D260)-1)</f>
        <v/>
      </c>
      <c r="N260" s="62" t="str">
        <f>IF(OR(D260="",NOT(G260="SUV")),"",1+SUMPRODUCT(($G$2:$G$1001="SUV")*($D$2:$D$1001&gt;D260))+COUNTIFS($G$2:G260,"SUV",$D$2:D260,D260)-1)</f>
        <v/>
      </c>
      <c r="O260" s="62" t="str">
        <f>IF(OR(D260="",NOT(AND(F260=1,G260="轿车"))),"",1+SUMPRODUCT(($F$2:$F$1001=1)*($G$2:$G$1001="轿车")*($D$2:$D$1001&gt;D260))+COUNTIFS($F$2:F260,1,$G$2:G260,"轿车",$D$2:D260,D260)-1)</f>
        <v/>
      </c>
      <c r="P260" s="62" t="str">
        <f>IF(OR(D260="",NOT(AND(F260=1,G260="MPV"))),"",1+SUMPRODUCT(($F$2:$F$1001=1)*($G$2:$G$1001="MPV")*($D$2:$D$1001&gt;D260))+COUNTIFS($F$2:F260,1,$G$2:G260,"MPV",$D$2:D260,D260)-1)</f>
        <v/>
      </c>
      <c r="Q260" s="62" t="str">
        <f>IF(OR(D260="",NOT(AND(F260=1,G260="SUV"))),"",1+SUMPRODUCT(($F$2:$F$1001=1)*($G$2:$G$1001="SUV")*($D$2:$D$1001&gt;D260))+COUNTIFS($F$2:F260,1,$G$2:G260,"SUV",$D$2:D260,D260)-1)</f>
        <v/>
      </c>
    </row>
    <row r="261" spans="1:17">
      <c r="A261" s="62" t="str">
        <f>IFERROR(INDEX($H$2:$H$3000,MATCH(0,INDEX(COUNTIF($A$1:A260,$H$2:$H$3000)+($H$2:$H$3000=""),0,0),0)),"")</f>
        <v>NETA♦V-II</v>
      </c>
      <c r="B261" s="62" t="str">
        <f t="shared" si="16"/>
        <v>NETA</v>
      </c>
      <c r="C261" s="62" t="str">
        <f t="shared" si="17"/>
        <v>V-II</v>
      </c>
      <c r="D261" s="63">
        <f t="shared" si="18"/>
        <v>10</v>
      </c>
      <c r="E261" s="62">
        <f>IF(D261="","",_xlfn.RANK.EQ(D261,$D$2:$D$1001,0)+COUNTIF($D$2:D261,D261)-1)</f>
        <v>143</v>
      </c>
      <c r="F261" s="62">
        <f>IF(B261="","",--(COUNTIF(CN_Brands!$A$2:$A$300,UPPER(B261))&gt;0))</f>
        <v>0</v>
      </c>
      <c r="G261" s="62" t="str">
        <f t="shared" si="19"/>
        <v>SUV</v>
      </c>
      <c r="H261" s="62" t="str">
        <f>IF(AND('Data Export'!A261=前十整体车型排名!$B$2,'Data Export'!B261=前十整体车型排名!$B$3,'Data Export'!D261&lt;&gt;""),UPPER('Data Export'!C261)&amp;"♦"&amp;'Data Export'!D261,"")</f>
        <v>FORD♦MUSTANG</v>
      </c>
      <c r="I261" s="63">
        <f>IF(H261="","",IFERROR(INDEX('Data Export'!G261:CZ261,1,MATCH(前十整体车型排名!$B$4,'Data Export'!$G$1:$CZ$1,0)),0))</f>
        <v>0</v>
      </c>
      <c r="J261" s="62" t="str">
        <f>IF(H261="","",IF(OR('Data Export'!F261="三厢轿车",'Data Export'!F261="掀背轿车",'Data Export'!F261="旅行车",'Data Export'!F261="微型车",'Data Export'!F261="硬顶跑车",'Data Export'!F261="敞蓬车",'Data Export'!F261="Targa"),"轿车",IF(OR('Data Export'!F261="小型MPV",'Data Export'!F261="客车"),"MPV",IF('Data Export'!F261="运动型多功能车","SUV","其他"))))</f>
        <v>轿车</v>
      </c>
      <c r="K261" s="62" t="str">
        <f>IF(OR(D261="",NOT(F261=1)),"",1+SUMPRODUCT(($F$2:$F$1001=1)*($D$2:$D$1001&gt;D261))+COUNTIFS($F$2:F261,1,$D$2:D261,D261)-1)</f>
        <v/>
      </c>
      <c r="L261" s="62" t="str">
        <f>IF(OR(D261="",NOT(G261="轿车")),"",1+SUMPRODUCT(($G$2:$G$1001="轿车")*($D$2:$D$1001&gt;D261))+COUNTIFS($G$2:G261,"轿车",$D$2:D261,D261)-1)</f>
        <v/>
      </c>
      <c r="M261" s="62" t="str">
        <f>IF(OR(D261="",NOT(G261="MPV")),"",1+SUMPRODUCT(($G$2:$G$1001="MPV")*($D$2:$D$1001&gt;D261))+COUNTIFS($G$2:G261,"MPV",$D$2:D261,D261)-1)</f>
        <v/>
      </c>
      <c r="N261" s="62">
        <f>IF(OR(D261="",NOT(G261="SUV")),"",1+SUMPRODUCT(($G$2:$G$1001="SUV")*($D$2:$D$1001&gt;D261))+COUNTIFS($G$2:G261,"SUV",$D$2:D261,D261)-1)</f>
        <v>78</v>
      </c>
      <c r="O261" s="62" t="str">
        <f>IF(OR(D261="",NOT(AND(F261=1,G261="轿车"))),"",1+SUMPRODUCT(($F$2:$F$1001=1)*($G$2:$G$1001="轿车")*($D$2:$D$1001&gt;D261))+COUNTIFS($F$2:F261,1,$G$2:G261,"轿车",$D$2:D261,D261)-1)</f>
        <v/>
      </c>
      <c r="P261" s="62" t="str">
        <f>IF(OR(D261="",NOT(AND(F261=1,G261="MPV"))),"",1+SUMPRODUCT(($F$2:$F$1001=1)*($G$2:$G$1001="MPV")*($D$2:$D$1001&gt;D261))+COUNTIFS($F$2:F261,1,$G$2:G261,"MPV",$D$2:D261,D261)-1)</f>
        <v/>
      </c>
      <c r="Q261" s="62" t="str">
        <f>IF(OR(D261="",NOT(AND(F261=1,G261="SUV"))),"",1+SUMPRODUCT(($F$2:$F$1001=1)*($G$2:$G$1001="SUV")*($D$2:$D$1001&gt;D261))+COUNTIFS($F$2:F261,1,$G$2:G261,"SUV",$D$2:D261,D261)-1)</f>
        <v/>
      </c>
    </row>
    <row r="262" spans="1:17">
      <c r="A262" s="62" t="str">
        <f>IFERROR(INDEX($H$2:$H$3000,MATCH(0,INDEX(COUNTIF($A$1:A261,$H$2:$H$3000)+($H$2:$H$3000=""),0,0),0)),"")</f>
        <v>NETA♦X</v>
      </c>
      <c r="B262" s="62" t="str">
        <f t="shared" si="16"/>
        <v>NETA</v>
      </c>
      <c r="C262" s="62" t="str">
        <f t="shared" si="17"/>
        <v>X</v>
      </c>
      <c r="D262" s="63">
        <f t="shared" si="18"/>
        <v>1</v>
      </c>
      <c r="E262" s="62">
        <f>IF(D262="","",_xlfn.RANK.EQ(D262,$D$2:$D$1001,0)+COUNTIF($D$2:D262,D262)-1)</f>
        <v>243</v>
      </c>
      <c r="F262" s="62">
        <f>IF(B262="","",--(COUNTIF(CN_Brands!$A$2:$A$300,UPPER(B262))&gt;0))</f>
        <v>0</v>
      </c>
      <c r="G262" s="62" t="str">
        <f t="shared" si="19"/>
        <v>SUV</v>
      </c>
      <c r="H262" s="62" t="str">
        <f>IF(AND('Data Export'!A262=前十整体车型排名!$B$2,'Data Export'!B262=前十整体车型排名!$B$3,'Data Export'!D262&lt;&gt;""),UPPER('Data Export'!C262)&amp;"♦"&amp;'Data Export'!D262,"")</f>
        <v>FORD♦MUSTANG</v>
      </c>
      <c r="I262" s="63">
        <f>IF(H262="","",IFERROR(INDEX('Data Export'!G262:CZ262,1,MATCH(前十整体车型排名!$B$4,'Data Export'!$G$1:$CZ$1,0)),0))</f>
        <v>0</v>
      </c>
      <c r="J262" s="62" t="str">
        <f>IF(H262="","",IF(OR('Data Export'!F262="三厢轿车",'Data Export'!F262="掀背轿车",'Data Export'!F262="旅行车",'Data Export'!F262="微型车",'Data Export'!F262="硬顶跑车",'Data Export'!F262="敞蓬车",'Data Export'!F262="Targa"),"轿车",IF(OR('Data Export'!F262="小型MPV",'Data Export'!F262="客车"),"MPV",IF('Data Export'!F262="运动型多功能车","SUV","其他"))))</f>
        <v>轿车</v>
      </c>
      <c r="K262" s="62" t="str">
        <f>IF(OR(D262="",NOT(F262=1)),"",1+SUMPRODUCT(($F$2:$F$1001=1)*($D$2:$D$1001&gt;D262))+COUNTIFS($F$2:F262,1,$D$2:D262,D262)-1)</f>
        <v/>
      </c>
      <c r="L262" s="62" t="str">
        <f>IF(OR(D262="",NOT(G262="轿车")),"",1+SUMPRODUCT(($G$2:$G$1001="轿车")*($D$2:$D$1001&gt;D262))+COUNTIFS($G$2:G262,"轿车",$D$2:D262,D262)-1)</f>
        <v/>
      </c>
      <c r="M262" s="62" t="str">
        <f>IF(OR(D262="",NOT(G262="MPV")),"",1+SUMPRODUCT(($G$2:$G$1001="MPV")*($D$2:$D$1001&gt;D262))+COUNTIFS($G$2:G262,"MPV",$D$2:D262,D262)-1)</f>
        <v/>
      </c>
      <c r="N262" s="62">
        <f>IF(OR(D262="",NOT(G262="SUV")),"",1+SUMPRODUCT(($G$2:$G$1001="SUV")*($D$2:$D$1001&gt;D262))+COUNTIFS($G$2:G262,"SUV",$D$2:D262,D262)-1)</f>
        <v>121</v>
      </c>
      <c r="O262" s="62" t="str">
        <f>IF(OR(D262="",NOT(AND(F262=1,G262="轿车"))),"",1+SUMPRODUCT(($F$2:$F$1001=1)*($G$2:$G$1001="轿车")*($D$2:$D$1001&gt;D262))+COUNTIFS($F$2:F262,1,$G$2:G262,"轿车",$D$2:D262,D262)-1)</f>
        <v/>
      </c>
      <c r="P262" s="62" t="str">
        <f>IF(OR(D262="",NOT(AND(F262=1,G262="MPV"))),"",1+SUMPRODUCT(($F$2:$F$1001=1)*($G$2:$G$1001="MPV")*($D$2:$D$1001&gt;D262))+COUNTIFS($F$2:F262,1,$G$2:G262,"MPV",$D$2:D262,D262)-1)</f>
        <v/>
      </c>
      <c r="Q262" s="62" t="str">
        <f>IF(OR(D262="",NOT(AND(F262=1,G262="SUV"))),"",1+SUMPRODUCT(($F$2:$F$1001=1)*($G$2:$G$1001="SUV")*($D$2:$D$1001&gt;D262))+COUNTIFS($F$2:F262,1,$G$2:G262,"SUV",$D$2:D262,D262)-1)</f>
        <v/>
      </c>
    </row>
    <row r="263" spans="1:17">
      <c r="A263" s="62" t="str">
        <f>IFERROR(INDEX($H$2:$H$3000,MATCH(0,INDEX(COUNTIF($A$1:A262,$H$2:$H$3000)+($H$2:$H$3000=""),0,0),0)),"")</f>
        <v>NISSAN♦ALMERA</v>
      </c>
      <c r="B263" s="62" t="str">
        <f t="shared" si="16"/>
        <v>NISSAN</v>
      </c>
      <c r="C263" s="62" t="str">
        <f t="shared" si="17"/>
        <v>ALMERA</v>
      </c>
      <c r="D263" s="63">
        <f t="shared" si="18"/>
        <v>149</v>
      </c>
      <c r="E263" s="62">
        <f>IF(D263="","",_xlfn.RANK.EQ(D263,$D$2:$D$1001,0)+COUNTIF($D$2:D263,D263)-1)</f>
        <v>57</v>
      </c>
      <c r="F263" s="62">
        <f>IF(B263="","",--(COUNTIF(CN_Brands!$A$2:$A$300,UPPER(B263))&gt;0))</f>
        <v>0</v>
      </c>
      <c r="G263" s="62" t="str">
        <f t="shared" si="19"/>
        <v>轿车</v>
      </c>
      <c r="H263" s="62" t="str">
        <f>IF(AND('Data Export'!A263=前十整体车型排名!$B$2,'Data Export'!B263=前十整体车型排名!$B$3,'Data Export'!D263&lt;&gt;""),UPPER('Data Export'!C263)&amp;"♦"&amp;'Data Export'!D263,"")</f>
        <v>FORD♦MUSTANG</v>
      </c>
      <c r="I263" s="63">
        <f>IF(H263="","",IFERROR(INDEX('Data Export'!G263:CZ263,1,MATCH(前十整体车型排名!$B$4,'Data Export'!$G$1:$CZ$1,0)),0))</f>
        <v>0</v>
      </c>
      <c r="J263" s="62" t="str">
        <f>IF(H263="","",IF(OR('Data Export'!F263="三厢轿车",'Data Export'!F263="掀背轿车",'Data Export'!F263="旅行车",'Data Export'!F263="微型车",'Data Export'!F263="硬顶跑车",'Data Export'!F263="敞蓬车",'Data Export'!F263="Targa"),"轿车",IF(OR('Data Export'!F263="小型MPV",'Data Export'!F263="客车"),"MPV",IF('Data Export'!F263="运动型多功能车","SUV","其他"))))</f>
        <v>轿车</v>
      </c>
      <c r="K263" s="62" t="str">
        <f>IF(OR(D263="",NOT(F263=1)),"",1+SUMPRODUCT(($F$2:$F$1001=1)*($D$2:$D$1001&gt;D263))+COUNTIFS($F$2:F263,1,$D$2:D263,D263)-1)</f>
        <v/>
      </c>
      <c r="L263" s="62">
        <f>IF(OR(D263="",NOT(G263="轿车")),"",1+SUMPRODUCT(($G$2:$G$1001="轿车")*($D$2:$D$1001&gt;D263))+COUNTIFS($G$2:G263,"轿车",$D$2:D263,D263)-1)</f>
        <v>15</v>
      </c>
      <c r="M263" s="62" t="str">
        <f>IF(OR(D263="",NOT(G263="MPV")),"",1+SUMPRODUCT(($G$2:$G$1001="MPV")*($D$2:$D$1001&gt;D263))+COUNTIFS($G$2:G263,"MPV",$D$2:D263,D263)-1)</f>
        <v/>
      </c>
      <c r="N263" s="62" t="str">
        <f>IF(OR(D263="",NOT(G263="SUV")),"",1+SUMPRODUCT(($G$2:$G$1001="SUV")*($D$2:$D$1001&gt;D263))+COUNTIFS($G$2:G263,"SUV",$D$2:D263,D263)-1)</f>
        <v/>
      </c>
      <c r="O263" s="62" t="str">
        <f>IF(OR(D263="",NOT(AND(F263=1,G263="轿车"))),"",1+SUMPRODUCT(($F$2:$F$1001=1)*($G$2:$G$1001="轿车")*($D$2:$D$1001&gt;D263))+COUNTIFS($F$2:F263,1,$G$2:G263,"轿车",$D$2:D263,D263)-1)</f>
        <v/>
      </c>
      <c r="P263" s="62" t="str">
        <f>IF(OR(D263="",NOT(AND(F263=1,G263="MPV"))),"",1+SUMPRODUCT(($F$2:$F$1001=1)*($G$2:$G$1001="MPV")*($D$2:$D$1001&gt;D263))+COUNTIFS($F$2:F263,1,$G$2:G263,"MPV",$D$2:D263,D263)-1)</f>
        <v/>
      </c>
      <c r="Q263" s="62" t="str">
        <f>IF(OR(D263="",NOT(AND(F263=1,G263="SUV"))),"",1+SUMPRODUCT(($F$2:$F$1001=1)*($G$2:$G$1001="SUV")*($D$2:$D$1001&gt;D263))+COUNTIFS($F$2:F263,1,$G$2:G263,"SUV",$D$2:D263,D263)-1)</f>
        <v/>
      </c>
    </row>
    <row r="264" spans="1:17">
      <c r="A264" s="62" t="str">
        <f>IFERROR(INDEX($H$2:$H$3000,MATCH(0,INDEX(COUNTIF($A$1:A263,$H$2:$H$3000)+($H$2:$H$3000=""),0,0),0)),"")</f>
        <v>NISSAN♦ELGRAND</v>
      </c>
      <c r="B264" s="62" t="str">
        <f t="shared" si="16"/>
        <v>NISSAN</v>
      </c>
      <c r="C264" s="62" t="str">
        <f t="shared" si="17"/>
        <v>ELGRAND</v>
      </c>
      <c r="D264" s="63">
        <f t="shared" si="18"/>
        <v>0</v>
      </c>
      <c r="E264" s="62">
        <f>IF(D264="","",_xlfn.RANK.EQ(D264,$D$2:$D$1001,0)+COUNTIF($D$2:D264,D264)-1)</f>
        <v>351</v>
      </c>
      <c r="F264" s="62">
        <f>IF(B264="","",--(COUNTIF(CN_Brands!$A$2:$A$300,UPPER(B264))&gt;0))</f>
        <v>0</v>
      </c>
      <c r="G264" s="62" t="str">
        <f t="shared" si="19"/>
        <v>其他</v>
      </c>
      <c r="H264" s="62" t="str">
        <f>IF(AND('Data Export'!A264=前十整体车型排名!$B$2,'Data Export'!B264=前十整体车型排名!$B$3,'Data Export'!D264&lt;&gt;""),UPPER('Data Export'!C264)&amp;"♦"&amp;'Data Export'!D264,"")</f>
        <v>FORD♦MUSTANG</v>
      </c>
      <c r="I264" s="63">
        <f>IF(H264="","",IFERROR(INDEX('Data Export'!G264:CZ264,1,MATCH(前十整体车型排名!$B$4,'Data Export'!$G$1:$CZ$1,0)),0))</f>
        <v>1</v>
      </c>
      <c r="J264" s="62" t="str">
        <f>IF(H264="","",IF(OR('Data Export'!F264="三厢轿车",'Data Export'!F264="掀背轿车",'Data Export'!F264="旅行车",'Data Export'!F264="微型车",'Data Export'!F264="硬顶跑车",'Data Export'!F264="敞蓬车",'Data Export'!F264="Targa"),"轿车",IF(OR('Data Export'!F264="小型MPV",'Data Export'!F264="客车"),"MPV",IF('Data Export'!F264="运动型多功能车","SUV","其他"))))</f>
        <v>轿车</v>
      </c>
      <c r="K264" s="62" t="str">
        <f>IF(OR(D264="",NOT(F264=1)),"",1+SUMPRODUCT(($F$2:$F$1001=1)*($D$2:$D$1001&gt;D264))+COUNTIFS($F$2:F264,1,$D$2:D264,D264)-1)</f>
        <v/>
      </c>
      <c r="L264" s="62" t="str">
        <f>IF(OR(D264="",NOT(G264="轿车")),"",1+SUMPRODUCT(($G$2:$G$1001="轿车")*($D$2:$D$1001&gt;D264))+COUNTIFS($G$2:G264,"轿车",$D$2:D264,D264)-1)</f>
        <v/>
      </c>
      <c r="M264" s="62" t="str">
        <f>IF(OR(D264="",NOT(G264="MPV")),"",1+SUMPRODUCT(($G$2:$G$1001="MPV")*($D$2:$D$1001&gt;D264))+COUNTIFS($G$2:G264,"MPV",$D$2:D264,D264)-1)</f>
        <v/>
      </c>
      <c r="N264" s="62" t="str">
        <f>IF(OR(D264="",NOT(G264="SUV")),"",1+SUMPRODUCT(($G$2:$G$1001="SUV")*($D$2:$D$1001&gt;D264))+COUNTIFS($G$2:G264,"SUV",$D$2:D264,D264)-1)</f>
        <v/>
      </c>
      <c r="O264" s="62" t="str">
        <f>IF(OR(D264="",NOT(AND(F264=1,G264="轿车"))),"",1+SUMPRODUCT(($F$2:$F$1001=1)*($G$2:$G$1001="轿车")*($D$2:$D$1001&gt;D264))+COUNTIFS($F$2:F264,1,$G$2:G264,"轿车",$D$2:D264,D264)-1)</f>
        <v/>
      </c>
      <c r="P264" s="62" t="str">
        <f>IF(OR(D264="",NOT(AND(F264=1,G264="MPV"))),"",1+SUMPRODUCT(($F$2:$F$1001=1)*($G$2:$G$1001="MPV")*($D$2:$D$1001&gt;D264))+COUNTIFS($F$2:F264,1,$G$2:G264,"MPV",$D$2:D264,D264)-1)</f>
        <v/>
      </c>
      <c r="Q264" s="62" t="str">
        <f>IF(OR(D264="",NOT(AND(F264=1,G264="SUV"))),"",1+SUMPRODUCT(($F$2:$F$1001=1)*($G$2:$G$1001="SUV")*($D$2:$D$1001&gt;D264))+COUNTIFS($F$2:F264,1,$G$2:G264,"SUV",$D$2:D264,D264)-1)</f>
        <v/>
      </c>
    </row>
    <row r="265" spans="1:17">
      <c r="A265" s="62" t="str">
        <f>IFERROR(INDEX($H$2:$H$3000,MATCH(0,INDEX(COUNTIF($A$1:A264,$H$2:$H$3000)+($H$2:$H$3000=""),0,0),0)),"")</f>
        <v>NISSAN♦FAIRLADY Z</v>
      </c>
      <c r="B265" s="62" t="str">
        <f t="shared" si="16"/>
        <v>NISSAN</v>
      </c>
      <c r="C265" s="62" t="str">
        <f t="shared" si="17"/>
        <v>FAIRLADY Z</v>
      </c>
      <c r="D265" s="63">
        <f t="shared" si="18"/>
        <v>1</v>
      </c>
      <c r="E265" s="62">
        <f>IF(D265="","",_xlfn.RANK.EQ(D265,$D$2:$D$1001,0)+COUNTIF($D$2:D265,D265)-1)</f>
        <v>244</v>
      </c>
      <c r="F265" s="62">
        <f>IF(B265="","",--(COUNTIF(CN_Brands!$A$2:$A$300,UPPER(B265))&gt;0))</f>
        <v>0</v>
      </c>
      <c r="G265" s="62" t="str">
        <f t="shared" si="19"/>
        <v>其他</v>
      </c>
      <c r="H265" s="62" t="str">
        <f>IF(AND('Data Export'!A265=前十整体车型排名!$B$2,'Data Export'!B265=前十整体车型排名!$B$3,'Data Export'!D265&lt;&gt;""),UPPER('Data Export'!C265)&amp;"♦"&amp;'Data Export'!D265,"")</f>
        <v>FORD♦MUSTANG MACH-E</v>
      </c>
      <c r="I265" s="63">
        <f>IF(H265="","",IFERROR(INDEX('Data Export'!G265:CZ265,1,MATCH(前十整体车型排名!$B$4,'Data Export'!$G$1:$CZ$1,0)),0))</f>
        <v>0</v>
      </c>
      <c r="J265" s="62" t="str">
        <f>IF(H265="","",IF(OR('Data Export'!F265="三厢轿车",'Data Export'!F265="掀背轿车",'Data Export'!F265="旅行车",'Data Export'!F265="微型车",'Data Export'!F265="硬顶跑车",'Data Export'!F265="敞蓬车",'Data Export'!F265="Targa"),"轿车",IF(OR('Data Export'!F265="小型MPV",'Data Export'!F265="客车"),"MPV",IF('Data Export'!F265="运动型多功能车","SUV","其他"))))</f>
        <v>SUV</v>
      </c>
      <c r="K265" s="62" t="str">
        <f>IF(OR(D265="",NOT(F265=1)),"",1+SUMPRODUCT(($F$2:$F$1001=1)*($D$2:$D$1001&gt;D265))+COUNTIFS($F$2:F265,1,$D$2:D265,D265)-1)</f>
        <v/>
      </c>
      <c r="L265" s="62" t="str">
        <f>IF(OR(D265="",NOT(G265="轿车")),"",1+SUMPRODUCT(($G$2:$G$1001="轿车")*($D$2:$D$1001&gt;D265))+COUNTIFS($G$2:G265,"轿车",$D$2:D265,D265)-1)</f>
        <v/>
      </c>
      <c r="M265" s="62" t="str">
        <f>IF(OR(D265="",NOT(G265="MPV")),"",1+SUMPRODUCT(($G$2:$G$1001="MPV")*($D$2:$D$1001&gt;D265))+COUNTIFS($G$2:G265,"MPV",$D$2:D265,D265)-1)</f>
        <v/>
      </c>
      <c r="N265" s="62" t="str">
        <f>IF(OR(D265="",NOT(G265="SUV")),"",1+SUMPRODUCT(($G$2:$G$1001="SUV")*($D$2:$D$1001&gt;D265))+COUNTIFS($G$2:G265,"SUV",$D$2:D265,D265)-1)</f>
        <v/>
      </c>
      <c r="O265" s="62" t="str">
        <f>IF(OR(D265="",NOT(AND(F265=1,G265="轿车"))),"",1+SUMPRODUCT(($F$2:$F$1001=1)*($G$2:$G$1001="轿车")*($D$2:$D$1001&gt;D265))+COUNTIFS($F$2:F265,1,$G$2:G265,"轿车",$D$2:D265,D265)-1)</f>
        <v/>
      </c>
      <c r="P265" s="62" t="str">
        <f>IF(OR(D265="",NOT(AND(F265=1,G265="MPV"))),"",1+SUMPRODUCT(($F$2:$F$1001=1)*($G$2:$G$1001="MPV")*($D$2:$D$1001&gt;D265))+COUNTIFS($F$2:F265,1,$G$2:G265,"MPV",$D$2:D265,D265)-1)</f>
        <v/>
      </c>
      <c r="Q265" s="62" t="str">
        <f>IF(OR(D265="",NOT(AND(F265=1,G265="SUV"))),"",1+SUMPRODUCT(($F$2:$F$1001=1)*($G$2:$G$1001="SUV")*($D$2:$D$1001&gt;D265))+COUNTIFS($F$2:F265,1,$G$2:G265,"SUV",$D$2:D265,D265)-1)</f>
        <v/>
      </c>
    </row>
    <row r="266" spans="1:17">
      <c r="A266" s="62" t="str">
        <f>IFERROR(INDEX($H$2:$H$3000,MATCH(0,INDEX(COUNTIF($A$1:A265,$H$2:$H$3000)+($H$2:$H$3000=""),0,0),0)),"")</f>
        <v>NISSAN♦GT-R</v>
      </c>
      <c r="B266" s="62" t="str">
        <f t="shared" si="16"/>
        <v>NISSAN</v>
      </c>
      <c r="C266" s="62" t="str">
        <f t="shared" si="17"/>
        <v>GT-R</v>
      </c>
      <c r="D266" s="63">
        <f t="shared" si="18"/>
        <v>3</v>
      </c>
      <c r="E266" s="62">
        <f>IF(D266="","",_xlfn.RANK.EQ(D266,$D$2:$D$1001,0)+COUNTIF($D$2:D266,D266)-1)</f>
        <v>193</v>
      </c>
      <c r="F266" s="62">
        <f>IF(B266="","",--(COUNTIF(CN_Brands!$A$2:$A$300,UPPER(B266))&gt;0))</f>
        <v>0</v>
      </c>
      <c r="G266" s="62" t="str">
        <f t="shared" si="19"/>
        <v>轿车</v>
      </c>
      <c r="H266" s="62" t="str">
        <f>IF(AND('Data Export'!A266=前十整体车型排名!$B$2,'Data Export'!B266=前十整体车型排名!$B$3,'Data Export'!D266&lt;&gt;""),UPPER('Data Export'!C266)&amp;"♦"&amp;'Data Export'!D266,"")</f>
        <v>FOTON♦OTHER</v>
      </c>
      <c r="I266" s="63">
        <f>IF(H266="","",IFERROR(INDEX('Data Export'!G266:CZ266,1,MATCH(前十整体车型排名!$B$4,'Data Export'!$G$1:$CZ$1,0)),0))</f>
        <v>1</v>
      </c>
      <c r="J266" s="62" t="str">
        <f>IF(H266="","",IF(OR('Data Export'!F266="三厢轿车",'Data Export'!F266="掀背轿车",'Data Export'!F266="旅行车",'Data Export'!F266="微型车",'Data Export'!F266="硬顶跑车",'Data Export'!F266="敞蓬车",'Data Export'!F266="Targa"),"轿车",IF(OR('Data Export'!F266="小型MPV",'Data Export'!F266="客车"),"MPV",IF('Data Export'!F266="运动型多功能车","SUV","其他"))))</f>
        <v>其他</v>
      </c>
      <c r="K266" s="62" t="str">
        <f>IF(OR(D266="",NOT(F266=1)),"",1+SUMPRODUCT(($F$2:$F$1001=1)*($D$2:$D$1001&gt;D266))+COUNTIFS($F$2:F266,1,$D$2:D266,D266)-1)</f>
        <v/>
      </c>
      <c r="L266" s="62">
        <f>IF(OR(D266="",NOT(G266="轿车")),"",1+SUMPRODUCT(($G$2:$G$1001="轿车")*($D$2:$D$1001&gt;D266))+COUNTIFS($G$2:G266,"轿车",$D$2:D266,D266)-1)</f>
        <v>53</v>
      </c>
      <c r="M266" s="62" t="str">
        <f>IF(OR(D266="",NOT(G266="MPV")),"",1+SUMPRODUCT(($G$2:$G$1001="MPV")*($D$2:$D$1001&gt;D266))+COUNTIFS($G$2:G266,"MPV",$D$2:D266,D266)-1)</f>
        <v/>
      </c>
      <c r="N266" s="62" t="str">
        <f>IF(OR(D266="",NOT(G266="SUV")),"",1+SUMPRODUCT(($G$2:$G$1001="SUV")*($D$2:$D$1001&gt;D266))+COUNTIFS($G$2:G266,"SUV",$D$2:D266,D266)-1)</f>
        <v/>
      </c>
      <c r="O266" s="62" t="str">
        <f>IF(OR(D266="",NOT(AND(F266=1,G266="轿车"))),"",1+SUMPRODUCT(($F$2:$F$1001=1)*($G$2:$G$1001="轿车")*($D$2:$D$1001&gt;D266))+COUNTIFS($F$2:F266,1,$G$2:G266,"轿车",$D$2:D266,D266)-1)</f>
        <v/>
      </c>
      <c r="P266" s="62" t="str">
        <f>IF(OR(D266="",NOT(AND(F266=1,G266="MPV"))),"",1+SUMPRODUCT(($F$2:$F$1001=1)*($G$2:$G$1001="MPV")*($D$2:$D$1001&gt;D266))+COUNTIFS($F$2:F266,1,$G$2:G266,"MPV",$D$2:D266,D266)-1)</f>
        <v/>
      </c>
      <c r="Q266" s="62" t="str">
        <f>IF(OR(D266="",NOT(AND(F266=1,G266="SUV"))),"",1+SUMPRODUCT(($F$2:$F$1001=1)*($G$2:$G$1001="SUV")*($D$2:$D$1001&gt;D266))+COUNTIFS($F$2:F266,1,$G$2:G266,"SUV",$D$2:D266,D266)-1)</f>
        <v/>
      </c>
    </row>
    <row r="267" spans="1:17">
      <c r="A267" s="62" t="str">
        <f>IFERROR(INDEX($H$2:$H$3000,MATCH(0,INDEX(COUNTIF($A$1:A266,$H$2:$H$3000)+($H$2:$H$3000=""),0,0),0)),"")</f>
        <v>NISSAN♦KICKS</v>
      </c>
      <c r="B267" s="62" t="str">
        <f t="shared" si="16"/>
        <v>NISSAN</v>
      </c>
      <c r="C267" s="62" t="str">
        <f t="shared" si="17"/>
        <v>KICKS</v>
      </c>
      <c r="D267" s="63">
        <f t="shared" si="18"/>
        <v>227</v>
      </c>
      <c r="E267" s="62">
        <f>IF(D267="","",_xlfn.RANK.EQ(D267,$D$2:$D$1001,0)+COUNTIF($D$2:D267,D267)-1)</f>
        <v>47</v>
      </c>
      <c r="F267" s="62">
        <f>IF(B267="","",--(COUNTIF(CN_Brands!$A$2:$A$300,UPPER(B267))&gt;0))</f>
        <v>0</v>
      </c>
      <c r="G267" s="62" t="str">
        <f t="shared" si="19"/>
        <v>SUV</v>
      </c>
      <c r="H267" s="62" t="str">
        <f>IF(AND('Data Export'!A267=前十整体车型排名!$B$2,'Data Export'!B267=前十整体车型排名!$B$3,'Data Export'!D267&lt;&gt;""),UPPER('Data Export'!C267)&amp;"♦"&amp;'Data Export'!D267,"")</f>
        <v>GAC♦M8</v>
      </c>
      <c r="I267" s="63">
        <f>IF(H267="","",IFERROR(INDEX('Data Export'!G267:CZ267,1,MATCH(前十整体车型排名!$B$4,'Data Export'!$G$1:$CZ$1,0)),0))</f>
        <v>0</v>
      </c>
      <c r="J267" s="62" t="str">
        <f>IF(H267="","",IF(OR('Data Export'!F267="三厢轿车",'Data Export'!F267="掀背轿车",'Data Export'!F267="旅行车",'Data Export'!F267="微型车",'Data Export'!F267="硬顶跑车",'Data Export'!F267="敞蓬车",'Data Export'!F267="Targa"),"轿车",IF(OR('Data Export'!F267="小型MPV",'Data Export'!F267="客车"),"MPV",IF('Data Export'!F267="运动型多功能车","SUV","其他"))))</f>
        <v>其他</v>
      </c>
      <c r="K267" s="62" t="str">
        <f>IF(OR(D267="",NOT(F267=1)),"",1+SUMPRODUCT(($F$2:$F$1001=1)*($D$2:$D$1001&gt;D267))+COUNTIFS($F$2:F267,1,$D$2:D267,D267)-1)</f>
        <v/>
      </c>
      <c r="L267" s="62" t="str">
        <f>IF(OR(D267="",NOT(G267="轿车")),"",1+SUMPRODUCT(($G$2:$G$1001="轿车")*($D$2:$D$1001&gt;D267))+COUNTIFS($G$2:G267,"轿车",$D$2:D267,D267)-1)</f>
        <v/>
      </c>
      <c r="M267" s="62" t="str">
        <f>IF(OR(D267="",NOT(G267="MPV")),"",1+SUMPRODUCT(($G$2:$G$1001="MPV")*($D$2:$D$1001&gt;D267))+COUNTIFS($G$2:G267,"MPV",$D$2:D267,D267)-1)</f>
        <v/>
      </c>
      <c r="N267" s="62">
        <f>IF(OR(D267="",NOT(G267="SUV")),"",1+SUMPRODUCT(($G$2:$G$1001="SUV")*($D$2:$D$1001&gt;D267))+COUNTIFS($G$2:G267,"SUV",$D$2:D267,D267)-1)</f>
        <v>28</v>
      </c>
      <c r="O267" s="62" t="str">
        <f>IF(OR(D267="",NOT(AND(F267=1,G267="轿车"))),"",1+SUMPRODUCT(($F$2:$F$1001=1)*($G$2:$G$1001="轿车")*($D$2:$D$1001&gt;D267))+COUNTIFS($F$2:F267,1,$G$2:G267,"轿车",$D$2:D267,D267)-1)</f>
        <v/>
      </c>
      <c r="P267" s="62" t="str">
        <f>IF(OR(D267="",NOT(AND(F267=1,G267="MPV"))),"",1+SUMPRODUCT(($F$2:$F$1001=1)*($G$2:$G$1001="MPV")*($D$2:$D$1001&gt;D267))+COUNTIFS($F$2:F267,1,$G$2:G267,"MPV",$D$2:D267,D267)-1)</f>
        <v/>
      </c>
      <c r="Q267" s="62" t="str">
        <f>IF(OR(D267="",NOT(AND(F267=1,G267="SUV"))),"",1+SUMPRODUCT(($F$2:$F$1001=1)*($G$2:$G$1001="SUV")*($D$2:$D$1001&gt;D267))+COUNTIFS($F$2:F267,1,$G$2:G267,"SUV",$D$2:D267,D267)-1)</f>
        <v/>
      </c>
    </row>
    <row r="268" spans="1:17">
      <c r="A268" s="62" t="str">
        <f>IFERROR(INDEX($H$2:$H$3000,MATCH(0,INDEX(COUNTIF($A$1:A267,$H$2:$H$3000)+($H$2:$H$3000=""),0,0),0)),"")</f>
        <v>NISSAN♦LEAF</v>
      </c>
      <c r="B268" s="62" t="str">
        <f t="shared" si="16"/>
        <v>NISSAN</v>
      </c>
      <c r="C268" s="62" t="str">
        <f t="shared" si="17"/>
        <v>LEAF</v>
      </c>
      <c r="D268" s="63">
        <f t="shared" si="18"/>
        <v>0</v>
      </c>
      <c r="E268" s="62">
        <f>IF(D268="","",_xlfn.RANK.EQ(D268,$D$2:$D$1001,0)+COUNTIF($D$2:D268,D268)-1)</f>
        <v>352</v>
      </c>
      <c r="F268" s="62">
        <f>IF(B268="","",--(COUNTIF(CN_Brands!$A$2:$A$300,UPPER(B268))&gt;0))</f>
        <v>0</v>
      </c>
      <c r="G268" s="62" t="str">
        <f t="shared" si="19"/>
        <v>轿车</v>
      </c>
      <c r="H268" s="62" t="str">
        <f>IF(AND('Data Export'!A268=前十整体车型排名!$B$2,'Data Export'!B268=前十整体车型排名!$B$3,'Data Export'!D268&lt;&gt;""),UPPER('Data Export'!C268)&amp;"♦"&amp;'Data Export'!D268,"")</f>
        <v>GAC♦M8</v>
      </c>
      <c r="I268" s="63">
        <f>IF(H268="","",IFERROR(INDEX('Data Export'!G268:CZ268,1,MATCH(前十整体车型排名!$B$4,'Data Export'!$G$1:$CZ$1,0)),0))</f>
        <v>29</v>
      </c>
      <c r="J268" s="62" t="str">
        <f>IF(H268="","",IF(OR('Data Export'!F268="三厢轿车",'Data Export'!F268="掀背轿车",'Data Export'!F268="旅行车",'Data Export'!F268="微型车",'Data Export'!F268="硬顶跑车",'Data Export'!F268="敞蓬车",'Data Export'!F268="Targa"),"轿车",IF(OR('Data Export'!F268="小型MPV",'Data Export'!F268="客车"),"MPV",IF('Data Export'!F268="运动型多功能车","SUV","其他"))))</f>
        <v>其他</v>
      </c>
      <c r="K268" s="62" t="str">
        <f>IF(OR(D268="",NOT(F268=1)),"",1+SUMPRODUCT(($F$2:$F$1001=1)*($D$2:$D$1001&gt;D268))+COUNTIFS($F$2:F268,1,$D$2:D268,D268)-1)</f>
        <v/>
      </c>
      <c r="L268" s="62">
        <f>IF(OR(D268="",NOT(G268="轿车")),"",1+SUMPRODUCT(($G$2:$G$1001="轿车")*($D$2:$D$1001&gt;D268))+COUNTIFS($G$2:G268,"轿车",$D$2:D268,D268)-1)</f>
        <v>123</v>
      </c>
      <c r="M268" s="62" t="str">
        <f>IF(OR(D268="",NOT(G268="MPV")),"",1+SUMPRODUCT(($G$2:$G$1001="MPV")*($D$2:$D$1001&gt;D268))+COUNTIFS($G$2:G268,"MPV",$D$2:D268,D268)-1)</f>
        <v/>
      </c>
      <c r="N268" s="62" t="str">
        <f>IF(OR(D268="",NOT(G268="SUV")),"",1+SUMPRODUCT(($G$2:$G$1001="SUV")*($D$2:$D$1001&gt;D268))+COUNTIFS($G$2:G268,"SUV",$D$2:D268,D268)-1)</f>
        <v/>
      </c>
      <c r="O268" s="62" t="str">
        <f>IF(OR(D268="",NOT(AND(F268=1,G268="轿车"))),"",1+SUMPRODUCT(($F$2:$F$1001=1)*($G$2:$G$1001="轿车")*($D$2:$D$1001&gt;D268))+COUNTIFS($F$2:F268,1,$G$2:G268,"轿车",$D$2:D268,D268)-1)</f>
        <v/>
      </c>
      <c r="P268" s="62" t="str">
        <f>IF(OR(D268="",NOT(AND(F268=1,G268="MPV"))),"",1+SUMPRODUCT(($F$2:$F$1001=1)*($G$2:$G$1001="MPV")*($D$2:$D$1001&gt;D268))+COUNTIFS($F$2:F268,1,$G$2:G268,"MPV",$D$2:D268,D268)-1)</f>
        <v/>
      </c>
      <c r="Q268" s="62" t="str">
        <f>IF(OR(D268="",NOT(AND(F268=1,G268="SUV"))),"",1+SUMPRODUCT(($F$2:$F$1001=1)*($G$2:$G$1001="SUV")*($D$2:$D$1001&gt;D268))+COUNTIFS($F$2:F268,1,$G$2:G268,"SUV",$D$2:D268,D268)-1)</f>
        <v/>
      </c>
    </row>
    <row r="269" spans="1:17">
      <c r="A269" s="62" t="str">
        <f>IFERROR(INDEX($H$2:$H$3000,MATCH(0,INDEX(COUNTIF($A$1:A268,$H$2:$H$3000)+($H$2:$H$3000=""),0,0),0)),"")</f>
        <v>NISSAN♦MARCH</v>
      </c>
      <c r="B269" s="62" t="str">
        <f t="shared" si="16"/>
        <v>NISSAN</v>
      </c>
      <c r="C269" s="62" t="str">
        <f t="shared" si="17"/>
        <v>MARCH</v>
      </c>
      <c r="D269" s="63">
        <f t="shared" si="18"/>
        <v>0</v>
      </c>
      <c r="E269" s="62">
        <f>IF(D269="","",_xlfn.RANK.EQ(D269,$D$2:$D$1001,0)+COUNTIF($D$2:D269,D269)-1)</f>
        <v>353</v>
      </c>
      <c r="F269" s="62">
        <f>IF(B269="","",--(COUNTIF(CN_Brands!$A$2:$A$300,UPPER(B269))&gt;0))</f>
        <v>0</v>
      </c>
      <c r="G269" s="62" t="str">
        <f t="shared" si="19"/>
        <v>轿车</v>
      </c>
      <c r="H269" s="62" t="str">
        <f>IF(AND('Data Export'!A269=前十整体车型排名!$B$2,'Data Export'!B269=前十整体车型排名!$B$3,'Data Export'!D269&lt;&gt;""),UPPER('Data Export'!C269)&amp;"♦"&amp;'Data Export'!D269,"")</f>
        <v>GEELY♦EX2</v>
      </c>
      <c r="I269" s="63">
        <f>IF(H269="","",IFERROR(INDEX('Data Export'!G269:CZ269,1,MATCH(前十整体车型排名!$B$4,'Data Export'!$G$1:$CZ$1,0)),0))</f>
        <v>2640</v>
      </c>
      <c r="J269" s="62" t="str">
        <f>IF(H269="","",IF(OR('Data Export'!F269="三厢轿车",'Data Export'!F269="掀背轿车",'Data Export'!F269="旅行车",'Data Export'!F269="微型车",'Data Export'!F269="硬顶跑车",'Data Export'!F269="敞蓬车",'Data Export'!F269="Targa"),"轿车",IF(OR('Data Export'!F269="小型MPV",'Data Export'!F269="客车"),"MPV",IF('Data Export'!F269="运动型多功能车","SUV","其他"))))</f>
        <v>轿车</v>
      </c>
      <c r="K269" s="62" t="str">
        <f>IF(OR(D269="",NOT(F269=1)),"",1+SUMPRODUCT(($F$2:$F$1001=1)*($D$2:$D$1001&gt;D269))+COUNTIFS($F$2:F269,1,$D$2:D269,D269)-1)</f>
        <v/>
      </c>
      <c r="L269" s="62">
        <f>IF(OR(D269="",NOT(G269="轿车")),"",1+SUMPRODUCT(($G$2:$G$1001="轿车")*($D$2:$D$1001&gt;D269))+COUNTIFS($G$2:G269,"轿车",$D$2:D269,D269)-1)</f>
        <v>124</v>
      </c>
      <c r="M269" s="62" t="str">
        <f>IF(OR(D269="",NOT(G269="MPV")),"",1+SUMPRODUCT(($G$2:$G$1001="MPV")*($D$2:$D$1001&gt;D269))+COUNTIFS($G$2:G269,"MPV",$D$2:D269,D269)-1)</f>
        <v/>
      </c>
      <c r="N269" s="62" t="str">
        <f>IF(OR(D269="",NOT(G269="SUV")),"",1+SUMPRODUCT(($G$2:$G$1001="SUV")*($D$2:$D$1001&gt;D269))+COUNTIFS($G$2:G269,"SUV",$D$2:D269,D269)-1)</f>
        <v/>
      </c>
      <c r="O269" s="62" t="str">
        <f>IF(OR(D269="",NOT(AND(F269=1,G269="轿车"))),"",1+SUMPRODUCT(($F$2:$F$1001=1)*($G$2:$G$1001="轿车")*($D$2:$D$1001&gt;D269))+COUNTIFS($F$2:F269,1,$G$2:G269,"轿车",$D$2:D269,D269)-1)</f>
        <v/>
      </c>
      <c r="P269" s="62" t="str">
        <f>IF(OR(D269="",NOT(AND(F269=1,G269="MPV"))),"",1+SUMPRODUCT(($F$2:$F$1001=1)*($G$2:$G$1001="MPV")*($D$2:$D$1001&gt;D269))+COUNTIFS($F$2:F269,1,$G$2:G269,"MPV",$D$2:D269,D269)-1)</f>
        <v/>
      </c>
      <c r="Q269" s="62" t="str">
        <f>IF(OR(D269="",NOT(AND(F269=1,G269="SUV"))),"",1+SUMPRODUCT(($F$2:$F$1001=1)*($G$2:$G$1001="SUV")*($D$2:$D$1001&gt;D269))+COUNTIFS($F$2:F269,1,$G$2:G269,"SUV",$D$2:D269,D269)-1)</f>
        <v/>
      </c>
    </row>
    <row r="270" spans="1:17">
      <c r="A270" s="62" t="str">
        <f>IFERROR(INDEX($H$2:$H$3000,MATCH(0,INDEX(COUNTIF($A$1:A269,$H$2:$H$3000)+($H$2:$H$3000=""),0,0),0)),"")</f>
        <v>NISSAN♦NOTE</v>
      </c>
      <c r="B270" s="62" t="str">
        <f t="shared" si="16"/>
        <v>NISSAN</v>
      </c>
      <c r="C270" s="62" t="str">
        <f t="shared" si="17"/>
        <v>NOTE</v>
      </c>
      <c r="D270" s="63">
        <f t="shared" si="18"/>
        <v>0</v>
      </c>
      <c r="E270" s="62">
        <f>IF(D270="","",_xlfn.RANK.EQ(D270,$D$2:$D$1001,0)+COUNTIF($D$2:D270,D270)-1)</f>
        <v>354</v>
      </c>
      <c r="F270" s="62">
        <f>IF(B270="","",--(COUNTIF(CN_Brands!$A$2:$A$300,UPPER(B270))&gt;0))</f>
        <v>0</v>
      </c>
      <c r="G270" s="62" t="str">
        <f t="shared" si="19"/>
        <v>轿车</v>
      </c>
      <c r="H270" s="62" t="str">
        <f>IF(AND('Data Export'!A270=前十整体车型排名!$B$2,'Data Export'!B270=前十整体车型排名!$B$3,'Data Export'!D270&lt;&gt;""),UPPER('Data Export'!C270)&amp;"♦"&amp;'Data Export'!D270,"")</f>
        <v>GEELY♦EX5</v>
      </c>
      <c r="I270" s="63">
        <f>IF(H270="","",IFERROR(INDEX('Data Export'!G270:CZ270,1,MATCH(前十整体车型排名!$B$4,'Data Export'!$G$1:$CZ$1,0)),0))</f>
        <v>371</v>
      </c>
      <c r="J270" s="62" t="str">
        <f>IF(H270="","",IF(OR('Data Export'!F270="三厢轿车",'Data Export'!F270="掀背轿车",'Data Export'!F270="旅行车",'Data Export'!F270="微型车",'Data Export'!F270="硬顶跑车",'Data Export'!F270="敞蓬车",'Data Export'!F270="Targa"),"轿车",IF(OR('Data Export'!F270="小型MPV",'Data Export'!F270="客车"),"MPV",IF('Data Export'!F270="运动型多功能车","SUV","其他"))))</f>
        <v>SUV</v>
      </c>
      <c r="K270" s="62" t="str">
        <f>IF(OR(D270="",NOT(F270=1)),"",1+SUMPRODUCT(($F$2:$F$1001=1)*($D$2:$D$1001&gt;D270))+COUNTIFS($F$2:F270,1,$D$2:D270,D270)-1)</f>
        <v/>
      </c>
      <c r="L270" s="62">
        <f>IF(OR(D270="",NOT(G270="轿车")),"",1+SUMPRODUCT(($G$2:$G$1001="轿车")*($D$2:$D$1001&gt;D270))+COUNTIFS($G$2:G270,"轿车",$D$2:D270,D270)-1)</f>
        <v>125</v>
      </c>
      <c r="M270" s="62" t="str">
        <f>IF(OR(D270="",NOT(G270="MPV")),"",1+SUMPRODUCT(($G$2:$G$1001="MPV")*($D$2:$D$1001&gt;D270))+COUNTIFS($G$2:G270,"MPV",$D$2:D270,D270)-1)</f>
        <v/>
      </c>
      <c r="N270" s="62" t="str">
        <f>IF(OR(D270="",NOT(G270="SUV")),"",1+SUMPRODUCT(($G$2:$G$1001="SUV")*($D$2:$D$1001&gt;D270))+COUNTIFS($G$2:G270,"SUV",$D$2:D270,D270)-1)</f>
        <v/>
      </c>
      <c r="O270" s="62" t="str">
        <f>IF(OR(D270="",NOT(AND(F270=1,G270="轿车"))),"",1+SUMPRODUCT(($F$2:$F$1001=1)*($G$2:$G$1001="轿车")*($D$2:$D$1001&gt;D270))+COUNTIFS($F$2:F270,1,$G$2:G270,"轿车",$D$2:D270,D270)-1)</f>
        <v/>
      </c>
      <c r="P270" s="62" t="str">
        <f>IF(OR(D270="",NOT(AND(F270=1,G270="MPV"))),"",1+SUMPRODUCT(($F$2:$F$1001=1)*($G$2:$G$1001="MPV")*($D$2:$D$1001&gt;D270))+COUNTIFS($F$2:F270,1,$G$2:G270,"MPV",$D$2:D270,D270)-1)</f>
        <v/>
      </c>
      <c r="Q270" s="62" t="str">
        <f>IF(OR(D270="",NOT(AND(F270=1,G270="SUV"))),"",1+SUMPRODUCT(($F$2:$F$1001=1)*($G$2:$G$1001="SUV")*($D$2:$D$1001&gt;D270))+COUNTIFS($F$2:F270,1,$G$2:G270,"SUV",$D$2:D270,D270)-1)</f>
        <v/>
      </c>
    </row>
    <row r="271" spans="1:17">
      <c r="A271" s="62" t="str">
        <f>IFERROR(INDEX($H$2:$H$3000,MATCH(0,INDEX(COUNTIF($A$1:A270,$H$2:$H$3000)+($H$2:$H$3000=""),0,0),0)),"")</f>
        <v>NISSAN♦OTHER</v>
      </c>
      <c r="B271" s="62" t="str">
        <f t="shared" si="16"/>
        <v>NISSAN</v>
      </c>
      <c r="C271" s="62" t="str">
        <f t="shared" si="17"/>
        <v>OTHER</v>
      </c>
      <c r="D271" s="63">
        <f t="shared" si="18"/>
        <v>1</v>
      </c>
      <c r="E271" s="62">
        <f>IF(D271="","",_xlfn.RANK.EQ(D271,$D$2:$D$1001,0)+COUNTIF($D$2:D271,D271)-1)</f>
        <v>245</v>
      </c>
      <c r="F271" s="62">
        <f>IF(B271="","",--(COUNTIF(CN_Brands!$A$2:$A$300,UPPER(B271))&gt;0))</f>
        <v>0</v>
      </c>
      <c r="G271" s="62" t="str">
        <f t="shared" si="19"/>
        <v>其他</v>
      </c>
      <c r="H271" s="62" t="str">
        <f>IF(AND('Data Export'!A271=前十整体车型排名!$B$2,'Data Export'!B271=前十整体车型排名!$B$3,'Data Export'!D271&lt;&gt;""),UPPER('Data Export'!C271)&amp;"♦"&amp;'Data Export'!D271,"")</f>
        <v>GMC♦HUMMER EV</v>
      </c>
      <c r="I271" s="63">
        <f>IF(H271="","",IFERROR(INDEX('Data Export'!G271:CZ271,1,MATCH(前十整体车型排名!$B$4,'Data Export'!$G$1:$CZ$1,0)),0))</f>
        <v>0</v>
      </c>
      <c r="J271" s="62" t="str">
        <f>IF(H271="","",IF(OR('Data Export'!F271="三厢轿车",'Data Export'!F271="掀背轿车",'Data Export'!F271="旅行车",'Data Export'!F271="微型车",'Data Export'!F271="硬顶跑车",'Data Export'!F271="敞蓬车",'Data Export'!F271="Targa"),"轿车",IF(OR('Data Export'!F271="小型MPV",'Data Export'!F271="客车"),"MPV",IF('Data Export'!F271="运动型多功能车","SUV","其他"))))</f>
        <v>其他</v>
      </c>
      <c r="K271" s="62" t="str">
        <f>IF(OR(D271="",NOT(F271=1)),"",1+SUMPRODUCT(($F$2:$F$1001=1)*($D$2:$D$1001&gt;D271))+COUNTIFS($F$2:F271,1,$D$2:D271,D271)-1)</f>
        <v/>
      </c>
      <c r="L271" s="62" t="str">
        <f>IF(OR(D271="",NOT(G271="轿车")),"",1+SUMPRODUCT(($G$2:$G$1001="轿车")*($D$2:$D$1001&gt;D271))+COUNTIFS($G$2:G271,"轿车",$D$2:D271,D271)-1)</f>
        <v/>
      </c>
      <c r="M271" s="62" t="str">
        <f>IF(OR(D271="",NOT(G271="MPV")),"",1+SUMPRODUCT(($G$2:$G$1001="MPV")*($D$2:$D$1001&gt;D271))+COUNTIFS($G$2:G271,"MPV",$D$2:D271,D271)-1)</f>
        <v/>
      </c>
      <c r="N271" s="62" t="str">
        <f>IF(OR(D271="",NOT(G271="SUV")),"",1+SUMPRODUCT(($G$2:$G$1001="SUV")*($D$2:$D$1001&gt;D271))+COUNTIFS($G$2:G271,"SUV",$D$2:D271,D271)-1)</f>
        <v/>
      </c>
      <c r="O271" s="62" t="str">
        <f>IF(OR(D271="",NOT(AND(F271=1,G271="轿车"))),"",1+SUMPRODUCT(($F$2:$F$1001=1)*($G$2:$G$1001="轿车")*($D$2:$D$1001&gt;D271))+COUNTIFS($F$2:F271,1,$G$2:G271,"轿车",$D$2:D271,D271)-1)</f>
        <v/>
      </c>
      <c r="P271" s="62" t="str">
        <f>IF(OR(D271="",NOT(AND(F271=1,G271="MPV"))),"",1+SUMPRODUCT(($F$2:$F$1001=1)*($G$2:$G$1001="MPV")*($D$2:$D$1001&gt;D271))+COUNTIFS($F$2:F271,1,$G$2:G271,"MPV",$D$2:D271,D271)-1)</f>
        <v/>
      </c>
      <c r="Q271" s="62" t="str">
        <f>IF(OR(D271="",NOT(AND(F271=1,G271="SUV"))),"",1+SUMPRODUCT(($F$2:$F$1001=1)*($G$2:$G$1001="SUV")*($D$2:$D$1001&gt;D271))+COUNTIFS($F$2:F271,1,$G$2:G271,"SUV",$D$2:D271,D271)-1)</f>
        <v/>
      </c>
    </row>
    <row r="272" spans="1:17">
      <c r="A272" s="62" t="str">
        <f>IFERROR(INDEX($H$2:$H$3000,MATCH(0,INDEX(COUNTIF($A$1:A271,$H$2:$H$3000)+($H$2:$H$3000=""),0,0),0)),"")</f>
        <v>NISSAN♦SERENA</v>
      </c>
      <c r="B272" s="62" t="str">
        <f t="shared" si="16"/>
        <v>NISSAN</v>
      </c>
      <c r="C272" s="62" t="str">
        <f t="shared" si="17"/>
        <v>SERENA</v>
      </c>
      <c r="D272" s="63">
        <f t="shared" si="18"/>
        <v>143</v>
      </c>
      <c r="E272" s="62">
        <f>IF(D272="","",_xlfn.RANK.EQ(D272,$D$2:$D$1001,0)+COUNTIF($D$2:D272,D272)-1)</f>
        <v>60</v>
      </c>
      <c r="F272" s="62">
        <f>IF(B272="","",--(COUNTIF(CN_Brands!$A$2:$A$300,UPPER(B272))&gt;0))</f>
        <v>0</v>
      </c>
      <c r="G272" s="62" t="str">
        <f t="shared" si="19"/>
        <v>其他</v>
      </c>
      <c r="H272" s="62" t="str">
        <f>IF(AND('Data Export'!A272=前十整体车型排名!$B$2,'Data Export'!B272=前十整体车型排名!$B$3,'Data Export'!D272&lt;&gt;""),UPPER('Data Export'!C272)&amp;"♦"&amp;'Data Export'!D272,"")</f>
        <v>GMC♦YUKON</v>
      </c>
      <c r="I272" s="63">
        <f>IF(H272="","",IFERROR(INDEX('Data Export'!G272:CZ272,1,MATCH(前十整体车型排名!$B$4,'Data Export'!$G$1:$CZ$1,0)),0))</f>
        <v>0</v>
      </c>
      <c r="J272" s="62" t="str">
        <f>IF(H272="","",IF(OR('Data Export'!F272="三厢轿车",'Data Export'!F272="掀背轿车",'Data Export'!F272="旅行车",'Data Export'!F272="微型车",'Data Export'!F272="硬顶跑车",'Data Export'!F272="敞蓬车",'Data Export'!F272="Targa"),"轿车",IF(OR('Data Export'!F272="小型MPV",'Data Export'!F272="客车"),"MPV",IF('Data Export'!F272="运动型多功能车","SUV","其他"))))</f>
        <v>SUV</v>
      </c>
      <c r="K272" s="62" t="str">
        <f>IF(OR(D272="",NOT(F272=1)),"",1+SUMPRODUCT(($F$2:$F$1001=1)*($D$2:$D$1001&gt;D272))+COUNTIFS($F$2:F272,1,$D$2:D272,D272)-1)</f>
        <v/>
      </c>
      <c r="L272" s="62" t="str">
        <f>IF(OR(D272="",NOT(G272="轿车")),"",1+SUMPRODUCT(($G$2:$G$1001="轿车")*($D$2:$D$1001&gt;D272))+COUNTIFS($G$2:G272,"轿车",$D$2:D272,D272)-1)</f>
        <v/>
      </c>
      <c r="M272" s="62" t="str">
        <f>IF(OR(D272="",NOT(G272="MPV")),"",1+SUMPRODUCT(($G$2:$G$1001="MPV")*($D$2:$D$1001&gt;D272))+COUNTIFS($G$2:G272,"MPV",$D$2:D272,D272)-1)</f>
        <v/>
      </c>
      <c r="N272" s="62" t="str">
        <f>IF(OR(D272="",NOT(G272="SUV")),"",1+SUMPRODUCT(($G$2:$G$1001="SUV")*($D$2:$D$1001&gt;D272))+COUNTIFS($G$2:G272,"SUV",$D$2:D272,D272)-1)</f>
        <v/>
      </c>
      <c r="O272" s="62" t="str">
        <f>IF(OR(D272="",NOT(AND(F272=1,G272="轿车"))),"",1+SUMPRODUCT(($F$2:$F$1001=1)*($G$2:$G$1001="轿车")*($D$2:$D$1001&gt;D272))+COUNTIFS($F$2:F272,1,$G$2:G272,"轿车",$D$2:D272,D272)-1)</f>
        <v/>
      </c>
      <c r="P272" s="62" t="str">
        <f>IF(OR(D272="",NOT(AND(F272=1,G272="MPV"))),"",1+SUMPRODUCT(($F$2:$F$1001=1)*($G$2:$G$1001="MPV")*($D$2:$D$1001&gt;D272))+COUNTIFS($F$2:F272,1,$G$2:G272,"MPV",$D$2:D272,D272)-1)</f>
        <v/>
      </c>
      <c r="Q272" s="62" t="str">
        <f>IF(OR(D272="",NOT(AND(F272=1,G272="SUV"))),"",1+SUMPRODUCT(($F$2:$F$1001=1)*($G$2:$G$1001="SUV")*($D$2:$D$1001&gt;D272))+COUNTIFS($F$2:F272,1,$G$2:G272,"SUV",$D$2:D272,D272)-1)</f>
        <v/>
      </c>
    </row>
    <row r="273" spans="1:17">
      <c r="A273" s="62" t="str">
        <f>IFERROR(INDEX($H$2:$H$3000,MATCH(0,INDEX(COUNTIF($A$1:A272,$H$2:$H$3000)+($H$2:$H$3000=""),0,0),0)),"")</f>
        <v>NISSAN♦SYLPHY</v>
      </c>
      <c r="B273" s="62" t="str">
        <f t="shared" si="16"/>
        <v>NISSAN</v>
      </c>
      <c r="C273" s="62" t="str">
        <f t="shared" si="17"/>
        <v>SYLPHY</v>
      </c>
      <c r="D273" s="63">
        <f t="shared" si="18"/>
        <v>4</v>
      </c>
      <c r="E273" s="62">
        <f>IF(D273="","",_xlfn.RANK.EQ(D273,$D$2:$D$1001,0)+COUNTIF($D$2:D273,D273)-1)</f>
        <v>179</v>
      </c>
      <c r="F273" s="62">
        <f>IF(B273="","",--(COUNTIF(CN_Brands!$A$2:$A$300,UPPER(B273))&gt;0))</f>
        <v>0</v>
      </c>
      <c r="G273" s="62" t="str">
        <f t="shared" si="19"/>
        <v>轿车</v>
      </c>
      <c r="H273" s="62" t="str">
        <f>IF(AND('Data Export'!A273=前十整体车型排名!$B$2,'Data Export'!B273=前十整体车型排名!$B$3,'Data Export'!D273&lt;&gt;""),UPPER('Data Export'!C273)&amp;"♦"&amp;'Data Export'!D273,"")</f>
        <v>GWM♦ORA 5</v>
      </c>
      <c r="I273" s="63">
        <f>IF(H273="","",IFERROR(INDEX('Data Export'!G273:CZ273,1,MATCH(前十整体车型排名!$B$4,'Data Export'!$G$1:$CZ$1,0)),0))</f>
        <v>1399</v>
      </c>
      <c r="J273" s="62" t="str">
        <f>IF(H273="","",IF(OR('Data Export'!F273="三厢轿车",'Data Export'!F273="掀背轿车",'Data Export'!F273="旅行车",'Data Export'!F273="微型车",'Data Export'!F273="硬顶跑车",'Data Export'!F273="敞蓬车",'Data Export'!F273="Targa"),"轿车",IF(OR('Data Export'!F273="小型MPV",'Data Export'!F273="客车"),"MPV",IF('Data Export'!F273="运动型多功能车","SUV","其他"))))</f>
        <v>SUV</v>
      </c>
      <c r="K273" s="62" t="str">
        <f>IF(OR(D273="",NOT(F273=1)),"",1+SUMPRODUCT(($F$2:$F$1001=1)*($D$2:$D$1001&gt;D273))+COUNTIFS($F$2:F273,1,$D$2:D273,D273)-1)</f>
        <v/>
      </c>
      <c r="L273" s="62">
        <f>IF(OR(D273="",NOT(G273="轿车")),"",1+SUMPRODUCT(($G$2:$G$1001="轿车")*($D$2:$D$1001&gt;D273))+COUNTIFS($G$2:G273,"轿车",$D$2:D273,D273)-1)</f>
        <v>48</v>
      </c>
      <c r="M273" s="62" t="str">
        <f>IF(OR(D273="",NOT(G273="MPV")),"",1+SUMPRODUCT(($G$2:$G$1001="MPV")*($D$2:$D$1001&gt;D273))+COUNTIFS($G$2:G273,"MPV",$D$2:D273,D273)-1)</f>
        <v/>
      </c>
      <c r="N273" s="62" t="str">
        <f>IF(OR(D273="",NOT(G273="SUV")),"",1+SUMPRODUCT(($G$2:$G$1001="SUV")*($D$2:$D$1001&gt;D273))+COUNTIFS($G$2:G273,"SUV",$D$2:D273,D273)-1)</f>
        <v/>
      </c>
      <c r="O273" s="62" t="str">
        <f>IF(OR(D273="",NOT(AND(F273=1,G273="轿车"))),"",1+SUMPRODUCT(($F$2:$F$1001=1)*($G$2:$G$1001="轿车")*($D$2:$D$1001&gt;D273))+COUNTIFS($F$2:F273,1,$G$2:G273,"轿车",$D$2:D273,D273)-1)</f>
        <v/>
      </c>
      <c r="P273" s="62" t="str">
        <f>IF(OR(D273="",NOT(AND(F273=1,G273="MPV"))),"",1+SUMPRODUCT(($F$2:$F$1001=1)*($G$2:$G$1001="MPV")*($D$2:$D$1001&gt;D273))+COUNTIFS($F$2:F273,1,$G$2:G273,"MPV",$D$2:D273,D273)-1)</f>
        <v/>
      </c>
      <c r="Q273" s="62" t="str">
        <f>IF(OR(D273="",NOT(AND(F273=1,G273="SUV"))),"",1+SUMPRODUCT(($F$2:$F$1001=1)*($G$2:$G$1001="SUV")*($D$2:$D$1001&gt;D273))+COUNTIFS($F$2:F273,1,$G$2:G273,"SUV",$D$2:D273,D273)-1)</f>
        <v/>
      </c>
    </row>
    <row r="274" spans="1:17">
      <c r="A274" s="62" t="str">
        <f>IFERROR(INDEX($H$2:$H$3000,MATCH(0,INDEX(COUNTIF($A$1:A273,$H$2:$H$3000)+($H$2:$H$3000=""),0,0),0)),"")</f>
        <v>NISSAN♦TEANA</v>
      </c>
      <c r="B274" s="62" t="str">
        <f t="shared" si="16"/>
        <v>NISSAN</v>
      </c>
      <c r="C274" s="62" t="str">
        <f t="shared" si="17"/>
        <v>TEANA</v>
      </c>
      <c r="D274" s="63">
        <f t="shared" si="18"/>
        <v>0</v>
      </c>
      <c r="E274" s="62">
        <f>IF(D274="","",_xlfn.RANK.EQ(D274,$D$2:$D$1001,0)+COUNTIF($D$2:D274,D274)-1)</f>
        <v>355</v>
      </c>
      <c r="F274" s="62">
        <f>IF(B274="","",--(COUNTIF(CN_Brands!$A$2:$A$300,UPPER(B274))&gt;0))</f>
        <v>0</v>
      </c>
      <c r="G274" s="62" t="str">
        <f t="shared" si="19"/>
        <v>轿车</v>
      </c>
      <c r="H274" s="62" t="str">
        <f>IF(AND('Data Export'!A274=前十整体车型排名!$B$2,'Data Export'!B274=前十整体车型排名!$B$3,'Data Export'!D274&lt;&gt;""),UPPER('Data Export'!C274)&amp;"♦"&amp;'Data Export'!D274,"")</f>
        <v>GWM♦TANK 300</v>
      </c>
      <c r="I274" s="63">
        <f>IF(H274="","",IFERROR(INDEX('Data Export'!G274:CZ274,1,MATCH(前十整体车型排名!$B$4,'Data Export'!$G$1:$CZ$1,0)),0))</f>
        <v>459</v>
      </c>
      <c r="J274" s="62" t="str">
        <f>IF(H274="","",IF(OR('Data Export'!F274="三厢轿车",'Data Export'!F274="掀背轿车",'Data Export'!F274="旅行车",'Data Export'!F274="微型车",'Data Export'!F274="硬顶跑车",'Data Export'!F274="敞蓬车",'Data Export'!F274="Targa"),"轿车",IF(OR('Data Export'!F274="小型MPV",'Data Export'!F274="客车"),"MPV",IF('Data Export'!F274="运动型多功能车","SUV","其他"))))</f>
        <v>SUV</v>
      </c>
      <c r="K274" s="62" t="str">
        <f>IF(OR(D274="",NOT(F274=1)),"",1+SUMPRODUCT(($F$2:$F$1001=1)*($D$2:$D$1001&gt;D274))+COUNTIFS($F$2:F274,1,$D$2:D274,D274)-1)</f>
        <v/>
      </c>
      <c r="L274" s="62">
        <f>IF(OR(D274="",NOT(G274="轿车")),"",1+SUMPRODUCT(($G$2:$G$1001="轿车")*($D$2:$D$1001&gt;D274))+COUNTIFS($G$2:G274,"轿车",$D$2:D274,D274)-1)</f>
        <v>126</v>
      </c>
      <c r="M274" s="62" t="str">
        <f>IF(OR(D274="",NOT(G274="MPV")),"",1+SUMPRODUCT(($G$2:$G$1001="MPV")*($D$2:$D$1001&gt;D274))+COUNTIFS($G$2:G274,"MPV",$D$2:D274,D274)-1)</f>
        <v/>
      </c>
      <c r="N274" s="62" t="str">
        <f>IF(OR(D274="",NOT(G274="SUV")),"",1+SUMPRODUCT(($G$2:$G$1001="SUV")*($D$2:$D$1001&gt;D274))+COUNTIFS($G$2:G274,"SUV",$D$2:D274,D274)-1)</f>
        <v/>
      </c>
      <c r="O274" s="62" t="str">
        <f>IF(OR(D274="",NOT(AND(F274=1,G274="轿车"))),"",1+SUMPRODUCT(($F$2:$F$1001=1)*($G$2:$G$1001="轿车")*($D$2:$D$1001&gt;D274))+COUNTIFS($F$2:F274,1,$G$2:G274,"轿车",$D$2:D274,D274)-1)</f>
        <v/>
      </c>
      <c r="P274" s="62" t="str">
        <f>IF(OR(D274="",NOT(AND(F274=1,G274="MPV"))),"",1+SUMPRODUCT(($F$2:$F$1001=1)*($G$2:$G$1001="MPV")*($D$2:$D$1001&gt;D274))+COUNTIFS($F$2:F274,1,$G$2:G274,"MPV",$D$2:D274,D274)-1)</f>
        <v/>
      </c>
      <c r="Q274" s="62" t="str">
        <f>IF(OR(D274="",NOT(AND(F274=1,G274="SUV"))),"",1+SUMPRODUCT(($F$2:$F$1001=1)*($G$2:$G$1001="SUV")*($D$2:$D$1001&gt;D274))+COUNTIFS($F$2:F274,1,$G$2:G274,"SUV",$D$2:D274,D274)-1)</f>
        <v/>
      </c>
    </row>
    <row r="275" spans="1:17">
      <c r="A275" s="62" t="str">
        <f>IFERROR(INDEX($H$2:$H$3000,MATCH(0,INDEX(COUNTIF($A$1:A274,$H$2:$H$3000)+($H$2:$H$3000=""),0,0),0)),"")</f>
        <v>NISSAN♦TERRA</v>
      </c>
      <c r="B275" s="62" t="str">
        <f t="shared" si="16"/>
        <v>NISSAN</v>
      </c>
      <c r="C275" s="62" t="str">
        <f t="shared" si="17"/>
        <v>TERRA</v>
      </c>
      <c r="D275" s="63">
        <f t="shared" si="18"/>
        <v>1</v>
      </c>
      <c r="E275" s="62">
        <f>IF(D275="","",_xlfn.RANK.EQ(D275,$D$2:$D$1001,0)+COUNTIF($D$2:D275,D275)-1)</f>
        <v>246</v>
      </c>
      <c r="F275" s="62">
        <f>IF(B275="","",--(COUNTIF(CN_Brands!$A$2:$A$300,UPPER(B275))&gt;0))</f>
        <v>0</v>
      </c>
      <c r="G275" s="62" t="str">
        <f t="shared" si="19"/>
        <v>SUV</v>
      </c>
      <c r="H275" s="62" t="str">
        <f>IF(AND('Data Export'!A275=前十整体车型排名!$B$2,'Data Export'!B275=前十整体车型排名!$B$3,'Data Export'!D275&lt;&gt;""),UPPER('Data Export'!C275)&amp;"♦"&amp;'Data Export'!D275,"")</f>
        <v>GWM♦TANK 300</v>
      </c>
      <c r="I275" s="63">
        <f>IF(H275="","",IFERROR(INDEX('Data Export'!G275:CZ275,1,MATCH(前十整体车型排名!$B$4,'Data Export'!$G$1:$CZ$1,0)),0))</f>
        <v>9</v>
      </c>
      <c r="J275" s="62" t="str">
        <f>IF(H275="","",IF(OR('Data Export'!F275="三厢轿车",'Data Export'!F275="掀背轿车",'Data Export'!F275="旅行车",'Data Export'!F275="微型车",'Data Export'!F275="硬顶跑车",'Data Export'!F275="敞蓬车",'Data Export'!F275="Targa"),"轿车",IF(OR('Data Export'!F275="小型MPV",'Data Export'!F275="客车"),"MPV",IF('Data Export'!F275="运动型多功能车","SUV","其他"))))</f>
        <v>SUV</v>
      </c>
      <c r="K275" s="62" t="str">
        <f>IF(OR(D275="",NOT(F275=1)),"",1+SUMPRODUCT(($F$2:$F$1001=1)*($D$2:$D$1001&gt;D275))+COUNTIFS($F$2:F275,1,$D$2:D275,D275)-1)</f>
        <v/>
      </c>
      <c r="L275" s="62" t="str">
        <f>IF(OR(D275="",NOT(G275="轿车")),"",1+SUMPRODUCT(($G$2:$G$1001="轿车")*($D$2:$D$1001&gt;D275))+COUNTIFS($G$2:G275,"轿车",$D$2:D275,D275)-1)</f>
        <v/>
      </c>
      <c r="M275" s="62" t="str">
        <f>IF(OR(D275="",NOT(G275="MPV")),"",1+SUMPRODUCT(($G$2:$G$1001="MPV")*($D$2:$D$1001&gt;D275))+COUNTIFS($G$2:G275,"MPV",$D$2:D275,D275)-1)</f>
        <v/>
      </c>
      <c r="N275" s="62">
        <f>IF(OR(D275="",NOT(G275="SUV")),"",1+SUMPRODUCT(($G$2:$G$1001="SUV")*($D$2:$D$1001&gt;D275))+COUNTIFS($G$2:G275,"SUV",$D$2:D275,D275)-1)</f>
        <v>122</v>
      </c>
      <c r="O275" s="62" t="str">
        <f>IF(OR(D275="",NOT(AND(F275=1,G275="轿车"))),"",1+SUMPRODUCT(($F$2:$F$1001=1)*($G$2:$G$1001="轿车")*($D$2:$D$1001&gt;D275))+COUNTIFS($F$2:F275,1,$G$2:G275,"轿车",$D$2:D275,D275)-1)</f>
        <v/>
      </c>
      <c r="P275" s="62" t="str">
        <f>IF(OR(D275="",NOT(AND(F275=1,G275="MPV"))),"",1+SUMPRODUCT(($F$2:$F$1001=1)*($G$2:$G$1001="MPV")*($D$2:$D$1001&gt;D275))+COUNTIFS($F$2:F275,1,$G$2:G275,"MPV",$D$2:D275,D275)-1)</f>
        <v/>
      </c>
      <c r="Q275" s="62" t="str">
        <f>IF(OR(D275="",NOT(AND(F275=1,G275="SUV"))),"",1+SUMPRODUCT(($F$2:$F$1001=1)*($G$2:$G$1001="SUV")*($D$2:$D$1001&gt;D275))+COUNTIFS($F$2:F275,1,$G$2:G275,"SUV",$D$2:D275,D275)-1)</f>
        <v/>
      </c>
    </row>
    <row r="276" spans="1:17">
      <c r="A276" s="62" t="str">
        <f>IFERROR(INDEX($H$2:$H$3000,MATCH(0,INDEX(COUNTIF($A$1:A275,$H$2:$H$3000)+($H$2:$H$3000=""),0,0),0)),"")</f>
        <v>NISSAN♦X-TRAIL</v>
      </c>
      <c r="B276" s="62" t="str">
        <f t="shared" si="16"/>
        <v>NISSAN</v>
      </c>
      <c r="C276" s="62" t="str">
        <f t="shared" si="17"/>
        <v>X-TRAIL</v>
      </c>
      <c r="D276" s="63">
        <f t="shared" si="18"/>
        <v>23</v>
      </c>
      <c r="E276" s="62">
        <f>IF(D276="","",_xlfn.RANK.EQ(D276,$D$2:$D$1001,0)+COUNTIF($D$2:D276,D276)-1)</f>
        <v>117</v>
      </c>
      <c r="F276" s="62">
        <f>IF(B276="","",--(COUNTIF(CN_Brands!$A$2:$A$300,UPPER(B276))&gt;0))</f>
        <v>0</v>
      </c>
      <c r="G276" s="62" t="str">
        <f t="shared" si="19"/>
        <v>SUV</v>
      </c>
      <c r="H276" s="62" t="str">
        <f>IF(AND('Data Export'!A276=前十整体车型排名!$B$2,'Data Export'!B276=前十整体车型排名!$B$3,'Data Export'!D276&lt;&gt;""),UPPER('Data Export'!C276)&amp;"♦"&amp;'Data Export'!D276,"")</f>
        <v>GWM♦TANK 500</v>
      </c>
      <c r="I276" s="63">
        <f>IF(H276="","",IFERROR(INDEX('Data Export'!G276:CZ276,1,MATCH(前十整体车型排名!$B$4,'Data Export'!$G$1:$CZ$1,0)),0))</f>
        <v>58</v>
      </c>
      <c r="J276" s="62" t="str">
        <f>IF(H276="","",IF(OR('Data Export'!F276="三厢轿车",'Data Export'!F276="掀背轿车",'Data Export'!F276="旅行车",'Data Export'!F276="微型车",'Data Export'!F276="硬顶跑车",'Data Export'!F276="敞蓬车",'Data Export'!F276="Targa"),"轿车",IF(OR('Data Export'!F276="小型MPV",'Data Export'!F276="客车"),"MPV",IF('Data Export'!F276="运动型多功能车","SUV","其他"))))</f>
        <v>SUV</v>
      </c>
      <c r="K276" s="62" t="str">
        <f>IF(OR(D276="",NOT(F276=1)),"",1+SUMPRODUCT(($F$2:$F$1001=1)*($D$2:$D$1001&gt;D276))+COUNTIFS($F$2:F276,1,$D$2:D276,D276)-1)</f>
        <v/>
      </c>
      <c r="L276" s="62" t="str">
        <f>IF(OR(D276="",NOT(G276="轿车")),"",1+SUMPRODUCT(($G$2:$G$1001="轿车")*($D$2:$D$1001&gt;D276))+COUNTIFS($G$2:G276,"轿车",$D$2:D276,D276)-1)</f>
        <v/>
      </c>
      <c r="M276" s="62" t="str">
        <f>IF(OR(D276="",NOT(G276="MPV")),"",1+SUMPRODUCT(($G$2:$G$1001="MPV")*($D$2:$D$1001&gt;D276))+COUNTIFS($G$2:G276,"MPV",$D$2:D276,D276)-1)</f>
        <v/>
      </c>
      <c r="N276" s="62">
        <f>IF(OR(D276="",NOT(G276="SUV")),"",1+SUMPRODUCT(($G$2:$G$1001="SUV")*($D$2:$D$1001&gt;D276))+COUNTIFS($G$2:G276,"SUV",$D$2:D276,D276)-1)</f>
        <v>61</v>
      </c>
      <c r="O276" s="62" t="str">
        <f>IF(OR(D276="",NOT(AND(F276=1,G276="轿车"))),"",1+SUMPRODUCT(($F$2:$F$1001=1)*($G$2:$G$1001="轿车")*($D$2:$D$1001&gt;D276))+COUNTIFS($F$2:F276,1,$G$2:G276,"轿车",$D$2:D276,D276)-1)</f>
        <v/>
      </c>
      <c r="P276" s="62" t="str">
        <f>IF(OR(D276="",NOT(AND(F276=1,G276="MPV"))),"",1+SUMPRODUCT(($F$2:$F$1001=1)*($G$2:$G$1001="MPV")*($D$2:$D$1001&gt;D276))+COUNTIFS($F$2:F276,1,$G$2:G276,"MPV",$D$2:D276,D276)-1)</f>
        <v/>
      </c>
      <c r="Q276" s="62" t="str">
        <f>IF(OR(D276="",NOT(AND(F276=1,G276="SUV"))),"",1+SUMPRODUCT(($F$2:$F$1001=1)*($G$2:$G$1001="SUV")*($D$2:$D$1001&gt;D276))+COUNTIFS($F$2:F276,1,$G$2:G276,"SUV",$D$2:D276,D276)-1)</f>
        <v/>
      </c>
    </row>
    <row r="277" spans="1:17">
      <c r="A277" s="62" t="str">
        <f>IFERROR(INDEX($H$2:$H$3000,MATCH(0,INDEX(COUNTIF($A$1:A276,$H$2:$H$3000)+($H$2:$H$3000=""),0,0),0)),"")</f>
        <v>OMODA♦C5</v>
      </c>
      <c r="B277" s="62" t="str">
        <f t="shared" si="16"/>
        <v>OMODA</v>
      </c>
      <c r="C277" s="62" t="str">
        <f t="shared" si="17"/>
        <v>C5</v>
      </c>
      <c r="D277" s="63">
        <f t="shared" si="18"/>
        <v>487</v>
      </c>
      <c r="E277" s="62">
        <f>IF(D277="","",_xlfn.RANK.EQ(D277,$D$2:$D$1001,0)+COUNTIF($D$2:D277,D277)-1)</f>
        <v>26</v>
      </c>
      <c r="F277" s="62">
        <f>IF(B277="","",--(COUNTIF(CN_Brands!$A$2:$A$300,UPPER(B277))&gt;0))</f>
        <v>1</v>
      </c>
      <c r="G277" s="62" t="str">
        <f t="shared" si="19"/>
        <v>SUV</v>
      </c>
      <c r="H277" s="62" t="str">
        <f>IF(AND('Data Export'!A277=前十整体车型排名!$B$2,'Data Export'!B277=前十整体车型排名!$B$3,'Data Export'!D277&lt;&gt;""),UPPER('Data Export'!C277)&amp;"♦"&amp;'Data Export'!D277,"")</f>
        <v>GWM♦TANK 500</v>
      </c>
      <c r="I277" s="63">
        <f>IF(H277="","",IFERROR(INDEX('Data Export'!G277:CZ277,1,MATCH(前十整体车型排名!$B$4,'Data Export'!$G$1:$CZ$1,0)),0))</f>
        <v>2</v>
      </c>
      <c r="J277" s="62" t="str">
        <f>IF(H277="","",IF(OR('Data Export'!F277="三厢轿车",'Data Export'!F277="掀背轿车",'Data Export'!F277="旅行车",'Data Export'!F277="微型车",'Data Export'!F277="硬顶跑车",'Data Export'!F277="敞蓬车",'Data Export'!F277="Targa"),"轿车",IF(OR('Data Export'!F277="小型MPV",'Data Export'!F277="客车"),"MPV",IF('Data Export'!F277="运动型多功能车","SUV","其他"))))</f>
        <v>SUV</v>
      </c>
      <c r="K277" s="62">
        <f>IF(OR(D277="",NOT(F277=1)),"",1+SUMPRODUCT(($F$2:$F$1001=1)*($D$2:$D$1001&gt;D277))+COUNTIFS($F$2:F277,1,$D$2:D277,D277)-1)</f>
        <v>14</v>
      </c>
      <c r="L277" s="62" t="str">
        <f>IF(OR(D277="",NOT(G277="轿车")),"",1+SUMPRODUCT(($G$2:$G$1001="轿车")*($D$2:$D$1001&gt;D277))+COUNTIFS($G$2:G277,"轿车",$D$2:D277,D277)-1)</f>
        <v/>
      </c>
      <c r="M277" s="62" t="str">
        <f>IF(OR(D277="",NOT(G277="MPV")),"",1+SUMPRODUCT(($G$2:$G$1001="MPV")*($D$2:$D$1001&gt;D277))+COUNTIFS($G$2:G277,"MPV",$D$2:D277,D277)-1)</f>
        <v/>
      </c>
      <c r="N277" s="62">
        <f>IF(OR(D277="",NOT(G277="SUV")),"",1+SUMPRODUCT(($G$2:$G$1001="SUV")*($D$2:$D$1001&gt;D277))+COUNTIFS($G$2:G277,"SUV",$D$2:D277,D277)-1)</f>
        <v>18</v>
      </c>
      <c r="O277" s="62" t="str">
        <f>IF(OR(D277="",NOT(AND(F277=1,G277="轿车"))),"",1+SUMPRODUCT(($F$2:$F$1001=1)*($G$2:$G$1001="轿车")*($D$2:$D$1001&gt;D277))+COUNTIFS($F$2:F277,1,$G$2:G277,"轿车",$D$2:D277,D277)-1)</f>
        <v/>
      </c>
      <c r="P277" s="62" t="str">
        <f>IF(OR(D277="",NOT(AND(F277=1,G277="MPV"))),"",1+SUMPRODUCT(($F$2:$F$1001=1)*($G$2:$G$1001="MPV")*($D$2:$D$1001&gt;D277))+COUNTIFS($F$2:F277,1,$G$2:G277,"MPV",$D$2:D277,D277)-1)</f>
        <v/>
      </c>
      <c r="Q277" s="62">
        <f>IF(OR(D277="",NOT(AND(F277=1,G277="SUV"))),"",1+SUMPRODUCT(($F$2:$F$1001=1)*($G$2:$G$1001="SUV")*($D$2:$D$1001&gt;D277))+COUNTIFS($F$2:F277,1,$G$2:G277,"SUV",$D$2:D277,D277)-1)</f>
        <v>10</v>
      </c>
    </row>
    <row r="278" spans="1:17">
      <c r="A278" s="62" t="str">
        <f>IFERROR(INDEX($H$2:$H$3000,MATCH(0,INDEX(COUNTIF($A$1:A277,$H$2:$H$3000)+($H$2:$H$3000=""),0,0),0)),"")</f>
        <v>ORA♦07</v>
      </c>
      <c r="B278" s="62" t="str">
        <f t="shared" si="16"/>
        <v>ORA</v>
      </c>
      <c r="C278" s="62" t="str">
        <f t="shared" si="17"/>
        <v>07</v>
      </c>
      <c r="D278" s="63">
        <f t="shared" si="18"/>
        <v>0</v>
      </c>
      <c r="E278" s="62">
        <f>IF(D278="","",_xlfn.RANK.EQ(D278,$D$2:$D$1001,0)+COUNTIF($D$2:D278,D278)-1)</f>
        <v>356</v>
      </c>
      <c r="F278" s="62">
        <f>IF(B278="","",--(COUNTIF(CN_Brands!$A$2:$A$300,UPPER(B278))&gt;0))</f>
        <v>1</v>
      </c>
      <c r="G278" s="62" t="str">
        <f t="shared" si="19"/>
        <v>轿车</v>
      </c>
      <c r="H278" s="62" t="str">
        <f>IF(AND('Data Export'!A278=前十整体车型排名!$B$2,'Data Export'!B278=前十整体车型排名!$B$3,'Data Export'!D278&lt;&gt;""),UPPER('Data Export'!C278)&amp;"♦"&amp;'Data Export'!D278,"")</f>
        <v>HAVAL♦H6</v>
      </c>
      <c r="I278" s="63">
        <f>IF(H278="","",IFERROR(INDEX('Data Export'!G278:CZ278,1,MATCH(前十整体车型排名!$B$4,'Data Export'!$G$1:$CZ$1,0)),0))</f>
        <v>0</v>
      </c>
      <c r="J278" s="62" t="str">
        <f>IF(H278="","",IF(OR('Data Export'!F278="三厢轿车",'Data Export'!F278="掀背轿车",'Data Export'!F278="旅行车",'Data Export'!F278="微型车",'Data Export'!F278="硬顶跑车",'Data Export'!F278="敞蓬车",'Data Export'!F278="Targa"),"轿车",IF(OR('Data Export'!F278="小型MPV",'Data Export'!F278="客车"),"MPV",IF('Data Export'!F278="运动型多功能车","SUV","其他"))))</f>
        <v>SUV</v>
      </c>
      <c r="K278" s="62">
        <f>IF(OR(D278="",NOT(F278=1)),"",1+SUMPRODUCT(($F$2:$F$1001=1)*($D$2:$D$1001&gt;D278))+COUNTIFS($F$2:F278,1,$D$2:D278,D278)-1)</f>
        <v>74</v>
      </c>
      <c r="L278" s="62">
        <f>IF(OR(D278="",NOT(G278="轿车")),"",1+SUMPRODUCT(($G$2:$G$1001="轿车")*($D$2:$D$1001&gt;D278))+COUNTIFS($G$2:G278,"轿车",$D$2:D278,D278)-1)</f>
        <v>127</v>
      </c>
      <c r="M278" s="62" t="str">
        <f>IF(OR(D278="",NOT(G278="MPV")),"",1+SUMPRODUCT(($G$2:$G$1001="MPV")*($D$2:$D$1001&gt;D278))+COUNTIFS($G$2:G278,"MPV",$D$2:D278,D278)-1)</f>
        <v/>
      </c>
      <c r="N278" s="62" t="str">
        <f>IF(OR(D278="",NOT(G278="SUV")),"",1+SUMPRODUCT(($G$2:$G$1001="SUV")*($D$2:$D$1001&gt;D278))+COUNTIFS($G$2:G278,"SUV",$D$2:D278,D278)-1)</f>
        <v/>
      </c>
      <c r="O278" s="62">
        <f>IF(OR(D278="",NOT(AND(F278=1,G278="轿车"))),"",1+SUMPRODUCT(($F$2:$F$1001=1)*($G$2:$G$1001="轿车")*($D$2:$D$1001&gt;D278))+COUNTIFS($F$2:F278,1,$G$2:G278,"轿车",$D$2:D278,D278)-1)</f>
        <v>22</v>
      </c>
      <c r="P278" s="62" t="str">
        <f>IF(OR(D278="",NOT(AND(F278=1,G278="MPV"))),"",1+SUMPRODUCT(($F$2:$F$1001=1)*($G$2:$G$1001="MPV")*($D$2:$D$1001&gt;D278))+COUNTIFS($F$2:F278,1,$G$2:G278,"MPV",$D$2:D278,D278)-1)</f>
        <v/>
      </c>
      <c r="Q278" s="62" t="str">
        <f>IF(OR(D278="",NOT(AND(F278=1,G278="SUV"))),"",1+SUMPRODUCT(($F$2:$F$1001=1)*($G$2:$G$1001="SUV")*($D$2:$D$1001&gt;D278))+COUNTIFS($F$2:F278,1,$G$2:G278,"SUV",$D$2:D278,D278)-1)</f>
        <v/>
      </c>
    </row>
    <row r="279" spans="1:17">
      <c r="A279" s="62" t="str">
        <f>IFERROR(INDEX($H$2:$H$3000,MATCH(0,INDEX(COUNTIF($A$1:A278,$H$2:$H$3000)+($H$2:$H$3000=""),0,0),0)),"")</f>
        <v>ORA♦GOOD CAT</v>
      </c>
      <c r="B279" s="62" t="str">
        <f t="shared" si="16"/>
        <v>ORA</v>
      </c>
      <c r="C279" s="62" t="str">
        <f t="shared" si="17"/>
        <v>GOOD CAT</v>
      </c>
      <c r="D279" s="63">
        <f t="shared" si="18"/>
        <v>0</v>
      </c>
      <c r="E279" s="62">
        <f>IF(D279="","",_xlfn.RANK.EQ(D279,$D$2:$D$1001,0)+COUNTIF($D$2:D279,D279)-1)</f>
        <v>357</v>
      </c>
      <c r="F279" s="62">
        <f>IF(B279="","",--(COUNTIF(CN_Brands!$A$2:$A$300,UPPER(B279))&gt;0))</f>
        <v>1</v>
      </c>
      <c r="G279" s="62" t="str">
        <f t="shared" si="19"/>
        <v>轿车</v>
      </c>
      <c r="H279" s="62" t="str">
        <f>IF(AND('Data Export'!A279=前十整体车型排名!$B$2,'Data Export'!B279=前十整体车型排名!$B$3,'Data Export'!D279&lt;&gt;""),UPPER('Data Export'!C279)&amp;"♦"&amp;'Data Export'!D279,"")</f>
        <v>HAVAL♦H6</v>
      </c>
      <c r="I279" s="63">
        <f>IF(H279="","",IFERROR(INDEX('Data Export'!G279:CZ279,1,MATCH(前十整体车型排名!$B$4,'Data Export'!$G$1:$CZ$1,0)),0))</f>
        <v>14</v>
      </c>
      <c r="J279" s="62" t="str">
        <f>IF(H279="","",IF(OR('Data Export'!F279="三厢轿车",'Data Export'!F279="掀背轿车",'Data Export'!F279="旅行车",'Data Export'!F279="微型车",'Data Export'!F279="硬顶跑车",'Data Export'!F279="敞蓬车",'Data Export'!F279="Targa"),"轿车",IF(OR('Data Export'!F279="小型MPV",'Data Export'!F279="客车"),"MPV",IF('Data Export'!F279="运动型多功能车","SUV","其他"))))</f>
        <v>SUV</v>
      </c>
      <c r="K279" s="62">
        <f>IF(OR(D279="",NOT(F279=1)),"",1+SUMPRODUCT(($F$2:$F$1001=1)*($D$2:$D$1001&gt;D279))+COUNTIFS($F$2:F279,1,$D$2:D279,D279)-1)</f>
        <v>75</v>
      </c>
      <c r="L279" s="62">
        <f>IF(OR(D279="",NOT(G279="轿车")),"",1+SUMPRODUCT(($G$2:$G$1001="轿车")*($D$2:$D$1001&gt;D279))+COUNTIFS($G$2:G279,"轿车",$D$2:D279,D279)-1)</f>
        <v>128</v>
      </c>
      <c r="M279" s="62" t="str">
        <f>IF(OR(D279="",NOT(G279="MPV")),"",1+SUMPRODUCT(($G$2:$G$1001="MPV")*($D$2:$D$1001&gt;D279))+COUNTIFS($G$2:G279,"MPV",$D$2:D279,D279)-1)</f>
        <v/>
      </c>
      <c r="N279" s="62" t="str">
        <f>IF(OR(D279="",NOT(G279="SUV")),"",1+SUMPRODUCT(($G$2:$G$1001="SUV")*($D$2:$D$1001&gt;D279))+COUNTIFS($G$2:G279,"SUV",$D$2:D279,D279)-1)</f>
        <v/>
      </c>
      <c r="O279" s="62">
        <f>IF(OR(D279="",NOT(AND(F279=1,G279="轿车"))),"",1+SUMPRODUCT(($F$2:$F$1001=1)*($G$2:$G$1001="轿车")*($D$2:$D$1001&gt;D279))+COUNTIFS($F$2:F279,1,$G$2:G279,"轿车",$D$2:D279,D279)-1)</f>
        <v>23</v>
      </c>
      <c r="P279" s="62" t="str">
        <f>IF(OR(D279="",NOT(AND(F279=1,G279="MPV"))),"",1+SUMPRODUCT(($F$2:$F$1001=1)*($G$2:$G$1001="MPV")*($D$2:$D$1001&gt;D279))+COUNTIFS($F$2:F279,1,$G$2:G279,"MPV",$D$2:D279,D279)-1)</f>
        <v/>
      </c>
      <c r="Q279" s="62" t="str">
        <f>IF(OR(D279="",NOT(AND(F279=1,G279="SUV"))),"",1+SUMPRODUCT(($F$2:$F$1001=1)*($G$2:$G$1001="SUV")*($D$2:$D$1001&gt;D279))+COUNTIFS($F$2:F279,1,$G$2:G279,"SUV",$D$2:D279,D279)-1)</f>
        <v/>
      </c>
    </row>
    <row r="280" spans="1:17">
      <c r="A280" s="62" t="str">
        <f>IFERROR(INDEX($H$2:$H$3000,MATCH(0,INDEX(COUNTIF($A$1:A279,$H$2:$H$3000)+($H$2:$H$3000=""),0,0),0)),"")</f>
        <v>OTHER♦OTHER</v>
      </c>
      <c r="B280" s="62" t="str">
        <f t="shared" si="16"/>
        <v>OTHER</v>
      </c>
      <c r="C280" s="62" t="str">
        <f t="shared" si="17"/>
        <v>OTHER</v>
      </c>
      <c r="D280" s="63">
        <f t="shared" si="18"/>
        <v>0</v>
      </c>
      <c r="E280" s="62">
        <f>IF(D280="","",_xlfn.RANK.EQ(D280,$D$2:$D$1001,0)+COUNTIF($D$2:D280,D280)-1)</f>
        <v>358</v>
      </c>
      <c r="F280" s="62">
        <f>IF(B280="","",--(COUNTIF(CN_Brands!$A$2:$A$300,UPPER(B280))&gt;0))</f>
        <v>0</v>
      </c>
      <c r="G280" s="62" t="str">
        <f t="shared" si="19"/>
        <v>其他</v>
      </c>
      <c r="H280" s="62" t="str">
        <f>IF(AND('Data Export'!A280=前十整体车型排名!$B$2,'Data Export'!B280=前十整体车型排名!$B$3,'Data Export'!D280&lt;&gt;""),UPPER('Data Export'!C280)&amp;"♦"&amp;'Data Export'!D280,"")</f>
        <v>HAVAL♦H6</v>
      </c>
      <c r="I280" s="63">
        <f>IF(H280="","",IFERROR(INDEX('Data Export'!G280:CZ280,1,MATCH(前十整体车型排名!$B$4,'Data Export'!$G$1:$CZ$1,0)),0))</f>
        <v>9</v>
      </c>
      <c r="J280" s="62" t="str">
        <f>IF(H280="","",IF(OR('Data Export'!F280="三厢轿车",'Data Export'!F280="掀背轿车",'Data Export'!F280="旅行车",'Data Export'!F280="微型车",'Data Export'!F280="硬顶跑车",'Data Export'!F280="敞蓬车",'Data Export'!F280="Targa"),"轿车",IF(OR('Data Export'!F280="小型MPV",'Data Export'!F280="客车"),"MPV",IF('Data Export'!F280="运动型多功能车","SUV","其他"))))</f>
        <v>SUV</v>
      </c>
      <c r="K280" s="62" t="str">
        <f>IF(OR(D280="",NOT(F280=1)),"",1+SUMPRODUCT(($F$2:$F$1001=1)*($D$2:$D$1001&gt;D280))+COUNTIFS($F$2:F280,1,$D$2:D280,D280)-1)</f>
        <v/>
      </c>
      <c r="L280" s="62" t="str">
        <f>IF(OR(D280="",NOT(G280="轿车")),"",1+SUMPRODUCT(($G$2:$G$1001="轿车")*($D$2:$D$1001&gt;D280))+COUNTIFS($G$2:G280,"轿车",$D$2:D280,D280)-1)</f>
        <v/>
      </c>
      <c r="M280" s="62" t="str">
        <f>IF(OR(D280="",NOT(G280="MPV")),"",1+SUMPRODUCT(($G$2:$G$1001="MPV")*($D$2:$D$1001&gt;D280))+COUNTIFS($G$2:G280,"MPV",$D$2:D280,D280)-1)</f>
        <v/>
      </c>
      <c r="N280" s="62" t="str">
        <f>IF(OR(D280="",NOT(G280="SUV")),"",1+SUMPRODUCT(($G$2:$G$1001="SUV")*($D$2:$D$1001&gt;D280))+COUNTIFS($G$2:G280,"SUV",$D$2:D280,D280)-1)</f>
        <v/>
      </c>
      <c r="O280" s="62" t="str">
        <f>IF(OR(D280="",NOT(AND(F280=1,G280="轿车"))),"",1+SUMPRODUCT(($F$2:$F$1001=1)*($G$2:$G$1001="轿车")*($D$2:$D$1001&gt;D280))+COUNTIFS($F$2:F280,1,$G$2:G280,"轿车",$D$2:D280,D280)-1)</f>
        <v/>
      </c>
      <c r="P280" s="62" t="str">
        <f>IF(OR(D280="",NOT(AND(F280=1,G280="MPV"))),"",1+SUMPRODUCT(($F$2:$F$1001=1)*($G$2:$G$1001="MPV")*($D$2:$D$1001&gt;D280))+COUNTIFS($F$2:F280,1,$G$2:G280,"MPV",$D$2:D280,D280)-1)</f>
        <v/>
      </c>
      <c r="Q280" s="62" t="str">
        <f>IF(OR(D280="",NOT(AND(F280=1,G280="SUV"))),"",1+SUMPRODUCT(($F$2:$F$1001=1)*($G$2:$G$1001="SUV")*($D$2:$D$1001&gt;D280))+COUNTIFS($F$2:F280,1,$G$2:G280,"SUV",$D$2:D280,D280)-1)</f>
        <v/>
      </c>
    </row>
    <row r="281" spans="1:17">
      <c r="A281" s="62" t="str">
        <f>IFERROR(INDEX($H$2:$H$3000,MATCH(0,INDEX(COUNTIF($A$1:A280,$H$2:$H$3000)+($H$2:$H$3000=""),0,0),0)),"")</f>
        <v>PEUGEOT♦2008</v>
      </c>
      <c r="B281" s="62" t="str">
        <f t="shared" si="16"/>
        <v>PEUGEOT</v>
      </c>
      <c r="C281" s="62" t="str">
        <f t="shared" si="17"/>
        <v>2008</v>
      </c>
      <c r="D281" s="63">
        <f t="shared" si="18"/>
        <v>5</v>
      </c>
      <c r="E281" s="62">
        <f>IF(D281="","",_xlfn.RANK.EQ(D281,$D$2:$D$1001,0)+COUNTIF($D$2:D281,D281)-1)</f>
        <v>173</v>
      </c>
      <c r="F281" s="62">
        <f>IF(B281="","",--(COUNTIF(CN_Brands!$A$2:$A$300,UPPER(B281))&gt;0))</f>
        <v>0</v>
      </c>
      <c r="G281" s="62" t="str">
        <f t="shared" si="19"/>
        <v>SUV</v>
      </c>
      <c r="H281" s="62" t="str">
        <f>IF(AND('Data Export'!A281=前十整体车型排名!$B$2,'Data Export'!B281=前十整体车型排名!$B$3,'Data Export'!D281&lt;&gt;""),UPPER('Data Export'!C281)&amp;"♦"&amp;'Data Export'!D281,"")</f>
        <v>HAVAL♦H6</v>
      </c>
      <c r="I281" s="63">
        <f>IF(H281="","",IFERROR(INDEX('Data Export'!G281:CZ281,1,MATCH(前十整体车型排名!$B$4,'Data Export'!$G$1:$CZ$1,0)),0))</f>
        <v>107</v>
      </c>
      <c r="J281" s="62" t="str">
        <f>IF(H281="","",IF(OR('Data Export'!F281="三厢轿车",'Data Export'!F281="掀背轿车",'Data Export'!F281="旅行车",'Data Export'!F281="微型车",'Data Export'!F281="硬顶跑车",'Data Export'!F281="敞蓬车",'Data Export'!F281="Targa"),"轿车",IF(OR('Data Export'!F281="小型MPV",'Data Export'!F281="客车"),"MPV",IF('Data Export'!F281="运动型多功能车","SUV","其他"))))</f>
        <v>SUV</v>
      </c>
      <c r="K281" s="62" t="str">
        <f>IF(OR(D281="",NOT(F281=1)),"",1+SUMPRODUCT(($F$2:$F$1001=1)*($D$2:$D$1001&gt;D281))+COUNTIFS($F$2:F281,1,$D$2:D281,D281)-1)</f>
        <v/>
      </c>
      <c r="L281" s="62" t="str">
        <f>IF(OR(D281="",NOT(G281="轿车")),"",1+SUMPRODUCT(($G$2:$G$1001="轿车")*($D$2:$D$1001&gt;D281))+COUNTIFS($G$2:G281,"轿车",$D$2:D281,D281)-1)</f>
        <v/>
      </c>
      <c r="M281" s="62" t="str">
        <f>IF(OR(D281="",NOT(G281="MPV")),"",1+SUMPRODUCT(($G$2:$G$1001="MPV")*($D$2:$D$1001&gt;D281))+COUNTIFS($G$2:G281,"MPV",$D$2:D281,D281)-1)</f>
        <v/>
      </c>
      <c r="N281" s="62">
        <f>IF(OR(D281="",NOT(G281="SUV")),"",1+SUMPRODUCT(($G$2:$G$1001="SUV")*($D$2:$D$1001&gt;D281))+COUNTIFS($G$2:G281,"SUV",$D$2:D281,D281)-1)</f>
        <v>97</v>
      </c>
      <c r="O281" s="62" t="str">
        <f>IF(OR(D281="",NOT(AND(F281=1,G281="轿车"))),"",1+SUMPRODUCT(($F$2:$F$1001=1)*($G$2:$G$1001="轿车")*($D$2:$D$1001&gt;D281))+COUNTIFS($F$2:F281,1,$G$2:G281,"轿车",$D$2:D281,D281)-1)</f>
        <v/>
      </c>
      <c r="P281" s="62" t="str">
        <f>IF(OR(D281="",NOT(AND(F281=1,G281="MPV"))),"",1+SUMPRODUCT(($F$2:$F$1001=1)*($G$2:$G$1001="MPV")*($D$2:$D$1001&gt;D281))+COUNTIFS($F$2:F281,1,$G$2:G281,"MPV",$D$2:D281,D281)-1)</f>
        <v/>
      </c>
      <c r="Q281" s="62" t="str">
        <f>IF(OR(D281="",NOT(AND(F281=1,G281="SUV"))),"",1+SUMPRODUCT(($F$2:$F$1001=1)*($G$2:$G$1001="SUV")*($D$2:$D$1001&gt;D281))+COUNTIFS($F$2:F281,1,$G$2:G281,"SUV",$D$2:D281,D281)-1)</f>
        <v/>
      </c>
    </row>
    <row r="282" spans="1:17">
      <c r="A282" s="62" t="str">
        <f>IFERROR(INDEX($H$2:$H$3000,MATCH(0,INDEX(COUNTIF($A$1:A281,$H$2:$H$3000)+($H$2:$H$3000=""),0,0),0)),"")</f>
        <v>PEUGEOT♦3008</v>
      </c>
      <c r="B282" s="62" t="str">
        <f t="shared" si="16"/>
        <v>PEUGEOT</v>
      </c>
      <c r="C282" s="62" t="str">
        <f t="shared" si="17"/>
        <v>3008</v>
      </c>
      <c r="D282" s="63">
        <f t="shared" si="18"/>
        <v>5</v>
      </c>
      <c r="E282" s="62">
        <f>IF(D282="","",_xlfn.RANK.EQ(D282,$D$2:$D$1001,0)+COUNTIF($D$2:D282,D282)-1)</f>
        <v>174</v>
      </c>
      <c r="F282" s="62">
        <f>IF(B282="","",--(COUNTIF(CN_Brands!$A$2:$A$300,UPPER(B282))&gt;0))</f>
        <v>0</v>
      </c>
      <c r="G282" s="62" t="str">
        <f t="shared" si="19"/>
        <v>SUV</v>
      </c>
      <c r="H282" s="62" t="str">
        <f>IF(AND('Data Export'!A282=前十整体车型排名!$B$2,'Data Export'!B282=前十整体车型排名!$B$3,'Data Export'!D282&lt;&gt;""),UPPER('Data Export'!C282)&amp;"♦"&amp;'Data Export'!D282,"")</f>
        <v>HAVAL♦JOLION</v>
      </c>
      <c r="I282" s="63">
        <f>IF(H282="","",IFERROR(INDEX('Data Export'!G282:CZ282,1,MATCH(前十整体车型排名!$B$4,'Data Export'!$G$1:$CZ$1,0)),0))</f>
        <v>7</v>
      </c>
      <c r="J282" s="62" t="str">
        <f>IF(H282="","",IF(OR('Data Export'!F282="三厢轿车",'Data Export'!F282="掀背轿车",'Data Export'!F282="旅行车",'Data Export'!F282="微型车",'Data Export'!F282="硬顶跑车",'Data Export'!F282="敞蓬车",'Data Export'!F282="Targa"),"轿车",IF(OR('Data Export'!F282="小型MPV",'Data Export'!F282="客车"),"MPV",IF('Data Export'!F282="运动型多功能车","SUV","其他"))))</f>
        <v>SUV</v>
      </c>
      <c r="K282" s="62" t="str">
        <f>IF(OR(D282="",NOT(F282=1)),"",1+SUMPRODUCT(($F$2:$F$1001=1)*($D$2:$D$1001&gt;D282))+COUNTIFS($F$2:F282,1,$D$2:D282,D282)-1)</f>
        <v/>
      </c>
      <c r="L282" s="62" t="str">
        <f>IF(OR(D282="",NOT(G282="轿车")),"",1+SUMPRODUCT(($G$2:$G$1001="轿车")*($D$2:$D$1001&gt;D282))+COUNTIFS($G$2:G282,"轿车",$D$2:D282,D282)-1)</f>
        <v/>
      </c>
      <c r="M282" s="62" t="str">
        <f>IF(OR(D282="",NOT(G282="MPV")),"",1+SUMPRODUCT(($G$2:$G$1001="MPV")*($D$2:$D$1001&gt;D282))+COUNTIFS($G$2:G282,"MPV",$D$2:D282,D282)-1)</f>
        <v/>
      </c>
      <c r="N282" s="62">
        <f>IF(OR(D282="",NOT(G282="SUV")),"",1+SUMPRODUCT(($G$2:$G$1001="SUV")*($D$2:$D$1001&gt;D282))+COUNTIFS($G$2:G282,"SUV",$D$2:D282,D282)-1)</f>
        <v>98</v>
      </c>
      <c r="O282" s="62" t="str">
        <f>IF(OR(D282="",NOT(AND(F282=1,G282="轿车"))),"",1+SUMPRODUCT(($F$2:$F$1001=1)*($G$2:$G$1001="轿车")*($D$2:$D$1001&gt;D282))+COUNTIFS($F$2:F282,1,$G$2:G282,"轿车",$D$2:D282,D282)-1)</f>
        <v/>
      </c>
      <c r="P282" s="62" t="str">
        <f>IF(OR(D282="",NOT(AND(F282=1,G282="MPV"))),"",1+SUMPRODUCT(($F$2:$F$1001=1)*($G$2:$G$1001="MPV")*($D$2:$D$1001&gt;D282))+COUNTIFS($F$2:F282,1,$G$2:G282,"MPV",$D$2:D282,D282)-1)</f>
        <v/>
      </c>
      <c r="Q282" s="62" t="str">
        <f>IF(OR(D282="",NOT(AND(F282=1,G282="SUV"))),"",1+SUMPRODUCT(($F$2:$F$1001=1)*($G$2:$G$1001="SUV")*($D$2:$D$1001&gt;D282))+COUNTIFS($F$2:F282,1,$G$2:G282,"SUV",$D$2:D282,D282)-1)</f>
        <v/>
      </c>
    </row>
    <row r="283" spans="1:17">
      <c r="A283" s="62" t="str">
        <f>IFERROR(INDEX($H$2:$H$3000,MATCH(0,INDEX(COUNTIF($A$1:A282,$H$2:$H$3000)+($H$2:$H$3000=""),0,0),0)),"")</f>
        <v>PEUGEOT♦408</v>
      </c>
      <c r="B283" s="62" t="str">
        <f t="shared" si="16"/>
        <v>PEUGEOT</v>
      </c>
      <c r="C283" s="62" t="str">
        <f t="shared" si="17"/>
        <v>408</v>
      </c>
      <c r="D283" s="63">
        <f t="shared" si="18"/>
        <v>0</v>
      </c>
      <c r="E283" s="62">
        <f>IF(D283="","",_xlfn.RANK.EQ(D283,$D$2:$D$1001,0)+COUNTIF($D$2:D283,D283)-1)</f>
        <v>359</v>
      </c>
      <c r="F283" s="62">
        <f>IF(B283="","",--(COUNTIF(CN_Brands!$A$2:$A$300,UPPER(B283))&gt;0))</f>
        <v>0</v>
      </c>
      <c r="G283" s="62" t="str">
        <f t="shared" si="19"/>
        <v>轿车</v>
      </c>
      <c r="H283" s="62" t="str">
        <f>IF(AND('Data Export'!A283=前十整体车型排名!$B$2,'Data Export'!B283=前十整体车型排名!$B$3,'Data Export'!D283&lt;&gt;""),UPPER('Data Export'!C283)&amp;"♦"&amp;'Data Export'!D283,"")</f>
        <v>HAVAL♦JOLION</v>
      </c>
      <c r="I283" s="63">
        <f>IF(H283="","",IFERROR(INDEX('Data Export'!G283:CZ283,1,MATCH(前十整体车型排名!$B$4,'Data Export'!$G$1:$CZ$1,0)),0))</f>
        <v>0</v>
      </c>
      <c r="J283" s="62" t="str">
        <f>IF(H283="","",IF(OR('Data Export'!F283="三厢轿车",'Data Export'!F283="掀背轿车",'Data Export'!F283="旅行车",'Data Export'!F283="微型车",'Data Export'!F283="硬顶跑车",'Data Export'!F283="敞蓬车",'Data Export'!F283="Targa"),"轿车",IF(OR('Data Export'!F283="小型MPV",'Data Export'!F283="客车"),"MPV",IF('Data Export'!F283="运动型多功能车","SUV","其他"))))</f>
        <v>SUV</v>
      </c>
      <c r="K283" s="62" t="str">
        <f>IF(OR(D283="",NOT(F283=1)),"",1+SUMPRODUCT(($F$2:$F$1001=1)*($D$2:$D$1001&gt;D283))+COUNTIFS($F$2:F283,1,$D$2:D283,D283)-1)</f>
        <v/>
      </c>
      <c r="L283" s="62">
        <f>IF(OR(D283="",NOT(G283="轿车")),"",1+SUMPRODUCT(($G$2:$G$1001="轿车")*($D$2:$D$1001&gt;D283))+COUNTIFS($G$2:G283,"轿车",$D$2:D283,D283)-1)</f>
        <v>129</v>
      </c>
      <c r="M283" s="62" t="str">
        <f>IF(OR(D283="",NOT(G283="MPV")),"",1+SUMPRODUCT(($G$2:$G$1001="MPV")*($D$2:$D$1001&gt;D283))+COUNTIFS($G$2:G283,"MPV",$D$2:D283,D283)-1)</f>
        <v/>
      </c>
      <c r="N283" s="62" t="str">
        <f>IF(OR(D283="",NOT(G283="SUV")),"",1+SUMPRODUCT(($G$2:$G$1001="SUV")*($D$2:$D$1001&gt;D283))+COUNTIFS($G$2:G283,"SUV",$D$2:D283,D283)-1)</f>
        <v/>
      </c>
      <c r="O283" s="62" t="str">
        <f>IF(OR(D283="",NOT(AND(F283=1,G283="轿车"))),"",1+SUMPRODUCT(($F$2:$F$1001=1)*($G$2:$G$1001="轿车")*($D$2:$D$1001&gt;D283))+COUNTIFS($F$2:F283,1,$G$2:G283,"轿车",$D$2:D283,D283)-1)</f>
        <v/>
      </c>
      <c r="P283" s="62" t="str">
        <f>IF(OR(D283="",NOT(AND(F283=1,G283="MPV"))),"",1+SUMPRODUCT(($F$2:$F$1001=1)*($G$2:$G$1001="MPV")*($D$2:$D$1001&gt;D283))+COUNTIFS($F$2:F283,1,$G$2:G283,"MPV",$D$2:D283,D283)-1)</f>
        <v/>
      </c>
      <c r="Q283" s="62" t="str">
        <f>IF(OR(D283="",NOT(AND(F283=1,G283="SUV"))),"",1+SUMPRODUCT(($F$2:$F$1001=1)*($G$2:$G$1001="SUV")*($D$2:$D$1001&gt;D283))+COUNTIFS($F$2:F283,1,$G$2:G283,"SUV",$D$2:D283,D283)-1)</f>
        <v/>
      </c>
    </row>
    <row r="284" spans="1:17">
      <c r="A284" s="62" t="str">
        <f>IFERROR(INDEX($H$2:$H$3000,MATCH(0,INDEX(COUNTIF($A$1:A283,$H$2:$H$3000)+($H$2:$H$3000=""),0,0),0)),"")</f>
        <v>PEUGEOT♦5008</v>
      </c>
      <c r="B284" s="62" t="str">
        <f t="shared" si="16"/>
        <v>PEUGEOT</v>
      </c>
      <c r="C284" s="62" t="str">
        <f t="shared" si="17"/>
        <v>5008</v>
      </c>
      <c r="D284" s="63">
        <f t="shared" si="18"/>
        <v>1</v>
      </c>
      <c r="E284" s="62">
        <f>IF(D284="","",_xlfn.RANK.EQ(D284,$D$2:$D$1001,0)+COUNTIF($D$2:D284,D284)-1)</f>
        <v>247</v>
      </c>
      <c r="F284" s="62">
        <f>IF(B284="","",--(COUNTIF(CN_Brands!$A$2:$A$300,UPPER(B284))&gt;0))</f>
        <v>0</v>
      </c>
      <c r="G284" s="62" t="str">
        <f t="shared" si="19"/>
        <v>SUV</v>
      </c>
      <c r="H284" s="62" t="str">
        <f>IF(AND('Data Export'!A284=前十整体车型排名!$B$2,'Data Export'!B284=前十整体车型排名!$B$3,'Data Export'!D284&lt;&gt;""),UPPER('Data Export'!C284)&amp;"♦"&amp;'Data Export'!D284,"")</f>
        <v>HONDA♦ACCORD</v>
      </c>
      <c r="I284" s="63">
        <f>IF(H284="","",IFERROR(INDEX('Data Export'!G284:CZ284,1,MATCH(前十整体车型排名!$B$4,'Data Export'!$G$1:$CZ$1,0)),0))</f>
        <v>143</v>
      </c>
      <c r="J284" s="62" t="str">
        <f>IF(H284="","",IF(OR('Data Export'!F284="三厢轿车",'Data Export'!F284="掀背轿车",'Data Export'!F284="旅行车",'Data Export'!F284="微型车",'Data Export'!F284="硬顶跑车",'Data Export'!F284="敞蓬车",'Data Export'!F284="Targa"),"轿车",IF(OR('Data Export'!F284="小型MPV",'Data Export'!F284="客车"),"MPV",IF('Data Export'!F284="运动型多功能车","SUV","其他"))))</f>
        <v>轿车</v>
      </c>
      <c r="K284" s="62" t="str">
        <f>IF(OR(D284="",NOT(F284=1)),"",1+SUMPRODUCT(($F$2:$F$1001=1)*($D$2:$D$1001&gt;D284))+COUNTIFS($F$2:F284,1,$D$2:D284,D284)-1)</f>
        <v/>
      </c>
      <c r="L284" s="62" t="str">
        <f>IF(OR(D284="",NOT(G284="轿车")),"",1+SUMPRODUCT(($G$2:$G$1001="轿车")*($D$2:$D$1001&gt;D284))+COUNTIFS($G$2:G284,"轿车",$D$2:D284,D284)-1)</f>
        <v/>
      </c>
      <c r="M284" s="62" t="str">
        <f>IF(OR(D284="",NOT(G284="MPV")),"",1+SUMPRODUCT(($G$2:$G$1001="MPV")*($D$2:$D$1001&gt;D284))+COUNTIFS($G$2:G284,"MPV",$D$2:D284,D284)-1)</f>
        <v/>
      </c>
      <c r="N284" s="62">
        <f>IF(OR(D284="",NOT(G284="SUV")),"",1+SUMPRODUCT(($G$2:$G$1001="SUV")*($D$2:$D$1001&gt;D284))+COUNTIFS($G$2:G284,"SUV",$D$2:D284,D284)-1)</f>
        <v>123</v>
      </c>
      <c r="O284" s="62" t="str">
        <f>IF(OR(D284="",NOT(AND(F284=1,G284="轿车"))),"",1+SUMPRODUCT(($F$2:$F$1001=1)*($G$2:$G$1001="轿车")*($D$2:$D$1001&gt;D284))+COUNTIFS($F$2:F284,1,$G$2:G284,"轿车",$D$2:D284,D284)-1)</f>
        <v/>
      </c>
      <c r="P284" s="62" t="str">
        <f>IF(OR(D284="",NOT(AND(F284=1,G284="MPV"))),"",1+SUMPRODUCT(($F$2:$F$1001=1)*($G$2:$G$1001="MPV")*($D$2:$D$1001&gt;D284))+COUNTIFS($F$2:F284,1,$G$2:G284,"MPV",$D$2:D284,D284)-1)</f>
        <v/>
      </c>
      <c r="Q284" s="62" t="str">
        <f>IF(OR(D284="",NOT(AND(F284=1,G284="SUV"))),"",1+SUMPRODUCT(($F$2:$F$1001=1)*($G$2:$G$1001="SUV")*($D$2:$D$1001&gt;D284))+COUNTIFS($F$2:F284,1,$G$2:G284,"SUV",$D$2:D284,D284)-1)</f>
        <v/>
      </c>
    </row>
    <row r="285" spans="1:17">
      <c r="A285" s="62" t="str">
        <f>IFERROR(INDEX($H$2:$H$3000,MATCH(0,INDEX(COUNTIF($A$1:A284,$H$2:$H$3000)+($H$2:$H$3000=""),0,0),0)),"")</f>
        <v>POCCO♦DUODUO</v>
      </c>
      <c r="B285" s="62" t="str">
        <f t="shared" si="16"/>
        <v>POCCO</v>
      </c>
      <c r="C285" s="62" t="str">
        <f t="shared" si="17"/>
        <v>DUODUO</v>
      </c>
      <c r="D285" s="63">
        <f t="shared" si="18"/>
        <v>0</v>
      </c>
      <c r="E285" s="62">
        <f>IF(D285="","",_xlfn.RANK.EQ(D285,$D$2:$D$1001,0)+COUNTIF($D$2:D285,D285)-1)</f>
        <v>360</v>
      </c>
      <c r="F285" s="62">
        <f>IF(B285="","",--(COUNTIF(CN_Brands!$A$2:$A$300,UPPER(B285))&gt;0))</f>
        <v>0</v>
      </c>
      <c r="G285" s="62" t="str">
        <f t="shared" si="19"/>
        <v>其他</v>
      </c>
      <c r="H285" s="62" t="str">
        <f>IF(AND('Data Export'!A285=前十整体车型排名!$B$2,'Data Export'!B285=前十整体车型排名!$B$3,'Data Export'!D285&lt;&gt;""),UPPER('Data Export'!C285)&amp;"♦"&amp;'Data Export'!D285,"")</f>
        <v>HONDA♦AMAZE</v>
      </c>
      <c r="I285" s="63">
        <f>IF(H285="","",IFERROR(INDEX('Data Export'!G285:CZ285,1,MATCH(前十整体车型排名!$B$4,'Data Export'!$G$1:$CZ$1,0)),0))</f>
        <v>0</v>
      </c>
      <c r="J285" s="62" t="str">
        <f>IF(H285="","",IF(OR('Data Export'!F285="三厢轿车",'Data Export'!F285="掀背轿车",'Data Export'!F285="旅行车",'Data Export'!F285="微型车",'Data Export'!F285="硬顶跑车",'Data Export'!F285="敞蓬车",'Data Export'!F285="Targa"),"轿车",IF(OR('Data Export'!F285="小型MPV",'Data Export'!F285="客车"),"MPV",IF('Data Export'!F285="运动型多功能车","SUV","其他"))))</f>
        <v>其他</v>
      </c>
      <c r="K285" s="62" t="str">
        <f>IF(OR(D285="",NOT(F285=1)),"",1+SUMPRODUCT(($F$2:$F$1001=1)*($D$2:$D$1001&gt;D285))+COUNTIFS($F$2:F285,1,$D$2:D285,D285)-1)</f>
        <v/>
      </c>
      <c r="L285" s="62" t="str">
        <f>IF(OR(D285="",NOT(G285="轿车")),"",1+SUMPRODUCT(($G$2:$G$1001="轿车")*($D$2:$D$1001&gt;D285))+COUNTIFS($G$2:G285,"轿车",$D$2:D285,D285)-1)</f>
        <v/>
      </c>
      <c r="M285" s="62" t="str">
        <f>IF(OR(D285="",NOT(G285="MPV")),"",1+SUMPRODUCT(($G$2:$G$1001="MPV")*($D$2:$D$1001&gt;D285))+COUNTIFS($G$2:G285,"MPV",$D$2:D285,D285)-1)</f>
        <v/>
      </c>
      <c r="N285" s="62" t="str">
        <f>IF(OR(D285="",NOT(G285="SUV")),"",1+SUMPRODUCT(($G$2:$G$1001="SUV")*($D$2:$D$1001&gt;D285))+COUNTIFS($G$2:G285,"SUV",$D$2:D285,D285)-1)</f>
        <v/>
      </c>
      <c r="O285" s="62" t="str">
        <f>IF(OR(D285="",NOT(AND(F285=1,G285="轿车"))),"",1+SUMPRODUCT(($F$2:$F$1001=1)*($G$2:$G$1001="轿车")*($D$2:$D$1001&gt;D285))+COUNTIFS($F$2:F285,1,$G$2:G285,"轿车",$D$2:D285,D285)-1)</f>
        <v/>
      </c>
      <c r="P285" s="62" t="str">
        <f>IF(OR(D285="",NOT(AND(F285=1,G285="MPV"))),"",1+SUMPRODUCT(($F$2:$F$1001=1)*($G$2:$G$1001="MPV")*($D$2:$D$1001&gt;D285))+COUNTIFS($F$2:F285,1,$G$2:G285,"MPV",$D$2:D285,D285)-1)</f>
        <v/>
      </c>
      <c r="Q285" s="62" t="str">
        <f>IF(OR(D285="",NOT(AND(F285=1,G285="SUV"))),"",1+SUMPRODUCT(($F$2:$F$1001=1)*($G$2:$G$1001="SUV")*($D$2:$D$1001&gt;D285))+COUNTIFS($F$2:F285,1,$G$2:G285,"SUV",$D$2:D285,D285)-1)</f>
        <v/>
      </c>
    </row>
    <row r="286" spans="1:17">
      <c r="A286" s="62" t="str">
        <f>IFERROR(INDEX($H$2:$H$3000,MATCH(0,INDEX(COUNTIF($A$1:A285,$H$2:$H$3000)+($H$2:$H$3000=""),0,0),0)),"")</f>
        <v>POCCO♦MEIMEI</v>
      </c>
      <c r="B286" s="62" t="str">
        <f t="shared" si="16"/>
        <v>POCCO</v>
      </c>
      <c r="C286" s="62" t="str">
        <f t="shared" si="17"/>
        <v>MEIMEI</v>
      </c>
      <c r="D286" s="63">
        <f t="shared" si="18"/>
        <v>0</v>
      </c>
      <c r="E286" s="62">
        <f>IF(D286="","",_xlfn.RANK.EQ(D286,$D$2:$D$1001,0)+COUNTIF($D$2:D286,D286)-1)</f>
        <v>361</v>
      </c>
      <c r="F286" s="62">
        <f>IF(B286="","",--(COUNTIF(CN_Brands!$A$2:$A$300,UPPER(B286))&gt;0))</f>
        <v>0</v>
      </c>
      <c r="G286" s="62" t="str">
        <f t="shared" si="19"/>
        <v>其他</v>
      </c>
      <c r="H286" s="62" t="str">
        <f>IF(AND('Data Export'!A286=前十整体车型排名!$B$2,'Data Export'!B286=前十整体车型排名!$B$3,'Data Export'!D286&lt;&gt;""),UPPER('Data Export'!C286)&amp;"♦"&amp;'Data Export'!D286,"")</f>
        <v>HONDA♦BR-V</v>
      </c>
      <c r="I286" s="63">
        <f>IF(H286="","",IFERROR(INDEX('Data Export'!G286:CZ286,1,MATCH(前十整体车型排名!$B$4,'Data Export'!$G$1:$CZ$1,0)),0))</f>
        <v>0</v>
      </c>
      <c r="J286" s="62" t="str">
        <f>IF(H286="","",IF(OR('Data Export'!F286="三厢轿车",'Data Export'!F286="掀背轿车",'Data Export'!F286="旅行车",'Data Export'!F286="微型车",'Data Export'!F286="硬顶跑车",'Data Export'!F286="敞蓬车",'Data Export'!F286="Targa"),"轿车",IF(OR('Data Export'!F286="小型MPV",'Data Export'!F286="客车"),"MPV",IF('Data Export'!F286="运动型多功能车","SUV","其他"))))</f>
        <v>SUV</v>
      </c>
      <c r="K286" s="62" t="str">
        <f>IF(OR(D286="",NOT(F286=1)),"",1+SUMPRODUCT(($F$2:$F$1001=1)*($D$2:$D$1001&gt;D286))+COUNTIFS($F$2:F286,1,$D$2:D286,D286)-1)</f>
        <v/>
      </c>
      <c r="L286" s="62" t="str">
        <f>IF(OR(D286="",NOT(G286="轿车")),"",1+SUMPRODUCT(($G$2:$G$1001="轿车")*($D$2:$D$1001&gt;D286))+COUNTIFS($G$2:G286,"轿车",$D$2:D286,D286)-1)</f>
        <v/>
      </c>
      <c r="M286" s="62" t="str">
        <f>IF(OR(D286="",NOT(G286="MPV")),"",1+SUMPRODUCT(($G$2:$G$1001="MPV")*($D$2:$D$1001&gt;D286))+COUNTIFS($G$2:G286,"MPV",$D$2:D286,D286)-1)</f>
        <v/>
      </c>
      <c r="N286" s="62" t="str">
        <f>IF(OR(D286="",NOT(G286="SUV")),"",1+SUMPRODUCT(($G$2:$G$1001="SUV")*($D$2:$D$1001&gt;D286))+COUNTIFS($G$2:G286,"SUV",$D$2:D286,D286)-1)</f>
        <v/>
      </c>
      <c r="O286" s="62" t="str">
        <f>IF(OR(D286="",NOT(AND(F286=1,G286="轿车"))),"",1+SUMPRODUCT(($F$2:$F$1001=1)*($G$2:$G$1001="轿车")*($D$2:$D$1001&gt;D286))+COUNTIFS($F$2:F286,1,$G$2:G286,"轿车",$D$2:D286,D286)-1)</f>
        <v/>
      </c>
      <c r="P286" s="62" t="str">
        <f>IF(OR(D286="",NOT(AND(F286=1,G286="MPV"))),"",1+SUMPRODUCT(($F$2:$F$1001=1)*($G$2:$G$1001="MPV")*($D$2:$D$1001&gt;D286))+COUNTIFS($F$2:F286,1,$G$2:G286,"MPV",$D$2:D286,D286)-1)</f>
        <v/>
      </c>
      <c r="Q286" s="62" t="str">
        <f>IF(OR(D286="",NOT(AND(F286=1,G286="SUV"))),"",1+SUMPRODUCT(($F$2:$F$1001=1)*($G$2:$G$1001="SUV")*($D$2:$D$1001&gt;D286))+COUNTIFS($F$2:F286,1,$G$2:G286,"SUV",$D$2:D286,D286)-1)</f>
        <v/>
      </c>
    </row>
    <row r="287" spans="1:17">
      <c r="A287" s="62" t="str">
        <f>IFERROR(INDEX($H$2:$H$3000,MATCH(0,INDEX(COUNTIF($A$1:A286,$H$2:$H$3000)+($H$2:$H$3000=""),0,0),0)),"")</f>
        <v>PORSCHE♦718</v>
      </c>
      <c r="B287" s="62" t="str">
        <f t="shared" si="16"/>
        <v>PORSCHE</v>
      </c>
      <c r="C287" s="62" t="str">
        <f t="shared" si="17"/>
        <v>718</v>
      </c>
      <c r="D287" s="63">
        <f t="shared" si="18"/>
        <v>12</v>
      </c>
      <c r="E287" s="62">
        <f>IF(D287="","",_xlfn.RANK.EQ(D287,$D$2:$D$1001,0)+COUNTIF($D$2:D287,D287)-1)</f>
        <v>138</v>
      </c>
      <c r="F287" s="62">
        <f>IF(B287="","",--(COUNTIF(CN_Brands!$A$2:$A$300,UPPER(B287))&gt;0))</f>
        <v>0</v>
      </c>
      <c r="G287" s="62" t="str">
        <f t="shared" si="19"/>
        <v>轿车</v>
      </c>
      <c r="H287" s="62" t="str">
        <f>IF(AND('Data Export'!A287=前十整体车型排名!$B$2,'Data Export'!B287=前十整体车型排名!$B$3,'Data Export'!D287&lt;&gt;""),UPPER('Data Export'!C287)&amp;"♦"&amp;'Data Export'!D287,"")</f>
        <v>HONDA♦CITY</v>
      </c>
      <c r="I287" s="63">
        <f>IF(H287="","",IFERROR(INDEX('Data Export'!G287:CZ287,1,MATCH(前十整体车型排名!$B$4,'Data Export'!$G$1:$CZ$1,0)),0))</f>
        <v>511</v>
      </c>
      <c r="J287" s="62" t="str">
        <f>IF(H287="","",IF(OR('Data Export'!F287="三厢轿车",'Data Export'!F287="掀背轿车",'Data Export'!F287="旅行车",'Data Export'!F287="微型车",'Data Export'!F287="硬顶跑车",'Data Export'!F287="敞蓬车",'Data Export'!F287="Targa"),"轿车",IF(OR('Data Export'!F287="小型MPV",'Data Export'!F287="客车"),"MPV",IF('Data Export'!F287="运动型多功能车","SUV","其他"))))</f>
        <v>其他</v>
      </c>
      <c r="K287" s="62" t="str">
        <f>IF(OR(D287="",NOT(F287=1)),"",1+SUMPRODUCT(($F$2:$F$1001=1)*($D$2:$D$1001&gt;D287))+COUNTIFS($F$2:F287,1,$D$2:D287,D287)-1)</f>
        <v/>
      </c>
      <c r="L287" s="62">
        <f>IF(OR(D287="",NOT(G287="轿车")),"",1+SUMPRODUCT(($G$2:$G$1001="轿车")*($D$2:$D$1001&gt;D287))+COUNTIFS($G$2:G287,"轿车",$D$2:D287,D287)-1)</f>
        <v>37</v>
      </c>
      <c r="M287" s="62" t="str">
        <f>IF(OR(D287="",NOT(G287="MPV")),"",1+SUMPRODUCT(($G$2:$G$1001="MPV")*($D$2:$D$1001&gt;D287))+COUNTIFS($G$2:G287,"MPV",$D$2:D287,D287)-1)</f>
        <v/>
      </c>
      <c r="N287" s="62" t="str">
        <f>IF(OR(D287="",NOT(G287="SUV")),"",1+SUMPRODUCT(($G$2:$G$1001="SUV")*($D$2:$D$1001&gt;D287))+COUNTIFS($G$2:G287,"SUV",$D$2:D287,D287)-1)</f>
        <v/>
      </c>
      <c r="O287" s="62" t="str">
        <f>IF(OR(D287="",NOT(AND(F287=1,G287="轿车"))),"",1+SUMPRODUCT(($F$2:$F$1001=1)*($G$2:$G$1001="轿车")*($D$2:$D$1001&gt;D287))+COUNTIFS($F$2:F287,1,$G$2:G287,"轿车",$D$2:D287,D287)-1)</f>
        <v/>
      </c>
      <c r="P287" s="62" t="str">
        <f>IF(OR(D287="",NOT(AND(F287=1,G287="MPV"))),"",1+SUMPRODUCT(($F$2:$F$1001=1)*($G$2:$G$1001="MPV")*($D$2:$D$1001&gt;D287))+COUNTIFS($F$2:F287,1,$G$2:G287,"MPV",$D$2:D287,D287)-1)</f>
        <v/>
      </c>
      <c r="Q287" s="62" t="str">
        <f>IF(OR(D287="",NOT(AND(F287=1,G287="SUV"))),"",1+SUMPRODUCT(($F$2:$F$1001=1)*($G$2:$G$1001="SUV")*($D$2:$D$1001&gt;D287))+COUNTIFS($F$2:F287,1,$G$2:G287,"SUV",$D$2:D287,D287)-1)</f>
        <v/>
      </c>
    </row>
    <row r="288" spans="1:17">
      <c r="A288" s="62" t="str">
        <f>IFERROR(INDEX($H$2:$H$3000,MATCH(0,INDEX(COUNTIF($A$1:A287,$H$2:$H$3000)+($H$2:$H$3000=""),0,0),0)),"")</f>
        <v>PORSCHE♦911</v>
      </c>
      <c r="B288" s="62" t="str">
        <f t="shared" si="16"/>
        <v>PORSCHE</v>
      </c>
      <c r="C288" s="62" t="str">
        <f t="shared" si="17"/>
        <v>911</v>
      </c>
      <c r="D288" s="63">
        <f t="shared" si="18"/>
        <v>8</v>
      </c>
      <c r="E288" s="62">
        <f>IF(D288="","",_xlfn.RANK.EQ(D288,$D$2:$D$1001,0)+COUNTIF($D$2:D288,D288)-1)</f>
        <v>154</v>
      </c>
      <c r="F288" s="62">
        <f>IF(B288="","",--(COUNTIF(CN_Brands!$A$2:$A$300,UPPER(B288))&gt;0))</f>
        <v>0</v>
      </c>
      <c r="G288" s="62" t="str">
        <f t="shared" si="19"/>
        <v>其他</v>
      </c>
      <c r="H288" s="62" t="str">
        <f>IF(AND('Data Export'!A288=前十整体车型排名!$B$2,'Data Export'!B288=前十整体车型排名!$B$3,'Data Export'!D288&lt;&gt;""),UPPER('Data Export'!C288)&amp;"♦"&amp;'Data Export'!D288,"")</f>
        <v>HONDA♦CITY</v>
      </c>
      <c r="I288" s="63">
        <f>IF(H288="","",IFERROR(INDEX('Data Export'!G288:CZ288,1,MATCH(前十整体车型排名!$B$4,'Data Export'!$G$1:$CZ$1,0)),0))</f>
        <v>0</v>
      </c>
      <c r="J288" s="62" t="str">
        <f>IF(H288="","",IF(OR('Data Export'!F288="三厢轿车",'Data Export'!F288="掀背轿车",'Data Export'!F288="旅行车",'Data Export'!F288="微型车",'Data Export'!F288="硬顶跑车",'Data Export'!F288="敞蓬车",'Data Export'!F288="Targa"),"轿车",IF(OR('Data Export'!F288="小型MPV",'Data Export'!F288="客车"),"MPV",IF('Data Export'!F288="运动型多功能车","SUV","其他"))))</f>
        <v>轿车</v>
      </c>
      <c r="K288" s="62" t="str">
        <f>IF(OR(D288="",NOT(F288=1)),"",1+SUMPRODUCT(($F$2:$F$1001=1)*($D$2:$D$1001&gt;D288))+COUNTIFS($F$2:F288,1,$D$2:D288,D288)-1)</f>
        <v/>
      </c>
      <c r="L288" s="62" t="str">
        <f>IF(OR(D288="",NOT(G288="轿车")),"",1+SUMPRODUCT(($G$2:$G$1001="轿车")*($D$2:$D$1001&gt;D288))+COUNTIFS($G$2:G288,"轿车",$D$2:D288,D288)-1)</f>
        <v/>
      </c>
      <c r="M288" s="62" t="str">
        <f>IF(OR(D288="",NOT(G288="MPV")),"",1+SUMPRODUCT(($G$2:$G$1001="MPV")*($D$2:$D$1001&gt;D288))+COUNTIFS($G$2:G288,"MPV",$D$2:D288,D288)-1)</f>
        <v/>
      </c>
      <c r="N288" s="62" t="str">
        <f>IF(OR(D288="",NOT(G288="SUV")),"",1+SUMPRODUCT(($G$2:$G$1001="SUV")*($D$2:$D$1001&gt;D288))+COUNTIFS($G$2:G288,"SUV",$D$2:D288,D288)-1)</f>
        <v/>
      </c>
      <c r="O288" s="62" t="str">
        <f>IF(OR(D288="",NOT(AND(F288=1,G288="轿车"))),"",1+SUMPRODUCT(($F$2:$F$1001=1)*($G$2:$G$1001="轿车")*($D$2:$D$1001&gt;D288))+COUNTIFS($F$2:F288,1,$G$2:G288,"轿车",$D$2:D288,D288)-1)</f>
        <v/>
      </c>
      <c r="P288" s="62" t="str">
        <f>IF(OR(D288="",NOT(AND(F288=1,G288="MPV"))),"",1+SUMPRODUCT(($F$2:$F$1001=1)*($G$2:$G$1001="MPV")*($D$2:$D$1001&gt;D288))+COUNTIFS($F$2:F288,1,$G$2:G288,"MPV",$D$2:D288,D288)-1)</f>
        <v/>
      </c>
      <c r="Q288" s="62" t="str">
        <f>IF(OR(D288="",NOT(AND(F288=1,G288="SUV"))),"",1+SUMPRODUCT(($F$2:$F$1001=1)*($G$2:$G$1001="SUV")*($D$2:$D$1001&gt;D288))+COUNTIFS($F$2:F288,1,$G$2:G288,"SUV",$D$2:D288,D288)-1)</f>
        <v/>
      </c>
    </row>
    <row r="289" spans="1:17">
      <c r="A289" s="62" t="str">
        <f>IFERROR(INDEX($H$2:$H$3000,MATCH(0,INDEX(COUNTIF($A$1:A288,$H$2:$H$3000)+($H$2:$H$3000=""),0,0),0)),"")</f>
        <v>PORSCHE♦CAYENNE</v>
      </c>
      <c r="B289" s="62" t="str">
        <f t="shared" si="16"/>
        <v>PORSCHE</v>
      </c>
      <c r="C289" s="62" t="str">
        <f t="shared" si="17"/>
        <v>CAYENNE</v>
      </c>
      <c r="D289" s="63">
        <f t="shared" si="18"/>
        <v>4</v>
      </c>
      <c r="E289" s="62">
        <f>IF(D289="","",_xlfn.RANK.EQ(D289,$D$2:$D$1001,0)+COUNTIF($D$2:D289,D289)-1)</f>
        <v>180</v>
      </c>
      <c r="F289" s="62">
        <f>IF(B289="","",--(COUNTIF(CN_Brands!$A$2:$A$300,UPPER(B289))&gt;0))</f>
        <v>0</v>
      </c>
      <c r="G289" s="62" t="str">
        <f t="shared" si="19"/>
        <v>SUV</v>
      </c>
      <c r="H289" s="62" t="str">
        <f>IF(AND('Data Export'!A289=前十整体车型排名!$B$2,'Data Export'!B289=前十整体车型排名!$B$3,'Data Export'!D289&lt;&gt;""),UPPER('Data Export'!C289)&amp;"♦"&amp;'Data Export'!D289,"")</f>
        <v>HONDA♦CITY</v>
      </c>
      <c r="I289" s="63">
        <f>IF(H289="","",IFERROR(INDEX('Data Export'!G289:CZ289,1,MATCH(前十整体车型排名!$B$4,'Data Export'!$G$1:$CZ$1,0)),0))</f>
        <v>518</v>
      </c>
      <c r="J289" s="62" t="str">
        <f>IF(H289="","",IF(OR('Data Export'!F289="三厢轿车",'Data Export'!F289="掀背轿车",'Data Export'!F289="旅行车",'Data Export'!F289="微型车",'Data Export'!F289="硬顶跑车",'Data Export'!F289="敞蓬车",'Data Export'!F289="Targa"),"轿车",IF(OR('Data Export'!F289="小型MPV",'Data Export'!F289="客车"),"MPV",IF('Data Export'!F289="运动型多功能车","SUV","其他"))))</f>
        <v>轿车</v>
      </c>
      <c r="K289" s="62" t="str">
        <f>IF(OR(D289="",NOT(F289=1)),"",1+SUMPRODUCT(($F$2:$F$1001=1)*($D$2:$D$1001&gt;D289))+COUNTIFS($F$2:F289,1,$D$2:D289,D289)-1)</f>
        <v/>
      </c>
      <c r="L289" s="62" t="str">
        <f>IF(OR(D289="",NOT(G289="轿车")),"",1+SUMPRODUCT(($G$2:$G$1001="轿车")*($D$2:$D$1001&gt;D289))+COUNTIFS($G$2:G289,"轿车",$D$2:D289,D289)-1)</f>
        <v/>
      </c>
      <c r="M289" s="62" t="str">
        <f>IF(OR(D289="",NOT(G289="MPV")),"",1+SUMPRODUCT(($G$2:$G$1001="MPV")*($D$2:$D$1001&gt;D289))+COUNTIFS($G$2:G289,"MPV",$D$2:D289,D289)-1)</f>
        <v/>
      </c>
      <c r="N289" s="62">
        <f>IF(OR(D289="",NOT(G289="SUV")),"",1+SUMPRODUCT(($G$2:$G$1001="SUV")*($D$2:$D$1001&gt;D289))+COUNTIFS($G$2:G289,"SUV",$D$2:D289,D289)-1)</f>
        <v>100</v>
      </c>
      <c r="O289" s="62" t="str">
        <f>IF(OR(D289="",NOT(AND(F289=1,G289="轿车"))),"",1+SUMPRODUCT(($F$2:$F$1001=1)*($G$2:$G$1001="轿车")*($D$2:$D$1001&gt;D289))+COUNTIFS($F$2:F289,1,$G$2:G289,"轿车",$D$2:D289,D289)-1)</f>
        <v/>
      </c>
      <c r="P289" s="62" t="str">
        <f>IF(OR(D289="",NOT(AND(F289=1,G289="MPV"))),"",1+SUMPRODUCT(($F$2:$F$1001=1)*($G$2:$G$1001="MPV")*($D$2:$D$1001&gt;D289))+COUNTIFS($F$2:F289,1,$G$2:G289,"MPV",$D$2:D289,D289)-1)</f>
        <v/>
      </c>
      <c r="Q289" s="62" t="str">
        <f>IF(OR(D289="",NOT(AND(F289=1,G289="SUV"))),"",1+SUMPRODUCT(($F$2:$F$1001=1)*($G$2:$G$1001="SUV")*($D$2:$D$1001&gt;D289))+COUNTIFS($F$2:F289,1,$G$2:G289,"SUV",$D$2:D289,D289)-1)</f>
        <v/>
      </c>
    </row>
    <row r="290" spans="1:17">
      <c r="A290" s="62" t="str">
        <f>IFERROR(INDEX($H$2:$H$3000,MATCH(0,INDEX(COUNTIF($A$1:A289,$H$2:$H$3000)+($H$2:$H$3000=""),0,0),0)),"")</f>
        <v>PORSCHE♦CAYENNE COUPE</v>
      </c>
      <c r="B290" s="62" t="str">
        <f t="shared" si="16"/>
        <v>PORSCHE</v>
      </c>
      <c r="C290" s="62" t="str">
        <f t="shared" si="17"/>
        <v>CAYENNE COUPE</v>
      </c>
      <c r="D290" s="63">
        <f t="shared" si="18"/>
        <v>52</v>
      </c>
      <c r="E290" s="62">
        <f>IF(D290="","",_xlfn.RANK.EQ(D290,$D$2:$D$1001,0)+COUNTIF($D$2:D290,D290)-1)</f>
        <v>98</v>
      </c>
      <c r="F290" s="62">
        <f>IF(B290="","",--(COUNTIF(CN_Brands!$A$2:$A$300,UPPER(B290))&gt;0))</f>
        <v>0</v>
      </c>
      <c r="G290" s="62" t="str">
        <f t="shared" si="19"/>
        <v>SUV</v>
      </c>
      <c r="H290" s="62" t="str">
        <f>IF(AND('Data Export'!A290=前十整体车型排名!$B$2,'Data Export'!B290=前十整体车型排名!$B$3,'Data Export'!D290&lt;&gt;""),UPPER('Data Export'!C290)&amp;"♦"&amp;'Data Export'!D290,"")</f>
        <v>HONDA♦CIVIC</v>
      </c>
      <c r="I290" s="63">
        <f>IF(H290="","",IFERROR(INDEX('Data Export'!G290:CZ290,1,MATCH(前十整体车型排名!$B$4,'Data Export'!$G$1:$CZ$1,0)),0))</f>
        <v>625</v>
      </c>
      <c r="J290" s="62" t="str">
        <f>IF(H290="","",IF(OR('Data Export'!F290="三厢轿车",'Data Export'!F290="掀背轿车",'Data Export'!F290="旅行车",'Data Export'!F290="微型车",'Data Export'!F290="硬顶跑车",'Data Export'!F290="敞蓬车",'Data Export'!F290="Targa"),"轿车",IF(OR('Data Export'!F290="小型MPV",'Data Export'!F290="客车"),"MPV",IF('Data Export'!F290="运动型多功能车","SUV","其他"))))</f>
        <v>其他</v>
      </c>
      <c r="K290" s="62" t="str">
        <f>IF(OR(D290="",NOT(F290=1)),"",1+SUMPRODUCT(($F$2:$F$1001=1)*($D$2:$D$1001&gt;D290))+COUNTIFS($F$2:F290,1,$D$2:D290,D290)-1)</f>
        <v/>
      </c>
      <c r="L290" s="62" t="str">
        <f>IF(OR(D290="",NOT(G290="轿车")),"",1+SUMPRODUCT(($G$2:$G$1001="轿车")*($D$2:$D$1001&gt;D290))+COUNTIFS($G$2:G290,"轿车",$D$2:D290,D290)-1)</f>
        <v/>
      </c>
      <c r="M290" s="62" t="str">
        <f>IF(OR(D290="",NOT(G290="MPV")),"",1+SUMPRODUCT(($G$2:$G$1001="MPV")*($D$2:$D$1001&gt;D290))+COUNTIFS($G$2:G290,"MPV",$D$2:D290,D290)-1)</f>
        <v/>
      </c>
      <c r="N290" s="62">
        <f>IF(OR(D290="",NOT(G290="SUV")),"",1+SUMPRODUCT(($G$2:$G$1001="SUV")*($D$2:$D$1001&gt;D290))+COUNTIFS($G$2:G290,"SUV",$D$2:D290,D290)-1)</f>
        <v>50</v>
      </c>
      <c r="O290" s="62" t="str">
        <f>IF(OR(D290="",NOT(AND(F290=1,G290="轿车"))),"",1+SUMPRODUCT(($F$2:$F$1001=1)*($G$2:$G$1001="轿车")*($D$2:$D$1001&gt;D290))+COUNTIFS($F$2:F290,1,$G$2:G290,"轿车",$D$2:D290,D290)-1)</f>
        <v/>
      </c>
      <c r="P290" s="62" t="str">
        <f>IF(OR(D290="",NOT(AND(F290=1,G290="MPV"))),"",1+SUMPRODUCT(($F$2:$F$1001=1)*($G$2:$G$1001="MPV")*($D$2:$D$1001&gt;D290))+COUNTIFS($F$2:F290,1,$G$2:G290,"MPV",$D$2:D290,D290)-1)</f>
        <v/>
      </c>
      <c r="Q290" s="62" t="str">
        <f>IF(OR(D290="",NOT(AND(F290=1,G290="SUV"))),"",1+SUMPRODUCT(($F$2:$F$1001=1)*($G$2:$G$1001="SUV")*($D$2:$D$1001&gt;D290))+COUNTIFS($F$2:F290,1,$G$2:G290,"SUV",$D$2:D290,D290)-1)</f>
        <v/>
      </c>
    </row>
    <row r="291" spans="1:17">
      <c r="A291" s="62" t="str">
        <f>IFERROR(INDEX($H$2:$H$3000,MATCH(0,INDEX(COUNTIF($A$1:A290,$H$2:$H$3000)+($H$2:$H$3000=""),0,0),0)),"")</f>
        <v>PORSCHE♦CAYENNE/CAYENNE COUPE</v>
      </c>
      <c r="B291" s="62" t="str">
        <f t="shared" si="16"/>
        <v>PORSCHE</v>
      </c>
      <c r="C291" s="62" t="str">
        <f t="shared" si="17"/>
        <v>CAYENNE/CAYENNE COUPE</v>
      </c>
      <c r="D291" s="63">
        <f t="shared" si="18"/>
        <v>0</v>
      </c>
      <c r="E291" s="62">
        <f>IF(D291="","",_xlfn.RANK.EQ(D291,$D$2:$D$1001,0)+COUNTIF($D$2:D291,D291)-1)</f>
        <v>362</v>
      </c>
      <c r="F291" s="62">
        <f>IF(B291="","",--(COUNTIF(CN_Brands!$A$2:$A$300,UPPER(B291))&gt;0))</f>
        <v>0</v>
      </c>
      <c r="G291" s="62" t="str">
        <f t="shared" si="19"/>
        <v>SUV</v>
      </c>
      <c r="H291" s="62" t="str">
        <f>IF(AND('Data Export'!A291=前十整体车型排名!$B$2,'Data Export'!B291=前十整体车型排名!$B$3,'Data Export'!D291&lt;&gt;""),UPPER('Data Export'!C291)&amp;"♦"&amp;'Data Export'!D291,"")</f>
        <v>HONDA♦CIVIC</v>
      </c>
      <c r="I291" s="63">
        <f>IF(H291="","",IFERROR(INDEX('Data Export'!G291:CZ291,1,MATCH(前十整体车型排名!$B$4,'Data Export'!$G$1:$CZ$1,0)),0))</f>
        <v>7</v>
      </c>
      <c r="J291" s="62" t="str">
        <f>IF(H291="","",IF(OR('Data Export'!F291="三厢轿车",'Data Export'!F291="掀背轿车",'Data Export'!F291="旅行车",'Data Export'!F291="微型车",'Data Export'!F291="硬顶跑车",'Data Export'!F291="敞蓬车",'Data Export'!F291="Targa"),"轿车",IF(OR('Data Export'!F291="小型MPV",'Data Export'!F291="客车"),"MPV",IF('Data Export'!F291="运动型多功能车","SUV","其他"))))</f>
        <v>轿车</v>
      </c>
      <c r="K291" s="62" t="str">
        <f>IF(OR(D291="",NOT(F291=1)),"",1+SUMPRODUCT(($F$2:$F$1001=1)*($D$2:$D$1001&gt;D291))+COUNTIFS($F$2:F291,1,$D$2:D291,D291)-1)</f>
        <v/>
      </c>
      <c r="L291" s="62" t="str">
        <f>IF(OR(D291="",NOT(G291="轿车")),"",1+SUMPRODUCT(($G$2:$G$1001="轿车")*($D$2:$D$1001&gt;D291))+COUNTIFS($G$2:G291,"轿车",$D$2:D291,D291)-1)</f>
        <v/>
      </c>
      <c r="M291" s="62" t="str">
        <f>IF(OR(D291="",NOT(G291="MPV")),"",1+SUMPRODUCT(($G$2:$G$1001="MPV")*($D$2:$D$1001&gt;D291))+COUNTIFS($G$2:G291,"MPV",$D$2:D291,D291)-1)</f>
        <v/>
      </c>
      <c r="N291" s="62">
        <f>IF(OR(D291="",NOT(G291="SUV")),"",1+SUMPRODUCT(($G$2:$G$1001="SUV")*($D$2:$D$1001&gt;D291))+COUNTIFS($G$2:G291,"SUV",$D$2:D291,D291)-1)</f>
        <v>151</v>
      </c>
      <c r="O291" s="62" t="str">
        <f>IF(OR(D291="",NOT(AND(F291=1,G291="轿车"))),"",1+SUMPRODUCT(($F$2:$F$1001=1)*($G$2:$G$1001="轿车")*($D$2:$D$1001&gt;D291))+COUNTIFS($F$2:F291,1,$G$2:G291,"轿车",$D$2:D291,D291)-1)</f>
        <v/>
      </c>
      <c r="P291" s="62" t="str">
        <f>IF(OR(D291="",NOT(AND(F291=1,G291="MPV"))),"",1+SUMPRODUCT(($F$2:$F$1001=1)*($G$2:$G$1001="MPV")*($D$2:$D$1001&gt;D291))+COUNTIFS($F$2:F291,1,$G$2:G291,"MPV",$D$2:D291,D291)-1)</f>
        <v/>
      </c>
      <c r="Q291" s="62" t="str">
        <f>IF(OR(D291="",NOT(AND(F291=1,G291="SUV"))),"",1+SUMPRODUCT(($F$2:$F$1001=1)*($G$2:$G$1001="SUV")*($D$2:$D$1001&gt;D291))+COUNTIFS($F$2:F291,1,$G$2:G291,"SUV",$D$2:D291,D291)-1)</f>
        <v/>
      </c>
    </row>
    <row r="292" spans="1:17">
      <c r="A292" s="62" t="str">
        <f>IFERROR(INDEX($H$2:$H$3000,MATCH(0,INDEX(COUNTIF($A$1:A291,$H$2:$H$3000)+($H$2:$H$3000=""),0,0),0)),"")</f>
        <v>PORSCHE♦MACAN</v>
      </c>
      <c r="B292" s="62" t="str">
        <f t="shared" si="16"/>
        <v>PORSCHE</v>
      </c>
      <c r="C292" s="62" t="str">
        <f t="shared" si="17"/>
        <v>MACAN</v>
      </c>
      <c r="D292" s="63">
        <f t="shared" si="18"/>
        <v>11</v>
      </c>
      <c r="E292" s="62">
        <f>IF(D292="","",_xlfn.RANK.EQ(D292,$D$2:$D$1001,0)+COUNTIF($D$2:D292,D292)-1)</f>
        <v>141</v>
      </c>
      <c r="F292" s="62">
        <f>IF(B292="","",--(COUNTIF(CN_Brands!$A$2:$A$300,UPPER(B292))&gt;0))</f>
        <v>0</v>
      </c>
      <c r="G292" s="62" t="str">
        <f t="shared" si="19"/>
        <v>SUV</v>
      </c>
      <c r="H292" s="62" t="str">
        <f>IF(AND('Data Export'!A292=前十整体车型排名!$B$2,'Data Export'!B292=前十整体车型排名!$B$3,'Data Export'!D292&lt;&gt;""),UPPER('Data Export'!C292)&amp;"♦"&amp;'Data Export'!D292,"")</f>
        <v>HONDA♦CIVIC</v>
      </c>
      <c r="I292" s="63">
        <f>IF(H292="","",IFERROR(INDEX('Data Export'!G292:CZ292,1,MATCH(前十整体车型排名!$B$4,'Data Export'!$G$1:$CZ$1,0)),0))</f>
        <v>1</v>
      </c>
      <c r="J292" s="62" t="str">
        <f>IF(H292="","",IF(OR('Data Export'!F292="三厢轿车",'Data Export'!F292="掀背轿车",'Data Export'!F292="旅行车",'Data Export'!F292="微型车",'Data Export'!F292="硬顶跑车",'Data Export'!F292="敞蓬车",'Data Export'!F292="Targa"),"轿车",IF(OR('Data Export'!F292="小型MPV",'Data Export'!F292="客车"),"MPV",IF('Data Export'!F292="运动型多功能车","SUV","其他"))))</f>
        <v>其他</v>
      </c>
      <c r="K292" s="62" t="str">
        <f>IF(OR(D292="",NOT(F292=1)),"",1+SUMPRODUCT(($F$2:$F$1001=1)*($D$2:$D$1001&gt;D292))+COUNTIFS($F$2:F292,1,$D$2:D292,D292)-1)</f>
        <v/>
      </c>
      <c r="L292" s="62" t="str">
        <f>IF(OR(D292="",NOT(G292="轿车")),"",1+SUMPRODUCT(($G$2:$G$1001="轿车")*($D$2:$D$1001&gt;D292))+COUNTIFS($G$2:G292,"轿车",$D$2:D292,D292)-1)</f>
        <v/>
      </c>
      <c r="M292" s="62" t="str">
        <f>IF(OR(D292="",NOT(G292="MPV")),"",1+SUMPRODUCT(($G$2:$G$1001="MPV")*($D$2:$D$1001&gt;D292))+COUNTIFS($G$2:G292,"MPV",$D$2:D292,D292)-1)</f>
        <v/>
      </c>
      <c r="N292" s="62">
        <f>IF(OR(D292="",NOT(G292="SUV")),"",1+SUMPRODUCT(($G$2:$G$1001="SUV")*($D$2:$D$1001&gt;D292))+COUNTIFS($G$2:G292,"SUV",$D$2:D292,D292)-1)</f>
        <v>76</v>
      </c>
      <c r="O292" s="62" t="str">
        <f>IF(OR(D292="",NOT(AND(F292=1,G292="轿车"))),"",1+SUMPRODUCT(($F$2:$F$1001=1)*($G$2:$G$1001="轿车")*($D$2:$D$1001&gt;D292))+COUNTIFS($F$2:F292,1,$G$2:G292,"轿车",$D$2:D292,D292)-1)</f>
        <v/>
      </c>
      <c r="P292" s="62" t="str">
        <f>IF(OR(D292="",NOT(AND(F292=1,G292="MPV"))),"",1+SUMPRODUCT(($F$2:$F$1001=1)*($G$2:$G$1001="MPV")*($D$2:$D$1001&gt;D292))+COUNTIFS($F$2:F292,1,$G$2:G292,"MPV",$D$2:D292,D292)-1)</f>
        <v/>
      </c>
      <c r="Q292" s="62" t="str">
        <f>IF(OR(D292="",NOT(AND(F292=1,G292="SUV"))),"",1+SUMPRODUCT(($F$2:$F$1001=1)*($G$2:$G$1001="SUV")*($D$2:$D$1001&gt;D292))+COUNTIFS($F$2:F292,1,$G$2:G292,"SUV",$D$2:D292,D292)-1)</f>
        <v/>
      </c>
    </row>
    <row r="293" spans="1:17">
      <c r="A293" s="62" t="str">
        <f>IFERROR(INDEX($H$2:$H$3000,MATCH(0,INDEX(COUNTIF($A$1:A292,$H$2:$H$3000)+($H$2:$H$3000=""),0,0),0)),"")</f>
        <v>PORSCHE♦PANAMERA</v>
      </c>
      <c r="B293" s="62" t="str">
        <f t="shared" si="16"/>
        <v>PORSCHE</v>
      </c>
      <c r="C293" s="62" t="str">
        <f t="shared" si="17"/>
        <v>PANAMERA</v>
      </c>
      <c r="D293" s="63">
        <f t="shared" si="18"/>
        <v>14</v>
      </c>
      <c r="E293" s="62">
        <f>IF(D293="","",_xlfn.RANK.EQ(D293,$D$2:$D$1001,0)+COUNTIF($D$2:D293,D293)-1)</f>
        <v>135</v>
      </c>
      <c r="F293" s="62">
        <f>IF(B293="","",--(COUNTIF(CN_Brands!$A$2:$A$300,UPPER(B293))&gt;0))</f>
        <v>0</v>
      </c>
      <c r="G293" s="62" t="str">
        <f t="shared" si="19"/>
        <v>轿车</v>
      </c>
      <c r="H293" s="62" t="str">
        <f>IF(AND('Data Export'!A293=前十整体车型排名!$B$2,'Data Export'!B293=前十整体车型排名!$B$3,'Data Export'!D293&lt;&gt;""),UPPER('Data Export'!C293)&amp;"♦"&amp;'Data Export'!D293,"")</f>
        <v>HONDA♦CR-V</v>
      </c>
      <c r="I293" s="63">
        <f>IF(H293="","",IFERROR(INDEX('Data Export'!G293:CZ293,1,MATCH(前十整体车型排名!$B$4,'Data Export'!$G$1:$CZ$1,0)),0))</f>
        <v>650</v>
      </c>
      <c r="J293" s="62" t="str">
        <f>IF(H293="","",IF(OR('Data Export'!F293="三厢轿车",'Data Export'!F293="掀背轿车",'Data Export'!F293="旅行车",'Data Export'!F293="微型车",'Data Export'!F293="硬顶跑车",'Data Export'!F293="敞蓬车",'Data Export'!F293="Targa"),"轿车",IF(OR('Data Export'!F293="小型MPV",'Data Export'!F293="客车"),"MPV",IF('Data Export'!F293="运动型多功能车","SUV","其他"))))</f>
        <v>SUV</v>
      </c>
      <c r="K293" s="62" t="str">
        <f>IF(OR(D293="",NOT(F293=1)),"",1+SUMPRODUCT(($F$2:$F$1001=1)*($D$2:$D$1001&gt;D293))+COUNTIFS($F$2:F293,1,$D$2:D293,D293)-1)</f>
        <v/>
      </c>
      <c r="L293" s="62">
        <f>IF(OR(D293="",NOT(G293="轿车")),"",1+SUMPRODUCT(($G$2:$G$1001="轿车")*($D$2:$D$1001&gt;D293))+COUNTIFS($G$2:G293,"轿车",$D$2:D293,D293)-1)</f>
        <v>35</v>
      </c>
      <c r="M293" s="62" t="str">
        <f>IF(OR(D293="",NOT(G293="MPV")),"",1+SUMPRODUCT(($G$2:$G$1001="MPV")*($D$2:$D$1001&gt;D293))+COUNTIFS($G$2:G293,"MPV",$D$2:D293,D293)-1)</f>
        <v/>
      </c>
      <c r="N293" s="62" t="str">
        <f>IF(OR(D293="",NOT(G293="SUV")),"",1+SUMPRODUCT(($G$2:$G$1001="SUV")*($D$2:$D$1001&gt;D293))+COUNTIFS($G$2:G293,"SUV",$D$2:D293,D293)-1)</f>
        <v/>
      </c>
      <c r="O293" s="62" t="str">
        <f>IF(OR(D293="",NOT(AND(F293=1,G293="轿车"))),"",1+SUMPRODUCT(($F$2:$F$1001=1)*($G$2:$G$1001="轿车")*($D$2:$D$1001&gt;D293))+COUNTIFS($F$2:F293,1,$G$2:G293,"轿车",$D$2:D293,D293)-1)</f>
        <v/>
      </c>
      <c r="P293" s="62" t="str">
        <f>IF(OR(D293="",NOT(AND(F293=1,G293="MPV"))),"",1+SUMPRODUCT(($F$2:$F$1001=1)*($G$2:$G$1001="MPV")*($D$2:$D$1001&gt;D293))+COUNTIFS($F$2:F293,1,$G$2:G293,"MPV",$D$2:D293,D293)-1)</f>
        <v/>
      </c>
      <c r="Q293" s="62" t="str">
        <f>IF(OR(D293="",NOT(AND(F293=1,G293="SUV"))),"",1+SUMPRODUCT(($F$2:$F$1001=1)*($G$2:$G$1001="SUV")*($D$2:$D$1001&gt;D293))+COUNTIFS($F$2:F293,1,$G$2:G293,"SUV",$D$2:D293,D293)-1)</f>
        <v/>
      </c>
    </row>
    <row r="294" spans="1:17">
      <c r="A294" s="62" t="str">
        <f>IFERROR(INDEX($H$2:$H$3000,MATCH(0,INDEX(COUNTIF($A$1:A293,$H$2:$H$3000)+($H$2:$H$3000=""),0,0),0)),"")</f>
        <v>PORSCHE♦TAYCAN</v>
      </c>
      <c r="B294" s="62" t="str">
        <f t="shared" si="16"/>
        <v>PORSCHE</v>
      </c>
      <c r="C294" s="62" t="str">
        <f t="shared" si="17"/>
        <v>TAYCAN</v>
      </c>
      <c r="D294" s="63">
        <f t="shared" si="18"/>
        <v>10</v>
      </c>
      <c r="E294" s="62">
        <f>IF(D294="","",_xlfn.RANK.EQ(D294,$D$2:$D$1001,0)+COUNTIF($D$2:D294,D294)-1)</f>
        <v>144</v>
      </c>
      <c r="F294" s="62">
        <f>IF(B294="","",--(COUNTIF(CN_Brands!$A$2:$A$300,UPPER(B294))&gt;0))</f>
        <v>0</v>
      </c>
      <c r="G294" s="62" t="str">
        <f t="shared" si="19"/>
        <v>其他</v>
      </c>
      <c r="H294" s="62" t="str">
        <f>IF(AND('Data Export'!A294=前十整体车型排名!$B$2,'Data Export'!B294=前十整体车型排名!$B$3,'Data Export'!D294&lt;&gt;""),UPPER('Data Export'!C294)&amp;"♦"&amp;'Data Export'!D294,"")</f>
        <v>HONDA♦EN1</v>
      </c>
      <c r="I294" s="63">
        <f>IF(H294="","",IFERROR(INDEX('Data Export'!G294:CZ294,1,MATCH(前十整体车型排名!$B$4,'Data Export'!$G$1:$CZ$1,0)),0))</f>
        <v>24</v>
      </c>
      <c r="J294" s="62" t="str">
        <f>IF(H294="","",IF(OR('Data Export'!F294="三厢轿车",'Data Export'!F294="掀背轿车",'Data Export'!F294="旅行车",'Data Export'!F294="微型车",'Data Export'!F294="硬顶跑车",'Data Export'!F294="敞蓬车",'Data Export'!F294="Targa"),"轿车",IF(OR('Data Export'!F294="小型MPV",'Data Export'!F294="客车"),"MPV",IF('Data Export'!F294="运动型多功能车","SUV","其他"))))</f>
        <v>SUV</v>
      </c>
      <c r="K294" s="62" t="str">
        <f>IF(OR(D294="",NOT(F294=1)),"",1+SUMPRODUCT(($F$2:$F$1001=1)*($D$2:$D$1001&gt;D294))+COUNTIFS($F$2:F294,1,$D$2:D294,D294)-1)</f>
        <v/>
      </c>
      <c r="L294" s="62" t="str">
        <f>IF(OR(D294="",NOT(G294="轿车")),"",1+SUMPRODUCT(($G$2:$G$1001="轿车")*($D$2:$D$1001&gt;D294))+COUNTIFS($G$2:G294,"轿车",$D$2:D294,D294)-1)</f>
        <v/>
      </c>
      <c r="M294" s="62" t="str">
        <f>IF(OR(D294="",NOT(G294="MPV")),"",1+SUMPRODUCT(($G$2:$G$1001="MPV")*($D$2:$D$1001&gt;D294))+COUNTIFS($G$2:G294,"MPV",$D$2:D294,D294)-1)</f>
        <v/>
      </c>
      <c r="N294" s="62" t="str">
        <f>IF(OR(D294="",NOT(G294="SUV")),"",1+SUMPRODUCT(($G$2:$G$1001="SUV")*($D$2:$D$1001&gt;D294))+COUNTIFS($G$2:G294,"SUV",$D$2:D294,D294)-1)</f>
        <v/>
      </c>
      <c r="O294" s="62" t="str">
        <f>IF(OR(D294="",NOT(AND(F294=1,G294="轿车"))),"",1+SUMPRODUCT(($F$2:$F$1001=1)*($G$2:$G$1001="轿车")*($D$2:$D$1001&gt;D294))+COUNTIFS($F$2:F294,1,$G$2:G294,"轿车",$D$2:D294,D294)-1)</f>
        <v/>
      </c>
      <c r="P294" s="62" t="str">
        <f>IF(OR(D294="",NOT(AND(F294=1,G294="MPV"))),"",1+SUMPRODUCT(($F$2:$F$1001=1)*($G$2:$G$1001="MPV")*($D$2:$D$1001&gt;D294))+COUNTIFS($F$2:F294,1,$G$2:G294,"MPV",$D$2:D294,D294)-1)</f>
        <v/>
      </c>
      <c r="Q294" s="62" t="str">
        <f>IF(OR(D294="",NOT(AND(F294=1,G294="SUV"))),"",1+SUMPRODUCT(($F$2:$F$1001=1)*($G$2:$G$1001="SUV")*($D$2:$D$1001&gt;D294))+COUNTIFS($F$2:F294,1,$G$2:G294,"SUV",$D$2:D294,D294)-1)</f>
        <v/>
      </c>
    </row>
    <row r="295" spans="1:17">
      <c r="A295" s="62" t="str">
        <f>IFERROR(INDEX($H$2:$H$3000,MATCH(0,INDEX(COUNTIF($A$1:A294,$H$2:$H$3000)+($H$2:$H$3000=""),0,0),0)),"")</f>
        <v>PROTON♦PREVE</v>
      </c>
      <c r="B295" s="62" t="str">
        <f t="shared" si="16"/>
        <v>PROTON</v>
      </c>
      <c r="C295" s="62" t="str">
        <f t="shared" si="17"/>
        <v>PREVE</v>
      </c>
      <c r="D295" s="63">
        <f t="shared" si="18"/>
        <v>0</v>
      </c>
      <c r="E295" s="62">
        <f>IF(D295="","",_xlfn.RANK.EQ(D295,$D$2:$D$1001,0)+COUNTIF($D$2:D295,D295)-1)</f>
        <v>363</v>
      </c>
      <c r="F295" s="62">
        <f>IF(B295="","",--(COUNTIF(CN_Brands!$A$2:$A$300,UPPER(B295))&gt;0))</f>
        <v>0</v>
      </c>
      <c r="G295" s="62" t="str">
        <f t="shared" si="19"/>
        <v>轿车</v>
      </c>
      <c r="H295" s="62" t="str">
        <f>IF(AND('Data Export'!A295=前十整体车型排名!$B$2,'Data Export'!B295=前十整体车型排名!$B$3,'Data Export'!D295&lt;&gt;""),UPPER('Data Export'!C295)&amp;"♦"&amp;'Data Export'!D295,"")</f>
        <v>HONDA♦EN2</v>
      </c>
      <c r="I295" s="63">
        <f>IF(H295="","",IFERROR(INDEX('Data Export'!G295:CZ295,1,MATCH(前十整体车型排名!$B$4,'Data Export'!$G$1:$CZ$1,0)),0))</f>
        <v>6</v>
      </c>
      <c r="J295" s="62" t="str">
        <f>IF(H295="","",IF(OR('Data Export'!F295="三厢轿车",'Data Export'!F295="掀背轿车",'Data Export'!F295="旅行车",'Data Export'!F295="微型车",'Data Export'!F295="硬顶跑车",'Data Export'!F295="敞蓬车",'Data Export'!F295="Targa"),"轿车",IF(OR('Data Export'!F295="小型MPV",'Data Export'!F295="客车"),"MPV",IF('Data Export'!F295="运动型多功能车","SUV","其他"))))</f>
        <v>SUV</v>
      </c>
      <c r="K295" s="62" t="str">
        <f>IF(OR(D295="",NOT(F295=1)),"",1+SUMPRODUCT(($F$2:$F$1001=1)*($D$2:$D$1001&gt;D295))+COUNTIFS($F$2:F295,1,$D$2:D295,D295)-1)</f>
        <v/>
      </c>
      <c r="L295" s="62">
        <f>IF(OR(D295="",NOT(G295="轿车")),"",1+SUMPRODUCT(($G$2:$G$1001="轿车")*($D$2:$D$1001&gt;D295))+COUNTIFS($G$2:G295,"轿车",$D$2:D295,D295)-1)</f>
        <v>130</v>
      </c>
      <c r="M295" s="62" t="str">
        <f>IF(OR(D295="",NOT(G295="MPV")),"",1+SUMPRODUCT(($G$2:$G$1001="MPV")*($D$2:$D$1001&gt;D295))+COUNTIFS($G$2:G295,"MPV",$D$2:D295,D295)-1)</f>
        <v/>
      </c>
      <c r="N295" s="62" t="str">
        <f>IF(OR(D295="",NOT(G295="SUV")),"",1+SUMPRODUCT(($G$2:$G$1001="SUV")*($D$2:$D$1001&gt;D295))+COUNTIFS($G$2:G295,"SUV",$D$2:D295,D295)-1)</f>
        <v/>
      </c>
      <c r="O295" s="62" t="str">
        <f>IF(OR(D295="",NOT(AND(F295=1,G295="轿车"))),"",1+SUMPRODUCT(($F$2:$F$1001=1)*($G$2:$G$1001="轿车")*($D$2:$D$1001&gt;D295))+COUNTIFS($F$2:F295,1,$G$2:G295,"轿车",$D$2:D295,D295)-1)</f>
        <v/>
      </c>
      <c r="P295" s="62" t="str">
        <f>IF(OR(D295="",NOT(AND(F295=1,G295="MPV"))),"",1+SUMPRODUCT(($F$2:$F$1001=1)*($G$2:$G$1001="MPV")*($D$2:$D$1001&gt;D295))+COUNTIFS($F$2:F295,1,$G$2:G295,"MPV",$D$2:D295,D295)-1)</f>
        <v/>
      </c>
      <c r="Q295" s="62" t="str">
        <f>IF(OR(D295="",NOT(AND(F295=1,G295="SUV"))),"",1+SUMPRODUCT(($F$2:$F$1001=1)*($G$2:$G$1001="SUV")*($D$2:$D$1001&gt;D295))+COUNTIFS($F$2:F295,1,$G$2:G295,"SUV",$D$2:D295,D295)-1)</f>
        <v/>
      </c>
    </row>
    <row r="296" spans="1:17">
      <c r="A296" s="62" t="str">
        <f>IFERROR(INDEX($H$2:$H$3000,MATCH(0,INDEX(COUNTIF($A$1:A295,$H$2:$H$3000)+($H$2:$H$3000=""),0,0),0)),"")</f>
        <v>ROLLS-ROYCE♦CULLINAN</v>
      </c>
      <c r="B296" s="62" t="str">
        <f t="shared" si="16"/>
        <v>ROLLS-ROYCE</v>
      </c>
      <c r="C296" s="62" t="str">
        <f t="shared" si="17"/>
        <v>CULLINAN</v>
      </c>
      <c r="D296" s="63">
        <f t="shared" si="18"/>
        <v>0</v>
      </c>
      <c r="E296" s="62">
        <f>IF(D296="","",_xlfn.RANK.EQ(D296,$D$2:$D$1001,0)+COUNTIF($D$2:D296,D296)-1)</f>
        <v>364</v>
      </c>
      <c r="F296" s="62">
        <f>IF(B296="","",--(COUNTIF(CN_Brands!$A$2:$A$300,UPPER(B296))&gt;0))</f>
        <v>0</v>
      </c>
      <c r="G296" s="62" t="str">
        <f t="shared" si="19"/>
        <v>SUV</v>
      </c>
      <c r="H296" s="62" t="str">
        <f>IF(AND('Data Export'!A296=前十整体车型排名!$B$2,'Data Export'!B296=前十整体车型排名!$B$3,'Data Export'!D296&lt;&gt;""),UPPER('Data Export'!C296)&amp;"♦"&amp;'Data Export'!D296,"")</f>
        <v>HONDA♦FIT</v>
      </c>
      <c r="I296" s="63">
        <f>IF(H296="","",IFERROR(INDEX('Data Export'!G296:CZ296,1,MATCH(前十整体车型排名!$B$4,'Data Export'!$G$1:$CZ$1,0)),0))</f>
        <v>0</v>
      </c>
      <c r="J296" s="62" t="str">
        <f>IF(H296="","",IF(OR('Data Export'!F296="三厢轿车",'Data Export'!F296="掀背轿车",'Data Export'!F296="旅行车",'Data Export'!F296="微型车",'Data Export'!F296="硬顶跑车",'Data Export'!F296="敞蓬车",'Data Export'!F296="Targa"),"轿车",IF(OR('Data Export'!F296="小型MPV",'Data Export'!F296="客车"),"MPV",IF('Data Export'!F296="运动型多功能车","SUV","其他"))))</f>
        <v>其他</v>
      </c>
      <c r="K296" s="62" t="str">
        <f>IF(OR(D296="",NOT(F296=1)),"",1+SUMPRODUCT(($F$2:$F$1001=1)*($D$2:$D$1001&gt;D296))+COUNTIFS($F$2:F296,1,$D$2:D296,D296)-1)</f>
        <v/>
      </c>
      <c r="L296" s="62" t="str">
        <f>IF(OR(D296="",NOT(G296="轿车")),"",1+SUMPRODUCT(($G$2:$G$1001="轿车")*($D$2:$D$1001&gt;D296))+COUNTIFS($G$2:G296,"轿车",$D$2:D296,D296)-1)</f>
        <v/>
      </c>
      <c r="M296" s="62" t="str">
        <f>IF(OR(D296="",NOT(G296="MPV")),"",1+SUMPRODUCT(($G$2:$G$1001="MPV")*($D$2:$D$1001&gt;D296))+COUNTIFS($G$2:G296,"MPV",$D$2:D296,D296)-1)</f>
        <v/>
      </c>
      <c r="N296" s="62">
        <f>IF(OR(D296="",NOT(G296="SUV")),"",1+SUMPRODUCT(($G$2:$G$1001="SUV")*($D$2:$D$1001&gt;D296))+COUNTIFS($G$2:G296,"SUV",$D$2:D296,D296)-1)</f>
        <v>152</v>
      </c>
      <c r="O296" s="62" t="str">
        <f>IF(OR(D296="",NOT(AND(F296=1,G296="轿车"))),"",1+SUMPRODUCT(($F$2:$F$1001=1)*($G$2:$G$1001="轿车")*($D$2:$D$1001&gt;D296))+COUNTIFS($F$2:F296,1,$G$2:G296,"轿车",$D$2:D296,D296)-1)</f>
        <v/>
      </c>
      <c r="P296" s="62" t="str">
        <f>IF(OR(D296="",NOT(AND(F296=1,G296="MPV"))),"",1+SUMPRODUCT(($F$2:$F$1001=1)*($G$2:$G$1001="MPV")*($D$2:$D$1001&gt;D296))+COUNTIFS($F$2:F296,1,$G$2:G296,"MPV",$D$2:D296,D296)-1)</f>
        <v/>
      </c>
      <c r="Q296" s="62" t="str">
        <f>IF(OR(D296="",NOT(AND(F296=1,G296="SUV"))),"",1+SUMPRODUCT(($F$2:$F$1001=1)*($G$2:$G$1001="SUV")*($D$2:$D$1001&gt;D296))+COUNTIFS($F$2:F296,1,$G$2:G296,"SUV",$D$2:D296,D296)-1)</f>
        <v/>
      </c>
    </row>
    <row r="297" spans="1:17">
      <c r="A297" s="62" t="str">
        <f>IFERROR(INDEX($H$2:$H$3000,MATCH(0,INDEX(COUNTIF($A$1:A296,$H$2:$H$3000)+($H$2:$H$3000=""),0,0),0)),"")</f>
        <v>ROLLS-ROYCE♦GHOST</v>
      </c>
      <c r="B297" s="62" t="str">
        <f t="shared" si="16"/>
        <v>ROLLS-ROYCE</v>
      </c>
      <c r="C297" s="62" t="str">
        <f t="shared" si="17"/>
        <v>GHOST</v>
      </c>
      <c r="D297" s="63">
        <f t="shared" si="18"/>
        <v>1</v>
      </c>
      <c r="E297" s="62">
        <f>IF(D297="","",_xlfn.RANK.EQ(D297,$D$2:$D$1001,0)+COUNTIF($D$2:D297,D297)-1)</f>
        <v>248</v>
      </c>
      <c r="F297" s="62">
        <f>IF(B297="","",--(COUNTIF(CN_Brands!$A$2:$A$300,UPPER(B297))&gt;0))</f>
        <v>0</v>
      </c>
      <c r="G297" s="62" t="str">
        <f t="shared" si="19"/>
        <v>轿车</v>
      </c>
      <c r="H297" s="62" t="str">
        <f>IF(AND('Data Export'!A297=前十整体车型排名!$B$2,'Data Export'!B297=前十整体车型排名!$B$3,'Data Export'!D297&lt;&gt;""),UPPER('Data Export'!C297)&amp;"♦"&amp;'Data Export'!D297,"")</f>
        <v>HONDA♦FREED</v>
      </c>
      <c r="I297" s="63">
        <f>IF(H297="","",IFERROR(INDEX('Data Export'!G297:CZ297,1,MATCH(前十整体车型排名!$B$4,'Data Export'!$G$1:$CZ$1,0)),0))</f>
        <v>0</v>
      </c>
      <c r="J297" s="62" t="str">
        <f>IF(H297="","",IF(OR('Data Export'!F297="三厢轿车",'Data Export'!F297="掀背轿车",'Data Export'!F297="旅行车",'Data Export'!F297="微型车",'Data Export'!F297="硬顶跑车",'Data Export'!F297="敞蓬车",'Data Export'!F297="Targa"),"轿车",IF(OR('Data Export'!F297="小型MPV",'Data Export'!F297="客车"),"MPV",IF('Data Export'!F297="运动型多功能车","SUV","其他"))))</f>
        <v>MPV</v>
      </c>
      <c r="K297" s="62" t="str">
        <f>IF(OR(D297="",NOT(F297=1)),"",1+SUMPRODUCT(($F$2:$F$1001=1)*($D$2:$D$1001&gt;D297))+COUNTIFS($F$2:F297,1,$D$2:D297,D297)-1)</f>
        <v/>
      </c>
      <c r="L297" s="62">
        <f>IF(OR(D297="",NOT(G297="轿车")),"",1+SUMPRODUCT(($G$2:$G$1001="轿车")*($D$2:$D$1001&gt;D297))+COUNTIFS($G$2:G297,"轿车",$D$2:D297,D297)-1)</f>
        <v>76</v>
      </c>
      <c r="M297" s="62" t="str">
        <f>IF(OR(D297="",NOT(G297="MPV")),"",1+SUMPRODUCT(($G$2:$G$1001="MPV")*($D$2:$D$1001&gt;D297))+COUNTIFS($G$2:G297,"MPV",$D$2:D297,D297)-1)</f>
        <v/>
      </c>
      <c r="N297" s="62" t="str">
        <f>IF(OR(D297="",NOT(G297="SUV")),"",1+SUMPRODUCT(($G$2:$G$1001="SUV")*($D$2:$D$1001&gt;D297))+COUNTIFS($G$2:G297,"SUV",$D$2:D297,D297)-1)</f>
        <v/>
      </c>
      <c r="O297" s="62" t="str">
        <f>IF(OR(D297="",NOT(AND(F297=1,G297="轿车"))),"",1+SUMPRODUCT(($F$2:$F$1001=1)*($G$2:$G$1001="轿车")*($D$2:$D$1001&gt;D297))+COUNTIFS($F$2:F297,1,$G$2:G297,"轿车",$D$2:D297,D297)-1)</f>
        <v/>
      </c>
      <c r="P297" s="62" t="str">
        <f>IF(OR(D297="",NOT(AND(F297=1,G297="MPV"))),"",1+SUMPRODUCT(($F$2:$F$1001=1)*($G$2:$G$1001="MPV")*($D$2:$D$1001&gt;D297))+COUNTIFS($F$2:F297,1,$G$2:G297,"MPV",$D$2:D297,D297)-1)</f>
        <v/>
      </c>
      <c r="Q297" s="62" t="str">
        <f>IF(OR(D297="",NOT(AND(F297=1,G297="SUV"))),"",1+SUMPRODUCT(($F$2:$F$1001=1)*($G$2:$G$1001="SUV")*($D$2:$D$1001&gt;D297))+COUNTIFS($F$2:F297,1,$G$2:G297,"SUV",$D$2:D297,D297)-1)</f>
        <v/>
      </c>
    </row>
    <row r="298" spans="1:17">
      <c r="A298" s="62" t="str">
        <f>IFERROR(INDEX($H$2:$H$3000,MATCH(0,INDEX(COUNTIF($A$1:A297,$H$2:$H$3000)+($H$2:$H$3000=""),0,0),0)),"")</f>
        <v>ROLLS-ROYCE♦PHANTOM</v>
      </c>
      <c r="B298" s="62" t="str">
        <f t="shared" si="16"/>
        <v>ROLLS-ROYCE</v>
      </c>
      <c r="C298" s="62" t="str">
        <f t="shared" si="17"/>
        <v>PHANTOM</v>
      </c>
      <c r="D298" s="63">
        <f t="shared" si="18"/>
        <v>0</v>
      </c>
      <c r="E298" s="62">
        <f>IF(D298="","",_xlfn.RANK.EQ(D298,$D$2:$D$1001,0)+COUNTIF($D$2:D298,D298)-1)</f>
        <v>365</v>
      </c>
      <c r="F298" s="62">
        <f>IF(B298="","",--(COUNTIF(CN_Brands!$A$2:$A$300,UPPER(B298))&gt;0))</f>
        <v>0</v>
      </c>
      <c r="G298" s="62" t="str">
        <f t="shared" si="19"/>
        <v>轿车</v>
      </c>
      <c r="H298" s="62" t="str">
        <f>IF(AND('Data Export'!A298=前十整体车型排名!$B$2,'Data Export'!B298=前十整体车型排名!$B$3,'Data Export'!D298&lt;&gt;""),UPPER('Data Export'!C298)&amp;"♦"&amp;'Data Export'!D298,"")</f>
        <v>HONDA♦HONDA E</v>
      </c>
      <c r="I298" s="63">
        <f>IF(H298="","",IFERROR(INDEX('Data Export'!G298:CZ298,1,MATCH(前十整体车型排名!$B$4,'Data Export'!$G$1:$CZ$1,0)),0))</f>
        <v>0</v>
      </c>
      <c r="J298" s="62" t="str">
        <f>IF(H298="","",IF(OR('Data Export'!F298="三厢轿车",'Data Export'!F298="掀背轿车",'Data Export'!F298="旅行车",'Data Export'!F298="微型车",'Data Export'!F298="硬顶跑车",'Data Export'!F298="敞蓬车",'Data Export'!F298="Targa"),"轿车",IF(OR('Data Export'!F298="小型MPV",'Data Export'!F298="客车"),"MPV",IF('Data Export'!F298="运动型多功能车","SUV","其他"))))</f>
        <v>轿车</v>
      </c>
      <c r="K298" s="62" t="str">
        <f>IF(OR(D298="",NOT(F298=1)),"",1+SUMPRODUCT(($F$2:$F$1001=1)*($D$2:$D$1001&gt;D298))+COUNTIFS($F$2:F298,1,$D$2:D298,D298)-1)</f>
        <v/>
      </c>
      <c r="L298" s="62">
        <f>IF(OR(D298="",NOT(G298="轿车")),"",1+SUMPRODUCT(($G$2:$G$1001="轿车")*($D$2:$D$1001&gt;D298))+COUNTIFS($G$2:G298,"轿车",$D$2:D298,D298)-1)</f>
        <v>131</v>
      </c>
      <c r="M298" s="62" t="str">
        <f>IF(OR(D298="",NOT(G298="MPV")),"",1+SUMPRODUCT(($G$2:$G$1001="MPV")*($D$2:$D$1001&gt;D298))+COUNTIFS($G$2:G298,"MPV",$D$2:D298,D298)-1)</f>
        <v/>
      </c>
      <c r="N298" s="62" t="str">
        <f>IF(OR(D298="",NOT(G298="SUV")),"",1+SUMPRODUCT(($G$2:$G$1001="SUV")*($D$2:$D$1001&gt;D298))+COUNTIFS($G$2:G298,"SUV",$D$2:D298,D298)-1)</f>
        <v/>
      </c>
      <c r="O298" s="62" t="str">
        <f>IF(OR(D298="",NOT(AND(F298=1,G298="轿车"))),"",1+SUMPRODUCT(($F$2:$F$1001=1)*($G$2:$G$1001="轿车")*($D$2:$D$1001&gt;D298))+COUNTIFS($F$2:F298,1,$G$2:G298,"轿车",$D$2:D298,D298)-1)</f>
        <v/>
      </c>
      <c r="P298" s="62" t="str">
        <f>IF(OR(D298="",NOT(AND(F298=1,G298="MPV"))),"",1+SUMPRODUCT(($F$2:$F$1001=1)*($G$2:$G$1001="MPV")*($D$2:$D$1001&gt;D298))+COUNTIFS($F$2:F298,1,$G$2:G298,"MPV",$D$2:D298,D298)-1)</f>
        <v/>
      </c>
      <c r="Q298" s="62" t="str">
        <f>IF(OR(D298="",NOT(AND(F298=1,G298="SUV"))),"",1+SUMPRODUCT(($F$2:$F$1001=1)*($G$2:$G$1001="SUV")*($D$2:$D$1001&gt;D298))+COUNTIFS($F$2:F298,1,$G$2:G298,"SUV",$D$2:D298,D298)-1)</f>
        <v/>
      </c>
    </row>
    <row r="299" spans="1:17">
      <c r="A299" s="62" t="str">
        <f>IFERROR(INDEX($H$2:$H$3000,MATCH(0,INDEX(COUNTIF($A$1:A298,$H$2:$H$3000)+($H$2:$H$3000=""),0,0),0)),"")</f>
        <v>ROLLS-ROYCE♦SPECTRE</v>
      </c>
      <c r="B299" s="62" t="str">
        <f t="shared" si="16"/>
        <v>ROLLS-ROYCE</v>
      </c>
      <c r="C299" s="62" t="str">
        <f t="shared" si="17"/>
        <v>SPECTRE</v>
      </c>
      <c r="D299" s="63">
        <f t="shared" si="18"/>
        <v>1</v>
      </c>
      <c r="E299" s="62">
        <f>IF(D299="","",_xlfn.RANK.EQ(D299,$D$2:$D$1001,0)+COUNTIF($D$2:D299,D299)-1)</f>
        <v>249</v>
      </c>
      <c r="F299" s="62">
        <f>IF(B299="","",--(COUNTIF(CN_Brands!$A$2:$A$300,UPPER(B299))&gt;0))</f>
        <v>0</v>
      </c>
      <c r="G299" s="62" t="str">
        <f t="shared" si="19"/>
        <v>轿车</v>
      </c>
      <c r="H299" s="62" t="str">
        <f>IF(AND('Data Export'!A299=前十整体车型排名!$B$2,'Data Export'!B299=前十整体车型排名!$B$3,'Data Export'!D299&lt;&gt;""),UPPER('Data Export'!C299)&amp;"♦"&amp;'Data Export'!D299,"")</f>
        <v>HONDA♦HR-V</v>
      </c>
      <c r="I299" s="63">
        <f>IF(H299="","",IFERROR(INDEX('Data Export'!G299:CZ299,1,MATCH(前十整体车型排名!$B$4,'Data Export'!$G$1:$CZ$1,0)),0))</f>
        <v>1734</v>
      </c>
      <c r="J299" s="62" t="str">
        <f>IF(H299="","",IF(OR('Data Export'!F299="三厢轿车",'Data Export'!F299="掀背轿车",'Data Export'!F299="旅行车",'Data Export'!F299="微型车",'Data Export'!F299="硬顶跑车",'Data Export'!F299="敞蓬车",'Data Export'!F299="Targa"),"轿车",IF(OR('Data Export'!F299="小型MPV",'Data Export'!F299="客车"),"MPV",IF('Data Export'!F299="运动型多功能车","SUV","其他"))))</f>
        <v>SUV</v>
      </c>
      <c r="K299" s="62" t="str">
        <f>IF(OR(D299="",NOT(F299=1)),"",1+SUMPRODUCT(($F$2:$F$1001=1)*($D$2:$D$1001&gt;D299))+COUNTIFS($F$2:F299,1,$D$2:D299,D299)-1)</f>
        <v/>
      </c>
      <c r="L299" s="62">
        <f>IF(OR(D299="",NOT(G299="轿车")),"",1+SUMPRODUCT(($G$2:$G$1001="轿车")*($D$2:$D$1001&gt;D299))+COUNTIFS($G$2:G299,"轿车",$D$2:D299,D299)-1)</f>
        <v>77</v>
      </c>
      <c r="M299" s="62" t="str">
        <f>IF(OR(D299="",NOT(G299="MPV")),"",1+SUMPRODUCT(($G$2:$G$1001="MPV")*($D$2:$D$1001&gt;D299))+COUNTIFS($G$2:G299,"MPV",$D$2:D299,D299)-1)</f>
        <v/>
      </c>
      <c r="N299" s="62" t="str">
        <f>IF(OR(D299="",NOT(G299="SUV")),"",1+SUMPRODUCT(($G$2:$G$1001="SUV")*($D$2:$D$1001&gt;D299))+COUNTIFS($G$2:G299,"SUV",$D$2:D299,D299)-1)</f>
        <v/>
      </c>
      <c r="O299" s="62" t="str">
        <f>IF(OR(D299="",NOT(AND(F299=1,G299="轿车"))),"",1+SUMPRODUCT(($F$2:$F$1001=1)*($G$2:$G$1001="轿车")*($D$2:$D$1001&gt;D299))+COUNTIFS($F$2:F299,1,$G$2:G299,"轿车",$D$2:D299,D299)-1)</f>
        <v/>
      </c>
      <c r="P299" s="62" t="str">
        <f>IF(OR(D299="",NOT(AND(F299=1,G299="MPV"))),"",1+SUMPRODUCT(($F$2:$F$1001=1)*($G$2:$G$1001="MPV")*($D$2:$D$1001&gt;D299))+COUNTIFS($F$2:F299,1,$G$2:G299,"MPV",$D$2:D299,D299)-1)</f>
        <v/>
      </c>
      <c r="Q299" s="62" t="str">
        <f>IF(OR(D299="",NOT(AND(F299=1,G299="SUV"))),"",1+SUMPRODUCT(($F$2:$F$1001=1)*($G$2:$G$1001="SUV")*($D$2:$D$1001&gt;D299))+COUNTIFS($F$2:F299,1,$G$2:G299,"SUV",$D$2:D299,D299)-1)</f>
        <v/>
      </c>
    </row>
    <row r="300" spans="1:17">
      <c r="A300" s="62" t="str">
        <f>IFERROR(INDEX($H$2:$H$3000,MATCH(0,INDEX(COUNTIF($A$1:A299,$H$2:$H$3000)+($H$2:$H$3000=""),0,0),0)),"")</f>
        <v>SMART♦FORTWO</v>
      </c>
      <c r="B300" s="62" t="str">
        <f t="shared" si="16"/>
        <v>SMART</v>
      </c>
      <c r="C300" s="62" t="str">
        <f t="shared" si="17"/>
        <v>FORTWO</v>
      </c>
      <c r="D300" s="63">
        <f t="shared" si="18"/>
        <v>1</v>
      </c>
      <c r="E300" s="62">
        <f>IF(D300="","",_xlfn.RANK.EQ(D300,$D$2:$D$1001,0)+COUNTIF($D$2:D300,D300)-1)</f>
        <v>250</v>
      </c>
      <c r="F300" s="62">
        <f>IF(B300="","",--(COUNTIF(CN_Brands!$A$2:$A$300,UPPER(B300))&gt;0))</f>
        <v>0</v>
      </c>
      <c r="G300" s="62" t="str">
        <f t="shared" si="19"/>
        <v>轿车</v>
      </c>
      <c r="H300" s="62" t="str">
        <f>IF(AND('Data Export'!A300=前十整体车型排名!$B$2,'Data Export'!B300=前十整体车型排名!$B$3,'Data Export'!D300&lt;&gt;""),UPPER('Data Export'!C300)&amp;"♦"&amp;'Data Export'!D300,"")</f>
        <v>HONDA♦JAZZ</v>
      </c>
      <c r="I300" s="63">
        <f>IF(H300="","",IFERROR(INDEX('Data Export'!G300:CZ300,1,MATCH(前十整体车型排名!$B$4,'Data Export'!$G$1:$CZ$1,0)),0))</f>
        <v>0</v>
      </c>
      <c r="J300" s="62" t="str">
        <f>IF(H300="","",IF(OR('Data Export'!F300="三厢轿车",'Data Export'!F300="掀背轿车",'Data Export'!F300="旅行车",'Data Export'!F300="微型车",'Data Export'!F300="硬顶跑车",'Data Export'!F300="敞蓬车",'Data Export'!F300="Targa"),"轿车",IF(OR('Data Export'!F300="小型MPV",'Data Export'!F300="客车"),"MPV",IF('Data Export'!F300="运动型多功能车","SUV","其他"))))</f>
        <v>轿车</v>
      </c>
      <c r="K300" s="62" t="str">
        <f>IF(OR(D300="",NOT(F300=1)),"",1+SUMPRODUCT(($F$2:$F$1001=1)*($D$2:$D$1001&gt;D300))+COUNTIFS($F$2:F300,1,$D$2:D300,D300)-1)</f>
        <v/>
      </c>
      <c r="L300" s="62">
        <f>IF(OR(D300="",NOT(G300="轿车")),"",1+SUMPRODUCT(($G$2:$G$1001="轿车")*($D$2:$D$1001&gt;D300))+COUNTIFS($G$2:G300,"轿车",$D$2:D300,D300)-1)</f>
        <v>78</v>
      </c>
      <c r="M300" s="62" t="str">
        <f>IF(OR(D300="",NOT(G300="MPV")),"",1+SUMPRODUCT(($G$2:$G$1001="MPV")*($D$2:$D$1001&gt;D300))+COUNTIFS($G$2:G300,"MPV",$D$2:D300,D300)-1)</f>
        <v/>
      </c>
      <c r="N300" s="62" t="str">
        <f>IF(OR(D300="",NOT(G300="SUV")),"",1+SUMPRODUCT(($G$2:$G$1001="SUV")*($D$2:$D$1001&gt;D300))+COUNTIFS($G$2:G300,"SUV",$D$2:D300,D300)-1)</f>
        <v/>
      </c>
      <c r="O300" s="62" t="str">
        <f>IF(OR(D300="",NOT(AND(F300=1,G300="轿车"))),"",1+SUMPRODUCT(($F$2:$F$1001=1)*($G$2:$G$1001="轿车")*($D$2:$D$1001&gt;D300))+COUNTIFS($F$2:F300,1,$G$2:G300,"轿车",$D$2:D300,D300)-1)</f>
        <v/>
      </c>
      <c r="P300" s="62" t="str">
        <f>IF(OR(D300="",NOT(AND(F300=1,G300="MPV"))),"",1+SUMPRODUCT(($F$2:$F$1001=1)*($G$2:$G$1001="MPV")*($D$2:$D$1001&gt;D300))+COUNTIFS($F$2:F300,1,$G$2:G300,"MPV",$D$2:D300,D300)-1)</f>
        <v/>
      </c>
      <c r="Q300" s="62" t="str">
        <f>IF(OR(D300="",NOT(AND(F300=1,G300="SUV"))),"",1+SUMPRODUCT(($F$2:$F$1001=1)*($G$2:$G$1001="SUV")*($D$2:$D$1001&gt;D300))+COUNTIFS($F$2:F300,1,$G$2:G300,"SUV",$D$2:D300,D300)-1)</f>
        <v/>
      </c>
    </row>
    <row r="301" spans="1:17">
      <c r="A301" s="62" t="str">
        <f>IFERROR(INDEX($H$2:$H$3000,MATCH(0,INDEX(COUNTIF($A$1:A300,$H$2:$H$3000)+($H$2:$H$3000=""),0,0),0)),"")</f>
        <v>SUBARU♦BRZ</v>
      </c>
      <c r="B301" s="62" t="str">
        <f t="shared" si="16"/>
        <v>SUBARU</v>
      </c>
      <c r="C301" s="62" t="str">
        <f t="shared" si="17"/>
        <v>BRZ</v>
      </c>
      <c r="D301" s="63">
        <f t="shared" si="18"/>
        <v>0</v>
      </c>
      <c r="E301" s="62">
        <f>IF(D301="","",_xlfn.RANK.EQ(D301,$D$2:$D$1001,0)+COUNTIF($D$2:D301,D301)-1)</f>
        <v>366</v>
      </c>
      <c r="F301" s="62">
        <f>IF(B301="","",--(COUNTIF(CN_Brands!$A$2:$A$300,UPPER(B301))&gt;0))</f>
        <v>0</v>
      </c>
      <c r="G301" s="62" t="str">
        <f t="shared" si="19"/>
        <v>轿车</v>
      </c>
      <c r="H301" s="62" t="str">
        <f>IF(AND('Data Export'!A301=前十整体车型排名!$B$2,'Data Export'!B301=前十整体车型排名!$B$3,'Data Export'!D301&lt;&gt;""),UPPER('Data Export'!C301)&amp;"♦"&amp;'Data Export'!D301,"")</f>
        <v>HONDA♦MOBILIO</v>
      </c>
      <c r="I301" s="63">
        <f>IF(H301="","",IFERROR(INDEX('Data Export'!G301:CZ301,1,MATCH(前十整体车型排名!$B$4,'Data Export'!$G$1:$CZ$1,0)),0))</f>
        <v>0</v>
      </c>
      <c r="J301" s="62" t="str">
        <f>IF(H301="","",IF(OR('Data Export'!F301="三厢轿车",'Data Export'!F301="掀背轿车",'Data Export'!F301="旅行车",'Data Export'!F301="微型车",'Data Export'!F301="硬顶跑车",'Data Export'!F301="敞蓬车",'Data Export'!F301="Targa"),"轿车",IF(OR('Data Export'!F301="小型MPV",'Data Export'!F301="客车"),"MPV",IF('Data Export'!F301="运动型多功能车","SUV","其他"))))</f>
        <v>MPV</v>
      </c>
      <c r="K301" s="62" t="str">
        <f>IF(OR(D301="",NOT(F301=1)),"",1+SUMPRODUCT(($F$2:$F$1001=1)*($D$2:$D$1001&gt;D301))+COUNTIFS($F$2:F301,1,$D$2:D301,D301)-1)</f>
        <v/>
      </c>
      <c r="L301" s="62">
        <f>IF(OR(D301="",NOT(G301="轿车")),"",1+SUMPRODUCT(($G$2:$G$1001="轿车")*($D$2:$D$1001&gt;D301))+COUNTIFS($G$2:G301,"轿车",$D$2:D301,D301)-1)</f>
        <v>132</v>
      </c>
      <c r="M301" s="62" t="str">
        <f>IF(OR(D301="",NOT(G301="MPV")),"",1+SUMPRODUCT(($G$2:$G$1001="MPV")*($D$2:$D$1001&gt;D301))+COUNTIFS($G$2:G301,"MPV",$D$2:D301,D301)-1)</f>
        <v/>
      </c>
      <c r="N301" s="62" t="str">
        <f>IF(OR(D301="",NOT(G301="SUV")),"",1+SUMPRODUCT(($G$2:$G$1001="SUV")*($D$2:$D$1001&gt;D301))+COUNTIFS($G$2:G301,"SUV",$D$2:D301,D301)-1)</f>
        <v/>
      </c>
      <c r="O301" s="62" t="str">
        <f>IF(OR(D301="",NOT(AND(F301=1,G301="轿车"))),"",1+SUMPRODUCT(($F$2:$F$1001=1)*($G$2:$G$1001="轿车")*($D$2:$D$1001&gt;D301))+COUNTIFS($F$2:F301,1,$G$2:G301,"轿车",$D$2:D301,D301)-1)</f>
        <v/>
      </c>
      <c r="P301" s="62" t="str">
        <f>IF(OR(D301="",NOT(AND(F301=1,G301="MPV"))),"",1+SUMPRODUCT(($F$2:$F$1001=1)*($G$2:$G$1001="MPV")*($D$2:$D$1001&gt;D301))+COUNTIFS($F$2:F301,1,$G$2:G301,"MPV",$D$2:D301,D301)-1)</f>
        <v/>
      </c>
      <c r="Q301" s="62" t="str">
        <f>IF(OR(D301="",NOT(AND(F301=1,G301="SUV"))),"",1+SUMPRODUCT(($F$2:$F$1001=1)*($G$2:$G$1001="SUV")*($D$2:$D$1001&gt;D301))+COUNTIFS($F$2:F301,1,$G$2:G301,"SUV",$D$2:D301,D301)-1)</f>
        <v/>
      </c>
    </row>
    <row r="302" spans="1:17">
      <c r="A302" s="62" t="str">
        <f>IFERROR(INDEX($H$2:$H$3000,MATCH(0,INDEX(COUNTIF($A$1:A301,$H$2:$H$3000)+($H$2:$H$3000=""),0,0),0)),"")</f>
        <v>SUBARU♦FORESTER</v>
      </c>
      <c r="B302" s="62" t="str">
        <f t="shared" si="16"/>
        <v>SUBARU</v>
      </c>
      <c r="C302" s="62" t="str">
        <f t="shared" si="17"/>
        <v>FORESTER</v>
      </c>
      <c r="D302" s="63">
        <f t="shared" si="18"/>
        <v>10</v>
      </c>
      <c r="E302" s="62">
        <f>IF(D302="","",_xlfn.RANK.EQ(D302,$D$2:$D$1001,0)+COUNTIF($D$2:D302,D302)-1)</f>
        <v>145</v>
      </c>
      <c r="F302" s="62">
        <f>IF(B302="","",--(COUNTIF(CN_Brands!$A$2:$A$300,UPPER(B302))&gt;0))</f>
        <v>0</v>
      </c>
      <c r="G302" s="62" t="str">
        <f t="shared" si="19"/>
        <v>SUV</v>
      </c>
      <c r="H302" s="62" t="str">
        <f>IF(AND('Data Export'!A302=前十整体车型排名!$B$2,'Data Export'!B302=前十整体车型排名!$B$3,'Data Export'!D302&lt;&gt;""),UPPER('Data Export'!C302)&amp;"♦"&amp;'Data Export'!D302,"")</f>
        <v>HONDA♦MOBILIO</v>
      </c>
      <c r="I302" s="63">
        <f>IF(H302="","",IFERROR(INDEX('Data Export'!G302:CZ302,1,MATCH(前十整体车型排名!$B$4,'Data Export'!$G$1:$CZ$1,0)),0))</f>
        <v>0</v>
      </c>
      <c r="J302" s="62" t="str">
        <f>IF(H302="","",IF(OR('Data Export'!F302="三厢轿车",'Data Export'!F302="掀背轿车",'Data Export'!F302="旅行车",'Data Export'!F302="微型车",'Data Export'!F302="硬顶跑车",'Data Export'!F302="敞蓬车",'Data Export'!F302="Targa"),"轿车",IF(OR('Data Export'!F302="小型MPV",'Data Export'!F302="客车"),"MPV",IF('Data Export'!F302="运动型多功能车","SUV","其他"))))</f>
        <v>MPV</v>
      </c>
      <c r="K302" s="62" t="str">
        <f>IF(OR(D302="",NOT(F302=1)),"",1+SUMPRODUCT(($F$2:$F$1001=1)*($D$2:$D$1001&gt;D302))+COUNTIFS($F$2:F302,1,$D$2:D302,D302)-1)</f>
        <v/>
      </c>
      <c r="L302" s="62" t="str">
        <f>IF(OR(D302="",NOT(G302="轿车")),"",1+SUMPRODUCT(($G$2:$G$1001="轿车")*($D$2:$D$1001&gt;D302))+COUNTIFS($G$2:G302,"轿车",$D$2:D302,D302)-1)</f>
        <v/>
      </c>
      <c r="M302" s="62" t="str">
        <f>IF(OR(D302="",NOT(G302="MPV")),"",1+SUMPRODUCT(($G$2:$G$1001="MPV")*($D$2:$D$1001&gt;D302))+COUNTIFS($G$2:G302,"MPV",$D$2:D302,D302)-1)</f>
        <v/>
      </c>
      <c r="N302" s="62">
        <f>IF(OR(D302="",NOT(G302="SUV")),"",1+SUMPRODUCT(($G$2:$G$1001="SUV")*($D$2:$D$1001&gt;D302))+COUNTIFS($G$2:G302,"SUV",$D$2:D302,D302)-1)</f>
        <v>79</v>
      </c>
      <c r="O302" s="62" t="str">
        <f>IF(OR(D302="",NOT(AND(F302=1,G302="轿车"))),"",1+SUMPRODUCT(($F$2:$F$1001=1)*($G$2:$G$1001="轿车")*($D$2:$D$1001&gt;D302))+COUNTIFS($F$2:F302,1,$G$2:G302,"轿车",$D$2:D302,D302)-1)</f>
        <v/>
      </c>
      <c r="P302" s="62" t="str">
        <f>IF(OR(D302="",NOT(AND(F302=1,G302="MPV"))),"",1+SUMPRODUCT(($F$2:$F$1001=1)*($G$2:$G$1001="MPV")*($D$2:$D$1001&gt;D302))+COUNTIFS($F$2:F302,1,$G$2:G302,"MPV",$D$2:D302,D302)-1)</f>
        <v/>
      </c>
      <c r="Q302" s="62" t="str">
        <f>IF(OR(D302="",NOT(AND(F302=1,G302="SUV"))),"",1+SUMPRODUCT(($F$2:$F$1001=1)*($G$2:$G$1001="SUV")*($D$2:$D$1001&gt;D302))+COUNTIFS($F$2:F302,1,$G$2:G302,"SUV",$D$2:D302,D302)-1)</f>
        <v/>
      </c>
    </row>
    <row r="303" spans="1:17">
      <c r="A303" s="62" t="str">
        <f>IFERROR(INDEX($H$2:$H$3000,MATCH(0,INDEX(COUNTIF($A$1:A302,$H$2:$H$3000)+($H$2:$H$3000=""),0,0),0)),"")</f>
        <v>SUBARU♦OTHER</v>
      </c>
      <c r="B303" s="62" t="str">
        <f t="shared" si="16"/>
        <v>SUBARU</v>
      </c>
      <c r="C303" s="62" t="str">
        <f t="shared" si="17"/>
        <v>OTHER</v>
      </c>
      <c r="D303" s="63">
        <f t="shared" si="18"/>
        <v>0</v>
      </c>
      <c r="E303" s="62">
        <f>IF(D303="","",_xlfn.RANK.EQ(D303,$D$2:$D$1001,0)+COUNTIF($D$2:D303,D303)-1)</f>
        <v>367</v>
      </c>
      <c r="F303" s="62">
        <f>IF(B303="","",--(COUNTIF(CN_Brands!$A$2:$A$300,UPPER(B303))&gt;0))</f>
        <v>0</v>
      </c>
      <c r="G303" s="62" t="str">
        <f t="shared" si="19"/>
        <v>其他</v>
      </c>
      <c r="H303" s="62" t="str">
        <f>IF(AND('Data Export'!A303=前十整体车型排名!$B$2,'Data Export'!B303=前十整体车型排名!$B$3,'Data Export'!D303&lt;&gt;""),UPPER('Data Export'!C303)&amp;"♦"&amp;'Data Export'!D303,"")</f>
        <v>HONDA♦N-BOX</v>
      </c>
      <c r="I303" s="63">
        <f>IF(H303="","",IFERROR(INDEX('Data Export'!G303:CZ303,1,MATCH(前十整体车型排名!$B$4,'Data Export'!$G$1:$CZ$1,0)),0))</f>
        <v>1</v>
      </c>
      <c r="J303" s="62" t="str">
        <f>IF(H303="","",IF(OR('Data Export'!F303="三厢轿车",'Data Export'!F303="掀背轿车",'Data Export'!F303="旅行车",'Data Export'!F303="微型车",'Data Export'!F303="硬顶跑车",'Data Export'!F303="敞蓬车",'Data Export'!F303="Targa"),"轿车",IF(OR('Data Export'!F303="小型MPV",'Data Export'!F303="客车"),"MPV",IF('Data Export'!F303="运动型多功能车","SUV","其他"))))</f>
        <v>其他</v>
      </c>
      <c r="K303" s="62" t="str">
        <f>IF(OR(D303="",NOT(F303=1)),"",1+SUMPRODUCT(($F$2:$F$1001=1)*($D$2:$D$1001&gt;D303))+COUNTIFS($F$2:F303,1,$D$2:D303,D303)-1)</f>
        <v/>
      </c>
      <c r="L303" s="62" t="str">
        <f>IF(OR(D303="",NOT(G303="轿车")),"",1+SUMPRODUCT(($G$2:$G$1001="轿车")*($D$2:$D$1001&gt;D303))+COUNTIFS($G$2:G303,"轿车",$D$2:D303,D303)-1)</f>
        <v/>
      </c>
      <c r="M303" s="62" t="str">
        <f>IF(OR(D303="",NOT(G303="MPV")),"",1+SUMPRODUCT(($G$2:$G$1001="MPV")*($D$2:$D$1001&gt;D303))+COUNTIFS($G$2:G303,"MPV",$D$2:D303,D303)-1)</f>
        <v/>
      </c>
      <c r="N303" s="62" t="str">
        <f>IF(OR(D303="",NOT(G303="SUV")),"",1+SUMPRODUCT(($G$2:$G$1001="SUV")*($D$2:$D$1001&gt;D303))+COUNTIFS($G$2:G303,"SUV",$D$2:D303,D303)-1)</f>
        <v/>
      </c>
      <c r="O303" s="62" t="str">
        <f>IF(OR(D303="",NOT(AND(F303=1,G303="轿车"))),"",1+SUMPRODUCT(($F$2:$F$1001=1)*($G$2:$G$1001="轿车")*($D$2:$D$1001&gt;D303))+COUNTIFS($F$2:F303,1,$G$2:G303,"轿车",$D$2:D303,D303)-1)</f>
        <v/>
      </c>
      <c r="P303" s="62" t="str">
        <f>IF(OR(D303="",NOT(AND(F303=1,G303="MPV"))),"",1+SUMPRODUCT(($F$2:$F$1001=1)*($G$2:$G$1001="MPV")*($D$2:$D$1001&gt;D303))+COUNTIFS($F$2:F303,1,$G$2:G303,"MPV",$D$2:D303,D303)-1)</f>
        <v/>
      </c>
      <c r="Q303" s="62" t="str">
        <f>IF(OR(D303="",NOT(AND(F303=1,G303="SUV"))),"",1+SUMPRODUCT(($F$2:$F$1001=1)*($G$2:$G$1001="SUV")*($D$2:$D$1001&gt;D303))+COUNTIFS($F$2:F303,1,$G$2:G303,"SUV",$D$2:D303,D303)-1)</f>
        <v/>
      </c>
    </row>
    <row r="304" spans="1:17">
      <c r="A304" s="62" t="str">
        <f>IFERROR(INDEX($H$2:$H$3000,MATCH(0,INDEX(COUNTIF($A$1:A303,$H$2:$H$3000)+($H$2:$H$3000=""),0,0),0)),"")</f>
        <v>SUBARU♦OUTBACK</v>
      </c>
      <c r="B304" s="62" t="str">
        <f t="shared" si="16"/>
        <v>SUBARU</v>
      </c>
      <c r="C304" s="62" t="str">
        <f t="shared" si="17"/>
        <v>OUTBACK</v>
      </c>
      <c r="D304" s="63">
        <f t="shared" si="18"/>
        <v>0</v>
      </c>
      <c r="E304" s="62">
        <f>IF(D304="","",_xlfn.RANK.EQ(D304,$D$2:$D$1001,0)+COUNTIF($D$2:D304,D304)-1)</f>
        <v>368</v>
      </c>
      <c r="F304" s="62">
        <f>IF(B304="","",--(COUNTIF(CN_Brands!$A$2:$A$300,UPPER(B304))&gt;0))</f>
        <v>0</v>
      </c>
      <c r="G304" s="62" t="str">
        <f t="shared" si="19"/>
        <v>轿车</v>
      </c>
      <c r="H304" s="62" t="str">
        <f>IF(AND('Data Export'!A304=前十整体车型排名!$B$2,'Data Export'!B304=前十整体车型排名!$B$3,'Data Export'!D304&lt;&gt;""),UPPER('Data Export'!C304)&amp;"♦"&amp;'Data Export'!D304,"")</f>
        <v>HONDA♦N-BOX</v>
      </c>
      <c r="I304" s="63">
        <f>IF(H304="","",IFERROR(INDEX('Data Export'!G304:CZ304,1,MATCH(前十整体车型排名!$B$4,'Data Export'!$G$1:$CZ$1,0)),0))</f>
        <v>0</v>
      </c>
      <c r="J304" s="62" t="str">
        <f>IF(H304="","",IF(OR('Data Export'!F304="三厢轿车",'Data Export'!F304="掀背轿车",'Data Export'!F304="旅行车",'Data Export'!F304="微型车",'Data Export'!F304="硬顶跑车",'Data Export'!F304="敞蓬车",'Data Export'!F304="Targa"),"轿车",IF(OR('Data Export'!F304="小型MPV",'Data Export'!F304="客车"),"MPV",IF('Data Export'!F304="运动型多功能车","SUV","其他"))))</f>
        <v>其他</v>
      </c>
      <c r="K304" s="62" t="str">
        <f>IF(OR(D304="",NOT(F304=1)),"",1+SUMPRODUCT(($F$2:$F$1001=1)*($D$2:$D$1001&gt;D304))+COUNTIFS($F$2:F304,1,$D$2:D304,D304)-1)</f>
        <v/>
      </c>
      <c r="L304" s="62">
        <f>IF(OR(D304="",NOT(G304="轿车")),"",1+SUMPRODUCT(($G$2:$G$1001="轿车")*($D$2:$D$1001&gt;D304))+COUNTIFS($G$2:G304,"轿车",$D$2:D304,D304)-1)</f>
        <v>133</v>
      </c>
      <c r="M304" s="62" t="str">
        <f>IF(OR(D304="",NOT(G304="MPV")),"",1+SUMPRODUCT(($G$2:$G$1001="MPV")*($D$2:$D$1001&gt;D304))+COUNTIFS($G$2:G304,"MPV",$D$2:D304,D304)-1)</f>
        <v/>
      </c>
      <c r="N304" s="62" t="str">
        <f>IF(OR(D304="",NOT(G304="SUV")),"",1+SUMPRODUCT(($G$2:$G$1001="SUV")*($D$2:$D$1001&gt;D304))+COUNTIFS($G$2:G304,"SUV",$D$2:D304,D304)-1)</f>
        <v/>
      </c>
      <c r="O304" s="62" t="str">
        <f>IF(OR(D304="",NOT(AND(F304=1,G304="轿车"))),"",1+SUMPRODUCT(($F$2:$F$1001=1)*($G$2:$G$1001="轿车")*($D$2:$D$1001&gt;D304))+COUNTIFS($F$2:F304,1,$G$2:G304,"轿车",$D$2:D304,D304)-1)</f>
        <v/>
      </c>
      <c r="P304" s="62" t="str">
        <f>IF(OR(D304="",NOT(AND(F304=1,G304="MPV"))),"",1+SUMPRODUCT(($F$2:$F$1001=1)*($G$2:$G$1001="MPV")*($D$2:$D$1001&gt;D304))+COUNTIFS($F$2:F304,1,$G$2:G304,"MPV",$D$2:D304,D304)-1)</f>
        <v/>
      </c>
      <c r="Q304" s="62" t="str">
        <f>IF(OR(D304="",NOT(AND(F304=1,G304="SUV"))),"",1+SUMPRODUCT(($F$2:$F$1001=1)*($G$2:$G$1001="SUV")*($D$2:$D$1001&gt;D304))+COUNTIFS($F$2:F304,1,$G$2:G304,"SUV",$D$2:D304,D304)-1)</f>
        <v/>
      </c>
    </row>
    <row r="305" spans="1:17">
      <c r="A305" s="62" t="str">
        <f>IFERROR(INDEX($H$2:$H$3000,MATCH(0,INDEX(COUNTIF($A$1:A304,$H$2:$H$3000)+($H$2:$H$3000=""),0,0),0)),"")</f>
        <v>SUBARU♦WRX</v>
      </c>
      <c r="B305" s="62" t="str">
        <f t="shared" si="16"/>
        <v>SUBARU</v>
      </c>
      <c r="C305" s="62" t="str">
        <f t="shared" si="17"/>
        <v>WRX</v>
      </c>
      <c r="D305" s="63">
        <f t="shared" si="18"/>
        <v>1</v>
      </c>
      <c r="E305" s="62">
        <f>IF(D305="","",_xlfn.RANK.EQ(D305,$D$2:$D$1001,0)+COUNTIF($D$2:D305,D305)-1)</f>
        <v>251</v>
      </c>
      <c r="F305" s="62">
        <f>IF(B305="","",--(COUNTIF(CN_Brands!$A$2:$A$300,UPPER(B305))&gt;0))</f>
        <v>0</v>
      </c>
      <c r="G305" s="62" t="str">
        <f t="shared" si="19"/>
        <v>其他</v>
      </c>
      <c r="H305" s="62" t="str">
        <f>IF(AND('Data Export'!A305=前十整体车型排名!$B$2,'Data Export'!B305=前十整体车型排名!$B$3,'Data Export'!D305&lt;&gt;""),UPPER('Data Export'!C305)&amp;"♦"&amp;'Data Export'!D305,"")</f>
        <v>HONDA♦ODYSSEY</v>
      </c>
      <c r="I305" s="63">
        <f>IF(H305="","",IFERROR(INDEX('Data Export'!G305:CZ305,1,MATCH(前十整体车型排名!$B$4,'Data Export'!$G$1:$CZ$1,0)),0))</f>
        <v>1</v>
      </c>
      <c r="J305" s="62" t="str">
        <f>IF(H305="","",IF(OR('Data Export'!F305="三厢轿车",'Data Export'!F305="掀背轿车",'Data Export'!F305="旅行车",'Data Export'!F305="微型车",'Data Export'!F305="硬顶跑车",'Data Export'!F305="敞蓬车",'Data Export'!F305="Targa"),"轿车",IF(OR('Data Export'!F305="小型MPV",'Data Export'!F305="客车"),"MPV",IF('Data Export'!F305="运动型多功能车","SUV","其他"))))</f>
        <v>其他</v>
      </c>
      <c r="K305" s="62" t="str">
        <f>IF(OR(D305="",NOT(F305=1)),"",1+SUMPRODUCT(($F$2:$F$1001=1)*($D$2:$D$1001&gt;D305))+COUNTIFS($F$2:F305,1,$D$2:D305,D305)-1)</f>
        <v/>
      </c>
      <c r="L305" s="62" t="str">
        <f>IF(OR(D305="",NOT(G305="轿车")),"",1+SUMPRODUCT(($G$2:$G$1001="轿车")*($D$2:$D$1001&gt;D305))+COUNTIFS($G$2:G305,"轿车",$D$2:D305,D305)-1)</f>
        <v/>
      </c>
      <c r="M305" s="62" t="str">
        <f>IF(OR(D305="",NOT(G305="MPV")),"",1+SUMPRODUCT(($G$2:$G$1001="MPV")*($D$2:$D$1001&gt;D305))+COUNTIFS($G$2:G305,"MPV",$D$2:D305,D305)-1)</f>
        <v/>
      </c>
      <c r="N305" s="62" t="str">
        <f>IF(OR(D305="",NOT(G305="SUV")),"",1+SUMPRODUCT(($G$2:$G$1001="SUV")*($D$2:$D$1001&gt;D305))+COUNTIFS($G$2:G305,"SUV",$D$2:D305,D305)-1)</f>
        <v/>
      </c>
      <c r="O305" s="62" t="str">
        <f>IF(OR(D305="",NOT(AND(F305=1,G305="轿车"))),"",1+SUMPRODUCT(($F$2:$F$1001=1)*($G$2:$G$1001="轿车")*($D$2:$D$1001&gt;D305))+COUNTIFS($F$2:F305,1,$G$2:G305,"轿车",$D$2:D305,D305)-1)</f>
        <v/>
      </c>
      <c r="P305" s="62" t="str">
        <f>IF(OR(D305="",NOT(AND(F305=1,G305="MPV"))),"",1+SUMPRODUCT(($F$2:$F$1001=1)*($G$2:$G$1001="MPV")*($D$2:$D$1001&gt;D305))+COUNTIFS($F$2:F305,1,$G$2:G305,"MPV",$D$2:D305,D305)-1)</f>
        <v/>
      </c>
      <c r="Q305" s="62" t="str">
        <f>IF(OR(D305="",NOT(AND(F305=1,G305="SUV"))),"",1+SUMPRODUCT(($F$2:$F$1001=1)*($G$2:$G$1001="SUV")*($D$2:$D$1001&gt;D305))+COUNTIFS($F$2:F305,1,$G$2:G305,"SUV",$D$2:D305,D305)-1)</f>
        <v/>
      </c>
    </row>
    <row r="306" spans="1:17">
      <c r="A306" s="62" t="str">
        <f>IFERROR(INDEX($H$2:$H$3000,MATCH(0,INDEX(COUNTIF($A$1:A305,$H$2:$H$3000)+($H$2:$H$3000=""),0,0),0)),"")</f>
        <v>SUBARU♦XV</v>
      </c>
      <c r="B306" s="62" t="str">
        <f t="shared" si="16"/>
        <v>SUBARU</v>
      </c>
      <c r="C306" s="62" t="str">
        <f t="shared" si="17"/>
        <v>XV</v>
      </c>
      <c r="D306" s="63">
        <f t="shared" si="18"/>
        <v>0</v>
      </c>
      <c r="E306" s="62">
        <f>IF(D306="","",_xlfn.RANK.EQ(D306,$D$2:$D$1001,0)+COUNTIF($D$2:D306,D306)-1)</f>
        <v>369</v>
      </c>
      <c r="F306" s="62">
        <f>IF(B306="","",--(COUNTIF(CN_Brands!$A$2:$A$300,UPPER(B306))&gt;0))</f>
        <v>0</v>
      </c>
      <c r="G306" s="62" t="str">
        <f t="shared" si="19"/>
        <v>SUV</v>
      </c>
      <c r="H306" s="62" t="str">
        <f>IF(AND('Data Export'!A306=前十整体车型排名!$B$2,'Data Export'!B306=前十整体车型排名!$B$3,'Data Export'!D306&lt;&gt;""),UPPER('Data Export'!C306)&amp;"♦"&amp;'Data Export'!D306,"")</f>
        <v>HONDA♦OTHER</v>
      </c>
      <c r="I306" s="63">
        <f>IF(H306="","",IFERROR(INDEX('Data Export'!G306:CZ306,1,MATCH(前十整体车型排名!$B$4,'Data Export'!$G$1:$CZ$1,0)),0))</f>
        <v>0</v>
      </c>
      <c r="J306" s="62" t="str">
        <f>IF(H306="","",IF(OR('Data Export'!F306="三厢轿车",'Data Export'!F306="掀背轿车",'Data Export'!F306="旅行车",'Data Export'!F306="微型车",'Data Export'!F306="硬顶跑车",'Data Export'!F306="敞蓬车",'Data Export'!F306="Targa"),"轿车",IF(OR('Data Export'!F306="小型MPV",'Data Export'!F306="客车"),"MPV",IF('Data Export'!F306="运动型多功能车","SUV","其他"))))</f>
        <v>其他</v>
      </c>
      <c r="K306" s="62" t="str">
        <f>IF(OR(D306="",NOT(F306=1)),"",1+SUMPRODUCT(($F$2:$F$1001=1)*($D$2:$D$1001&gt;D306))+COUNTIFS($F$2:F306,1,$D$2:D306,D306)-1)</f>
        <v/>
      </c>
      <c r="L306" s="62" t="str">
        <f>IF(OR(D306="",NOT(G306="轿车")),"",1+SUMPRODUCT(($G$2:$G$1001="轿车")*($D$2:$D$1001&gt;D306))+COUNTIFS($G$2:G306,"轿车",$D$2:D306,D306)-1)</f>
        <v/>
      </c>
      <c r="M306" s="62" t="str">
        <f>IF(OR(D306="",NOT(G306="MPV")),"",1+SUMPRODUCT(($G$2:$G$1001="MPV")*($D$2:$D$1001&gt;D306))+COUNTIFS($G$2:G306,"MPV",$D$2:D306,D306)-1)</f>
        <v/>
      </c>
      <c r="N306" s="62">
        <f>IF(OR(D306="",NOT(G306="SUV")),"",1+SUMPRODUCT(($G$2:$G$1001="SUV")*($D$2:$D$1001&gt;D306))+COUNTIFS($G$2:G306,"SUV",$D$2:D306,D306)-1)</f>
        <v>153</v>
      </c>
      <c r="O306" s="62" t="str">
        <f>IF(OR(D306="",NOT(AND(F306=1,G306="轿车"))),"",1+SUMPRODUCT(($F$2:$F$1001=1)*($G$2:$G$1001="轿车")*($D$2:$D$1001&gt;D306))+COUNTIFS($F$2:F306,1,$G$2:G306,"轿车",$D$2:D306,D306)-1)</f>
        <v/>
      </c>
      <c r="P306" s="62" t="str">
        <f>IF(OR(D306="",NOT(AND(F306=1,G306="MPV"))),"",1+SUMPRODUCT(($F$2:$F$1001=1)*($G$2:$G$1001="MPV")*($D$2:$D$1001&gt;D306))+COUNTIFS($F$2:F306,1,$G$2:G306,"MPV",$D$2:D306,D306)-1)</f>
        <v/>
      </c>
      <c r="Q306" s="62" t="str">
        <f>IF(OR(D306="",NOT(AND(F306=1,G306="SUV"))),"",1+SUMPRODUCT(($F$2:$F$1001=1)*($G$2:$G$1001="SUV")*($D$2:$D$1001&gt;D306))+COUNTIFS($F$2:F306,1,$G$2:G306,"SUV",$D$2:D306,D306)-1)</f>
        <v/>
      </c>
    </row>
    <row r="307" spans="1:17">
      <c r="A307" s="62" t="str">
        <f>IFERROR(INDEX($H$2:$H$3000,MATCH(0,INDEX(COUNTIF($A$1:A306,$H$2:$H$3000)+($H$2:$H$3000=""),0,0),0)),"")</f>
        <v>SUZUKI♦CELERIO</v>
      </c>
      <c r="B307" s="62" t="str">
        <f t="shared" si="16"/>
        <v>SUZUKI</v>
      </c>
      <c r="C307" s="62" t="str">
        <f t="shared" si="17"/>
        <v>CELERIO</v>
      </c>
      <c r="D307" s="63">
        <f t="shared" si="18"/>
        <v>9</v>
      </c>
      <c r="E307" s="62">
        <f>IF(D307="","",_xlfn.RANK.EQ(D307,$D$2:$D$1001,0)+COUNTIF($D$2:D307,D307)-1)</f>
        <v>147</v>
      </c>
      <c r="F307" s="62">
        <f>IF(B307="","",--(COUNTIF(CN_Brands!$A$2:$A$300,UPPER(B307))&gt;0))</f>
        <v>0</v>
      </c>
      <c r="G307" s="62" t="str">
        <f t="shared" si="19"/>
        <v>轿车</v>
      </c>
      <c r="H307" s="62" t="str">
        <f>IF(AND('Data Export'!A307=前十整体车型排名!$B$2,'Data Export'!B307=前十整体车型排名!$B$3,'Data Export'!D307&lt;&gt;""),UPPER('Data Export'!C307)&amp;"♦"&amp;'Data Export'!D307,"")</f>
        <v>HONDA♦OTHER</v>
      </c>
      <c r="I307" s="63">
        <f>IF(H307="","",IFERROR(INDEX('Data Export'!G307:CZ307,1,MATCH(前十整体车型排名!$B$4,'Data Export'!$G$1:$CZ$1,0)),0))</f>
        <v>0</v>
      </c>
      <c r="J307" s="62" t="str">
        <f>IF(H307="","",IF(OR('Data Export'!F307="三厢轿车",'Data Export'!F307="掀背轿车",'Data Export'!F307="旅行车",'Data Export'!F307="微型车",'Data Export'!F307="硬顶跑车",'Data Export'!F307="敞蓬车",'Data Export'!F307="Targa"),"轿车",IF(OR('Data Export'!F307="小型MPV",'Data Export'!F307="客车"),"MPV",IF('Data Export'!F307="运动型多功能车","SUV","其他"))))</f>
        <v>其他</v>
      </c>
      <c r="K307" s="62" t="str">
        <f>IF(OR(D307="",NOT(F307=1)),"",1+SUMPRODUCT(($F$2:$F$1001=1)*($D$2:$D$1001&gt;D307))+COUNTIFS($F$2:F307,1,$D$2:D307,D307)-1)</f>
        <v/>
      </c>
      <c r="L307" s="62">
        <f>IF(OR(D307="",NOT(G307="轿车")),"",1+SUMPRODUCT(($G$2:$G$1001="轿车")*($D$2:$D$1001&gt;D307))+COUNTIFS($G$2:G307,"轿车",$D$2:D307,D307)-1)</f>
        <v>38</v>
      </c>
      <c r="M307" s="62" t="str">
        <f>IF(OR(D307="",NOT(G307="MPV")),"",1+SUMPRODUCT(($G$2:$G$1001="MPV")*($D$2:$D$1001&gt;D307))+COUNTIFS($G$2:G307,"MPV",$D$2:D307,D307)-1)</f>
        <v/>
      </c>
      <c r="N307" s="62" t="str">
        <f>IF(OR(D307="",NOT(G307="SUV")),"",1+SUMPRODUCT(($G$2:$G$1001="SUV")*($D$2:$D$1001&gt;D307))+COUNTIFS($G$2:G307,"SUV",$D$2:D307,D307)-1)</f>
        <v/>
      </c>
      <c r="O307" s="62" t="str">
        <f>IF(OR(D307="",NOT(AND(F307=1,G307="轿车"))),"",1+SUMPRODUCT(($F$2:$F$1001=1)*($G$2:$G$1001="轿车")*($D$2:$D$1001&gt;D307))+COUNTIFS($F$2:F307,1,$G$2:G307,"轿车",$D$2:D307,D307)-1)</f>
        <v/>
      </c>
      <c r="P307" s="62" t="str">
        <f>IF(OR(D307="",NOT(AND(F307=1,G307="MPV"))),"",1+SUMPRODUCT(($F$2:$F$1001=1)*($G$2:$G$1001="MPV")*($D$2:$D$1001&gt;D307))+COUNTIFS($F$2:F307,1,$G$2:G307,"MPV",$D$2:D307,D307)-1)</f>
        <v/>
      </c>
      <c r="Q307" s="62" t="str">
        <f>IF(OR(D307="",NOT(AND(F307=1,G307="SUV"))),"",1+SUMPRODUCT(($F$2:$F$1001=1)*($G$2:$G$1001="SUV")*($D$2:$D$1001&gt;D307))+COUNTIFS($F$2:F307,1,$G$2:G307,"SUV",$D$2:D307,D307)-1)</f>
        <v/>
      </c>
    </row>
    <row r="308" spans="1:17">
      <c r="A308" s="62" t="str">
        <f>IFERROR(INDEX($H$2:$H$3000,MATCH(0,INDEX(COUNTIF($A$1:A307,$H$2:$H$3000)+($H$2:$H$3000=""),0,0),0)),"")</f>
        <v>SUZUKI♦CIAZ</v>
      </c>
      <c r="B308" s="62" t="str">
        <f t="shared" si="16"/>
        <v>SUZUKI</v>
      </c>
      <c r="C308" s="62" t="str">
        <f t="shared" si="17"/>
        <v>CIAZ</v>
      </c>
      <c r="D308" s="63">
        <f t="shared" si="18"/>
        <v>0</v>
      </c>
      <c r="E308" s="62">
        <f>IF(D308="","",_xlfn.RANK.EQ(D308,$D$2:$D$1001,0)+COUNTIF($D$2:D308,D308)-1)</f>
        <v>370</v>
      </c>
      <c r="F308" s="62">
        <f>IF(B308="","",--(COUNTIF(CN_Brands!$A$2:$A$300,UPPER(B308))&gt;0))</f>
        <v>0</v>
      </c>
      <c r="G308" s="62" t="str">
        <f t="shared" si="19"/>
        <v>轿车</v>
      </c>
      <c r="H308" s="62" t="str">
        <f>IF(AND('Data Export'!A308=前十整体车型排名!$B$2,'Data Export'!B308=前十整体车型排名!$B$3,'Data Export'!D308&lt;&gt;""),UPPER('Data Export'!C308)&amp;"♦"&amp;'Data Export'!D308,"")</f>
        <v>HONDA♦PRELUDE</v>
      </c>
      <c r="I308" s="63">
        <f>IF(H308="","",IFERROR(INDEX('Data Export'!G308:CZ308,1,MATCH(前十整体车型排名!$B$4,'Data Export'!$G$1:$CZ$1,0)),0))</f>
        <v>1</v>
      </c>
      <c r="J308" s="62" t="str">
        <f>IF(H308="","",IF(OR('Data Export'!F308="三厢轿车",'Data Export'!F308="掀背轿车",'Data Export'!F308="旅行车",'Data Export'!F308="微型车",'Data Export'!F308="硬顶跑车",'Data Export'!F308="敞蓬车",'Data Export'!F308="Targa"),"轿车",IF(OR('Data Export'!F308="小型MPV",'Data Export'!F308="客车"),"MPV",IF('Data Export'!F308="运动型多功能车","SUV","其他"))))</f>
        <v>轿车</v>
      </c>
      <c r="K308" s="62" t="str">
        <f>IF(OR(D308="",NOT(F308=1)),"",1+SUMPRODUCT(($F$2:$F$1001=1)*($D$2:$D$1001&gt;D308))+COUNTIFS($F$2:F308,1,$D$2:D308,D308)-1)</f>
        <v/>
      </c>
      <c r="L308" s="62">
        <f>IF(OR(D308="",NOT(G308="轿车")),"",1+SUMPRODUCT(($G$2:$G$1001="轿车")*($D$2:$D$1001&gt;D308))+COUNTIFS($G$2:G308,"轿车",$D$2:D308,D308)-1)</f>
        <v>134</v>
      </c>
      <c r="M308" s="62" t="str">
        <f>IF(OR(D308="",NOT(G308="MPV")),"",1+SUMPRODUCT(($G$2:$G$1001="MPV")*($D$2:$D$1001&gt;D308))+COUNTIFS($G$2:G308,"MPV",$D$2:D308,D308)-1)</f>
        <v/>
      </c>
      <c r="N308" s="62" t="str">
        <f>IF(OR(D308="",NOT(G308="SUV")),"",1+SUMPRODUCT(($G$2:$G$1001="SUV")*($D$2:$D$1001&gt;D308))+COUNTIFS($G$2:G308,"SUV",$D$2:D308,D308)-1)</f>
        <v/>
      </c>
      <c r="O308" s="62" t="str">
        <f>IF(OR(D308="",NOT(AND(F308=1,G308="轿车"))),"",1+SUMPRODUCT(($F$2:$F$1001=1)*($G$2:$G$1001="轿车")*($D$2:$D$1001&gt;D308))+COUNTIFS($F$2:F308,1,$G$2:G308,"轿车",$D$2:D308,D308)-1)</f>
        <v/>
      </c>
      <c r="P308" s="62" t="str">
        <f>IF(OR(D308="",NOT(AND(F308=1,G308="MPV"))),"",1+SUMPRODUCT(($F$2:$F$1001=1)*($G$2:$G$1001="MPV")*($D$2:$D$1001&gt;D308))+COUNTIFS($F$2:F308,1,$G$2:G308,"MPV",$D$2:D308,D308)-1)</f>
        <v/>
      </c>
      <c r="Q308" s="62" t="str">
        <f>IF(OR(D308="",NOT(AND(F308=1,G308="SUV"))),"",1+SUMPRODUCT(($F$2:$F$1001=1)*($G$2:$G$1001="SUV")*($D$2:$D$1001&gt;D308))+COUNTIFS($F$2:F308,1,$G$2:G308,"SUV",$D$2:D308,D308)-1)</f>
        <v/>
      </c>
    </row>
    <row r="309" spans="1:17">
      <c r="A309" s="62" t="str">
        <f>IFERROR(INDEX($H$2:$H$3000,MATCH(0,INDEX(COUNTIF($A$1:A308,$H$2:$H$3000)+($H$2:$H$3000=""),0,0),0)),"")</f>
        <v>SUZUKI♦E VITARA</v>
      </c>
      <c r="B309" s="62" t="str">
        <f t="shared" si="16"/>
        <v>SUZUKI</v>
      </c>
      <c r="C309" s="62" t="str">
        <f t="shared" si="17"/>
        <v>E VITARA</v>
      </c>
      <c r="D309" s="63">
        <f t="shared" si="18"/>
        <v>0</v>
      </c>
      <c r="E309" s="62">
        <f>IF(D309="","",_xlfn.RANK.EQ(D309,$D$2:$D$1001,0)+COUNTIF($D$2:D309,D309)-1)</f>
        <v>371</v>
      </c>
      <c r="F309" s="62">
        <f>IF(B309="","",--(COUNTIF(CN_Brands!$A$2:$A$300,UPPER(B309))&gt;0))</f>
        <v>0</v>
      </c>
      <c r="G309" s="62" t="str">
        <f t="shared" si="19"/>
        <v>SUV</v>
      </c>
      <c r="H309" s="62" t="str">
        <f>IF(AND('Data Export'!A309=前十整体车型排名!$B$2,'Data Export'!B309=前十整体车型排名!$B$3,'Data Export'!D309&lt;&gt;""),UPPER('Data Export'!C309)&amp;"♦"&amp;'Data Export'!D309,"")</f>
        <v>HONDA♦S660</v>
      </c>
      <c r="I309" s="63">
        <f>IF(H309="","",IFERROR(INDEX('Data Export'!G309:CZ309,1,MATCH(前十整体车型排名!$B$4,'Data Export'!$G$1:$CZ$1,0)),0))</f>
        <v>0</v>
      </c>
      <c r="J309" s="62" t="str">
        <f>IF(H309="","",IF(OR('Data Export'!F309="三厢轿车",'Data Export'!F309="掀背轿车",'Data Export'!F309="旅行车",'Data Export'!F309="微型车",'Data Export'!F309="硬顶跑车",'Data Export'!F309="敞蓬车",'Data Export'!F309="Targa"),"轿车",IF(OR('Data Export'!F309="小型MPV",'Data Export'!F309="客车"),"MPV",IF('Data Export'!F309="运动型多功能车","SUV","其他"))))</f>
        <v>其他</v>
      </c>
      <c r="K309" s="62" t="str">
        <f>IF(OR(D309="",NOT(F309=1)),"",1+SUMPRODUCT(($F$2:$F$1001=1)*($D$2:$D$1001&gt;D309))+COUNTIFS($F$2:F309,1,$D$2:D309,D309)-1)</f>
        <v/>
      </c>
      <c r="L309" s="62" t="str">
        <f>IF(OR(D309="",NOT(G309="轿车")),"",1+SUMPRODUCT(($G$2:$G$1001="轿车")*($D$2:$D$1001&gt;D309))+COUNTIFS($G$2:G309,"轿车",$D$2:D309,D309)-1)</f>
        <v/>
      </c>
      <c r="M309" s="62" t="str">
        <f>IF(OR(D309="",NOT(G309="MPV")),"",1+SUMPRODUCT(($G$2:$G$1001="MPV")*($D$2:$D$1001&gt;D309))+COUNTIFS($G$2:G309,"MPV",$D$2:D309,D309)-1)</f>
        <v/>
      </c>
      <c r="N309" s="62">
        <f>IF(OR(D309="",NOT(G309="SUV")),"",1+SUMPRODUCT(($G$2:$G$1001="SUV")*($D$2:$D$1001&gt;D309))+COUNTIFS($G$2:G309,"SUV",$D$2:D309,D309)-1)</f>
        <v>154</v>
      </c>
      <c r="O309" s="62" t="str">
        <f>IF(OR(D309="",NOT(AND(F309=1,G309="轿车"))),"",1+SUMPRODUCT(($F$2:$F$1001=1)*($G$2:$G$1001="轿车")*($D$2:$D$1001&gt;D309))+COUNTIFS($F$2:F309,1,$G$2:G309,"轿车",$D$2:D309,D309)-1)</f>
        <v/>
      </c>
      <c r="P309" s="62" t="str">
        <f>IF(OR(D309="",NOT(AND(F309=1,G309="MPV"))),"",1+SUMPRODUCT(($F$2:$F$1001=1)*($G$2:$G$1001="MPV")*($D$2:$D$1001&gt;D309))+COUNTIFS($F$2:F309,1,$G$2:G309,"MPV",$D$2:D309,D309)-1)</f>
        <v/>
      </c>
      <c r="Q309" s="62" t="str">
        <f>IF(OR(D309="",NOT(AND(F309=1,G309="SUV"))),"",1+SUMPRODUCT(($F$2:$F$1001=1)*($G$2:$G$1001="SUV")*($D$2:$D$1001&gt;D309))+COUNTIFS($F$2:F309,1,$G$2:G309,"SUV",$D$2:D309,D309)-1)</f>
        <v/>
      </c>
    </row>
    <row r="310" spans="1:17">
      <c r="A310" s="62" t="str">
        <f>IFERROR(INDEX($H$2:$H$3000,MATCH(0,INDEX(COUNTIF($A$1:A309,$H$2:$H$3000)+($H$2:$H$3000=""),0,0),0)),"")</f>
        <v>SUZUKI♦ERTIGA</v>
      </c>
      <c r="B310" s="62" t="str">
        <f t="shared" si="16"/>
        <v>SUZUKI</v>
      </c>
      <c r="C310" s="62" t="str">
        <f t="shared" si="17"/>
        <v>ERTIGA</v>
      </c>
      <c r="D310" s="63">
        <f t="shared" si="18"/>
        <v>0</v>
      </c>
      <c r="E310" s="62">
        <f>IF(D310="","",_xlfn.RANK.EQ(D310,$D$2:$D$1001,0)+COUNTIF($D$2:D310,D310)-1)</f>
        <v>372</v>
      </c>
      <c r="F310" s="62">
        <f>IF(B310="","",--(COUNTIF(CN_Brands!$A$2:$A$300,UPPER(B310))&gt;0))</f>
        <v>0</v>
      </c>
      <c r="G310" s="62" t="str">
        <f t="shared" si="19"/>
        <v>MPV</v>
      </c>
      <c r="H310" s="62" t="str">
        <f>IF(AND('Data Export'!A310=前十整体车型排名!$B$2,'Data Export'!B310=前十整体车型排名!$B$3,'Data Export'!D310&lt;&gt;""),UPPER('Data Export'!C310)&amp;"♦"&amp;'Data Export'!D310,"")</f>
        <v>HONDA♦S660</v>
      </c>
      <c r="I310" s="63">
        <f>IF(H310="","",IFERROR(INDEX('Data Export'!G310:CZ310,1,MATCH(前十整体车型排名!$B$4,'Data Export'!$G$1:$CZ$1,0)),0))</f>
        <v>0</v>
      </c>
      <c r="J310" s="62" t="str">
        <f>IF(H310="","",IF(OR('Data Export'!F310="三厢轿车",'Data Export'!F310="掀背轿车",'Data Export'!F310="旅行车",'Data Export'!F310="微型车",'Data Export'!F310="硬顶跑车",'Data Export'!F310="敞蓬车",'Data Export'!F310="Targa"),"轿车",IF(OR('Data Export'!F310="小型MPV",'Data Export'!F310="客车"),"MPV",IF('Data Export'!F310="运动型多功能车","SUV","其他"))))</f>
        <v>其他</v>
      </c>
      <c r="K310" s="62" t="str">
        <f>IF(OR(D310="",NOT(F310=1)),"",1+SUMPRODUCT(($F$2:$F$1001=1)*($D$2:$D$1001&gt;D310))+COUNTIFS($F$2:F310,1,$D$2:D310,D310)-1)</f>
        <v/>
      </c>
      <c r="L310" s="62" t="str">
        <f>IF(OR(D310="",NOT(G310="轿车")),"",1+SUMPRODUCT(($G$2:$G$1001="轿车")*($D$2:$D$1001&gt;D310))+COUNTIFS($G$2:G310,"轿车",$D$2:D310,D310)-1)</f>
        <v/>
      </c>
      <c r="M310" s="62">
        <f>IF(OR(D310="",NOT(G310="MPV")),"",1+SUMPRODUCT(($G$2:$G$1001="MPV")*($D$2:$D$1001&gt;D310))+COUNTIFS($G$2:G310,"MPV",$D$2:D310,D310)-1)</f>
        <v>6</v>
      </c>
      <c r="N310" s="62" t="str">
        <f>IF(OR(D310="",NOT(G310="SUV")),"",1+SUMPRODUCT(($G$2:$G$1001="SUV")*($D$2:$D$1001&gt;D310))+COUNTIFS($G$2:G310,"SUV",$D$2:D310,D310)-1)</f>
        <v/>
      </c>
      <c r="O310" s="62" t="str">
        <f>IF(OR(D310="",NOT(AND(F310=1,G310="轿车"))),"",1+SUMPRODUCT(($F$2:$F$1001=1)*($G$2:$G$1001="轿车")*($D$2:$D$1001&gt;D310))+COUNTIFS($F$2:F310,1,$G$2:G310,"轿车",$D$2:D310,D310)-1)</f>
        <v/>
      </c>
      <c r="P310" s="62" t="str">
        <f>IF(OR(D310="",NOT(AND(F310=1,G310="MPV"))),"",1+SUMPRODUCT(($F$2:$F$1001=1)*($G$2:$G$1001="MPV")*($D$2:$D$1001&gt;D310))+COUNTIFS($F$2:F310,1,$G$2:G310,"MPV",$D$2:D310,D310)-1)</f>
        <v/>
      </c>
      <c r="Q310" s="62" t="str">
        <f>IF(OR(D310="",NOT(AND(F310=1,G310="SUV"))),"",1+SUMPRODUCT(($F$2:$F$1001=1)*($G$2:$G$1001="SUV")*($D$2:$D$1001&gt;D310))+COUNTIFS($F$2:F310,1,$G$2:G310,"SUV",$D$2:D310,D310)-1)</f>
        <v/>
      </c>
    </row>
    <row r="311" spans="1:17">
      <c r="A311" s="62" t="str">
        <f>IFERROR(INDEX($H$2:$H$3000,MATCH(0,INDEX(COUNTIF($A$1:A310,$H$2:$H$3000)+($H$2:$H$3000=""),0,0),0)),"")</f>
        <v>SUZUKI♦FRONX</v>
      </c>
      <c r="B311" s="62" t="str">
        <f t="shared" si="16"/>
        <v>SUZUKI</v>
      </c>
      <c r="C311" s="62" t="str">
        <f t="shared" si="17"/>
        <v>FRONX</v>
      </c>
      <c r="D311" s="63">
        <f t="shared" si="18"/>
        <v>83</v>
      </c>
      <c r="E311" s="62">
        <f>IF(D311="","",_xlfn.RANK.EQ(D311,$D$2:$D$1001,0)+COUNTIF($D$2:D311,D311)-1)</f>
        <v>81</v>
      </c>
      <c r="F311" s="62">
        <f>IF(B311="","",--(COUNTIF(CN_Brands!$A$2:$A$300,UPPER(B311))&gt;0))</f>
        <v>0</v>
      </c>
      <c r="G311" s="62" t="str">
        <f t="shared" si="19"/>
        <v>SUV</v>
      </c>
      <c r="H311" s="62" t="str">
        <f>IF(AND('Data Export'!A311=前十整体车型排名!$B$2,'Data Export'!B311=前十整体车型排名!$B$3,'Data Export'!D311&lt;&gt;""),UPPER('Data Export'!C311)&amp;"♦"&amp;'Data Export'!D311,"")</f>
        <v>HONDA♦S660</v>
      </c>
      <c r="I311" s="63">
        <f>IF(H311="","",IFERROR(INDEX('Data Export'!G311:CZ311,1,MATCH(前十整体车型排名!$B$4,'Data Export'!$G$1:$CZ$1,0)),0))</f>
        <v>0</v>
      </c>
      <c r="J311" s="62" t="str">
        <f>IF(H311="","",IF(OR('Data Export'!F311="三厢轿车",'Data Export'!F311="掀背轿车",'Data Export'!F311="旅行车",'Data Export'!F311="微型车",'Data Export'!F311="硬顶跑车",'Data Export'!F311="敞蓬车",'Data Export'!F311="Targa"),"轿车",IF(OR('Data Export'!F311="小型MPV",'Data Export'!F311="客车"),"MPV",IF('Data Export'!F311="运动型多功能车","SUV","其他"))))</f>
        <v>其他</v>
      </c>
      <c r="K311" s="62" t="str">
        <f>IF(OR(D311="",NOT(F311=1)),"",1+SUMPRODUCT(($F$2:$F$1001=1)*($D$2:$D$1001&gt;D311))+COUNTIFS($F$2:F311,1,$D$2:D311,D311)-1)</f>
        <v/>
      </c>
      <c r="L311" s="62" t="str">
        <f>IF(OR(D311="",NOT(G311="轿车")),"",1+SUMPRODUCT(($G$2:$G$1001="轿车")*($D$2:$D$1001&gt;D311))+COUNTIFS($G$2:G311,"轿车",$D$2:D311,D311)-1)</f>
        <v/>
      </c>
      <c r="M311" s="62" t="str">
        <f>IF(OR(D311="",NOT(G311="MPV")),"",1+SUMPRODUCT(($G$2:$G$1001="MPV")*($D$2:$D$1001&gt;D311))+COUNTIFS($G$2:G311,"MPV",$D$2:D311,D311)-1)</f>
        <v/>
      </c>
      <c r="N311" s="62">
        <f>IF(OR(D311="",NOT(G311="SUV")),"",1+SUMPRODUCT(($G$2:$G$1001="SUV")*($D$2:$D$1001&gt;D311))+COUNTIFS($G$2:G311,"SUV",$D$2:D311,D311)-1)</f>
        <v>43</v>
      </c>
      <c r="O311" s="62" t="str">
        <f>IF(OR(D311="",NOT(AND(F311=1,G311="轿车"))),"",1+SUMPRODUCT(($F$2:$F$1001=1)*($G$2:$G$1001="轿车")*($D$2:$D$1001&gt;D311))+COUNTIFS($F$2:F311,1,$G$2:G311,"轿车",$D$2:D311,D311)-1)</f>
        <v/>
      </c>
      <c r="P311" s="62" t="str">
        <f>IF(OR(D311="",NOT(AND(F311=1,G311="MPV"))),"",1+SUMPRODUCT(($F$2:$F$1001=1)*($G$2:$G$1001="MPV")*($D$2:$D$1001&gt;D311))+COUNTIFS($F$2:F311,1,$G$2:G311,"MPV",$D$2:D311,D311)-1)</f>
        <v/>
      </c>
      <c r="Q311" s="62" t="str">
        <f>IF(OR(D311="",NOT(AND(F311=1,G311="SUV"))),"",1+SUMPRODUCT(($F$2:$F$1001=1)*($G$2:$G$1001="SUV")*($D$2:$D$1001&gt;D311))+COUNTIFS($F$2:F311,1,$G$2:G311,"SUV",$D$2:D311,D311)-1)</f>
        <v/>
      </c>
    </row>
    <row r="312" spans="1:17">
      <c r="A312" s="62" t="str">
        <f>IFERROR(INDEX($H$2:$H$3000,MATCH(0,INDEX(COUNTIF($A$1:A311,$H$2:$H$3000)+($H$2:$H$3000=""),0,0),0)),"")</f>
        <v>SUZUKI♦HUSTLER</v>
      </c>
      <c r="B312" s="62" t="str">
        <f t="shared" si="16"/>
        <v>SUZUKI</v>
      </c>
      <c r="C312" s="62" t="str">
        <f t="shared" si="17"/>
        <v>HUSTLER</v>
      </c>
      <c r="D312" s="63">
        <f t="shared" si="18"/>
        <v>0</v>
      </c>
      <c r="E312" s="62">
        <f>IF(D312="","",_xlfn.RANK.EQ(D312,$D$2:$D$1001,0)+COUNTIF($D$2:D312,D312)-1)</f>
        <v>373</v>
      </c>
      <c r="F312" s="62">
        <f>IF(B312="","",--(COUNTIF(CN_Brands!$A$2:$A$300,UPPER(B312))&gt;0))</f>
        <v>0</v>
      </c>
      <c r="G312" s="62" t="str">
        <f t="shared" si="19"/>
        <v>其他</v>
      </c>
      <c r="H312" s="62" t="str">
        <f>IF(AND('Data Export'!A312=前十整体车型排名!$B$2,'Data Export'!B312=前十整体车型排名!$B$3,'Data Export'!D312&lt;&gt;""),UPPER('Data Export'!C312)&amp;"♦"&amp;'Data Export'!D312,"")</f>
        <v>HONDA♦STEP WGN</v>
      </c>
      <c r="I312" s="63">
        <f>IF(H312="","",IFERROR(INDEX('Data Export'!G312:CZ312,1,MATCH(前十整体车型排名!$B$4,'Data Export'!$G$1:$CZ$1,0)),0))</f>
        <v>0</v>
      </c>
      <c r="J312" s="62" t="str">
        <f>IF(H312="","",IF(OR('Data Export'!F312="三厢轿车",'Data Export'!F312="掀背轿车",'Data Export'!F312="旅行车",'Data Export'!F312="微型车",'Data Export'!F312="硬顶跑车",'Data Export'!F312="敞蓬车",'Data Export'!F312="Targa"),"轿车",IF(OR('Data Export'!F312="小型MPV",'Data Export'!F312="客车"),"MPV",IF('Data Export'!F312="运动型多功能车","SUV","其他"))))</f>
        <v>其他</v>
      </c>
      <c r="K312" s="62" t="str">
        <f>IF(OR(D312="",NOT(F312=1)),"",1+SUMPRODUCT(($F$2:$F$1001=1)*($D$2:$D$1001&gt;D312))+COUNTIFS($F$2:F312,1,$D$2:D312,D312)-1)</f>
        <v/>
      </c>
      <c r="L312" s="62" t="str">
        <f>IF(OR(D312="",NOT(G312="轿车")),"",1+SUMPRODUCT(($G$2:$G$1001="轿车")*($D$2:$D$1001&gt;D312))+COUNTIFS($G$2:G312,"轿车",$D$2:D312,D312)-1)</f>
        <v/>
      </c>
      <c r="M312" s="62" t="str">
        <f>IF(OR(D312="",NOT(G312="MPV")),"",1+SUMPRODUCT(($G$2:$G$1001="MPV")*($D$2:$D$1001&gt;D312))+COUNTIFS($G$2:G312,"MPV",$D$2:D312,D312)-1)</f>
        <v/>
      </c>
      <c r="N312" s="62" t="str">
        <f>IF(OR(D312="",NOT(G312="SUV")),"",1+SUMPRODUCT(($G$2:$G$1001="SUV")*($D$2:$D$1001&gt;D312))+COUNTIFS($G$2:G312,"SUV",$D$2:D312,D312)-1)</f>
        <v/>
      </c>
      <c r="O312" s="62" t="str">
        <f>IF(OR(D312="",NOT(AND(F312=1,G312="轿车"))),"",1+SUMPRODUCT(($F$2:$F$1001=1)*($G$2:$G$1001="轿车")*($D$2:$D$1001&gt;D312))+COUNTIFS($F$2:F312,1,$G$2:G312,"轿车",$D$2:D312,D312)-1)</f>
        <v/>
      </c>
      <c r="P312" s="62" t="str">
        <f>IF(OR(D312="",NOT(AND(F312=1,G312="MPV"))),"",1+SUMPRODUCT(($F$2:$F$1001=1)*($G$2:$G$1001="MPV")*($D$2:$D$1001&gt;D312))+COUNTIFS($F$2:F312,1,$G$2:G312,"MPV",$D$2:D312,D312)-1)</f>
        <v/>
      </c>
      <c r="Q312" s="62" t="str">
        <f>IF(OR(D312="",NOT(AND(F312=1,G312="SUV"))),"",1+SUMPRODUCT(($F$2:$F$1001=1)*($G$2:$G$1001="SUV")*($D$2:$D$1001&gt;D312))+COUNTIFS($F$2:F312,1,$G$2:G312,"SUV",$D$2:D312,D312)-1)</f>
        <v/>
      </c>
    </row>
    <row r="313" spans="1:17">
      <c r="A313" s="62" t="str">
        <f>IFERROR(INDEX($H$2:$H$3000,MATCH(0,INDEX(COUNTIF($A$1:A312,$H$2:$H$3000)+($H$2:$H$3000=""),0,0),0)),"")</f>
        <v>SUZUKI♦JIMNY</v>
      </c>
      <c r="B313" s="62" t="str">
        <f t="shared" si="16"/>
        <v>SUZUKI</v>
      </c>
      <c r="C313" s="62" t="str">
        <f t="shared" si="17"/>
        <v>JIMNY</v>
      </c>
      <c r="D313" s="63">
        <f t="shared" si="18"/>
        <v>14</v>
      </c>
      <c r="E313" s="62">
        <f>IF(D313="","",_xlfn.RANK.EQ(D313,$D$2:$D$1001,0)+COUNTIF($D$2:D313,D313)-1)</f>
        <v>136</v>
      </c>
      <c r="F313" s="62">
        <f>IF(B313="","",--(COUNTIF(CN_Brands!$A$2:$A$300,UPPER(B313))&gt;0))</f>
        <v>0</v>
      </c>
      <c r="G313" s="62" t="str">
        <f t="shared" si="19"/>
        <v>SUV</v>
      </c>
      <c r="H313" s="62" t="str">
        <f>IF(AND('Data Export'!A313=前十整体车型排名!$B$2,'Data Export'!B313=前十整体车型排名!$B$3,'Data Export'!D313&lt;&gt;""),UPPER('Data Export'!C313)&amp;"♦"&amp;'Data Export'!D313,"")</f>
        <v>HONDA♦STEP WGN</v>
      </c>
      <c r="I313" s="63">
        <f>IF(H313="","",IFERROR(INDEX('Data Export'!G313:CZ313,1,MATCH(前十整体车型排名!$B$4,'Data Export'!$G$1:$CZ$1,0)),0))</f>
        <v>70</v>
      </c>
      <c r="J313" s="62" t="str">
        <f>IF(H313="","",IF(OR('Data Export'!F313="三厢轿车",'Data Export'!F313="掀背轿车",'Data Export'!F313="旅行车",'Data Export'!F313="微型车",'Data Export'!F313="硬顶跑车",'Data Export'!F313="敞蓬车",'Data Export'!F313="Targa"),"轿车",IF(OR('Data Export'!F313="小型MPV",'Data Export'!F313="客车"),"MPV",IF('Data Export'!F313="运动型多功能车","SUV","其他"))))</f>
        <v>其他</v>
      </c>
      <c r="K313" s="62" t="str">
        <f>IF(OR(D313="",NOT(F313=1)),"",1+SUMPRODUCT(($F$2:$F$1001=1)*($D$2:$D$1001&gt;D313))+COUNTIFS($F$2:F313,1,$D$2:D313,D313)-1)</f>
        <v/>
      </c>
      <c r="L313" s="62" t="str">
        <f>IF(OR(D313="",NOT(G313="轿车")),"",1+SUMPRODUCT(($G$2:$G$1001="轿车")*($D$2:$D$1001&gt;D313))+COUNTIFS($G$2:G313,"轿车",$D$2:D313,D313)-1)</f>
        <v/>
      </c>
      <c r="M313" s="62" t="str">
        <f>IF(OR(D313="",NOT(G313="MPV")),"",1+SUMPRODUCT(($G$2:$G$1001="MPV")*($D$2:$D$1001&gt;D313))+COUNTIFS($G$2:G313,"MPV",$D$2:D313,D313)-1)</f>
        <v/>
      </c>
      <c r="N313" s="62">
        <f>IF(OR(D313="",NOT(G313="SUV")),"",1+SUMPRODUCT(($G$2:$G$1001="SUV")*($D$2:$D$1001&gt;D313))+COUNTIFS($G$2:G313,"SUV",$D$2:D313,D313)-1)</f>
        <v>73</v>
      </c>
      <c r="O313" s="62" t="str">
        <f>IF(OR(D313="",NOT(AND(F313=1,G313="轿车"))),"",1+SUMPRODUCT(($F$2:$F$1001=1)*($G$2:$G$1001="轿车")*($D$2:$D$1001&gt;D313))+COUNTIFS($F$2:F313,1,$G$2:G313,"轿车",$D$2:D313,D313)-1)</f>
        <v/>
      </c>
      <c r="P313" s="62" t="str">
        <f>IF(OR(D313="",NOT(AND(F313=1,G313="MPV"))),"",1+SUMPRODUCT(($F$2:$F$1001=1)*($G$2:$G$1001="MPV")*($D$2:$D$1001&gt;D313))+COUNTIFS($F$2:F313,1,$G$2:G313,"MPV",$D$2:D313,D313)-1)</f>
        <v/>
      </c>
      <c r="Q313" s="62" t="str">
        <f>IF(OR(D313="",NOT(AND(F313=1,G313="SUV"))),"",1+SUMPRODUCT(($F$2:$F$1001=1)*($G$2:$G$1001="SUV")*($D$2:$D$1001&gt;D313))+COUNTIFS($F$2:F313,1,$G$2:G313,"SUV",$D$2:D313,D313)-1)</f>
        <v/>
      </c>
    </row>
    <row r="314" spans="1:17">
      <c r="A314" s="62" t="str">
        <f>IFERROR(INDEX($H$2:$H$3000,MATCH(0,INDEX(COUNTIF($A$1:A313,$H$2:$H$3000)+($H$2:$H$3000=""),0,0),0)),"")</f>
        <v>SUZUKI♦JIMNY NOMADE</v>
      </c>
      <c r="B314" s="62" t="str">
        <f t="shared" si="16"/>
        <v>SUZUKI</v>
      </c>
      <c r="C314" s="62" t="str">
        <f t="shared" si="17"/>
        <v>JIMNY NOMADE</v>
      </c>
      <c r="D314" s="63">
        <f t="shared" si="18"/>
        <v>1</v>
      </c>
      <c r="E314" s="62">
        <f>IF(D314="","",_xlfn.RANK.EQ(D314,$D$2:$D$1001,0)+COUNTIF($D$2:D314,D314)-1)</f>
        <v>252</v>
      </c>
      <c r="F314" s="62">
        <f>IF(B314="","",--(COUNTIF(CN_Brands!$A$2:$A$300,UPPER(B314))&gt;0))</f>
        <v>0</v>
      </c>
      <c r="G314" s="62" t="str">
        <f t="shared" si="19"/>
        <v>其他</v>
      </c>
      <c r="H314" s="62" t="str">
        <f>IF(AND('Data Export'!A314=前十整体车型排名!$B$2,'Data Export'!B314=前十整体车型排名!$B$3,'Data Export'!D314&lt;&gt;""),UPPER('Data Export'!C314)&amp;"♦"&amp;'Data Export'!D314,"")</f>
        <v>HONDA♦STEP WGN</v>
      </c>
      <c r="I314" s="63">
        <f>IF(H314="","",IFERROR(INDEX('Data Export'!G314:CZ314,1,MATCH(前十整体车型排名!$B$4,'Data Export'!$G$1:$CZ$1,0)),0))</f>
        <v>0</v>
      </c>
      <c r="J314" s="62" t="str">
        <f>IF(H314="","",IF(OR('Data Export'!F314="三厢轿车",'Data Export'!F314="掀背轿车",'Data Export'!F314="旅行车",'Data Export'!F314="微型车",'Data Export'!F314="硬顶跑车",'Data Export'!F314="敞蓬车",'Data Export'!F314="Targa"),"轿车",IF(OR('Data Export'!F314="小型MPV",'Data Export'!F314="客车"),"MPV",IF('Data Export'!F314="运动型多功能车","SUV","其他"))))</f>
        <v>其他</v>
      </c>
      <c r="K314" s="62" t="str">
        <f>IF(OR(D314="",NOT(F314=1)),"",1+SUMPRODUCT(($F$2:$F$1001=1)*($D$2:$D$1001&gt;D314))+COUNTIFS($F$2:F314,1,$D$2:D314,D314)-1)</f>
        <v/>
      </c>
      <c r="L314" s="62" t="str">
        <f>IF(OR(D314="",NOT(G314="轿车")),"",1+SUMPRODUCT(($G$2:$G$1001="轿车")*($D$2:$D$1001&gt;D314))+COUNTIFS($G$2:G314,"轿车",$D$2:D314,D314)-1)</f>
        <v/>
      </c>
      <c r="M314" s="62" t="str">
        <f>IF(OR(D314="",NOT(G314="MPV")),"",1+SUMPRODUCT(($G$2:$G$1001="MPV")*($D$2:$D$1001&gt;D314))+COUNTIFS($G$2:G314,"MPV",$D$2:D314,D314)-1)</f>
        <v/>
      </c>
      <c r="N314" s="62" t="str">
        <f>IF(OR(D314="",NOT(G314="SUV")),"",1+SUMPRODUCT(($G$2:$G$1001="SUV")*($D$2:$D$1001&gt;D314))+COUNTIFS($G$2:G314,"SUV",$D$2:D314,D314)-1)</f>
        <v/>
      </c>
      <c r="O314" s="62" t="str">
        <f>IF(OR(D314="",NOT(AND(F314=1,G314="轿车"))),"",1+SUMPRODUCT(($F$2:$F$1001=1)*($G$2:$G$1001="轿车")*($D$2:$D$1001&gt;D314))+COUNTIFS($F$2:F314,1,$G$2:G314,"轿车",$D$2:D314,D314)-1)</f>
        <v/>
      </c>
      <c r="P314" s="62" t="str">
        <f>IF(OR(D314="",NOT(AND(F314=1,G314="MPV"))),"",1+SUMPRODUCT(($F$2:$F$1001=1)*($G$2:$G$1001="MPV")*($D$2:$D$1001&gt;D314))+COUNTIFS($F$2:F314,1,$G$2:G314,"MPV",$D$2:D314,D314)-1)</f>
        <v/>
      </c>
      <c r="Q314" s="62" t="str">
        <f>IF(OR(D314="",NOT(AND(F314=1,G314="SUV"))),"",1+SUMPRODUCT(($F$2:$F$1001=1)*($G$2:$G$1001="SUV")*($D$2:$D$1001&gt;D314))+COUNTIFS($F$2:F314,1,$G$2:G314,"SUV",$D$2:D314,D314)-1)</f>
        <v/>
      </c>
    </row>
    <row r="315" spans="1:17">
      <c r="A315" s="62" t="str">
        <f>IFERROR(INDEX($H$2:$H$3000,MATCH(0,INDEX(COUNTIF($A$1:A314,$H$2:$H$3000)+($H$2:$H$3000=""),0,0),0)),"")</f>
        <v>SUZUKI♦JIMNY SIERRA</v>
      </c>
      <c r="B315" s="62" t="str">
        <f t="shared" si="16"/>
        <v>SUZUKI</v>
      </c>
      <c r="C315" s="62" t="str">
        <f t="shared" si="17"/>
        <v>JIMNY SIERRA</v>
      </c>
      <c r="D315" s="63">
        <f t="shared" si="18"/>
        <v>4</v>
      </c>
      <c r="E315" s="62">
        <f>IF(D315="","",_xlfn.RANK.EQ(D315,$D$2:$D$1001,0)+COUNTIF($D$2:D315,D315)-1)</f>
        <v>181</v>
      </c>
      <c r="F315" s="62">
        <f>IF(B315="","",--(COUNTIF(CN_Brands!$A$2:$A$300,UPPER(B315))&gt;0))</f>
        <v>0</v>
      </c>
      <c r="G315" s="62" t="str">
        <f t="shared" si="19"/>
        <v>其他</v>
      </c>
      <c r="H315" s="62" t="str">
        <f>IF(AND('Data Export'!A315=前十整体车型排名!$B$2,'Data Export'!B315=前十整体车型排名!$B$3,'Data Export'!D315&lt;&gt;""),UPPER('Data Export'!C315)&amp;"♦"&amp;'Data Export'!D315,"")</f>
        <v>HONDA♦STEP WGN</v>
      </c>
      <c r="I315" s="63">
        <f>IF(H315="","",IFERROR(INDEX('Data Export'!G315:CZ315,1,MATCH(前十整体车型排名!$B$4,'Data Export'!$G$1:$CZ$1,0)),0))</f>
        <v>0</v>
      </c>
      <c r="J315" s="62" t="str">
        <f>IF(H315="","",IF(OR('Data Export'!F315="三厢轿车",'Data Export'!F315="掀背轿车",'Data Export'!F315="旅行车",'Data Export'!F315="微型车",'Data Export'!F315="硬顶跑车",'Data Export'!F315="敞蓬车",'Data Export'!F315="Targa"),"轿车",IF(OR('Data Export'!F315="小型MPV",'Data Export'!F315="客车"),"MPV",IF('Data Export'!F315="运动型多功能车","SUV","其他"))))</f>
        <v>其他</v>
      </c>
      <c r="K315" s="62" t="str">
        <f>IF(OR(D315="",NOT(F315=1)),"",1+SUMPRODUCT(($F$2:$F$1001=1)*($D$2:$D$1001&gt;D315))+COUNTIFS($F$2:F315,1,$D$2:D315,D315)-1)</f>
        <v/>
      </c>
      <c r="L315" s="62" t="str">
        <f>IF(OR(D315="",NOT(G315="轿车")),"",1+SUMPRODUCT(($G$2:$G$1001="轿车")*($D$2:$D$1001&gt;D315))+COUNTIFS($G$2:G315,"轿车",$D$2:D315,D315)-1)</f>
        <v/>
      </c>
      <c r="M315" s="62" t="str">
        <f>IF(OR(D315="",NOT(G315="MPV")),"",1+SUMPRODUCT(($G$2:$G$1001="MPV")*($D$2:$D$1001&gt;D315))+COUNTIFS($G$2:G315,"MPV",$D$2:D315,D315)-1)</f>
        <v/>
      </c>
      <c r="N315" s="62" t="str">
        <f>IF(OR(D315="",NOT(G315="SUV")),"",1+SUMPRODUCT(($G$2:$G$1001="SUV")*($D$2:$D$1001&gt;D315))+COUNTIFS($G$2:G315,"SUV",$D$2:D315,D315)-1)</f>
        <v/>
      </c>
      <c r="O315" s="62" t="str">
        <f>IF(OR(D315="",NOT(AND(F315=1,G315="轿车"))),"",1+SUMPRODUCT(($F$2:$F$1001=1)*($G$2:$G$1001="轿车")*($D$2:$D$1001&gt;D315))+COUNTIFS($F$2:F315,1,$G$2:G315,"轿车",$D$2:D315,D315)-1)</f>
        <v/>
      </c>
      <c r="P315" s="62" t="str">
        <f>IF(OR(D315="",NOT(AND(F315=1,G315="MPV"))),"",1+SUMPRODUCT(($F$2:$F$1001=1)*($G$2:$G$1001="MPV")*($D$2:$D$1001&gt;D315))+COUNTIFS($F$2:F315,1,$G$2:G315,"MPV",$D$2:D315,D315)-1)</f>
        <v/>
      </c>
      <c r="Q315" s="62" t="str">
        <f>IF(OR(D315="",NOT(AND(F315=1,G315="SUV"))),"",1+SUMPRODUCT(($F$2:$F$1001=1)*($G$2:$G$1001="SUV")*($D$2:$D$1001&gt;D315))+COUNTIFS($F$2:F315,1,$G$2:G315,"SUV",$D$2:D315,D315)-1)</f>
        <v/>
      </c>
    </row>
    <row r="316" spans="1:17">
      <c r="A316" s="62" t="str">
        <f>IFERROR(INDEX($H$2:$H$3000,MATCH(0,INDEX(COUNTIF($A$1:A315,$H$2:$H$3000)+($H$2:$H$3000=""),0,0),0)),"")</f>
        <v>SUZUKI♦SPACIA</v>
      </c>
      <c r="B316" s="62" t="str">
        <f t="shared" si="16"/>
        <v>SUZUKI</v>
      </c>
      <c r="C316" s="62" t="str">
        <f t="shared" si="17"/>
        <v>SPACIA</v>
      </c>
      <c r="D316" s="63">
        <f t="shared" si="18"/>
        <v>0</v>
      </c>
      <c r="E316" s="62">
        <f>IF(D316="","",_xlfn.RANK.EQ(D316,$D$2:$D$1001,0)+COUNTIF($D$2:D316,D316)-1)</f>
        <v>374</v>
      </c>
      <c r="F316" s="62">
        <f>IF(B316="","",--(COUNTIF(CN_Brands!$A$2:$A$300,UPPER(B316))&gt;0))</f>
        <v>0</v>
      </c>
      <c r="G316" s="62" t="str">
        <f t="shared" si="19"/>
        <v>其他</v>
      </c>
      <c r="H316" s="62" t="str">
        <f>IF(AND('Data Export'!A316=前十整体车型排名!$B$2,'Data Export'!B316=前十整体车型排名!$B$3,'Data Export'!D316&lt;&gt;""),UPPER('Data Export'!C316)&amp;"♦"&amp;'Data Export'!D316,"")</f>
        <v>HONDA♦WR-V</v>
      </c>
      <c r="I316" s="63">
        <f>IF(H316="","",IFERROR(INDEX('Data Export'!G316:CZ316,1,MATCH(前十整体车型排名!$B$4,'Data Export'!$G$1:$CZ$1,0)),0))</f>
        <v>0</v>
      </c>
      <c r="J316" s="62" t="str">
        <f>IF(H316="","",IF(OR('Data Export'!F316="三厢轿车",'Data Export'!F316="掀背轿车",'Data Export'!F316="旅行车",'Data Export'!F316="微型车",'Data Export'!F316="硬顶跑车",'Data Export'!F316="敞蓬车",'Data Export'!F316="Targa"),"轿车",IF(OR('Data Export'!F316="小型MPV",'Data Export'!F316="客车"),"MPV",IF('Data Export'!F316="运动型多功能车","SUV","其他"))))</f>
        <v>SUV</v>
      </c>
      <c r="K316" s="62" t="str">
        <f>IF(OR(D316="",NOT(F316=1)),"",1+SUMPRODUCT(($F$2:$F$1001=1)*($D$2:$D$1001&gt;D316))+COUNTIFS($F$2:F316,1,$D$2:D316,D316)-1)</f>
        <v/>
      </c>
      <c r="L316" s="62" t="str">
        <f>IF(OR(D316="",NOT(G316="轿车")),"",1+SUMPRODUCT(($G$2:$G$1001="轿车")*($D$2:$D$1001&gt;D316))+COUNTIFS($G$2:G316,"轿车",$D$2:D316,D316)-1)</f>
        <v/>
      </c>
      <c r="M316" s="62" t="str">
        <f>IF(OR(D316="",NOT(G316="MPV")),"",1+SUMPRODUCT(($G$2:$G$1001="MPV")*($D$2:$D$1001&gt;D316))+COUNTIFS($G$2:G316,"MPV",$D$2:D316,D316)-1)</f>
        <v/>
      </c>
      <c r="N316" s="62" t="str">
        <f>IF(OR(D316="",NOT(G316="SUV")),"",1+SUMPRODUCT(($G$2:$G$1001="SUV")*($D$2:$D$1001&gt;D316))+COUNTIFS($G$2:G316,"SUV",$D$2:D316,D316)-1)</f>
        <v/>
      </c>
      <c r="O316" s="62" t="str">
        <f>IF(OR(D316="",NOT(AND(F316=1,G316="轿车"))),"",1+SUMPRODUCT(($F$2:$F$1001=1)*($G$2:$G$1001="轿车")*($D$2:$D$1001&gt;D316))+COUNTIFS($F$2:F316,1,$G$2:G316,"轿车",$D$2:D316,D316)-1)</f>
        <v/>
      </c>
      <c r="P316" s="62" t="str">
        <f>IF(OR(D316="",NOT(AND(F316=1,G316="MPV"))),"",1+SUMPRODUCT(($F$2:$F$1001=1)*($G$2:$G$1001="MPV")*($D$2:$D$1001&gt;D316))+COUNTIFS($F$2:F316,1,$G$2:G316,"MPV",$D$2:D316,D316)-1)</f>
        <v/>
      </c>
      <c r="Q316" s="62" t="str">
        <f>IF(OR(D316="",NOT(AND(F316=1,G316="SUV"))),"",1+SUMPRODUCT(($F$2:$F$1001=1)*($G$2:$G$1001="SUV")*($D$2:$D$1001&gt;D316))+COUNTIFS($F$2:F316,1,$G$2:G316,"SUV",$D$2:D316,D316)-1)</f>
        <v/>
      </c>
    </row>
    <row r="317" spans="1:17">
      <c r="A317" s="62" t="str">
        <f>IFERROR(INDEX($H$2:$H$3000,MATCH(0,INDEX(COUNTIF($A$1:A316,$H$2:$H$3000)+($H$2:$H$3000=""),0,0),0)),"")</f>
        <v>SUZUKI♦SWIFT</v>
      </c>
      <c r="B317" s="62" t="str">
        <f t="shared" si="16"/>
        <v>SUZUKI</v>
      </c>
      <c r="C317" s="62" t="str">
        <f t="shared" si="17"/>
        <v>SWIFT</v>
      </c>
      <c r="D317" s="63">
        <f t="shared" si="18"/>
        <v>115</v>
      </c>
      <c r="E317" s="62">
        <f>IF(D317="","",_xlfn.RANK.EQ(D317,$D$2:$D$1001,0)+COUNTIF($D$2:D317,D317)-1)</f>
        <v>68</v>
      </c>
      <c r="F317" s="62">
        <f>IF(B317="","",--(COUNTIF(CN_Brands!$A$2:$A$300,UPPER(B317))&gt;0))</f>
        <v>0</v>
      </c>
      <c r="G317" s="62" t="str">
        <f t="shared" si="19"/>
        <v>轿车</v>
      </c>
      <c r="H317" s="62" t="str">
        <f>IF(AND('Data Export'!A317=前十整体车型排名!$B$2,'Data Export'!B317=前十整体车型排名!$B$3,'Data Export'!D317&lt;&gt;""),UPPER('Data Export'!C317)&amp;"♦"&amp;'Data Export'!D317,"")</f>
        <v>HYPTEC♦HT</v>
      </c>
      <c r="I317" s="63">
        <f>IF(H317="","",IFERROR(INDEX('Data Export'!G317:CZ317,1,MATCH(前十整体车型排名!$B$4,'Data Export'!$G$1:$CZ$1,0)),0))</f>
        <v>4</v>
      </c>
      <c r="J317" s="62" t="str">
        <f>IF(H317="","",IF(OR('Data Export'!F317="三厢轿车",'Data Export'!F317="掀背轿车",'Data Export'!F317="旅行车",'Data Export'!F317="微型车",'Data Export'!F317="硬顶跑车",'Data Export'!F317="敞蓬车",'Data Export'!F317="Targa"),"轿车",IF(OR('Data Export'!F317="小型MPV",'Data Export'!F317="客车"),"MPV",IF('Data Export'!F317="运动型多功能车","SUV","其他"))))</f>
        <v>SUV</v>
      </c>
      <c r="K317" s="62" t="str">
        <f>IF(OR(D317="",NOT(F317=1)),"",1+SUMPRODUCT(($F$2:$F$1001=1)*($D$2:$D$1001&gt;D317))+COUNTIFS($F$2:F317,1,$D$2:D317,D317)-1)</f>
        <v/>
      </c>
      <c r="L317" s="62">
        <f>IF(OR(D317="",NOT(G317="轿车")),"",1+SUMPRODUCT(($G$2:$G$1001="轿车")*($D$2:$D$1001&gt;D317))+COUNTIFS($G$2:G317,"轿车",$D$2:D317,D317)-1)</f>
        <v>20</v>
      </c>
      <c r="M317" s="62" t="str">
        <f>IF(OR(D317="",NOT(G317="MPV")),"",1+SUMPRODUCT(($G$2:$G$1001="MPV")*($D$2:$D$1001&gt;D317))+COUNTIFS($G$2:G317,"MPV",$D$2:D317,D317)-1)</f>
        <v/>
      </c>
      <c r="N317" s="62" t="str">
        <f>IF(OR(D317="",NOT(G317="SUV")),"",1+SUMPRODUCT(($G$2:$G$1001="SUV")*($D$2:$D$1001&gt;D317))+COUNTIFS($G$2:G317,"SUV",$D$2:D317,D317)-1)</f>
        <v/>
      </c>
      <c r="O317" s="62" t="str">
        <f>IF(OR(D317="",NOT(AND(F317=1,G317="轿车"))),"",1+SUMPRODUCT(($F$2:$F$1001=1)*($G$2:$G$1001="轿车")*($D$2:$D$1001&gt;D317))+COUNTIFS($F$2:F317,1,$G$2:G317,"轿车",$D$2:D317,D317)-1)</f>
        <v/>
      </c>
      <c r="P317" s="62" t="str">
        <f>IF(OR(D317="",NOT(AND(F317=1,G317="MPV"))),"",1+SUMPRODUCT(($F$2:$F$1001=1)*($G$2:$G$1001="MPV")*($D$2:$D$1001&gt;D317))+COUNTIFS($F$2:F317,1,$G$2:G317,"MPV",$D$2:D317,D317)-1)</f>
        <v/>
      </c>
      <c r="Q317" s="62" t="str">
        <f>IF(OR(D317="",NOT(AND(F317=1,G317="SUV"))),"",1+SUMPRODUCT(($F$2:$F$1001=1)*($G$2:$G$1001="SUV")*($D$2:$D$1001&gt;D317))+COUNTIFS($F$2:F317,1,$G$2:G317,"SUV",$D$2:D317,D317)-1)</f>
        <v/>
      </c>
    </row>
    <row r="318" spans="1:17">
      <c r="A318" s="62" t="str">
        <f>IFERROR(INDEX($H$2:$H$3000,MATCH(0,INDEX(COUNTIF($A$1:A317,$H$2:$H$3000)+($H$2:$H$3000=""),0,0),0)),"")</f>
        <v>SUZUKI♦XL7</v>
      </c>
      <c r="B318" s="62" t="str">
        <f t="shared" si="16"/>
        <v>SUZUKI</v>
      </c>
      <c r="C318" s="62" t="str">
        <f t="shared" si="17"/>
        <v>XL7</v>
      </c>
      <c r="D318" s="63">
        <f t="shared" si="18"/>
        <v>12</v>
      </c>
      <c r="E318" s="62">
        <f>IF(D318="","",_xlfn.RANK.EQ(D318,$D$2:$D$1001,0)+COUNTIF($D$2:D318,D318)-1)</f>
        <v>139</v>
      </c>
      <c r="F318" s="62">
        <f>IF(B318="","",--(COUNTIF(CN_Brands!$A$2:$A$300,UPPER(B318))&gt;0))</f>
        <v>0</v>
      </c>
      <c r="G318" s="62" t="str">
        <f t="shared" si="19"/>
        <v>SUV</v>
      </c>
      <c r="H318" s="62" t="str">
        <f>IF(AND('Data Export'!A318=前十整体车型排名!$B$2,'Data Export'!B318=前十整体车型排名!$B$3,'Data Export'!D318&lt;&gt;""),UPPER('Data Export'!C318)&amp;"♦"&amp;'Data Export'!D318,"")</f>
        <v>HYPTEC♦HT</v>
      </c>
      <c r="I318" s="63">
        <f>IF(H318="","",IFERROR(INDEX('Data Export'!G318:CZ318,1,MATCH(前十整体车型排名!$B$4,'Data Export'!$G$1:$CZ$1,0)),0))</f>
        <v>349</v>
      </c>
      <c r="J318" s="62" t="str">
        <f>IF(H318="","",IF(OR('Data Export'!F318="三厢轿车",'Data Export'!F318="掀背轿车",'Data Export'!F318="旅行车",'Data Export'!F318="微型车",'Data Export'!F318="硬顶跑车",'Data Export'!F318="敞蓬车",'Data Export'!F318="Targa"),"轿车",IF(OR('Data Export'!F318="小型MPV",'Data Export'!F318="客车"),"MPV",IF('Data Export'!F318="运动型多功能车","SUV","其他"))))</f>
        <v>SUV</v>
      </c>
      <c r="K318" s="62" t="str">
        <f>IF(OR(D318="",NOT(F318=1)),"",1+SUMPRODUCT(($F$2:$F$1001=1)*($D$2:$D$1001&gt;D318))+COUNTIFS($F$2:F318,1,$D$2:D318,D318)-1)</f>
        <v/>
      </c>
      <c r="L318" s="62" t="str">
        <f>IF(OR(D318="",NOT(G318="轿车")),"",1+SUMPRODUCT(($G$2:$G$1001="轿车")*($D$2:$D$1001&gt;D318))+COUNTIFS($G$2:G318,"轿车",$D$2:D318,D318)-1)</f>
        <v/>
      </c>
      <c r="M318" s="62" t="str">
        <f>IF(OR(D318="",NOT(G318="MPV")),"",1+SUMPRODUCT(($G$2:$G$1001="MPV")*($D$2:$D$1001&gt;D318))+COUNTIFS($G$2:G318,"MPV",$D$2:D318,D318)-1)</f>
        <v/>
      </c>
      <c r="N318" s="62">
        <f>IF(OR(D318="",NOT(G318="SUV")),"",1+SUMPRODUCT(($G$2:$G$1001="SUV")*($D$2:$D$1001&gt;D318))+COUNTIFS($G$2:G318,"SUV",$D$2:D318,D318)-1)</f>
        <v>74</v>
      </c>
      <c r="O318" s="62" t="str">
        <f>IF(OR(D318="",NOT(AND(F318=1,G318="轿车"))),"",1+SUMPRODUCT(($F$2:$F$1001=1)*($G$2:$G$1001="轿车")*($D$2:$D$1001&gt;D318))+COUNTIFS($F$2:F318,1,$G$2:G318,"轿车",$D$2:D318,D318)-1)</f>
        <v/>
      </c>
      <c r="P318" s="62" t="str">
        <f>IF(OR(D318="",NOT(AND(F318=1,G318="MPV"))),"",1+SUMPRODUCT(($F$2:$F$1001=1)*($G$2:$G$1001="MPV")*($D$2:$D$1001&gt;D318))+COUNTIFS($F$2:F318,1,$G$2:G318,"MPV",$D$2:D318,D318)-1)</f>
        <v/>
      </c>
      <c r="Q318" s="62" t="str">
        <f>IF(OR(D318="",NOT(AND(F318=1,G318="SUV"))),"",1+SUMPRODUCT(($F$2:$F$1001=1)*($G$2:$G$1001="SUV")*($D$2:$D$1001&gt;D318))+COUNTIFS($F$2:F318,1,$G$2:G318,"SUV",$D$2:D318,D318)-1)</f>
        <v/>
      </c>
    </row>
    <row r="319" spans="1:17">
      <c r="A319" s="62" t="str">
        <f>IFERROR(INDEX($H$2:$H$3000,MATCH(0,INDEX(COUNTIF($A$1:A318,$H$2:$H$3000)+($H$2:$H$3000=""),0,0),0)),"")</f>
        <v>TESLA♦MODEL 3</v>
      </c>
      <c r="B319" s="62" t="str">
        <f t="shared" si="16"/>
        <v>TESLA</v>
      </c>
      <c r="C319" s="62" t="str">
        <f t="shared" si="17"/>
        <v>MODEL 3</v>
      </c>
      <c r="D319" s="63">
        <f t="shared" si="18"/>
        <v>592</v>
      </c>
      <c r="E319" s="62">
        <f>IF(D319="","",_xlfn.RANK.EQ(D319,$D$2:$D$1001,0)+COUNTIF($D$2:D319,D319)-1)</f>
        <v>21</v>
      </c>
      <c r="F319" s="62">
        <f>IF(B319="","",--(COUNTIF(CN_Brands!$A$2:$A$300,UPPER(B319))&gt;0))</f>
        <v>0</v>
      </c>
      <c r="G319" s="62" t="str">
        <f t="shared" si="19"/>
        <v>轿车</v>
      </c>
      <c r="H319" s="62" t="str">
        <f>IF(AND('Data Export'!A319=前十整体车型排名!$B$2,'Data Export'!B319=前十整体车型排名!$B$3,'Data Export'!D319&lt;&gt;""),UPPER('Data Export'!C319)&amp;"♦"&amp;'Data Export'!D319,"")</f>
        <v>HYPTEC♦HYPTEC HT</v>
      </c>
      <c r="I319" s="63">
        <f>IF(H319="","",IFERROR(INDEX('Data Export'!G319:CZ319,1,MATCH(前十整体车型排名!$B$4,'Data Export'!$G$1:$CZ$1,0)),0))</f>
        <v>0</v>
      </c>
      <c r="J319" s="62" t="str">
        <f>IF(H319="","",IF(OR('Data Export'!F319="三厢轿车",'Data Export'!F319="掀背轿车",'Data Export'!F319="旅行车",'Data Export'!F319="微型车",'Data Export'!F319="硬顶跑车",'Data Export'!F319="敞蓬车",'Data Export'!F319="Targa"),"轿车",IF(OR('Data Export'!F319="小型MPV",'Data Export'!F319="客车"),"MPV",IF('Data Export'!F319="运动型多功能车","SUV","其他"))))</f>
        <v>SUV</v>
      </c>
      <c r="K319" s="62" t="str">
        <f>IF(OR(D319="",NOT(F319=1)),"",1+SUMPRODUCT(($F$2:$F$1001=1)*($D$2:$D$1001&gt;D319))+COUNTIFS($F$2:F319,1,$D$2:D319,D319)-1)</f>
        <v/>
      </c>
      <c r="L319" s="62">
        <f>IF(OR(D319="",NOT(G319="轿车")),"",1+SUMPRODUCT(($G$2:$G$1001="轿车")*($D$2:$D$1001&gt;D319))+COUNTIFS($G$2:G319,"轿车",$D$2:D319,D319)-1)</f>
        <v>5</v>
      </c>
      <c r="M319" s="62" t="str">
        <f>IF(OR(D319="",NOT(G319="MPV")),"",1+SUMPRODUCT(($G$2:$G$1001="MPV")*($D$2:$D$1001&gt;D319))+COUNTIFS($G$2:G319,"MPV",$D$2:D319,D319)-1)</f>
        <v/>
      </c>
      <c r="N319" s="62" t="str">
        <f>IF(OR(D319="",NOT(G319="SUV")),"",1+SUMPRODUCT(($G$2:$G$1001="SUV")*($D$2:$D$1001&gt;D319))+COUNTIFS($G$2:G319,"SUV",$D$2:D319,D319)-1)</f>
        <v/>
      </c>
      <c r="O319" s="62" t="str">
        <f>IF(OR(D319="",NOT(AND(F319=1,G319="轿车"))),"",1+SUMPRODUCT(($F$2:$F$1001=1)*($G$2:$G$1001="轿车")*($D$2:$D$1001&gt;D319))+COUNTIFS($F$2:F319,1,$G$2:G319,"轿车",$D$2:D319,D319)-1)</f>
        <v/>
      </c>
      <c r="P319" s="62" t="str">
        <f>IF(OR(D319="",NOT(AND(F319=1,G319="MPV"))),"",1+SUMPRODUCT(($F$2:$F$1001=1)*($G$2:$G$1001="MPV")*($D$2:$D$1001&gt;D319))+COUNTIFS($F$2:F319,1,$G$2:G319,"MPV",$D$2:D319,D319)-1)</f>
        <v/>
      </c>
      <c r="Q319" s="62" t="str">
        <f>IF(OR(D319="",NOT(AND(F319=1,G319="SUV"))),"",1+SUMPRODUCT(($F$2:$F$1001=1)*($G$2:$G$1001="SUV")*($D$2:$D$1001&gt;D319))+COUNTIFS($F$2:F319,1,$G$2:G319,"SUV",$D$2:D319,D319)-1)</f>
        <v/>
      </c>
    </row>
    <row r="320" spans="1:17">
      <c r="A320" s="62" t="str">
        <f>IFERROR(INDEX($H$2:$H$3000,MATCH(0,INDEX(COUNTIF($A$1:A319,$H$2:$H$3000)+($H$2:$H$3000=""),0,0),0)),"")</f>
        <v>TESLA♦MODEL X</v>
      </c>
      <c r="B320" s="62" t="str">
        <f t="shared" si="16"/>
        <v>TESLA</v>
      </c>
      <c r="C320" s="62" t="str">
        <f t="shared" si="17"/>
        <v>MODEL X</v>
      </c>
      <c r="D320" s="63">
        <f t="shared" si="18"/>
        <v>0</v>
      </c>
      <c r="E320" s="62">
        <f>IF(D320="","",_xlfn.RANK.EQ(D320,$D$2:$D$1001,0)+COUNTIF($D$2:D320,D320)-1)</f>
        <v>375</v>
      </c>
      <c r="F320" s="62">
        <f>IF(B320="","",--(COUNTIF(CN_Brands!$A$2:$A$300,UPPER(B320))&gt;0))</f>
        <v>0</v>
      </c>
      <c r="G320" s="62" t="str">
        <f t="shared" si="19"/>
        <v>SUV</v>
      </c>
      <c r="H320" s="62" t="str">
        <f>IF(AND('Data Export'!A320=前十整体车型排名!$B$2,'Data Export'!B320=前十整体车型排名!$B$3,'Data Export'!D320&lt;&gt;""),UPPER('Data Export'!C320)&amp;"♦"&amp;'Data Export'!D320,"")</f>
        <v>HYPTEC♦HYPTEC HT</v>
      </c>
      <c r="I320" s="63">
        <f>IF(H320="","",IFERROR(INDEX('Data Export'!G320:CZ320,1,MATCH(前十整体车型排名!$B$4,'Data Export'!$G$1:$CZ$1,0)),0))</f>
        <v>0</v>
      </c>
      <c r="J320" s="62" t="str">
        <f>IF(H320="","",IF(OR('Data Export'!F320="三厢轿车",'Data Export'!F320="掀背轿车",'Data Export'!F320="旅行车",'Data Export'!F320="微型车",'Data Export'!F320="硬顶跑车",'Data Export'!F320="敞蓬车",'Data Export'!F320="Targa"),"轿车",IF(OR('Data Export'!F320="小型MPV",'Data Export'!F320="客车"),"MPV",IF('Data Export'!F320="运动型多功能车","SUV","其他"))))</f>
        <v>SUV</v>
      </c>
      <c r="K320" s="62" t="str">
        <f>IF(OR(D320="",NOT(F320=1)),"",1+SUMPRODUCT(($F$2:$F$1001=1)*($D$2:$D$1001&gt;D320))+COUNTIFS($F$2:F320,1,$D$2:D320,D320)-1)</f>
        <v/>
      </c>
      <c r="L320" s="62" t="str">
        <f>IF(OR(D320="",NOT(G320="轿车")),"",1+SUMPRODUCT(($G$2:$G$1001="轿车")*($D$2:$D$1001&gt;D320))+COUNTIFS($G$2:G320,"轿车",$D$2:D320,D320)-1)</f>
        <v/>
      </c>
      <c r="M320" s="62" t="str">
        <f>IF(OR(D320="",NOT(G320="MPV")),"",1+SUMPRODUCT(($G$2:$G$1001="MPV")*($D$2:$D$1001&gt;D320))+COUNTIFS($G$2:G320,"MPV",$D$2:D320,D320)-1)</f>
        <v/>
      </c>
      <c r="N320" s="62">
        <f>IF(OR(D320="",NOT(G320="SUV")),"",1+SUMPRODUCT(($G$2:$G$1001="SUV")*($D$2:$D$1001&gt;D320))+COUNTIFS($G$2:G320,"SUV",$D$2:D320,D320)-1)</f>
        <v>155</v>
      </c>
      <c r="O320" s="62" t="str">
        <f>IF(OR(D320="",NOT(AND(F320=1,G320="轿车"))),"",1+SUMPRODUCT(($F$2:$F$1001=1)*($G$2:$G$1001="轿车")*($D$2:$D$1001&gt;D320))+COUNTIFS($F$2:F320,1,$G$2:G320,"轿车",$D$2:D320,D320)-1)</f>
        <v/>
      </c>
      <c r="P320" s="62" t="str">
        <f>IF(OR(D320="",NOT(AND(F320=1,G320="MPV"))),"",1+SUMPRODUCT(($F$2:$F$1001=1)*($G$2:$G$1001="MPV")*($D$2:$D$1001&gt;D320))+COUNTIFS($F$2:F320,1,$G$2:G320,"MPV",$D$2:D320,D320)-1)</f>
        <v/>
      </c>
      <c r="Q320" s="62" t="str">
        <f>IF(OR(D320="",NOT(AND(F320=1,G320="SUV"))),"",1+SUMPRODUCT(($F$2:$F$1001=1)*($G$2:$G$1001="SUV")*($D$2:$D$1001&gt;D320))+COUNTIFS($F$2:F320,1,$G$2:G320,"SUV",$D$2:D320,D320)-1)</f>
        <v/>
      </c>
    </row>
    <row r="321" spans="1:17">
      <c r="A321" s="62" t="str">
        <f>IFERROR(INDEX($H$2:$H$3000,MATCH(0,INDEX(COUNTIF($A$1:A320,$H$2:$H$3000)+($H$2:$H$3000=""),0,0),0)),"")</f>
        <v>TESLA♦MODEL Y</v>
      </c>
      <c r="B321" s="62" t="str">
        <f t="shared" si="16"/>
        <v>TESLA</v>
      </c>
      <c r="C321" s="62" t="str">
        <f t="shared" si="17"/>
        <v>MODEL Y</v>
      </c>
      <c r="D321" s="63">
        <f t="shared" si="18"/>
        <v>430</v>
      </c>
      <c r="E321" s="62">
        <f>IF(D321="","",_xlfn.RANK.EQ(D321,$D$2:$D$1001,0)+COUNTIF($D$2:D321,D321)-1)</f>
        <v>28</v>
      </c>
      <c r="F321" s="62">
        <f>IF(B321="","",--(COUNTIF(CN_Brands!$A$2:$A$300,UPPER(B321))&gt;0))</f>
        <v>0</v>
      </c>
      <c r="G321" s="62" t="str">
        <f t="shared" si="19"/>
        <v>SUV</v>
      </c>
      <c r="H321" s="62" t="str">
        <f>IF(AND('Data Export'!A321=前十整体车型排名!$B$2,'Data Export'!B321=前十整体车型排名!$B$3,'Data Export'!D321&lt;&gt;""),UPPER('Data Export'!C321)&amp;"♦"&amp;'Data Export'!D321,"")</f>
        <v>HYPTEC♦HYPTEC SSR</v>
      </c>
      <c r="I321" s="63">
        <f>IF(H321="","",IFERROR(INDEX('Data Export'!G321:CZ321,1,MATCH(前十整体车型排名!$B$4,'Data Export'!$G$1:$CZ$1,0)),0))</f>
        <v>0</v>
      </c>
      <c r="J321" s="62" t="str">
        <f>IF(H321="","",IF(OR('Data Export'!F321="三厢轿车",'Data Export'!F321="掀背轿车",'Data Export'!F321="旅行车",'Data Export'!F321="微型车",'Data Export'!F321="硬顶跑车",'Data Export'!F321="敞蓬车",'Data Export'!F321="Targa"),"轿车",IF(OR('Data Export'!F321="小型MPV",'Data Export'!F321="客车"),"MPV",IF('Data Export'!F321="运动型多功能车","SUV","其他"))))</f>
        <v>轿车</v>
      </c>
      <c r="K321" s="62" t="str">
        <f>IF(OR(D321="",NOT(F321=1)),"",1+SUMPRODUCT(($F$2:$F$1001=1)*($D$2:$D$1001&gt;D321))+COUNTIFS($F$2:F321,1,$D$2:D321,D321)-1)</f>
        <v/>
      </c>
      <c r="L321" s="62" t="str">
        <f>IF(OR(D321="",NOT(G321="轿车")),"",1+SUMPRODUCT(($G$2:$G$1001="轿车")*($D$2:$D$1001&gt;D321))+COUNTIFS($G$2:G321,"轿车",$D$2:D321,D321)-1)</f>
        <v/>
      </c>
      <c r="M321" s="62" t="str">
        <f>IF(OR(D321="",NOT(G321="MPV")),"",1+SUMPRODUCT(($G$2:$G$1001="MPV")*($D$2:$D$1001&gt;D321))+COUNTIFS($G$2:G321,"MPV",$D$2:D321,D321)-1)</f>
        <v/>
      </c>
      <c r="N321" s="62">
        <f>IF(OR(D321="",NOT(G321="SUV")),"",1+SUMPRODUCT(($G$2:$G$1001="SUV")*($D$2:$D$1001&gt;D321))+COUNTIFS($G$2:G321,"SUV",$D$2:D321,D321)-1)</f>
        <v>20</v>
      </c>
      <c r="O321" s="62" t="str">
        <f>IF(OR(D321="",NOT(AND(F321=1,G321="轿车"))),"",1+SUMPRODUCT(($F$2:$F$1001=1)*($G$2:$G$1001="轿车")*($D$2:$D$1001&gt;D321))+COUNTIFS($F$2:F321,1,$G$2:G321,"轿车",$D$2:D321,D321)-1)</f>
        <v/>
      </c>
      <c r="P321" s="62" t="str">
        <f>IF(OR(D321="",NOT(AND(F321=1,G321="MPV"))),"",1+SUMPRODUCT(($F$2:$F$1001=1)*($G$2:$G$1001="MPV")*($D$2:$D$1001&gt;D321))+COUNTIFS($F$2:F321,1,$G$2:G321,"MPV",$D$2:D321,D321)-1)</f>
        <v/>
      </c>
      <c r="Q321" s="62" t="str">
        <f>IF(OR(D321="",NOT(AND(F321=1,G321="SUV"))),"",1+SUMPRODUCT(($F$2:$F$1001=1)*($G$2:$G$1001="SUV")*($D$2:$D$1001&gt;D321))+COUNTIFS($F$2:F321,1,$G$2:G321,"SUV",$D$2:D321,D321)-1)</f>
        <v/>
      </c>
    </row>
    <row r="322" spans="1:17">
      <c r="A322" s="62" t="str">
        <f>IFERROR(INDEX($H$2:$H$3000,MATCH(0,INDEX(COUNTIF($A$1:A321,$H$2:$H$3000)+($H$2:$H$3000=""),0,0),0)),"")</f>
        <v>THAIRUNG♦TR TRANSFORMER</v>
      </c>
      <c r="B322" s="62" t="str">
        <f t="shared" ref="B322:B385" si="20">IF(A322="","",LEFT(A322,FIND("♦",A322)-1))</f>
        <v>THAIRUNG</v>
      </c>
      <c r="C322" s="62" t="str">
        <f t="shared" ref="C322:C385" si="21">IF(A322="","",MID(A322,FIND("♦",A322)+1,999))</f>
        <v>TR TRANSFORMER</v>
      </c>
      <c r="D322" s="63">
        <f t="shared" ref="D322:D385" si="22">IF(A322="","",SUMIF($H$2:$H$3000,A322,$I$2:$I$3000))</f>
        <v>0</v>
      </c>
      <c r="E322" s="62">
        <f>IF(D322="","",_xlfn.RANK.EQ(D322,$D$2:$D$1001,0)+COUNTIF($D$2:D322,D322)-1)</f>
        <v>376</v>
      </c>
      <c r="F322" s="62">
        <f>IF(B322="","",--(COUNTIF(CN_Brands!$A$2:$A$300,UPPER(B322))&gt;0))</f>
        <v>0</v>
      </c>
      <c r="G322" s="62" t="str">
        <f t="shared" ref="G322:G385" si="23">IF(A322="","",IFERROR(INDEX($J$2:$J$3000,MATCH(A322,$H$2:$H$3000,0)),"其他"))</f>
        <v>SUV</v>
      </c>
      <c r="H322" s="62" t="str">
        <f>IF(AND('Data Export'!A322=前十整体车型排名!$B$2,'Data Export'!B322=前十整体车型排名!$B$3,'Data Export'!D322&lt;&gt;""),UPPER('Data Export'!C322)&amp;"♦"&amp;'Data Export'!D322,"")</f>
        <v>HYUNDAI♦CRETA</v>
      </c>
      <c r="I322" s="63">
        <f>IF(H322="","",IFERROR(INDEX('Data Export'!G322:CZ322,1,MATCH(前十整体车型排名!$B$4,'Data Export'!$G$1:$CZ$1,0)),0))</f>
        <v>2</v>
      </c>
      <c r="J322" s="62" t="str">
        <f>IF(H322="","",IF(OR('Data Export'!F322="三厢轿车",'Data Export'!F322="掀背轿车",'Data Export'!F322="旅行车",'Data Export'!F322="微型车",'Data Export'!F322="硬顶跑车",'Data Export'!F322="敞蓬车",'Data Export'!F322="Targa"),"轿车",IF(OR('Data Export'!F322="小型MPV",'Data Export'!F322="客车"),"MPV",IF('Data Export'!F322="运动型多功能车","SUV","其他"))))</f>
        <v>SUV</v>
      </c>
      <c r="K322" s="62" t="str">
        <f>IF(OR(D322="",NOT(F322=1)),"",1+SUMPRODUCT(($F$2:$F$1001=1)*($D$2:$D$1001&gt;D322))+COUNTIFS($F$2:F322,1,$D$2:D322,D322)-1)</f>
        <v/>
      </c>
      <c r="L322" s="62" t="str">
        <f>IF(OR(D322="",NOT(G322="轿车")),"",1+SUMPRODUCT(($G$2:$G$1001="轿车")*($D$2:$D$1001&gt;D322))+COUNTIFS($G$2:G322,"轿车",$D$2:D322,D322)-1)</f>
        <v/>
      </c>
      <c r="M322" s="62" t="str">
        <f>IF(OR(D322="",NOT(G322="MPV")),"",1+SUMPRODUCT(($G$2:$G$1001="MPV")*($D$2:$D$1001&gt;D322))+COUNTIFS($G$2:G322,"MPV",$D$2:D322,D322)-1)</f>
        <v/>
      </c>
      <c r="N322" s="62">
        <f>IF(OR(D322="",NOT(G322="SUV")),"",1+SUMPRODUCT(($G$2:$G$1001="SUV")*($D$2:$D$1001&gt;D322))+COUNTIFS($G$2:G322,"SUV",$D$2:D322,D322)-1)</f>
        <v>156</v>
      </c>
      <c r="O322" s="62" t="str">
        <f>IF(OR(D322="",NOT(AND(F322=1,G322="轿车"))),"",1+SUMPRODUCT(($F$2:$F$1001=1)*($G$2:$G$1001="轿车")*($D$2:$D$1001&gt;D322))+COUNTIFS($F$2:F322,1,$G$2:G322,"轿车",$D$2:D322,D322)-1)</f>
        <v/>
      </c>
      <c r="P322" s="62" t="str">
        <f>IF(OR(D322="",NOT(AND(F322=1,G322="MPV"))),"",1+SUMPRODUCT(($F$2:$F$1001=1)*($G$2:$G$1001="MPV")*($D$2:$D$1001&gt;D322))+COUNTIFS($F$2:F322,1,$G$2:G322,"MPV",$D$2:D322,D322)-1)</f>
        <v/>
      </c>
      <c r="Q322" s="62" t="str">
        <f>IF(OR(D322="",NOT(AND(F322=1,G322="SUV"))),"",1+SUMPRODUCT(($F$2:$F$1001=1)*($G$2:$G$1001="SUV")*($D$2:$D$1001&gt;D322))+COUNTIFS($F$2:F322,1,$G$2:G322,"SUV",$D$2:D322,D322)-1)</f>
        <v/>
      </c>
    </row>
    <row r="323" spans="1:17">
      <c r="A323" s="62" t="str">
        <f>IFERROR(INDEX($H$2:$H$3000,MATCH(0,INDEX(COUNTIF($A$1:A322,$H$2:$H$3000)+($H$2:$H$3000=""),0,0),0)),"")</f>
        <v>THAIRUNG♦TR TRANSFORMER II</v>
      </c>
      <c r="B323" s="62" t="str">
        <f t="shared" si="20"/>
        <v>THAIRUNG</v>
      </c>
      <c r="C323" s="62" t="str">
        <f t="shared" si="21"/>
        <v>TR TRANSFORMER II</v>
      </c>
      <c r="D323" s="63">
        <f t="shared" si="22"/>
        <v>0</v>
      </c>
      <c r="E323" s="62">
        <f>IF(D323="","",_xlfn.RANK.EQ(D323,$D$2:$D$1001,0)+COUNTIF($D$2:D323,D323)-1)</f>
        <v>377</v>
      </c>
      <c r="F323" s="62">
        <f>IF(B323="","",--(COUNTIF(CN_Brands!$A$2:$A$300,UPPER(B323))&gt;0))</f>
        <v>0</v>
      </c>
      <c r="G323" s="62" t="str">
        <f t="shared" si="23"/>
        <v>SUV</v>
      </c>
      <c r="H323" s="62" t="str">
        <f>IF(AND('Data Export'!A323=前十整体车型排名!$B$2,'Data Export'!B323=前十整体车型排名!$B$3,'Data Export'!D323&lt;&gt;""),UPPER('Data Export'!C323)&amp;"♦"&amp;'Data Export'!D323,"")</f>
        <v>HYUNDAI♦IONIQ</v>
      </c>
      <c r="I323" s="63">
        <f>IF(H323="","",IFERROR(INDEX('Data Export'!G323:CZ323,1,MATCH(前十整体车型排名!$B$4,'Data Export'!$G$1:$CZ$1,0)),0))</f>
        <v>0</v>
      </c>
      <c r="J323" s="62" t="str">
        <f>IF(H323="","",IF(OR('Data Export'!F323="三厢轿车",'Data Export'!F323="掀背轿车",'Data Export'!F323="旅行车",'Data Export'!F323="微型车",'Data Export'!F323="硬顶跑车",'Data Export'!F323="敞蓬车",'Data Export'!F323="Targa"),"轿车",IF(OR('Data Export'!F323="小型MPV",'Data Export'!F323="客车"),"MPV",IF('Data Export'!F323="运动型多功能车","SUV","其他"))))</f>
        <v>轿车</v>
      </c>
      <c r="K323" s="62" t="str">
        <f>IF(OR(D323="",NOT(F323=1)),"",1+SUMPRODUCT(($F$2:$F$1001=1)*($D$2:$D$1001&gt;D323))+COUNTIFS($F$2:F323,1,$D$2:D323,D323)-1)</f>
        <v/>
      </c>
      <c r="L323" s="62" t="str">
        <f>IF(OR(D323="",NOT(G323="轿车")),"",1+SUMPRODUCT(($G$2:$G$1001="轿车")*($D$2:$D$1001&gt;D323))+COUNTIFS($G$2:G323,"轿车",$D$2:D323,D323)-1)</f>
        <v/>
      </c>
      <c r="M323" s="62" t="str">
        <f>IF(OR(D323="",NOT(G323="MPV")),"",1+SUMPRODUCT(($G$2:$G$1001="MPV")*($D$2:$D$1001&gt;D323))+COUNTIFS($G$2:G323,"MPV",$D$2:D323,D323)-1)</f>
        <v/>
      </c>
      <c r="N323" s="62">
        <f>IF(OR(D323="",NOT(G323="SUV")),"",1+SUMPRODUCT(($G$2:$G$1001="SUV")*($D$2:$D$1001&gt;D323))+COUNTIFS($G$2:G323,"SUV",$D$2:D323,D323)-1)</f>
        <v>157</v>
      </c>
      <c r="O323" s="62" t="str">
        <f>IF(OR(D323="",NOT(AND(F323=1,G323="轿车"))),"",1+SUMPRODUCT(($F$2:$F$1001=1)*($G$2:$G$1001="轿车")*($D$2:$D$1001&gt;D323))+COUNTIFS($F$2:F323,1,$G$2:G323,"轿车",$D$2:D323,D323)-1)</f>
        <v/>
      </c>
      <c r="P323" s="62" t="str">
        <f>IF(OR(D323="",NOT(AND(F323=1,G323="MPV"))),"",1+SUMPRODUCT(($F$2:$F$1001=1)*($G$2:$G$1001="MPV")*($D$2:$D$1001&gt;D323))+COUNTIFS($F$2:F323,1,$G$2:G323,"MPV",$D$2:D323,D323)-1)</f>
        <v/>
      </c>
      <c r="Q323" s="62" t="str">
        <f>IF(OR(D323="",NOT(AND(F323=1,G323="SUV"))),"",1+SUMPRODUCT(($F$2:$F$1001=1)*($G$2:$G$1001="SUV")*($D$2:$D$1001&gt;D323))+COUNTIFS($F$2:F323,1,$G$2:G323,"SUV",$D$2:D323,D323)-1)</f>
        <v/>
      </c>
    </row>
    <row r="324" spans="1:17">
      <c r="A324" s="62" t="str">
        <f>IFERROR(INDEX($H$2:$H$3000,MATCH(0,INDEX(COUNTIF($A$1:A323,$H$2:$H$3000)+($H$2:$H$3000=""),0,0),0)),"")</f>
        <v>TOYOTA♦ALPHARD</v>
      </c>
      <c r="B324" s="62" t="str">
        <f t="shared" si="20"/>
        <v>TOYOTA</v>
      </c>
      <c r="C324" s="62" t="str">
        <f t="shared" si="21"/>
        <v>ALPHARD</v>
      </c>
      <c r="D324" s="63">
        <f t="shared" si="22"/>
        <v>254</v>
      </c>
      <c r="E324" s="62">
        <f>IF(D324="","",_xlfn.RANK.EQ(D324,$D$2:$D$1001,0)+COUNTIF($D$2:D324,D324)-1)</f>
        <v>43</v>
      </c>
      <c r="F324" s="62">
        <f>IF(B324="","",--(COUNTIF(CN_Brands!$A$2:$A$300,UPPER(B324))&gt;0))</f>
        <v>0</v>
      </c>
      <c r="G324" s="62" t="str">
        <f t="shared" si="23"/>
        <v>其他</v>
      </c>
      <c r="H324" s="62" t="str">
        <f>IF(AND('Data Export'!A324=前十整体车型排名!$B$2,'Data Export'!B324=前十整体车型排名!$B$3,'Data Export'!D324&lt;&gt;""),UPPER('Data Export'!C324)&amp;"♦"&amp;'Data Export'!D324,"")</f>
        <v>HYUNDAI♦IONIQ 5</v>
      </c>
      <c r="I324" s="63">
        <f>IF(H324="","",IFERROR(INDEX('Data Export'!G324:CZ324,1,MATCH(前十整体车型排名!$B$4,'Data Export'!$G$1:$CZ$1,0)),0))</f>
        <v>2</v>
      </c>
      <c r="J324" s="62" t="str">
        <f>IF(H324="","",IF(OR('Data Export'!F324="三厢轿车",'Data Export'!F324="掀背轿车",'Data Export'!F324="旅行车",'Data Export'!F324="微型车",'Data Export'!F324="硬顶跑车",'Data Export'!F324="敞蓬车",'Data Export'!F324="Targa"),"轿车",IF(OR('Data Export'!F324="小型MPV",'Data Export'!F324="客车"),"MPV",IF('Data Export'!F324="运动型多功能车","SUV","其他"))))</f>
        <v>SUV</v>
      </c>
      <c r="K324" s="62" t="str">
        <f>IF(OR(D324="",NOT(F324=1)),"",1+SUMPRODUCT(($F$2:$F$1001=1)*($D$2:$D$1001&gt;D324))+COUNTIFS($F$2:F324,1,$D$2:D324,D324)-1)</f>
        <v/>
      </c>
      <c r="L324" s="62" t="str">
        <f>IF(OR(D324="",NOT(G324="轿车")),"",1+SUMPRODUCT(($G$2:$G$1001="轿车")*($D$2:$D$1001&gt;D324))+COUNTIFS($G$2:G324,"轿车",$D$2:D324,D324)-1)</f>
        <v/>
      </c>
      <c r="M324" s="62" t="str">
        <f>IF(OR(D324="",NOT(G324="MPV")),"",1+SUMPRODUCT(($G$2:$G$1001="MPV")*($D$2:$D$1001&gt;D324))+COUNTIFS($G$2:G324,"MPV",$D$2:D324,D324)-1)</f>
        <v/>
      </c>
      <c r="N324" s="62" t="str">
        <f>IF(OR(D324="",NOT(G324="SUV")),"",1+SUMPRODUCT(($G$2:$G$1001="SUV")*($D$2:$D$1001&gt;D324))+COUNTIFS($G$2:G324,"SUV",$D$2:D324,D324)-1)</f>
        <v/>
      </c>
      <c r="O324" s="62" t="str">
        <f>IF(OR(D324="",NOT(AND(F324=1,G324="轿车"))),"",1+SUMPRODUCT(($F$2:$F$1001=1)*($G$2:$G$1001="轿车")*($D$2:$D$1001&gt;D324))+COUNTIFS($F$2:F324,1,$G$2:G324,"轿车",$D$2:D324,D324)-1)</f>
        <v/>
      </c>
      <c r="P324" s="62" t="str">
        <f>IF(OR(D324="",NOT(AND(F324=1,G324="MPV"))),"",1+SUMPRODUCT(($F$2:$F$1001=1)*($G$2:$G$1001="MPV")*($D$2:$D$1001&gt;D324))+COUNTIFS($F$2:F324,1,$G$2:G324,"MPV",$D$2:D324,D324)-1)</f>
        <v/>
      </c>
      <c r="Q324" s="62" t="str">
        <f>IF(OR(D324="",NOT(AND(F324=1,G324="SUV"))),"",1+SUMPRODUCT(($F$2:$F$1001=1)*($G$2:$G$1001="SUV")*($D$2:$D$1001&gt;D324))+COUNTIFS($F$2:F324,1,$G$2:G324,"SUV",$D$2:D324,D324)-1)</f>
        <v/>
      </c>
    </row>
    <row r="325" spans="1:17">
      <c r="A325" s="62" t="str">
        <f>IFERROR(INDEX($H$2:$H$3000,MATCH(0,INDEX(COUNTIF($A$1:A324,$H$2:$H$3000)+($H$2:$H$3000=""),0,0),0)),"")</f>
        <v>TOYOTA♦BZ4X</v>
      </c>
      <c r="B325" s="62" t="str">
        <f t="shared" si="20"/>
        <v>TOYOTA</v>
      </c>
      <c r="C325" s="62" t="str">
        <f t="shared" si="21"/>
        <v>BZ4X</v>
      </c>
      <c r="D325" s="63">
        <f t="shared" si="22"/>
        <v>86</v>
      </c>
      <c r="E325" s="62">
        <f>IF(D325="","",_xlfn.RANK.EQ(D325,$D$2:$D$1001,0)+COUNTIF($D$2:D325,D325)-1)</f>
        <v>80</v>
      </c>
      <c r="F325" s="62">
        <f>IF(B325="","",--(COUNTIF(CN_Brands!$A$2:$A$300,UPPER(B325))&gt;0))</f>
        <v>0</v>
      </c>
      <c r="G325" s="62" t="str">
        <f t="shared" si="23"/>
        <v>SUV</v>
      </c>
      <c r="H325" s="62" t="str">
        <f>IF(AND('Data Export'!A325=前十整体车型排名!$B$2,'Data Export'!B325=前十整体车型排名!$B$3,'Data Export'!D325&lt;&gt;""),UPPER('Data Export'!C325)&amp;"♦"&amp;'Data Export'!D325,"")</f>
        <v>HYUNDAI♦IONIQ 5</v>
      </c>
      <c r="I325" s="63">
        <f>IF(H325="","",IFERROR(INDEX('Data Export'!G325:CZ325,1,MATCH(前十整体车型排名!$B$4,'Data Export'!$G$1:$CZ$1,0)),0))</f>
        <v>1</v>
      </c>
      <c r="J325" s="62" t="str">
        <f>IF(H325="","",IF(OR('Data Export'!F325="三厢轿车",'Data Export'!F325="掀背轿车",'Data Export'!F325="旅行车",'Data Export'!F325="微型车",'Data Export'!F325="硬顶跑车",'Data Export'!F325="敞蓬车",'Data Export'!F325="Targa"),"轿车",IF(OR('Data Export'!F325="小型MPV",'Data Export'!F325="客车"),"MPV",IF('Data Export'!F325="运动型多功能车","SUV","其他"))))</f>
        <v>SUV</v>
      </c>
      <c r="K325" s="62" t="str">
        <f>IF(OR(D325="",NOT(F325=1)),"",1+SUMPRODUCT(($F$2:$F$1001=1)*($D$2:$D$1001&gt;D325))+COUNTIFS($F$2:F325,1,$D$2:D325,D325)-1)</f>
        <v/>
      </c>
      <c r="L325" s="62" t="str">
        <f>IF(OR(D325="",NOT(G325="轿车")),"",1+SUMPRODUCT(($G$2:$G$1001="轿车")*($D$2:$D$1001&gt;D325))+COUNTIFS($G$2:G325,"轿车",$D$2:D325,D325)-1)</f>
        <v/>
      </c>
      <c r="M325" s="62" t="str">
        <f>IF(OR(D325="",NOT(G325="MPV")),"",1+SUMPRODUCT(($G$2:$G$1001="MPV")*($D$2:$D$1001&gt;D325))+COUNTIFS($G$2:G325,"MPV",$D$2:D325,D325)-1)</f>
        <v/>
      </c>
      <c r="N325" s="62">
        <f>IF(OR(D325="",NOT(G325="SUV")),"",1+SUMPRODUCT(($G$2:$G$1001="SUV")*($D$2:$D$1001&gt;D325))+COUNTIFS($G$2:G325,"SUV",$D$2:D325,D325)-1)</f>
        <v>42</v>
      </c>
      <c r="O325" s="62" t="str">
        <f>IF(OR(D325="",NOT(AND(F325=1,G325="轿车"))),"",1+SUMPRODUCT(($F$2:$F$1001=1)*($G$2:$G$1001="轿车")*($D$2:$D$1001&gt;D325))+COUNTIFS($F$2:F325,1,$G$2:G325,"轿车",$D$2:D325,D325)-1)</f>
        <v/>
      </c>
      <c r="P325" s="62" t="str">
        <f>IF(OR(D325="",NOT(AND(F325=1,G325="MPV"))),"",1+SUMPRODUCT(($F$2:$F$1001=1)*($G$2:$G$1001="MPV")*($D$2:$D$1001&gt;D325))+COUNTIFS($F$2:F325,1,$G$2:G325,"MPV",$D$2:D325,D325)-1)</f>
        <v/>
      </c>
      <c r="Q325" s="62" t="str">
        <f>IF(OR(D325="",NOT(AND(F325=1,G325="SUV"))),"",1+SUMPRODUCT(($F$2:$F$1001=1)*($G$2:$G$1001="SUV")*($D$2:$D$1001&gt;D325))+COUNTIFS($F$2:F325,1,$G$2:G325,"SUV",$D$2:D325,D325)-1)</f>
        <v/>
      </c>
    </row>
    <row r="326" spans="1:17">
      <c r="A326" s="62" t="str">
        <f>IFERROR(INDEX($H$2:$H$3000,MATCH(0,INDEX(COUNTIF($A$1:A325,$H$2:$H$3000)+($H$2:$H$3000=""),0,0),0)),"")</f>
        <v>TOYOTA♦CAMRY</v>
      </c>
      <c r="B326" s="62" t="str">
        <f t="shared" si="20"/>
        <v>TOYOTA</v>
      </c>
      <c r="C326" s="62" t="str">
        <f t="shared" si="21"/>
        <v>CAMRY</v>
      </c>
      <c r="D326" s="63">
        <f t="shared" si="22"/>
        <v>412</v>
      </c>
      <c r="E326" s="62">
        <f>IF(D326="","",_xlfn.RANK.EQ(D326,$D$2:$D$1001,0)+COUNTIF($D$2:D326,D326)-1)</f>
        <v>29</v>
      </c>
      <c r="F326" s="62">
        <f>IF(B326="","",--(COUNTIF(CN_Brands!$A$2:$A$300,UPPER(B326))&gt;0))</f>
        <v>0</v>
      </c>
      <c r="G326" s="62" t="str">
        <f t="shared" si="23"/>
        <v>轿车</v>
      </c>
      <c r="H326" s="62" t="str">
        <f>IF(AND('Data Export'!A326=前十整体车型排名!$B$2,'Data Export'!B326=前十整体车型排名!$B$3,'Data Export'!D326&lt;&gt;""),UPPER('Data Export'!C326)&amp;"♦"&amp;'Data Export'!D326,"")</f>
        <v>HYUNDAI♦IONIQ 6</v>
      </c>
      <c r="I326" s="63">
        <f>IF(H326="","",IFERROR(INDEX('Data Export'!G326:CZ326,1,MATCH(前十整体车型排名!$B$4,'Data Export'!$G$1:$CZ$1,0)),0))</f>
        <v>2</v>
      </c>
      <c r="J326" s="62" t="str">
        <f>IF(H326="","",IF(OR('Data Export'!F326="三厢轿车",'Data Export'!F326="掀背轿车",'Data Export'!F326="旅行车",'Data Export'!F326="微型车",'Data Export'!F326="硬顶跑车",'Data Export'!F326="敞蓬车",'Data Export'!F326="Targa"),"轿车",IF(OR('Data Export'!F326="小型MPV",'Data Export'!F326="客车"),"MPV",IF('Data Export'!F326="运动型多功能车","SUV","其他"))))</f>
        <v>轿车</v>
      </c>
      <c r="K326" s="62" t="str">
        <f>IF(OR(D326="",NOT(F326=1)),"",1+SUMPRODUCT(($F$2:$F$1001=1)*($D$2:$D$1001&gt;D326))+COUNTIFS($F$2:F326,1,$D$2:D326,D326)-1)</f>
        <v/>
      </c>
      <c r="L326" s="62">
        <f>IF(OR(D326="",NOT(G326="轿车")),"",1+SUMPRODUCT(($G$2:$G$1001="轿车")*($D$2:$D$1001&gt;D326))+COUNTIFS($G$2:G326,"轿车",$D$2:D326,D326)-1)</f>
        <v>7</v>
      </c>
      <c r="M326" s="62" t="str">
        <f>IF(OR(D326="",NOT(G326="MPV")),"",1+SUMPRODUCT(($G$2:$G$1001="MPV")*($D$2:$D$1001&gt;D326))+COUNTIFS($G$2:G326,"MPV",$D$2:D326,D326)-1)</f>
        <v/>
      </c>
      <c r="N326" s="62" t="str">
        <f>IF(OR(D326="",NOT(G326="SUV")),"",1+SUMPRODUCT(($G$2:$G$1001="SUV")*($D$2:$D$1001&gt;D326))+COUNTIFS($G$2:G326,"SUV",$D$2:D326,D326)-1)</f>
        <v/>
      </c>
      <c r="O326" s="62" t="str">
        <f>IF(OR(D326="",NOT(AND(F326=1,G326="轿车"))),"",1+SUMPRODUCT(($F$2:$F$1001=1)*($G$2:$G$1001="轿车")*($D$2:$D$1001&gt;D326))+COUNTIFS($F$2:F326,1,$G$2:G326,"轿车",$D$2:D326,D326)-1)</f>
        <v/>
      </c>
      <c r="P326" s="62" t="str">
        <f>IF(OR(D326="",NOT(AND(F326=1,G326="MPV"))),"",1+SUMPRODUCT(($F$2:$F$1001=1)*($G$2:$G$1001="MPV")*($D$2:$D$1001&gt;D326))+COUNTIFS($F$2:F326,1,$G$2:G326,"MPV",$D$2:D326,D326)-1)</f>
        <v/>
      </c>
      <c r="Q326" s="62" t="str">
        <f>IF(OR(D326="",NOT(AND(F326=1,G326="SUV"))),"",1+SUMPRODUCT(($F$2:$F$1001=1)*($G$2:$G$1001="SUV")*($D$2:$D$1001&gt;D326))+COUNTIFS($F$2:F326,1,$G$2:G326,"SUV",$D$2:D326,D326)-1)</f>
        <v/>
      </c>
    </row>
    <row r="327" spans="1:17">
      <c r="A327" s="62" t="str">
        <f>IFERROR(INDEX($H$2:$H$3000,MATCH(0,INDEX(COUNTIF($A$1:A326,$H$2:$H$3000)+($H$2:$H$3000=""),0,0),0)),"")</f>
        <v>TOYOTA♦C-HR</v>
      </c>
      <c r="B327" s="62" t="str">
        <f t="shared" si="20"/>
        <v>TOYOTA</v>
      </c>
      <c r="C327" s="62" t="str">
        <f t="shared" si="21"/>
        <v>C-HR</v>
      </c>
      <c r="D327" s="63">
        <f t="shared" si="22"/>
        <v>1</v>
      </c>
      <c r="E327" s="62">
        <f>IF(D327="","",_xlfn.RANK.EQ(D327,$D$2:$D$1001,0)+COUNTIF($D$2:D327,D327)-1)</f>
        <v>253</v>
      </c>
      <c r="F327" s="62">
        <f>IF(B327="","",--(COUNTIF(CN_Brands!$A$2:$A$300,UPPER(B327))&gt;0))</f>
        <v>0</v>
      </c>
      <c r="G327" s="62" t="str">
        <f t="shared" si="23"/>
        <v>轿车</v>
      </c>
      <c r="H327" s="62" t="str">
        <f>IF(AND('Data Export'!A327=前十整体车型排名!$B$2,'Data Export'!B327=前十整体车型排名!$B$3,'Data Export'!D327&lt;&gt;""),UPPER('Data Export'!C327)&amp;"♦"&amp;'Data Export'!D327,"")</f>
        <v>HYUNDAI♦PALISADE</v>
      </c>
      <c r="I327" s="63">
        <f>IF(H327="","",IFERROR(INDEX('Data Export'!G327:CZ327,1,MATCH(前十整体车型排名!$B$4,'Data Export'!$G$1:$CZ$1,0)),0))</f>
        <v>24</v>
      </c>
      <c r="J327" s="62" t="str">
        <f>IF(H327="","",IF(OR('Data Export'!F327="三厢轿车",'Data Export'!F327="掀背轿车",'Data Export'!F327="旅行车",'Data Export'!F327="微型车",'Data Export'!F327="硬顶跑车",'Data Export'!F327="敞蓬车",'Data Export'!F327="Targa"),"轿车",IF(OR('Data Export'!F327="小型MPV",'Data Export'!F327="客车"),"MPV",IF('Data Export'!F327="运动型多功能车","SUV","其他"))))</f>
        <v>SUV</v>
      </c>
      <c r="K327" s="62" t="str">
        <f>IF(OR(D327="",NOT(F327=1)),"",1+SUMPRODUCT(($F$2:$F$1001=1)*($D$2:$D$1001&gt;D327))+COUNTIFS($F$2:F327,1,$D$2:D327,D327)-1)</f>
        <v/>
      </c>
      <c r="L327" s="62">
        <f>IF(OR(D327="",NOT(G327="轿车")),"",1+SUMPRODUCT(($G$2:$G$1001="轿车")*($D$2:$D$1001&gt;D327))+COUNTIFS($G$2:G327,"轿车",$D$2:D327,D327)-1)</f>
        <v>79</v>
      </c>
      <c r="M327" s="62" t="str">
        <f>IF(OR(D327="",NOT(G327="MPV")),"",1+SUMPRODUCT(($G$2:$G$1001="MPV")*($D$2:$D$1001&gt;D327))+COUNTIFS($G$2:G327,"MPV",$D$2:D327,D327)-1)</f>
        <v/>
      </c>
      <c r="N327" s="62" t="str">
        <f>IF(OR(D327="",NOT(G327="SUV")),"",1+SUMPRODUCT(($G$2:$G$1001="SUV")*($D$2:$D$1001&gt;D327))+COUNTIFS($G$2:G327,"SUV",$D$2:D327,D327)-1)</f>
        <v/>
      </c>
      <c r="O327" s="62" t="str">
        <f>IF(OR(D327="",NOT(AND(F327=1,G327="轿车"))),"",1+SUMPRODUCT(($F$2:$F$1001=1)*($G$2:$G$1001="轿车")*($D$2:$D$1001&gt;D327))+COUNTIFS($F$2:F327,1,$G$2:G327,"轿车",$D$2:D327,D327)-1)</f>
        <v/>
      </c>
      <c r="P327" s="62" t="str">
        <f>IF(OR(D327="",NOT(AND(F327=1,G327="MPV"))),"",1+SUMPRODUCT(($F$2:$F$1001=1)*($G$2:$G$1001="MPV")*($D$2:$D$1001&gt;D327))+COUNTIFS($F$2:F327,1,$G$2:G327,"MPV",$D$2:D327,D327)-1)</f>
        <v/>
      </c>
      <c r="Q327" s="62" t="str">
        <f>IF(OR(D327="",NOT(AND(F327=1,G327="SUV"))),"",1+SUMPRODUCT(($F$2:$F$1001=1)*($G$2:$G$1001="SUV")*($D$2:$D$1001&gt;D327))+COUNTIFS($F$2:F327,1,$G$2:G327,"SUV",$D$2:D327,D327)-1)</f>
        <v/>
      </c>
    </row>
    <row r="328" spans="1:17">
      <c r="A328" s="62" t="str">
        <f>IFERROR(INDEX($H$2:$H$3000,MATCH(0,INDEX(COUNTIF($A$1:A327,$H$2:$H$3000)+($H$2:$H$3000=""),0,0),0)),"")</f>
        <v>TOYOTA♦COROLLA</v>
      </c>
      <c r="B328" s="62" t="str">
        <f t="shared" si="20"/>
        <v>TOYOTA</v>
      </c>
      <c r="C328" s="62" t="str">
        <f t="shared" si="21"/>
        <v>COROLLA</v>
      </c>
      <c r="D328" s="63">
        <f t="shared" si="22"/>
        <v>0</v>
      </c>
      <c r="E328" s="62">
        <f>IF(D328="","",_xlfn.RANK.EQ(D328,$D$2:$D$1001,0)+COUNTIF($D$2:D328,D328)-1)</f>
        <v>378</v>
      </c>
      <c r="F328" s="62">
        <f>IF(B328="","",--(COUNTIF(CN_Brands!$A$2:$A$300,UPPER(B328))&gt;0))</f>
        <v>0</v>
      </c>
      <c r="G328" s="62" t="str">
        <f t="shared" si="23"/>
        <v>轿车</v>
      </c>
      <c r="H328" s="62" t="str">
        <f>IF(AND('Data Export'!A328=前十整体车型排名!$B$2,'Data Export'!B328=前十整体车型排名!$B$3,'Data Export'!D328&lt;&gt;""),UPPER('Data Export'!C328)&amp;"♦"&amp;'Data Export'!D328,"")</f>
        <v>HYUNDAI♦SANTA FE</v>
      </c>
      <c r="I328" s="63">
        <f>IF(H328="","",IFERROR(INDEX('Data Export'!G328:CZ328,1,MATCH(前十整体车型排名!$B$4,'Data Export'!$G$1:$CZ$1,0)),0))</f>
        <v>34</v>
      </c>
      <c r="J328" s="62" t="str">
        <f>IF(H328="","",IF(OR('Data Export'!F328="三厢轿车",'Data Export'!F328="掀背轿车",'Data Export'!F328="旅行车",'Data Export'!F328="微型车",'Data Export'!F328="硬顶跑车",'Data Export'!F328="敞蓬车",'Data Export'!F328="Targa"),"轿车",IF(OR('Data Export'!F328="小型MPV",'Data Export'!F328="客车"),"MPV",IF('Data Export'!F328="运动型多功能车","SUV","其他"))))</f>
        <v>SUV</v>
      </c>
      <c r="K328" s="62" t="str">
        <f>IF(OR(D328="",NOT(F328=1)),"",1+SUMPRODUCT(($F$2:$F$1001=1)*($D$2:$D$1001&gt;D328))+COUNTIFS($F$2:F328,1,$D$2:D328,D328)-1)</f>
        <v/>
      </c>
      <c r="L328" s="62">
        <f>IF(OR(D328="",NOT(G328="轿车")),"",1+SUMPRODUCT(($G$2:$G$1001="轿车")*($D$2:$D$1001&gt;D328))+COUNTIFS($G$2:G328,"轿车",$D$2:D328,D328)-1)</f>
        <v>135</v>
      </c>
      <c r="M328" s="62" t="str">
        <f>IF(OR(D328="",NOT(G328="MPV")),"",1+SUMPRODUCT(($G$2:$G$1001="MPV")*($D$2:$D$1001&gt;D328))+COUNTIFS($G$2:G328,"MPV",$D$2:D328,D328)-1)</f>
        <v/>
      </c>
      <c r="N328" s="62" t="str">
        <f>IF(OR(D328="",NOT(G328="SUV")),"",1+SUMPRODUCT(($G$2:$G$1001="SUV")*($D$2:$D$1001&gt;D328))+COUNTIFS($G$2:G328,"SUV",$D$2:D328,D328)-1)</f>
        <v/>
      </c>
      <c r="O328" s="62" t="str">
        <f>IF(OR(D328="",NOT(AND(F328=1,G328="轿车"))),"",1+SUMPRODUCT(($F$2:$F$1001=1)*($G$2:$G$1001="轿车")*($D$2:$D$1001&gt;D328))+COUNTIFS($F$2:F328,1,$G$2:G328,"轿车",$D$2:D328,D328)-1)</f>
        <v/>
      </c>
      <c r="P328" s="62" t="str">
        <f>IF(OR(D328="",NOT(AND(F328=1,G328="MPV"))),"",1+SUMPRODUCT(($F$2:$F$1001=1)*($G$2:$G$1001="MPV")*($D$2:$D$1001&gt;D328))+COUNTIFS($F$2:F328,1,$G$2:G328,"MPV",$D$2:D328,D328)-1)</f>
        <v/>
      </c>
      <c r="Q328" s="62" t="str">
        <f>IF(OR(D328="",NOT(AND(F328=1,G328="SUV"))),"",1+SUMPRODUCT(($F$2:$F$1001=1)*($G$2:$G$1001="SUV")*($D$2:$D$1001&gt;D328))+COUNTIFS($F$2:F328,1,$G$2:G328,"SUV",$D$2:D328,D328)-1)</f>
        <v/>
      </c>
    </row>
    <row r="329" spans="1:17">
      <c r="A329" s="62" t="str">
        <f>IFERROR(INDEX($H$2:$H$3000,MATCH(0,INDEX(COUNTIF($A$1:A328,$H$2:$H$3000)+($H$2:$H$3000=""),0,0),0)),"")</f>
        <v>TOYOTA♦COROLLA ALTIS</v>
      </c>
      <c r="B329" s="62" t="str">
        <f t="shared" si="20"/>
        <v>TOYOTA</v>
      </c>
      <c r="C329" s="62" t="str">
        <f t="shared" si="21"/>
        <v>COROLLA ALTIS</v>
      </c>
      <c r="D329" s="63">
        <f t="shared" si="22"/>
        <v>140</v>
      </c>
      <c r="E329" s="62">
        <f>IF(D329="","",_xlfn.RANK.EQ(D329,$D$2:$D$1001,0)+COUNTIF($D$2:D329,D329)-1)</f>
        <v>61</v>
      </c>
      <c r="F329" s="62">
        <f>IF(B329="","",--(COUNTIF(CN_Brands!$A$2:$A$300,UPPER(B329))&gt;0))</f>
        <v>0</v>
      </c>
      <c r="G329" s="62" t="str">
        <f t="shared" si="23"/>
        <v>轿车</v>
      </c>
      <c r="H329" s="62" t="str">
        <f>IF(AND('Data Export'!A329=前十整体车型排名!$B$2,'Data Export'!B329=前十整体车型排名!$B$3,'Data Export'!D329&lt;&gt;""),UPPER('Data Export'!C329)&amp;"♦"&amp;'Data Export'!D329,"")</f>
        <v>HYUNDAI♦STARGAZER</v>
      </c>
      <c r="I329" s="63">
        <f>IF(H329="","",IFERROR(INDEX('Data Export'!G329:CZ329,1,MATCH(前十整体车型排名!$B$4,'Data Export'!$G$1:$CZ$1,0)),0))</f>
        <v>26</v>
      </c>
      <c r="J329" s="62" t="str">
        <f>IF(H329="","",IF(OR('Data Export'!F329="三厢轿车",'Data Export'!F329="掀背轿车",'Data Export'!F329="旅行车",'Data Export'!F329="微型车",'Data Export'!F329="硬顶跑车",'Data Export'!F329="敞蓬车",'Data Export'!F329="Targa"),"轿车",IF(OR('Data Export'!F329="小型MPV",'Data Export'!F329="客车"),"MPV",IF('Data Export'!F329="运动型多功能车","SUV","其他"))))</f>
        <v>MPV</v>
      </c>
      <c r="K329" s="62" t="str">
        <f>IF(OR(D329="",NOT(F329=1)),"",1+SUMPRODUCT(($F$2:$F$1001=1)*($D$2:$D$1001&gt;D329))+COUNTIFS($F$2:F329,1,$D$2:D329,D329)-1)</f>
        <v/>
      </c>
      <c r="L329" s="62">
        <f>IF(OR(D329="",NOT(G329="轿车")),"",1+SUMPRODUCT(($G$2:$G$1001="轿车")*($D$2:$D$1001&gt;D329))+COUNTIFS($G$2:G329,"轿车",$D$2:D329,D329)-1)</f>
        <v>17</v>
      </c>
      <c r="M329" s="62" t="str">
        <f>IF(OR(D329="",NOT(G329="MPV")),"",1+SUMPRODUCT(($G$2:$G$1001="MPV")*($D$2:$D$1001&gt;D329))+COUNTIFS($G$2:G329,"MPV",$D$2:D329,D329)-1)</f>
        <v/>
      </c>
      <c r="N329" s="62" t="str">
        <f>IF(OR(D329="",NOT(G329="SUV")),"",1+SUMPRODUCT(($G$2:$G$1001="SUV")*($D$2:$D$1001&gt;D329))+COUNTIFS($G$2:G329,"SUV",$D$2:D329,D329)-1)</f>
        <v/>
      </c>
      <c r="O329" s="62" t="str">
        <f>IF(OR(D329="",NOT(AND(F329=1,G329="轿车"))),"",1+SUMPRODUCT(($F$2:$F$1001=1)*($G$2:$G$1001="轿车")*($D$2:$D$1001&gt;D329))+COUNTIFS($F$2:F329,1,$G$2:G329,"轿车",$D$2:D329,D329)-1)</f>
        <v/>
      </c>
      <c r="P329" s="62" t="str">
        <f>IF(OR(D329="",NOT(AND(F329=1,G329="MPV"))),"",1+SUMPRODUCT(($F$2:$F$1001=1)*($G$2:$G$1001="MPV")*($D$2:$D$1001&gt;D329))+COUNTIFS($F$2:F329,1,$G$2:G329,"MPV",$D$2:D329,D329)-1)</f>
        <v/>
      </c>
      <c r="Q329" s="62" t="str">
        <f>IF(OR(D329="",NOT(AND(F329=1,G329="SUV"))),"",1+SUMPRODUCT(($F$2:$F$1001=1)*($G$2:$G$1001="SUV")*($D$2:$D$1001&gt;D329))+COUNTIFS($F$2:F329,1,$G$2:G329,"SUV",$D$2:D329,D329)-1)</f>
        <v/>
      </c>
    </row>
    <row r="330" spans="1:17">
      <c r="A330" s="62" t="str">
        <f>IFERROR(INDEX($H$2:$H$3000,MATCH(0,INDEX(COUNTIF($A$1:A329,$H$2:$H$3000)+($H$2:$H$3000=""),0,0),0)),"")</f>
        <v>TOYOTA♦COROLLA CROSS</v>
      </c>
      <c r="B330" s="62" t="str">
        <f t="shared" si="20"/>
        <v>TOYOTA</v>
      </c>
      <c r="C330" s="62" t="str">
        <f t="shared" si="21"/>
        <v>COROLLA CROSS</v>
      </c>
      <c r="D330" s="63">
        <f t="shared" si="22"/>
        <v>1418</v>
      </c>
      <c r="E330" s="62">
        <f>IF(D330="","",_xlfn.RANK.EQ(D330,$D$2:$D$1001,0)+COUNTIF($D$2:D330,D330)-1)</f>
        <v>6</v>
      </c>
      <c r="F330" s="62">
        <f>IF(B330="","",--(COUNTIF(CN_Brands!$A$2:$A$300,UPPER(B330))&gt;0))</f>
        <v>0</v>
      </c>
      <c r="G330" s="62" t="str">
        <f t="shared" si="23"/>
        <v>SUV</v>
      </c>
      <c r="H330" s="62" t="str">
        <f>IF(AND('Data Export'!A330=前十整体车型排名!$B$2,'Data Export'!B330=前十整体车型排名!$B$3,'Data Export'!D330&lt;&gt;""),UPPER('Data Export'!C330)&amp;"♦"&amp;'Data Export'!D330,"")</f>
        <v>HYUNDAI♦STARIA</v>
      </c>
      <c r="I330" s="63">
        <f>IF(H330="","",IFERROR(INDEX('Data Export'!G330:CZ330,1,MATCH(前十整体车型排名!$B$4,'Data Export'!$G$1:$CZ$1,0)),0))</f>
        <v>95</v>
      </c>
      <c r="J330" s="62" t="str">
        <f>IF(H330="","",IF(OR('Data Export'!F330="三厢轿车",'Data Export'!F330="掀背轿车",'Data Export'!F330="旅行车",'Data Export'!F330="微型车",'Data Export'!F330="硬顶跑车",'Data Export'!F330="敞蓬车",'Data Export'!F330="Targa"),"轿车",IF(OR('Data Export'!F330="小型MPV",'Data Export'!F330="客车"),"MPV",IF('Data Export'!F330="运动型多功能车","SUV","其他"))))</f>
        <v>其他</v>
      </c>
      <c r="K330" s="62" t="str">
        <f>IF(OR(D330="",NOT(F330=1)),"",1+SUMPRODUCT(($F$2:$F$1001=1)*($D$2:$D$1001&gt;D330))+COUNTIFS($F$2:F330,1,$D$2:D330,D330)-1)</f>
        <v/>
      </c>
      <c r="L330" s="62" t="str">
        <f>IF(OR(D330="",NOT(G330="轿车")),"",1+SUMPRODUCT(($G$2:$G$1001="轿车")*($D$2:$D$1001&gt;D330))+COUNTIFS($G$2:G330,"轿车",$D$2:D330,D330)-1)</f>
        <v/>
      </c>
      <c r="M330" s="62" t="str">
        <f>IF(OR(D330="",NOT(G330="MPV")),"",1+SUMPRODUCT(($G$2:$G$1001="MPV")*($D$2:$D$1001&gt;D330))+COUNTIFS($G$2:G330,"MPV",$D$2:D330,D330)-1)</f>
        <v/>
      </c>
      <c r="N330" s="62">
        <f>IF(OR(D330="",NOT(G330="SUV")),"",1+SUMPRODUCT(($G$2:$G$1001="SUV")*($D$2:$D$1001&gt;D330))+COUNTIFS($G$2:G330,"SUV",$D$2:D330,D330)-1)</f>
        <v>4</v>
      </c>
      <c r="O330" s="62" t="str">
        <f>IF(OR(D330="",NOT(AND(F330=1,G330="轿车"))),"",1+SUMPRODUCT(($F$2:$F$1001=1)*($G$2:$G$1001="轿车")*($D$2:$D$1001&gt;D330))+COUNTIFS($F$2:F330,1,$G$2:G330,"轿车",$D$2:D330,D330)-1)</f>
        <v/>
      </c>
      <c r="P330" s="62" t="str">
        <f>IF(OR(D330="",NOT(AND(F330=1,G330="MPV"))),"",1+SUMPRODUCT(($F$2:$F$1001=1)*($G$2:$G$1001="MPV")*($D$2:$D$1001&gt;D330))+COUNTIFS($F$2:F330,1,$G$2:G330,"MPV",$D$2:D330,D330)-1)</f>
        <v/>
      </c>
      <c r="Q330" s="62" t="str">
        <f>IF(OR(D330="",NOT(AND(F330=1,G330="SUV"))),"",1+SUMPRODUCT(($F$2:$F$1001=1)*($G$2:$G$1001="SUV")*($D$2:$D$1001&gt;D330))+COUNTIFS($F$2:F330,1,$G$2:G330,"SUV",$D$2:D330,D330)-1)</f>
        <v/>
      </c>
    </row>
    <row r="331" spans="1:17">
      <c r="A331" s="62" t="str">
        <f>IFERROR(INDEX($H$2:$H$3000,MATCH(0,INDEX(COUNTIF($A$1:A330,$H$2:$H$3000)+($H$2:$H$3000=""),0,0),0)),"")</f>
        <v>TOYOTA♦CROWN</v>
      </c>
      <c r="B331" s="62" t="str">
        <f t="shared" si="20"/>
        <v>TOYOTA</v>
      </c>
      <c r="C331" s="62" t="str">
        <f t="shared" si="21"/>
        <v>CROWN</v>
      </c>
      <c r="D331" s="63">
        <f t="shared" si="22"/>
        <v>6</v>
      </c>
      <c r="E331" s="62">
        <f>IF(D331="","",_xlfn.RANK.EQ(D331,$D$2:$D$1001,0)+COUNTIF($D$2:D331,D331)-1)</f>
        <v>168</v>
      </c>
      <c r="F331" s="62">
        <f>IF(B331="","",--(COUNTIF(CN_Brands!$A$2:$A$300,UPPER(B331))&gt;0))</f>
        <v>0</v>
      </c>
      <c r="G331" s="62" t="str">
        <f t="shared" si="23"/>
        <v>轿车</v>
      </c>
      <c r="H331" s="62" t="str">
        <f>IF(AND('Data Export'!A331=前十整体车型排名!$B$2,'Data Export'!B331=前十整体车型排名!$B$3,'Data Export'!D331&lt;&gt;""),UPPER('Data Export'!C331)&amp;"♦"&amp;'Data Export'!D331,"")</f>
        <v>ISUZU♦MU-X</v>
      </c>
      <c r="I331" s="63">
        <f>IF(H331="","",IFERROR(INDEX('Data Export'!G331:CZ331,1,MATCH(前十整体车型排名!$B$4,'Data Export'!$G$1:$CZ$1,0)),0))</f>
        <v>737</v>
      </c>
      <c r="J331" s="62" t="str">
        <f>IF(H331="","",IF(OR('Data Export'!F331="三厢轿车",'Data Export'!F331="掀背轿车",'Data Export'!F331="旅行车",'Data Export'!F331="微型车",'Data Export'!F331="硬顶跑车",'Data Export'!F331="敞蓬车",'Data Export'!F331="Targa"),"轿车",IF(OR('Data Export'!F331="小型MPV",'Data Export'!F331="客车"),"MPV",IF('Data Export'!F331="运动型多功能车","SUV","其他"))))</f>
        <v>SUV</v>
      </c>
      <c r="K331" s="62" t="str">
        <f>IF(OR(D331="",NOT(F331=1)),"",1+SUMPRODUCT(($F$2:$F$1001=1)*($D$2:$D$1001&gt;D331))+COUNTIFS($F$2:F331,1,$D$2:D331,D331)-1)</f>
        <v/>
      </c>
      <c r="L331" s="62">
        <f>IF(OR(D331="",NOT(G331="轿车")),"",1+SUMPRODUCT(($G$2:$G$1001="轿车")*($D$2:$D$1001&gt;D331))+COUNTIFS($G$2:G331,"轿车",$D$2:D331,D331)-1)</f>
        <v>45</v>
      </c>
      <c r="M331" s="62" t="str">
        <f>IF(OR(D331="",NOT(G331="MPV")),"",1+SUMPRODUCT(($G$2:$G$1001="MPV")*($D$2:$D$1001&gt;D331))+COUNTIFS($G$2:G331,"MPV",$D$2:D331,D331)-1)</f>
        <v/>
      </c>
      <c r="N331" s="62" t="str">
        <f>IF(OR(D331="",NOT(G331="SUV")),"",1+SUMPRODUCT(($G$2:$G$1001="SUV")*($D$2:$D$1001&gt;D331))+COUNTIFS($G$2:G331,"SUV",$D$2:D331,D331)-1)</f>
        <v/>
      </c>
      <c r="O331" s="62" t="str">
        <f>IF(OR(D331="",NOT(AND(F331=1,G331="轿车"))),"",1+SUMPRODUCT(($F$2:$F$1001=1)*($G$2:$G$1001="轿车")*($D$2:$D$1001&gt;D331))+COUNTIFS($F$2:F331,1,$G$2:G331,"轿车",$D$2:D331,D331)-1)</f>
        <v/>
      </c>
      <c r="P331" s="62" t="str">
        <f>IF(OR(D331="",NOT(AND(F331=1,G331="MPV"))),"",1+SUMPRODUCT(($F$2:$F$1001=1)*($G$2:$G$1001="MPV")*($D$2:$D$1001&gt;D331))+COUNTIFS($F$2:F331,1,$G$2:G331,"MPV",$D$2:D331,D331)-1)</f>
        <v/>
      </c>
      <c r="Q331" s="62" t="str">
        <f>IF(OR(D331="",NOT(AND(F331=1,G331="SUV"))),"",1+SUMPRODUCT(($F$2:$F$1001=1)*($G$2:$G$1001="SUV")*($D$2:$D$1001&gt;D331))+COUNTIFS($F$2:F331,1,$G$2:G331,"SUV",$D$2:D331,D331)-1)</f>
        <v/>
      </c>
    </row>
    <row r="332" spans="1:17">
      <c r="A332" s="62" t="str">
        <f>IFERROR(INDEX($H$2:$H$3000,MATCH(0,INDEX(COUNTIF($A$1:A331,$H$2:$H$3000)+($H$2:$H$3000=""),0,0),0)),"")</f>
        <v>TOYOTA♦FORTUNER</v>
      </c>
      <c r="B332" s="62" t="str">
        <f t="shared" si="20"/>
        <v>TOYOTA</v>
      </c>
      <c r="C332" s="62" t="str">
        <f t="shared" si="21"/>
        <v>FORTUNER</v>
      </c>
      <c r="D332" s="63">
        <f t="shared" si="22"/>
        <v>957</v>
      </c>
      <c r="E332" s="62">
        <f>IF(D332="","",_xlfn.RANK.EQ(D332,$D$2:$D$1001,0)+COUNTIF($D$2:D332,D332)-1)</f>
        <v>12</v>
      </c>
      <c r="F332" s="62">
        <f>IF(B332="","",--(COUNTIF(CN_Brands!$A$2:$A$300,UPPER(B332))&gt;0))</f>
        <v>0</v>
      </c>
      <c r="G332" s="62" t="str">
        <f t="shared" si="23"/>
        <v>SUV</v>
      </c>
      <c r="H332" s="62" t="str">
        <f>IF(AND('Data Export'!A332=前十整体车型排名!$B$2,'Data Export'!B332=前十整体车型排名!$B$3,'Data Export'!D332&lt;&gt;""),UPPER('Data Export'!C332)&amp;"♦"&amp;'Data Export'!D332,"")</f>
        <v>ISUZU♦OTHER</v>
      </c>
      <c r="I332" s="63">
        <f>IF(H332="","",IFERROR(INDEX('Data Export'!G332:CZ332,1,MATCH(前十整体车型排名!$B$4,'Data Export'!$G$1:$CZ$1,0)),0))</f>
        <v>0</v>
      </c>
      <c r="J332" s="62" t="str">
        <f>IF(H332="","",IF(OR('Data Export'!F332="三厢轿车",'Data Export'!F332="掀背轿车",'Data Export'!F332="旅行车",'Data Export'!F332="微型车",'Data Export'!F332="硬顶跑车",'Data Export'!F332="敞蓬车",'Data Export'!F332="Targa"),"轿车",IF(OR('Data Export'!F332="小型MPV",'Data Export'!F332="客车"),"MPV",IF('Data Export'!F332="运动型多功能车","SUV","其他"))))</f>
        <v>其他</v>
      </c>
      <c r="K332" s="62" t="str">
        <f>IF(OR(D332="",NOT(F332=1)),"",1+SUMPRODUCT(($F$2:$F$1001=1)*($D$2:$D$1001&gt;D332))+COUNTIFS($F$2:F332,1,$D$2:D332,D332)-1)</f>
        <v/>
      </c>
      <c r="L332" s="62" t="str">
        <f>IF(OR(D332="",NOT(G332="轿车")),"",1+SUMPRODUCT(($G$2:$G$1001="轿车")*($D$2:$D$1001&gt;D332))+COUNTIFS($G$2:G332,"轿车",$D$2:D332,D332)-1)</f>
        <v/>
      </c>
      <c r="M332" s="62" t="str">
        <f>IF(OR(D332="",NOT(G332="MPV")),"",1+SUMPRODUCT(($G$2:$G$1001="MPV")*($D$2:$D$1001&gt;D332))+COUNTIFS($G$2:G332,"MPV",$D$2:D332,D332)-1)</f>
        <v/>
      </c>
      <c r="N332" s="62">
        <f>IF(OR(D332="",NOT(G332="SUV")),"",1+SUMPRODUCT(($G$2:$G$1001="SUV")*($D$2:$D$1001&gt;D332))+COUNTIFS($G$2:G332,"SUV",$D$2:D332,D332)-1)</f>
        <v>8</v>
      </c>
      <c r="O332" s="62" t="str">
        <f>IF(OR(D332="",NOT(AND(F332=1,G332="轿车"))),"",1+SUMPRODUCT(($F$2:$F$1001=1)*($G$2:$G$1001="轿车")*($D$2:$D$1001&gt;D332))+COUNTIFS($F$2:F332,1,$G$2:G332,"轿车",$D$2:D332,D332)-1)</f>
        <v/>
      </c>
      <c r="P332" s="62" t="str">
        <f>IF(OR(D332="",NOT(AND(F332=1,G332="MPV"))),"",1+SUMPRODUCT(($F$2:$F$1001=1)*($G$2:$G$1001="MPV")*($D$2:$D$1001&gt;D332))+COUNTIFS($F$2:F332,1,$G$2:G332,"MPV",$D$2:D332,D332)-1)</f>
        <v/>
      </c>
      <c r="Q332" s="62" t="str">
        <f>IF(OR(D332="",NOT(AND(F332=1,G332="SUV"))),"",1+SUMPRODUCT(($F$2:$F$1001=1)*($G$2:$G$1001="SUV")*($D$2:$D$1001&gt;D332))+COUNTIFS($F$2:F332,1,$G$2:G332,"SUV",$D$2:D332,D332)-1)</f>
        <v/>
      </c>
    </row>
    <row r="333" spans="1:17">
      <c r="A333" s="62" t="str">
        <f>IFERROR(INDEX($H$2:$H$3000,MATCH(0,INDEX(COUNTIF($A$1:A332,$H$2:$H$3000)+($H$2:$H$3000=""),0,0),0)),"")</f>
        <v>TOYOTA♦GR86</v>
      </c>
      <c r="B333" s="62" t="str">
        <f t="shared" si="20"/>
        <v>TOYOTA</v>
      </c>
      <c r="C333" s="62" t="str">
        <f t="shared" si="21"/>
        <v>GR86</v>
      </c>
      <c r="D333" s="63">
        <f t="shared" si="22"/>
        <v>5</v>
      </c>
      <c r="E333" s="62">
        <f>IF(D333="","",_xlfn.RANK.EQ(D333,$D$2:$D$1001,0)+COUNTIF($D$2:D333,D333)-1)</f>
        <v>175</v>
      </c>
      <c r="F333" s="62">
        <f>IF(B333="","",--(COUNTIF(CN_Brands!$A$2:$A$300,UPPER(B333))&gt;0))</f>
        <v>0</v>
      </c>
      <c r="G333" s="62" t="str">
        <f t="shared" si="23"/>
        <v>轿车</v>
      </c>
      <c r="H333" s="62" t="str">
        <f>IF(AND('Data Export'!A333=前十整体车型排名!$B$2,'Data Export'!B333=前十整体车型排名!$B$3,'Data Export'!D333&lt;&gt;""),UPPER('Data Export'!C333)&amp;"♦"&amp;'Data Export'!D333,"")</f>
        <v>JAC♦T8</v>
      </c>
      <c r="I333" s="63">
        <f>IF(H333="","",IFERROR(INDEX('Data Export'!G333:CZ333,1,MATCH(前十整体车型排名!$B$4,'Data Export'!$G$1:$CZ$1,0)),0))</f>
        <v>0</v>
      </c>
      <c r="J333" s="62" t="str">
        <f>IF(H333="","",IF(OR('Data Export'!F333="三厢轿车",'Data Export'!F333="掀背轿车",'Data Export'!F333="旅行车",'Data Export'!F333="微型车",'Data Export'!F333="硬顶跑车",'Data Export'!F333="敞蓬车",'Data Export'!F333="Targa"),"轿车",IF(OR('Data Export'!F333="小型MPV",'Data Export'!F333="客车"),"MPV",IF('Data Export'!F333="运动型多功能车","SUV","其他"))))</f>
        <v>其他</v>
      </c>
      <c r="K333" s="62" t="str">
        <f>IF(OR(D333="",NOT(F333=1)),"",1+SUMPRODUCT(($F$2:$F$1001=1)*($D$2:$D$1001&gt;D333))+COUNTIFS($F$2:F333,1,$D$2:D333,D333)-1)</f>
        <v/>
      </c>
      <c r="L333" s="62">
        <f>IF(OR(D333="",NOT(G333="轿车")),"",1+SUMPRODUCT(($G$2:$G$1001="轿车")*($D$2:$D$1001&gt;D333))+COUNTIFS($G$2:G333,"轿车",$D$2:D333,D333)-1)</f>
        <v>46</v>
      </c>
      <c r="M333" s="62" t="str">
        <f>IF(OR(D333="",NOT(G333="MPV")),"",1+SUMPRODUCT(($G$2:$G$1001="MPV")*($D$2:$D$1001&gt;D333))+COUNTIFS($G$2:G333,"MPV",$D$2:D333,D333)-1)</f>
        <v/>
      </c>
      <c r="N333" s="62" t="str">
        <f>IF(OR(D333="",NOT(G333="SUV")),"",1+SUMPRODUCT(($G$2:$G$1001="SUV")*($D$2:$D$1001&gt;D333))+COUNTIFS($G$2:G333,"SUV",$D$2:D333,D333)-1)</f>
        <v/>
      </c>
      <c r="O333" s="62" t="str">
        <f>IF(OR(D333="",NOT(AND(F333=1,G333="轿车"))),"",1+SUMPRODUCT(($F$2:$F$1001=1)*($G$2:$G$1001="轿车")*($D$2:$D$1001&gt;D333))+COUNTIFS($F$2:F333,1,$G$2:G333,"轿车",$D$2:D333,D333)-1)</f>
        <v/>
      </c>
      <c r="P333" s="62" t="str">
        <f>IF(OR(D333="",NOT(AND(F333=1,G333="MPV"))),"",1+SUMPRODUCT(($F$2:$F$1001=1)*($G$2:$G$1001="MPV")*($D$2:$D$1001&gt;D333))+COUNTIFS($F$2:F333,1,$G$2:G333,"MPV",$D$2:D333,D333)-1)</f>
        <v/>
      </c>
      <c r="Q333" s="62" t="str">
        <f>IF(OR(D333="",NOT(AND(F333=1,G333="SUV"))),"",1+SUMPRODUCT(($F$2:$F$1001=1)*($G$2:$G$1001="SUV")*($D$2:$D$1001&gt;D333))+COUNTIFS($F$2:F333,1,$G$2:G333,"SUV",$D$2:D333,D333)-1)</f>
        <v/>
      </c>
    </row>
    <row r="334" spans="1:17">
      <c r="A334" s="62" t="str">
        <f>IFERROR(INDEX($H$2:$H$3000,MATCH(0,INDEX(COUNTIF($A$1:A333,$H$2:$H$3000)+($H$2:$H$3000=""),0,0),0)),"")</f>
        <v>TOYOTA♦HARRIER</v>
      </c>
      <c r="B334" s="62" t="str">
        <f t="shared" si="20"/>
        <v>TOYOTA</v>
      </c>
      <c r="C334" s="62" t="str">
        <f t="shared" si="21"/>
        <v>HARRIER</v>
      </c>
      <c r="D334" s="63">
        <f t="shared" si="22"/>
        <v>1</v>
      </c>
      <c r="E334" s="62">
        <f>IF(D334="","",_xlfn.RANK.EQ(D334,$D$2:$D$1001,0)+COUNTIF($D$2:D334,D334)-1)</f>
        <v>254</v>
      </c>
      <c r="F334" s="62">
        <f>IF(B334="","",--(COUNTIF(CN_Brands!$A$2:$A$300,UPPER(B334))&gt;0))</f>
        <v>0</v>
      </c>
      <c r="G334" s="62" t="str">
        <f t="shared" si="23"/>
        <v>SUV</v>
      </c>
      <c r="H334" s="62" t="str">
        <f>IF(AND('Data Export'!A334=前十整体车型排名!$B$2,'Data Export'!B334=前十整体车型排名!$B$3,'Data Export'!D334&lt;&gt;""),UPPER('Data Export'!C334)&amp;"♦"&amp;'Data Export'!D334,"")</f>
        <v>JAECOO♦5</v>
      </c>
      <c r="I334" s="63">
        <f>IF(H334="","",IFERROR(INDEX('Data Export'!G334:CZ334,1,MATCH(前十整体车型排名!$B$4,'Data Export'!$G$1:$CZ$1,0)),0))</f>
        <v>2055</v>
      </c>
      <c r="J334" s="62" t="str">
        <f>IF(H334="","",IF(OR('Data Export'!F334="三厢轿车",'Data Export'!F334="掀背轿车",'Data Export'!F334="旅行车",'Data Export'!F334="微型车",'Data Export'!F334="硬顶跑车",'Data Export'!F334="敞蓬车",'Data Export'!F334="Targa"),"轿车",IF(OR('Data Export'!F334="小型MPV",'Data Export'!F334="客车"),"MPV",IF('Data Export'!F334="运动型多功能车","SUV","其他"))))</f>
        <v>SUV</v>
      </c>
      <c r="K334" s="62" t="str">
        <f>IF(OR(D334="",NOT(F334=1)),"",1+SUMPRODUCT(($F$2:$F$1001=1)*($D$2:$D$1001&gt;D334))+COUNTIFS($F$2:F334,1,$D$2:D334,D334)-1)</f>
        <v/>
      </c>
      <c r="L334" s="62" t="str">
        <f>IF(OR(D334="",NOT(G334="轿车")),"",1+SUMPRODUCT(($G$2:$G$1001="轿车")*($D$2:$D$1001&gt;D334))+COUNTIFS($G$2:G334,"轿车",$D$2:D334,D334)-1)</f>
        <v/>
      </c>
      <c r="M334" s="62" t="str">
        <f>IF(OR(D334="",NOT(G334="MPV")),"",1+SUMPRODUCT(($G$2:$G$1001="MPV")*($D$2:$D$1001&gt;D334))+COUNTIFS($G$2:G334,"MPV",$D$2:D334,D334)-1)</f>
        <v/>
      </c>
      <c r="N334" s="62">
        <f>IF(OR(D334="",NOT(G334="SUV")),"",1+SUMPRODUCT(($G$2:$G$1001="SUV")*($D$2:$D$1001&gt;D334))+COUNTIFS($G$2:G334,"SUV",$D$2:D334,D334)-1)</f>
        <v>124</v>
      </c>
      <c r="O334" s="62" t="str">
        <f>IF(OR(D334="",NOT(AND(F334=1,G334="轿车"))),"",1+SUMPRODUCT(($F$2:$F$1001=1)*($G$2:$G$1001="轿车")*($D$2:$D$1001&gt;D334))+COUNTIFS($F$2:F334,1,$G$2:G334,"轿车",$D$2:D334,D334)-1)</f>
        <v/>
      </c>
      <c r="P334" s="62" t="str">
        <f>IF(OR(D334="",NOT(AND(F334=1,G334="MPV"))),"",1+SUMPRODUCT(($F$2:$F$1001=1)*($G$2:$G$1001="MPV")*($D$2:$D$1001&gt;D334))+COUNTIFS($F$2:F334,1,$G$2:G334,"MPV",$D$2:D334,D334)-1)</f>
        <v/>
      </c>
      <c r="Q334" s="62" t="str">
        <f>IF(OR(D334="",NOT(AND(F334=1,G334="SUV"))),"",1+SUMPRODUCT(($F$2:$F$1001=1)*($G$2:$G$1001="SUV")*($D$2:$D$1001&gt;D334))+COUNTIFS($F$2:F334,1,$G$2:G334,"SUV",$D$2:D334,D334)-1)</f>
        <v/>
      </c>
    </row>
    <row r="335" spans="1:17">
      <c r="A335" s="62" t="str">
        <f>IFERROR(INDEX($H$2:$H$3000,MATCH(0,INDEX(COUNTIF($A$1:A334,$H$2:$H$3000)+($H$2:$H$3000=""),0,0),0)),"")</f>
        <v>TOYOTA♦INNOVA</v>
      </c>
      <c r="B335" s="62" t="str">
        <f t="shared" si="20"/>
        <v>TOYOTA</v>
      </c>
      <c r="C335" s="62" t="str">
        <f t="shared" si="21"/>
        <v>INNOVA</v>
      </c>
      <c r="D335" s="63">
        <f t="shared" si="22"/>
        <v>1</v>
      </c>
      <c r="E335" s="62">
        <f>IF(D335="","",_xlfn.RANK.EQ(D335,$D$2:$D$1001,0)+COUNTIF($D$2:D335,D335)-1)</f>
        <v>255</v>
      </c>
      <c r="F335" s="62">
        <f>IF(B335="","",--(COUNTIF(CN_Brands!$A$2:$A$300,UPPER(B335))&gt;0))</f>
        <v>0</v>
      </c>
      <c r="G335" s="62" t="str">
        <f t="shared" si="23"/>
        <v>其他</v>
      </c>
      <c r="H335" s="62" t="str">
        <f>IF(AND('Data Export'!A335=前十整体车型排名!$B$2,'Data Export'!B335=前十整体车型排名!$B$3,'Data Export'!D335&lt;&gt;""),UPPER('Data Export'!C335)&amp;"♦"&amp;'Data Export'!D335,"")</f>
        <v>JAECOO♦5</v>
      </c>
      <c r="I335" s="63">
        <f>IF(H335="","",IFERROR(INDEX('Data Export'!G335:CZ335,1,MATCH(前十整体车型排名!$B$4,'Data Export'!$G$1:$CZ$1,0)),0))</f>
        <v>0</v>
      </c>
      <c r="J335" s="62" t="str">
        <f>IF(H335="","",IF(OR('Data Export'!F335="三厢轿车",'Data Export'!F335="掀背轿车",'Data Export'!F335="旅行车",'Data Export'!F335="微型车",'Data Export'!F335="硬顶跑车",'Data Export'!F335="敞蓬车",'Data Export'!F335="Targa"),"轿车",IF(OR('Data Export'!F335="小型MPV",'Data Export'!F335="客车"),"MPV",IF('Data Export'!F335="运动型多功能车","SUV","其他"))))</f>
        <v>SUV</v>
      </c>
      <c r="K335" s="62" t="str">
        <f>IF(OR(D335="",NOT(F335=1)),"",1+SUMPRODUCT(($F$2:$F$1001=1)*($D$2:$D$1001&gt;D335))+COUNTIFS($F$2:F335,1,$D$2:D335,D335)-1)</f>
        <v/>
      </c>
      <c r="L335" s="62" t="str">
        <f>IF(OR(D335="",NOT(G335="轿车")),"",1+SUMPRODUCT(($G$2:$G$1001="轿车")*($D$2:$D$1001&gt;D335))+COUNTIFS($G$2:G335,"轿车",$D$2:D335,D335)-1)</f>
        <v/>
      </c>
      <c r="M335" s="62" t="str">
        <f>IF(OR(D335="",NOT(G335="MPV")),"",1+SUMPRODUCT(($G$2:$G$1001="MPV")*($D$2:$D$1001&gt;D335))+COUNTIFS($G$2:G335,"MPV",$D$2:D335,D335)-1)</f>
        <v/>
      </c>
      <c r="N335" s="62" t="str">
        <f>IF(OR(D335="",NOT(G335="SUV")),"",1+SUMPRODUCT(($G$2:$G$1001="SUV")*($D$2:$D$1001&gt;D335))+COUNTIFS($G$2:G335,"SUV",$D$2:D335,D335)-1)</f>
        <v/>
      </c>
      <c r="O335" s="62" t="str">
        <f>IF(OR(D335="",NOT(AND(F335=1,G335="轿车"))),"",1+SUMPRODUCT(($F$2:$F$1001=1)*($G$2:$G$1001="轿车")*($D$2:$D$1001&gt;D335))+COUNTIFS($F$2:F335,1,$G$2:G335,"轿车",$D$2:D335,D335)-1)</f>
        <v/>
      </c>
      <c r="P335" s="62" t="str">
        <f>IF(OR(D335="",NOT(AND(F335=1,G335="MPV"))),"",1+SUMPRODUCT(($F$2:$F$1001=1)*($G$2:$G$1001="MPV")*($D$2:$D$1001&gt;D335))+COUNTIFS($F$2:F335,1,$G$2:G335,"MPV",$D$2:D335,D335)-1)</f>
        <v/>
      </c>
      <c r="Q335" s="62" t="str">
        <f>IF(OR(D335="",NOT(AND(F335=1,G335="SUV"))),"",1+SUMPRODUCT(($F$2:$F$1001=1)*($G$2:$G$1001="SUV")*($D$2:$D$1001&gt;D335))+COUNTIFS($F$2:F335,1,$G$2:G335,"SUV",$D$2:D335,D335)-1)</f>
        <v/>
      </c>
    </row>
    <row r="336" spans="1:17">
      <c r="A336" s="62" t="str">
        <f>IFERROR(INDEX($H$2:$H$3000,MATCH(0,INDEX(COUNTIF($A$1:A335,$H$2:$H$3000)+($H$2:$H$3000=""),0,0),0)),"")</f>
        <v>TOYOTA♦INNOVA ZENIX</v>
      </c>
      <c r="B336" s="62" t="str">
        <f t="shared" si="20"/>
        <v>TOYOTA</v>
      </c>
      <c r="C336" s="62" t="str">
        <f t="shared" si="21"/>
        <v>INNOVA ZENIX</v>
      </c>
      <c r="D336" s="63">
        <f t="shared" si="22"/>
        <v>103</v>
      </c>
      <c r="E336" s="62">
        <f>IF(D336="","",_xlfn.RANK.EQ(D336,$D$2:$D$1001,0)+COUNTIF($D$2:D336,D336)-1)</f>
        <v>72</v>
      </c>
      <c r="F336" s="62">
        <f>IF(B336="","",--(COUNTIF(CN_Brands!$A$2:$A$300,UPPER(B336))&gt;0))</f>
        <v>0</v>
      </c>
      <c r="G336" s="62" t="str">
        <f t="shared" si="23"/>
        <v>其他</v>
      </c>
      <c r="H336" s="62" t="str">
        <f>IF(AND('Data Export'!A336=前十整体车型排名!$B$2,'Data Export'!B336=前十整体车型排名!$B$3,'Data Export'!D336&lt;&gt;""),UPPER('Data Export'!C336)&amp;"♦"&amp;'Data Export'!D336,"")</f>
        <v>JAECOO♦5</v>
      </c>
      <c r="I336" s="63">
        <f>IF(H336="","",IFERROR(INDEX('Data Export'!G336:CZ336,1,MATCH(前十整体车型排名!$B$4,'Data Export'!$G$1:$CZ$1,0)),0))</f>
        <v>81</v>
      </c>
      <c r="J336" s="62" t="str">
        <f>IF(H336="","",IF(OR('Data Export'!F336="三厢轿车",'Data Export'!F336="掀背轿车",'Data Export'!F336="旅行车",'Data Export'!F336="微型车",'Data Export'!F336="硬顶跑车",'Data Export'!F336="敞蓬车",'Data Export'!F336="Targa"),"轿车",IF(OR('Data Export'!F336="小型MPV",'Data Export'!F336="客车"),"MPV",IF('Data Export'!F336="运动型多功能车","SUV","其他"))))</f>
        <v>SUV</v>
      </c>
      <c r="K336" s="62" t="str">
        <f>IF(OR(D336="",NOT(F336=1)),"",1+SUMPRODUCT(($F$2:$F$1001=1)*($D$2:$D$1001&gt;D336))+COUNTIFS($F$2:F336,1,$D$2:D336,D336)-1)</f>
        <v/>
      </c>
      <c r="L336" s="62" t="str">
        <f>IF(OR(D336="",NOT(G336="轿车")),"",1+SUMPRODUCT(($G$2:$G$1001="轿车")*($D$2:$D$1001&gt;D336))+COUNTIFS($G$2:G336,"轿车",$D$2:D336,D336)-1)</f>
        <v/>
      </c>
      <c r="M336" s="62" t="str">
        <f>IF(OR(D336="",NOT(G336="MPV")),"",1+SUMPRODUCT(($G$2:$G$1001="MPV")*($D$2:$D$1001&gt;D336))+COUNTIFS($G$2:G336,"MPV",$D$2:D336,D336)-1)</f>
        <v/>
      </c>
      <c r="N336" s="62" t="str">
        <f>IF(OR(D336="",NOT(G336="SUV")),"",1+SUMPRODUCT(($G$2:$G$1001="SUV")*($D$2:$D$1001&gt;D336))+COUNTIFS($G$2:G336,"SUV",$D$2:D336,D336)-1)</f>
        <v/>
      </c>
      <c r="O336" s="62" t="str">
        <f>IF(OR(D336="",NOT(AND(F336=1,G336="轿车"))),"",1+SUMPRODUCT(($F$2:$F$1001=1)*($G$2:$G$1001="轿车")*($D$2:$D$1001&gt;D336))+COUNTIFS($F$2:F336,1,$G$2:G336,"轿车",$D$2:D336,D336)-1)</f>
        <v/>
      </c>
      <c r="P336" s="62" t="str">
        <f>IF(OR(D336="",NOT(AND(F336=1,G336="MPV"))),"",1+SUMPRODUCT(($F$2:$F$1001=1)*($G$2:$G$1001="MPV")*($D$2:$D$1001&gt;D336))+COUNTIFS($F$2:F336,1,$G$2:G336,"MPV",$D$2:D336,D336)-1)</f>
        <v/>
      </c>
      <c r="Q336" s="62" t="str">
        <f>IF(OR(D336="",NOT(AND(F336=1,G336="SUV"))),"",1+SUMPRODUCT(($F$2:$F$1001=1)*($G$2:$G$1001="SUV")*($D$2:$D$1001&gt;D336))+COUNTIFS($F$2:F336,1,$G$2:G336,"SUV",$D$2:D336,D336)-1)</f>
        <v/>
      </c>
    </row>
    <row r="337" spans="1:17">
      <c r="A337" s="62" t="str">
        <f>IFERROR(INDEX($H$2:$H$3000,MATCH(0,INDEX(COUNTIF($A$1:A336,$H$2:$H$3000)+($H$2:$H$3000=""),0,0),0)),"")</f>
        <v>TOYOTA♦LAND CRUISER</v>
      </c>
      <c r="B337" s="62" t="str">
        <f t="shared" si="20"/>
        <v>TOYOTA</v>
      </c>
      <c r="C337" s="62" t="str">
        <f t="shared" si="21"/>
        <v>LAND CRUISER</v>
      </c>
      <c r="D337" s="63">
        <f t="shared" si="22"/>
        <v>2</v>
      </c>
      <c r="E337" s="62">
        <f>IF(D337="","",_xlfn.RANK.EQ(D337,$D$2:$D$1001,0)+COUNTIF($D$2:D337,D337)-1)</f>
        <v>213</v>
      </c>
      <c r="F337" s="62">
        <f>IF(B337="","",--(COUNTIF(CN_Brands!$A$2:$A$300,UPPER(B337))&gt;0))</f>
        <v>0</v>
      </c>
      <c r="G337" s="62" t="str">
        <f t="shared" si="23"/>
        <v>SUV</v>
      </c>
      <c r="H337" s="62" t="str">
        <f>IF(AND('Data Export'!A337=前十整体车型排名!$B$2,'Data Export'!B337=前十整体车型排名!$B$3,'Data Export'!D337&lt;&gt;""),UPPER('Data Export'!C337)&amp;"♦"&amp;'Data Export'!D337,"")</f>
        <v>JAECOO♦6</v>
      </c>
      <c r="I337" s="63">
        <f>IF(H337="","",IFERROR(INDEX('Data Export'!G337:CZ337,1,MATCH(前十整体车型排名!$B$4,'Data Export'!$G$1:$CZ$1,0)),0))</f>
        <v>1</v>
      </c>
      <c r="J337" s="62" t="str">
        <f>IF(H337="","",IF(OR('Data Export'!F337="三厢轿车",'Data Export'!F337="掀背轿车",'Data Export'!F337="旅行车",'Data Export'!F337="微型车",'Data Export'!F337="硬顶跑车",'Data Export'!F337="敞蓬车",'Data Export'!F337="Targa"),"轿车",IF(OR('Data Export'!F337="小型MPV",'Data Export'!F337="客车"),"MPV",IF('Data Export'!F337="运动型多功能车","SUV","其他"))))</f>
        <v>SUV</v>
      </c>
      <c r="K337" s="62" t="str">
        <f>IF(OR(D337="",NOT(F337=1)),"",1+SUMPRODUCT(($F$2:$F$1001=1)*($D$2:$D$1001&gt;D337))+COUNTIFS($F$2:F337,1,$D$2:D337,D337)-1)</f>
        <v/>
      </c>
      <c r="L337" s="62" t="str">
        <f>IF(OR(D337="",NOT(G337="轿车")),"",1+SUMPRODUCT(($G$2:$G$1001="轿车")*($D$2:$D$1001&gt;D337))+COUNTIFS($G$2:G337,"轿车",$D$2:D337,D337)-1)</f>
        <v/>
      </c>
      <c r="M337" s="62" t="str">
        <f>IF(OR(D337="",NOT(G337="MPV")),"",1+SUMPRODUCT(($G$2:$G$1001="MPV")*($D$2:$D$1001&gt;D337))+COUNTIFS($G$2:G337,"MPV",$D$2:D337,D337)-1)</f>
        <v/>
      </c>
      <c r="N337" s="62">
        <f>IF(OR(D337="",NOT(G337="SUV")),"",1+SUMPRODUCT(($G$2:$G$1001="SUV")*($D$2:$D$1001&gt;D337))+COUNTIFS($G$2:G337,"SUV",$D$2:D337,D337)-1)</f>
        <v>114</v>
      </c>
      <c r="O337" s="62" t="str">
        <f>IF(OR(D337="",NOT(AND(F337=1,G337="轿车"))),"",1+SUMPRODUCT(($F$2:$F$1001=1)*($G$2:$G$1001="轿车")*($D$2:$D$1001&gt;D337))+COUNTIFS($F$2:F337,1,$G$2:G337,"轿车",$D$2:D337,D337)-1)</f>
        <v/>
      </c>
      <c r="P337" s="62" t="str">
        <f>IF(OR(D337="",NOT(AND(F337=1,G337="MPV"))),"",1+SUMPRODUCT(($F$2:$F$1001=1)*($G$2:$G$1001="MPV")*($D$2:$D$1001&gt;D337))+COUNTIFS($F$2:F337,1,$G$2:G337,"MPV",$D$2:D337,D337)-1)</f>
        <v/>
      </c>
      <c r="Q337" s="62" t="str">
        <f>IF(OR(D337="",NOT(AND(F337=1,G337="SUV"))),"",1+SUMPRODUCT(($F$2:$F$1001=1)*($G$2:$G$1001="SUV")*($D$2:$D$1001&gt;D337))+COUNTIFS($F$2:F337,1,$G$2:G337,"SUV",$D$2:D337,D337)-1)</f>
        <v/>
      </c>
    </row>
    <row r="338" spans="1:17">
      <c r="A338" s="62" t="str">
        <f>IFERROR(INDEX($H$2:$H$3000,MATCH(0,INDEX(COUNTIF($A$1:A337,$H$2:$H$3000)+($H$2:$H$3000=""),0,0),0)),"")</f>
        <v>TOYOTA♦LAND CRUISER 250</v>
      </c>
      <c r="B338" s="62" t="str">
        <f t="shared" si="20"/>
        <v>TOYOTA</v>
      </c>
      <c r="C338" s="62" t="str">
        <f t="shared" si="21"/>
        <v>LAND CRUISER 250</v>
      </c>
      <c r="D338" s="63">
        <f t="shared" si="22"/>
        <v>12</v>
      </c>
      <c r="E338" s="62">
        <f>IF(D338="","",_xlfn.RANK.EQ(D338,$D$2:$D$1001,0)+COUNTIF($D$2:D338,D338)-1)</f>
        <v>140</v>
      </c>
      <c r="F338" s="62">
        <f>IF(B338="","",--(COUNTIF(CN_Brands!$A$2:$A$300,UPPER(B338))&gt;0))</f>
        <v>0</v>
      </c>
      <c r="G338" s="62" t="str">
        <f t="shared" si="23"/>
        <v>SUV</v>
      </c>
      <c r="H338" s="62" t="str">
        <f>IF(AND('Data Export'!A338=前十整体车型排名!$B$2,'Data Export'!B338=前十整体车型排名!$B$3,'Data Export'!D338&lt;&gt;""),UPPER('Data Export'!C338)&amp;"♦"&amp;'Data Export'!D338,"")</f>
        <v>JAECOO♦6</v>
      </c>
      <c r="I338" s="63">
        <f>IF(H338="","",IFERROR(INDEX('Data Export'!G338:CZ338,1,MATCH(前十整体车型排名!$B$4,'Data Export'!$G$1:$CZ$1,0)),0))</f>
        <v>295</v>
      </c>
      <c r="J338" s="62" t="str">
        <f>IF(H338="","",IF(OR('Data Export'!F338="三厢轿车",'Data Export'!F338="掀背轿车",'Data Export'!F338="旅行车",'Data Export'!F338="微型车",'Data Export'!F338="硬顶跑车",'Data Export'!F338="敞蓬车",'Data Export'!F338="Targa"),"轿车",IF(OR('Data Export'!F338="小型MPV",'Data Export'!F338="客车"),"MPV",IF('Data Export'!F338="运动型多功能车","SUV","其他"))))</f>
        <v>SUV</v>
      </c>
      <c r="K338" s="62" t="str">
        <f>IF(OR(D338="",NOT(F338=1)),"",1+SUMPRODUCT(($F$2:$F$1001=1)*($D$2:$D$1001&gt;D338))+COUNTIFS($F$2:F338,1,$D$2:D338,D338)-1)</f>
        <v/>
      </c>
      <c r="L338" s="62" t="str">
        <f>IF(OR(D338="",NOT(G338="轿车")),"",1+SUMPRODUCT(($G$2:$G$1001="轿车")*($D$2:$D$1001&gt;D338))+COUNTIFS($G$2:G338,"轿车",$D$2:D338,D338)-1)</f>
        <v/>
      </c>
      <c r="M338" s="62" t="str">
        <f>IF(OR(D338="",NOT(G338="MPV")),"",1+SUMPRODUCT(($G$2:$G$1001="MPV")*($D$2:$D$1001&gt;D338))+COUNTIFS($G$2:G338,"MPV",$D$2:D338,D338)-1)</f>
        <v/>
      </c>
      <c r="N338" s="62">
        <f>IF(OR(D338="",NOT(G338="SUV")),"",1+SUMPRODUCT(($G$2:$G$1001="SUV")*($D$2:$D$1001&gt;D338))+COUNTIFS($G$2:G338,"SUV",$D$2:D338,D338)-1)</f>
        <v>75</v>
      </c>
      <c r="O338" s="62" t="str">
        <f>IF(OR(D338="",NOT(AND(F338=1,G338="轿车"))),"",1+SUMPRODUCT(($F$2:$F$1001=1)*($G$2:$G$1001="轿车")*($D$2:$D$1001&gt;D338))+COUNTIFS($F$2:F338,1,$G$2:G338,"轿车",$D$2:D338,D338)-1)</f>
        <v/>
      </c>
      <c r="P338" s="62" t="str">
        <f>IF(OR(D338="",NOT(AND(F338=1,G338="MPV"))),"",1+SUMPRODUCT(($F$2:$F$1001=1)*($G$2:$G$1001="MPV")*($D$2:$D$1001&gt;D338))+COUNTIFS($F$2:F338,1,$G$2:G338,"MPV",$D$2:D338,D338)-1)</f>
        <v/>
      </c>
      <c r="Q338" s="62" t="str">
        <f>IF(OR(D338="",NOT(AND(F338=1,G338="SUV"))),"",1+SUMPRODUCT(($F$2:$F$1001=1)*($G$2:$G$1001="SUV")*($D$2:$D$1001&gt;D338))+COUNTIFS($F$2:F338,1,$G$2:G338,"SUV",$D$2:D338,D338)-1)</f>
        <v/>
      </c>
    </row>
    <row r="339" spans="1:17">
      <c r="A339" s="62" t="str">
        <f>IFERROR(INDEX($H$2:$H$3000,MATCH(0,INDEX(COUNTIF($A$1:A338,$H$2:$H$3000)+($H$2:$H$3000=""),0,0),0)),"")</f>
        <v>TOYOTA♦LAND CRUISER FJ</v>
      </c>
      <c r="B339" s="62" t="str">
        <f t="shared" si="20"/>
        <v>TOYOTA</v>
      </c>
      <c r="C339" s="62" t="str">
        <f t="shared" si="21"/>
        <v>LAND CRUISER FJ</v>
      </c>
      <c r="D339" s="63">
        <f t="shared" si="22"/>
        <v>380</v>
      </c>
      <c r="E339" s="62">
        <f>IF(D339="","",_xlfn.RANK.EQ(D339,$D$2:$D$1001,0)+COUNTIF($D$2:D339,D339)-1)</f>
        <v>31</v>
      </c>
      <c r="F339" s="62">
        <f>IF(B339="","",--(COUNTIF(CN_Brands!$A$2:$A$300,UPPER(B339))&gt;0))</f>
        <v>0</v>
      </c>
      <c r="G339" s="62" t="str">
        <f t="shared" si="23"/>
        <v>SUV</v>
      </c>
      <c r="H339" s="62" t="str">
        <f>IF(AND('Data Export'!A339=前十整体车型排名!$B$2,'Data Export'!B339=前十整体车型排名!$B$3,'Data Export'!D339&lt;&gt;""),UPPER('Data Export'!C339)&amp;"♦"&amp;'Data Export'!D339,"")</f>
        <v>JAECOO♦6</v>
      </c>
      <c r="I339" s="63">
        <f>IF(H339="","",IFERROR(INDEX('Data Export'!G339:CZ339,1,MATCH(前十整体车型排名!$B$4,'Data Export'!$G$1:$CZ$1,0)),0))</f>
        <v>88</v>
      </c>
      <c r="J339" s="62" t="str">
        <f>IF(H339="","",IF(OR('Data Export'!F339="三厢轿车",'Data Export'!F339="掀背轿车",'Data Export'!F339="旅行车",'Data Export'!F339="微型车",'Data Export'!F339="硬顶跑车",'Data Export'!F339="敞蓬车",'Data Export'!F339="Targa"),"轿车",IF(OR('Data Export'!F339="小型MPV",'Data Export'!F339="客车"),"MPV",IF('Data Export'!F339="运动型多功能车","SUV","其他"))))</f>
        <v>SUV</v>
      </c>
      <c r="K339" s="62" t="str">
        <f>IF(OR(D339="",NOT(F339=1)),"",1+SUMPRODUCT(($F$2:$F$1001=1)*($D$2:$D$1001&gt;D339))+COUNTIFS($F$2:F339,1,$D$2:D339,D339)-1)</f>
        <v/>
      </c>
      <c r="L339" s="62" t="str">
        <f>IF(OR(D339="",NOT(G339="轿车")),"",1+SUMPRODUCT(($G$2:$G$1001="轿车")*($D$2:$D$1001&gt;D339))+COUNTIFS($G$2:G339,"轿车",$D$2:D339,D339)-1)</f>
        <v/>
      </c>
      <c r="M339" s="62" t="str">
        <f>IF(OR(D339="",NOT(G339="MPV")),"",1+SUMPRODUCT(($G$2:$G$1001="MPV")*($D$2:$D$1001&gt;D339))+COUNTIFS($G$2:G339,"MPV",$D$2:D339,D339)-1)</f>
        <v/>
      </c>
      <c r="N339" s="62">
        <f>IF(OR(D339="",NOT(G339="SUV")),"",1+SUMPRODUCT(($G$2:$G$1001="SUV")*($D$2:$D$1001&gt;D339))+COUNTIFS($G$2:G339,"SUV",$D$2:D339,D339)-1)</f>
        <v>21</v>
      </c>
      <c r="O339" s="62" t="str">
        <f>IF(OR(D339="",NOT(AND(F339=1,G339="轿车"))),"",1+SUMPRODUCT(($F$2:$F$1001=1)*($G$2:$G$1001="轿车")*($D$2:$D$1001&gt;D339))+COUNTIFS($F$2:F339,1,$G$2:G339,"轿车",$D$2:D339,D339)-1)</f>
        <v/>
      </c>
      <c r="P339" s="62" t="str">
        <f>IF(OR(D339="",NOT(AND(F339=1,G339="MPV"))),"",1+SUMPRODUCT(($F$2:$F$1001=1)*($G$2:$G$1001="MPV")*($D$2:$D$1001&gt;D339))+COUNTIFS($F$2:F339,1,$G$2:G339,"MPV",$D$2:D339,D339)-1)</f>
        <v/>
      </c>
      <c r="Q339" s="62" t="str">
        <f>IF(OR(D339="",NOT(AND(F339=1,G339="SUV"))),"",1+SUMPRODUCT(($F$2:$F$1001=1)*($G$2:$G$1001="SUV")*($D$2:$D$1001&gt;D339))+COUNTIFS($F$2:F339,1,$G$2:G339,"SUV",$D$2:D339,D339)-1)</f>
        <v/>
      </c>
    </row>
    <row r="340" spans="1:17">
      <c r="A340" s="62" t="str">
        <f>IFERROR(INDEX($H$2:$H$3000,MATCH(0,INDEX(COUNTIF($A$1:A339,$H$2:$H$3000)+($H$2:$H$3000=""),0,0),0)),"")</f>
        <v>TOYOTA♦LANDCRUISER</v>
      </c>
      <c r="B340" s="62" t="str">
        <f t="shared" si="20"/>
        <v>TOYOTA</v>
      </c>
      <c r="C340" s="62" t="str">
        <f t="shared" si="21"/>
        <v>LANDCRUISER</v>
      </c>
      <c r="D340" s="63">
        <f t="shared" si="22"/>
        <v>0</v>
      </c>
      <c r="E340" s="62">
        <f>IF(D340="","",_xlfn.RANK.EQ(D340,$D$2:$D$1001,0)+COUNTIF($D$2:D340,D340)-1)</f>
        <v>379</v>
      </c>
      <c r="F340" s="62">
        <f>IF(B340="","",--(COUNTIF(CN_Brands!$A$2:$A$300,UPPER(B340))&gt;0))</f>
        <v>0</v>
      </c>
      <c r="G340" s="62" t="str">
        <f t="shared" si="23"/>
        <v>SUV</v>
      </c>
      <c r="H340" s="62" t="str">
        <f>IF(AND('Data Export'!A340=前十整体车型排名!$B$2,'Data Export'!B340=前十整体车型排名!$B$3,'Data Export'!D340&lt;&gt;""),UPPER('Data Export'!C340)&amp;"♦"&amp;'Data Export'!D340,"")</f>
        <v>JAECOO♦6</v>
      </c>
      <c r="I340" s="63">
        <f>IF(H340="","",IFERROR(INDEX('Data Export'!G340:CZ340,1,MATCH(前十整体车型排名!$B$4,'Data Export'!$G$1:$CZ$1,0)),0))</f>
        <v>135</v>
      </c>
      <c r="J340" s="62" t="str">
        <f>IF(H340="","",IF(OR('Data Export'!F340="三厢轿车",'Data Export'!F340="掀背轿车",'Data Export'!F340="旅行车",'Data Export'!F340="微型车",'Data Export'!F340="硬顶跑车",'Data Export'!F340="敞蓬车",'Data Export'!F340="Targa"),"轿车",IF(OR('Data Export'!F340="小型MPV",'Data Export'!F340="客车"),"MPV",IF('Data Export'!F340="运动型多功能车","SUV","其他"))))</f>
        <v>SUV</v>
      </c>
      <c r="K340" s="62" t="str">
        <f>IF(OR(D340="",NOT(F340=1)),"",1+SUMPRODUCT(($F$2:$F$1001=1)*($D$2:$D$1001&gt;D340))+COUNTIFS($F$2:F340,1,$D$2:D340,D340)-1)</f>
        <v/>
      </c>
      <c r="L340" s="62" t="str">
        <f>IF(OR(D340="",NOT(G340="轿车")),"",1+SUMPRODUCT(($G$2:$G$1001="轿车")*($D$2:$D$1001&gt;D340))+COUNTIFS($G$2:G340,"轿车",$D$2:D340,D340)-1)</f>
        <v/>
      </c>
      <c r="M340" s="62" t="str">
        <f>IF(OR(D340="",NOT(G340="MPV")),"",1+SUMPRODUCT(($G$2:$G$1001="MPV")*($D$2:$D$1001&gt;D340))+COUNTIFS($G$2:G340,"MPV",$D$2:D340,D340)-1)</f>
        <v/>
      </c>
      <c r="N340" s="62">
        <f>IF(OR(D340="",NOT(G340="SUV")),"",1+SUMPRODUCT(($G$2:$G$1001="SUV")*($D$2:$D$1001&gt;D340))+COUNTIFS($G$2:G340,"SUV",$D$2:D340,D340)-1)</f>
        <v>158</v>
      </c>
      <c r="O340" s="62" t="str">
        <f>IF(OR(D340="",NOT(AND(F340=1,G340="轿车"))),"",1+SUMPRODUCT(($F$2:$F$1001=1)*($G$2:$G$1001="轿车")*($D$2:$D$1001&gt;D340))+COUNTIFS($F$2:F340,1,$G$2:G340,"轿车",$D$2:D340,D340)-1)</f>
        <v/>
      </c>
      <c r="P340" s="62" t="str">
        <f>IF(OR(D340="",NOT(AND(F340=1,G340="MPV"))),"",1+SUMPRODUCT(($F$2:$F$1001=1)*($G$2:$G$1001="MPV")*($D$2:$D$1001&gt;D340))+COUNTIFS($F$2:F340,1,$G$2:G340,"MPV",$D$2:D340,D340)-1)</f>
        <v/>
      </c>
      <c r="Q340" s="62" t="str">
        <f>IF(OR(D340="",NOT(AND(F340=1,G340="SUV"))),"",1+SUMPRODUCT(($F$2:$F$1001=1)*($G$2:$G$1001="SUV")*($D$2:$D$1001&gt;D340))+COUNTIFS($F$2:F340,1,$G$2:G340,"SUV",$D$2:D340,D340)-1)</f>
        <v/>
      </c>
    </row>
    <row r="341" spans="1:17">
      <c r="A341" s="62" t="str">
        <f>IFERROR(INDEX($H$2:$H$3000,MATCH(0,INDEX(COUNTIF($A$1:A340,$H$2:$H$3000)+($H$2:$H$3000=""),0,0),0)),"")</f>
        <v>TOYOTA♦LANDCRUISER 250</v>
      </c>
      <c r="B341" s="62" t="str">
        <f t="shared" si="20"/>
        <v>TOYOTA</v>
      </c>
      <c r="C341" s="62" t="str">
        <f t="shared" si="21"/>
        <v>LANDCRUISER 250</v>
      </c>
      <c r="D341" s="63">
        <f t="shared" si="22"/>
        <v>3</v>
      </c>
      <c r="E341" s="62">
        <f>IF(D341="","",_xlfn.RANK.EQ(D341,$D$2:$D$1001,0)+COUNTIF($D$2:D341,D341)-1)</f>
        <v>194</v>
      </c>
      <c r="F341" s="62">
        <f>IF(B341="","",--(COUNTIF(CN_Brands!$A$2:$A$300,UPPER(B341))&gt;0))</f>
        <v>0</v>
      </c>
      <c r="G341" s="62" t="str">
        <f t="shared" si="23"/>
        <v>其他</v>
      </c>
      <c r="H341" s="62" t="str">
        <f>IF(AND('Data Export'!A341=前十整体车型排名!$B$2,'Data Export'!B341=前十整体车型排名!$B$3,'Data Export'!D341&lt;&gt;""),UPPER('Data Export'!C341)&amp;"♦"&amp;'Data Export'!D341,"")</f>
        <v>JAECOO♦6</v>
      </c>
      <c r="I341" s="63">
        <f>IF(H341="","",IFERROR(INDEX('Data Export'!G341:CZ341,1,MATCH(前十整体车型排名!$B$4,'Data Export'!$G$1:$CZ$1,0)),0))</f>
        <v>0</v>
      </c>
      <c r="J341" s="62" t="str">
        <f>IF(H341="","",IF(OR('Data Export'!F341="三厢轿车",'Data Export'!F341="掀背轿车",'Data Export'!F341="旅行车",'Data Export'!F341="微型车",'Data Export'!F341="硬顶跑车",'Data Export'!F341="敞蓬车",'Data Export'!F341="Targa"),"轿车",IF(OR('Data Export'!F341="小型MPV",'Data Export'!F341="客车"),"MPV",IF('Data Export'!F341="运动型多功能车","SUV","其他"))))</f>
        <v>SUV</v>
      </c>
      <c r="K341" s="62" t="str">
        <f>IF(OR(D341="",NOT(F341=1)),"",1+SUMPRODUCT(($F$2:$F$1001=1)*($D$2:$D$1001&gt;D341))+COUNTIFS($F$2:F341,1,$D$2:D341,D341)-1)</f>
        <v/>
      </c>
      <c r="L341" s="62" t="str">
        <f>IF(OR(D341="",NOT(G341="轿车")),"",1+SUMPRODUCT(($G$2:$G$1001="轿车")*($D$2:$D$1001&gt;D341))+COUNTIFS($G$2:G341,"轿车",$D$2:D341,D341)-1)</f>
        <v/>
      </c>
      <c r="M341" s="62" t="str">
        <f>IF(OR(D341="",NOT(G341="MPV")),"",1+SUMPRODUCT(($G$2:$G$1001="MPV")*($D$2:$D$1001&gt;D341))+COUNTIFS($G$2:G341,"MPV",$D$2:D341,D341)-1)</f>
        <v/>
      </c>
      <c r="N341" s="62" t="str">
        <f>IF(OR(D341="",NOT(G341="SUV")),"",1+SUMPRODUCT(($G$2:$G$1001="SUV")*($D$2:$D$1001&gt;D341))+COUNTIFS($G$2:G341,"SUV",$D$2:D341,D341)-1)</f>
        <v/>
      </c>
      <c r="O341" s="62" t="str">
        <f>IF(OR(D341="",NOT(AND(F341=1,G341="轿车"))),"",1+SUMPRODUCT(($F$2:$F$1001=1)*($G$2:$G$1001="轿车")*($D$2:$D$1001&gt;D341))+COUNTIFS($F$2:F341,1,$G$2:G341,"轿车",$D$2:D341,D341)-1)</f>
        <v/>
      </c>
      <c r="P341" s="62" t="str">
        <f>IF(OR(D341="",NOT(AND(F341=1,G341="MPV"))),"",1+SUMPRODUCT(($F$2:$F$1001=1)*($G$2:$G$1001="MPV")*($D$2:$D$1001&gt;D341))+COUNTIFS($F$2:F341,1,$G$2:G341,"MPV",$D$2:D341,D341)-1)</f>
        <v/>
      </c>
      <c r="Q341" s="62" t="str">
        <f>IF(OR(D341="",NOT(AND(F341=1,G341="SUV"))),"",1+SUMPRODUCT(($F$2:$F$1001=1)*($G$2:$G$1001="SUV")*($D$2:$D$1001&gt;D341))+COUNTIFS($F$2:F341,1,$G$2:G341,"SUV",$D$2:D341,D341)-1)</f>
        <v/>
      </c>
    </row>
    <row r="342" spans="1:17">
      <c r="A342" s="62" t="str">
        <f>IFERROR(INDEX($H$2:$H$3000,MATCH(0,INDEX(COUNTIF($A$1:A341,$H$2:$H$3000)+($H$2:$H$3000=""),0,0),0)),"")</f>
        <v>TOYOTA♦LANDCRUISER 300</v>
      </c>
      <c r="B342" s="62" t="str">
        <f t="shared" si="20"/>
        <v>TOYOTA</v>
      </c>
      <c r="C342" s="62" t="str">
        <f t="shared" si="21"/>
        <v>LANDCRUISER 300</v>
      </c>
      <c r="D342" s="63">
        <f t="shared" si="22"/>
        <v>4</v>
      </c>
      <c r="E342" s="62">
        <f>IF(D342="","",_xlfn.RANK.EQ(D342,$D$2:$D$1001,0)+COUNTIF($D$2:D342,D342)-1)</f>
        <v>182</v>
      </c>
      <c r="F342" s="62">
        <f>IF(B342="","",--(COUNTIF(CN_Brands!$A$2:$A$300,UPPER(B342))&gt;0))</f>
        <v>0</v>
      </c>
      <c r="G342" s="62" t="str">
        <f t="shared" si="23"/>
        <v>SUV</v>
      </c>
      <c r="H342" s="62" t="str">
        <f>IF(AND('Data Export'!A342=前十整体车型排名!$B$2,'Data Export'!B342=前十整体车型排名!$B$3,'Data Export'!D342&lt;&gt;""),UPPER('Data Export'!C342)&amp;"♦"&amp;'Data Export'!D342,"")</f>
        <v>JAECOO♦6</v>
      </c>
      <c r="I342" s="63">
        <f>IF(H342="","",IFERROR(INDEX('Data Export'!G342:CZ342,1,MATCH(前十整体车型排名!$B$4,'Data Export'!$G$1:$CZ$1,0)),0))</f>
        <v>113</v>
      </c>
      <c r="J342" s="62" t="str">
        <f>IF(H342="","",IF(OR('Data Export'!F342="三厢轿车",'Data Export'!F342="掀背轿车",'Data Export'!F342="旅行车",'Data Export'!F342="微型车",'Data Export'!F342="硬顶跑车",'Data Export'!F342="敞蓬车",'Data Export'!F342="Targa"),"轿车",IF(OR('Data Export'!F342="小型MPV",'Data Export'!F342="客车"),"MPV",IF('Data Export'!F342="运动型多功能车","SUV","其他"))))</f>
        <v>SUV</v>
      </c>
      <c r="K342" s="62" t="str">
        <f>IF(OR(D342="",NOT(F342=1)),"",1+SUMPRODUCT(($F$2:$F$1001=1)*($D$2:$D$1001&gt;D342))+COUNTIFS($F$2:F342,1,$D$2:D342,D342)-1)</f>
        <v/>
      </c>
      <c r="L342" s="62" t="str">
        <f>IF(OR(D342="",NOT(G342="轿车")),"",1+SUMPRODUCT(($G$2:$G$1001="轿车")*($D$2:$D$1001&gt;D342))+COUNTIFS($G$2:G342,"轿车",$D$2:D342,D342)-1)</f>
        <v/>
      </c>
      <c r="M342" s="62" t="str">
        <f>IF(OR(D342="",NOT(G342="MPV")),"",1+SUMPRODUCT(($G$2:$G$1001="MPV")*($D$2:$D$1001&gt;D342))+COUNTIFS($G$2:G342,"MPV",$D$2:D342,D342)-1)</f>
        <v/>
      </c>
      <c r="N342" s="62">
        <f>IF(OR(D342="",NOT(G342="SUV")),"",1+SUMPRODUCT(($G$2:$G$1001="SUV")*($D$2:$D$1001&gt;D342))+COUNTIFS($G$2:G342,"SUV",$D$2:D342,D342)-1)</f>
        <v>101</v>
      </c>
      <c r="O342" s="62" t="str">
        <f>IF(OR(D342="",NOT(AND(F342=1,G342="轿车"))),"",1+SUMPRODUCT(($F$2:$F$1001=1)*($G$2:$G$1001="轿车")*($D$2:$D$1001&gt;D342))+COUNTIFS($F$2:F342,1,$G$2:G342,"轿车",$D$2:D342,D342)-1)</f>
        <v/>
      </c>
      <c r="P342" s="62" t="str">
        <f>IF(OR(D342="",NOT(AND(F342=1,G342="MPV"))),"",1+SUMPRODUCT(($F$2:$F$1001=1)*($G$2:$G$1001="MPV")*($D$2:$D$1001&gt;D342))+COUNTIFS($F$2:F342,1,$G$2:G342,"MPV",$D$2:D342,D342)-1)</f>
        <v/>
      </c>
      <c r="Q342" s="62" t="str">
        <f>IF(OR(D342="",NOT(AND(F342=1,G342="SUV"))),"",1+SUMPRODUCT(($F$2:$F$1001=1)*($G$2:$G$1001="SUV")*($D$2:$D$1001&gt;D342))+COUNTIFS($F$2:F342,1,$G$2:G342,"SUV",$D$2:D342,D342)-1)</f>
        <v/>
      </c>
    </row>
    <row r="343" spans="1:17">
      <c r="A343" s="62" t="str">
        <f>IFERROR(INDEX($H$2:$H$3000,MATCH(0,INDEX(COUNTIF($A$1:A342,$H$2:$H$3000)+($H$2:$H$3000=""),0,0),0)),"")</f>
        <v>TOYOTA♦LANDCRUISER 70</v>
      </c>
      <c r="B343" s="62" t="str">
        <f t="shared" si="20"/>
        <v>TOYOTA</v>
      </c>
      <c r="C343" s="62" t="str">
        <f t="shared" si="21"/>
        <v>LANDCRUISER 70</v>
      </c>
      <c r="D343" s="63">
        <f t="shared" si="22"/>
        <v>7</v>
      </c>
      <c r="E343" s="62">
        <f>IF(D343="","",_xlfn.RANK.EQ(D343,$D$2:$D$1001,0)+COUNTIF($D$2:D343,D343)-1)</f>
        <v>162</v>
      </c>
      <c r="F343" s="62">
        <f>IF(B343="","",--(COUNTIF(CN_Brands!$A$2:$A$300,UPPER(B343))&gt;0))</f>
        <v>0</v>
      </c>
      <c r="G343" s="62" t="str">
        <f t="shared" si="23"/>
        <v>其他</v>
      </c>
      <c r="H343" s="62" t="str">
        <f>IF(AND('Data Export'!A343=前十整体车型排名!$B$2,'Data Export'!B343=前十整体车型排名!$B$3,'Data Export'!D343&lt;&gt;""),UPPER('Data Export'!C343)&amp;"♦"&amp;'Data Export'!D343,"")</f>
        <v>JAECOO♦7</v>
      </c>
      <c r="I343" s="63">
        <f>IF(H343="","",IFERROR(INDEX('Data Export'!G343:CZ343,1,MATCH(前十整体车型排名!$B$4,'Data Export'!$G$1:$CZ$1,0)),0))</f>
        <v>40</v>
      </c>
      <c r="J343" s="62" t="str">
        <f>IF(H343="","",IF(OR('Data Export'!F343="三厢轿车",'Data Export'!F343="掀背轿车",'Data Export'!F343="旅行车",'Data Export'!F343="微型车",'Data Export'!F343="硬顶跑车",'Data Export'!F343="敞蓬车",'Data Export'!F343="Targa"),"轿车",IF(OR('Data Export'!F343="小型MPV",'Data Export'!F343="客车"),"MPV",IF('Data Export'!F343="运动型多功能车","SUV","其他"))))</f>
        <v>SUV</v>
      </c>
      <c r="K343" s="62" t="str">
        <f>IF(OR(D343="",NOT(F343=1)),"",1+SUMPRODUCT(($F$2:$F$1001=1)*($D$2:$D$1001&gt;D343))+COUNTIFS($F$2:F343,1,$D$2:D343,D343)-1)</f>
        <v/>
      </c>
      <c r="L343" s="62" t="str">
        <f>IF(OR(D343="",NOT(G343="轿车")),"",1+SUMPRODUCT(($G$2:$G$1001="轿车")*($D$2:$D$1001&gt;D343))+COUNTIFS($G$2:G343,"轿车",$D$2:D343,D343)-1)</f>
        <v/>
      </c>
      <c r="M343" s="62" t="str">
        <f>IF(OR(D343="",NOT(G343="MPV")),"",1+SUMPRODUCT(($G$2:$G$1001="MPV")*($D$2:$D$1001&gt;D343))+COUNTIFS($G$2:G343,"MPV",$D$2:D343,D343)-1)</f>
        <v/>
      </c>
      <c r="N343" s="62" t="str">
        <f>IF(OR(D343="",NOT(G343="SUV")),"",1+SUMPRODUCT(($G$2:$G$1001="SUV")*($D$2:$D$1001&gt;D343))+COUNTIFS($G$2:G343,"SUV",$D$2:D343,D343)-1)</f>
        <v/>
      </c>
      <c r="O343" s="62" t="str">
        <f>IF(OR(D343="",NOT(AND(F343=1,G343="轿车"))),"",1+SUMPRODUCT(($F$2:$F$1001=1)*($G$2:$G$1001="轿车")*($D$2:$D$1001&gt;D343))+COUNTIFS($F$2:F343,1,$G$2:G343,"轿车",$D$2:D343,D343)-1)</f>
        <v/>
      </c>
      <c r="P343" s="62" t="str">
        <f>IF(OR(D343="",NOT(AND(F343=1,G343="MPV"))),"",1+SUMPRODUCT(($F$2:$F$1001=1)*($G$2:$G$1001="MPV")*($D$2:$D$1001&gt;D343))+COUNTIFS($F$2:F343,1,$G$2:G343,"MPV",$D$2:D343,D343)-1)</f>
        <v/>
      </c>
      <c r="Q343" s="62" t="str">
        <f>IF(OR(D343="",NOT(AND(F343=1,G343="SUV"))),"",1+SUMPRODUCT(($F$2:$F$1001=1)*($G$2:$G$1001="SUV")*($D$2:$D$1001&gt;D343))+COUNTIFS($F$2:F343,1,$G$2:G343,"SUV",$D$2:D343,D343)-1)</f>
        <v/>
      </c>
    </row>
    <row r="344" spans="1:17">
      <c r="A344" s="62" t="str">
        <f>IFERROR(INDEX($H$2:$H$3000,MATCH(0,INDEX(COUNTIF($A$1:A343,$H$2:$H$3000)+($H$2:$H$3000=""),0,0),0)),"")</f>
        <v>TOYOTA♦LANDCRUISER 76</v>
      </c>
      <c r="B344" s="62" t="str">
        <f t="shared" si="20"/>
        <v>TOYOTA</v>
      </c>
      <c r="C344" s="62" t="str">
        <f t="shared" si="21"/>
        <v>LANDCRUISER 76</v>
      </c>
      <c r="D344" s="63">
        <f t="shared" si="22"/>
        <v>1</v>
      </c>
      <c r="E344" s="62">
        <f>IF(D344="","",_xlfn.RANK.EQ(D344,$D$2:$D$1001,0)+COUNTIF($D$2:D344,D344)-1)</f>
        <v>256</v>
      </c>
      <c r="F344" s="62">
        <f>IF(B344="","",--(COUNTIF(CN_Brands!$A$2:$A$300,UPPER(B344))&gt;0))</f>
        <v>0</v>
      </c>
      <c r="G344" s="62" t="str">
        <f t="shared" si="23"/>
        <v>其他</v>
      </c>
      <c r="H344" s="62" t="str">
        <f>IF(AND('Data Export'!A344=前十整体车型排名!$B$2,'Data Export'!B344=前十整体车型排名!$B$3,'Data Export'!D344&lt;&gt;""),UPPER('Data Export'!C344)&amp;"♦"&amp;'Data Export'!D344,"")</f>
        <v>JEEP♦GRAND CHEROKEE</v>
      </c>
      <c r="I344" s="63">
        <f>IF(H344="","",IFERROR(INDEX('Data Export'!G344:CZ344,1,MATCH(前十整体车型排名!$B$4,'Data Export'!$G$1:$CZ$1,0)),0))</f>
        <v>2</v>
      </c>
      <c r="J344" s="62" t="str">
        <f>IF(H344="","",IF(OR('Data Export'!F344="三厢轿车",'Data Export'!F344="掀背轿车",'Data Export'!F344="旅行车",'Data Export'!F344="微型车",'Data Export'!F344="硬顶跑车",'Data Export'!F344="敞蓬车",'Data Export'!F344="Targa"),"轿车",IF(OR('Data Export'!F344="小型MPV",'Data Export'!F344="客车"),"MPV",IF('Data Export'!F344="运动型多功能车","SUV","其他"))))</f>
        <v>SUV</v>
      </c>
      <c r="K344" s="62" t="str">
        <f>IF(OR(D344="",NOT(F344=1)),"",1+SUMPRODUCT(($F$2:$F$1001=1)*($D$2:$D$1001&gt;D344))+COUNTIFS($F$2:F344,1,$D$2:D344,D344)-1)</f>
        <v/>
      </c>
      <c r="L344" s="62" t="str">
        <f>IF(OR(D344="",NOT(G344="轿车")),"",1+SUMPRODUCT(($G$2:$G$1001="轿车")*($D$2:$D$1001&gt;D344))+COUNTIFS($G$2:G344,"轿车",$D$2:D344,D344)-1)</f>
        <v/>
      </c>
      <c r="M344" s="62" t="str">
        <f>IF(OR(D344="",NOT(G344="MPV")),"",1+SUMPRODUCT(($G$2:$G$1001="MPV")*($D$2:$D$1001&gt;D344))+COUNTIFS($G$2:G344,"MPV",$D$2:D344,D344)-1)</f>
        <v/>
      </c>
      <c r="N344" s="62" t="str">
        <f>IF(OR(D344="",NOT(G344="SUV")),"",1+SUMPRODUCT(($G$2:$G$1001="SUV")*($D$2:$D$1001&gt;D344))+COUNTIFS($G$2:G344,"SUV",$D$2:D344,D344)-1)</f>
        <v/>
      </c>
      <c r="O344" s="62" t="str">
        <f>IF(OR(D344="",NOT(AND(F344=1,G344="轿车"))),"",1+SUMPRODUCT(($F$2:$F$1001=1)*($G$2:$G$1001="轿车")*($D$2:$D$1001&gt;D344))+COUNTIFS($F$2:F344,1,$G$2:G344,"轿车",$D$2:D344,D344)-1)</f>
        <v/>
      </c>
      <c r="P344" s="62" t="str">
        <f>IF(OR(D344="",NOT(AND(F344=1,G344="MPV"))),"",1+SUMPRODUCT(($F$2:$F$1001=1)*($G$2:$G$1001="MPV")*($D$2:$D$1001&gt;D344))+COUNTIFS($F$2:F344,1,$G$2:G344,"MPV",$D$2:D344,D344)-1)</f>
        <v/>
      </c>
      <c r="Q344" s="62" t="str">
        <f>IF(OR(D344="",NOT(AND(F344=1,G344="SUV"))),"",1+SUMPRODUCT(($F$2:$F$1001=1)*($G$2:$G$1001="SUV")*($D$2:$D$1001&gt;D344))+COUNTIFS($F$2:F344,1,$G$2:G344,"SUV",$D$2:D344,D344)-1)</f>
        <v/>
      </c>
    </row>
    <row r="345" spans="1:17">
      <c r="A345" s="62" t="str">
        <f>IFERROR(INDEX($H$2:$H$3000,MATCH(0,INDEX(COUNTIF($A$1:A344,$H$2:$H$3000)+($H$2:$H$3000=""),0,0),0)),"")</f>
        <v>TOYOTA♦LANDCRUISER PRADO</v>
      </c>
      <c r="B345" s="62" t="str">
        <f t="shared" si="20"/>
        <v>TOYOTA</v>
      </c>
      <c r="C345" s="62" t="str">
        <f t="shared" si="21"/>
        <v>LANDCRUISER PRADO</v>
      </c>
      <c r="D345" s="63">
        <f t="shared" si="22"/>
        <v>1</v>
      </c>
      <c r="E345" s="62">
        <f>IF(D345="","",_xlfn.RANK.EQ(D345,$D$2:$D$1001,0)+COUNTIF($D$2:D345,D345)-1)</f>
        <v>257</v>
      </c>
      <c r="F345" s="62">
        <f>IF(B345="","",--(COUNTIF(CN_Brands!$A$2:$A$300,UPPER(B345))&gt;0))</f>
        <v>0</v>
      </c>
      <c r="G345" s="62" t="str">
        <f t="shared" si="23"/>
        <v>SUV</v>
      </c>
      <c r="H345" s="62" t="str">
        <f>IF(AND('Data Export'!A345=前十整体车型排名!$B$2,'Data Export'!B345=前十整体车型排名!$B$3,'Data Export'!D345&lt;&gt;""),UPPER('Data Export'!C345)&amp;"♦"&amp;'Data Export'!D345,"")</f>
        <v>JEEP♦WRANGLER</v>
      </c>
      <c r="I345" s="63">
        <f>IF(H345="","",IFERROR(INDEX('Data Export'!G345:CZ345,1,MATCH(前十整体车型排名!$B$4,'Data Export'!$G$1:$CZ$1,0)),0))</f>
        <v>6</v>
      </c>
      <c r="J345" s="62" t="str">
        <f>IF(H345="","",IF(OR('Data Export'!F345="三厢轿车",'Data Export'!F345="掀背轿车",'Data Export'!F345="旅行车",'Data Export'!F345="微型车",'Data Export'!F345="硬顶跑车",'Data Export'!F345="敞蓬车",'Data Export'!F345="Targa"),"轿车",IF(OR('Data Export'!F345="小型MPV",'Data Export'!F345="客车"),"MPV",IF('Data Export'!F345="运动型多功能车","SUV","其他"))))</f>
        <v>SUV</v>
      </c>
      <c r="K345" s="62" t="str">
        <f>IF(OR(D345="",NOT(F345=1)),"",1+SUMPRODUCT(($F$2:$F$1001=1)*($D$2:$D$1001&gt;D345))+COUNTIFS($F$2:F345,1,$D$2:D345,D345)-1)</f>
        <v/>
      </c>
      <c r="L345" s="62" t="str">
        <f>IF(OR(D345="",NOT(G345="轿车")),"",1+SUMPRODUCT(($G$2:$G$1001="轿车")*($D$2:$D$1001&gt;D345))+COUNTIFS($G$2:G345,"轿车",$D$2:D345,D345)-1)</f>
        <v/>
      </c>
      <c r="M345" s="62" t="str">
        <f>IF(OR(D345="",NOT(G345="MPV")),"",1+SUMPRODUCT(($G$2:$G$1001="MPV")*($D$2:$D$1001&gt;D345))+COUNTIFS($G$2:G345,"MPV",$D$2:D345,D345)-1)</f>
        <v/>
      </c>
      <c r="N345" s="62">
        <f>IF(OR(D345="",NOT(G345="SUV")),"",1+SUMPRODUCT(($G$2:$G$1001="SUV")*($D$2:$D$1001&gt;D345))+COUNTIFS($G$2:G345,"SUV",$D$2:D345,D345)-1)</f>
        <v>125</v>
      </c>
      <c r="O345" s="62" t="str">
        <f>IF(OR(D345="",NOT(AND(F345=1,G345="轿车"))),"",1+SUMPRODUCT(($F$2:$F$1001=1)*($G$2:$G$1001="轿车")*($D$2:$D$1001&gt;D345))+COUNTIFS($F$2:F345,1,$G$2:G345,"轿车",$D$2:D345,D345)-1)</f>
        <v/>
      </c>
      <c r="P345" s="62" t="str">
        <f>IF(OR(D345="",NOT(AND(F345=1,G345="MPV"))),"",1+SUMPRODUCT(($F$2:$F$1001=1)*($G$2:$G$1001="MPV")*($D$2:$D$1001&gt;D345))+COUNTIFS($F$2:F345,1,$G$2:G345,"MPV",$D$2:D345,D345)-1)</f>
        <v/>
      </c>
      <c r="Q345" s="62" t="str">
        <f>IF(OR(D345="",NOT(AND(F345=1,G345="SUV"))),"",1+SUMPRODUCT(($F$2:$F$1001=1)*($G$2:$G$1001="SUV")*($D$2:$D$1001&gt;D345))+COUNTIFS($F$2:F345,1,$G$2:G345,"SUV",$D$2:D345,D345)-1)</f>
        <v/>
      </c>
    </row>
    <row r="346" spans="1:17">
      <c r="A346" s="62" t="str">
        <f>IFERROR(INDEX($H$2:$H$3000,MATCH(0,INDEX(COUNTIF($A$1:A345,$H$2:$H$3000)+($H$2:$H$3000=""),0,0),0)),"")</f>
        <v>TOYOTA♦MAJESTY</v>
      </c>
      <c r="B346" s="62" t="str">
        <f t="shared" si="20"/>
        <v>TOYOTA</v>
      </c>
      <c r="C346" s="62" t="str">
        <f t="shared" si="21"/>
        <v>MAJESTY</v>
      </c>
      <c r="D346" s="63">
        <f t="shared" si="22"/>
        <v>147</v>
      </c>
      <c r="E346" s="62">
        <f>IF(D346="","",_xlfn.RANK.EQ(D346,$D$2:$D$1001,0)+COUNTIF($D$2:D346,D346)-1)</f>
        <v>58</v>
      </c>
      <c r="F346" s="62">
        <f>IF(B346="","",--(COUNTIF(CN_Brands!$A$2:$A$300,UPPER(B346))&gt;0))</f>
        <v>0</v>
      </c>
      <c r="G346" s="62" t="str">
        <f t="shared" si="23"/>
        <v>其他</v>
      </c>
      <c r="H346" s="62" t="str">
        <f>IF(AND('Data Export'!A346=前十整体车型排名!$B$2,'Data Export'!B346=前十整体车型排名!$B$3,'Data Export'!D346&lt;&gt;""),UPPER('Data Export'!C346)&amp;"♦"&amp;'Data Export'!D346,"")</f>
        <v>JIAYUAN♦OTHER</v>
      </c>
      <c r="I346" s="63">
        <f>IF(H346="","",IFERROR(INDEX('Data Export'!G346:CZ346,1,MATCH(前十整体车型排名!$B$4,'Data Export'!$G$1:$CZ$1,0)),0))</f>
        <v>0</v>
      </c>
      <c r="J346" s="62" t="str">
        <f>IF(H346="","",IF(OR('Data Export'!F346="三厢轿车",'Data Export'!F346="掀背轿车",'Data Export'!F346="旅行车",'Data Export'!F346="微型车",'Data Export'!F346="硬顶跑车",'Data Export'!F346="敞蓬车",'Data Export'!F346="Targa"),"轿车",IF(OR('Data Export'!F346="小型MPV",'Data Export'!F346="客车"),"MPV",IF('Data Export'!F346="运动型多功能车","SUV","其他"))))</f>
        <v>其他</v>
      </c>
      <c r="K346" s="62" t="str">
        <f>IF(OR(D346="",NOT(F346=1)),"",1+SUMPRODUCT(($F$2:$F$1001=1)*($D$2:$D$1001&gt;D346))+COUNTIFS($F$2:F346,1,$D$2:D346,D346)-1)</f>
        <v/>
      </c>
      <c r="L346" s="62" t="str">
        <f>IF(OR(D346="",NOT(G346="轿车")),"",1+SUMPRODUCT(($G$2:$G$1001="轿车")*($D$2:$D$1001&gt;D346))+COUNTIFS($G$2:G346,"轿车",$D$2:D346,D346)-1)</f>
        <v/>
      </c>
      <c r="M346" s="62" t="str">
        <f>IF(OR(D346="",NOT(G346="MPV")),"",1+SUMPRODUCT(($G$2:$G$1001="MPV")*($D$2:$D$1001&gt;D346))+COUNTIFS($G$2:G346,"MPV",$D$2:D346,D346)-1)</f>
        <v/>
      </c>
      <c r="N346" s="62" t="str">
        <f>IF(OR(D346="",NOT(G346="SUV")),"",1+SUMPRODUCT(($G$2:$G$1001="SUV")*($D$2:$D$1001&gt;D346))+COUNTIFS($G$2:G346,"SUV",$D$2:D346,D346)-1)</f>
        <v/>
      </c>
      <c r="O346" s="62" t="str">
        <f>IF(OR(D346="",NOT(AND(F346=1,G346="轿车"))),"",1+SUMPRODUCT(($F$2:$F$1001=1)*($G$2:$G$1001="轿车")*($D$2:$D$1001&gt;D346))+COUNTIFS($F$2:F346,1,$G$2:G346,"轿车",$D$2:D346,D346)-1)</f>
        <v/>
      </c>
      <c r="P346" s="62" t="str">
        <f>IF(OR(D346="",NOT(AND(F346=1,G346="MPV"))),"",1+SUMPRODUCT(($F$2:$F$1001=1)*($G$2:$G$1001="MPV")*($D$2:$D$1001&gt;D346))+COUNTIFS($F$2:F346,1,$G$2:G346,"MPV",$D$2:D346,D346)-1)</f>
        <v/>
      </c>
      <c r="Q346" s="62" t="str">
        <f>IF(OR(D346="",NOT(AND(F346=1,G346="SUV"))),"",1+SUMPRODUCT(($F$2:$F$1001=1)*($G$2:$G$1001="SUV")*($D$2:$D$1001&gt;D346))+COUNTIFS($F$2:F346,1,$G$2:G346,"SUV",$D$2:D346,D346)-1)</f>
        <v/>
      </c>
    </row>
    <row r="347" spans="1:17">
      <c r="A347" s="62" t="str">
        <f>IFERROR(INDEX($H$2:$H$3000,MATCH(0,INDEX(COUNTIF($A$1:A346,$H$2:$H$3000)+($H$2:$H$3000=""),0,0),0)),"")</f>
        <v>TOYOTA♦NOAH</v>
      </c>
      <c r="B347" s="62" t="str">
        <f t="shared" si="20"/>
        <v>TOYOTA</v>
      </c>
      <c r="C347" s="62" t="str">
        <f t="shared" si="21"/>
        <v>NOAH</v>
      </c>
      <c r="D347" s="63">
        <f t="shared" si="22"/>
        <v>3</v>
      </c>
      <c r="E347" s="62">
        <f>IF(D347="","",_xlfn.RANK.EQ(D347,$D$2:$D$1001,0)+COUNTIF($D$2:D347,D347)-1)</f>
        <v>195</v>
      </c>
      <c r="F347" s="62">
        <f>IF(B347="","",--(COUNTIF(CN_Brands!$A$2:$A$300,UPPER(B347))&gt;0))</f>
        <v>0</v>
      </c>
      <c r="G347" s="62" t="str">
        <f t="shared" si="23"/>
        <v>其他</v>
      </c>
      <c r="H347" s="62" t="str">
        <f>IF(AND('Data Export'!A347=前十整体车型排名!$B$2,'Data Export'!B347=前十整体车型排名!$B$3,'Data Export'!D347&lt;&gt;""),UPPER('Data Export'!C347)&amp;"♦"&amp;'Data Export'!D347,"")</f>
        <v>JIAYUAN♦OTHER</v>
      </c>
      <c r="I347" s="63">
        <f>IF(H347="","",IFERROR(INDEX('Data Export'!G347:CZ347,1,MATCH(前十整体车型排名!$B$4,'Data Export'!$G$1:$CZ$1,0)),0))</f>
        <v>0</v>
      </c>
      <c r="J347" s="62" t="str">
        <f>IF(H347="","",IF(OR('Data Export'!F347="三厢轿车",'Data Export'!F347="掀背轿车",'Data Export'!F347="旅行车",'Data Export'!F347="微型车",'Data Export'!F347="硬顶跑车",'Data Export'!F347="敞蓬车",'Data Export'!F347="Targa"),"轿车",IF(OR('Data Export'!F347="小型MPV",'Data Export'!F347="客车"),"MPV",IF('Data Export'!F347="运动型多功能车","SUV","其他"))))</f>
        <v>其他</v>
      </c>
      <c r="K347" s="62" t="str">
        <f>IF(OR(D347="",NOT(F347=1)),"",1+SUMPRODUCT(($F$2:$F$1001=1)*($D$2:$D$1001&gt;D347))+COUNTIFS($F$2:F347,1,$D$2:D347,D347)-1)</f>
        <v/>
      </c>
      <c r="L347" s="62" t="str">
        <f>IF(OR(D347="",NOT(G347="轿车")),"",1+SUMPRODUCT(($G$2:$G$1001="轿车")*($D$2:$D$1001&gt;D347))+COUNTIFS($G$2:G347,"轿车",$D$2:D347,D347)-1)</f>
        <v/>
      </c>
      <c r="M347" s="62" t="str">
        <f>IF(OR(D347="",NOT(G347="MPV")),"",1+SUMPRODUCT(($G$2:$G$1001="MPV")*($D$2:$D$1001&gt;D347))+COUNTIFS($G$2:G347,"MPV",$D$2:D347,D347)-1)</f>
        <v/>
      </c>
      <c r="N347" s="62" t="str">
        <f>IF(OR(D347="",NOT(G347="SUV")),"",1+SUMPRODUCT(($G$2:$G$1001="SUV")*($D$2:$D$1001&gt;D347))+COUNTIFS($G$2:G347,"SUV",$D$2:D347,D347)-1)</f>
        <v/>
      </c>
      <c r="O347" s="62" t="str">
        <f>IF(OR(D347="",NOT(AND(F347=1,G347="轿车"))),"",1+SUMPRODUCT(($F$2:$F$1001=1)*($G$2:$G$1001="轿车")*($D$2:$D$1001&gt;D347))+COUNTIFS($F$2:F347,1,$G$2:G347,"轿车",$D$2:D347,D347)-1)</f>
        <v/>
      </c>
      <c r="P347" s="62" t="str">
        <f>IF(OR(D347="",NOT(AND(F347=1,G347="MPV"))),"",1+SUMPRODUCT(($F$2:$F$1001=1)*($G$2:$G$1001="MPV")*($D$2:$D$1001&gt;D347))+COUNTIFS($F$2:F347,1,$G$2:G347,"MPV",$D$2:D347,D347)-1)</f>
        <v/>
      </c>
      <c r="Q347" s="62" t="str">
        <f>IF(OR(D347="",NOT(AND(F347=1,G347="SUV"))),"",1+SUMPRODUCT(($F$2:$F$1001=1)*($G$2:$G$1001="SUV")*($D$2:$D$1001&gt;D347))+COUNTIFS($F$2:F347,1,$G$2:G347,"SUV",$D$2:D347,D347)-1)</f>
        <v/>
      </c>
    </row>
    <row r="348" spans="1:17">
      <c r="A348" s="62" t="str">
        <f>IFERROR(INDEX($H$2:$H$3000,MATCH(0,INDEX(COUNTIF($A$1:A347,$H$2:$H$3000)+($H$2:$H$3000=""),0,0),0)),"")</f>
        <v>TOYOTA♦OTHER</v>
      </c>
      <c r="B348" s="62" t="str">
        <f t="shared" si="20"/>
        <v>TOYOTA</v>
      </c>
      <c r="C348" s="62" t="str">
        <f t="shared" si="21"/>
        <v>OTHER</v>
      </c>
      <c r="D348" s="63">
        <f t="shared" si="22"/>
        <v>0</v>
      </c>
      <c r="E348" s="62">
        <f>IF(D348="","",_xlfn.RANK.EQ(D348,$D$2:$D$1001,0)+COUNTIF($D$2:D348,D348)-1)</f>
        <v>380</v>
      </c>
      <c r="F348" s="62">
        <f>IF(B348="","",--(COUNTIF(CN_Brands!$A$2:$A$300,UPPER(B348))&gt;0))</f>
        <v>0</v>
      </c>
      <c r="G348" s="62" t="str">
        <f t="shared" si="23"/>
        <v>其他</v>
      </c>
      <c r="H348" s="62" t="str">
        <f>IF(AND('Data Export'!A348=前十整体车型排名!$B$2,'Data Export'!B348=前十整体车型排名!$B$3,'Data Export'!D348&lt;&gt;""),UPPER('Data Export'!C348)&amp;"♦"&amp;'Data Export'!D348,"")</f>
        <v>JONWAY♦OTHER</v>
      </c>
      <c r="I348" s="63">
        <f>IF(H348="","",IFERROR(INDEX('Data Export'!G348:CZ348,1,MATCH(前十整体车型排名!$B$4,'Data Export'!$G$1:$CZ$1,0)),0))</f>
        <v>0</v>
      </c>
      <c r="J348" s="62" t="str">
        <f>IF(H348="","",IF(OR('Data Export'!F348="三厢轿车",'Data Export'!F348="掀背轿车",'Data Export'!F348="旅行车",'Data Export'!F348="微型车",'Data Export'!F348="硬顶跑车",'Data Export'!F348="敞蓬车",'Data Export'!F348="Targa"),"轿车",IF(OR('Data Export'!F348="小型MPV",'Data Export'!F348="客车"),"MPV",IF('Data Export'!F348="运动型多功能车","SUV","其他"))))</f>
        <v>其他</v>
      </c>
      <c r="K348" s="62" t="str">
        <f>IF(OR(D348="",NOT(F348=1)),"",1+SUMPRODUCT(($F$2:$F$1001=1)*($D$2:$D$1001&gt;D348))+COUNTIFS($F$2:F348,1,$D$2:D348,D348)-1)</f>
        <v/>
      </c>
      <c r="L348" s="62" t="str">
        <f>IF(OR(D348="",NOT(G348="轿车")),"",1+SUMPRODUCT(($G$2:$G$1001="轿车")*($D$2:$D$1001&gt;D348))+COUNTIFS($G$2:G348,"轿车",$D$2:D348,D348)-1)</f>
        <v/>
      </c>
      <c r="M348" s="62" t="str">
        <f>IF(OR(D348="",NOT(G348="MPV")),"",1+SUMPRODUCT(($G$2:$G$1001="MPV")*($D$2:$D$1001&gt;D348))+COUNTIFS($G$2:G348,"MPV",$D$2:D348,D348)-1)</f>
        <v/>
      </c>
      <c r="N348" s="62" t="str">
        <f>IF(OR(D348="",NOT(G348="SUV")),"",1+SUMPRODUCT(($G$2:$G$1001="SUV")*($D$2:$D$1001&gt;D348))+COUNTIFS($G$2:G348,"SUV",$D$2:D348,D348)-1)</f>
        <v/>
      </c>
      <c r="O348" s="62" t="str">
        <f>IF(OR(D348="",NOT(AND(F348=1,G348="轿车"))),"",1+SUMPRODUCT(($F$2:$F$1001=1)*($G$2:$G$1001="轿车")*($D$2:$D$1001&gt;D348))+COUNTIFS($F$2:F348,1,$G$2:G348,"轿车",$D$2:D348,D348)-1)</f>
        <v/>
      </c>
      <c r="P348" s="62" t="str">
        <f>IF(OR(D348="",NOT(AND(F348=1,G348="MPV"))),"",1+SUMPRODUCT(($F$2:$F$1001=1)*($G$2:$G$1001="MPV")*($D$2:$D$1001&gt;D348))+COUNTIFS($F$2:F348,1,$G$2:G348,"MPV",$D$2:D348,D348)-1)</f>
        <v/>
      </c>
      <c r="Q348" s="62" t="str">
        <f>IF(OR(D348="",NOT(AND(F348=1,G348="SUV"))),"",1+SUMPRODUCT(($F$2:$F$1001=1)*($G$2:$G$1001="SUV")*($D$2:$D$1001&gt;D348))+COUNTIFS($F$2:F348,1,$G$2:G348,"SUV",$D$2:D348,D348)-1)</f>
        <v/>
      </c>
    </row>
    <row r="349" spans="1:17">
      <c r="A349" s="62" t="str">
        <f>IFERROR(INDEX($H$2:$H$3000,MATCH(0,INDEX(COUNTIF($A$1:A348,$H$2:$H$3000)+($H$2:$H$3000=""),0,0),0)),"")</f>
        <v>TOYOTA♦PRIUS</v>
      </c>
      <c r="B349" s="62" t="str">
        <f t="shared" si="20"/>
        <v>TOYOTA</v>
      </c>
      <c r="C349" s="62" t="str">
        <f t="shared" si="21"/>
        <v>PRIUS</v>
      </c>
      <c r="D349" s="63">
        <f t="shared" si="22"/>
        <v>1</v>
      </c>
      <c r="E349" s="62">
        <f>IF(D349="","",_xlfn.RANK.EQ(D349,$D$2:$D$1001,0)+COUNTIF($D$2:D349,D349)-1)</f>
        <v>258</v>
      </c>
      <c r="F349" s="62">
        <f>IF(B349="","",--(COUNTIF(CN_Brands!$A$2:$A$300,UPPER(B349))&gt;0))</f>
        <v>0</v>
      </c>
      <c r="G349" s="62" t="str">
        <f t="shared" si="23"/>
        <v>轿车</v>
      </c>
      <c r="H349" s="62" t="str">
        <f>IF(AND('Data Export'!A349=前十整体车型排名!$B$2,'Data Export'!B349=前十整体车型排名!$B$3,'Data Export'!D349&lt;&gt;""),UPPER('Data Export'!C349)&amp;"♦"&amp;'Data Export'!D349,"")</f>
        <v>JUNEYAO♦JY AIR</v>
      </c>
      <c r="I349" s="63">
        <f>IF(H349="","",IFERROR(INDEX('Data Export'!G349:CZ349,1,MATCH(前十整体车型排名!$B$4,'Data Export'!$G$1:$CZ$1,0)),0))</f>
        <v>0</v>
      </c>
      <c r="J349" s="62" t="str">
        <f>IF(H349="","",IF(OR('Data Export'!F349="三厢轿车",'Data Export'!F349="掀背轿车",'Data Export'!F349="旅行车",'Data Export'!F349="微型车",'Data Export'!F349="硬顶跑车",'Data Export'!F349="敞蓬车",'Data Export'!F349="Targa"),"轿车",IF(OR('Data Export'!F349="小型MPV",'Data Export'!F349="客车"),"MPV",IF('Data Export'!F349="运动型多功能车","SUV","其他"))))</f>
        <v>轿车</v>
      </c>
      <c r="K349" s="62" t="str">
        <f>IF(OR(D349="",NOT(F349=1)),"",1+SUMPRODUCT(($F$2:$F$1001=1)*($D$2:$D$1001&gt;D349))+COUNTIFS($F$2:F349,1,$D$2:D349,D349)-1)</f>
        <v/>
      </c>
      <c r="L349" s="62">
        <f>IF(OR(D349="",NOT(G349="轿车")),"",1+SUMPRODUCT(($G$2:$G$1001="轿车")*($D$2:$D$1001&gt;D349))+COUNTIFS($G$2:G349,"轿车",$D$2:D349,D349)-1)</f>
        <v>80</v>
      </c>
      <c r="M349" s="62" t="str">
        <f>IF(OR(D349="",NOT(G349="MPV")),"",1+SUMPRODUCT(($G$2:$G$1001="MPV")*($D$2:$D$1001&gt;D349))+COUNTIFS($G$2:G349,"MPV",$D$2:D349,D349)-1)</f>
        <v/>
      </c>
      <c r="N349" s="62" t="str">
        <f>IF(OR(D349="",NOT(G349="SUV")),"",1+SUMPRODUCT(($G$2:$G$1001="SUV")*($D$2:$D$1001&gt;D349))+COUNTIFS($G$2:G349,"SUV",$D$2:D349,D349)-1)</f>
        <v/>
      </c>
      <c r="O349" s="62" t="str">
        <f>IF(OR(D349="",NOT(AND(F349=1,G349="轿车"))),"",1+SUMPRODUCT(($F$2:$F$1001=1)*($G$2:$G$1001="轿车")*($D$2:$D$1001&gt;D349))+COUNTIFS($F$2:F349,1,$G$2:G349,"轿车",$D$2:D349,D349)-1)</f>
        <v/>
      </c>
      <c r="P349" s="62" t="str">
        <f>IF(OR(D349="",NOT(AND(F349=1,G349="MPV"))),"",1+SUMPRODUCT(($F$2:$F$1001=1)*($G$2:$G$1001="MPV")*($D$2:$D$1001&gt;D349))+COUNTIFS($F$2:F349,1,$G$2:G349,"MPV",$D$2:D349,D349)-1)</f>
        <v/>
      </c>
      <c r="Q349" s="62" t="str">
        <f>IF(OR(D349="",NOT(AND(F349=1,G349="SUV"))),"",1+SUMPRODUCT(($F$2:$F$1001=1)*($G$2:$G$1001="SUV")*($D$2:$D$1001&gt;D349))+COUNTIFS($F$2:F349,1,$G$2:G349,"SUV",$D$2:D349,D349)-1)</f>
        <v/>
      </c>
    </row>
    <row r="350" spans="1:17">
      <c r="A350" s="62" t="str">
        <f>IFERROR(INDEX($H$2:$H$3000,MATCH(0,INDEX(COUNTIF($A$1:A349,$H$2:$H$3000)+($H$2:$H$3000=""),0,0),0)),"")</f>
        <v>TOYOTA♦ROOMY</v>
      </c>
      <c r="B350" s="62" t="str">
        <f t="shared" si="20"/>
        <v>TOYOTA</v>
      </c>
      <c r="C350" s="62" t="str">
        <f t="shared" si="21"/>
        <v>ROOMY</v>
      </c>
      <c r="D350" s="63">
        <f t="shared" si="22"/>
        <v>0</v>
      </c>
      <c r="E350" s="62">
        <f>IF(D350="","",_xlfn.RANK.EQ(D350,$D$2:$D$1001,0)+COUNTIF($D$2:D350,D350)-1)</f>
        <v>381</v>
      </c>
      <c r="F350" s="62">
        <f>IF(B350="","",--(COUNTIF(CN_Brands!$A$2:$A$300,UPPER(B350))&gt;0))</f>
        <v>0</v>
      </c>
      <c r="G350" s="62" t="str">
        <f t="shared" si="23"/>
        <v>其他</v>
      </c>
      <c r="H350" s="62" t="str">
        <f>IF(AND('Data Export'!A350=前十整体车型排名!$B$2,'Data Export'!B350=前十整体车型排名!$B$3,'Data Export'!D350&lt;&gt;""),UPPER('Data Export'!C350)&amp;"♦"&amp;'Data Export'!D350,"")</f>
        <v>JUNEYAO♦JY AIR</v>
      </c>
      <c r="I350" s="63">
        <f>IF(H350="","",IFERROR(INDEX('Data Export'!G350:CZ350,1,MATCH(前十整体车型排名!$B$4,'Data Export'!$G$1:$CZ$1,0)),0))</f>
        <v>0</v>
      </c>
      <c r="J350" s="62" t="str">
        <f>IF(H350="","",IF(OR('Data Export'!F350="三厢轿车",'Data Export'!F350="掀背轿车",'Data Export'!F350="旅行车",'Data Export'!F350="微型车",'Data Export'!F350="硬顶跑车",'Data Export'!F350="敞蓬车",'Data Export'!F350="Targa"),"轿车",IF(OR('Data Export'!F350="小型MPV",'Data Export'!F350="客车"),"MPV",IF('Data Export'!F350="运动型多功能车","SUV","其他"))))</f>
        <v>轿车</v>
      </c>
      <c r="K350" s="62" t="str">
        <f>IF(OR(D350="",NOT(F350=1)),"",1+SUMPRODUCT(($F$2:$F$1001=1)*($D$2:$D$1001&gt;D350))+COUNTIFS($F$2:F350,1,$D$2:D350,D350)-1)</f>
        <v/>
      </c>
      <c r="L350" s="62" t="str">
        <f>IF(OR(D350="",NOT(G350="轿车")),"",1+SUMPRODUCT(($G$2:$G$1001="轿车")*($D$2:$D$1001&gt;D350))+COUNTIFS($G$2:G350,"轿车",$D$2:D350,D350)-1)</f>
        <v/>
      </c>
      <c r="M350" s="62" t="str">
        <f>IF(OR(D350="",NOT(G350="MPV")),"",1+SUMPRODUCT(($G$2:$G$1001="MPV")*($D$2:$D$1001&gt;D350))+COUNTIFS($G$2:G350,"MPV",$D$2:D350,D350)-1)</f>
        <v/>
      </c>
      <c r="N350" s="62" t="str">
        <f>IF(OR(D350="",NOT(G350="SUV")),"",1+SUMPRODUCT(($G$2:$G$1001="SUV")*($D$2:$D$1001&gt;D350))+COUNTIFS($G$2:G350,"SUV",$D$2:D350,D350)-1)</f>
        <v/>
      </c>
      <c r="O350" s="62" t="str">
        <f>IF(OR(D350="",NOT(AND(F350=1,G350="轿车"))),"",1+SUMPRODUCT(($F$2:$F$1001=1)*($G$2:$G$1001="轿车")*($D$2:$D$1001&gt;D350))+COUNTIFS($F$2:F350,1,$G$2:G350,"轿车",$D$2:D350,D350)-1)</f>
        <v/>
      </c>
      <c r="P350" s="62" t="str">
        <f>IF(OR(D350="",NOT(AND(F350=1,G350="MPV"))),"",1+SUMPRODUCT(($F$2:$F$1001=1)*($G$2:$G$1001="MPV")*($D$2:$D$1001&gt;D350))+COUNTIFS($F$2:F350,1,$G$2:G350,"MPV",$D$2:D350,D350)-1)</f>
        <v/>
      </c>
      <c r="Q350" s="62" t="str">
        <f>IF(OR(D350="",NOT(AND(F350=1,G350="SUV"))),"",1+SUMPRODUCT(($F$2:$F$1001=1)*($G$2:$G$1001="SUV")*($D$2:$D$1001&gt;D350))+COUNTIFS($F$2:F350,1,$G$2:G350,"SUV",$D$2:D350,D350)-1)</f>
        <v/>
      </c>
    </row>
    <row r="351" spans="1:17">
      <c r="A351" s="62" t="str">
        <f>IFERROR(INDEX($H$2:$H$3000,MATCH(0,INDEX(COUNTIF($A$1:A350,$H$2:$H$3000)+($H$2:$H$3000=""),0,0),0)),"")</f>
        <v>TOYOTA♦SIENTA</v>
      </c>
      <c r="B351" s="62" t="str">
        <f t="shared" si="20"/>
        <v>TOYOTA</v>
      </c>
      <c r="C351" s="62" t="str">
        <f t="shared" si="21"/>
        <v>SIENTA</v>
      </c>
      <c r="D351" s="63">
        <f t="shared" si="22"/>
        <v>0</v>
      </c>
      <c r="E351" s="62">
        <f>IF(D351="","",_xlfn.RANK.EQ(D351,$D$2:$D$1001,0)+COUNTIF($D$2:D351,D351)-1)</f>
        <v>382</v>
      </c>
      <c r="F351" s="62">
        <f>IF(B351="","",--(COUNTIF(CN_Brands!$A$2:$A$300,UPPER(B351))&gt;0))</f>
        <v>0</v>
      </c>
      <c r="G351" s="62" t="str">
        <f t="shared" si="23"/>
        <v>MPV</v>
      </c>
      <c r="H351" s="62" t="str">
        <f>IF(AND('Data Export'!A351=前十整体车型排名!$B$2,'Data Export'!B351=前十整体车型排名!$B$3,'Data Export'!D351&lt;&gt;""),UPPER('Data Export'!C351)&amp;"♦"&amp;'Data Export'!D351,"")</f>
        <v>JUNEYAO♦JY AIR</v>
      </c>
      <c r="I351" s="63">
        <f>IF(H351="","",IFERROR(INDEX('Data Export'!G351:CZ351,1,MATCH(前十整体车型排名!$B$4,'Data Export'!$G$1:$CZ$1,0)),0))</f>
        <v>0</v>
      </c>
      <c r="J351" s="62" t="str">
        <f>IF(H351="","",IF(OR('Data Export'!F351="三厢轿车",'Data Export'!F351="掀背轿车",'Data Export'!F351="旅行车",'Data Export'!F351="微型车",'Data Export'!F351="硬顶跑车",'Data Export'!F351="敞蓬车",'Data Export'!F351="Targa"),"轿车",IF(OR('Data Export'!F351="小型MPV",'Data Export'!F351="客车"),"MPV",IF('Data Export'!F351="运动型多功能车","SUV","其他"))))</f>
        <v>轿车</v>
      </c>
      <c r="K351" s="62" t="str">
        <f>IF(OR(D351="",NOT(F351=1)),"",1+SUMPRODUCT(($F$2:$F$1001=1)*($D$2:$D$1001&gt;D351))+COUNTIFS($F$2:F351,1,$D$2:D351,D351)-1)</f>
        <v/>
      </c>
      <c r="L351" s="62" t="str">
        <f>IF(OR(D351="",NOT(G351="轿车")),"",1+SUMPRODUCT(($G$2:$G$1001="轿车")*($D$2:$D$1001&gt;D351))+COUNTIFS($G$2:G351,"轿车",$D$2:D351,D351)-1)</f>
        <v/>
      </c>
      <c r="M351" s="62">
        <f>IF(OR(D351="",NOT(G351="MPV")),"",1+SUMPRODUCT(($G$2:$G$1001="MPV")*($D$2:$D$1001&gt;D351))+COUNTIFS($G$2:G351,"MPV",$D$2:D351,D351)-1)</f>
        <v>7</v>
      </c>
      <c r="N351" s="62" t="str">
        <f>IF(OR(D351="",NOT(G351="SUV")),"",1+SUMPRODUCT(($G$2:$G$1001="SUV")*($D$2:$D$1001&gt;D351))+COUNTIFS($G$2:G351,"SUV",$D$2:D351,D351)-1)</f>
        <v/>
      </c>
      <c r="O351" s="62" t="str">
        <f>IF(OR(D351="",NOT(AND(F351=1,G351="轿车"))),"",1+SUMPRODUCT(($F$2:$F$1001=1)*($G$2:$G$1001="轿车")*($D$2:$D$1001&gt;D351))+COUNTIFS($F$2:F351,1,$G$2:G351,"轿车",$D$2:D351,D351)-1)</f>
        <v/>
      </c>
      <c r="P351" s="62" t="str">
        <f>IF(OR(D351="",NOT(AND(F351=1,G351="MPV"))),"",1+SUMPRODUCT(($F$2:$F$1001=1)*($G$2:$G$1001="MPV")*($D$2:$D$1001&gt;D351))+COUNTIFS($F$2:F351,1,$G$2:G351,"MPV",$D$2:D351,D351)-1)</f>
        <v/>
      </c>
      <c r="Q351" s="62" t="str">
        <f>IF(OR(D351="",NOT(AND(F351=1,G351="SUV"))),"",1+SUMPRODUCT(($F$2:$F$1001=1)*($G$2:$G$1001="SUV")*($D$2:$D$1001&gt;D351))+COUNTIFS($F$2:F351,1,$G$2:G351,"SUV",$D$2:D351,D351)-1)</f>
        <v/>
      </c>
    </row>
    <row r="352" spans="1:17">
      <c r="A352" s="62" t="str">
        <f>IFERROR(INDEX($H$2:$H$3000,MATCH(0,INDEX(COUNTIF($A$1:A351,$H$2:$H$3000)+($H$2:$H$3000=""),0,0),0)),"")</f>
        <v>TOYOTA♦SUPRA</v>
      </c>
      <c r="B352" s="62" t="str">
        <f t="shared" si="20"/>
        <v>TOYOTA</v>
      </c>
      <c r="C352" s="62" t="str">
        <f t="shared" si="21"/>
        <v>SUPRA</v>
      </c>
      <c r="D352" s="63">
        <f t="shared" si="22"/>
        <v>3</v>
      </c>
      <c r="E352" s="62">
        <f>IF(D352="","",_xlfn.RANK.EQ(D352,$D$2:$D$1001,0)+COUNTIF($D$2:D352,D352)-1)</f>
        <v>196</v>
      </c>
      <c r="F352" s="62">
        <f>IF(B352="","",--(COUNTIF(CN_Brands!$A$2:$A$300,UPPER(B352))&gt;0))</f>
        <v>0</v>
      </c>
      <c r="G352" s="62" t="str">
        <f t="shared" si="23"/>
        <v>轿车</v>
      </c>
      <c r="H352" s="62" t="str">
        <f>IF(AND('Data Export'!A352=前十整体车型排名!$B$2,'Data Export'!B352=前十整体车型排名!$B$3,'Data Export'!D352&lt;&gt;""),UPPER('Data Export'!C352)&amp;"♦"&amp;'Data Export'!D352,"")</f>
        <v>KIA♦CARNIVAL</v>
      </c>
      <c r="I352" s="63">
        <f>IF(H352="","",IFERROR(INDEX('Data Export'!G352:CZ352,1,MATCH(前十整体车型排名!$B$4,'Data Export'!$G$1:$CZ$1,0)),0))</f>
        <v>61</v>
      </c>
      <c r="J352" s="62" t="str">
        <f>IF(H352="","",IF(OR('Data Export'!F352="三厢轿车",'Data Export'!F352="掀背轿车",'Data Export'!F352="旅行车",'Data Export'!F352="微型车",'Data Export'!F352="硬顶跑车",'Data Export'!F352="敞蓬车",'Data Export'!F352="Targa"),"轿车",IF(OR('Data Export'!F352="小型MPV",'Data Export'!F352="客车"),"MPV",IF('Data Export'!F352="运动型多功能车","SUV","其他"))))</f>
        <v>其他</v>
      </c>
      <c r="K352" s="62" t="str">
        <f>IF(OR(D352="",NOT(F352=1)),"",1+SUMPRODUCT(($F$2:$F$1001=1)*($D$2:$D$1001&gt;D352))+COUNTIFS($F$2:F352,1,$D$2:D352,D352)-1)</f>
        <v/>
      </c>
      <c r="L352" s="62">
        <f>IF(OR(D352="",NOT(G352="轿车")),"",1+SUMPRODUCT(($G$2:$G$1001="轿车")*($D$2:$D$1001&gt;D352))+COUNTIFS($G$2:G352,"轿车",$D$2:D352,D352)-1)</f>
        <v>54</v>
      </c>
      <c r="M352" s="62" t="str">
        <f>IF(OR(D352="",NOT(G352="MPV")),"",1+SUMPRODUCT(($G$2:$G$1001="MPV")*($D$2:$D$1001&gt;D352))+COUNTIFS($G$2:G352,"MPV",$D$2:D352,D352)-1)</f>
        <v/>
      </c>
      <c r="N352" s="62" t="str">
        <f>IF(OR(D352="",NOT(G352="SUV")),"",1+SUMPRODUCT(($G$2:$G$1001="SUV")*($D$2:$D$1001&gt;D352))+COUNTIFS($G$2:G352,"SUV",$D$2:D352,D352)-1)</f>
        <v/>
      </c>
      <c r="O352" s="62" t="str">
        <f>IF(OR(D352="",NOT(AND(F352=1,G352="轿车"))),"",1+SUMPRODUCT(($F$2:$F$1001=1)*($G$2:$G$1001="轿车")*($D$2:$D$1001&gt;D352))+COUNTIFS($F$2:F352,1,$G$2:G352,"轿车",$D$2:D352,D352)-1)</f>
        <v/>
      </c>
      <c r="P352" s="62" t="str">
        <f>IF(OR(D352="",NOT(AND(F352=1,G352="MPV"))),"",1+SUMPRODUCT(($F$2:$F$1001=1)*($G$2:$G$1001="MPV")*($D$2:$D$1001&gt;D352))+COUNTIFS($F$2:F352,1,$G$2:G352,"MPV",$D$2:D352,D352)-1)</f>
        <v/>
      </c>
      <c r="Q352" s="62" t="str">
        <f>IF(OR(D352="",NOT(AND(F352=1,G352="SUV"))),"",1+SUMPRODUCT(($F$2:$F$1001=1)*($G$2:$G$1001="SUV")*($D$2:$D$1001&gt;D352))+COUNTIFS($F$2:F352,1,$G$2:G352,"SUV",$D$2:D352,D352)-1)</f>
        <v/>
      </c>
    </row>
    <row r="353" spans="1:17">
      <c r="A353" s="62" t="str">
        <f>IFERROR(INDEX($H$2:$H$3000,MATCH(0,INDEX(COUNTIF($A$1:A352,$H$2:$H$3000)+($H$2:$H$3000=""),0,0),0)),"")</f>
        <v>TOYOTA♦VELLFIRE</v>
      </c>
      <c r="B353" s="62" t="str">
        <f t="shared" si="20"/>
        <v>TOYOTA</v>
      </c>
      <c r="C353" s="62" t="str">
        <f t="shared" si="21"/>
        <v>VELLFIRE</v>
      </c>
      <c r="D353" s="63">
        <f t="shared" si="22"/>
        <v>164</v>
      </c>
      <c r="E353" s="62">
        <f>IF(D353="","",_xlfn.RANK.EQ(D353,$D$2:$D$1001,0)+COUNTIF($D$2:D353,D353)-1)</f>
        <v>52</v>
      </c>
      <c r="F353" s="62">
        <f>IF(B353="","",--(COUNTIF(CN_Brands!$A$2:$A$300,UPPER(B353))&gt;0))</f>
        <v>0</v>
      </c>
      <c r="G353" s="62" t="str">
        <f t="shared" si="23"/>
        <v>其他</v>
      </c>
      <c r="H353" s="62" t="str">
        <f>IF(AND('Data Export'!A353=前十整体车型排名!$B$2,'Data Export'!B353=前十整体车型排名!$B$3,'Data Export'!D353&lt;&gt;""),UPPER('Data Export'!C353)&amp;"♦"&amp;'Data Export'!D353,"")</f>
        <v>KIA♦CARNIVAL</v>
      </c>
      <c r="I353" s="63">
        <f>IF(H353="","",IFERROR(INDEX('Data Export'!G353:CZ353,1,MATCH(前十整体车型排名!$B$4,'Data Export'!$G$1:$CZ$1,0)),0))</f>
        <v>10</v>
      </c>
      <c r="J353" s="62" t="str">
        <f>IF(H353="","",IF(OR('Data Export'!F353="三厢轿车",'Data Export'!F353="掀背轿车",'Data Export'!F353="旅行车",'Data Export'!F353="微型车",'Data Export'!F353="硬顶跑车",'Data Export'!F353="敞蓬车",'Data Export'!F353="Targa"),"轿车",IF(OR('Data Export'!F353="小型MPV",'Data Export'!F353="客车"),"MPV",IF('Data Export'!F353="运动型多功能车","SUV","其他"))))</f>
        <v>其他</v>
      </c>
      <c r="K353" s="62" t="str">
        <f>IF(OR(D353="",NOT(F353=1)),"",1+SUMPRODUCT(($F$2:$F$1001=1)*($D$2:$D$1001&gt;D353))+COUNTIFS($F$2:F353,1,$D$2:D353,D353)-1)</f>
        <v/>
      </c>
      <c r="L353" s="62" t="str">
        <f>IF(OR(D353="",NOT(G353="轿车")),"",1+SUMPRODUCT(($G$2:$G$1001="轿车")*($D$2:$D$1001&gt;D353))+COUNTIFS($G$2:G353,"轿车",$D$2:D353,D353)-1)</f>
        <v/>
      </c>
      <c r="M353" s="62" t="str">
        <f>IF(OR(D353="",NOT(G353="MPV")),"",1+SUMPRODUCT(($G$2:$G$1001="MPV")*($D$2:$D$1001&gt;D353))+COUNTIFS($G$2:G353,"MPV",$D$2:D353,D353)-1)</f>
        <v/>
      </c>
      <c r="N353" s="62" t="str">
        <f>IF(OR(D353="",NOT(G353="SUV")),"",1+SUMPRODUCT(($G$2:$G$1001="SUV")*($D$2:$D$1001&gt;D353))+COUNTIFS($G$2:G353,"SUV",$D$2:D353,D353)-1)</f>
        <v/>
      </c>
      <c r="O353" s="62" t="str">
        <f>IF(OR(D353="",NOT(AND(F353=1,G353="轿车"))),"",1+SUMPRODUCT(($F$2:$F$1001=1)*($G$2:$G$1001="轿车")*($D$2:$D$1001&gt;D353))+COUNTIFS($F$2:F353,1,$G$2:G353,"轿车",$D$2:D353,D353)-1)</f>
        <v/>
      </c>
      <c r="P353" s="62" t="str">
        <f>IF(OR(D353="",NOT(AND(F353=1,G353="MPV"))),"",1+SUMPRODUCT(($F$2:$F$1001=1)*($G$2:$G$1001="MPV")*($D$2:$D$1001&gt;D353))+COUNTIFS($F$2:F353,1,$G$2:G353,"MPV",$D$2:D353,D353)-1)</f>
        <v/>
      </c>
      <c r="Q353" s="62" t="str">
        <f>IF(OR(D353="",NOT(AND(F353=1,G353="SUV"))),"",1+SUMPRODUCT(($F$2:$F$1001=1)*($G$2:$G$1001="SUV")*($D$2:$D$1001&gt;D353))+COUNTIFS($F$2:F353,1,$G$2:G353,"SUV",$D$2:D353,D353)-1)</f>
        <v/>
      </c>
    </row>
    <row r="354" spans="1:17">
      <c r="A354" s="62" t="str">
        <f>IFERROR(INDEX($H$2:$H$3000,MATCH(0,INDEX(COUNTIF($A$1:A353,$H$2:$H$3000)+($H$2:$H$3000=""),0,0),0)),"")</f>
        <v>TOYOTA♦VELOZ</v>
      </c>
      <c r="B354" s="62" t="str">
        <f t="shared" si="20"/>
        <v>TOYOTA</v>
      </c>
      <c r="C354" s="62" t="str">
        <f t="shared" si="21"/>
        <v>VELOZ</v>
      </c>
      <c r="D354" s="63">
        <f t="shared" si="22"/>
        <v>274</v>
      </c>
      <c r="E354" s="62">
        <f>IF(D354="","",_xlfn.RANK.EQ(D354,$D$2:$D$1001,0)+COUNTIF($D$2:D354,D354)-1)</f>
        <v>41</v>
      </c>
      <c r="F354" s="62">
        <f>IF(B354="","",--(COUNTIF(CN_Brands!$A$2:$A$300,UPPER(B354))&gt;0))</f>
        <v>0</v>
      </c>
      <c r="G354" s="62" t="str">
        <f t="shared" si="23"/>
        <v>MPV</v>
      </c>
      <c r="H354" s="62" t="str">
        <f>IF(AND('Data Export'!A354=前十整体车型排名!$B$2,'Data Export'!B354=前十整体车型排名!$B$3,'Data Export'!D354&lt;&gt;""),UPPER('Data Export'!C354)&amp;"♦"&amp;'Data Export'!D354,"")</f>
        <v>KIA♦CARNIVAL</v>
      </c>
      <c r="I354" s="63">
        <f>IF(H354="","",IFERROR(INDEX('Data Export'!G354:CZ354,1,MATCH(前十整体车型排名!$B$4,'Data Export'!$G$1:$CZ$1,0)),0))</f>
        <v>3</v>
      </c>
      <c r="J354" s="62" t="str">
        <f>IF(H354="","",IF(OR('Data Export'!F354="三厢轿车",'Data Export'!F354="掀背轿车",'Data Export'!F354="旅行车",'Data Export'!F354="微型车",'Data Export'!F354="硬顶跑车",'Data Export'!F354="敞蓬车",'Data Export'!F354="Targa"),"轿车",IF(OR('Data Export'!F354="小型MPV",'Data Export'!F354="客车"),"MPV",IF('Data Export'!F354="运动型多功能车","SUV","其他"))))</f>
        <v>其他</v>
      </c>
      <c r="K354" s="62" t="str">
        <f>IF(OR(D354="",NOT(F354=1)),"",1+SUMPRODUCT(($F$2:$F$1001=1)*($D$2:$D$1001&gt;D354))+COUNTIFS($F$2:F354,1,$D$2:D354,D354)-1)</f>
        <v/>
      </c>
      <c r="L354" s="62" t="str">
        <f>IF(OR(D354="",NOT(G354="轿车")),"",1+SUMPRODUCT(($G$2:$G$1001="轿车")*($D$2:$D$1001&gt;D354))+COUNTIFS($G$2:G354,"轿车",$D$2:D354,D354)-1)</f>
        <v/>
      </c>
      <c r="M354" s="62">
        <f>IF(OR(D354="",NOT(G354="MPV")),"",1+SUMPRODUCT(($G$2:$G$1001="MPV")*($D$2:$D$1001&gt;D354))+COUNTIFS($G$2:G354,"MPV",$D$2:D354,D354)-1)</f>
        <v>1</v>
      </c>
      <c r="N354" s="62" t="str">
        <f>IF(OR(D354="",NOT(G354="SUV")),"",1+SUMPRODUCT(($G$2:$G$1001="SUV")*($D$2:$D$1001&gt;D354))+COUNTIFS($G$2:G354,"SUV",$D$2:D354,D354)-1)</f>
        <v/>
      </c>
      <c r="O354" s="62" t="str">
        <f>IF(OR(D354="",NOT(AND(F354=1,G354="轿车"))),"",1+SUMPRODUCT(($F$2:$F$1001=1)*($G$2:$G$1001="轿车")*($D$2:$D$1001&gt;D354))+COUNTIFS($F$2:F354,1,$G$2:G354,"轿车",$D$2:D354,D354)-1)</f>
        <v/>
      </c>
      <c r="P354" s="62" t="str">
        <f>IF(OR(D354="",NOT(AND(F354=1,G354="MPV"))),"",1+SUMPRODUCT(($F$2:$F$1001=1)*($G$2:$G$1001="MPV")*($D$2:$D$1001&gt;D354))+COUNTIFS($F$2:F354,1,$G$2:G354,"MPV",$D$2:D354,D354)-1)</f>
        <v/>
      </c>
      <c r="Q354" s="62" t="str">
        <f>IF(OR(D354="",NOT(AND(F354=1,G354="SUV"))),"",1+SUMPRODUCT(($F$2:$F$1001=1)*($G$2:$G$1001="SUV")*($D$2:$D$1001&gt;D354))+COUNTIFS($F$2:F354,1,$G$2:G354,"SUV",$D$2:D354,D354)-1)</f>
        <v/>
      </c>
    </row>
    <row r="355" spans="1:17">
      <c r="A355" s="62" t="str">
        <f>IFERROR(INDEX($H$2:$H$3000,MATCH(0,INDEX(COUNTIF($A$1:A354,$H$2:$H$3000)+($H$2:$H$3000=""),0,0),0)),"")</f>
        <v>TOYOTA♦VIOS</v>
      </c>
      <c r="B355" s="62" t="str">
        <f t="shared" si="20"/>
        <v>TOYOTA</v>
      </c>
      <c r="C355" s="62" t="str">
        <f t="shared" si="21"/>
        <v>VIOS</v>
      </c>
      <c r="D355" s="63">
        <f t="shared" si="22"/>
        <v>0</v>
      </c>
      <c r="E355" s="62">
        <f>IF(D355="","",_xlfn.RANK.EQ(D355,$D$2:$D$1001,0)+COUNTIF($D$2:D355,D355)-1)</f>
        <v>383</v>
      </c>
      <c r="F355" s="62">
        <f>IF(B355="","",--(COUNTIF(CN_Brands!$A$2:$A$300,UPPER(B355))&gt;0))</f>
        <v>0</v>
      </c>
      <c r="G355" s="62" t="str">
        <f t="shared" si="23"/>
        <v>轿车</v>
      </c>
      <c r="H355" s="62" t="str">
        <f>IF(AND('Data Export'!A355=前十整体车型排名!$B$2,'Data Export'!B355=前十整体车型排名!$B$3,'Data Export'!D355&lt;&gt;""),UPPER('Data Export'!C355)&amp;"♦"&amp;'Data Export'!D355,"")</f>
        <v>KIA♦EV5</v>
      </c>
      <c r="I355" s="63">
        <f>IF(H355="","",IFERROR(INDEX('Data Export'!G355:CZ355,1,MATCH(前十整体车型排名!$B$4,'Data Export'!$G$1:$CZ$1,0)),0))</f>
        <v>52</v>
      </c>
      <c r="J355" s="62" t="str">
        <f>IF(H355="","",IF(OR('Data Export'!F355="三厢轿车",'Data Export'!F355="掀背轿车",'Data Export'!F355="旅行车",'Data Export'!F355="微型车",'Data Export'!F355="硬顶跑车",'Data Export'!F355="敞蓬车",'Data Export'!F355="Targa"),"轿车",IF(OR('Data Export'!F355="小型MPV",'Data Export'!F355="客车"),"MPV",IF('Data Export'!F355="运动型多功能车","SUV","其他"))))</f>
        <v>SUV</v>
      </c>
      <c r="K355" s="62" t="str">
        <f>IF(OR(D355="",NOT(F355=1)),"",1+SUMPRODUCT(($F$2:$F$1001=1)*($D$2:$D$1001&gt;D355))+COUNTIFS($F$2:F355,1,$D$2:D355,D355)-1)</f>
        <v/>
      </c>
      <c r="L355" s="62">
        <f>IF(OR(D355="",NOT(G355="轿车")),"",1+SUMPRODUCT(($G$2:$G$1001="轿车")*($D$2:$D$1001&gt;D355))+COUNTIFS($G$2:G355,"轿车",$D$2:D355,D355)-1)</f>
        <v>136</v>
      </c>
      <c r="M355" s="62" t="str">
        <f>IF(OR(D355="",NOT(G355="MPV")),"",1+SUMPRODUCT(($G$2:$G$1001="MPV")*($D$2:$D$1001&gt;D355))+COUNTIFS($G$2:G355,"MPV",$D$2:D355,D355)-1)</f>
        <v/>
      </c>
      <c r="N355" s="62" t="str">
        <f>IF(OR(D355="",NOT(G355="SUV")),"",1+SUMPRODUCT(($G$2:$G$1001="SUV")*($D$2:$D$1001&gt;D355))+COUNTIFS($G$2:G355,"SUV",$D$2:D355,D355)-1)</f>
        <v/>
      </c>
      <c r="O355" s="62" t="str">
        <f>IF(OR(D355="",NOT(AND(F355=1,G355="轿车"))),"",1+SUMPRODUCT(($F$2:$F$1001=1)*($G$2:$G$1001="轿车")*($D$2:$D$1001&gt;D355))+COUNTIFS($F$2:F355,1,$G$2:G355,"轿车",$D$2:D355,D355)-1)</f>
        <v/>
      </c>
      <c r="P355" s="62" t="str">
        <f>IF(OR(D355="",NOT(AND(F355=1,G355="MPV"))),"",1+SUMPRODUCT(($F$2:$F$1001=1)*($G$2:$G$1001="MPV")*($D$2:$D$1001&gt;D355))+COUNTIFS($F$2:F355,1,$G$2:G355,"MPV",$D$2:D355,D355)-1)</f>
        <v/>
      </c>
      <c r="Q355" s="62" t="str">
        <f>IF(OR(D355="",NOT(AND(F355=1,G355="SUV"))),"",1+SUMPRODUCT(($F$2:$F$1001=1)*($G$2:$G$1001="SUV")*($D$2:$D$1001&gt;D355))+COUNTIFS($F$2:F355,1,$G$2:G355,"SUV",$D$2:D355,D355)-1)</f>
        <v/>
      </c>
    </row>
    <row r="356" spans="1:17">
      <c r="A356" s="62" t="str">
        <f>IFERROR(INDEX($H$2:$H$3000,MATCH(0,INDEX(COUNTIF($A$1:A355,$H$2:$H$3000)+($H$2:$H$3000=""),0,0),0)),"")</f>
        <v>TOYOTA♦VOXY</v>
      </c>
      <c r="B356" s="62" t="str">
        <f t="shared" si="20"/>
        <v>TOYOTA</v>
      </c>
      <c r="C356" s="62" t="str">
        <f t="shared" si="21"/>
        <v>VOXY</v>
      </c>
      <c r="D356" s="63">
        <f t="shared" si="22"/>
        <v>4</v>
      </c>
      <c r="E356" s="62">
        <f>IF(D356="","",_xlfn.RANK.EQ(D356,$D$2:$D$1001,0)+COUNTIF($D$2:D356,D356)-1)</f>
        <v>183</v>
      </c>
      <c r="F356" s="62">
        <f>IF(B356="","",--(COUNTIF(CN_Brands!$A$2:$A$300,UPPER(B356))&gt;0))</f>
        <v>0</v>
      </c>
      <c r="G356" s="62" t="str">
        <f t="shared" si="23"/>
        <v>其他</v>
      </c>
      <c r="H356" s="62" t="str">
        <f>IF(AND('Data Export'!A356=前十整体车型排名!$B$2,'Data Export'!B356=前十整体车型排名!$B$3,'Data Export'!D356&lt;&gt;""),UPPER('Data Export'!C356)&amp;"♦"&amp;'Data Export'!D356,"")</f>
        <v>KIA♦EV9</v>
      </c>
      <c r="I356" s="63">
        <f>IF(H356="","",IFERROR(INDEX('Data Export'!G356:CZ356,1,MATCH(前十整体车型排名!$B$4,'Data Export'!$G$1:$CZ$1,0)),0))</f>
        <v>1</v>
      </c>
      <c r="J356" s="62" t="str">
        <f>IF(H356="","",IF(OR('Data Export'!F356="三厢轿车",'Data Export'!F356="掀背轿车",'Data Export'!F356="旅行车",'Data Export'!F356="微型车",'Data Export'!F356="硬顶跑车",'Data Export'!F356="敞蓬车",'Data Export'!F356="Targa"),"轿车",IF(OR('Data Export'!F356="小型MPV",'Data Export'!F356="客车"),"MPV",IF('Data Export'!F356="运动型多功能车","SUV","其他"))))</f>
        <v>SUV</v>
      </c>
      <c r="K356" s="62" t="str">
        <f>IF(OR(D356="",NOT(F356=1)),"",1+SUMPRODUCT(($F$2:$F$1001=1)*($D$2:$D$1001&gt;D356))+COUNTIFS($F$2:F356,1,$D$2:D356,D356)-1)</f>
        <v/>
      </c>
      <c r="L356" s="62" t="str">
        <f>IF(OR(D356="",NOT(G356="轿车")),"",1+SUMPRODUCT(($G$2:$G$1001="轿车")*($D$2:$D$1001&gt;D356))+COUNTIFS($G$2:G356,"轿车",$D$2:D356,D356)-1)</f>
        <v/>
      </c>
      <c r="M356" s="62" t="str">
        <f>IF(OR(D356="",NOT(G356="MPV")),"",1+SUMPRODUCT(($G$2:$G$1001="MPV")*($D$2:$D$1001&gt;D356))+COUNTIFS($G$2:G356,"MPV",$D$2:D356,D356)-1)</f>
        <v/>
      </c>
      <c r="N356" s="62" t="str">
        <f>IF(OR(D356="",NOT(G356="SUV")),"",1+SUMPRODUCT(($G$2:$G$1001="SUV")*($D$2:$D$1001&gt;D356))+COUNTIFS($G$2:G356,"SUV",$D$2:D356,D356)-1)</f>
        <v/>
      </c>
      <c r="O356" s="62" t="str">
        <f>IF(OR(D356="",NOT(AND(F356=1,G356="轿车"))),"",1+SUMPRODUCT(($F$2:$F$1001=1)*($G$2:$G$1001="轿车")*($D$2:$D$1001&gt;D356))+COUNTIFS($F$2:F356,1,$G$2:G356,"轿车",$D$2:D356,D356)-1)</f>
        <v/>
      </c>
      <c r="P356" s="62" t="str">
        <f>IF(OR(D356="",NOT(AND(F356=1,G356="MPV"))),"",1+SUMPRODUCT(($F$2:$F$1001=1)*($G$2:$G$1001="MPV")*($D$2:$D$1001&gt;D356))+COUNTIFS($F$2:F356,1,$G$2:G356,"MPV",$D$2:D356,D356)-1)</f>
        <v/>
      </c>
      <c r="Q356" s="62" t="str">
        <f>IF(OR(D356="",NOT(AND(F356=1,G356="SUV"))),"",1+SUMPRODUCT(($F$2:$F$1001=1)*($G$2:$G$1001="SUV")*($D$2:$D$1001&gt;D356))+COUNTIFS($F$2:F356,1,$G$2:G356,"SUV",$D$2:D356,D356)-1)</f>
        <v/>
      </c>
    </row>
    <row r="357" spans="1:17">
      <c r="A357" s="62" t="str">
        <f>IFERROR(INDEX($H$2:$H$3000,MATCH(0,INDEX(COUNTIF($A$1:A356,$H$2:$H$3000)+($H$2:$H$3000=""),0,0),0)),"")</f>
        <v>TOYOTA♦YARIS</v>
      </c>
      <c r="B357" s="62" t="str">
        <f t="shared" si="20"/>
        <v>TOYOTA</v>
      </c>
      <c r="C357" s="62" t="str">
        <f t="shared" si="21"/>
        <v>YARIS</v>
      </c>
      <c r="D357" s="63">
        <f t="shared" si="22"/>
        <v>332</v>
      </c>
      <c r="E357" s="62">
        <f>IF(D357="","",_xlfn.RANK.EQ(D357,$D$2:$D$1001,0)+COUNTIF($D$2:D357,D357)-1)</f>
        <v>38</v>
      </c>
      <c r="F357" s="62">
        <f>IF(B357="","",--(COUNTIF(CN_Brands!$A$2:$A$300,UPPER(B357))&gt;0))</f>
        <v>0</v>
      </c>
      <c r="G357" s="62" t="str">
        <f t="shared" si="23"/>
        <v>轿车</v>
      </c>
      <c r="H357" s="62" t="str">
        <f>IF(AND('Data Export'!A357=前十整体车型排名!$B$2,'Data Export'!B357=前十整体车型排名!$B$3,'Data Export'!D357&lt;&gt;""),UPPER('Data Export'!C357)&amp;"♦"&amp;'Data Export'!D357,"")</f>
        <v>KIA♦GRAND CARNIVAL</v>
      </c>
      <c r="I357" s="63">
        <f>IF(H357="","",IFERROR(INDEX('Data Export'!G357:CZ357,1,MATCH(前十整体车型排名!$B$4,'Data Export'!$G$1:$CZ$1,0)),0))</f>
        <v>0</v>
      </c>
      <c r="J357" s="62" t="str">
        <f>IF(H357="","",IF(OR('Data Export'!F357="三厢轿车",'Data Export'!F357="掀背轿车",'Data Export'!F357="旅行车",'Data Export'!F357="微型车",'Data Export'!F357="硬顶跑车",'Data Export'!F357="敞蓬车",'Data Export'!F357="Targa"),"轿车",IF(OR('Data Export'!F357="小型MPV",'Data Export'!F357="客车"),"MPV",IF('Data Export'!F357="运动型多功能车","SUV","其他"))))</f>
        <v>其他</v>
      </c>
      <c r="K357" s="62" t="str">
        <f>IF(OR(D357="",NOT(F357=1)),"",1+SUMPRODUCT(($F$2:$F$1001=1)*($D$2:$D$1001&gt;D357))+COUNTIFS($F$2:F357,1,$D$2:D357,D357)-1)</f>
        <v/>
      </c>
      <c r="L357" s="62">
        <f>IF(OR(D357="",NOT(G357="轿车")),"",1+SUMPRODUCT(($G$2:$G$1001="轿车")*($D$2:$D$1001&gt;D357))+COUNTIFS($G$2:G357,"轿车",$D$2:D357,D357)-1)</f>
        <v>9</v>
      </c>
      <c r="M357" s="62" t="str">
        <f>IF(OR(D357="",NOT(G357="MPV")),"",1+SUMPRODUCT(($G$2:$G$1001="MPV")*($D$2:$D$1001&gt;D357))+COUNTIFS($G$2:G357,"MPV",$D$2:D357,D357)-1)</f>
        <v/>
      </c>
      <c r="N357" s="62" t="str">
        <f>IF(OR(D357="",NOT(G357="SUV")),"",1+SUMPRODUCT(($G$2:$G$1001="SUV")*($D$2:$D$1001&gt;D357))+COUNTIFS($G$2:G357,"SUV",$D$2:D357,D357)-1)</f>
        <v/>
      </c>
      <c r="O357" s="62" t="str">
        <f>IF(OR(D357="",NOT(AND(F357=1,G357="轿车"))),"",1+SUMPRODUCT(($F$2:$F$1001=1)*($G$2:$G$1001="轿车")*($D$2:$D$1001&gt;D357))+COUNTIFS($F$2:F357,1,$G$2:G357,"轿车",$D$2:D357,D357)-1)</f>
        <v/>
      </c>
      <c r="P357" s="62" t="str">
        <f>IF(OR(D357="",NOT(AND(F357=1,G357="MPV"))),"",1+SUMPRODUCT(($F$2:$F$1001=1)*($G$2:$G$1001="MPV")*($D$2:$D$1001&gt;D357))+COUNTIFS($F$2:F357,1,$G$2:G357,"MPV",$D$2:D357,D357)-1)</f>
        <v/>
      </c>
      <c r="Q357" s="62" t="str">
        <f>IF(OR(D357="",NOT(AND(F357=1,G357="SUV"))),"",1+SUMPRODUCT(($F$2:$F$1001=1)*($G$2:$G$1001="SUV")*($D$2:$D$1001&gt;D357))+COUNTIFS($F$2:F357,1,$G$2:G357,"SUV",$D$2:D357,D357)-1)</f>
        <v/>
      </c>
    </row>
    <row r="358" spans="1:17">
      <c r="A358" s="62" t="str">
        <f>IFERROR(INDEX($H$2:$H$3000,MATCH(0,INDEX(COUNTIF($A$1:A357,$H$2:$H$3000)+($H$2:$H$3000=""),0,0),0)),"")</f>
        <v>TOYOTA♦YARIS ATIV</v>
      </c>
      <c r="B358" s="62" t="str">
        <f t="shared" si="20"/>
        <v>TOYOTA</v>
      </c>
      <c r="C358" s="62" t="str">
        <f t="shared" si="21"/>
        <v>YARIS ATIV</v>
      </c>
      <c r="D358" s="63">
        <f t="shared" si="22"/>
        <v>5691</v>
      </c>
      <c r="E358" s="62">
        <f>IF(D358="","",_xlfn.RANK.EQ(D358,$D$2:$D$1001,0)+COUNTIF($D$2:D358,D358)-1)</f>
        <v>1</v>
      </c>
      <c r="F358" s="62">
        <f>IF(B358="","",--(COUNTIF(CN_Brands!$A$2:$A$300,UPPER(B358))&gt;0))</f>
        <v>0</v>
      </c>
      <c r="G358" s="62" t="str">
        <f t="shared" si="23"/>
        <v>轿车</v>
      </c>
      <c r="H358" s="62" t="str">
        <f>IF(AND('Data Export'!A358=前十整体车型排名!$B$2,'Data Export'!B358=前十整体车型排名!$B$3,'Data Export'!D358&lt;&gt;""),UPPER('Data Export'!C358)&amp;"♦"&amp;'Data Export'!D358,"")</f>
        <v>KIA♦SORENTO</v>
      </c>
      <c r="I358" s="63">
        <f>IF(H358="","",IFERROR(INDEX('Data Export'!G358:CZ358,1,MATCH(前十整体车型排名!$B$4,'Data Export'!$G$1:$CZ$1,0)),0))</f>
        <v>8</v>
      </c>
      <c r="J358" s="62" t="str">
        <f>IF(H358="","",IF(OR('Data Export'!F358="三厢轿车",'Data Export'!F358="掀背轿车",'Data Export'!F358="旅行车",'Data Export'!F358="微型车",'Data Export'!F358="硬顶跑车",'Data Export'!F358="敞蓬车",'Data Export'!F358="Targa"),"轿车",IF(OR('Data Export'!F358="小型MPV",'Data Export'!F358="客车"),"MPV",IF('Data Export'!F358="运动型多功能车","SUV","其他"))))</f>
        <v>SUV</v>
      </c>
      <c r="K358" s="62" t="str">
        <f>IF(OR(D358="",NOT(F358=1)),"",1+SUMPRODUCT(($F$2:$F$1001=1)*($D$2:$D$1001&gt;D358))+COUNTIFS($F$2:F358,1,$D$2:D358,D358)-1)</f>
        <v/>
      </c>
      <c r="L358" s="62">
        <f>IF(OR(D358="",NOT(G358="轿车")),"",1+SUMPRODUCT(($G$2:$G$1001="轿车")*($D$2:$D$1001&gt;D358))+COUNTIFS($G$2:G358,"轿车",$D$2:D358,D358)-1)</f>
        <v>1</v>
      </c>
      <c r="M358" s="62" t="str">
        <f>IF(OR(D358="",NOT(G358="MPV")),"",1+SUMPRODUCT(($G$2:$G$1001="MPV")*($D$2:$D$1001&gt;D358))+COUNTIFS($G$2:G358,"MPV",$D$2:D358,D358)-1)</f>
        <v/>
      </c>
      <c r="N358" s="62" t="str">
        <f>IF(OR(D358="",NOT(G358="SUV")),"",1+SUMPRODUCT(($G$2:$G$1001="SUV")*($D$2:$D$1001&gt;D358))+COUNTIFS($G$2:G358,"SUV",$D$2:D358,D358)-1)</f>
        <v/>
      </c>
      <c r="O358" s="62" t="str">
        <f>IF(OR(D358="",NOT(AND(F358=1,G358="轿车"))),"",1+SUMPRODUCT(($F$2:$F$1001=1)*($G$2:$G$1001="轿车")*($D$2:$D$1001&gt;D358))+COUNTIFS($F$2:F358,1,$G$2:G358,"轿车",$D$2:D358,D358)-1)</f>
        <v/>
      </c>
      <c r="P358" s="62" t="str">
        <f>IF(OR(D358="",NOT(AND(F358=1,G358="MPV"))),"",1+SUMPRODUCT(($F$2:$F$1001=1)*($G$2:$G$1001="MPV")*($D$2:$D$1001&gt;D358))+COUNTIFS($F$2:F358,1,$G$2:G358,"MPV",$D$2:D358,D358)-1)</f>
        <v/>
      </c>
      <c r="Q358" s="62" t="str">
        <f>IF(OR(D358="",NOT(AND(F358=1,G358="SUV"))),"",1+SUMPRODUCT(($F$2:$F$1001=1)*($G$2:$G$1001="SUV")*($D$2:$D$1001&gt;D358))+COUNTIFS($F$2:F358,1,$G$2:G358,"SUV",$D$2:D358,D358)-1)</f>
        <v/>
      </c>
    </row>
    <row r="359" spans="1:17">
      <c r="A359" s="62" t="str">
        <f>IFERROR(INDEX($H$2:$H$3000,MATCH(0,INDEX(COUNTIF($A$1:A358,$H$2:$H$3000)+($H$2:$H$3000=""),0,0),0)),"")</f>
        <v>TOYOTA♦YARIS CROSS</v>
      </c>
      <c r="B359" s="62" t="str">
        <f t="shared" si="20"/>
        <v>TOYOTA</v>
      </c>
      <c r="C359" s="62" t="str">
        <f t="shared" si="21"/>
        <v>YARIS CROSS</v>
      </c>
      <c r="D359" s="63">
        <f t="shared" si="22"/>
        <v>2671</v>
      </c>
      <c r="E359" s="62">
        <f>IF(D359="","",_xlfn.RANK.EQ(D359,$D$2:$D$1001,0)+COUNTIF($D$2:D359,D359)-1)</f>
        <v>2</v>
      </c>
      <c r="F359" s="62">
        <f>IF(B359="","",--(COUNTIF(CN_Brands!$A$2:$A$300,UPPER(B359))&gt;0))</f>
        <v>0</v>
      </c>
      <c r="G359" s="62" t="str">
        <f t="shared" si="23"/>
        <v>SUV</v>
      </c>
      <c r="H359" s="62" t="str">
        <f>IF(AND('Data Export'!A359=前十整体车型排名!$B$2,'Data Export'!B359=前十整体车型排名!$B$3,'Data Export'!D359&lt;&gt;""),UPPER('Data Export'!C359)&amp;"♦"&amp;'Data Export'!D359,"")</f>
        <v>LAMBORGHINI♦HURACAN</v>
      </c>
      <c r="I359" s="63">
        <f>IF(H359="","",IFERROR(INDEX('Data Export'!G359:CZ359,1,MATCH(前十整体车型排名!$B$4,'Data Export'!$G$1:$CZ$1,0)),0))</f>
        <v>0</v>
      </c>
      <c r="J359" s="62" t="str">
        <f>IF(H359="","",IF(OR('Data Export'!F359="三厢轿车",'Data Export'!F359="掀背轿车",'Data Export'!F359="旅行车",'Data Export'!F359="微型车",'Data Export'!F359="硬顶跑车",'Data Export'!F359="敞蓬车",'Data Export'!F359="Targa"),"轿车",IF(OR('Data Export'!F359="小型MPV",'Data Export'!F359="客车"),"MPV",IF('Data Export'!F359="运动型多功能车","SUV","其他"))))</f>
        <v>轿车</v>
      </c>
      <c r="K359" s="62" t="str">
        <f>IF(OR(D359="",NOT(F359=1)),"",1+SUMPRODUCT(($F$2:$F$1001=1)*($D$2:$D$1001&gt;D359))+COUNTIFS($F$2:F359,1,$D$2:D359,D359)-1)</f>
        <v/>
      </c>
      <c r="L359" s="62" t="str">
        <f>IF(OR(D359="",NOT(G359="轿车")),"",1+SUMPRODUCT(($G$2:$G$1001="轿车")*($D$2:$D$1001&gt;D359))+COUNTIFS($G$2:G359,"轿车",$D$2:D359,D359)-1)</f>
        <v/>
      </c>
      <c r="M359" s="62" t="str">
        <f>IF(OR(D359="",NOT(G359="MPV")),"",1+SUMPRODUCT(($G$2:$G$1001="MPV")*($D$2:$D$1001&gt;D359))+COUNTIFS($G$2:G359,"MPV",$D$2:D359,D359)-1)</f>
        <v/>
      </c>
      <c r="N359" s="62">
        <f>IF(OR(D359="",NOT(G359="SUV")),"",1+SUMPRODUCT(($G$2:$G$1001="SUV")*($D$2:$D$1001&gt;D359))+COUNTIFS($G$2:G359,"SUV",$D$2:D359,D359)-1)</f>
        <v>1</v>
      </c>
      <c r="O359" s="62" t="str">
        <f>IF(OR(D359="",NOT(AND(F359=1,G359="轿车"))),"",1+SUMPRODUCT(($F$2:$F$1001=1)*($G$2:$G$1001="轿车")*($D$2:$D$1001&gt;D359))+COUNTIFS($F$2:F359,1,$G$2:G359,"轿车",$D$2:D359,D359)-1)</f>
        <v/>
      </c>
      <c r="P359" s="62" t="str">
        <f>IF(OR(D359="",NOT(AND(F359=1,G359="MPV"))),"",1+SUMPRODUCT(($F$2:$F$1001=1)*($G$2:$G$1001="MPV")*($D$2:$D$1001&gt;D359))+COUNTIFS($F$2:F359,1,$G$2:G359,"MPV",$D$2:D359,D359)-1)</f>
        <v/>
      </c>
      <c r="Q359" s="62" t="str">
        <f>IF(OR(D359="",NOT(AND(F359=1,G359="SUV"))),"",1+SUMPRODUCT(($F$2:$F$1001=1)*($G$2:$G$1001="SUV")*($D$2:$D$1001&gt;D359))+COUNTIFS($F$2:F359,1,$G$2:G359,"SUV",$D$2:D359,D359)-1)</f>
        <v/>
      </c>
    </row>
    <row r="360" spans="1:17">
      <c r="A360" s="62" t="str">
        <f>IFERROR(INDEX($H$2:$H$3000,MATCH(0,INDEX(COUNTIF($A$1:A359,$H$2:$H$3000)+($H$2:$H$3000=""),0,0),0)),"")</f>
        <v>VIAUTO♦BOMA</v>
      </c>
      <c r="B360" s="62" t="str">
        <f t="shared" si="20"/>
        <v>VIAUTO</v>
      </c>
      <c r="C360" s="62" t="str">
        <f t="shared" si="21"/>
        <v>BOMA</v>
      </c>
      <c r="D360" s="63">
        <f t="shared" si="22"/>
        <v>1</v>
      </c>
      <c r="E360" s="62">
        <f>IF(D360="","",_xlfn.RANK.EQ(D360,$D$2:$D$1001,0)+COUNTIF($D$2:D360,D360)-1)</f>
        <v>259</v>
      </c>
      <c r="F360" s="62">
        <f>IF(B360="","",--(COUNTIF(CN_Brands!$A$2:$A$300,UPPER(B360))&gt;0))</f>
        <v>0</v>
      </c>
      <c r="G360" s="62" t="str">
        <f t="shared" si="23"/>
        <v>其他</v>
      </c>
      <c r="H360" s="62" t="str">
        <f>IF(AND('Data Export'!A360=前十整体车型排名!$B$2,'Data Export'!B360=前十整体车型排名!$B$3,'Data Export'!D360&lt;&gt;""),UPPER('Data Export'!C360)&amp;"♦"&amp;'Data Export'!D360,"")</f>
        <v>LAMBORGHINI♦HURACAN</v>
      </c>
      <c r="I360" s="63">
        <f>IF(H360="","",IFERROR(INDEX('Data Export'!G360:CZ360,1,MATCH(前十整体车型排名!$B$4,'Data Export'!$G$1:$CZ$1,0)),0))</f>
        <v>0</v>
      </c>
      <c r="J360" s="62" t="str">
        <f>IF(H360="","",IF(OR('Data Export'!F360="三厢轿车",'Data Export'!F360="掀背轿车",'Data Export'!F360="旅行车",'Data Export'!F360="微型车",'Data Export'!F360="硬顶跑车",'Data Export'!F360="敞蓬车",'Data Export'!F360="Targa"),"轿车",IF(OR('Data Export'!F360="小型MPV",'Data Export'!F360="客车"),"MPV",IF('Data Export'!F360="运动型多功能车","SUV","其他"))))</f>
        <v>轿车</v>
      </c>
      <c r="K360" s="62" t="str">
        <f>IF(OR(D360="",NOT(F360=1)),"",1+SUMPRODUCT(($F$2:$F$1001=1)*($D$2:$D$1001&gt;D360))+COUNTIFS($F$2:F360,1,$D$2:D360,D360)-1)</f>
        <v/>
      </c>
      <c r="L360" s="62" t="str">
        <f>IF(OR(D360="",NOT(G360="轿车")),"",1+SUMPRODUCT(($G$2:$G$1001="轿车")*($D$2:$D$1001&gt;D360))+COUNTIFS($G$2:G360,"轿车",$D$2:D360,D360)-1)</f>
        <v/>
      </c>
      <c r="M360" s="62" t="str">
        <f>IF(OR(D360="",NOT(G360="MPV")),"",1+SUMPRODUCT(($G$2:$G$1001="MPV")*($D$2:$D$1001&gt;D360))+COUNTIFS($G$2:G360,"MPV",$D$2:D360,D360)-1)</f>
        <v/>
      </c>
      <c r="N360" s="62" t="str">
        <f>IF(OR(D360="",NOT(G360="SUV")),"",1+SUMPRODUCT(($G$2:$G$1001="SUV")*($D$2:$D$1001&gt;D360))+COUNTIFS($G$2:G360,"SUV",$D$2:D360,D360)-1)</f>
        <v/>
      </c>
      <c r="O360" s="62" t="str">
        <f>IF(OR(D360="",NOT(AND(F360=1,G360="轿车"))),"",1+SUMPRODUCT(($F$2:$F$1001=1)*($G$2:$G$1001="轿车")*($D$2:$D$1001&gt;D360))+COUNTIFS($F$2:F360,1,$G$2:G360,"轿车",$D$2:D360,D360)-1)</f>
        <v/>
      </c>
      <c r="P360" s="62" t="str">
        <f>IF(OR(D360="",NOT(AND(F360=1,G360="MPV"))),"",1+SUMPRODUCT(($F$2:$F$1001=1)*($G$2:$G$1001="MPV")*($D$2:$D$1001&gt;D360))+COUNTIFS($F$2:F360,1,$G$2:G360,"MPV",$D$2:D360,D360)-1)</f>
        <v/>
      </c>
      <c r="Q360" s="62" t="str">
        <f>IF(OR(D360="",NOT(AND(F360=1,G360="SUV"))),"",1+SUMPRODUCT(($F$2:$F$1001=1)*($G$2:$G$1001="SUV")*($D$2:$D$1001&gt;D360))+COUNTIFS($F$2:F360,1,$G$2:G360,"SUV",$D$2:D360,D360)-1)</f>
        <v/>
      </c>
    </row>
    <row r="361" spans="1:17">
      <c r="A361" s="62" t="str">
        <f>IFERROR(INDEX($H$2:$H$3000,MATCH(0,INDEX(COUNTIF($A$1:A360,$H$2:$H$3000)+($H$2:$H$3000=""),0,0),0)),"")</f>
        <v>VOLKSWAGEN♦CADDY</v>
      </c>
      <c r="B361" s="62" t="str">
        <f t="shared" si="20"/>
        <v>VOLKSWAGEN</v>
      </c>
      <c r="C361" s="62" t="str">
        <f t="shared" si="21"/>
        <v>CADDY</v>
      </c>
      <c r="D361" s="63">
        <f t="shared" si="22"/>
        <v>2</v>
      </c>
      <c r="E361" s="62">
        <f>IF(D361="","",_xlfn.RANK.EQ(D361,$D$2:$D$1001,0)+COUNTIF($D$2:D361,D361)-1)</f>
        <v>214</v>
      </c>
      <c r="F361" s="62">
        <f>IF(B361="","",--(COUNTIF(CN_Brands!$A$2:$A$300,UPPER(B361))&gt;0))</f>
        <v>0</v>
      </c>
      <c r="G361" s="62" t="str">
        <f t="shared" si="23"/>
        <v>其他</v>
      </c>
      <c r="H361" s="62" t="str">
        <f>IF(AND('Data Export'!A361=前十整体车型排名!$B$2,'Data Export'!B361=前十整体车型排名!$B$3,'Data Export'!D361&lt;&gt;""),UPPER('Data Export'!C361)&amp;"♦"&amp;'Data Export'!D361,"")</f>
        <v>LAMBORGHINI♦HURACAN</v>
      </c>
      <c r="I361" s="63">
        <f>IF(H361="","",IFERROR(INDEX('Data Export'!G361:CZ361,1,MATCH(前十整体车型排名!$B$4,'Data Export'!$G$1:$CZ$1,0)),0))</f>
        <v>0</v>
      </c>
      <c r="J361" s="62" t="str">
        <f>IF(H361="","",IF(OR('Data Export'!F361="三厢轿车",'Data Export'!F361="掀背轿车",'Data Export'!F361="旅行车",'Data Export'!F361="微型车",'Data Export'!F361="硬顶跑车",'Data Export'!F361="敞蓬车",'Data Export'!F361="Targa"),"轿车",IF(OR('Data Export'!F361="小型MPV",'Data Export'!F361="客车"),"MPV",IF('Data Export'!F361="运动型多功能车","SUV","其他"))))</f>
        <v>轿车</v>
      </c>
      <c r="K361" s="62" t="str">
        <f>IF(OR(D361="",NOT(F361=1)),"",1+SUMPRODUCT(($F$2:$F$1001=1)*($D$2:$D$1001&gt;D361))+COUNTIFS($F$2:F361,1,$D$2:D361,D361)-1)</f>
        <v/>
      </c>
      <c r="L361" s="62" t="str">
        <f>IF(OR(D361="",NOT(G361="轿车")),"",1+SUMPRODUCT(($G$2:$G$1001="轿车")*($D$2:$D$1001&gt;D361))+COUNTIFS($G$2:G361,"轿车",$D$2:D361,D361)-1)</f>
        <v/>
      </c>
      <c r="M361" s="62" t="str">
        <f>IF(OR(D361="",NOT(G361="MPV")),"",1+SUMPRODUCT(($G$2:$G$1001="MPV")*($D$2:$D$1001&gt;D361))+COUNTIFS($G$2:G361,"MPV",$D$2:D361,D361)-1)</f>
        <v/>
      </c>
      <c r="N361" s="62" t="str">
        <f>IF(OR(D361="",NOT(G361="SUV")),"",1+SUMPRODUCT(($G$2:$G$1001="SUV")*($D$2:$D$1001&gt;D361))+COUNTIFS($G$2:G361,"SUV",$D$2:D361,D361)-1)</f>
        <v/>
      </c>
      <c r="O361" s="62" t="str">
        <f>IF(OR(D361="",NOT(AND(F361=1,G361="轿车"))),"",1+SUMPRODUCT(($F$2:$F$1001=1)*($G$2:$G$1001="轿车")*($D$2:$D$1001&gt;D361))+COUNTIFS($F$2:F361,1,$G$2:G361,"轿车",$D$2:D361,D361)-1)</f>
        <v/>
      </c>
      <c r="P361" s="62" t="str">
        <f>IF(OR(D361="",NOT(AND(F361=1,G361="MPV"))),"",1+SUMPRODUCT(($F$2:$F$1001=1)*($G$2:$G$1001="MPV")*($D$2:$D$1001&gt;D361))+COUNTIFS($F$2:F361,1,$G$2:G361,"MPV",$D$2:D361,D361)-1)</f>
        <v/>
      </c>
      <c r="Q361" s="62" t="str">
        <f>IF(OR(D361="",NOT(AND(F361=1,G361="SUV"))),"",1+SUMPRODUCT(($F$2:$F$1001=1)*($G$2:$G$1001="SUV")*($D$2:$D$1001&gt;D361))+COUNTIFS($F$2:F361,1,$G$2:G361,"SUV",$D$2:D361,D361)-1)</f>
        <v/>
      </c>
    </row>
    <row r="362" spans="1:17">
      <c r="A362" s="62" t="str">
        <f>IFERROR(INDEX($H$2:$H$3000,MATCH(0,INDEX(COUNTIF($A$1:A361,$H$2:$H$3000)+($H$2:$H$3000=""),0,0),0)),"")</f>
        <v>VOLKSWAGEN♦CARAVELLE</v>
      </c>
      <c r="B362" s="62" t="str">
        <f t="shared" si="20"/>
        <v>VOLKSWAGEN</v>
      </c>
      <c r="C362" s="62" t="str">
        <f t="shared" si="21"/>
        <v>CARAVELLE</v>
      </c>
      <c r="D362" s="63">
        <f t="shared" si="22"/>
        <v>2</v>
      </c>
      <c r="E362" s="62">
        <f>IF(D362="","",_xlfn.RANK.EQ(D362,$D$2:$D$1001,0)+COUNTIF($D$2:D362,D362)-1)</f>
        <v>215</v>
      </c>
      <c r="F362" s="62">
        <f>IF(B362="","",--(COUNTIF(CN_Brands!$A$2:$A$300,UPPER(B362))&gt;0))</f>
        <v>0</v>
      </c>
      <c r="G362" s="62" t="str">
        <f t="shared" si="23"/>
        <v>其他</v>
      </c>
      <c r="H362" s="62" t="str">
        <f>IF(AND('Data Export'!A362=前十整体车型排名!$B$2,'Data Export'!B362=前十整体车型排名!$B$3,'Data Export'!D362&lt;&gt;""),UPPER('Data Export'!C362)&amp;"♦"&amp;'Data Export'!D362,"")</f>
        <v>LAMBORGHINI♦HURACAN</v>
      </c>
      <c r="I362" s="63">
        <f>IF(H362="","",IFERROR(INDEX('Data Export'!G362:CZ362,1,MATCH(前十整体车型排名!$B$4,'Data Export'!$G$1:$CZ$1,0)),0))</f>
        <v>2</v>
      </c>
      <c r="J362" s="62" t="str">
        <f>IF(H362="","",IF(OR('Data Export'!F362="三厢轿车",'Data Export'!F362="掀背轿车",'Data Export'!F362="旅行车",'Data Export'!F362="微型车",'Data Export'!F362="硬顶跑车",'Data Export'!F362="敞蓬车",'Data Export'!F362="Targa"),"轿车",IF(OR('Data Export'!F362="小型MPV",'Data Export'!F362="客车"),"MPV",IF('Data Export'!F362="运动型多功能车","SUV","其他"))))</f>
        <v>轿车</v>
      </c>
      <c r="K362" s="62" t="str">
        <f>IF(OR(D362="",NOT(F362=1)),"",1+SUMPRODUCT(($F$2:$F$1001=1)*($D$2:$D$1001&gt;D362))+COUNTIFS($F$2:F362,1,$D$2:D362,D362)-1)</f>
        <v/>
      </c>
      <c r="L362" s="62" t="str">
        <f>IF(OR(D362="",NOT(G362="轿车")),"",1+SUMPRODUCT(($G$2:$G$1001="轿车")*($D$2:$D$1001&gt;D362))+COUNTIFS($G$2:G362,"轿车",$D$2:D362,D362)-1)</f>
        <v/>
      </c>
      <c r="M362" s="62" t="str">
        <f>IF(OR(D362="",NOT(G362="MPV")),"",1+SUMPRODUCT(($G$2:$G$1001="MPV")*($D$2:$D$1001&gt;D362))+COUNTIFS($G$2:G362,"MPV",$D$2:D362,D362)-1)</f>
        <v/>
      </c>
      <c r="N362" s="62" t="str">
        <f>IF(OR(D362="",NOT(G362="SUV")),"",1+SUMPRODUCT(($G$2:$G$1001="SUV")*($D$2:$D$1001&gt;D362))+COUNTIFS($G$2:G362,"SUV",$D$2:D362,D362)-1)</f>
        <v/>
      </c>
      <c r="O362" s="62" t="str">
        <f>IF(OR(D362="",NOT(AND(F362=1,G362="轿车"))),"",1+SUMPRODUCT(($F$2:$F$1001=1)*($G$2:$G$1001="轿车")*($D$2:$D$1001&gt;D362))+COUNTIFS($F$2:F362,1,$G$2:G362,"轿车",$D$2:D362,D362)-1)</f>
        <v/>
      </c>
      <c r="P362" s="62" t="str">
        <f>IF(OR(D362="",NOT(AND(F362=1,G362="MPV"))),"",1+SUMPRODUCT(($F$2:$F$1001=1)*($G$2:$G$1001="MPV")*($D$2:$D$1001&gt;D362))+COUNTIFS($F$2:F362,1,$G$2:G362,"MPV",$D$2:D362,D362)-1)</f>
        <v/>
      </c>
      <c r="Q362" s="62" t="str">
        <f>IF(OR(D362="",NOT(AND(F362=1,G362="SUV"))),"",1+SUMPRODUCT(($F$2:$F$1001=1)*($G$2:$G$1001="SUV")*($D$2:$D$1001&gt;D362))+COUNTIFS($F$2:F362,1,$G$2:G362,"SUV",$D$2:D362,D362)-1)</f>
        <v/>
      </c>
    </row>
    <row r="363" spans="1:17">
      <c r="A363" s="62" t="str">
        <f>IFERROR(INDEX($H$2:$H$3000,MATCH(0,INDEX(COUNTIF($A$1:A362,$H$2:$H$3000)+($H$2:$H$3000=""),0,0),0)),"")</f>
        <v>VOLKSWAGEN♦GOLF</v>
      </c>
      <c r="B363" s="62" t="str">
        <f t="shared" si="20"/>
        <v>VOLKSWAGEN</v>
      </c>
      <c r="C363" s="62" t="str">
        <f t="shared" si="21"/>
        <v>GOLF</v>
      </c>
      <c r="D363" s="63">
        <f t="shared" si="22"/>
        <v>1</v>
      </c>
      <c r="E363" s="62">
        <f>IF(D363="","",_xlfn.RANK.EQ(D363,$D$2:$D$1001,0)+COUNTIF($D$2:D363,D363)-1)</f>
        <v>260</v>
      </c>
      <c r="F363" s="62">
        <f>IF(B363="","",--(COUNTIF(CN_Brands!$A$2:$A$300,UPPER(B363))&gt;0))</f>
        <v>0</v>
      </c>
      <c r="G363" s="62" t="str">
        <f t="shared" si="23"/>
        <v>轿车</v>
      </c>
      <c r="H363" s="62" t="str">
        <f>IF(AND('Data Export'!A363=前十整体车型排名!$B$2,'Data Export'!B363=前十整体车型排名!$B$3,'Data Export'!D363&lt;&gt;""),UPPER('Data Export'!C363)&amp;"♦"&amp;'Data Export'!D363,"")</f>
        <v>LAMBORGHINI♦HURACAN</v>
      </c>
      <c r="I363" s="63">
        <f>IF(H363="","",IFERROR(INDEX('Data Export'!G363:CZ363,1,MATCH(前十整体车型排名!$B$4,'Data Export'!$G$1:$CZ$1,0)),0))</f>
        <v>0</v>
      </c>
      <c r="J363" s="62" t="str">
        <f>IF(H363="","",IF(OR('Data Export'!F363="三厢轿车",'Data Export'!F363="掀背轿车",'Data Export'!F363="旅行车",'Data Export'!F363="微型车",'Data Export'!F363="硬顶跑车",'Data Export'!F363="敞蓬车",'Data Export'!F363="Targa"),"轿车",IF(OR('Data Export'!F363="小型MPV",'Data Export'!F363="客车"),"MPV",IF('Data Export'!F363="运动型多功能车","SUV","其他"))))</f>
        <v>其他</v>
      </c>
      <c r="K363" s="62" t="str">
        <f>IF(OR(D363="",NOT(F363=1)),"",1+SUMPRODUCT(($F$2:$F$1001=1)*($D$2:$D$1001&gt;D363))+COUNTIFS($F$2:F363,1,$D$2:D363,D363)-1)</f>
        <v/>
      </c>
      <c r="L363" s="62">
        <f>IF(OR(D363="",NOT(G363="轿车")),"",1+SUMPRODUCT(($G$2:$G$1001="轿车")*($D$2:$D$1001&gt;D363))+COUNTIFS($G$2:G363,"轿车",$D$2:D363,D363)-1)</f>
        <v>81</v>
      </c>
      <c r="M363" s="62" t="str">
        <f>IF(OR(D363="",NOT(G363="MPV")),"",1+SUMPRODUCT(($G$2:$G$1001="MPV")*($D$2:$D$1001&gt;D363))+COUNTIFS($G$2:G363,"MPV",$D$2:D363,D363)-1)</f>
        <v/>
      </c>
      <c r="N363" s="62" t="str">
        <f>IF(OR(D363="",NOT(G363="SUV")),"",1+SUMPRODUCT(($G$2:$G$1001="SUV")*($D$2:$D$1001&gt;D363))+COUNTIFS($G$2:G363,"SUV",$D$2:D363,D363)-1)</f>
        <v/>
      </c>
      <c r="O363" s="62" t="str">
        <f>IF(OR(D363="",NOT(AND(F363=1,G363="轿车"))),"",1+SUMPRODUCT(($F$2:$F$1001=1)*($G$2:$G$1001="轿车")*($D$2:$D$1001&gt;D363))+COUNTIFS($F$2:F363,1,$G$2:G363,"轿车",$D$2:D363,D363)-1)</f>
        <v/>
      </c>
      <c r="P363" s="62" t="str">
        <f>IF(OR(D363="",NOT(AND(F363=1,G363="MPV"))),"",1+SUMPRODUCT(($F$2:$F$1001=1)*($G$2:$G$1001="MPV")*($D$2:$D$1001&gt;D363))+COUNTIFS($F$2:F363,1,$G$2:G363,"MPV",$D$2:D363,D363)-1)</f>
        <v/>
      </c>
      <c r="Q363" s="62" t="str">
        <f>IF(OR(D363="",NOT(AND(F363=1,G363="SUV"))),"",1+SUMPRODUCT(($F$2:$F$1001=1)*($G$2:$G$1001="SUV")*($D$2:$D$1001&gt;D363))+COUNTIFS($F$2:F363,1,$G$2:G363,"SUV",$D$2:D363,D363)-1)</f>
        <v/>
      </c>
    </row>
    <row r="364" spans="1:17">
      <c r="A364" s="62" t="str">
        <f>IFERROR(INDEX($H$2:$H$3000,MATCH(0,INDEX(COUNTIF($A$1:A363,$H$2:$H$3000)+($H$2:$H$3000=""),0,0),0)),"")</f>
        <v>VOLKSWAGEN♦ID. BUZZ</v>
      </c>
      <c r="B364" s="62" t="str">
        <f t="shared" si="20"/>
        <v>VOLKSWAGEN</v>
      </c>
      <c r="C364" s="62" t="str">
        <f t="shared" si="21"/>
        <v>ID. BUZZ</v>
      </c>
      <c r="D364" s="63">
        <f t="shared" si="22"/>
        <v>0</v>
      </c>
      <c r="E364" s="62">
        <f>IF(D364="","",_xlfn.RANK.EQ(D364,$D$2:$D$1001,0)+COUNTIF($D$2:D364,D364)-1)</f>
        <v>384</v>
      </c>
      <c r="F364" s="62">
        <f>IF(B364="","",--(COUNTIF(CN_Brands!$A$2:$A$300,UPPER(B364))&gt;0))</f>
        <v>0</v>
      </c>
      <c r="G364" s="62" t="str">
        <f t="shared" si="23"/>
        <v>其他</v>
      </c>
      <c r="H364" s="62" t="str">
        <f>IF(AND('Data Export'!A364=前十整体车型排名!$B$2,'Data Export'!B364=前十整体车型排名!$B$3,'Data Export'!D364&lt;&gt;""),UPPER('Data Export'!C364)&amp;"♦"&amp;'Data Export'!D364,"")</f>
        <v>LAMBORGHINI♦HURACAN</v>
      </c>
      <c r="I364" s="63">
        <f>IF(H364="","",IFERROR(INDEX('Data Export'!G364:CZ364,1,MATCH(前十整体车型排名!$B$4,'Data Export'!$G$1:$CZ$1,0)),0))</f>
        <v>0</v>
      </c>
      <c r="J364" s="62" t="str">
        <f>IF(H364="","",IF(OR('Data Export'!F364="三厢轿车",'Data Export'!F364="掀背轿车",'Data Export'!F364="旅行车",'Data Export'!F364="微型车",'Data Export'!F364="硬顶跑车",'Data Export'!F364="敞蓬车",'Data Export'!F364="Targa"),"轿车",IF(OR('Data Export'!F364="小型MPV",'Data Export'!F364="客车"),"MPV",IF('Data Export'!F364="运动型多功能车","SUV","其他"))))</f>
        <v>轿车</v>
      </c>
      <c r="K364" s="62" t="str">
        <f>IF(OR(D364="",NOT(F364=1)),"",1+SUMPRODUCT(($F$2:$F$1001=1)*($D$2:$D$1001&gt;D364))+COUNTIFS($F$2:F364,1,$D$2:D364,D364)-1)</f>
        <v/>
      </c>
      <c r="L364" s="62" t="str">
        <f>IF(OR(D364="",NOT(G364="轿车")),"",1+SUMPRODUCT(($G$2:$G$1001="轿车")*($D$2:$D$1001&gt;D364))+COUNTIFS($G$2:G364,"轿车",$D$2:D364,D364)-1)</f>
        <v/>
      </c>
      <c r="M364" s="62" t="str">
        <f>IF(OR(D364="",NOT(G364="MPV")),"",1+SUMPRODUCT(($G$2:$G$1001="MPV")*($D$2:$D$1001&gt;D364))+COUNTIFS($G$2:G364,"MPV",$D$2:D364,D364)-1)</f>
        <v/>
      </c>
      <c r="N364" s="62" t="str">
        <f>IF(OR(D364="",NOT(G364="SUV")),"",1+SUMPRODUCT(($G$2:$G$1001="SUV")*($D$2:$D$1001&gt;D364))+COUNTIFS($G$2:G364,"SUV",$D$2:D364,D364)-1)</f>
        <v/>
      </c>
      <c r="O364" s="62" t="str">
        <f>IF(OR(D364="",NOT(AND(F364=1,G364="轿车"))),"",1+SUMPRODUCT(($F$2:$F$1001=1)*($G$2:$G$1001="轿车")*($D$2:$D$1001&gt;D364))+COUNTIFS($F$2:F364,1,$G$2:G364,"轿车",$D$2:D364,D364)-1)</f>
        <v/>
      </c>
      <c r="P364" s="62" t="str">
        <f>IF(OR(D364="",NOT(AND(F364=1,G364="MPV"))),"",1+SUMPRODUCT(($F$2:$F$1001=1)*($G$2:$G$1001="MPV")*($D$2:$D$1001&gt;D364))+COUNTIFS($F$2:F364,1,$G$2:G364,"MPV",$D$2:D364,D364)-1)</f>
        <v/>
      </c>
      <c r="Q364" s="62" t="str">
        <f>IF(OR(D364="",NOT(AND(F364=1,G364="SUV"))),"",1+SUMPRODUCT(($F$2:$F$1001=1)*($G$2:$G$1001="SUV")*($D$2:$D$1001&gt;D364))+COUNTIFS($F$2:F364,1,$G$2:G364,"SUV",$D$2:D364,D364)-1)</f>
        <v/>
      </c>
    </row>
    <row r="365" spans="1:17">
      <c r="A365" s="62" t="str">
        <f>IFERROR(INDEX($H$2:$H$3000,MATCH(0,INDEX(COUNTIF($A$1:A364,$H$2:$H$3000)+($H$2:$H$3000=""),0,0),0)),"")</f>
        <v>VOLKSWAGEN♦MULTIVAN</v>
      </c>
      <c r="B365" s="62" t="str">
        <f t="shared" si="20"/>
        <v>VOLKSWAGEN</v>
      </c>
      <c r="C365" s="62" t="str">
        <f t="shared" si="21"/>
        <v>MULTIVAN</v>
      </c>
      <c r="D365" s="63">
        <f t="shared" si="22"/>
        <v>0</v>
      </c>
      <c r="E365" s="62">
        <f>IF(D365="","",_xlfn.RANK.EQ(D365,$D$2:$D$1001,0)+COUNTIF($D$2:D365,D365)-1)</f>
        <v>385</v>
      </c>
      <c r="F365" s="62">
        <f>IF(B365="","",--(COUNTIF(CN_Brands!$A$2:$A$300,UPPER(B365))&gt;0))</f>
        <v>0</v>
      </c>
      <c r="G365" s="62" t="str">
        <f t="shared" si="23"/>
        <v>其他</v>
      </c>
      <c r="H365" s="62" t="str">
        <f>IF(AND('Data Export'!A365=前十整体车型排名!$B$2,'Data Export'!B365=前十整体车型排名!$B$3,'Data Export'!D365&lt;&gt;""),UPPER('Data Export'!C365)&amp;"♦"&amp;'Data Export'!D365,"")</f>
        <v>LAMBORGHINI♦HURACAN</v>
      </c>
      <c r="I365" s="63">
        <f>IF(H365="","",IFERROR(INDEX('Data Export'!G365:CZ365,1,MATCH(前十整体车型排名!$B$4,'Data Export'!$G$1:$CZ$1,0)),0))</f>
        <v>1</v>
      </c>
      <c r="J365" s="62" t="str">
        <f>IF(H365="","",IF(OR('Data Export'!F365="三厢轿车",'Data Export'!F365="掀背轿车",'Data Export'!F365="旅行车",'Data Export'!F365="微型车",'Data Export'!F365="硬顶跑车",'Data Export'!F365="敞蓬车",'Data Export'!F365="Targa"),"轿车",IF(OR('Data Export'!F365="小型MPV",'Data Export'!F365="客车"),"MPV",IF('Data Export'!F365="运动型多功能车","SUV","其他"))))</f>
        <v>其他</v>
      </c>
      <c r="K365" s="62" t="str">
        <f>IF(OR(D365="",NOT(F365=1)),"",1+SUMPRODUCT(($F$2:$F$1001=1)*($D$2:$D$1001&gt;D365))+COUNTIFS($F$2:F365,1,$D$2:D365,D365)-1)</f>
        <v/>
      </c>
      <c r="L365" s="62" t="str">
        <f>IF(OR(D365="",NOT(G365="轿车")),"",1+SUMPRODUCT(($G$2:$G$1001="轿车")*($D$2:$D$1001&gt;D365))+COUNTIFS($G$2:G365,"轿车",$D$2:D365,D365)-1)</f>
        <v/>
      </c>
      <c r="M365" s="62" t="str">
        <f>IF(OR(D365="",NOT(G365="MPV")),"",1+SUMPRODUCT(($G$2:$G$1001="MPV")*($D$2:$D$1001&gt;D365))+COUNTIFS($G$2:G365,"MPV",$D$2:D365,D365)-1)</f>
        <v/>
      </c>
      <c r="N365" s="62" t="str">
        <f>IF(OR(D365="",NOT(G365="SUV")),"",1+SUMPRODUCT(($G$2:$G$1001="SUV")*($D$2:$D$1001&gt;D365))+COUNTIFS($G$2:G365,"SUV",$D$2:D365,D365)-1)</f>
        <v/>
      </c>
      <c r="O365" s="62" t="str">
        <f>IF(OR(D365="",NOT(AND(F365=1,G365="轿车"))),"",1+SUMPRODUCT(($F$2:$F$1001=1)*($G$2:$G$1001="轿车")*($D$2:$D$1001&gt;D365))+COUNTIFS($F$2:F365,1,$G$2:G365,"轿车",$D$2:D365,D365)-1)</f>
        <v/>
      </c>
      <c r="P365" s="62" t="str">
        <f>IF(OR(D365="",NOT(AND(F365=1,G365="MPV"))),"",1+SUMPRODUCT(($F$2:$F$1001=1)*($G$2:$G$1001="MPV")*($D$2:$D$1001&gt;D365))+COUNTIFS($F$2:F365,1,$G$2:G365,"MPV",$D$2:D365,D365)-1)</f>
        <v/>
      </c>
      <c r="Q365" s="62" t="str">
        <f>IF(OR(D365="",NOT(AND(F365=1,G365="SUV"))),"",1+SUMPRODUCT(($F$2:$F$1001=1)*($G$2:$G$1001="SUV")*($D$2:$D$1001&gt;D365))+COUNTIFS($F$2:F365,1,$G$2:G365,"SUV",$D$2:D365,D365)-1)</f>
        <v/>
      </c>
    </row>
    <row r="366" spans="1:17">
      <c r="A366" s="62" t="str">
        <f>IFERROR(INDEX($H$2:$H$3000,MATCH(0,INDEX(COUNTIF($A$1:A365,$H$2:$H$3000)+($H$2:$H$3000=""),0,0),0)),"")</f>
        <v>VOLKSWAGEN♦T-CROSS</v>
      </c>
      <c r="B366" s="62" t="str">
        <f t="shared" si="20"/>
        <v>VOLKSWAGEN</v>
      </c>
      <c r="C366" s="62" t="str">
        <f t="shared" si="21"/>
        <v>T-CROSS</v>
      </c>
      <c r="D366" s="63">
        <f t="shared" si="22"/>
        <v>0</v>
      </c>
      <c r="E366" s="62">
        <f>IF(D366="","",_xlfn.RANK.EQ(D366,$D$2:$D$1001,0)+COUNTIF($D$2:D366,D366)-1)</f>
        <v>386</v>
      </c>
      <c r="F366" s="62">
        <f>IF(B366="","",--(COUNTIF(CN_Brands!$A$2:$A$300,UPPER(B366))&gt;0))</f>
        <v>0</v>
      </c>
      <c r="G366" s="62" t="str">
        <f t="shared" si="23"/>
        <v>SUV</v>
      </c>
      <c r="H366" s="62" t="str">
        <f>IF(AND('Data Export'!A366=前十整体车型排名!$B$2,'Data Export'!B366=前十整体车型排名!$B$3,'Data Export'!D366&lt;&gt;""),UPPER('Data Export'!C366)&amp;"♦"&amp;'Data Export'!D366,"")</f>
        <v>LAMBORGHINI♦REVUELTO</v>
      </c>
      <c r="I366" s="63">
        <f>IF(H366="","",IFERROR(INDEX('Data Export'!G366:CZ366,1,MATCH(前十整体车型排名!$B$4,'Data Export'!$G$1:$CZ$1,0)),0))</f>
        <v>0</v>
      </c>
      <c r="J366" s="62" t="str">
        <f>IF(H366="","",IF(OR('Data Export'!F366="三厢轿车",'Data Export'!F366="掀背轿车",'Data Export'!F366="旅行车",'Data Export'!F366="微型车",'Data Export'!F366="硬顶跑车",'Data Export'!F366="敞蓬车",'Data Export'!F366="Targa"),"轿车",IF(OR('Data Export'!F366="小型MPV",'Data Export'!F366="客车"),"MPV",IF('Data Export'!F366="运动型多功能车","SUV","其他"))))</f>
        <v>轿车</v>
      </c>
      <c r="K366" s="62" t="str">
        <f>IF(OR(D366="",NOT(F366=1)),"",1+SUMPRODUCT(($F$2:$F$1001=1)*($D$2:$D$1001&gt;D366))+COUNTIFS($F$2:F366,1,$D$2:D366,D366)-1)</f>
        <v/>
      </c>
      <c r="L366" s="62" t="str">
        <f>IF(OR(D366="",NOT(G366="轿车")),"",1+SUMPRODUCT(($G$2:$G$1001="轿车")*($D$2:$D$1001&gt;D366))+COUNTIFS($G$2:G366,"轿车",$D$2:D366,D366)-1)</f>
        <v/>
      </c>
      <c r="M366" s="62" t="str">
        <f>IF(OR(D366="",NOT(G366="MPV")),"",1+SUMPRODUCT(($G$2:$G$1001="MPV")*($D$2:$D$1001&gt;D366))+COUNTIFS($G$2:G366,"MPV",$D$2:D366,D366)-1)</f>
        <v/>
      </c>
      <c r="N366" s="62">
        <f>IF(OR(D366="",NOT(G366="SUV")),"",1+SUMPRODUCT(($G$2:$G$1001="SUV")*($D$2:$D$1001&gt;D366))+COUNTIFS($G$2:G366,"SUV",$D$2:D366,D366)-1)</f>
        <v>159</v>
      </c>
      <c r="O366" s="62" t="str">
        <f>IF(OR(D366="",NOT(AND(F366=1,G366="轿车"))),"",1+SUMPRODUCT(($F$2:$F$1001=1)*($G$2:$G$1001="轿车")*($D$2:$D$1001&gt;D366))+COUNTIFS($F$2:F366,1,$G$2:G366,"轿车",$D$2:D366,D366)-1)</f>
        <v/>
      </c>
      <c r="P366" s="62" t="str">
        <f>IF(OR(D366="",NOT(AND(F366=1,G366="MPV"))),"",1+SUMPRODUCT(($F$2:$F$1001=1)*($G$2:$G$1001="MPV")*($D$2:$D$1001&gt;D366))+COUNTIFS($F$2:F366,1,$G$2:G366,"MPV",$D$2:D366,D366)-1)</f>
        <v/>
      </c>
      <c r="Q366" s="62" t="str">
        <f>IF(OR(D366="",NOT(AND(F366=1,G366="SUV"))),"",1+SUMPRODUCT(($F$2:$F$1001=1)*($G$2:$G$1001="SUV")*($D$2:$D$1001&gt;D366))+COUNTIFS($F$2:F366,1,$G$2:G366,"SUV",$D$2:D366,D366)-1)</f>
        <v/>
      </c>
    </row>
    <row r="367" spans="1:17">
      <c r="A367" s="62" t="str">
        <f>IFERROR(INDEX($H$2:$H$3000,MATCH(0,INDEX(COUNTIF($A$1:A366,$H$2:$H$3000)+($H$2:$H$3000=""),0,0),0)),"")</f>
        <v>VOLKSWAGEN♦TOUAREG</v>
      </c>
      <c r="B367" s="62" t="str">
        <f t="shared" si="20"/>
        <v>VOLKSWAGEN</v>
      </c>
      <c r="C367" s="62" t="str">
        <f t="shared" si="21"/>
        <v>TOUAREG</v>
      </c>
      <c r="D367" s="63">
        <f t="shared" si="22"/>
        <v>0</v>
      </c>
      <c r="E367" s="62">
        <f>IF(D367="","",_xlfn.RANK.EQ(D367,$D$2:$D$1001,0)+COUNTIF($D$2:D367,D367)-1)</f>
        <v>387</v>
      </c>
      <c r="F367" s="62">
        <f>IF(B367="","",--(COUNTIF(CN_Brands!$A$2:$A$300,UPPER(B367))&gt;0))</f>
        <v>0</v>
      </c>
      <c r="G367" s="62" t="str">
        <f t="shared" si="23"/>
        <v>其他</v>
      </c>
      <c r="H367" s="62" t="str">
        <f>IF(AND('Data Export'!A367=前十整体车型排名!$B$2,'Data Export'!B367=前十整体车型排名!$B$3,'Data Export'!D367&lt;&gt;""),UPPER('Data Export'!C367)&amp;"♦"&amp;'Data Export'!D367,"")</f>
        <v>LAMBORGHINI♦TEMERARIO</v>
      </c>
      <c r="I367" s="63">
        <f>IF(H367="","",IFERROR(INDEX('Data Export'!G367:CZ367,1,MATCH(前十整体车型排名!$B$4,'Data Export'!$G$1:$CZ$1,0)),0))</f>
        <v>1</v>
      </c>
      <c r="J367" s="62" t="str">
        <f>IF(H367="","",IF(OR('Data Export'!F367="三厢轿车",'Data Export'!F367="掀背轿车",'Data Export'!F367="旅行车",'Data Export'!F367="微型车",'Data Export'!F367="硬顶跑车",'Data Export'!F367="敞蓬车",'Data Export'!F367="Targa"),"轿车",IF(OR('Data Export'!F367="小型MPV",'Data Export'!F367="客车"),"MPV",IF('Data Export'!F367="运动型多功能车","SUV","其他"))))</f>
        <v>轿车</v>
      </c>
      <c r="K367" s="62" t="str">
        <f>IF(OR(D367="",NOT(F367=1)),"",1+SUMPRODUCT(($F$2:$F$1001=1)*($D$2:$D$1001&gt;D367))+COUNTIFS($F$2:F367,1,$D$2:D367,D367)-1)</f>
        <v/>
      </c>
      <c r="L367" s="62" t="str">
        <f>IF(OR(D367="",NOT(G367="轿车")),"",1+SUMPRODUCT(($G$2:$G$1001="轿车")*($D$2:$D$1001&gt;D367))+COUNTIFS($G$2:G367,"轿车",$D$2:D367,D367)-1)</f>
        <v/>
      </c>
      <c r="M367" s="62" t="str">
        <f>IF(OR(D367="",NOT(G367="MPV")),"",1+SUMPRODUCT(($G$2:$G$1001="MPV")*($D$2:$D$1001&gt;D367))+COUNTIFS($G$2:G367,"MPV",$D$2:D367,D367)-1)</f>
        <v/>
      </c>
      <c r="N367" s="62" t="str">
        <f>IF(OR(D367="",NOT(G367="SUV")),"",1+SUMPRODUCT(($G$2:$G$1001="SUV")*($D$2:$D$1001&gt;D367))+COUNTIFS($G$2:G367,"SUV",$D$2:D367,D367)-1)</f>
        <v/>
      </c>
      <c r="O367" s="62" t="str">
        <f>IF(OR(D367="",NOT(AND(F367=1,G367="轿车"))),"",1+SUMPRODUCT(($F$2:$F$1001=1)*($G$2:$G$1001="轿车")*($D$2:$D$1001&gt;D367))+COUNTIFS($F$2:F367,1,$G$2:G367,"轿车",$D$2:D367,D367)-1)</f>
        <v/>
      </c>
      <c r="P367" s="62" t="str">
        <f>IF(OR(D367="",NOT(AND(F367=1,G367="MPV"))),"",1+SUMPRODUCT(($F$2:$F$1001=1)*($G$2:$G$1001="MPV")*($D$2:$D$1001&gt;D367))+COUNTIFS($F$2:F367,1,$G$2:G367,"MPV",$D$2:D367,D367)-1)</f>
        <v/>
      </c>
      <c r="Q367" s="62" t="str">
        <f>IF(OR(D367="",NOT(AND(F367=1,G367="SUV"))),"",1+SUMPRODUCT(($F$2:$F$1001=1)*($G$2:$G$1001="SUV")*($D$2:$D$1001&gt;D367))+COUNTIFS($F$2:F367,1,$G$2:G367,"SUV",$D$2:D367,D367)-1)</f>
        <v/>
      </c>
    </row>
    <row r="368" spans="1:17">
      <c r="A368" s="62" t="str">
        <f>IFERROR(INDEX($H$2:$H$3000,MATCH(0,INDEX(COUNTIF($A$1:A367,$H$2:$H$3000)+($H$2:$H$3000=""),0,0),0)),"")</f>
        <v>VOLKSWAGEN♦T-ROC</v>
      </c>
      <c r="B368" s="62" t="str">
        <f t="shared" si="20"/>
        <v>VOLKSWAGEN</v>
      </c>
      <c r="C368" s="62" t="str">
        <f t="shared" si="21"/>
        <v>T-ROC</v>
      </c>
      <c r="D368" s="63">
        <f t="shared" si="22"/>
        <v>0</v>
      </c>
      <c r="E368" s="62">
        <f>IF(D368="","",_xlfn.RANK.EQ(D368,$D$2:$D$1001,0)+COUNTIF($D$2:D368,D368)-1)</f>
        <v>388</v>
      </c>
      <c r="F368" s="62">
        <f>IF(B368="","",--(COUNTIF(CN_Brands!$A$2:$A$300,UPPER(B368))&gt;0))</f>
        <v>0</v>
      </c>
      <c r="G368" s="62" t="str">
        <f t="shared" si="23"/>
        <v>SUV</v>
      </c>
      <c r="H368" s="62" t="str">
        <f>IF(AND('Data Export'!A368=前十整体车型排名!$B$2,'Data Export'!B368=前十整体车型排名!$B$3,'Data Export'!D368&lt;&gt;""),UPPER('Data Export'!C368)&amp;"♦"&amp;'Data Export'!D368,"")</f>
        <v>LAMBORGHINI♦URUS</v>
      </c>
      <c r="I368" s="63">
        <f>IF(H368="","",IFERROR(INDEX('Data Export'!G368:CZ368,1,MATCH(前十整体车型排名!$B$4,'Data Export'!$G$1:$CZ$1,0)),0))</f>
        <v>0</v>
      </c>
      <c r="J368" s="62" t="str">
        <f>IF(H368="","",IF(OR('Data Export'!F368="三厢轿车",'Data Export'!F368="掀背轿车",'Data Export'!F368="旅行车",'Data Export'!F368="微型车",'Data Export'!F368="硬顶跑车",'Data Export'!F368="敞蓬车",'Data Export'!F368="Targa"),"轿车",IF(OR('Data Export'!F368="小型MPV",'Data Export'!F368="客车"),"MPV",IF('Data Export'!F368="运动型多功能车","SUV","其他"))))</f>
        <v>SUV</v>
      </c>
      <c r="K368" s="62" t="str">
        <f>IF(OR(D368="",NOT(F368=1)),"",1+SUMPRODUCT(($F$2:$F$1001=1)*($D$2:$D$1001&gt;D368))+COUNTIFS($F$2:F368,1,$D$2:D368,D368)-1)</f>
        <v/>
      </c>
      <c r="L368" s="62" t="str">
        <f>IF(OR(D368="",NOT(G368="轿车")),"",1+SUMPRODUCT(($G$2:$G$1001="轿车")*($D$2:$D$1001&gt;D368))+COUNTIFS($G$2:G368,"轿车",$D$2:D368,D368)-1)</f>
        <v/>
      </c>
      <c r="M368" s="62" t="str">
        <f>IF(OR(D368="",NOT(G368="MPV")),"",1+SUMPRODUCT(($G$2:$G$1001="MPV")*($D$2:$D$1001&gt;D368))+COUNTIFS($G$2:G368,"MPV",$D$2:D368,D368)-1)</f>
        <v/>
      </c>
      <c r="N368" s="62">
        <f>IF(OR(D368="",NOT(G368="SUV")),"",1+SUMPRODUCT(($G$2:$G$1001="SUV")*($D$2:$D$1001&gt;D368))+COUNTIFS($G$2:G368,"SUV",$D$2:D368,D368)-1)</f>
        <v>160</v>
      </c>
      <c r="O368" s="62" t="str">
        <f>IF(OR(D368="",NOT(AND(F368=1,G368="轿车"))),"",1+SUMPRODUCT(($F$2:$F$1001=1)*($G$2:$G$1001="轿车")*($D$2:$D$1001&gt;D368))+COUNTIFS($F$2:F368,1,$G$2:G368,"轿车",$D$2:D368,D368)-1)</f>
        <v/>
      </c>
      <c r="P368" s="62" t="str">
        <f>IF(OR(D368="",NOT(AND(F368=1,G368="MPV"))),"",1+SUMPRODUCT(($F$2:$F$1001=1)*($G$2:$G$1001="MPV")*($D$2:$D$1001&gt;D368))+COUNTIFS($F$2:F368,1,$G$2:G368,"MPV",$D$2:D368,D368)-1)</f>
        <v/>
      </c>
      <c r="Q368" s="62" t="str">
        <f>IF(OR(D368="",NOT(AND(F368=1,G368="SUV"))),"",1+SUMPRODUCT(($F$2:$F$1001=1)*($G$2:$G$1001="SUV")*($D$2:$D$1001&gt;D368))+COUNTIFS($F$2:F368,1,$G$2:G368,"SUV",$D$2:D368,D368)-1)</f>
        <v/>
      </c>
    </row>
    <row r="369" spans="1:17">
      <c r="A369" s="62" t="str">
        <f>IFERROR(INDEX($H$2:$H$3000,MATCH(0,INDEX(COUNTIF($A$1:A368,$H$2:$H$3000)+($H$2:$H$3000=""),0,0),0)),"")</f>
        <v>VOLT♦FOR-FOUR</v>
      </c>
      <c r="B369" s="62" t="str">
        <f t="shared" si="20"/>
        <v>VOLT</v>
      </c>
      <c r="C369" s="62" t="str">
        <f t="shared" si="21"/>
        <v>FOR-FOUR</v>
      </c>
      <c r="D369" s="63">
        <f t="shared" si="22"/>
        <v>0</v>
      </c>
      <c r="E369" s="62">
        <f>IF(D369="","",_xlfn.RANK.EQ(D369,$D$2:$D$1001,0)+COUNTIF($D$2:D369,D369)-1)</f>
        <v>389</v>
      </c>
      <c r="F369" s="62">
        <f>IF(B369="","",--(COUNTIF(CN_Brands!$A$2:$A$300,UPPER(B369))&gt;0))</f>
        <v>1</v>
      </c>
      <c r="G369" s="62" t="str">
        <f t="shared" si="23"/>
        <v>其他</v>
      </c>
      <c r="H369" s="62" t="str">
        <f>IF(AND('Data Export'!A369=前十整体车型排名!$B$2,'Data Export'!B369=前十整体车型排名!$B$3,'Data Export'!D369&lt;&gt;""),UPPER('Data Export'!C369)&amp;"♦"&amp;'Data Export'!D369,"")</f>
        <v>LAMBORGHINI♦URUS</v>
      </c>
      <c r="I369" s="63">
        <f>IF(H369="","",IFERROR(INDEX('Data Export'!G369:CZ369,1,MATCH(前十整体车型排名!$B$4,'Data Export'!$G$1:$CZ$1,0)),0))</f>
        <v>0</v>
      </c>
      <c r="J369" s="62" t="str">
        <f>IF(H369="","",IF(OR('Data Export'!F369="三厢轿车",'Data Export'!F369="掀背轿车",'Data Export'!F369="旅行车",'Data Export'!F369="微型车",'Data Export'!F369="硬顶跑车",'Data Export'!F369="敞蓬车",'Data Export'!F369="Targa"),"轿车",IF(OR('Data Export'!F369="小型MPV",'Data Export'!F369="客车"),"MPV",IF('Data Export'!F369="运动型多功能车","SUV","其他"))))</f>
        <v>SUV</v>
      </c>
      <c r="K369" s="62">
        <f>IF(OR(D369="",NOT(F369=1)),"",1+SUMPRODUCT(($F$2:$F$1001=1)*($D$2:$D$1001&gt;D369))+COUNTIFS($F$2:F369,1,$D$2:D369,D369)-1)</f>
        <v>76</v>
      </c>
      <c r="L369" s="62" t="str">
        <f>IF(OR(D369="",NOT(G369="轿车")),"",1+SUMPRODUCT(($G$2:$G$1001="轿车")*($D$2:$D$1001&gt;D369))+COUNTIFS($G$2:G369,"轿车",$D$2:D369,D369)-1)</f>
        <v/>
      </c>
      <c r="M369" s="62" t="str">
        <f>IF(OR(D369="",NOT(G369="MPV")),"",1+SUMPRODUCT(($G$2:$G$1001="MPV")*($D$2:$D$1001&gt;D369))+COUNTIFS($G$2:G369,"MPV",$D$2:D369,D369)-1)</f>
        <v/>
      </c>
      <c r="N369" s="62" t="str">
        <f>IF(OR(D369="",NOT(G369="SUV")),"",1+SUMPRODUCT(($G$2:$G$1001="SUV")*($D$2:$D$1001&gt;D369))+COUNTIFS($G$2:G369,"SUV",$D$2:D369,D369)-1)</f>
        <v/>
      </c>
      <c r="O369" s="62" t="str">
        <f>IF(OR(D369="",NOT(AND(F369=1,G369="轿车"))),"",1+SUMPRODUCT(($F$2:$F$1001=1)*($G$2:$G$1001="轿车")*($D$2:$D$1001&gt;D369))+COUNTIFS($F$2:F369,1,$G$2:G369,"轿车",$D$2:D369,D369)-1)</f>
        <v/>
      </c>
      <c r="P369" s="62" t="str">
        <f>IF(OR(D369="",NOT(AND(F369=1,G369="MPV"))),"",1+SUMPRODUCT(($F$2:$F$1001=1)*($G$2:$G$1001="MPV")*($D$2:$D$1001&gt;D369))+COUNTIFS($F$2:F369,1,$G$2:G369,"MPV",$D$2:D369,D369)-1)</f>
        <v/>
      </c>
      <c r="Q369" s="62" t="str">
        <f>IF(OR(D369="",NOT(AND(F369=1,G369="SUV"))),"",1+SUMPRODUCT(($F$2:$F$1001=1)*($G$2:$G$1001="SUV")*($D$2:$D$1001&gt;D369))+COUNTIFS($F$2:F369,1,$G$2:G369,"SUV",$D$2:D369,D369)-1)</f>
        <v/>
      </c>
    </row>
    <row r="370" spans="1:17">
      <c r="A370" s="62" t="str">
        <f>IFERROR(INDEX($H$2:$H$3000,MATCH(0,INDEX(COUNTIF($A$1:A369,$H$2:$H$3000)+($H$2:$H$3000=""),0,0),0)),"")</f>
        <v>VOLVO♦C40</v>
      </c>
      <c r="B370" s="62" t="str">
        <f t="shared" si="20"/>
        <v>VOLVO</v>
      </c>
      <c r="C370" s="62" t="str">
        <f t="shared" si="21"/>
        <v>C40</v>
      </c>
      <c r="D370" s="63">
        <f t="shared" si="22"/>
        <v>1</v>
      </c>
      <c r="E370" s="62">
        <f>IF(D370="","",_xlfn.RANK.EQ(D370,$D$2:$D$1001,0)+COUNTIF($D$2:D370,D370)-1)</f>
        <v>261</v>
      </c>
      <c r="F370" s="62">
        <f>IF(B370="","",--(COUNTIF(CN_Brands!$A$2:$A$300,UPPER(B370))&gt;0))</f>
        <v>0</v>
      </c>
      <c r="G370" s="62" t="str">
        <f t="shared" si="23"/>
        <v>SUV</v>
      </c>
      <c r="H370" s="62" t="str">
        <f>IF(AND('Data Export'!A370=前十整体车型排名!$B$2,'Data Export'!B370=前十整体车型排名!$B$3,'Data Export'!D370&lt;&gt;""),UPPER('Data Export'!C370)&amp;"♦"&amp;'Data Export'!D370,"")</f>
        <v>LAMBORGHINI♦URUS</v>
      </c>
      <c r="I370" s="63">
        <f>IF(H370="","",IFERROR(INDEX('Data Export'!G370:CZ370,1,MATCH(前十整体车型排名!$B$4,'Data Export'!$G$1:$CZ$1,0)),0))</f>
        <v>0</v>
      </c>
      <c r="J370" s="62" t="str">
        <f>IF(H370="","",IF(OR('Data Export'!F370="三厢轿车",'Data Export'!F370="掀背轿车",'Data Export'!F370="旅行车",'Data Export'!F370="微型车",'Data Export'!F370="硬顶跑车",'Data Export'!F370="敞蓬车",'Data Export'!F370="Targa"),"轿车",IF(OR('Data Export'!F370="小型MPV",'Data Export'!F370="客车"),"MPV",IF('Data Export'!F370="运动型多功能车","SUV","其他"))))</f>
        <v>SUV</v>
      </c>
      <c r="K370" s="62" t="str">
        <f>IF(OR(D370="",NOT(F370=1)),"",1+SUMPRODUCT(($F$2:$F$1001=1)*($D$2:$D$1001&gt;D370))+COUNTIFS($F$2:F370,1,$D$2:D370,D370)-1)</f>
        <v/>
      </c>
      <c r="L370" s="62" t="str">
        <f>IF(OR(D370="",NOT(G370="轿车")),"",1+SUMPRODUCT(($G$2:$G$1001="轿车")*($D$2:$D$1001&gt;D370))+COUNTIFS($G$2:G370,"轿车",$D$2:D370,D370)-1)</f>
        <v/>
      </c>
      <c r="M370" s="62" t="str">
        <f>IF(OR(D370="",NOT(G370="MPV")),"",1+SUMPRODUCT(($G$2:$G$1001="MPV")*($D$2:$D$1001&gt;D370))+COUNTIFS($G$2:G370,"MPV",$D$2:D370,D370)-1)</f>
        <v/>
      </c>
      <c r="N370" s="62">
        <f>IF(OR(D370="",NOT(G370="SUV")),"",1+SUMPRODUCT(($G$2:$G$1001="SUV")*($D$2:$D$1001&gt;D370))+COUNTIFS($G$2:G370,"SUV",$D$2:D370,D370)-1)</f>
        <v>126</v>
      </c>
      <c r="O370" s="62" t="str">
        <f>IF(OR(D370="",NOT(AND(F370=1,G370="轿车"))),"",1+SUMPRODUCT(($F$2:$F$1001=1)*($G$2:$G$1001="轿车")*($D$2:$D$1001&gt;D370))+COUNTIFS($F$2:F370,1,$G$2:G370,"轿车",$D$2:D370,D370)-1)</f>
        <v/>
      </c>
      <c r="P370" s="62" t="str">
        <f>IF(OR(D370="",NOT(AND(F370=1,G370="MPV"))),"",1+SUMPRODUCT(($F$2:$F$1001=1)*($G$2:$G$1001="MPV")*($D$2:$D$1001&gt;D370))+COUNTIFS($F$2:F370,1,$G$2:G370,"MPV",$D$2:D370,D370)-1)</f>
        <v/>
      </c>
      <c r="Q370" s="62" t="str">
        <f>IF(OR(D370="",NOT(AND(F370=1,G370="SUV"))),"",1+SUMPRODUCT(($F$2:$F$1001=1)*($G$2:$G$1001="SUV")*($D$2:$D$1001&gt;D370))+COUNTIFS($F$2:F370,1,$G$2:G370,"SUV",$D$2:D370,D370)-1)</f>
        <v/>
      </c>
    </row>
    <row r="371" spans="1:17">
      <c r="A371" s="62" t="str">
        <f>IFERROR(INDEX($H$2:$H$3000,MATCH(0,INDEX(COUNTIF($A$1:A370,$H$2:$H$3000)+($H$2:$H$3000=""),0,0),0)),"")</f>
        <v>VOLVO♦EC40</v>
      </c>
      <c r="B371" s="62" t="str">
        <f t="shared" si="20"/>
        <v>VOLVO</v>
      </c>
      <c r="C371" s="62" t="str">
        <f t="shared" si="21"/>
        <v>EC40</v>
      </c>
      <c r="D371" s="63">
        <f t="shared" si="22"/>
        <v>21</v>
      </c>
      <c r="E371" s="62">
        <f>IF(D371="","",_xlfn.RANK.EQ(D371,$D$2:$D$1001,0)+COUNTIF($D$2:D371,D371)-1)</f>
        <v>121</v>
      </c>
      <c r="F371" s="62">
        <f>IF(B371="","",--(COUNTIF(CN_Brands!$A$2:$A$300,UPPER(B371))&gt;0))</f>
        <v>0</v>
      </c>
      <c r="G371" s="62" t="str">
        <f t="shared" si="23"/>
        <v>SUV</v>
      </c>
      <c r="H371" s="62" t="str">
        <f>IF(AND('Data Export'!A371=前十整体车型排名!$B$2,'Data Export'!B371=前十整体车型排名!$B$3,'Data Export'!D371&lt;&gt;""),UPPER('Data Export'!C371)&amp;"♦"&amp;'Data Export'!D371,"")</f>
        <v>LAMBORGHINI♦URUS</v>
      </c>
      <c r="I371" s="63">
        <f>IF(H371="","",IFERROR(INDEX('Data Export'!G371:CZ371,1,MATCH(前十整体车型排名!$B$4,'Data Export'!$G$1:$CZ$1,0)),0))</f>
        <v>0</v>
      </c>
      <c r="J371" s="62" t="str">
        <f>IF(H371="","",IF(OR('Data Export'!F371="三厢轿车",'Data Export'!F371="掀背轿车",'Data Export'!F371="旅行车",'Data Export'!F371="微型车",'Data Export'!F371="硬顶跑车",'Data Export'!F371="敞蓬车",'Data Export'!F371="Targa"),"轿车",IF(OR('Data Export'!F371="小型MPV",'Data Export'!F371="客车"),"MPV",IF('Data Export'!F371="运动型多功能车","SUV","其他"))))</f>
        <v>SUV</v>
      </c>
      <c r="K371" s="62" t="str">
        <f>IF(OR(D371="",NOT(F371=1)),"",1+SUMPRODUCT(($F$2:$F$1001=1)*($D$2:$D$1001&gt;D371))+COUNTIFS($F$2:F371,1,$D$2:D371,D371)-1)</f>
        <v/>
      </c>
      <c r="L371" s="62" t="str">
        <f>IF(OR(D371="",NOT(G371="轿车")),"",1+SUMPRODUCT(($G$2:$G$1001="轿车")*($D$2:$D$1001&gt;D371))+COUNTIFS($G$2:G371,"轿车",$D$2:D371,D371)-1)</f>
        <v/>
      </c>
      <c r="M371" s="62" t="str">
        <f>IF(OR(D371="",NOT(G371="MPV")),"",1+SUMPRODUCT(($G$2:$G$1001="MPV")*($D$2:$D$1001&gt;D371))+COUNTIFS($G$2:G371,"MPV",$D$2:D371,D371)-1)</f>
        <v/>
      </c>
      <c r="N371" s="62">
        <f>IF(OR(D371="",NOT(G371="SUV")),"",1+SUMPRODUCT(($G$2:$G$1001="SUV")*($D$2:$D$1001&gt;D371))+COUNTIFS($G$2:G371,"SUV",$D$2:D371,D371)-1)</f>
        <v>65</v>
      </c>
      <c r="O371" s="62" t="str">
        <f>IF(OR(D371="",NOT(AND(F371=1,G371="轿车"))),"",1+SUMPRODUCT(($F$2:$F$1001=1)*($G$2:$G$1001="轿车")*($D$2:$D$1001&gt;D371))+COUNTIFS($F$2:F371,1,$G$2:G371,"轿车",$D$2:D371,D371)-1)</f>
        <v/>
      </c>
      <c r="P371" s="62" t="str">
        <f>IF(OR(D371="",NOT(AND(F371=1,G371="MPV"))),"",1+SUMPRODUCT(($F$2:$F$1001=1)*($G$2:$G$1001="MPV")*($D$2:$D$1001&gt;D371))+COUNTIFS($F$2:F371,1,$G$2:G371,"MPV",$D$2:D371,D371)-1)</f>
        <v/>
      </c>
      <c r="Q371" s="62" t="str">
        <f>IF(OR(D371="",NOT(AND(F371=1,G371="SUV"))),"",1+SUMPRODUCT(($F$2:$F$1001=1)*($G$2:$G$1001="SUV")*($D$2:$D$1001&gt;D371))+COUNTIFS($F$2:F371,1,$G$2:G371,"SUV",$D$2:D371,D371)-1)</f>
        <v/>
      </c>
    </row>
    <row r="372" spans="1:17">
      <c r="A372" s="62" t="str">
        <f>IFERROR(INDEX($H$2:$H$3000,MATCH(0,INDEX(COUNTIF($A$1:A371,$H$2:$H$3000)+($H$2:$H$3000=""),0,0),0)),"")</f>
        <v>VOLVO♦ES90</v>
      </c>
      <c r="B372" s="62" t="str">
        <f t="shared" si="20"/>
        <v>VOLVO</v>
      </c>
      <c r="C372" s="62" t="str">
        <f t="shared" si="21"/>
        <v>ES90</v>
      </c>
      <c r="D372" s="63">
        <f t="shared" si="22"/>
        <v>18</v>
      </c>
      <c r="E372" s="62">
        <f>IF(D372="","",_xlfn.RANK.EQ(D372,$D$2:$D$1001,0)+COUNTIF($D$2:D372,D372)-1)</f>
        <v>124</v>
      </c>
      <c r="F372" s="62">
        <f>IF(B372="","",--(COUNTIF(CN_Brands!$A$2:$A$300,UPPER(B372))&gt;0))</f>
        <v>0</v>
      </c>
      <c r="G372" s="62" t="str">
        <f t="shared" si="23"/>
        <v>轿车</v>
      </c>
      <c r="H372" s="62" t="str">
        <f>IF(AND('Data Export'!A372=前十整体车型排名!$B$2,'Data Export'!B372=前十整体车型排名!$B$3,'Data Export'!D372&lt;&gt;""),UPPER('Data Export'!C372)&amp;"♦"&amp;'Data Export'!D372,"")</f>
        <v>LAND ROVER♦DEFENDER</v>
      </c>
      <c r="I372" s="63">
        <f>IF(H372="","",IFERROR(INDEX('Data Export'!G372:CZ372,1,MATCH(前十整体车型排名!$B$4,'Data Export'!$G$1:$CZ$1,0)),0))</f>
        <v>0</v>
      </c>
      <c r="J372" s="62" t="str">
        <f>IF(H372="","",IF(OR('Data Export'!F372="三厢轿车",'Data Export'!F372="掀背轿车",'Data Export'!F372="旅行车",'Data Export'!F372="微型车",'Data Export'!F372="硬顶跑车",'Data Export'!F372="敞蓬车",'Data Export'!F372="Targa"),"轿车",IF(OR('Data Export'!F372="小型MPV",'Data Export'!F372="客车"),"MPV",IF('Data Export'!F372="运动型多功能车","SUV","其他"))))</f>
        <v>SUV</v>
      </c>
      <c r="K372" s="62" t="str">
        <f>IF(OR(D372="",NOT(F372=1)),"",1+SUMPRODUCT(($F$2:$F$1001=1)*($D$2:$D$1001&gt;D372))+COUNTIFS($F$2:F372,1,$D$2:D372,D372)-1)</f>
        <v/>
      </c>
      <c r="L372" s="62">
        <f>IF(OR(D372="",NOT(G372="轿车")),"",1+SUMPRODUCT(($G$2:$G$1001="轿车")*($D$2:$D$1001&gt;D372))+COUNTIFS($G$2:G372,"轿车",$D$2:D372,D372)-1)</f>
        <v>31</v>
      </c>
      <c r="M372" s="62" t="str">
        <f>IF(OR(D372="",NOT(G372="MPV")),"",1+SUMPRODUCT(($G$2:$G$1001="MPV")*($D$2:$D$1001&gt;D372))+COUNTIFS($G$2:G372,"MPV",$D$2:D372,D372)-1)</f>
        <v/>
      </c>
      <c r="N372" s="62" t="str">
        <f>IF(OR(D372="",NOT(G372="SUV")),"",1+SUMPRODUCT(($G$2:$G$1001="SUV")*($D$2:$D$1001&gt;D372))+COUNTIFS($G$2:G372,"SUV",$D$2:D372,D372)-1)</f>
        <v/>
      </c>
      <c r="O372" s="62" t="str">
        <f>IF(OR(D372="",NOT(AND(F372=1,G372="轿车"))),"",1+SUMPRODUCT(($F$2:$F$1001=1)*($G$2:$G$1001="轿车")*($D$2:$D$1001&gt;D372))+COUNTIFS($F$2:F372,1,$G$2:G372,"轿车",$D$2:D372,D372)-1)</f>
        <v/>
      </c>
      <c r="P372" s="62" t="str">
        <f>IF(OR(D372="",NOT(AND(F372=1,G372="MPV"))),"",1+SUMPRODUCT(($F$2:$F$1001=1)*($G$2:$G$1001="MPV")*($D$2:$D$1001&gt;D372))+COUNTIFS($F$2:F372,1,$G$2:G372,"MPV",$D$2:D372,D372)-1)</f>
        <v/>
      </c>
      <c r="Q372" s="62" t="str">
        <f>IF(OR(D372="",NOT(AND(F372=1,G372="SUV"))),"",1+SUMPRODUCT(($F$2:$F$1001=1)*($G$2:$G$1001="SUV")*($D$2:$D$1001&gt;D372))+COUNTIFS($F$2:F372,1,$G$2:G372,"SUV",$D$2:D372,D372)-1)</f>
        <v/>
      </c>
    </row>
    <row r="373" spans="1:17">
      <c r="A373" s="62" t="str">
        <f>IFERROR(INDEX($H$2:$H$3000,MATCH(0,INDEX(COUNTIF($A$1:A372,$H$2:$H$3000)+($H$2:$H$3000=""),0,0),0)),"")</f>
        <v>VOLVO♦EX30</v>
      </c>
      <c r="B373" s="62" t="str">
        <f t="shared" si="20"/>
        <v>VOLVO</v>
      </c>
      <c r="C373" s="62" t="str">
        <f t="shared" si="21"/>
        <v>EX30</v>
      </c>
      <c r="D373" s="63">
        <f t="shared" si="22"/>
        <v>6</v>
      </c>
      <c r="E373" s="62">
        <f>IF(D373="","",_xlfn.RANK.EQ(D373,$D$2:$D$1001,0)+COUNTIF($D$2:D373,D373)-1)</f>
        <v>169</v>
      </c>
      <c r="F373" s="62">
        <f>IF(B373="","",--(COUNTIF(CN_Brands!$A$2:$A$300,UPPER(B373))&gt;0))</f>
        <v>0</v>
      </c>
      <c r="G373" s="62" t="str">
        <f t="shared" si="23"/>
        <v>SUV</v>
      </c>
      <c r="H373" s="62" t="str">
        <f>IF(AND('Data Export'!A373=前十整体车型排名!$B$2,'Data Export'!B373=前十整体车型排名!$B$3,'Data Export'!D373&lt;&gt;""),UPPER('Data Export'!C373)&amp;"♦"&amp;'Data Export'!D373,"")</f>
        <v>LAND ROVER♦DEFENDER</v>
      </c>
      <c r="I373" s="63">
        <f>IF(H373="","",IFERROR(INDEX('Data Export'!G373:CZ373,1,MATCH(前十整体车型排名!$B$4,'Data Export'!$G$1:$CZ$1,0)),0))</f>
        <v>0</v>
      </c>
      <c r="J373" s="62" t="str">
        <f>IF(H373="","",IF(OR('Data Export'!F373="三厢轿车",'Data Export'!F373="掀背轿车",'Data Export'!F373="旅行车",'Data Export'!F373="微型车",'Data Export'!F373="硬顶跑车",'Data Export'!F373="敞蓬车",'Data Export'!F373="Targa"),"轿车",IF(OR('Data Export'!F373="小型MPV",'Data Export'!F373="客车"),"MPV",IF('Data Export'!F373="运动型多功能车","SUV","其他"))))</f>
        <v>SUV</v>
      </c>
      <c r="K373" s="62" t="str">
        <f>IF(OR(D373="",NOT(F373=1)),"",1+SUMPRODUCT(($F$2:$F$1001=1)*($D$2:$D$1001&gt;D373))+COUNTIFS($F$2:F373,1,$D$2:D373,D373)-1)</f>
        <v/>
      </c>
      <c r="L373" s="62" t="str">
        <f>IF(OR(D373="",NOT(G373="轿车")),"",1+SUMPRODUCT(($G$2:$G$1001="轿车")*($D$2:$D$1001&gt;D373))+COUNTIFS($G$2:G373,"轿车",$D$2:D373,D373)-1)</f>
        <v/>
      </c>
      <c r="M373" s="62" t="str">
        <f>IF(OR(D373="",NOT(G373="MPV")),"",1+SUMPRODUCT(($G$2:$G$1001="MPV")*($D$2:$D$1001&gt;D373))+COUNTIFS($G$2:G373,"MPV",$D$2:D373,D373)-1)</f>
        <v/>
      </c>
      <c r="N373" s="62">
        <f>IF(OR(D373="",NOT(G373="SUV")),"",1+SUMPRODUCT(($G$2:$G$1001="SUV")*($D$2:$D$1001&gt;D373))+COUNTIFS($G$2:G373,"SUV",$D$2:D373,D373)-1)</f>
        <v>93</v>
      </c>
      <c r="O373" s="62" t="str">
        <f>IF(OR(D373="",NOT(AND(F373=1,G373="轿车"))),"",1+SUMPRODUCT(($F$2:$F$1001=1)*($G$2:$G$1001="轿车")*($D$2:$D$1001&gt;D373))+COUNTIFS($F$2:F373,1,$G$2:G373,"轿车",$D$2:D373,D373)-1)</f>
        <v/>
      </c>
      <c r="P373" s="62" t="str">
        <f>IF(OR(D373="",NOT(AND(F373=1,G373="MPV"))),"",1+SUMPRODUCT(($F$2:$F$1001=1)*($G$2:$G$1001="MPV")*($D$2:$D$1001&gt;D373))+COUNTIFS($F$2:F373,1,$G$2:G373,"MPV",$D$2:D373,D373)-1)</f>
        <v/>
      </c>
      <c r="Q373" s="62" t="str">
        <f>IF(OR(D373="",NOT(AND(F373=1,G373="SUV"))),"",1+SUMPRODUCT(($F$2:$F$1001=1)*($G$2:$G$1001="SUV")*($D$2:$D$1001&gt;D373))+COUNTIFS($F$2:F373,1,$G$2:G373,"SUV",$D$2:D373,D373)-1)</f>
        <v/>
      </c>
    </row>
    <row r="374" spans="1:17">
      <c r="A374" s="62" t="str">
        <f>IFERROR(INDEX($H$2:$H$3000,MATCH(0,INDEX(COUNTIF($A$1:A373,$H$2:$H$3000)+($H$2:$H$3000=""),0,0),0)),"")</f>
        <v>VOLVO♦EX40</v>
      </c>
      <c r="B374" s="62" t="str">
        <f t="shared" si="20"/>
        <v>VOLVO</v>
      </c>
      <c r="C374" s="62" t="str">
        <f t="shared" si="21"/>
        <v>EX40</v>
      </c>
      <c r="D374" s="63">
        <f t="shared" si="22"/>
        <v>22</v>
      </c>
      <c r="E374" s="62">
        <f>IF(D374="","",_xlfn.RANK.EQ(D374,$D$2:$D$1001,0)+COUNTIF($D$2:D374,D374)-1)</f>
        <v>118</v>
      </c>
      <c r="F374" s="62">
        <f>IF(B374="","",--(COUNTIF(CN_Brands!$A$2:$A$300,UPPER(B374))&gt;0))</f>
        <v>0</v>
      </c>
      <c r="G374" s="62" t="str">
        <f t="shared" si="23"/>
        <v>SUV</v>
      </c>
      <c r="H374" s="62" t="str">
        <f>IF(AND('Data Export'!A374=前十整体车型排名!$B$2,'Data Export'!B374=前十整体车型排名!$B$3,'Data Export'!D374&lt;&gt;""),UPPER('Data Export'!C374)&amp;"♦"&amp;'Data Export'!D374,"")</f>
        <v>LAND ROVER♦DEFENDER</v>
      </c>
      <c r="I374" s="63">
        <f>IF(H374="","",IFERROR(INDEX('Data Export'!G374:CZ374,1,MATCH(前十整体车型排名!$B$4,'Data Export'!$G$1:$CZ$1,0)),0))</f>
        <v>3</v>
      </c>
      <c r="J374" s="62" t="str">
        <f>IF(H374="","",IF(OR('Data Export'!F374="三厢轿车",'Data Export'!F374="掀背轿车",'Data Export'!F374="旅行车",'Data Export'!F374="微型车",'Data Export'!F374="硬顶跑车",'Data Export'!F374="敞蓬车",'Data Export'!F374="Targa"),"轿车",IF(OR('Data Export'!F374="小型MPV",'Data Export'!F374="客车"),"MPV",IF('Data Export'!F374="运动型多功能车","SUV","其他"))))</f>
        <v>SUV</v>
      </c>
      <c r="K374" s="62" t="str">
        <f>IF(OR(D374="",NOT(F374=1)),"",1+SUMPRODUCT(($F$2:$F$1001=1)*($D$2:$D$1001&gt;D374))+COUNTIFS($F$2:F374,1,$D$2:D374,D374)-1)</f>
        <v/>
      </c>
      <c r="L374" s="62" t="str">
        <f>IF(OR(D374="",NOT(G374="轿车")),"",1+SUMPRODUCT(($G$2:$G$1001="轿车")*($D$2:$D$1001&gt;D374))+COUNTIFS($G$2:G374,"轿车",$D$2:D374,D374)-1)</f>
        <v/>
      </c>
      <c r="M374" s="62" t="str">
        <f>IF(OR(D374="",NOT(G374="MPV")),"",1+SUMPRODUCT(($G$2:$G$1001="MPV")*($D$2:$D$1001&gt;D374))+COUNTIFS($G$2:G374,"MPV",$D$2:D374,D374)-1)</f>
        <v/>
      </c>
      <c r="N374" s="62">
        <f>IF(OR(D374="",NOT(G374="SUV")),"",1+SUMPRODUCT(($G$2:$G$1001="SUV")*($D$2:$D$1001&gt;D374))+COUNTIFS($G$2:G374,"SUV",$D$2:D374,D374)-1)</f>
        <v>62</v>
      </c>
      <c r="O374" s="62" t="str">
        <f>IF(OR(D374="",NOT(AND(F374=1,G374="轿车"))),"",1+SUMPRODUCT(($F$2:$F$1001=1)*($G$2:$G$1001="轿车")*($D$2:$D$1001&gt;D374))+COUNTIFS($F$2:F374,1,$G$2:G374,"轿车",$D$2:D374,D374)-1)</f>
        <v/>
      </c>
      <c r="P374" s="62" t="str">
        <f>IF(OR(D374="",NOT(AND(F374=1,G374="MPV"))),"",1+SUMPRODUCT(($F$2:$F$1001=1)*($G$2:$G$1001="MPV")*($D$2:$D$1001&gt;D374))+COUNTIFS($F$2:F374,1,$G$2:G374,"MPV",$D$2:D374,D374)-1)</f>
        <v/>
      </c>
      <c r="Q374" s="62" t="str">
        <f>IF(OR(D374="",NOT(AND(F374=1,G374="SUV"))),"",1+SUMPRODUCT(($F$2:$F$1001=1)*($G$2:$G$1001="SUV")*($D$2:$D$1001&gt;D374))+COUNTIFS($F$2:F374,1,$G$2:G374,"SUV",$D$2:D374,D374)-1)</f>
        <v/>
      </c>
    </row>
    <row r="375" spans="1:17">
      <c r="A375" s="62" t="str">
        <f>IFERROR(INDEX($H$2:$H$3000,MATCH(0,INDEX(COUNTIF($A$1:A374,$H$2:$H$3000)+($H$2:$H$3000=""),0,0),0)),"")</f>
        <v>VOLVO♦EX90</v>
      </c>
      <c r="B375" s="62" t="str">
        <f t="shared" si="20"/>
        <v>VOLVO</v>
      </c>
      <c r="C375" s="62" t="str">
        <f t="shared" si="21"/>
        <v>EX90</v>
      </c>
      <c r="D375" s="63">
        <f t="shared" si="22"/>
        <v>9</v>
      </c>
      <c r="E375" s="62">
        <f>IF(D375="","",_xlfn.RANK.EQ(D375,$D$2:$D$1001,0)+COUNTIF($D$2:D375,D375)-1)</f>
        <v>148</v>
      </c>
      <c r="F375" s="62">
        <f>IF(B375="","",--(COUNTIF(CN_Brands!$A$2:$A$300,UPPER(B375))&gt;0))</f>
        <v>0</v>
      </c>
      <c r="G375" s="62" t="str">
        <f t="shared" si="23"/>
        <v>SUV</v>
      </c>
      <c r="H375" s="62" t="str">
        <f>IF(AND('Data Export'!A375=前十整体车型排名!$B$2,'Data Export'!B375=前十整体车型排名!$B$3,'Data Export'!D375&lt;&gt;""),UPPER('Data Export'!C375)&amp;"♦"&amp;'Data Export'!D375,"")</f>
        <v>LAND ROVER♦DEFENDER</v>
      </c>
      <c r="I375" s="63">
        <f>IF(H375="","",IFERROR(INDEX('Data Export'!G375:CZ375,1,MATCH(前十整体车型排名!$B$4,'Data Export'!$G$1:$CZ$1,0)),0))</f>
        <v>0</v>
      </c>
      <c r="J375" s="62" t="str">
        <f>IF(H375="","",IF(OR('Data Export'!F375="三厢轿车",'Data Export'!F375="掀背轿车",'Data Export'!F375="旅行车",'Data Export'!F375="微型车",'Data Export'!F375="硬顶跑车",'Data Export'!F375="敞蓬车",'Data Export'!F375="Targa"),"轿车",IF(OR('Data Export'!F375="小型MPV",'Data Export'!F375="客车"),"MPV",IF('Data Export'!F375="运动型多功能车","SUV","其他"))))</f>
        <v>SUV</v>
      </c>
      <c r="K375" s="62" t="str">
        <f>IF(OR(D375="",NOT(F375=1)),"",1+SUMPRODUCT(($F$2:$F$1001=1)*($D$2:$D$1001&gt;D375))+COUNTIFS($F$2:F375,1,$D$2:D375,D375)-1)</f>
        <v/>
      </c>
      <c r="L375" s="62" t="str">
        <f>IF(OR(D375="",NOT(G375="轿车")),"",1+SUMPRODUCT(($G$2:$G$1001="轿车")*($D$2:$D$1001&gt;D375))+COUNTIFS($G$2:G375,"轿车",$D$2:D375,D375)-1)</f>
        <v/>
      </c>
      <c r="M375" s="62" t="str">
        <f>IF(OR(D375="",NOT(G375="MPV")),"",1+SUMPRODUCT(($G$2:$G$1001="MPV")*($D$2:$D$1001&gt;D375))+COUNTIFS($G$2:G375,"MPV",$D$2:D375,D375)-1)</f>
        <v/>
      </c>
      <c r="N375" s="62">
        <f>IF(OR(D375="",NOT(G375="SUV")),"",1+SUMPRODUCT(($G$2:$G$1001="SUV")*($D$2:$D$1001&gt;D375))+COUNTIFS($G$2:G375,"SUV",$D$2:D375,D375)-1)</f>
        <v>81</v>
      </c>
      <c r="O375" s="62" t="str">
        <f>IF(OR(D375="",NOT(AND(F375=1,G375="轿车"))),"",1+SUMPRODUCT(($F$2:$F$1001=1)*($G$2:$G$1001="轿车")*($D$2:$D$1001&gt;D375))+COUNTIFS($F$2:F375,1,$G$2:G375,"轿车",$D$2:D375,D375)-1)</f>
        <v/>
      </c>
      <c r="P375" s="62" t="str">
        <f>IF(OR(D375="",NOT(AND(F375=1,G375="MPV"))),"",1+SUMPRODUCT(($F$2:$F$1001=1)*($G$2:$G$1001="MPV")*($D$2:$D$1001&gt;D375))+COUNTIFS($F$2:F375,1,$G$2:G375,"MPV",$D$2:D375,D375)-1)</f>
        <v/>
      </c>
      <c r="Q375" s="62" t="str">
        <f>IF(OR(D375="",NOT(AND(F375=1,G375="SUV"))),"",1+SUMPRODUCT(($F$2:$F$1001=1)*($G$2:$G$1001="SUV")*($D$2:$D$1001&gt;D375))+COUNTIFS($F$2:F375,1,$G$2:G375,"SUV",$D$2:D375,D375)-1)</f>
        <v/>
      </c>
    </row>
    <row r="376" spans="1:17">
      <c r="A376" s="62" t="str">
        <f>IFERROR(INDEX($H$2:$H$3000,MATCH(0,INDEX(COUNTIF($A$1:A375,$H$2:$H$3000)+($H$2:$H$3000=""),0,0),0)),"")</f>
        <v>VOLVO♦OTHER</v>
      </c>
      <c r="B376" s="62" t="str">
        <f t="shared" si="20"/>
        <v>VOLVO</v>
      </c>
      <c r="C376" s="62" t="str">
        <f t="shared" si="21"/>
        <v>OTHER</v>
      </c>
      <c r="D376" s="63">
        <f t="shared" si="22"/>
        <v>0</v>
      </c>
      <c r="E376" s="62">
        <f>IF(D376="","",_xlfn.RANK.EQ(D376,$D$2:$D$1001,0)+COUNTIF($D$2:D376,D376)-1)</f>
        <v>390</v>
      </c>
      <c r="F376" s="62">
        <f>IF(B376="","",--(COUNTIF(CN_Brands!$A$2:$A$300,UPPER(B376))&gt;0))</f>
        <v>0</v>
      </c>
      <c r="G376" s="62" t="str">
        <f t="shared" si="23"/>
        <v>其他</v>
      </c>
      <c r="H376" s="62" t="str">
        <f>IF(AND('Data Export'!A376=前十整体车型排名!$B$2,'Data Export'!B376=前十整体车型排名!$B$3,'Data Export'!D376&lt;&gt;""),UPPER('Data Export'!C376)&amp;"♦"&amp;'Data Export'!D376,"")</f>
        <v>LAND ROVER♦DEFENDER</v>
      </c>
      <c r="I376" s="63">
        <f>IF(H376="","",IFERROR(INDEX('Data Export'!G376:CZ376,1,MATCH(前十整体车型排名!$B$4,'Data Export'!$G$1:$CZ$1,0)),0))</f>
        <v>0</v>
      </c>
      <c r="J376" s="62" t="str">
        <f>IF(H376="","",IF(OR('Data Export'!F376="三厢轿车",'Data Export'!F376="掀背轿车",'Data Export'!F376="旅行车",'Data Export'!F376="微型车",'Data Export'!F376="硬顶跑车",'Data Export'!F376="敞蓬车",'Data Export'!F376="Targa"),"轿车",IF(OR('Data Export'!F376="小型MPV",'Data Export'!F376="客车"),"MPV",IF('Data Export'!F376="运动型多功能车","SUV","其他"))))</f>
        <v>SUV</v>
      </c>
      <c r="K376" s="62" t="str">
        <f>IF(OR(D376="",NOT(F376=1)),"",1+SUMPRODUCT(($F$2:$F$1001=1)*($D$2:$D$1001&gt;D376))+COUNTIFS($F$2:F376,1,$D$2:D376,D376)-1)</f>
        <v/>
      </c>
      <c r="L376" s="62" t="str">
        <f>IF(OR(D376="",NOT(G376="轿车")),"",1+SUMPRODUCT(($G$2:$G$1001="轿车")*($D$2:$D$1001&gt;D376))+COUNTIFS($G$2:G376,"轿车",$D$2:D376,D376)-1)</f>
        <v/>
      </c>
      <c r="M376" s="62" t="str">
        <f>IF(OR(D376="",NOT(G376="MPV")),"",1+SUMPRODUCT(($G$2:$G$1001="MPV")*($D$2:$D$1001&gt;D376))+COUNTIFS($G$2:G376,"MPV",$D$2:D376,D376)-1)</f>
        <v/>
      </c>
      <c r="N376" s="62" t="str">
        <f>IF(OR(D376="",NOT(G376="SUV")),"",1+SUMPRODUCT(($G$2:$G$1001="SUV")*($D$2:$D$1001&gt;D376))+COUNTIFS($G$2:G376,"SUV",$D$2:D376,D376)-1)</f>
        <v/>
      </c>
      <c r="O376" s="62" t="str">
        <f>IF(OR(D376="",NOT(AND(F376=1,G376="轿车"))),"",1+SUMPRODUCT(($F$2:$F$1001=1)*($G$2:$G$1001="轿车")*($D$2:$D$1001&gt;D376))+COUNTIFS($F$2:F376,1,$G$2:G376,"轿车",$D$2:D376,D376)-1)</f>
        <v/>
      </c>
      <c r="P376" s="62" t="str">
        <f>IF(OR(D376="",NOT(AND(F376=1,G376="MPV"))),"",1+SUMPRODUCT(($F$2:$F$1001=1)*($G$2:$G$1001="MPV")*($D$2:$D$1001&gt;D376))+COUNTIFS($F$2:F376,1,$G$2:G376,"MPV",$D$2:D376,D376)-1)</f>
        <v/>
      </c>
      <c r="Q376" s="62" t="str">
        <f>IF(OR(D376="",NOT(AND(F376=1,G376="SUV"))),"",1+SUMPRODUCT(($F$2:$F$1001=1)*($G$2:$G$1001="SUV")*($D$2:$D$1001&gt;D376))+COUNTIFS($F$2:F376,1,$G$2:G376,"SUV",$D$2:D376,D376)-1)</f>
        <v/>
      </c>
    </row>
    <row r="377" spans="1:17">
      <c r="A377" s="62" t="str">
        <f>IFERROR(INDEX($H$2:$H$3000,MATCH(0,INDEX(COUNTIF($A$1:A376,$H$2:$H$3000)+($H$2:$H$3000=""),0,0),0)),"")</f>
        <v>VOLVO♦S60</v>
      </c>
      <c r="B377" s="62" t="str">
        <f t="shared" si="20"/>
        <v>VOLVO</v>
      </c>
      <c r="C377" s="62" t="str">
        <f t="shared" si="21"/>
        <v>S60</v>
      </c>
      <c r="D377" s="63">
        <f t="shared" si="22"/>
        <v>2</v>
      </c>
      <c r="E377" s="62">
        <f>IF(D377="","",_xlfn.RANK.EQ(D377,$D$2:$D$1001,0)+COUNTIF($D$2:D377,D377)-1)</f>
        <v>216</v>
      </c>
      <c r="F377" s="62">
        <f>IF(B377="","",--(COUNTIF(CN_Brands!$A$2:$A$300,UPPER(B377))&gt;0))</f>
        <v>0</v>
      </c>
      <c r="G377" s="62" t="str">
        <f t="shared" si="23"/>
        <v>轿车</v>
      </c>
      <c r="H377" s="62" t="str">
        <f>IF(AND('Data Export'!A377=前十整体车型排名!$B$2,'Data Export'!B377=前十整体车型排名!$B$3,'Data Export'!D377&lt;&gt;""),UPPER('Data Export'!C377)&amp;"♦"&amp;'Data Export'!D377,"")</f>
        <v>LAND ROVER♦DEFENDER</v>
      </c>
      <c r="I377" s="63">
        <f>IF(H377="","",IFERROR(INDEX('Data Export'!G377:CZ377,1,MATCH(前十整体车型排名!$B$4,'Data Export'!$G$1:$CZ$1,0)),0))</f>
        <v>0</v>
      </c>
      <c r="J377" s="62" t="str">
        <f>IF(H377="","",IF(OR('Data Export'!F377="三厢轿车",'Data Export'!F377="掀背轿车",'Data Export'!F377="旅行车",'Data Export'!F377="微型车",'Data Export'!F377="硬顶跑车",'Data Export'!F377="敞蓬车",'Data Export'!F377="Targa"),"轿车",IF(OR('Data Export'!F377="小型MPV",'Data Export'!F377="客车"),"MPV",IF('Data Export'!F377="运动型多功能车","SUV","其他"))))</f>
        <v>SUV</v>
      </c>
      <c r="K377" s="62" t="str">
        <f>IF(OR(D377="",NOT(F377=1)),"",1+SUMPRODUCT(($F$2:$F$1001=1)*($D$2:$D$1001&gt;D377))+COUNTIFS($F$2:F377,1,$D$2:D377,D377)-1)</f>
        <v/>
      </c>
      <c r="L377" s="62">
        <f>IF(OR(D377="",NOT(G377="轿车")),"",1+SUMPRODUCT(($G$2:$G$1001="轿车")*($D$2:$D$1001&gt;D377))+COUNTIFS($G$2:G377,"轿车",$D$2:D377,D377)-1)</f>
        <v>62</v>
      </c>
      <c r="M377" s="62" t="str">
        <f>IF(OR(D377="",NOT(G377="MPV")),"",1+SUMPRODUCT(($G$2:$G$1001="MPV")*($D$2:$D$1001&gt;D377))+COUNTIFS($G$2:G377,"MPV",$D$2:D377,D377)-1)</f>
        <v/>
      </c>
      <c r="N377" s="62" t="str">
        <f>IF(OR(D377="",NOT(G377="SUV")),"",1+SUMPRODUCT(($G$2:$G$1001="SUV")*($D$2:$D$1001&gt;D377))+COUNTIFS($G$2:G377,"SUV",$D$2:D377,D377)-1)</f>
        <v/>
      </c>
      <c r="O377" s="62" t="str">
        <f>IF(OR(D377="",NOT(AND(F377=1,G377="轿车"))),"",1+SUMPRODUCT(($F$2:$F$1001=1)*($G$2:$G$1001="轿车")*($D$2:$D$1001&gt;D377))+COUNTIFS($F$2:F377,1,$G$2:G377,"轿车",$D$2:D377,D377)-1)</f>
        <v/>
      </c>
      <c r="P377" s="62" t="str">
        <f>IF(OR(D377="",NOT(AND(F377=1,G377="MPV"))),"",1+SUMPRODUCT(($F$2:$F$1001=1)*($G$2:$G$1001="MPV")*($D$2:$D$1001&gt;D377))+COUNTIFS($F$2:F377,1,$G$2:G377,"MPV",$D$2:D377,D377)-1)</f>
        <v/>
      </c>
      <c r="Q377" s="62" t="str">
        <f>IF(OR(D377="",NOT(AND(F377=1,G377="SUV"))),"",1+SUMPRODUCT(($F$2:$F$1001=1)*($G$2:$G$1001="SUV")*($D$2:$D$1001&gt;D377))+COUNTIFS($F$2:F377,1,$G$2:G377,"SUV",$D$2:D377,D377)-1)</f>
        <v/>
      </c>
    </row>
    <row r="378" spans="1:17">
      <c r="A378" s="62" t="str">
        <f>IFERROR(INDEX($H$2:$H$3000,MATCH(0,INDEX(COUNTIF($A$1:A377,$H$2:$H$3000)+($H$2:$H$3000=""),0,0),0)),"")</f>
        <v>VOLVO♦S90</v>
      </c>
      <c r="B378" s="62" t="str">
        <f t="shared" si="20"/>
        <v>VOLVO</v>
      </c>
      <c r="C378" s="62" t="str">
        <f t="shared" si="21"/>
        <v>S90</v>
      </c>
      <c r="D378" s="63">
        <f t="shared" si="22"/>
        <v>3</v>
      </c>
      <c r="E378" s="62">
        <f>IF(D378="","",_xlfn.RANK.EQ(D378,$D$2:$D$1001,0)+COUNTIF($D$2:D378,D378)-1)</f>
        <v>197</v>
      </c>
      <c r="F378" s="62">
        <f>IF(B378="","",--(COUNTIF(CN_Brands!$A$2:$A$300,UPPER(B378))&gt;0))</f>
        <v>0</v>
      </c>
      <c r="G378" s="62" t="str">
        <f t="shared" si="23"/>
        <v>轿车</v>
      </c>
      <c r="H378" s="62" t="str">
        <f>IF(AND('Data Export'!A378=前十整体车型排名!$B$2,'Data Export'!B378=前十整体车型排名!$B$3,'Data Export'!D378&lt;&gt;""),UPPER('Data Export'!C378)&amp;"♦"&amp;'Data Export'!D378,"")</f>
        <v>LAND ROVER♦DEFENDER</v>
      </c>
      <c r="I378" s="63">
        <f>IF(H378="","",IFERROR(INDEX('Data Export'!G378:CZ378,1,MATCH(前十整体车型排名!$B$4,'Data Export'!$G$1:$CZ$1,0)),0))</f>
        <v>0</v>
      </c>
      <c r="J378" s="62" t="str">
        <f>IF(H378="","",IF(OR('Data Export'!F378="三厢轿车",'Data Export'!F378="掀背轿车",'Data Export'!F378="旅行车",'Data Export'!F378="微型车",'Data Export'!F378="硬顶跑车",'Data Export'!F378="敞蓬车",'Data Export'!F378="Targa"),"轿车",IF(OR('Data Export'!F378="小型MPV",'Data Export'!F378="客车"),"MPV",IF('Data Export'!F378="运动型多功能车","SUV","其他"))))</f>
        <v>SUV</v>
      </c>
      <c r="K378" s="62" t="str">
        <f>IF(OR(D378="",NOT(F378=1)),"",1+SUMPRODUCT(($F$2:$F$1001=1)*($D$2:$D$1001&gt;D378))+COUNTIFS($F$2:F378,1,$D$2:D378,D378)-1)</f>
        <v/>
      </c>
      <c r="L378" s="62">
        <f>IF(OR(D378="",NOT(G378="轿车")),"",1+SUMPRODUCT(($G$2:$G$1001="轿车")*($D$2:$D$1001&gt;D378))+COUNTIFS($G$2:G378,"轿车",$D$2:D378,D378)-1)</f>
        <v>55</v>
      </c>
      <c r="M378" s="62" t="str">
        <f>IF(OR(D378="",NOT(G378="MPV")),"",1+SUMPRODUCT(($G$2:$G$1001="MPV")*($D$2:$D$1001&gt;D378))+COUNTIFS($G$2:G378,"MPV",$D$2:D378,D378)-1)</f>
        <v/>
      </c>
      <c r="N378" s="62" t="str">
        <f>IF(OR(D378="",NOT(G378="SUV")),"",1+SUMPRODUCT(($G$2:$G$1001="SUV")*($D$2:$D$1001&gt;D378))+COUNTIFS($G$2:G378,"SUV",$D$2:D378,D378)-1)</f>
        <v/>
      </c>
      <c r="O378" s="62" t="str">
        <f>IF(OR(D378="",NOT(AND(F378=1,G378="轿车"))),"",1+SUMPRODUCT(($F$2:$F$1001=1)*($G$2:$G$1001="轿车")*($D$2:$D$1001&gt;D378))+COUNTIFS($F$2:F378,1,$G$2:G378,"轿车",$D$2:D378,D378)-1)</f>
        <v/>
      </c>
      <c r="P378" s="62" t="str">
        <f>IF(OR(D378="",NOT(AND(F378=1,G378="MPV"))),"",1+SUMPRODUCT(($F$2:$F$1001=1)*($G$2:$G$1001="MPV")*($D$2:$D$1001&gt;D378))+COUNTIFS($F$2:F378,1,$G$2:G378,"MPV",$D$2:D378,D378)-1)</f>
        <v/>
      </c>
      <c r="Q378" s="62" t="str">
        <f>IF(OR(D378="",NOT(AND(F378=1,G378="SUV"))),"",1+SUMPRODUCT(($F$2:$F$1001=1)*($G$2:$G$1001="SUV")*($D$2:$D$1001&gt;D378))+COUNTIFS($F$2:F378,1,$G$2:G378,"SUV",$D$2:D378,D378)-1)</f>
        <v/>
      </c>
    </row>
    <row r="379" spans="1:17">
      <c r="A379" s="62" t="str">
        <f>IFERROR(INDEX($H$2:$H$3000,MATCH(0,INDEX(COUNTIF($A$1:A378,$H$2:$H$3000)+($H$2:$H$3000=""),0,0),0)),"")</f>
        <v>VOLVO♦V60</v>
      </c>
      <c r="B379" s="62" t="str">
        <f t="shared" si="20"/>
        <v>VOLVO</v>
      </c>
      <c r="C379" s="62" t="str">
        <f t="shared" si="21"/>
        <v>V60</v>
      </c>
      <c r="D379" s="63">
        <f t="shared" si="22"/>
        <v>2</v>
      </c>
      <c r="E379" s="62">
        <f>IF(D379="","",_xlfn.RANK.EQ(D379,$D$2:$D$1001,0)+COUNTIF($D$2:D379,D379)-1)</f>
        <v>217</v>
      </c>
      <c r="F379" s="62">
        <f>IF(B379="","",--(COUNTIF(CN_Brands!$A$2:$A$300,UPPER(B379))&gt;0))</f>
        <v>0</v>
      </c>
      <c r="G379" s="62" t="str">
        <f t="shared" si="23"/>
        <v>轿车</v>
      </c>
      <c r="H379" s="62" t="str">
        <f>IF(AND('Data Export'!A379=前十整体车型排名!$B$2,'Data Export'!B379=前十整体车型排名!$B$3,'Data Export'!D379&lt;&gt;""),UPPER('Data Export'!C379)&amp;"♦"&amp;'Data Export'!D379,"")</f>
        <v>LAND ROVER♦DISCOVERY</v>
      </c>
      <c r="I379" s="63">
        <f>IF(H379="","",IFERROR(INDEX('Data Export'!G379:CZ379,1,MATCH(前十整体车型排名!$B$4,'Data Export'!$G$1:$CZ$1,0)),0))</f>
        <v>0</v>
      </c>
      <c r="J379" s="62" t="str">
        <f>IF(H379="","",IF(OR('Data Export'!F379="三厢轿车",'Data Export'!F379="掀背轿车",'Data Export'!F379="旅行车",'Data Export'!F379="微型车",'Data Export'!F379="硬顶跑车",'Data Export'!F379="敞蓬车",'Data Export'!F379="Targa"),"轿车",IF(OR('Data Export'!F379="小型MPV",'Data Export'!F379="客车"),"MPV",IF('Data Export'!F379="运动型多功能车","SUV","其他"))))</f>
        <v>SUV</v>
      </c>
      <c r="K379" s="62" t="str">
        <f>IF(OR(D379="",NOT(F379=1)),"",1+SUMPRODUCT(($F$2:$F$1001=1)*($D$2:$D$1001&gt;D379))+COUNTIFS($F$2:F379,1,$D$2:D379,D379)-1)</f>
        <v/>
      </c>
      <c r="L379" s="62">
        <f>IF(OR(D379="",NOT(G379="轿车")),"",1+SUMPRODUCT(($G$2:$G$1001="轿车")*($D$2:$D$1001&gt;D379))+COUNTIFS($G$2:G379,"轿车",$D$2:D379,D379)-1)</f>
        <v>63</v>
      </c>
      <c r="M379" s="62" t="str">
        <f>IF(OR(D379="",NOT(G379="MPV")),"",1+SUMPRODUCT(($G$2:$G$1001="MPV")*($D$2:$D$1001&gt;D379))+COUNTIFS($G$2:G379,"MPV",$D$2:D379,D379)-1)</f>
        <v/>
      </c>
      <c r="N379" s="62" t="str">
        <f>IF(OR(D379="",NOT(G379="SUV")),"",1+SUMPRODUCT(($G$2:$G$1001="SUV")*($D$2:$D$1001&gt;D379))+COUNTIFS($G$2:G379,"SUV",$D$2:D379,D379)-1)</f>
        <v/>
      </c>
      <c r="O379" s="62" t="str">
        <f>IF(OR(D379="",NOT(AND(F379=1,G379="轿车"))),"",1+SUMPRODUCT(($F$2:$F$1001=1)*($G$2:$G$1001="轿车")*($D$2:$D$1001&gt;D379))+COUNTIFS($F$2:F379,1,$G$2:G379,"轿车",$D$2:D379,D379)-1)</f>
        <v/>
      </c>
      <c r="P379" s="62" t="str">
        <f>IF(OR(D379="",NOT(AND(F379=1,G379="MPV"))),"",1+SUMPRODUCT(($F$2:$F$1001=1)*($G$2:$G$1001="MPV")*($D$2:$D$1001&gt;D379))+COUNTIFS($F$2:F379,1,$G$2:G379,"MPV",$D$2:D379,D379)-1)</f>
        <v/>
      </c>
      <c r="Q379" s="62" t="str">
        <f>IF(OR(D379="",NOT(AND(F379=1,G379="SUV"))),"",1+SUMPRODUCT(($F$2:$F$1001=1)*($G$2:$G$1001="SUV")*($D$2:$D$1001&gt;D379))+COUNTIFS($F$2:F379,1,$G$2:G379,"SUV",$D$2:D379,D379)-1)</f>
        <v/>
      </c>
    </row>
    <row r="380" spans="1:17">
      <c r="A380" s="62" t="str">
        <f>IFERROR(INDEX($H$2:$H$3000,MATCH(0,INDEX(COUNTIF($A$1:A379,$H$2:$H$3000)+($H$2:$H$3000=""),0,0),0)),"")</f>
        <v>VOLVO♦XC40</v>
      </c>
      <c r="B380" s="62" t="str">
        <f t="shared" si="20"/>
        <v>VOLVO</v>
      </c>
      <c r="C380" s="62" t="str">
        <f t="shared" si="21"/>
        <v>XC40</v>
      </c>
      <c r="D380" s="63">
        <f t="shared" si="22"/>
        <v>1</v>
      </c>
      <c r="E380" s="62">
        <f>IF(D380="","",_xlfn.RANK.EQ(D380,$D$2:$D$1001,0)+COUNTIF($D$2:D380,D380)-1)</f>
        <v>262</v>
      </c>
      <c r="F380" s="62">
        <f>IF(B380="","",--(COUNTIF(CN_Brands!$A$2:$A$300,UPPER(B380))&gt;0))</f>
        <v>0</v>
      </c>
      <c r="G380" s="62" t="str">
        <f t="shared" si="23"/>
        <v>SUV</v>
      </c>
      <c r="H380" s="62" t="str">
        <f>IF(AND('Data Export'!A380=前十整体车型排名!$B$2,'Data Export'!B380=前十整体车型排名!$B$3,'Data Export'!D380&lt;&gt;""),UPPER('Data Export'!C380)&amp;"♦"&amp;'Data Export'!D380,"")</f>
        <v>LAND ROVER♦RANGE ROVER</v>
      </c>
      <c r="I380" s="63">
        <f>IF(H380="","",IFERROR(INDEX('Data Export'!G380:CZ380,1,MATCH(前十整体车型排名!$B$4,'Data Export'!$G$1:$CZ$1,0)),0))</f>
        <v>3</v>
      </c>
      <c r="J380" s="62" t="str">
        <f>IF(H380="","",IF(OR('Data Export'!F380="三厢轿车",'Data Export'!F380="掀背轿车",'Data Export'!F380="旅行车",'Data Export'!F380="微型车",'Data Export'!F380="硬顶跑车",'Data Export'!F380="敞蓬车",'Data Export'!F380="Targa"),"轿车",IF(OR('Data Export'!F380="小型MPV",'Data Export'!F380="客车"),"MPV",IF('Data Export'!F380="运动型多功能车","SUV","其他"))))</f>
        <v>SUV</v>
      </c>
      <c r="K380" s="62" t="str">
        <f>IF(OR(D380="",NOT(F380=1)),"",1+SUMPRODUCT(($F$2:$F$1001=1)*($D$2:$D$1001&gt;D380))+COUNTIFS($F$2:F380,1,$D$2:D380,D380)-1)</f>
        <v/>
      </c>
      <c r="L380" s="62" t="str">
        <f>IF(OR(D380="",NOT(G380="轿车")),"",1+SUMPRODUCT(($G$2:$G$1001="轿车")*($D$2:$D$1001&gt;D380))+COUNTIFS($G$2:G380,"轿车",$D$2:D380,D380)-1)</f>
        <v/>
      </c>
      <c r="M380" s="62" t="str">
        <f>IF(OR(D380="",NOT(G380="MPV")),"",1+SUMPRODUCT(($G$2:$G$1001="MPV")*($D$2:$D$1001&gt;D380))+COUNTIFS($G$2:G380,"MPV",$D$2:D380,D380)-1)</f>
        <v/>
      </c>
      <c r="N380" s="62">
        <f>IF(OR(D380="",NOT(G380="SUV")),"",1+SUMPRODUCT(($G$2:$G$1001="SUV")*($D$2:$D$1001&gt;D380))+COUNTIFS($G$2:G380,"SUV",$D$2:D380,D380)-1)</f>
        <v>127</v>
      </c>
      <c r="O380" s="62" t="str">
        <f>IF(OR(D380="",NOT(AND(F380=1,G380="轿车"))),"",1+SUMPRODUCT(($F$2:$F$1001=1)*($G$2:$G$1001="轿车")*($D$2:$D$1001&gt;D380))+COUNTIFS($F$2:F380,1,$G$2:G380,"轿车",$D$2:D380,D380)-1)</f>
        <v/>
      </c>
      <c r="P380" s="62" t="str">
        <f>IF(OR(D380="",NOT(AND(F380=1,G380="MPV"))),"",1+SUMPRODUCT(($F$2:$F$1001=1)*($G$2:$G$1001="MPV")*($D$2:$D$1001&gt;D380))+COUNTIFS($F$2:F380,1,$G$2:G380,"MPV",$D$2:D380,D380)-1)</f>
        <v/>
      </c>
      <c r="Q380" s="62" t="str">
        <f>IF(OR(D380="",NOT(AND(F380=1,G380="SUV"))),"",1+SUMPRODUCT(($F$2:$F$1001=1)*($G$2:$G$1001="SUV")*($D$2:$D$1001&gt;D380))+COUNTIFS($F$2:F380,1,$G$2:G380,"SUV",$D$2:D380,D380)-1)</f>
        <v/>
      </c>
    </row>
    <row r="381" spans="1:17">
      <c r="A381" s="62" t="str">
        <f>IFERROR(INDEX($H$2:$H$3000,MATCH(0,INDEX(COUNTIF($A$1:A380,$H$2:$H$3000)+($H$2:$H$3000=""),0,0),0)),"")</f>
        <v>VOLVO♦XC60</v>
      </c>
      <c r="B381" s="62" t="str">
        <f t="shared" si="20"/>
        <v>VOLVO</v>
      </c>
      <c r="C381" s="62" t="str">
        <f t="shared" si="21"/>
        <v>XC60</v>
      </c>
      <c r="D381" s="63">
        <f t="shared" si="22"/>
        <v>11</v>
      </c>
      <c r="E381" s="62">
        <f>IF(D381="","",_xlfn.RANK.EQ(D381,$D$2:$D$1001,0)+COUNTIF($D$2:D381,D381)-1)</f>
        <v>142</v>
      </c>
      <c r="F381" s="62">
        <f>IF(B381="","",--(COUNTIF(CN_Brands!$A$2:$A$300,UPPER(B381))&gt;0))</f>
        <v>0</v>
      </c>
      <c r="G381" s="62" t="str">
        <f t="shared" si="23"/>
        <v>SUV</v>
      </c>
      <c r="H381" s="62" t="str">
        <f>IF(AND('Data Export'!A381=前十整体车型排名!$B$2,'Data Export'!B381=前十整体车型排名!$B$3,'Data Export'!D381&lt;&gt;""),UPPER('Data Export'!C381)&amp;"♦"&amp;'Data Export'!D381,"")</f>
        <v>LAND ROVER♦RANGE ROVER</v>
      </c>
      <c r="I381" s="63">
        <f>IF(H381="","",IFERROR(INDEX('Data Export'!G381:CZ381,1,MATCH(前十整体车型排名!$B$4,'Data Export'!$G$1:$CZ$1,0)),0))</f>
        <v>0</v>
      </c>
      <c r="J381" s="62" t="str">
        <f>IF(H381="","",IF(OR('Data Export'!F381="三厢轿车",'Data Export'!F381="掀背轿车",'Data Export'!F381="旅行车",'Data Export'!F381="微型车",'Data Export'!F381="硬顶跑车",'Data Export'!F381="敞蓬车",'Data Export'!F381="Targa"),"轿车",IF(OR('Data Export'!F381="小型MPV",'Data Export'!F381="客车"),"MPV",IF('Data Export'!F381="运动型多功能车","SUV","其他"))))</f>
        <v>SUV</v>
      </c>
      <c r="K381" s="62" t="str">
        <f>IF(OR(D381="",NOT(F381=1)),"",1+SUMPRODUCT(($F$2:$F$1001=1)*($D$2:$D$1001&gt;D381))+COUNTIFS($F$2:F381,1,$D$2:D381,D381)-1)</f>
        <v/>
      </c>
      <c r="L381" s="62" t="str">
        <f>IF(OR(D381="",NOT(G381="轿车")),"",1+SUMPRODUCT(($G$2:$G$1001="轿车")*($D$2:$D$1001&gt;D381))+COUNTIFS($G$2:G381,"轿车",$D$2:D381,D381)-1)</f>
        <v/>
      </c>
      <c r="M381" s="62" t="str">
        <f>IF(OR(D381="",NOT(G381="MPV")),"",1+SUMPRODUCT(($G$2:$G$1001="MPV")*($D$2:$D$1001&gt;D381))+COUNTIFS($G$2:G381,"MPV",$D$2:D381,D381)-1)</f>
        <v/>
      </c>
      <c r="N381" s="62">
        <f>IF(OR(D381="",NOT(G381="SUV")),"",1+SUMPRODUCT(($G$2:$G$1001="SUV")*($D$2:$D$1001&gt;D381))+COUNTIFS($G$2:G381,"SUV",$D$2:D381,D381)-1)</f>
        <v>77</v>
      </c>
      <c r="O381" s="62" t="str">
        <f>IF(OR(D381="",NOT(AND(F381=1,G381="轿车"))),"",1+SUMPRODUCT(($F$2:$F$1001=1)*($G$2:$G$1001="轿车")*($D$2:$D$1001&gt;D381))+COUNTIFS($F$2:F381,1,$G$2:G381,"轿车",$D$2:D381,D381)-1)</f>
        <v/>
      </c>
      <c r="P381" s="62" t="str">
        <f>IF(OR(D381="",NOT(AND(F381=1,G381="MPV"))),"",1+SUMPRODUCT(($F$2:$F$1001=1)*($G$2:$G$1001="MPV")*($D$2:$D$1001&gt;D381))+COUNTIFS($F$2:F381,1,$G$2:G381,"MPV",$D$2:D381,D381)-1)</f>
        <v/>
      </c>
      <c r="Q381" s="62" t="str">
        <f>IF(OR(D381="",NOT(AND(F381=1,G381="SUV"))),"",1+SUMPRODUCT(($F$2:$F$1001=1)*($G$2:$G$1001="SUV")*($D$2:$D$1001&gt;D381))+COUNTIFS($F$2:F381,1,$G$2:G381,"SUV",$D$2:D381,D381)-1)</f>
        <v/>
      </c>
    </row>
    <row r="382" spans="1:17">
      <c r="A382" s="62" t="str">
        <f>IFERROR(INDEX($H$2:$H$3000,MATCH(0,INDEX(COUNTIF($A$1:A381,$H$2:$H$3000)+($H$2:$H$3000=""),0,0),0)),"")</f>
        <v>VOLVO♦XC90</v>
      </c>
      <c r="B382" s="62" t="str">
        <f t="shared" si="20"/>
        <v>VOLVO</v>
      </c>
      <c r="C382" s="62" t="str">
        <f t="shared" si="21"/>
        <v>XC90</v>
      </c>
      <c r="D382" s="63">
        <f t="shared" si="22"/>
        <v>1</v>
      </c>
      <c r="E382" s="62">
        <f>IF(D382="","",_xlfn.RANK.EQ(D382,$D$2:$D$1001,0)+COUNTIF($D$2:D382,D382)-1)</f>
        <v>263</v>
      </c>
      <c r="F382" s="62">
        <f>IF(B382="","",--(COUNTIF(CN_Brands!$A$2:$A$300,UPPER(B382))&gt;0))</f>
        <v>0</v>
      </c>
      <c r="G382" s="62" t="str">
        <f t="shared" si="23"/>
        <v>SUV</v>
      </c>
      <c r="H382" s="62" t="str">
        <f>IF(AND('Data Export'!A382=前十整体车型排名!$B$2,'Data Export'!B382=前十整体车型排名!$B$3,'Data Export'!D382&lt;&gt;""),UPPER('Data Export'!C382)&amp;"♦"&amp;'Data Export'!D382,"")</f>
        <v>LAND ROVER♦RANGE ROVER</v>
      </c>
      <c r="I382" s="63">
        <f>IF(H382="","",IFERROR(INDEX('Data Export'!G382:CZ382,1,MATCH(前十整体车型排名!$B$4,'Data Export'!$G$1:$CZ$1,0)),0))</f>
        <v>0</v>
      </c>
      <c r="J382" s="62" t="str">
        <f>IF(H382="","",IF(OR('Data Export'!F382="三厢轿车",'Data Export'!F382="掀背轿车",'Data Export'!F382="旅行车",'Data Export'!F382="微型车",'Data Export'!F382="硬顶跑车",'Data Export'!F382="敞蓬车",'Data Export'!F382="Targa"),"轿车",IF(OR('Data Export'!F382="小型MPV",'Data Export'!F382="客车"),"MPV",IF('Data Export'!F382="运动型多功能车","SUV","其他"))))</f>
        <v>SUV</v>
      </c>
      <c r="K382" s="62" t="str">
        <f>IF(OR(D382="",NOT(F382=1)),"",1+SUMPRODUCT(($F$2:$F$1001=1)*($D$2:$D$1001&gt;D382))+COUNTIFS($F$2:F382,1,$D$2:D382,D382)-1)</f>
        <v/>
      </c>
      <c r="L382" s="62" t="str">
        <f>IF(OR(D382="",NOT(G382="轿车")),"",1+SUMPRODUCT(($G$2:$G$1001="轿车")*($D$2:$D$1001&gt;D382))+COUNTIFS($G$2:G382,"轿车",$D$2:D382,D382)-1)</f>
        <v/>
      </c>
      <c r="M382" s="62" t="str">
        <f>IF(OR(D382="",NOT(G382="MPV")),"",1+SUMPRODUCT(($G$2:$G$1001="MPV")*($D$2:$D$1001&gt;D382))+COUNTIFS($G$2:G382,"MPV",$D$2:D382,D382)-1)</f>
        <v/>
      </c>
      <c r="N382" s="62">
        <f>IF(OR(D382="",NOT(G382="SUV")),"",1+SUMPRODUCT(($G$2:$G$1001="SUV")*($D$2:$D$1001&gt;D382))+COUNTIFS($G$2:G382,"SUV",$D$2:D382,D382)-1)</f>
        <v>128</v>
      </c>
      <c r="O382" s="62" t="str">
        <f>IF(OR(D382="",NOT(AND(F382=1,G382="轿车"))),"",1+SUMPRODUCT(($F$2:$F$1001=1)*($G$2:$G$1001="轿车")*($D$2:$D$1001&gt;D382))+COUNTIFS($F$2:F382,1,$G$2:G382,"轿车",$D$2:D382,D382)-1)</f>
        <v/>
      </c>
      <c r="P382" s="62" t="str">
        <f>IF(OR(D382="",NOT(AND(F382=1,G382="MPV"))),"",1+SUMPRODUCT(($F$2:$F$1001=1)*($G$2:$G$1001="MPV")*($D$2:$D$1001&gt;D382))+COUNTIFS($F$2:F382,1,$G$2:G382,"MPV",$D$2:D382,D382)-1)</f>
        <v/>
      </c>
      <c r="Q382" s="62" t="str">
        <f>IF(OR(D382="",NOT(AND(F382=1,G382="SUV"))),"",1+SUMPRODUCT(($F$2:$F$1001=1)*($G$2:$G$1001="SUV")*($D$2:$D$1001&gt;D382))+COUNTIFS($F$2:F382,1,$G$2:G382,"SUV",$D$2:D382,D382)-1)</f>
        <v/>
      </c>
    </row>
    <row r="383" spans="1:17">
      <c r="A383" s="62" t="str">
        <f>IFERROR(INDEX($H$2:$H$3000,MATCH(0,INDEX(COUNTIF($A$1:A382,$H$2:$H$3000)+($H$2:$H$3000=""),0,0),0)),"")</f>
        <v>WEY♦G9</v>
      </c>
      <c r="B383" s="62" t="str">
        <f t="shared" si="20"/>
        <v>WEY</v>
      </c>
      <c r="C383" s="62" t="str">
        <f t="shared" si="21"/>
        <v>G9</v>
      </c>
      <c r="D383" s="63">
        <f t="shared" si="22"/>
        <v>53</v>
      </c>
      <c r="E383" s="62">
        <f>IF(D383="","",_xlfn.RANK.EQ(D383,$D$2:$D$1001,0)+COUNTIF($D$2:D383,D383)-1)</f>
        <v>96</v>
      </c>
      <c r="F383" s="62">
        <f>IF(B383="","",--(COUNTIF(CN_Brands!$A$2:$A$300,UPPER(B383))&gt;0))</f>
        <v>1</v>
      </c>
      <c r="G383" s="62" t="str">
        <f t="shared" si="23"/>
        <v>其他</v>
      </c>
      <c r="H383" s="62" t="str">
        <f>IF(AND('Data Export'!A383=前十整体车型排名!$B$2,'Data Export'!B383=前十整体车型排名!$B$3,'Data Export'!D383&lt;&gt;""),UPPER('Data Export'!C383)&amp;"♦"&amp;'Data Export'!D383,"")</f>
        <v>LAND ROVER♦RANGE ROVER EVOQUE</v>
      </c>
      <c r="I383" s="63">
        <f>IF(H383="","",IFERROR(INDEX('Data Export'!G383:CZ383,1,MATCH(前十整体车型排名!$B$4,'Data Export'!$G$1:$CZ$1,0)),0))</f>
        <v>0</v>
      </c>
      <c r="J383" s="62" t="str">
        <f>IF(H383="","",IF(OR('Data Export'!F383="三厢轿车",'Data Export'!F383="掀背轿车",'Data Export'!F383="旅行车",'Data Export'!F383="微型车",'Data Export'!F383="硬顶跑车",'Data Export'!F383="敞蓬车",'Data Export'!F383="Targa"),"轿车",IF(OR('Data Export'!F383="小型MPV",'Data Export'!F383="客车"),"MPV",IF('Data Export'!F383="运动型多功能车","SUV","其他"))))</f>
        <v>SUV</v>
      </c>
      <c r="K383" s="62">
        <f>IF(OR(D383="",NOT(F383=1)),"",1+SUMPRODUCT(($F$2:$F$1001=1)*($D$2:$D$1001&gt;D383))+COUNTIFS($F$2:F383,1,$D$2:D383,D383)-1)</f>
        <v>44</v>
      </c>
      <c r="L383" s="62" t="str">
        <f>IF(OR(D383="",NOT(G383="轿车")),"",1+SUMPRODUCT(($G$2:$G$1001="轿车")*($D$2:$D$1001&gt;D383))+COUNTIFS($G$2:G383,"轿车",$D$2:D383,D383)-1)</f>
        <v/>
      </c>
      <c r="M383" s="62" t="str">
        <f>IF(OR(D383="",NOT(G383="MPV")),"",1+SUMPRODUCT(($G$2:$G$1001="MPV")*($D$2:$D$1001&gt;D383))+COUNTIFS($G$2:G383,"MPV",$D$2:D383,D383)-1)</f>
        <v/>
      </c>
      <c r="N383" s="62" t="str">
        <f>IF(OR(D383="",NOT(G383="SUV")),"",1+SUMPRODUCT(($G$2:$G$1001="SUV")*($D$2:$D$1001&gt;D383))+COUNTIFS($G$2:G383,"SUV",$D$2:D383,D383)-1)</f>
        <v/>
      </c>
      <c r="O383" s="62" t="str">
        <f>IF(OR(D383="",NOT(AND(F383=1,G383="轿车"))),"",1+SUMPRODUCT(($F$2:$F$1001=1)*($G$2:$G$1001="轿车")*($D$2:$D$1001&gt;D383))+COUNTIFS($F$2:F383,1,$G$2:G383,"轿车",$D$2:D383,D383)-1)</f>
        <v/>
      </c>
      <c r="P383" s="62" t="str">
        <f>IF(OR(D383="",NOT(AND(F383=1,G383="MPV"))),"",1+SUMPRODUCT(($F$2:$F$1001=1)*($G$2:$G$1001="MPV")*($D$2:$D$1001&gt;D383))+COUNTIFS($F$2:F383,1,$G$2:G383,"MPV",$D$2:D383,D383)-1)</f>
        <v/>
      </c>
      <c r="Q383" s="62" t="str">
        <f>IF(OR(D383="",NOT(AND(F383=1,G383="SUV"))),"",1+SUMPRODUCT(($F$2:$F$1001=1)*($G$2:$G$1001="SUV")*($D$2:$D$1001&gt;D383))+COUNTIFS($F$2:F383,1,$G$2:G383,"SUV",$D$2:D383,D383)-1)</f>
        <v/>
      </c>
    </row>
    <row r="384" spans="1:17">
      <c r="A384" s="62" t="str">
        <f>IFERROR(INDEX($H$2:$H$3000,MATCH(0,INDEX(COUNTIF($A$1:A383,$H$2:$H$3000)+($H$2:$H$3000=""),0,0),0)),"")</f>
        <v>WULING♦AIR EV</v>
      </c>
      <c r="B384" s="62" t="str">
        <f t="shared" si="20"/>
        <v>WULING</v>
      </c>
      <c r="C384" s="62" t="str">
        <f t="shared" si="21"/>
        <v>AIR EV</v>
      </c>
      <c r="D384" s="63">
        <f t="shared" si="22"/>
        <v>5</v>
      </c>
      <c r="E384" s="62">
        <f>IF(D384="","",_xlfn.RANK.EQ(D384,$D$2:$D$1001,0)+COUNTIF($D$2:D384,D384)-1)</f>
        <v>176</v>
      </c>
      <c r="F384" s="62">
        <f>IF(B384="","",--(COUNTIF(CN_Brands!$A$2:$A$300,UPPER(B384))&gt;0))</f>
        <v>1</v>
      </c>
      <c r="G384" s="62" t="str">
        <f t="shared" si="23"/>
        <v>轿车</v>
      </c>
      <c r="H384" s="62" t="str">
        <f>IF(AND('Data Export'!A384=前十整体车型排名!$B$2,'Data Export'!B384=前十整体车型排名!$B$3,'Data Export'!D384&lt;&gt;""),UPPER('Data Export'!C384)&amp;"♦"&amp;'Data Export'!D384,"")</f>
        <v>LAND ROVER♦RANGE ROVER SPORT</v>
      </c>
      <c r="I384" s="63">
        <f>IF(H384="","",IFERROR(INDEX('Data Export'!G384:CZ384,1,MATCH(前十整体车型排名!$B$4,'Data Export'!$G$1:$CZ$1,0)),0))</f>
        <v>0</v>
      </c>
      <c r="J384" s="62" t="str">
        <f>IF(H384="","",IF(OR('Data Export'!F384="三厢轿车",'Data Export'!F384="掀背轿车",'Data Export'!F384="旅行车",'Data Export'!F384="微型车",'Data Export'!F384="硬顶跑车",'Data Export'!F384="敞蓬车",'Data Export'!F384="Targa"),"轿车",IF(OR('Data Export'!F384="小型MPV",'Data Export'!F384="客车"),"MPV",IF('Data Export'!F384="运动型多功能车","SUV","其他"))))</f>
        <v>SUV</v>
      </c>
      <c r="K384" s="62">
        <f>IF(OR(D384="",NOT(F384=1)),"",1+SUMPRODUCT(($F$2:$F$1001=1)*($D$2:$D$1001&gt;D384))+COUNTIFS($F$2:F384,1,$D$2:D384,D384)-1)</f>
        <v>56</v>
      </c>
      <c r="L384" s="62">
        <f>IF(OR(D384="",NOT(G384="轿车")),"",1+SUMPRODUCT(($G$2:$G$1001="轿车")*($D$2:$D$1001&gt;D384))+COUNTIFS($G$2:G384,"轿车",$D$2:D384,D384)-1)</f>
        <v>47</v>
      </c>
      <c r="M384" s="62" t="str">
        <f>IF(OR(D384="",NOT(G384="MPV")),"",1+SUMPRODUCT(($G$2:$G$1001="MPV")*($D$2:$D$1001&gt;D384))+COUNTIFS($G$2:G384,"MPV",$D$2:D384,D384)-1)</f>
        <v/>
      </c>
      <c r="N384" s="62" t="str">
        <f>IF(OR(D384="",NOT(G384="SUV")),"",1+SUMPRODUCT(($G$2:$G$1001="SUV")*($D$2:$D$1001&gt;D384))+COUNTIFS($G$2:G384,"SUV",$D$2:D384,D384)-1)</f>
        <v/>
      </c>
      <c r="O384" s="62">
        <f>IF(OR(D384="",NOT(AND(F384=1,G384="轿车"))),"",1+SUMPRODUCT(($F$2:$F$1001=1)*($G$2:$G$1001="轿车")*($D$2:$D$1001&gt;D384))+COUNTIFS($F$2:F384,1,$G$2:G384,"轿车",$D$2:D384,D384)-1)</f>
        <v>14</v>
      </c>
      <c r="P384" s="62" t="str">
        <f>IF(OR(D384="",NOT(AND(F384=1,G384="MPV"))),"",1+SUMPRODUCT(($F$2:$F$1001=1)*($G$2:$G$1001="MPV")*($D$2:$D$1001&gt;D384))+COUNTIFS($F$2:F384,1,$G$2:G384,"MPV",$D$2:D384,D384)-1)</f>
        <v/>
      </c>
      <c r="Q384" s="62" t="str">
        <f>IF(OR(D384="",NOT(AND(F384=1,G384="SUV"))),"",1+SUMPRODUCT(($F$2:$F$1001=1)*($G$2:$G$1001="SUV")*($D$2:$D$1001&gt;D384))+COUNTIFS($F$2:F384,1,$G$2:G384,"SUV",$D$2:D384,D384)-1)</f>
        <v/>
      </c>
    </row>
    <row r="385" spans="1:17">
      <c r="A385" s="62" t="str">
        <f>IFERROR(INDEX($H$2:$H$3000,MATCH(0,INDEX(COUNTIF($A$1:A384,$H$2:$H$3000)+($H$2:$H$3000=""),0,0),0)),"")</f>
        <v>WULING♦BINGUO EV</v>
      </c>
      <c r="B385" s="62" t="str">
        <f t="shared" si="20"/>
        <v>WULING</v>
      </c>
      <c r="C385" s="62" t="str">
        <f t="shared" si="21"/>
        <v>BINGUO EV</v>
      </c>
      <c r="D385" s="63">
        <f t="shared" si="22"/>
        <v>9</v>
      </c>
      <c r="E385" s="62">
        <f>IF(D385="","",_xlfn.RANK.EQ(D385,$D$2:$D$1001,0)+COUNTIF($D$2:D385,D385)-1)</f>
        <v>149</v>
      </c>
      <c r="F385" s="62">
        <f>IF(B385="","",--(COUNTIF(CN_Brands!$A$2:$A$300,UPPER(B385))&gt;0))</f>
        <v>1</v>
      </c>
      <c r="G385" s="62" t="str">
        <f t="shared" si="23"/>
        <v>轿车</v>
      </c>
      <c r="H385" s="62" t="str">
        <f>IF(AND('Data Export'!A385=前十整体车型排名!$B$2,'Data Export'!B385=前十整体车型排名!$B$3,'Data Export'!D385&lt;&gt;""),UPPER('Data Export'!C385)&amp;"♦"&amp;'Data Export'!D385,"")</f>
        <v>LAND ROVER♦RANGE ROVER SPORT</v>
      </c>
      <c r="I385" s="63">
        <f>IF(H385="","",IFERROR(INDEX('Data Export'!G385:CZ385,1,MATCH(前十整体车型排名!$B$4,'Data Export'!$G$1:$CZ$1,0)),0))</f>
        <v>1</v>
      </c>
      <c r="J385" s="62" t="str">
        <f>IF(H385="","",IF(OR('Data Export'!F385="三厢轿车",'Data Export'!F385="掀背轿车",'Data Export'!F385="旅行车",'Data Export'!F385="微型车",'Data Export'!F385="硬顶跑车",'Data Export'!F385="敞蓬车",'Data Export'!F385="Targa"),"轿车",IF(OR('Data Export'!F385="小型MPV",'Data Export'!F385="客车"),"MPV",IF('Data Export'!F385="运动型多功能车","SUV","其他"))))</f>
        <v>SUV</v>
      </c>
      <c r="K385" s="62">
        <f>IF(OR(D385="",NOT(F385=1)),"",1+SUMPRODUCT(($F$2:$F$1001=1)*($D$2:$D$1001&gt;D385))+COUNTIFS($F$2:F385,1,$D$2:D385,D385)-1)</f>
        <v>53</v>
      </c>
      <c r="L385" s="62">
        <f>IF(OR(D385="",NOT(G385="轿车")),"",1+SUMPRODUCT(($G$2:$G$1001="轿车")*($D$2:$D$1001&gt;D385))+COUNTIFS($G$2:G385,"轿车",$D$2:D385,D385)-1)</f>
        <v>39</v>
      </c>
      <c r="M385" s="62" t="str">
        <f>IF(OR(D385="",NOT(G385="MPV")),"",1+SUMPRODUCT(($G$2:$G$1001="MPV")*($D$2:$D$1001&gt;D385))+COUNTIFS($G$2:G385,"MPV",$D$2:D385,D385)-1)</f>
        <v/>
      </c>
      <c r="N385" s="62" t="str">
        <f>IF(OR(D385="",NOT(G385="SUV")),"",1+SUMPRODUCT(($G$2:$G$1001="SUV")*($D$2:$D$1001&gt;D385))+COUNTIFS($G$2:G385,"SUV",$D$2:D385,D385)-1)</f>
        <v/>
      </c>
      <c r="O385" s="62">
        <f>IF(OR(D385="",NOT(AND(F385=1,G385="轿车"))),"",1+SUMPRODUCT(($F$2:$F$1001=1)*($G$2:$G$1001="轿车")*($D$2:$D$1001&gt;D385))+COUNTIFS($F$2:F385,1,$G$2:G385,"轿车",$D$2:D385,D385)-1)</f>
        <v>13</v>
      </c>
      <c r="P385" s="62" t="str">
        <f>IF(OR(D385="",NOT(AND(F385=1,G385="MPV"))),"",1+SUMPRODUCT(($F$2:$F$1001=1)*($G$2:$G$1001="MPV")*($D$2:$D$1001&gt;D385))+COUNTIFS($F$2:F385,1,$G$2:G385,"MPV",$D$2:D385,D385)-1)</f>
        <v/>
      </c>
      <c r="Q385" s="62" t="str">
        <f>IF(OR(D385="",NOT(AND(F385=1,G385="SUV"))),"",1+SUMPRODUCT(($F$2:$F$1001=1)*($G$2:$G$1001="SUV")*($D$2:$D$1001&gt;D385))+COUNTIFS($F$2:F385,1,$G$2:G385,"SUV",$D$2:D385,D385)-1)</f>
        <v/>
      </c>
    </row>
    <row r="386" spans="1:17">
      <c r="A386" s="62" t="str">
        <f>IFERROR(INDEX($H$2:$H$3000,MATCH(0,INDEX(COUNTIF($A$1:A385,$H$2:$H$3000)+($H$2:$H$3000=""),0,0),0)),"")</f>
        <v>WULING♦DARION</v>
      </c>
      <c r="B386" s="62" t="str">
        <f t="shared" ref="B386:B449" si="24">IF(A386="","",LEFT(A386,FIND("♦",A386)-1))</f>
        <v>WULING</v>
      </c>
      <c r="C386" s="62" t="str">
        <f t="shared" ref="C386:C449" si="25">IF(A386="","",MID(A386,FIND("♦",A386)+1,999))</f>
        <v>DARION</v>
      </c>
      <c r="D386" s="63">
        <f t="shared" ref="D386:D449" si="26">IF(A386="","",SUMIF($H$2:$H$3000,A386,$I$2:$I$3000))</f>
        <v>157</v>
      </c>
      <c r="E386" s="62">
        <f>IF(D386="","",_xlfn.RANK.EQ(D386,$D$2:$D$1001,0)+COUNTIF($D$2:D386,D386)-1)</f>
        <v>53</v>
      </c>
      <c r="F386" s="62">
        <f>IF(B386="","",--(COUNTIF(CN_Brands!$A$2:$A$300,UPPER(B386))&gt;0))</f>
        <v>1</v>
      </c>
      <c r="G386" s="62" t="str">
        <f t="shared" ref="G386:G449" si="27">IF(A386="","",IFERROR(INDEX($J$2:$J$3000,MATCH(A386,$H$2:$H$3000,0)),"其他"))</f>
        <v>其他</v>
      </c>
      <c r="H386" s="62" t="str">
        <f>IF(AND('Data Export'!A386=前十整体车型排名!$B$2,'Data Export'!B386=前十整体车型排名!$B$3,'Data Export'!D386&lt;&gt;""),UPPER('Data Export'!C386)&amp;"♦"&amp;'Data Export'!D386,"")</f>
        <v>LAND ROVER♦RANGE ROVER VELAR</v>
      </c>
      <c r="I386" s="63">
        <f>IF(H386="","",IFERROR(INDEX('Data Export'!G386:CZ386,1,MATCH(前十整体车型排名!$B$4,'Data Export'!$G$1:$CZ$1,0)),0))</f>
        <v>5</v>
      </c>
      <c r="J386" s="62" t="str">
        <f>IF(H386="","",IF(OR('Data Export'!F386="三厢轿车",'Data Export'!F386="掀背轿车",'Data Export'!F386="旅行车",'Data Export'!F386="微型车",'Data Export'!F386="硬顶跑车",'Data Export'!F386="敞蓬车",'Data Export'!F386="Targa"),"轿车",IF(OR('Data Export'!F386="小型MPV",'Data Export'!F386="客车"),"MPV",IF('Data Export'!F386="运动型多功能车","SUV","其他"))))</f>
        <v>SUV</v>
      </c>
      <c r="K386" s="62">
        <f>IF(OR(D386="",NOT(F386=1)),"",1+SUMPRODUCT(($F$2:$F$1001=1)*($D$2:$D$1001&gt;D386))+COUNTIFS($F$2:F386,1,$D$2:D386,D386)-1)</f>
        <v>28</v>
      </c>
      <c r="L386" s="62" t="str">
        <f>IF(OR(D386="",NOT(G386="轿车")),"",1+SUMPRODUCT(($G$2:$G$1001="轿车")*($D$2:$D$1001&gt;D386))+COUNTIFS($G$2:G386,"轿车",$D$2:D386,D386)-1)</f>
        <v/>
      </c>
      <c r="M386" s="62" t="str">
        <f>IF(OR(D386="",NOT(G386="MPV")),"",1+SUMPRODUCT(($G$2:$G$1001="MPV")*($D$2:$D$1001&gt;D386))+COUNTIFS($G$2:G386,"MPV",$D$2:D386,D386)-1)</f>
        <v/>
      </c>
      <c r="N386" s="62" t="str">
        <f>IF(OR(D386="",NOT(G386="SUV")),"",1+SUMPRODUCT(($G$2:$G$1001="SUV")*($D$2:$D$1001&gt;D386))+COUNTIFS($G$2:G386,"SUV",$D$2:D386,D386)-1)</f>
        <v/>
      </c>
      <c r="O386" s="62" t="str">
        <f>IF(OR(D386="",NOT(AND(F386=1,G386="轿车"))),"",1+SUMPRODUCT(($F$2:$F$1001=1)*($G$2:$G$1001="轿车")*($D$2:$D$1001&gt;D386))+COUNTIFS($F$2:F386,1,$G$2:G386,"轿车",$D$2:D386,D386)-1)</f>
        <v/>
      </c>
      <c r="P386" s="62" t="str">
        <f>IF(OR(D386="",NOT(AND(F386=1,G386="MPV"))),"",1+SUMPRODUCT(($F$2:$F$1001=1)*($G$2:$G$1001="MPV")*($D$2:$D$1001&gt;D386))+COUNTIFS($F$2:F386,1,$G$2:G386,"MPV",$D$2:D386,D386)-1)</f>
        <v/>
      </c>
      <c r="Q386" s="62" t="str">
        <f>IF(OR(D386="",NOT(AND(F386=1,G386="SUV"))),"",1+SUMPRODUCT(($F$2:$F$1001=1)*($G$2:$G$1001="SUV")*($D$2:$D$1001&gt;D386))+COUNTIFS($F$2:F386,1,$G$2:G386,"SUV",$D$2:D386,D386)-1)</f>
        <v/>
      </c>
    </row>
    <row r="387" spans="1:17">
      <c r="A387" s="62" t="str">
        <f>IFERROR(INDEX($H$2:$H$3000,MATCH(0,INDEX(COUNTIF($A$1:A386,$H$2:$H$3000)+($H$2:$H$3000=""),0,0),0)),"")</f>
        <v>XPENG♦G6</v>
      </c>
      <c r="B387" s="62" t="str">
        <f t="shared" si="24"/>
        <v>XPENG</v>
      </c>
      <c r="C387" s="62" t="str">
        <f t="shared" si="25"/>
        <v>G6</v>
      </c>
      <c r="D387" s="63">
        <f t="shared" si="26"/>
        <v>344</v>
      </c>
      <c r="E387" s="62">
        <f>IF(D387="","",_xlfn.RANK.EQ(D387,$D$2:$D$1001,0)+COUNTIF($D$2:D387,D387)-1)</f>
        <v>37</v>
      </c>
      <c r="F387" s="62">
        <f>IF(B387="","",--(COUNTIF(CN_Brands!$A$2:$A$300,UPPER(B387))&gt;0))</f>
        <v>1</v>
      </c>
      <c r="G387" s="62" t="str">
        <f t="shared" si="27"/>
        <v>SUV</v>
      </c>
      <c r="H387" s="62" t="str">
        <f>IF(AND('Data Export'!A387=前十整体车型排名!$B$2,'Data Export'!B387=前十整体车型排名!$B$3,'Data Export'!D387&lt;&gt;""),UPPER('Data Export'!C387)&amp;"♦"&amp;'Data Export'!D387,"")</f>
        <v>LAND ROVER♦RANGE ROVER VELAR</v>
      </c>
      <c r="I387" s="63">
        <f>IF(H387="","",IFERROR(INDEX('Data Export'!G387:CZ387,1,MATCH(前十整体车型排名!$B$4,'Data Export'!$G$1:$CZ$1,0)),0))</f>
        <v>0</v>
      </c>
      <c r="J387" s="62" t="str">
        <f>IF(H387="","",IF(OR('Data Export'!F387="三厢轿车",'Data Export'!F387="掀背轿车",'Data Export'!F387="旅行车",'Data Export'!F387="微型车",'Data Export'!F387="硬顶跑车",'Data Export'!F387="敞蓬车",'Data Export'!F387="Targa"),"轿车",IF(OR('Data Export'!F387="小型MPV",'Data Export'!F387="客车"),"MPV",IF('Data Export'!F387="运动型多功能车","SUV","其他"))))</f>
        <v>SUV</v>
      </c>
      <c r="K387" s="62">
        <f>IF(OR(D387="",NOT(F387=1)),"",1+SUMPRODUCT(($F$2:$F$1001=1)*($D$2:$D$1001&gt;D387))+COUNTIFS($F$2:F387,1,$D$2:D387,D387)-1)</f>
        <v>19</v>
      </c>
      <c r="L387" s="62" t="str">
        <f>IF(OR(D387="",NOT(G387="轿车")),"",1+SUMPRODUCT(($G$2:$G$1001="轿车")*($D$2:$D$1001&gt;D387))+COUNTIFS($G$2:G387,"轿车",$D$2:D387,D387)-1)</f>
        <v/>
      </c>
      <c r="M387" s="62" t="str">
        <f>IF(OR(D387="",NOT(G387="MPV")),"",1+SUMPRODUCT(($G$2:$G$1001="MPV")*($D$2:$D$1001&gt;D387))+COUNTIFS($G$2:G387,"MPV",$D$2:D387,D387)-1)</f>
        <v/>
      </c>
      <c r="N387" s="62">
        <f>IF(OR(D387="",NOT(G387="SUV")),"",1+SUMPRODUCT(($G$2:$G$1001="SUV")*($D$2:$D$1001&gt;D387))+COUNTIFS($G$2:G387,"SUV",$D$2:D387,D387)-1)</f>
        <v>25</v>
      </c>
      <c r="O387" s="62" t="str">
        <f>IF(OR(D387="",NOT(AND(F387=1,G387="轿车"))),"",1+SUMPRODUCT(($F$2:$F$1001=1)*($G$2:$G$1001="轿车")*($D$2:$D$1001&gt;D387))+COUNTIFS($F$2:F387,1,$G$2:G387,"轿车",$D$2:D387,D387)-1)</f>
        <v/>
      </c>
      <c r="P387" s="62" t="str">
        <f>IF(OR(D387="",NOT(AND(F387=1,G387="MPV"))),"",1+SUMPRODUCT(($F$2:$F$1001=1)*($G$2:$G$1001="MPV")*($D$2:$D$1001&gt;D387))+COUNTIFS($F$2:F387,1,$G$2:G387,"MPV",$D$2:D387,D387)-1)</f>
        <v/>
      </c>
      <c r="Q387" s="62">
        <f>IF(OR(D387="",NOT(AND(F387=1,G387="SUV"))),"",1+SUMPRODUCT(($F$2:$F$1001=1)*($G$2:$G$1001="SUV")*($D$2:$D$1001&gt;D387))+COUNTIFS($F$2:F387,1,$G$2:G387,"SUV",$D$2:D387,D387)-1)</f>
        <v>14</v>
      </c>
    </row>
    <row r="388" spans="1:17">
      <c r="A388" s="62" t="str">
        <f>IFERROR(INDEX($H$2:$H$3000,MATCH(0,INDEX(COUNTIF($A$1:A387,$H$2:$H$3000)+($H$2:$H$3000=""),0,0),0)),"")</f>
        <v>XPENG♦X9</v>
      </c>
      <c r="B388" s="62" t="str">
        <f t="shared" si="24"/>
        <v>XPENG</v>
      </c>
      <c r="C388" s="62" t="str">
        <f t="shared" si="25"/>
        <v>X9</v>
      </c>
      <c r="D388" s="63">
        <f t="shared" si="26"/>
        <v>314</v>
      </c>
      <c r="E388" s="62">
        <f>IF(D388="","",_xlfn.RANK.EQ(D388,$D$2:$D$1001,0)+COUNTIF($D$2:D388,D388)-1)</f>
        <v>39</v>
      </c>
      <c r="F388" s="62">
        <f>IF(B388="","",--(COUNTIF(CN_Brands!$A$2:$A$300,UPPER(B388))&gt;0))</f>
        <v>1</v>
      </c>
      <c r="G388" s="62" t="str">
        <f t="shared" si="27"/>
        <v>其他</v>
      </c>
      <c r="H388" s="62" t="str">
        <f>IF(AND('Data Export'!A388=前十整体车型排名!$B$2,'Data Export'!B388=前十整体车型排名!$B$3,'Data Export'!D388&lt;&gt;""),UPPER('Data Export'!C388)&amp;"♦"&amp;'Data Export'!D388,"")</f>
        <v>LEAPMOTOR♦B10</v>
      </c>
      <c r="I388" s="63">
        <f>IF(H388="","",IFERROR(INDEX('Data Export'!G388:CZ388,1,MATCH(前十整体车型排名!$B$4,'Data Export'!$G$1:$CZ$1,0)),0))</f>
        <v>0</v>
      </c>
      <c r="J388" s="62" t="str">
        <f>IF(H388="","",IF(OR('Data Export'!F388="三厢轿车",'Data Export'!F388="掀背轿车",'Data Export'!F388="旅行车",'Data Export'!F388="微型车",'Data Export'!F388="硬顶跑车",'Data Export'!F388="敞蓬车",'Data Export'!F388="Targa"),"轿车",IF(OR('Data Export'!F388="小型MPV",'Data Export'!F388="客车"),"MPV",IF('Data Export'!F388="运动型多功能车","SUV","其他"))))</f>
        <v>SUV</v>
      </c>
      <c r="K388" s="62">
        <f>IF(OR(D388="",NOT(F388=1)),"",1+SUMPRODUCT(($F$2:$F$1001=1)*($D$2:$D$1001&gt;D388))+COUNTIFS($F$2:F388,1,$D$2:D388,D388)-1)</f>
        <v>20</v>
      </c>
      <c r="L388" s="62" t="str">
        <f>IF(OR(D388="",NOT(G388="轿车")),"",1+SUMPRODUCT(($G$2:$G$1001="轿车")*($D$2:$D$1001&gt;D388))+COUNTIFS($G$2:G388,"轿车",$D$2:D388,D388)-1)</f>
        <v/>
      </c>
      <c r="M388" s="62" t="str">
        <f>IF(OR(D388="",NOT(G388="MPV")),"",1+SUMPRODUCT(($G$2:$G$1001="MPV")*($D$2:$D$1001&gt;D388))+COUNTIFS($G$2:G388,"MPV",$D$2:D388,D388)-1)</f>
        <v/>
      </c>
      <c r="N388" s="62" t="str">
        <f>IF(OR(D388="",NOT(G388="SUV")),"",1+SUMPRODUCT(($G$2:$G$1001="SUV")*($D$2:$D$1001&gt;D388))+COUNTIFS($G$2:G388,"SUV",$D$2:D388,D388)-1)</f>
        <v/>
      </c>
      <c r="O388" s="62" t="str">
        <f>IF(OR(D388="",NOT(AND(F388=1,G388="轿车"))),"",1+SUMPRODUCT(($F$2:$F$1001=1)*($G$2:$G$1001="轿车")*($D$2:$D$1001&gt;D388))+COUNTIFS($F$2:F388,1,$G$2:G388,"轿车",$D$2:D388,D388)-1)</f>
        <v/>
      </c>
      <c r="P388" s="62" t="str">
        <f>IF(OR(D388="",NOT(AND(F388=1,G388="MPV"))),"",1+SUMPRODUCT(($F$2:$F$1001=1)*($G$2:$G$1001="MPV")*($D$2:$D$1001&gt;D388))+COUNTIFS($F$2:F388,1,$G$2:G388,"MPV",$D$2:D388,D388)-1)</f>
        <v/>
      </c>
      <c r="Q388" s="62" t="str">
        <f>IF(OR(D388="",NOT(AND(F388=1,G388="SUV"))),"",1+SUMPRODUCT(($F$2:$F$1001=1)*($G$2:$G$1001="SUV")*($D$2:$D$1001&gt;D388))+COUNTIFS($F$2:F388,1,$G$2:G388,"SUV",$D$2:D388,D388)-1)</f>
        <v/>
      </c>
    </row>
    <row r="389" spans="1:17">
      <c r="A389" s="62" t="str">
        <f>IFERROR(INDEX($H$2:$H$3000,MATCH(0,INDEX(COUNTIF($A$1:A388,$H$2:$H$3000)+($H$2:$H$3000=""),0,0),0)),"")</f>
        <v>ZEEKR♦009</v>
      </c>
      <c r="B389" s="62" t="str">
        <f t="shared" si="24"/>
        <v>ZEEKR</v>
      </c>
      <c r="C389" s="62" t="str">
        <f t="shared" si="25"/>
        <v>009</v>
      </c>
      <c r="D389" s="63">
        <f t="shared" si="26"/>
        <v>251</v>
      </c>
      <c r="E389" s="62">
        <f>IF(D389="","",_xlfn.RANK.EQ(D389,$D$2:$D$1001,0)+COUNTIF($D$2:D389,D389)-1)</f>
        <v>44</v>
      </c>
      <c r="F389" s="62">
        <f>IF(B389="","",--(COUNTIF(CN_Brands!$A$2:$A$300,UPPER(B389))&gt;0))</f>
        <v>1</v>
      </c>
      <c r="G389" s="62" t="str">
        <f t="shared" si="27"/>
        <v>其他</v>
      </c>
      <c r="H389" s="62" t="str">
        <f>IF(AND('Data Export'!A389=前十整体车型排名!$B$2,'Data Export'!B389=前十整体车型排名!$B$3,'Data Export'!D389&lt;&gt;""),UPPER('Data Export'!C389)&amp;"♦"&amp;'Data Export'!D389,"")</f>
        <v>LEAPMOTOR♦B10</v>
      </c>
      <c r="I389" s="63">
        <f>IF(H389="","",IFERROR(INDEX('Data Export'!G389:CZ389,1,MATCH(前十整体车型排名!$B$4,'Data Export'!$G$1:$CZ$1,0)),0))</f>
        <v>21</v>
      </c>
      <c r="J389" s="62" t="str">
        <f>IF(H389="","",IF(OR('Data Export'!F389="三厢轿车",'Data Export'!F389="掀背轿车",'Data Export'!F389="旅行车",'Data Export'!F389="微型车",'Data Export'!F389="硬顶跑车",'Data Export'!F389="敞蓬车",'Data Export'!F389="Targa"),"轿车",IF(OR('Data Export'!F389="小型MPV",'Data Export'!F389="客车"),"MPV",IF('Data Export'!F389="运动型多功能车","SUV","其他"))))</f>
        <v>SUV</v>
      </c>
      <c r="K389" s="62">
        <f>IF(OR(D389="",NOT(F389=1)),"",1+SUMPRODUCT(($F$2:$F$1001=1)*($D$2:$D$1001&gt;D389))+COUNTIFS($F$2:F389,1,$D$2:D389,D389)-1)</f>
        <v>23</v>
      </c>
      <c r="L389" s="62" t="str">
        <f>IF(OR(D389="",NOT(G389="轿车")),"",1+SUMPRODUCT(($G$2:$G$1001="轿车")*($D$2:$D$1001&gt;D389))+COUNTIFS($G$2:G389,"轿车",$D$2:D389,D389)-1)</f>
        <v/>
      </c>
      <c r="M389" s="62" t="str">
        <f>IF(OR(D389="",NOT(G389="MPV")),"",1+SUMPRODUCT(($G$2:$G$1001="MPV")*($D$2:$D$1001&gt;D389))+COUNTIFS($G$2:G389,"MPV",$D$2:D389,D389)-1)</f>
        <v/>
      </c>
      <c r="N389" s="62" t="str">
        <f>IF(OR(D389="",NOT(G389="SUV")),"",1+SUMPRODUCT(($G$2:$G$1001="SUV")*($D$2:$D$1001&gt;D389))+COUNTIFS($G$2:G389,"SUV",$D$2:D389,D389)-1)</f>
        <v/>
      </c>
      <c r="O389" s="62" t="str">
        <f>IF(OR(D389="",NOT(AND(F389=1,G389="轿车"))),"",1+SUMPRODUCT(($F$2:$F$1001=1)*($G$2:$G$1001="轿车")*($D$2:$D$1001&gt;D389))+COUNTIFS($F$2:F389,1,$G$2:G389,"轿车",$D$2:D389,D389)-1)</f>
        <v/>
      </c>
      <c r="P389" s="62" t="str">
        <f>IF(OR(D389="",NOT(AND(F389=1,G389="MPV"))),"",1+SUMPRODUCT(($F$2:$F$1001=1)*($G$2:$G$1001="MPV")*($D$2:$D$1001&gt;D389))+COUNTIFS($F$2:F389,1,$G$2:G389,"MPV",$D$2:D389,D389)-1)</f>
        <v/>
      </c>
      <c r="Q389" s="62" t="str">
        <f>IF(OR(D389="",NOT(AND(F389=1,G389="SUV"))),"",1+SUMPRODUCT(($F$2:$F$1001=1)*($G$2:$G$1001="SUV")*($D$2:$D$1001&gt;D389))+COUNTIFS($F$2:F389,1,$G$2:G389,"SUV",$D$2:D389,D389)-1)</f>
        <v/>
      </c>
    </row>
    <row r="390" spans="1:17">
      <c r="A390" s="62" t="str">
        <f>IFERROR(INDEX($H$2:$H$3000,MATCH(0,INDEX(COUNTIF($A$1:A389,$H$2:$H$3000)+($H$2:$H$3000=""),0,0),0)),"")</f>
        <v>ZEEKR♦7X</v>
      </c>
      <c r="B390" s="62" t="str">
        <f t="shared" si="24"/>
        <v>ZEEKR</v>
      </c>
      <c r="C390" s="62" t="str">
        <f t="shared" si="25"/>
        <v>7X</v>
      </c>
      <c r="D390" s="63">
        <f t="shared" si="26"/>
        <v>244</v>
      </c>
      <c r="E390" s="62">
        <f>IF(D390="","",_xlfn.RANK.EQ(D390,$D$2:$D$1001,0)+COUNTIF($D$2:D390,D390)-1)</f>
        <v>45</v>
      </c>
      <c r="F390" s="62">
        <f>IF(B390="","",--(COUNTIF(CN_Brands!$A$2:$A$300,UPPER(B390))&gt;0))</f>
        <v>1</v>
      </c>
      <c r="G390" s="62" t="str">
        <f t="shared" si="27"/>
        <v>SUV</v>
      </c>
      <c r="H390" s="62" t="str">
        <f>IF(AND('Data Export'!A390=前十整体车型排名!$B$2,'Data Export'!B390=前十整体车型排名!$B$3,'Data Export'!D390&lt;&gt;""),UPPER('Data Export'!C390)&amp;"♦"&amp;'Data Export'!D390,"")</f>
        <v>LEAPMOTOR♦B10</v>
      </c>
      <c r="I390" s="63">
        <f>IF(H390="","",IFERROR(INDEX('Data Export'!G390:CZ390,1,MATCH(前十整体车型排名!$B$4,'Data Export'!$G$1:$CZ$1,0)),0))</f>
        <v>0</v>
      </c>
      <c r="J390" s="62" t="str">
        <f>IF(H390="","",IF(OR('Data Export'!F390="三厢轿车",'Data Export'!F390="掀背轿车",'Data Export'!F390="旅行车",'Data Export'!F390="微型车",'Data Export'!F390="硬顶跑车",'Data Export'!F390="敞蓬车",'Data Export'!F390="Targa"),"轿车",IF(OR('Data Export'!F390="小型MPV",'Data Export'!F390="客车"),"MPV",IF('Data Export'!F390="运动型多功能车","SUV","其他"))))</f>
        <v>SUV</v>
      </c>
      <c r="K390" s="62">
        <f>IF(OR(D390="",NOT(F390=1)),"",1+SUMPRODUCT(($F$2:$F$1001=1)*($D$2:$D$1001&gt;D390))+COUNTIFS($F$2:F390,1,$D$2:D390,D390)-1)</f>
        <v>24</v>
      </c>
      <c r="L390" s="62" t="str">
        <f>IF(OR(D390="",NOT(G390="轿车")),"",1+SUMPRODUCT(($G$2:$G$1001="轿车")*($D$2:$D$1001&gt;D390))+COUNTIFS($G$2:G390,"轿车",$D$2:D390,D390)-1)</f>
        <v/>
      </c>
      <c r="M390" s="62" t="str">
        <f>IF(OR(D390="",NOT(G390="MPV")),"",1+SUMPRODUCT(($G$2:$G$1001="MPV")*($D$2:$D$1001&gt;D390))+COUNTIFS($G$2:G390,"MPV",$D$2:D390,D390)-1)</f>
        <v/>
      </c>
      <c r="N390" s="62">
        <f>IF(OR(D390="",NOT(G390="SUV")),"",1+SUMPRODUCT(($G$2:$G$1001="SUV")*($D$2:$D$1001&gt;D390))+COUNTIFS($G$2:G390,"SUV",$D$2:D390,D390)-1)</f>
        <v>27</v>
      </c>
      <c r="O390" s="62" t="str">
        <f>IF(OR(D390="",NOT(AND(F390=1,G390="轿车"))),"",1+SUMPRODUCT(($F$2:$F$1001=1)*($G$2:$G$1001="轿车")*($D$2:$D$1001&gt;D390))+COUNTIFS($F$2:F390,1,$G$2:G390,"轿车",$D$2:D390,D390)-1)</f>
        <v/>
      </c>
      <c r="P390" s="62" t="str">
        <f>IF(OR(D390="",NOT(AND(F390=1,G390="MPV"))),"",1+SUMPRODUCT(($F$2:$F$1001=1)*($G$2:$G$1001="MPV")*($D$2:$D$1001&gt;D390))+COUNTIFS($F$2:F390,1,$G$2:G390,"MPV",$D$2:D390,D390)-1)</f>
        <v/>
      </c>
      <c r="Q390" s="62">
        <f>IF(OR(D390="",NOT(AND(F390=1,G390="SUV"))),"",1+SUMPRODUCT(($F$2:$F$1001=1)*($G$2:$G$1001="SUV")*($D$2:$D$1001&gt;D390))+COUNTIFS($F$2:F390,1,$G$2:G390,"SUV",$D$2:D390,D390)-1)</f>
        <v>16</v>
      </c>
    </row>
    <row r="391" spans="1:17">
      <c r="A391" s="62" t="str">
        <f>IFERROR(INDEX($H$2:$H$3000,MATCH(0,INDEX(COUNTIF($A$1:A390,$H$2:$H$3000)+($H$2:$H$3000=""),0,0),0)),"")</f>
        <v>ZEEKR♦X</v>
      </c>
      <c r="B391" s="62" t="str">
        <f t="shared" si="24"/>
        <v>ZEEKR</v>
      </c>
      <c r="C391" s="62" t="str">
        <f t="shared" si="25"/>
        <v>X</v>
      </c>
      <c r="D391" s="63">
        <f t="shared" si="26"/>
        <v>227</v>
      </c>
      <c r="E391" s="62">
        <f>IF(D391="","",_xlfn.RANK.EQ(D391,$D$2:$D$1001,0)+COUNTIF($D$2:D391,D391)-1)</f>
        <v>48</v>
      </c>
      <c r="F391" s="62">
        <f>IF(B391="","",--(COUNTIF(CN_Brands!$A$2:$A$300,UPPER(B391))&gt;0))</f>
        <v>1</v>
      </c>
      <c r="G391" s="62" t="str">
        <f t="shared" si="27"/>
        <v>SUV</v>
      </c>
      <c r="H391" s="62" t="str">
        <f>IF(AND('Data Export'!A391=前十整体车型排名!$B$2,'Data Export'!B391=前十整体车型排名!$B$3,'Data Export'!D391&lt;&gt;""),UPPER('Data Export'!C391)&amp;"♦"&amp;'Data Export'!D391,"")</f>
        <v>LEAPMOTOR♦C10</v>
      </c>
      <c r="I391" s="63">
        <f>IF(H391="","",IFERROR(INDEX('Data Export'!G391:CZ391,1,MATCH(前十整体车型排名!$B$4,'Data Export'!$G$1:$CZ$1,0)),0))</f>
        <v>7</v>
      </c>
      <c r="J391" s="62" t="str">
        <f>IF(H391="","",IF(OR('Data Export'!F391="三厢轿车",'Data Export'!F391="掀背轿车",'Data Export'!F391="旅行车",'Data Export'!F391="微型车",'Data Export'!F391="硬顶跑车",'Data Export'!F391="敞蓬车",'Data Export'!F391="Targa"),"轿车",IF(OR('Data Export'!F391="小型MPV",'Data Export'!F391="客车"),"MPV",IF('Data Export'!F391="运动型多功能车","SUV","其他"))))</f>
        <v>SUV</v>
      </c>
      <c r="K391" s="62">
        <f>IF(OR(D391="",NOT(F391=1)),"",1+SUMPRODUCT(($F$2:$F$1001=1)*($D$2:$D$1001&gt;D391))+COUNTIFS($F$2:F391,1,$D$2:D391,D391)-1)</f>
        <v>25</v>
      </c>
      <c r="L391" s="62" t="str">
        <f>IF(OR(D391="",NOT(G391="轿车")),"",1+SUMPRODUCT(($G$2:$G$1001="轿车")*($D$2:$D$1001&gt;D391))+COUNTIFS($G$2:G391,"轿车",$D$2:D391,D391)-1)</f>
        <v/>
      </c>
      <c r="M391" s="62" t="str">
        <f>IF(OR(D391="",NOT(G391="MPV")),"",1+SUMPRODUCT(($G$2:$G$1001="MPV")*($D$2:$D$1001&gt;D391))+COUNTIFS($G$2:G391,"MPV",$D$2:D391,D391)-1)</f>
        <v/>
      </c>
      <c r="N391" s="62">
        <f>IF(OR(D391="",NOT(G391="SUV")),"",1+SUMPRODUCT(($G$2:$G$1001="SUV")*($D$2:$D$1001&gt;D391))+COUNTIFS($G$2:G391,"SUV",$D$2:D391,D391)-1)</f>
        <v>29</v>
      </c>
      <c r="O391" s="62" t="str">
        <f>IF(OR(D391="",NOT(AND(F391=1,G391="轿车"))),"",1+SUMPRODUCT(($F$2:$F$1001=1)*($G$2:$G$1001="轿车")*($D$2:$D$1001&gt;D391))+COUNTIFS($F$2:F391,1,$G$2:G391,"轿车",$D$2:D391,D391)-1)</f>
        <v/>
      </c>
      <c r="P391" s="62" t="str">
        <f>IF(OR(D391="",NOT(AND(F391=1,G391="MPV"))),"",1+SUMPRODUCT(($F$2:$F$1001=1)*($G$2:$G$1001="MPV")*($D$2:$D$1001&gt;D391))+COUNTIFS($F$2:F391,1,$G$2:G391,"MPV",$D$2:D391,D391)-1)</f>
        <v/>
      </c>
      <c r="Q391" s="62">
        <f>IF(OR(D391="",NOT(AND(F391=1,G391="SUV"))),"",1+SUMPRODUCT(($F$2:$F$1001=1)*($G$2:$G$1001="SUV")*($D$2:$D$1001&gt;D391))+COUNTIFS($F$2:F391,1,$G$2:G391,"SUV",$D$2:D391,D391)-1)</f>
        <v>17</v>
      </c>
    </row>
    <row r="392" spans="1:17">
      <c r="A392" s="62" t="str">
        <f>IFERROR(INDEX($H$2:$H$3000,MATCH(0,INDEX(COUNTIF($A$1:A391,$H$2:$H$3000)+($H$2:$H$3000=""),0,0),0)),"")</f>
        <v>ZXAUTO♦OTHER</v>
      </c>
      <c r="B392" s="62" t="str">
        <f t="shared" si="24"/>
        <v>ZXAUTO</v>
      </c>
      <c r="C392" s="62" t="str">
        <f t="shared" si="25"/>
        <v>OTHER</v>
      </c>
      <c r="D392" s="63">
        <f t="shared" si="26"/>
        <v>0</v>
      </c>
      <c r="E392" s="62">
        <f>IF(D392="","",_xlfn.RANK.EQ(D392,$D$2:$D$1001,0)+COUNTIF($D$2:D392,D392)-1)</f>
        <v>391</v>
      </c>
      <c r="F392" s="62">
        <f>IF(B392="","",--(COUNTIF(CN_Brands!$A$2:$A$300,UPPER(B392))&gt;0))</f>
        <v>0</v>
      </c>
      <c r="G392" s="62" t="str">
        <f t="shared" si="27"/>
        <v>其他</v>
      </c>
      <c r="H392" s="62" t="str">
        <f>IF(AND('Data Export'!A392=前十整体车型排名!$B$2,'Data Export'!B392=前十整体车型排名!$B$3,'Data Export'!D392&lt;&gt;""),UPPER('Data Export'!C392)&amp;"♦"&amp;'Data Export'!D392,"")</f>
        <v>LEAPMOTOR♦C10</v>
      </c>
      <c r="I392" s="63">
        <f>IF(H392="","",IFERROR(INDEX('Data Export'!G392:CZ392,1,MATCH(前十整体车型排名!$B$4,'Data Export'!$G$1:$CZ$1,0)),0))</f>
        <v>0</v>
      </c>
      <c r="J392" s="62" t="str">
        <f>IF(H392="","",IF(OR('Data Export'!F392="三厢轿车",'Data Export'!F392="掀背轿车",'Data Export'!F392="旅行车",'Data Export'!F392="微型车",'Data Export'!F392="硬顶跑车",'Data Export'!F392="敞蓬车",'Data Export'!F392="Targa"),"轿车",IF(OR('Data Export'!F392="小型MPV",'Data Export'!F392="客车"),"MPV",IF('Data Export'!F392="运动型多功能车","SUV","其他"))))</f>
        <v>SUV</v>
      </c>
      <c r="K392" s="62" t="str">
        <f>IF(OR(D392="",NOT(F392=1)),"",1+SUMPRODUCT(($F$2:$F$1001=1)*($D$2:$D$1001&gt;D392))+COUNTIFS($F$2:F392,1,$D$2:D392,D392)-1)</f>
        <v/>
      </c>
      <c r="L392" s="62" t="str">
        <f>IF(OR(D392="",NOT(G392="轿车")),"",1+SUMPRODUCT(($G$2:$G$1001="轿车")*($D$2:$D$1001&gt;D392))+COUNTIFS($G$2:G392,"轿车",$D$2:D392,D392)-1)</f>
        <v/>
      </c>
      <c r="M392" s="62" t="str">
        <f>IF(OR(D392="",NOT(G392="MPV")),"",1+SUMPRODUCT(($G$2:$G$1001="MPV")*($D$2:$D$1001&gt;D392))+COUNTIFS($G$2:G392,"MPV",$D$2:D392,D392)-1)</f>
        <v/>
      </c>
      <c r="N392" s="62" t="str">
        <f>IF(OR(D392="",NOT(G392="SUV")),"",1+SUMPRODUCT(($G$2:$G$1001="SUV")*($D$2:$D$1001&gt;D392))+COUNTIFS($G$2:G392,"SUV",$D$2:D392,D392)-1)</f>
        <v/>
      </c>
      <c r="O392" s="62" t="str">
        <f>IF(OR(D392="",NOT(AND(F392=1,G392="轿车"))),"",1+SUMPRODUCT(($F$2:$F$1001=1)*($G$2:$G$1001="轿车")*($D$2:$D$1001&gt;D392))+COUNTIFS($F$2:F392,1,$G$2:G392,"轿车",$D$2:D392,D392)-1)</f>
        <v/>
      </c>
      <c r="P392" s="62" t="str">
        <f>IF(OR(D392="",NOT(AND(F392=1,G392="MPV"))),"",1+SUMPRODUCT(($F$2:$F$1001=1)*($G$2:$G$1001="MPV")*($D$2:$D$1001&gt;D392))+COUNTIFS($F$2:F392,1,$G$2:G392,"MPV",$D$2:D392,D392)-1)</f>
        <v/>
      </c>
      <c r="Q392" s="62" t="str">
        <f>IF(OR(D392="",NOT(AND(F392=1,G392="SUV"))),"",1+SUMPRODUCT(($F$2:$F$1001=1)*($G$2:$G$1001="SUV")*($D$2:$D$1001&gt;D392))+COUNTIFS($F$2:F392,1,$G$2:G392,"SUV",$D$2:D392,D392)-1)</f>
        <v/>
      </c>
    </row>
    <row r="393" spans="1:17">
      <c r="A393" s="62" t="str">
        <f>IFERROR(INDEX($H$2:$H$3000,MATCH(0,INDEX(COUNTIF($A$1:A392,$H$2:$H$3000)+($H$2:$H$3000=""),0,0),0)),"")</f>
        <v/>
      </c>
      <c r="B393" s="62" t="str">
        <f t="shared" si="24"/>
        <v/>
      </c>
      <c r="C393" s="62" t="str">
        <f t="shared" si="25"/>
        <v/>
      </c>
      <c r="D393" s="63" t="str">
        <f t="shared" si="26"/>
        <v/>
      </c>
      <c r="E393" s="62" t="str">
        <f>IF(D393="","",_xlfn.RANK.EQ(D393,$D$2:$D$1001,0)+COUNTIF($D$2:D393,D393)-1)</f>
        <v/>
      </c>
      <c r="F393" s="62" t="str">
        <f>IF(B393="","",--(COUNTIF(CN_Brands!$A$2:$A$300,UPPER(B393))&gt;0))</f>
        <v/>
      </c>
      <c r="G393" s="62" t="str">
        <f t="shared" si="27"/>
        <v/>
      </c>
      <c r="H393" s="62" t="str">
        <f>IF(AND('Data Export'!A393=前十整体车型排名!$B$2,'Data Export'!B393=前十整体车型排名!$B$3,'Data Export'!D393&lt;&gt;""),UPPER('Data Export'!C393)&amp;"♦"&amp;'Data Export'!D393,"")</f>
        <v>LEXUS♦ES</v>
      </c>
      <c r="I393" s="63">
        <f>IF(H393="","",IFERROR(INDEX('Data Export'!G393:CZ393,1,MATCH(前十整体车型排名!$B$4,'Data Export'!$G$1:$CZ$1,0)),0))</f>
        <v>0</v>
      </c>
      <c r="J393" s="62" t="str">
        <f>IF(H393="","",IF(OR('Data Export'!F393="三厢轿车",'Data Export'!F393="掀背轿车",'Data Export'!F393="旅行车",'Data Export'!F393="微型车",'Data Export'!F393="硬顶跑车",'Data Export'!F393="敞蓬车",'Data Export'!F393="Targa"),"轿车",IF(OR('Data Export'!F393="小型MPV",'Data Export'!F393="客车"),"MPV",IF('Data Export'!F393="运动型多功能车","SUV","其他"))))</f>
        <v>轿车</v>
      </c>
      <c r="K393" s="62" t="str">
        <f>IF(OR(D393="",NOT(F393=1)),"",1+SUMPRODUCT(($F$2:$F$1001=1)*($D$2:$D$1001&gt;D393))+COUNTIFS($F$2:F393,1,$D$2:D393,D393)-1)</f>
        <v/>
      </c>
      <c r="L393" s="62" t="str">
        <f>IF(OR(D393="",NOT(G393="轿车")),"",1+SUMPRODUCT(($G$2:$G$1001="轿车")*($D$2:$D$1001&gt;D393))+COUNTIFS($G$2:G393,"轿车",$D$2:D393,D393)-1)</f>
        <v/>
      </c>
      <c r="M393" s="62" t="str">
        <f>IF(OR(D393="",NOT(G393="MPV")),"",1+SUMPRODUCT(($G$2:$G$1001="MPV")*($D$2:$D$1001&gt;D393))+COUNTIFS($G$2:G393,"MPV",$D$2:D393,D393)-1)</f>
        <v/>
      </c>
      <c r="N393" s="62" t="str">
        <f>IF(OR(D393="",NOT(G393="SUV")),"",1+SUMPRODUCT(($G$2:$G$1001="SUV")*($D$2:$D$1001&gt;D393))+COUNTIFS($G$2:G393,"SUV",$D$2:D393,D393)-1)</f>
        <v/>
      </c>
      <c r="O393" s="62" t="str">
        <f>IF(OR(D393="",NOT(AND(F393=1,G393="轿车"))),"",1+SUMPRODUCT(($F$2:$F$1001=1)*($G$2:$G$1001="轿车")*($D$2:$D$1001&gt;D393))+COUNTIFS($F$2:F393,1,$G$2:G393,"轿车",$D$2:D393,D393)-1)</f>
        <v/>
      </c>
      <c r="P393" s="62" t="str">
        <f>IF(OR(D393="",NOT(AND(F393=1,G393="MPV"))),"",1+SUMPRODUCT(($F$2:$F$1001=1)*($G$2:$G$1001="MPV")*($D$2:$D$1001&gt;D393))+COUNTIFS($F$2:F393,1,$G$2:G393,"MPV",$D$2:D393,D393)-1)</f>
        <v/>
      </c>
      <c r="Q393" s="62" t="str">
        <f>IF(OR(D393="",NOT(AND(F393=1,G393="SUV"))),"",1+SUMPRODUCT(($F$2:$F$1001=1)*($G$2:$G$1001="SUV")*($D$2:$D$1001&gt;D393))+COUNTIFS($F$2:F393,1,$G$2:G393,"SUV",$D$2:D393,D393)-1)</f>
        <v/>
      </c>
    </row>
    <row r="394" spans="1:17">
      <c r="A394" s="62" t="str">
        <f>IFERROR(INDEX($H$2:$H$3000,MATCH(0,INDEX(COUNTIF($A$1:A393,$H$2:$H$3000)+($H$2:$H$3000=""),0,0),0)),"")</f>
        <v/>
      </c>
      <c r="B394" s="62" t="str">
        <f t="shared" si="24"/>
        <v/>
      </c>
      <c r="C394" s="62" t="str">
        <f t="shared" si="25"/>
        <v/>
      </c>
      <c r="D394" s="63" t="str">
        <f t="shared" si="26"/>
        <v/>
      </c>
      <c r="E394" s="62" t="str">
        <f>IF(D394="","",_xlfn.RANK.EQ(D394,$D$2:$D$1001,0)+COUNTIF($D$2:D394,D394)-1)</f>
        <v/>
      </c>
      <c r="F394" s="62" t="str">
        <f>IF(B394="","",--(COUNTIF(CN_Brands!$A$2:$A$300,UPPER(B394))&gt;0))</f>
        <v/>
      </c>
      <c r="G394" s="62" t="str">
        <f t="shared" si="27"/>
        <v/>
      </c>
      <c r="H394" s="62" t="str">
        <f>IF(AND('Data Export'!A394=前十整体车型排名!$B$2,'Data Export'!B394=前十整体车型排名!$B$3,'Data Export'!D394&lt;&gt;""),UPPER('Data Export'!C394)&amp;"♦"&amp;'Data Export'!D394,"")</f>
        <v>LEXUS♦ES</v>
      </c>
      <c r="I394" s="63">
        <f>IF(H394="","",IFERROR(INDEX('Data Export'!G394:CZ394,1,MATCH(前十整体车型排名!$B$4,'Data Export'!$G$1:$CZ$1,0)),0))</f>
        <v>0</v>
      </c>
      <c r="J394" s="62" t="str">
        <f>IF(H394="","",IF(OR('Data Export'!F394="三厢轿车",'Data Export'!F394="掀背轿车",'Data Export'!F394="旅行车",'Data Export'!F394="微型车",'Data Export'!F394="硬顶跑车",'Data Export'!F394="敞蓬车",'Data Export'!F394="Targa"),"轿车",IF(OR('Data Export'!F394="小型MPV",'Data Export'!F394="客车"),"MPV",IF('Data Export'!F394="运动型多功能车","SUV","其他"))))</f>
        <v>轿车</v>
      </c>
      <c r="K394" s="62" t="str">
        <f>IF(OR(D394="",NOT(F394=1)),"",1+SUMPRODUCT(($F$2:$F$1001=1)*($D$2:$D$1001&gt;D394))+COUNTIFS($F$2:F394,1,$D$2:D394,D394)-1)</f>
        <v/>
      </c>
      <c r="L394" s="62" t="str">
        <f>IF(OR(D394="",NOT(G394="轿车")),"",1+SUMPRODUCT(($G$2:$G$1001="轿车")*($D$2:$D$1001&gt;D394))+COUNTIFS($G$2:G394,"轿车",$D$2:D394,D394)-1)</f>
        <v/>
      </c>
      <c r="M394" s="62" t="str">
        <f>IF(OR(D394="",NOT(G394="MPV")),"",1+SUMPRODUCT(($G$2:$G$1001="MPV")*($D$2:$D$1001&gt;D394))+COUNTIFS($G$2:G394,"MPV",$D$2:D394,D394)-1)</f>
        <v/>
      </c>
      <c r="N394" s="62" t="str">
        <f>IF(OR(D394="",NOT(G394="SUV")),"",1+SUMPRODUCT(($G$2:$G$1001="SUV")*($D$2:$D$1001&gt;D394))+COUNTIFS($G$2:G394,"SUV",$D$2:D394,D394)-1)</f>
        <v/>
      </c>
      <c r="O394" s="62" t="str">
        <f>IF(OR(D394="",NOT(AND(F394=1,G394="轿车"))),"",1+SUMPRODUCT(($F$2:$F$1001=1)*($G$2:$G$1001="轿车")*($D$2:$D$1001&gt;D394))+COUNTIFS($F$2:F394,1,$G$2:G394,"轿车",$D$2:D394,D394)-1)</f>
        <v/>
      </c>
      <c r="P394" s="62" t="str">
        <f>IF(OR(D394="",NOT(AND(F394=1,G394="MPV"))),"",1+SUMPRODUCT(($F$2:$F$1001=1)*($G$2:$G$1001="MPV")*($D$2:$D$1001&gt;D394))+COUNTIFS($F$2:F394,1,$G$2:G394,"MPV",$D$2:D394,D394)-1)</f>
        <v/>
      </c>
      <c r="Q394" s="62" t="str">
        <f>IF(OR(D394="",NOT(AND(F394=1,G394="SUV"))),"",1+SUMPRODUCT(($F$2:$F$1001=1)*($G$2:$G$1001="SUV")*($D$2:$D$1001&gt;D394))+COUNTIFS($F$2:F394,1,$G$2:G394,"SUV",$D$2:D394,D394)-1)</f>
        <v/>
      </c>
    </row>
    <row r="395" spans="1:17">
      <c r="A395" s="62" t="str">
        <f>IFERROR(INDEX($H$2:$H$3000,MATCH(0,INDEX(COUNTIF($A$1:A394,$H$2:$H$3000)+($H$2:$H$3000=""),0,0),0)),"")</f>
        <v/>
      </c>
      <c r="B395" s="62" t="str">
        <f t="shared" si="24"/>
        <v/>
      </c>
      <c r="C395" s="62" t="str">
        <f t="shared" si="25"/>
        <v/>
      </c>
      <c r="D395" s="63" t="str">
        <f t="shared" si="26"/>
        <v/>
      </c>
      <c r="E395" s="62" t="str">
        <f>IF(D395="","",_xlfn.RANK.EQ(D395,$D$2:$D$1001,0)+COUNTIF($D$2:D395,D395)-1)</f>
        <v/>
      </c>
      <c r="F395" s="62" t="str">
        <f>IF(B395="","",--(COUNTIF(CN_Brands!$A$2:$A$300,UPPER(B395))&gt;0))</f>
        <v/>
      </c>
      <c r="G395" s="62" t="str">
        <f t="shared" si="27"/>
        <v/>
      </c>
      <c r="H395" s="62" t="str">
        <f>IF(AND('Data Export'!A395=前十整体车型排名!$B$2,'Data Export'!B395=前十整体车型排名!$B$3,'Data Export'!D395&lt;&gt;""),UPPER('Data Export'!C395)&amp;"♦"&amp;'Data Export'!D395,"")</f>
        <v>LEXUS♦IS</v>
      </c>
      <c r="I395" s="63">
        <f>IF(H395="","",IFERROR(INDEX('Data Export'!G395:CZ395,1,MATCH(前十整体车型排名!$B$4,'Data Export'!$G$1:$CZ$1,0)),0))</f>
        <v>0</v>
      </c>
      <c r="J395" s="62" t="str">
        <f>IF(H395="","",IF(OR('Data Export'!F395="三厢轿车",'Data Export'!F395="掀背轿车",'Data Export'!F395="旅行车",'Data Export'!F395="微型车",'Data Export'!F395="硬顶跑车",'Data Export'!F395="敞蓬车",'Data Export'!F395="Targa"),"轿车",IF(OR('Data Export'!F395="小型MPV",'Data Export'!F395="客车"),"MPV",IF('Data Export'!F395="运动型多功能车","SUV","其他"))))</f>
        <v>轿车</v>
      </c>
      <c r="K395" s="62" t="str">
        <f>IF(OR(D395="",NOT(F395=1)),"",1+SUMPRODUCT(($F$2:$F$1001=1)*($D$2:$D$1001&gt;D395))+COUNTIFS($F$2:F395,1,$D$2:D395,D395)-1)</f>
        <v/>
      </c>
      <c r="L395" s="62" t="str">
        <f>IF(OR(D395="",NOT(G395="轿车")),"",1+SUMPRODUCT(($G$2:$G$1001="轿车")*($D$2:$D$1001&gt;D395))+COUNTIFS($G$2:G395,"轿车",$D$2:D395,D395)-1)</f>
        <v/>
      </c>
      <c r="M395" s="62" t="str">
        <f>IF(OR(D395="",NOT(G395="MPV")),"",1+SUMPRODUCT(($G$2:$G$1001="MPV")*($D$2:$D$1001&gt;D395))+COUNTIFS($G$2:G395,"MPV",$D$2:D395,D395)-1)</f>
        <v/>
      </c>
      <c r="N395" s="62" t="str">
        <f>IF(OR(D395="",NOT(G395="SUV")),"",1+SUMPRODUCT(($G$2:$G$1001="SUV")*($D$2:$D$1001&gt;D395))+COUNTIFS($G$2:G395,"SUV",$D$2:D395,D395)-1)</f>
        <v/>
      </c>
      <c r="O395" s="62" t="str">
        <f>IF(OR(D395="",NOT(AND(F395=1,G395="轿车"))),"",1+SUMPRODUCT(($F$2:$F$1001=1)*($G$2:$G$1001="轿车")*($D$2:$D$1001&gt;D395))+COUNTIFS($F$2:F395,1,$G$2:G395,"轿车",$D$2:D395,D395)-1)</f>
        <v/>
      </c>
      <c r="P395" s="62" t="str">
        <f>IF(OR(D395="",NOT(AND(F395=1,G395="MPV"))),"",1+SUMPRODUCT(($F$2:$F$1001=1)*($G$2:$G$1001="MPV")*($D$2:$D$1001&gt;D395))+COUNTIFS($F$2:F395,1,$G$2:G395,"MPV",$D$2:D395,D395)-1)</f>
        <v/>
      </c>
      <c r="Q395" s="62" t="str">
        <f>IF(OR(D395="",NOT(AND(F395=1,G395="SUV"))),"",1+SUMPRODUCT(($F$2:$F$1001=1)*($G$2:$G$1001="SUV")*($D$2:$D$1001&gt;D395))+COUNTIFS($F$2:F395,1,$G$2:G395,"SUV",$D$2:D395,D395)-1)</f>
        <v/>
      </c>
    </row>
    <row r="396" spans="1:17">
      <c r="A396" s="62" t="str">
        <f>IFERROR(INDEX($H$2:$H$3000,MATCH(0,INDEX(COUNTIF($A$1:A395,$H$2:$H$3000)+($H$2:$H$3000=""),0,0),0)),"")</f>
        <v/>
      </c>
      <c r="B396" s="62" t="str">
        <f t="shared" si="24"/>
        <v/>
      </c>
      <c r="C396" s="62" t="str">
        <f t="shared" si="25"/>
        <v/>
      </c>
      <c r="D396" s="63" t="str">
        <f t="shared" si="26"/>
        <v/>
      </c>
      <c r="E396" s="62" t="str">
        <f>IF(D396="","",_xlfn.RANK.EQ(D396,$D$2:$D$1001,0)+COUNTIF($D$2:D396,D396)-1)</f>
        <v/>
      </c>
      <c r="F396" s="62" t="str">
        <f>IF(B396="","",--(COUNTIF(CN_Brands!$A$2:$A$300,UPPER(B396))&gt;0))</f>
        <v/>
      </c>
      <c r="G396" s="62" t="str">
        <f t="shared" si="27"/>
        <v/>
      </c>
      <c r="H396" s="62" t="str">
        <f>IF(AND('Data Export'!A396=前十整体车型排名!$B$2,'Data Export'!B396=前十整体车型排名!$B$3,'Data Export'!D396&lt;&gt;""),UPPER('Data Export'!C396)&amp;"♦"&amp;'Data Export'!D396,"")</f>
        <v>LEXUS♦IS</v>
      </c>
      <c r="I396" s="63">
        <f>IF(H396="","",IFERROR(INDEX('Data Export'!G396:CZ396,1,MATCH(前十整体车型排名!$B$4,'Data Export'!$G$1:$CZ$1,0)),0))</f>
        <v>7</v>
      </c>
      <c r="J396" s="62" t="str">
        <f>IF(H396="","",IF(OR('Data Export'!F396="三厢轿车",'Data Export'!F396="掀背轿车",'Data Export'!F396="旅行车",'Data Export'!F396="微型车",'Data Export'!F396="硬顶跑车",'Data Export'!F396="敞蓬车",'Data Export'!F396="Targa"),"轿车",IF(OR('Data Export'!F396="小型MPV",'Data Export'!F396="客车"),"MPV",IF('Data Export'!F396="运动型多功能车","SUV","其他"))))</f>
        <v>轿车</v>
      </c>
      <c r="K396" s="62" t="str">
        <f>IF(OR(D396="",NOT(F396=1)),"",1+SUMPRODUCT(($F$2:$F$1001=1)*($D$2:$D$1001&gt;D396))+COUNTIFS($F$2:F396,1,$D$2:D396,D396)-1)</f>
        <v/>
      </c>
      <c r="L396" s="62" t="str">
        <f>IF(OR(D396="",NOT(G396="轿车")),"",1+SUMPRODUCT(($G$2:$G$1001="轿车")*($D$2:$D$1001&gt;D396))+COUNTIFS($G$2:G396,"轿车",$D$2:D396,D396)-1)</f>
        <v/>
      </c>
      <c r="M396" s="62" t="str">
        <f>IF(OR(D396="",NOT(G396="MPV")),"",1+SUMPRODUCT(($G$2:$G$1001="MPV")*($D$2:$D$1001&gt;D396))+COUNTIFS($G$2:G396,"MPV",$D$2:D396,D396)-1)</f>
        <v/>
      </c>
      <c r="N396" s="62" t="str">
        <f>IF(OR(D396="",NOT(G396="SUV")),"",1+SUMPRODUCT(($G$2:$G$1001="SUV")*($D$2:$D$1001&gt;D396))+COUNTIFS($G$2:G396,"SUV",$D$2:D396,D396)-1)</f>
        <v/>
      </c>
      <c r="O396" s="62" t="str">
        <f>IF(OR(D396="",NOT(AND(F396=1,G396="轿车"))),"",1+SUMPRODUCT(($F$2:$F$1001=1)*($G$2:$G$1001="轿车")*($D$2:$D$1001&gt;D396))+COUNTIFS($F$2:F396,1,$G$2:G396,"轿车",$D$2:D396,D396)-1)</f>
        <v/>
      </c>
      <c r="P396" s="62" t="str">
        <f>IF(OR(D396="",NOT(AND(F396=1,G396="MPV"))),"",1+SUMPRODUCT(($F$2:$F$1001=1)*($G$2:$G$1001="MPV")*($D$2:$D$1001&gt;D396))+COUNTIFS($F$2:F396,1,$G$2:G396,"MPV",$D$2:D396,D396)-1)</f>
        <v/>
      </c>
      <c r="Q396" s="62" t="str">
        <f>IF(OR(D396="",NOT(AND(F396=1,G396="SUV"))),"",1+SUMPRODUCT(($F$2:$F$1001=1)*($G$2:$G$1001="SUV")*($D$2:$D$1001&gt;D396))+COUNTIFS($F$2:F396,1,$G$2:G396,"SUV",$D$2:D396,D396)-1)</f>
        <v/>
      </c>
    </row>
    <row r="397" spans="1:17">
      <c r="A397" s="62" t="str">
        <f>IFERROR(INDEX($H$2:$H$3000,MATCH(0,INDEX(COUNTIF($A$1:A396,$H$2:$H$3000)+($H$2:$H$3000=""),0,0),0)),"")</f>
        <v/>
      </c>
      <c r="B397" s="62" t="str">
        <f t="shared" si="24"/>
        <v/>
      </c>
      <c r="C397" s="62" t="str">
        <f t="shared" si="25"/>
        <v/>
      </c>
      <c r="D397" s="63" t="str">
        <f t="shared" si="26"/>
        <v/>
      </c>
      <c r="E397" s="62" t="str">
        <f>IF(D397="","",_xlfn.RANK.EQ(D397,$D$2:$D$1001,0)+COUNTIF($D$2:D397,D397)-1)</f>
        <v/>
      </c>
      <c r="F397" s="62" t="str">
        <f>IF(B397="","",--(COUNTIF(CN_Brands!$A$2:$A$300,UPPER(B397))&gt;0))</f>
        <v/>
      </c>
      <c r="G397" s="62" t="str">
        <f t="shared" si="27"/>
        <v/>
      </c>
      <c r="H397" s="62" t="str">
        <f>IF(AND('Data Export'!A397=前十整体车型排名!$B$2,'Data Export'!B397=前十整体车型排名!$B$3,'Data Export'!D397&lt;&gt;""),UPPER('Data Export'!C397)&amp;"♦"&amp;'Data Export'!D397,"")</f>
        <v>LEXUS♦LBX</v>
      </c>
      <c r="I397" s="63">
        <f>IF(H397="","",IFERROR(INDEX('Data Export'!G397:CZ397,1,MATCH(前十整体车型排名!$B$4,'Data Export'!$G$1:$CZ$1,0)),0))</f>
        <v>4</v>
      </c>
      <c r="J397" s="62" t="str">
        <f>IF(H397="","",IF(OR('Data Export'!F397="三厢轿车",'Data Export'!F397="掀背轿车",'Data Export'!F397="旅行车",'Data Export'!F397="微型车",'Data Export'!F397="硬顶跑车",'Data Export'!F397="敞蓬车",'Data Export'!F397="Targa"),"轿车",IF(OR('Data Export'!F397="小型MPV",'Data Export'!F397="客车"),"MPV",IF('Data Export'!F397="运动型多功能车","SUV","其他"))))</f>
        <v>SUV</v>
      </c>
      <c r="K397" s="62" t="str">
        <f>IF(OR(D397="",NOT(F397=1)),"",1+SUMPRODUCT(($F$2:$F$1001=1)*($D$2:$D$1001&gt;D397))+COUNTIFS($F$2:F397,1,$D$2:D397,D397)-1)</f>
        <v/>
      </c>
      <c r="L397" s="62" t="str">
        <f>IF(OR(D397="",NOT(G397="轿车")),"",1+SUMPRODUCT(($G$2:$G$1001="轿车")*($D$2:$D$1001&gt;D397))+COUNTIFS($G$2:G397,"轿车",$D$2:D397,D397)-1)</f>
        <v/>
      </c>
      <c r="M397" s="62" t="str">
        <f>IF(OR(D397="",NOT(G397="MPV")),"",1+SUMPRODUCT(($G$2:$G$1001="MPV")*($D$2:$D$1001&gt;D397))+COUNTIFS($G$2:G397,"MPV",$D$2:D397,D397)-1)</f>
        <v/>
      </c>
      <c r="N397" s="62" t="str">
        <f>IF(OR(D397="",NOT(G397="SUV")),"",1+SUMPRODUCT(($G$2:$G$1001="SUV")*($D$2:$D$1001&gt;D397))+COUNTIFS($G$2:G397,"SUV",$D$2:D397,D397)-1)</f>
        <v/>
      </c>
      <c r="O397" s="62" t="str">
        <f>IF(OR(D397="",NOT(AND(F397=1,G397="轿车"))),"",1+SUMPRODUCT(($F$2:$F$1001=1)*($G$2:$G$1001="轿车")*($D$2:$D$1001&gt;D397))+COUNTIFS($F$2:F397,1,$G$2:G397,"轿车",$D$2:D397,D397)-1)</f>
        <v/>
      </c>
      <c r="P397" s="62" t="str">
        <f>IF(OR(D397="",NOT(AND(F397=1,G397="MPV"))),"",1+SUMPRODUCT(($F$2:$F$1001=1)*($G$2:$G$1001="MPV")*($D$2:$D$1001&gt;D397))+COUNTIFS($F$2:F397,1,$G$2:G397,"MPV",$D$2:D397,D397)-1)</f>
        <v/>
      </c>
      <c r="Q397" s="62" t="str">
        <f>IF(OR(D397="",NOT(AND(F397=1,G397="SUV"))),"",1+SUMPRODUCT(($F$2:$F$1001=1)*($G$2:$G$1001="SUV")*($D$2:$D$1001&gt;D397))+COUNTIFS($F$2:F397,1,$G$2:G397,"SUV",$D$2:D397,D397)-1)</f>
        <v/>
      </c>
    </row>
    <row r="398" spans="1:17">
      <c r="A398" s="62" t="str">
        <f>IFERROR(INDEX($H$2:$H$3000,MATCH(0,INDEX(COUNTIF($A$1:A397,$H$2:$H$3000)+($H$2:$H$3000=""),0,0),0)),"")</f>
        <v/>
      </c>
      <c r="B398" s="62" t="str">
        <f t="shared" si="24"/>
        <v/>
      </c>
      <c r="C398" s="62" t="str">
        <f t="shared" si="25"/>
        <v/>
      </c>
      <c r="D398" s="63" t="str">
        <f t="shared" si="26"/>
        <v/>
      </c>
      <c r="E398" s="62" t="str">
        <f>IF(D398="","",_xlfn.RANK.EQ(D398,$D$2:$D$1001,0)+COUNTIF($D$2:D398,D398)-1)</f>
        <v/>
      </c>
      <c r="F398" s="62" t="str">
        <f>IF(B398="","",--(COUNTIF(CN_Brands!$A$2:$A$300,UPPER(B398))&gt;0))</f>
        <v/>
      </c>
      <c r="G398" s="62" t="str">
        <f t="shared" si="27"/>
        <v/>
      </c>
      <c r="H398" s="62" t="str">
        <f>IF(AND('Data Export'!A398=前十整体车型排名!$B$2,'Data Export'!B398=前十整体车型排名!$B$3,'Data Export'!D398&lt;&gt;""),UPPER('Data Export'!C398)&amp;"♦"&amp;'Data Export'!D398,"")</f>
        <v>LEXUS♦LC</v>
      </c>
      <c r="I398" s="63">
        <f>IF(H398="","",IFERROR(INDEX('Data Export'!G398:CZ398,1,MATCH(前十整体车型排名!$B$4,'Data Export'!$G$1:$CZ$1,0)),0))</f>
        <v>0</v>
      </c>
      <c r="J398" s="62" t="str">
        <f>IF(H398="","",IF(OR('Data Export'!F398="三厢轿车",'Data Export'!F398="掀背轿车",'Data Export'!F398="旅行车",'Data Export'!F398="微型车",'Data Export'!F398="硬顶跑车",'Data Export'!F398="敞蓬车",'Data Export'!F398="Targa"),"轿车",IF(OR('Data Export'!F398="小型MPV",'Data Export'!F398="客车"),"MPV",IF('Data Export'!F398="运动型多功能车","SUV","其他"))))</f>
        <v>轿车</v>
      </c>
      <c r="K398" s="62" t="str">
        <f>IF(OR(D398="",NOT(F398=1)),"",1+SUMPRODUCT(($F$2:$F$1001=1)*($D$2:$D$1001&gt;D398))+COUNTIFS($F$2:F398,1,$D$2:D398,D398)-1)</f>
        <v/>
      </c>
      <c r="L398" s="62" t="str">
        <f>IF(OR(D398="",NOT(G398="轿车")),"",1+SUMPRODUCT(($G$2:$G$1001="轿车")*($D$2:$D$1001&gt;D398))+COUNTIFS($G$2:G398,"轿车",$D$2:D398,D398)-1)</f>
        <v/>
      </c>
      <c r="M398" s="62" t="str">
        <f>IF(OR(D398="",NOT(G398="MPV")),"",1+SUMPRODUCT(($G$2:$G$1001="MPV")*($D$2:$D$1001&gt;D398))+COUNTIFS($G$2:G398,"MPV",$D$2:D398,D398)-1)</f>
        <v/>
      </c>
      <c r="N398" s="62" t="str">
        <f>IF(OR(D398="",NOT(G398="SUV")),"",1+SUMPRODUCT(($G$2:$G$1001="SUV")*($D$2:$D$1001&gt;D398))+COUNTIFS($G$2:G398,"SUV",$D$2:D398,D398)-1)</f>
        <v/>
      </c>
      <c r="O398" s="62" t="str">
        <f>IF(OR(D398="",NOT(AND(F398=1,G398="轿车"))),"",1+SUMPRODUCT(($F$2:$F$1001=1)*($G$2:$G$1001="轿车")*($D$2:$D$1001&gt;D398))+COUNTIFS($F$2:F398,1,$G$2:G398,"轿车",$D$2:D398,D398)-1)</f>
        <v/>
      </c>
      <c r="P398" s="62" t="str">
        <f>IF(OR(D398="",NOT(AND(F398=1,G398="MPV"))),"",1+SUMPRODUCT(($F$2:$F$1001=1)*($G$2:$G$1001="MPV")*($D$2:$D$1001&gt;D398))+COUNTIFS($F$2:F398,1,$G$2:G398,"MPV",$D$2:D398,D398)-1)</f>
        <v/>
      </c>
      <c r="Q398" s="62" t="str">
        <f>IF(OR(D398="",NOT(AND(F398=1,G398="SUV"))),"",1+SUMPRODUCT(($F$2:$F$1001=1)*($G$2:$G$1001="SUV")*($D$2:$D$1001&gt;D398))+COUNTIFS($F$2:F398,1,$G$2:G398,"SUV",$D$2:D398,D398)-1)</f>
        <v/>
      </c>
    </row>
    <row r="399" spans="1:17">
      <c r="A399" s="62" t="str">
        <f>IFERROR(INDEX($H$2:$H$3000,MATCH(0,INDEX(COUNTIF($A$1:A398,$H$2:$H$3000)+($H$2:$H$3000=""),0,0),0)),"")</f>
        <v/>
      </c>
      <c r="B399" s="62" t="str">
        <f t="shared" si="24"/>
        <v/>
      </c>
      <c r="C399" s="62" t="str">
        <f t="shared" si="25"/>
        <v/>
      </c>
      <c r="D399" s="63" t="str">
        <f t="shared" si="26"/>
        <v/>
      </c>
      <c r="E399" s="62" t="str">
        <f>IF(D399="","",_xlfn.RANK.EQ(D399,$D$2:$D$1001,0)+COUNTIF($D$2:D399,D399)-1)</f>
        <v/>
      </c>
      <c r="F399" s="62" t="str">
        <f>IF(B399="","",--(COUNTIF(CN_Brands!$A$2:$A$300,UPPER(B399))&gt;0))</f>
        <v/>
      </c>
      <c r="G399" s="62" t="str">
        <f t="shared" si="27"/>
        <v/>
      </c>
      <c r="H399" s="62" t="str">
        <f>IF(AND('Data Export'!A399=前十整体车型排名!$B$2,'Data Export'!B399=前十整体车型排名!$B$3,'Data Export'!D399&lt;&gt;""),UPPER('Data Export'!C399)&amp;"♦"&amp;'Data Export'!D399,"")</f>
        <v>LEXUS♦LC</v>
      </c>
      <c r="I399" s="63">
        <f>IF(H399="","",IFERROR(INDEX('Data Export'!G399:CZ399,1,MATCH(前十整体车型排名!$B$4,'Data Export'!$G$1:$CZ$1,0)),0))</f>
        <v>0</v>
      </c>
      <c r="J399" s="62" t="str">
        <f>IF(H399="","",IF(OR('Data Export'!F399="三厢轿车",'Data Export'!F399="掀背轿车",'Data Export'!F399="旅行车",'Data Export'!F399="微型车",'Data Export'!F399="硬顶跑车",'Data Export'!F399="敞蓬车",'Data Export'!F399="Targa"),"轿车",IF(OR('Data Export'!F399="小型MPV",'Data Export'!F399="客车"),"MPV",IF('Data Export'!F399="运动型多功能车","SUV","其他"))))</f>
        <v>轿车</v>
      </c>
      <c r="K399" s="62" t="str">
        <f>IF(OR(D399="",NOT(F399=1)),"",1+SUMPRODUCT(($F$2:$F$1001=1)*($D$2:$D$1001&gt;D399))+COUNTIFS($F$2:F399,1,$D$2:D399,D399)-1)</f>
        <v/>
      </c>
      <c r="L399" s="62" t="str">
        <f>IF(OR(D399="",NOT(G399="轿车")),"",1+SUMPRODUCT(($G$2:$G$1001="轿车")*($D$2:$D$1001&gt;D399))+COUNTIFS($G$2:G399,"轿车",$D$2:D399,D399)-1)</f>
        <v/>
      </c>
      <c r="M399" s="62" t="str">
        <f>IF(OR(D399="",NOT(G399="MPV")),"",1+SUMPRODUCT(($G$2:$G$1001="MPV")*($D$2:$D$1001&gt;D399))+COUNTIFS($G$2:G399,"MPV",$D$2:D399,D399)-1)</f>
        <v/>
      </c>
      <c r="N399" s="62" t="str">
        <f>IF(OR(D399="",NOT(G399="SUV")),"",1+SUMPRODUCT(($G$2:$G$1001="SUV")*($D$2:$D$1001&gt;D399))+COUNTIFS($G$2:G399,"SUV",$D$2:D399,D399)-1)</f>
        <v/>
      </c>
      <c r="O399" s="62" t="str">
        <f>IF(OR(D399="",NOT(AND(F399=1,G399="轿车"))),"",1+SUMPRODUCT(($F$2:$F$1001=1)*($G$2:$G$1001="轿车")*($D$2:$D$1001&gt;D399))+COUNTIFS($F$2:F399,1,$G$2:G399,"轿车",$D$2:D399,D399)-1)</f>
        <v/>
      </c>
      <c r="P399" s="62" t="str">
        <f>IF(OR(D399="",NOT(AND(F399=1,G399="MPV"))),"",1+SUMPRODUCT(($F$2:$F$1001=1)*($G$2:$G$1001="MPV")*($D$2:$D$1001&gt;D399))+COUNTIFS($F$2:F399,1,$G$2:G399,"MPV",$D$2:D399,D399)-1)</f>
        <v/>
      </c>
      <c r="Q399" s="62" t="str">
        <f>IF(OR(D399="",NOT(AND(F399=1,G399="SUV"))),"",1+SUMPRODUCT(($F$2:$F$1001=1)*($G$2:$G$1001="SUV")*($D$2:$D$1001&gt;D399))+COUNTIFS($F$2:F399,1,$G$2:G399,"SUV",$D$2:D399,D399)-1)</f>
        <v/>
      </c>
    </row>
    <row r="400" spans="1:17">
      <c r="A400" s="62" t="str">
        <f>IFERROR(INDEX($H$2:$H$3000,MATCH(0,INDEX(COUNTIF($A$1:A399,$H$2:$H$3000)+($H$2:$H$3000=""),0,0),0)),"")</f>
        <v/>
      </c>
      <c r="B400" s="62" t="str">
        <f t="shared" si="24"/>
        <v/>
      </c>
      <c r="C400" s="62" t="str">
        <f t="shared" si="25"/>
        <v/>
      </c>
      <c r="D400" s="63" t="str">
        <f t="shared" si="26"/>
        <v/>
      </c>
      <c r="E400" s="62" t="str">
        <f>IF(D400="","",_xlfn.RANK.EQ(D400,$D$2:$D$1001,0)+COUNTIF($D$2:D400,D400)-1)</f>
        <v/>
      </c>
      <c r="F400" s="62" t="str">
        <f>IF(B400="","",--(COUNTIF(CN_Brands!$A$2:$A$300,UPPER(B400))&gt;0))</f>
        <v/>
      </c>
      <c r="G400" s="62" t="str">
        <f t="shared" si="27"/>
        <v/>
      </c>
      <c r="H400" s="62" t="str">
        <f>IF(AND('Data Export'!A400=前十整体车型排名!$B$2,'Data Export'!B400=前十整体车型排名!$B$3,'Data Export'!D400&lt;&gt;""),UPPER('Data Export'!C400)&amp;"♦"&amp;'Data Export'!D400,"")</f>
        <v>LEXUS♦LC</v>
      </c>
      <c r="I400" s="63">
        <f>IF(H400="","",IFERROR(INDEX('Data Export'!G400:CZ400,1,MATCH(前十整体车型排名!$B$4,'Data Export'!$G$1:$CZ$1,0)),0))</f>
        <v>0</v>
      </c>
      <c r="J400" s="62" t="str">
        <f>IF(H400="","",IF(OR('Data Export'!F400="三厢轿车",'Data Export'!F400="掀背轿车",'Data Export'!F400="旅行车",'Data Export'!F400="微型车",'Data Export'!F400="硬顶跑车",'Data Export'!F400="敞蓬车",'Data Export'!F400="Targa"),"轿车",IF(OR('Data Export'!F400="小型MPV",'Data Export'!F400="客车"),"MPV",IF('Data Export'!F400="运动型多功能车","SUV","其他"))))</f>
        <v>轿车</v>
      </c>
      <c r="K400" s="62" t="str">
        <f>IF(OR(D400="",NOT(F400=1)),"",1+SUMPRODUCT(($F$2:$F$1001=1)*($D$2:$D$1001&gt;D400))+COUNTIFS($F$2:F400,1,$D$2:D400,D400)-1)</f>
        <v/>
      </c>
      <c r="L400" s="62" t="str">
        <f>IF(OR(D400="",NOT(G400="轿车")),"",1+SUMPRODUCT(($G$2:$G$1001="轿车")*($D$2:$D$1001&gt;D400))+COUNTIFS($G$2:G400,"轿车",$D$2:D400,D400)-1)</f>
        <v/>
      </c>
      <c r="M400" s="62" t="str">
        <f>IF(OR(D400="",NOT(G400="MPV")),"",1+SUMPRODUCT(($G$2:$G$1001="MPV")*($D$2:$D$1001&gt;D400))+COUNTIFS($G$2:G400,"MPV",$D$2:D400,D400)-1)</f>
        <v/>
      </c>
      <c r="N400" s="62" t="str">
        <f>IF(OR(D400="",NOT(G400="SUV")),"",1+SUMPRODUCT(($G$2:$G$1001="SUV")*($D$2:$D$1001&gt;D400))+COUNTIFS($G$2:G400,"SUV",$D$2:D400,D400)-1)</f>
        <v/>
      </c>
      <c r="O400" s="62" t="str">
        <f>IF(OR(D400="",NOT(AND(F400=1,G400="轿车"))),"",1+SUMPRODUCT(($F$2:$F$1001=1)*($G$2:$G$1001="轿车")*($D$2:$D$1001&gt;D400))+COUNTIFS($F$2:F400,1,$G$2:G400,"轿车",$D$2:D400,D400)-1)</f>
        <v/>
      </c>
      <c r="P400" s="62" t="str">
        <f>IF(OR(D400="",NOT(AND(F400=1,G400="MPV"))),"",1+SUMPRODUCT(($F$2:$F$1001=1)*($G$2:$G$1001="MPV")*($D$2:$D$1001&gt;D400))+COUNTIFS($F$2:F400,1,$G$2:G400,"MPV",$D$2:D400,D400)-1)</f>
        <v/>
      </c>
      <c r="Q400" s="62" t="str">
        <f>IF(OR(D400="",NOT(AND(F400=1,G400="SUV"))),"",1+SUMPRODUCT(($F$2:$F$1001=1)*($G$2:$G$1001="SUV")*($D$2:$D$1001&gt;D400))+COUNTIFS($F$2:F400,1,$G$2:G400,"SUV",$D$2:D400,D400)-1)</f>
        <v/>
      </c>
    </row>
    <row r="401" spans="1:17">
      <c r="A401" s="62" t="str">
        <f>IFERROR(INDEX($H$2:$H$3000,MATCH(0,INDEX(COUNTIF($A$1:A400,$H$2:$H$3000)+($H$2:$H$3000=""),0,0),0)),"")</f>
        <v/>
      </c>
      <c r="B401" s="62" t="str">
        <f t="shared" si="24"/>
        <v/>
      </c>
      <c r="C401" s="62" t="str">
        <f t="shared" si="25"/>
        <v/>
      </c>
      <c r="D401" s="63" t="str">
        <f t="shared" si="26"/>
        <v/>
      </c>
      <c r="E401" s="62" t="str">
        <f>IF(D401="","",_xlfn.RANK.EQ(D401,$D$2:$D$1001,0)+COUNTIF($D$2:D401,D401)-1)</f>
        <v/>
      </c>
      <c r="F401" s="62" t="str">
        <f>IF(B401="","",--(COUNTIF(CN_Brands!$A$2:$A$300,UPPER(B401))&gt;0))</f>
        <v/>
      </c>
      <c r="G401" s="62" t="str">
        <f t="shared" si="27"/>
        <v/>
      </c>
      <c r="H401" s="62" t="str">
        <f>IF(AND('Data Export'!A401=前十整体车型排名!$B$2,'Data Export'!B401=前十整体车型排名!$B$3,'Data Export'!D401&lt;&gt;""),UPPER('Data Export'!C401)&amp;"♦"&amp;'Data Export'!D401,"")</f>
        <v>LEXUS♦LM</v>
      </c>
      <c r="I401" s="63">
        <f>IF(H401="","",IFERROR(INDEX('Data Export'!G401:CZ401,1,MATCH(前十整体车型排名!$B$4,'Data Export'!$G$1:$CZ$1,0)),0))</f>
        <v>0</v>
      </c>
      <c r="J401" s="62" t="str">
        <f>IF(H401="","",IF(OR('Data Export'!F401="三厢轿车",'Data Export'!F401="掀背轿车",'Data Export'!F401="旅行车",'Data Export'!F401="微型车",'Data Export'!F401="硬顶跑车",'Data Export'!F401="敞蓬车",'Data Export'!F401="Targa"),"轿车",IF(OR('Data Export'!F401="小型MPV",'Data Export'!F401="客车"),"MPV",IF('Data Export'!F401="运动型多功能车","SUV","其他"))))</f>
        <v>其他</v>
      </c>
      <c r="K401" s="62" t="str">
        <f>IF(OR(D401="",NOT(F401=1)),"",1+SUMPRODUCT(($F$2:$F$1001=1)*($D$2:$D$1001&gt;D401))+COUNTIFS($F$2:F401,1,$D$2:D401,D401)-1)</f>
        <v/>
      </c>
      <c r="L401" s="62" t="str">
        <f>IF(OR(D401="",NOT(G401="轿车")),"",1+SUMPRODUCT(($G$2:$G$1001="轿车")*($D$2:$D$1001&gt;D401))+COUNTIFS($G$2:G401,"轿车",$D$2:D401,D401)-1)</f>
        <v/>
      </c>
      <c r="M401" s="62" t="str">
        <f>IF(OR(D401="",NOT(G401="MPV")),"",1+SUMPRODUCT(($G$2:$G$1001="MPV")*($D$2:$D$1001&gt;D401))+COUNTIFS($G$2:G401,"MPV",$D$2:D401,D401)-1)</f>
        <v/>
      </c>
      <c r="N401" s="62" t="str">
        <f>IF(OR(D401="",NOT(G401="SUV")),"",1+SUMPRODUCT(($G$2:$G$1001="SUV")*($D$2:$D$1001&gt;D401))+COUNTIFS($G$2:G401,"SUV",$D$2:D401,D401)-1)</f>
        <v/>
      </c>
      <c r="O401" s="62" t="str">
        <f>IF(OR(D401="",NOT(AND(F401=1,G401="轿车"))),"",1+SUMPRODUCT(($F$2:$F$1001=1)*($G$2:$G$1001="轿车")*($D$2:$D$1001&gt;D401))+COUNTIFS($F$2:F401,1,$G$2:G401,"轿车",$D$2:D401,D401)-1)</f>
        <v/>
      </c>
      <c r="P401" s="62" t="str">
        <f>IF(OR(D401="",NOT(AND(F401=1,G401="MPV"))),"",1+SUMPRODUCT(($F$2:$F$1001=1)*($G$2:$G$1001="MPV")*($D$2:$D$1001&gt;D401))+COUNTIFS($F$2:F401,1,$G$2:G401,"MPV",$D$2:D401,D401)-1)</f>
        <v/>
      </c>
      <c r="Q401" s="62" t="str">
        <f>IF(OR(D401="",NOT(AND(F401=1,G401="SUV"))),"",1+SUMPRODUCT(($F$2:$F$1001=1)*($G$2:$G$1001="SUV")*($D$2:$D$1001&gt;D401))+COUNTIFS($F$2:F401,1,$G$2:G401,"SUV",$D$2:D401,D401)-1)</f>
        <v/>
      </c>
    </row>
    <row r="402" spans="1:17">
      <c r="A402" s="62" t="str">
        <f>IFERROR(INDEX($H$2:$H$3000,MATCH(0,INDEX(COUNTIF($A$1:A401,$H$2:$H$3000)+($H$2:$H$3000=""),0,0),0)),"")</f>
        <v/>
      </c>
      <c r="B402" s="62" t="str">
        <f t="shared" si="24"/>
        <v/>
      </c>
      <c r="C402" s="62" t="str">
        <f t="shared" si="25"/>
        <v/>
      </c>
      <c r="D402" s="63" t="str">
        <f t="shared" si="26"/>
        <v/>
      </c>
      <c r="E402" s="62" t="str">
        <f>IF(D402="","",_xlfn.RANK.EQ(D402,$D$2:$D$1001,0)+COUNTIF($D$2:D402,D402)-1)</f>
        <v/>
      </c>
      <c r="F402" s="62" t="str">
        <f>IF(B402="","",--(COUNTIF(CN_Brands!$A$2:$A$300,UPPER(B402))&gt;0))</f>
        <v/>
      </c>
      <c r="G402" s="62" t="str">
        <f t="shared" si="27"/>
        <v/>
      </c>
      <c r="H402" s="62" t="str">
        <f>IF(AND('Data Export'!A402=前十整体车型排名!$B$2,'Data Export'!B402=前十整体车型排名!$B$3,'Data Export'!D402&lt;&gt;""),UPPER('Data Export'!C402)&amp;"♦"&amp;'Data Export'!D402,"")</f>
        <v>LEXUS♦LM</v>
      </c>
      <c r="I402" s="63">
        <f>IF(H402="","",IFERROR(INDEX('Data Export'!G402:CZ402,1,MATCH(前十整体车型排名!$B$4,'Data Export'!$G$1:$CZ$1,0)),0))</f>
        <v>1</v>
      </c>
      <c r="J402" s="62" t="str">
        <f>IF(H402="","",IF(OR('Data Export'!F402="三厢轿车",'Data Export'!F402="掀背轿车",'Data Export'!F402="旅行车",'Data Export'!F402="微型车",'Data Export'!F402="硬顶跑车",'Data Export'!F402="敞蓬车",'Data Export'!F402="Targa"),"轿车",IF(OR('Data Export'!F402="小型MPV",'Data Export'!F402="客车"),"MPV",IF('Data Export'!F402="运动型多功能车","SUV","其他"))))</f>
        <v>其他</v>
      </c>
      <c r="K402" s="62" t="str">
        <f>IF(OR(D402="",NOT(F402=1)),"",1+SUMPRODUCT(($F$2:$F$1001=1)*($D$2:$D$1001&gt;D402))+COUNTIFS($F$2:F402,1,$D$2:D402,D402)-1)</f>
        <v/>
      </c>
      <c r="L402" s="62" t="str">
        <f>IF(OR(D402="",NOT(G402="轿车")),"",1+SUMPRODUCT(($G$2:$G$1001="轿车")*($D$2:$D$1001&gt;D402))+COUNTIFS($G$2:G402,"轿车",$D$2:D402,D402)-1)</f>
        <v/>
      </c>
      <c r="M402" s="62" t="str">
        <f>IF(OR(D402="",NOT(G402="MPV")),"",1+SUMPRODUCT(($G$2:$G$1001="MPV")*($D$2:$D$1001&gt;D402))+COUNTIFS($G$2:G402,"MPV",$D$2:D402,D402)-1)</f>
        <v/>
      </c>
      <c r="N402" s="62" t="str">
        <f>IF(OR(D402="",NOT(G402="SUV")),"",1+SUMPRODUCT(($G$2:$G$1001="SUV")*($D$2:$D$1001&gt;D402))+COUNTIFS($G$2:G402,"SUV",$D$2:D402,D402)-1)</f>
        <v/>
      </c>
      <c r="O402" s="62" t="str">
        <f>IF(OR(D402="",NOT(AND(F402=1,G402="轿车"))),"",1+SUMPRODUCT(($F$2:$F$1001=1)*($G$2:$G$1001="轿车")*($D$2:$D$1001&gt;D402))+COUNTIFS($F$2:F402,1,$G$2:G402,"轿车",$D$2:D402,D402)-1)</f>
        <v/>
      </c>
      <c r="P402" s="62" t="str">
        <f>IF(OR(D402="",NOT(AND(F402=1,G402="MPV"))),"",1+SUMPRODUCT(($F$2:$F$1001=1)*($G$2:$G$1001="MPV")*($D$2:$D$1001&gt;D402))+COUNTIFS($F$2:F402,1,$G$2:G402,"MPV",$D$2:D402,D402)-1)</f>
        <v/>
      </c>
      <c r="Q402" s="62" t="str">
        <f>IF(OR(D402="",NOT(AND(F402=1,G402="SUV"))),"",1+SUMPRODUCT(($F$2:$F$1001=1)*($G$2:$G$1001="SUV")*($D$2:$D$1001&gt;D402))+COUNTIFS($F$2:F402,1,$G$2:G402,"SUV",$D$2:D402,D402)-1)</f>
        <v/>
      </c>
    </row>
    <row r="403" spans="1:17">
      <c r="A403" s="62" t="str">
        <f>IFERROR(INDEX($H$2:$H$3000,MATCH(0,INDEX(COUNTIF($A$1:A402,$H$2:$H$3000)+($H$2:$H$3000=""),0,0),0)),"")</f>
        <v/>
      </c>
      <c r="B403" s="62" t="str">
        <f t="shared" si="24"/>
        <v/>
      </c>
      <c r="C403" s="62" t="str">
        <f t="shared" si="25"/>
        <v/>
      </c>
      <c r="D403" s="63" t="str">
        <f t="shared" si="26"/>
        <v/>
      </c>
      <c r="E403" s="62" t="str">
        <f>IF(D403="","",_xlfn.RANK.EQ(D403,$D$2:$D$1001,0)+COUNTIF($D$2:D403,D403)-1)</f>
        <v/>
      </c>
      <c r="F403" s="62" t="str">
        <f>IF(B403="","",--(COUNTIF(CN_Brands!$A$2:$A$300,UPPER(B403))&gt;0))</f>
        <v/>
      </c>
      <c r="G403" s="62" t="str">
        <f t="shared" si="27"/>
        <v/>
      </c>
      <c r="H403" s="62" t="str">
        <f>IF(AND('Data Export'!A403=前十整体车型排名!$B$2,'Data Export'!B403=前十整体车型排名!$B$3,'Data Export'!D403&lt;&gt;""),UPPER('Data Export'!C403)&amp;"♦"&amp;'Data Export'!D403,"")</f>
        <v>LEXUS♦LM</v>
      </c>
      <c r="I403" s="63">
        <f>IF(H403="","",IFERROR(INDEX('Data Export'!G403:CZ403,1,MATCH(前十整体车型排名!$B$4,'Data Export'!$G$1:$CZ$1,0)),0))</f>
        <v>0</v>
      </c>
      <c r="J403" s="62" t="str">
        <f>IF(H403="","",IF(OR('Data Export'!F403="三厢轿车",'Data Export'!F403="掀背轿车",'Data Export'!F403="旅行车",'Data Export'!F403="微型车",'Data Export'!F403="硬顶跑车",'Data Export'!F403="敞蓬车",'Data Export'!F403="Targa"),"轿车",IF(OR('Data Export'!F403="小型MPV",'Data Export'!F403="客车"),"MPV",IF('Data Export'!F403="运动型多功能车","SUV","其他"))))</f>
        <v>其他</v>
      </c>
      <c r="K403" s="62" t="str">
        <f>IF(OR(D403="",NOT(F403=1)),"",1+SUMPRODUCT(($F$2:$F$1001=1)*($D$2:$D$1001&gt;D403))+COUNTIFS($F$2:F403,1,$D$2:D403,D403)-1)</f>
        <v/>
      </c>
      <c r="L403" s="62" t="str">
        <f>IF(OR(D403="",NOT(G403="轿车")),"",1+SUMPRODUCT(($G$2:$G$1001="轿车")*($D$2:$D$1001&gt;D403))+COUNTIFS($G$2:G403,"轿车",$D$2:D403,D403)-1)</f>
        <v/>
      </c>
      <c r="M403" s="62" t="str">
        <f>IF(OR(D403="",NOT(G403="MPV")),"",1+SUMPRODUCT(($G$2:$G$1001="MPV")*($D$2:$D$1001&gt;D403))+COUNTIFS($G$2:G403,"MPV",$D$2:D403,D403)-1)</f>
        <v/>
      </c>
      <c r="N403" s="62" t="str">
        <f>IF(OR(D403="",NOT(G403="SUV")),"",1+SUMPRODUCT(($G$2:$G$1001="SUV")*($D$2:$D$1001&gt;D403))+COUNTIFS($G$2:G403,"SUV",$D$2:D403,D403)-1)</f>
        <v/>
      </c>
      <c r="O403" s="62" t="str">
        <f>IF(OR(D403="",NOT(AND(F403=1,G403="轿车"))),"",1+SUMPRODUCT(($F$2:$F$1001=1)*($G$2:$G$1001="轿车")*($D$2:$D$1001&gt;D403))+COUNTIFS($F$2:F403,1,$G$2:G403,"轿车",$D$2:D403,D403)-1)</f>
        <v/>
      </c>
      <c r="P403" s="62" t="str">
        <f>IF(OR(D403="",NOT(AND(F403=1,G403="MPV"))),"",1+SUMPRODUCT(($F$2:$F$1001=1)*($G$2:$G$1001="MPV")*($D$2:$D$1001&gt;D403))+COUNTIFS($F$2:F403,1,$G$2:G403,"MPV",$D$2:D403,D403)-1)</f>
        <v/>
      </c>
      <c r="Q403" s="62" t="str">
        <f>IF(OR(D403="",NOT(AND(F403=1,G403="SUV"))),"",1+SUMPRODUCT(($F$2:$F$1001=1)*($G$2:$G$1001="SUV")*($D$2:$D$1001&gt;D403))+COUNTIFS($F$2:F403,1,$G$2:G403,"SUV",$D$2:D403,D403)-1)</f>
        <v/>
      </c>
    </row>
    <row r="404" spans="1:17">
      <c r="A404" s="62" t="str">
        <f>IFERROR(INDEX($H$2:$H$3000,MATCH(0,INDEX(COUNTIF($A$1:A403,$H$2:$H$3000)+($H$2:$H$3000=""),0,0),0)),"")</f>
        <v/>
      </c>
      <c r="B404" s="62" t="str">
        <f t="shared" si="24"/>
        <v/>
      </c>
      <c r="C404" s="62" t="str">
        <f t="shared" si="25"/>
        <v/>
      </c>
      <c r="D404" s="63" t="str">
        <f t="shared" si="26"/>
        <v/>
      </c>
      <c r="E404" s="62" t="str">
        <f>IF(D404="","",_xlfn.RANK.EQ(D404,$D$2:$D$1001,0)+COUNTIF($D$2:D404,D404)-1)</f>
        <v/>
      </c>
      <c r="F404" s="62" t="str">
        <f>IF(B404="","",--(COUNTIF(CN_Brands!$A$2:$A$300,UPPER(B404))&gt;0))</f>
        <v/>
      </c>
      <c r="G404" s="62" t="str">
        <f t="shared" si="27"/>
        <v/>
      </c>
      <c r="H404" s="62" t="str">
        <f>IF(AND('Data Export'!A404=前十整体车型排名!$B$2,'Data Export'!B404=前十整体车型排名!$B$3,'Data Export'!D404&lt;&gt;""),UPPER('Data Export'!C404)&amp;"♦"&amp;'Data Export'!D404,"")</f>
        <v>LEXUS♦LM</v>
      </c>
      <c r="I404" s="63">
        <f>IF(H404="","",IFERROR(INDEX('Data Export'!G404:CZ404,1,MATCH(前十整体车型排名!$B$4,'Data Export'!$G$1:$CZ$1,0)),0))</f>
        <v>25</v>
      </c>
      <c r="J404" s="62" t="str">
        <f>IF(H404="","",IF(OR('Data Export'!F404="三厢轿车",'Data Export'!F404="掀背轿车",'Data Export'!F404="旅行车",'Data Export'!F404="微型车",'Data Export'!F404="硬顶跑车",'Data Export'!F404="敞蓬车",'Data Export'!F404="Targa"),"轿车",IF(OR('Data Export'!F404="小型MPV",'Data Export'!F404="客车"),"MPV",IF('Data Export'!F404="运动型多功能车","SUV","其他"))))</f>
        <v>其他</v>
      </c>
      <c r="K404" s="62" t="str">
        <f>IF(OR(D404="",NOT(F404=1)),"",1+SUMPRODUCT(($F$2:$F$1001=1)*($D$2:$D$1001&gt;D404))+COUNTIFS($F$2:F404,1,$D$2:D404,D404)-1)</f>
        <v/>
      </c>
      <c r="L404" s="62" t="str">
        <f>IF(OR(D404="",NOT(G404="轿车")),"",1+SUMPRODUCT(($G$2:$G$1001="轿车")*($D$2:$D$1001&gt;D404))+COUNTIFS($G$2:G404,"轿车",$D$2:D404,D404)-1)</f>
        <v/>
      </c>
      <c r="M404" s="62" t="str">
        <f>IF(OR(D404="",NOT(G404="MPV")),"",1+SUMPRODUCT(($G$2:$G$1001="MPV")*($D$2:$D$1001&gt;D404))+COUNTIFS($G$2:G404,"MPV",$D$2:D404,D404)-1)</f>
        <v/>
      </c>
      <c r="N404" s="62" t="str">
        <f>IF(OR(D404="",NOT(G404="SUV")),"",1+SUMPRODUCT(($G$2:$G$1001="SUV")*($D$2:$D$1001&gt;D404))+COUNTIFS($G$2:G404,"SUV",$D$2:D404,D404)-1)</f>
        <v/>
      </c>
      <c r="O404" s="62" t="str">
        <f>IF(OR(D404="",NOT(AND(F404=1,G404="轿车"))),"",1+SUMPRODUCT(($F$2:$F$1001=1)*($G$2:$G$1001="轿车")*($D$2:$D$1001&gt;D404))+COUNTIFS($F$2:F404,1,$G$2:G404,"轿车",$D$2:D404,D404)-1)</f>
        <v/>
      </c>
      <c r="P404" s="62" t="str">
        <f>IF(OR(D404="",NOT(AND(F404=1,G404="MPV"))),"",1+SUMPRODUCT(($F$2:$F$1001=1)*($G$2:$G$1001="MPV")*($D$2:$D$1001&gt;D404))+COUNTIFS($F$2:F404,1,$G$2:G404,"MPV",$D$2:D404,D404)-1)</f>
        <v/>
      </c>
      <c r="Q404" s="62" t="str">
        <f>IF(OR(D404="",NOT(AND(F404=1,G404="SUV"))),"",1+SUMPRODUCT(($F$2:$F$1001=1)*($G$2:$G$1001="SUV")*($D$2:$D$1001&gt;D404))+COUNTIFS($F$2:F404,1,$G$2:G404,"SUV",$D$2:D404,D404)-1)</f>
        <v/>
      </c>
    </row>
    <row r="405" spans="1:17">
      <c r="A405" s="62" t="str">
        <f>IFERROR(INDEX($H$2:$H$3000,MATCH(0,INDEX(COUNTIF($A$1:A404,$H$2:$H$3000)+($H$2:$H$3000=""),0,0),0)),"")</f>
        <v/>
      </c>
      <c r="B405" s="62" t="str">
        <f t="shared" si="24"/>
        <v/>
      </c>
      <c r="C405" s="62" t="str">
        <f t="shared" si="25"/>
        <v/>
      </c>
      <c r="D405" s="63" t="str">
        <f t="shared" si="26"/>
        <v/>
      </c>
      <c r="E405" s="62" t="str">
        <f>IF(D405="","",_xlfn.RANK.EQ(D405,$D$2:$D$1001,0)+COUNTIF($D$2:D405,D405)-1)</f>
        <v/>
      </c>
      <c r="F405" s="62" t="str">
        <f>IF(B405="","",--(COUNTIF(CN_Brands!$A$2:$A$300,UPPER(B405))&gt;0))</f>
        <v/>
      </c>
      <c r="G405" s="62" t="str">
        <f t="shared" si="27"/>
        <v/>
      </c>
      <c r="H405" s="62" t="str">
        <f>IF(AND('Data Export'!A405=前十整体车型排名!$B$2,'Data Export'!B405=前十整体车型排名!$B$3,'Data Export'!D405&lt;&gt;""),UPPER('Data Export'!C405)&amp;"♦"&amp;'Data Export'!D405,"")</f>
        <v>LEXUS♦LM</v>
      </c>
      <c r="I405" s="63">
        <f>IF(H405="","",IFERROR(INDEX('Data Export'!G405:CZ405,1,MATCH(前十整体车型排名!$B$4,'Data Export'!$G$1:$CZ$1,0)),0))</f>
        <v>3</v>
      </c>
      <c r="J405" s="62" t="str">
        <f>IF(H405="","",IF(OR('Data Export'!F405="三厢轿车",'Data Export'!F405="掀背轿车",'Data Export'!F405="旅行车",'Data Export'!F405="微型车",'Data Export'!F405="硬顶跑车",'Data Export'!F405="敞蓬车",'Data Export'!F405="Targa"),"轿车",IF(OR('Data Export'!F405="小型MPV",'Data Export'!F405="客车"),"MPV",IF('Data Export'!F405="运动型多功能车","SUV","其他"))))</f>
        <v>其他</v>
      </c>
      <c r="K405" s="62" t="str">
        <f>IF(OR(D405="",NOT(F405=1)),"",1+SUMPRODUCT(($F$2:$F$1001=1)*($D$2:$D$1001&gt;D405))+COUNTIFS($F$2:F405,1,$D$2:D405,D405)-1)</f>
        <v/>
      </c>
      <c r="L405" s="62" t="str">
        <f>IF(OR(D405="",NOT(G405="轿车")),"",1+SUMPRODUCT(($G$2:$G$1001="轿车")*($D$2:$D$1001&gt;D405))+COUNTIFS($G$2:G405,"轿车",$D$2:D405,D405)-1)</f>
        <v/>
      </c>
      <c r="M405" s="62" t="str">
        <f>IF(OR(D405="",NOT(G405="MPV")),"",1+SUMPRODUCT(($G$2:$G$1001="MPV")*($D$2:$D$1001&gt;D405))+COUNTIFS($G$2:G405,"MPV",$D$2:D405,D405)-1)</f>
        <v/>
      </c>
      <c r="N405" s="62" t="str">
        <f>IF(OR(D405="",NOT(G405="SUV")),"",1+SUMPRODUCT(($G$2:$G$1001="SUV")*($D$2:$D$1001&gt;D405))+COUNTIFS($G$2:G405,"SUV",$D$2:D405,D405)-1)</f>
        <v/>
      </c>
      <c r="O405" s="62" t="str">
        <f>IF(OR(D405="",NOT(AND(F405=1,G405="轿车"))),"",1+SUMPRODUCT(($F$2:$F$1001=1)*($G$2:$G$1001="轿车")*($D$2:$D$1001&gt;D405))+COUNTIFS($F$2:F405,1,$G$2:G405,"轿车",$D$2:D405,D405)-1)</f>
        <v/>
      </c>
      <c r="P405" s="62" t="str">
        <f>IF(OR(D405="",NOT(AND(F405=1,G405="MPV"))),"",1+SUMPRODUCT(($F$2:$F$1001=1)*($G$2:$G$1001="MPV")*($D$2:$D$1001&gt;D405))+COUNTIFS($F$2:F405,1,$G$2:G405,"MPV",$D$2:D405,D405)-1)</f>
        <v/>
      </c>
      <c r="Q405" s="62" t="str">
        <f>IF(OR(D405="",NOT(AND(F405=1,G405="SUV"))),"",1+SUMPRODUCT(($F$2:$F$1001=1)*($G$2:$G$1001="SUV")*($D$2:$D$1001&gt;D405))+COUNTIFS($F$2:F405,1,$G$2:G405,"SUV",$D$2:D405,D405)-1)</f>
        <v/>
      </c>
    </row>
    <row r="406" spans="1:17">
      <c r="A406" s="62" t="str">
        <f>IFERROR(INDEX($H$2:$H$3000,MATCH(0,INDEX(COUNTIF($A$1:A405,$H$2:$H$3000)+($H$2:$H$3000=""),0,0),0)),"")</f>
        <v/>
      </c>
      <c r="B406" s="62" t="str">
        <f t="shared" si="24"/>
        <v/>
      </c>
      <c r="C406" s="62" t="str">
        <f t="shared" si="25"/>
        <v/>
      </c>
      <c r="D406" s="63" t="str">
        <f t="shared" si="26"/>
        <v/>
      </c>
      <c r="E406" s="62" t="str">
        <f>IF(D406="","",_xlfn.RANK.EQ(D406,$D$2:$D$1001,0)+COUNTIF($D$2:D406,D406)-1)</f>
        <v/>
      </c>
      <c r="F406" s="62" t="str">
        <f>IF(B406="","",--(COUNTIF(CN_Brands!$A$2:$A$300,UPPER(B406))&gt;0))</f>
        <v/>
      </c>
      <c r="G406" s="62" t="str">
        <f t="shared" si="27"/>
        <v/>
      </c>
      <c r="H406" s="62" t="str">
        <f>IF(AND('Data Export'!A406=前十整体车型排名!$B$2,'Data Export'!B406=前十整体车型排名!$B$3,'Data Export'!D406&lt;&gt;""),UPPER('Data Export'!C406)&amp;"♦"&amp;'Data Export'!D406,"")</f>
        <v>LEXUS♦LM</v>
      </c>
      <c r="I406" s="63">
        <f>IF(H406="","",IFERROR(INDEX('Data Export'!G406:CZ406,1,MATCH(前十整体车型排名!$B$4,'Data Export'!$G$1:$CZ$1,0)),0))</f>
        <v>1</v>
      </c>
      <c r="J406" s="62" t="str">
        <f>IF(H406="","",IF(OR('Data Export'!F406="三厢轿车",'Data Export'!F406="掀背轿车",'Data Export'!F406="旅行车",'Data Export'!F406="微型车",'Data Export'!F406="硬顶跑车",'Data Export'!F406="敞蓬车",'Data Export'!F406="Targa"),"轿车",IF(OR('Data Export'!F406="小型MPV",'Data Export'!F406="客车"),"MPV",IF('Data Export'!F406="运动型多功能车","SUV","其他"))))</f>
        <v>其他</v>
      </c>
      <c r="K406" s="62" t="str">
        <f>IF(OR(D406="",NOT(F406=1)),"",1+SUMPRODUCT(($F$2:$F$1001=1)*($D$2:$D$1001&gt;D406))+COUNTIFS($F$2:F406,1,$D$2:D406,D406)-1)</f>
        <v/>
      </c>
      <c r="L406" s="62" t="str">
        <f>IF(OR(D406="",NOT(G406="轿车")),"",1+SUMPRODUCT(($G$2:$G$1001="轿车")*($D$2:$D$1001&gt;D406))+COUNTIFS($G$2:G406,"轿车",$D$2:D406,D406)-1)</f>
        <v/>
      </c>
      <c r="M406" s="62" t="str">
        <f>IF(OR(D406="",NOT(G406="MPV")),"",1+SUMPRODUCT(($G$2:$G$1001="MPV")*($D$2:$D$1001&gt;D406))+COUNTIFS($G$2:G406,"MPV",$D$2:D406,D406)-1)</f>
        <v/>
      </c>
      <c r="N406" s="62" t="str">
        <f>IF(OR(D406="",NOT(G406="SUV")),"",1+SUMPRODUCT(($G$2:$G$1001="SUV")*($D$2:$D$1001&gt;D406))+COUNTIFS($G$2:G406,"SUV",$D$2:D406,D406)-1)</f>
        <v/>
      </c>
      <c r="O406" s="62" t="str">
        <f>IF(OR(D406="",NOT(AND(F406=1,G406="轿车"))),"",1+SUMPRODUCT(($F$2:$F$1001=1)*($G$2:$G$1001="轿车")*($D$2:$D$1001&gt;D406))+COUNTIFS($F$2:F406,1,$G$2:G406,"轿车",$D$2:D406,D406)-1)</f>
        <v/>
      </c>
      <c r="P406" s="62" t="str">
        <f>IF(OR(D406="",NOT(AND(F406=1,G406="MPV"))),"",1+SUMPRODUCT(($F$2:$F$1001=1)*($G$2:$G$1001="MPV")*($D$2:$D$1001&gt;D406))+COUNTIFS($F$2:F406,1,$G$2:G406,"MPV",$D$2:D406,D406)-1)</f>
        <v/>
      </c>
      <c r="Q406" s="62" t="str">
        <f>IF(OR(D406="",NOT(AND(F406=1,G406="SUV"))),"",1+SUMPRODUCT(($F$2:$F$1001=1)*($G$2:$G$1001="SUV")*($D$2:$D$1001&gt;D406))+COUNTIFS($F$2:F406,1,$G$2:G406,"SUV",$D$2:D406,D406)-1)</f>
        <v/>
      </c>
    </row>
    <row r="407" spans="1:17">
      <c r="A407" s="62" t="str">
        <f>IFERROR(INDEX($H$2:$H$3000,MATCH(0,INDEX(COUNTIF($A$1:A406,$H$2:$H$3000)+($H$2:$H$3000=""),0,0),0)),"")</f>
        <v/>
      </c>
      <c r="B407" s="62" t="str">
        <f t="shared" si="24"/>
        <v/>
      </c>
      <c r="C407" s="62" t="str">
        <f t="shared" si="25"/>
        <v/>
      </c>
      <c r="D407" s="63" t="str">
        <f t="shared" si="26"/>
        <v/>
      </c>
      <c r="E407" s="62" t="str">
        <f>IF(D407="","",_xlfn.RANK.EQ(D407,$D$2:$D$1001,0)+COUNTIF($D$2:D407,D407)-1)</f>
        <v/>
      </c>
      <c r="F407" s="62" t="str">
        <f>IF(B407="","",--(COUNTIF(CN_Brands!$A$2:$A$300,UPPER(B407))&gt;0))</f>
        <v/>
      </c>
      <c r="G407" s="62" t="str">
        <f t="shared" si="27"/>
        <v/>
      </c>
      <c r="H407" s="62" t="str">
        <f>IF(AND('Data Export'!A407=前十整体车型排名!$B$2,'Data Export'!B407=前十整体车型排名!$B$3,'Data Export'!D407&lt;&gt;""),UPPER('Data Export'!C407)&amp;"♦"&amp;'Data Export'!D407,"")</f>
        <v>LEXUS♦LM</v>
      </c>
      <c r="I407" s="63">
        <f>IF(H407="","",IFERROR(INDEX('Data Export'!G407:CZ407,1,MATCH(前十整体车型排名!$B$4,'Data Export'!$G$1:$CZ$1,0)),0))</f>
        <v>0</v>
      </c>
      <c r="J407" s="62" t="str">
        <f>IF(H407="","",IF(OR('Data Export'!F407="三厢轿车",'Data Export'!F407="掀背轿车",'Data Export'!F407="旅行车",'Data Export'!F407="微型车",'Data Export'!F407="硬顶跑车",'Data Export'!F407="敞蓬车",'Data Export'!F407="Targa"),"轿车",IF(OR('Data Export'!F407="小型MPV",'Data Export'!F407="客车"),"MPV",IF('Data Export'!F407="运动型多功能车","SUV","其他"))))</f>
        <v>其他</v>
      </c>
      <c r="K407" s="62" t="str">
        <f>IF(OR(D407="",NOT(F407=1)),"",1+SUMPRODUCT(($F$2:$F$1001=1)*($D$2:$D$1001&gt;D407))+COUNTIFS($F$2:F407,1,$D$2:D407,D407)-1)</f>
        <v/>
      </c>
      <c r="L407" s="62" t="str">
        <f>IF(OR(D407="",NOT(G407="轿车")),"",1+SUMPRODUCT(($G$2:$G$1001="轿车")*($D$2:$D$1001&gt;D407))+COUNTIFS($G$2:G407,"轿车",$D$2:D407,D407)-1)</f>
        <v/>
      </c>
      <c r="M407" s="62" t="str">
        <f>IF(OR(D407="",NOT(G407="MPV")),"",1+SUMPRODUCT(($G$2:$G$1001="MPV")*($D$2:$D$1001&gt;D407))+COUNTIFS($G$2:G407,"MPV",$D$2:D407,D407)-1)</f>
        <v/>
      </c>
      <c r="N407" s="62" t="str">
        <f>IF(OR(D407="",NOT(G407="SUV")),"",1+SUMPRODUCT(($G$2:$G$1001="SUV")*($D$2:$D$1001&gt;D407))+COUNTIFS($G$2:G407,"SUV",$D$2:D407,D407)-1)</f>
        <v/>
      </c>
      <c r="O407" s="62" t="str">
        <f>IF(OR(D407="",NOT(AND(F407=1,G407="轿车"))),"",1+SUMPRODUCT(($F$2:$F$1001=1)*($G$2:$G$1001="轿车")*($D$2:$D$1001&gt;D407))+COUNTIFS($F$2:F407,1,$G$2:G407,"轿车",$D$2:D407,D407)-1)</f>
        <v/>
      </c>
      <c r="P407" s="62" t="str">
        <f>IF(OR(D407="",NOT(AND(F407=1,G407="MPV"))),"",1+SUMPRODUCT(($F$2:$F$1001=1)*($G$2:$G$1001="MPV")*($D$2:$D$1001&gt;D407))+COUNTIFS($F$2:F407,1,$G$2:G407,"MPV",$D$2:D407,D407)-1)</f>
        <v/>
      </c>
      <c r="Q407" s="62" t="str">
        <f>IF(OR(D407="",NOT(AND(F407=1,G407="SUV"))),"",1+SUMPRODUCT(($F$2:$F$1001=1)*($G$2:$G$1001="SUV")*($D$2:$D$1001&gt;D407))+COUNTIFS($F$2:F407,1,$G$2:G407,"SUV",$D$2:D407,D407)-1)</f>
        <v/>
      </c>
    </row>
    <row r="408" spans="1:17">
      <c r="A408" s="62" t="str">
        <f>IFERROR(INDEX($H$2:$H$3000,MATCH(0,INDEX(COUNTIF($A$1:A407,$H$2:$H$3000)+($H$2:$H$3000=""),0,0),0)),"")</f>
        <v/>
      </c>
      <c r="B408" s="62" t="str">
        <f t="shared" si="24"/>
        <v/>
      </c>
      <c r="C408" s="62" t="str">
        <f t="shared" si="25"/>
        <v/>
      </c>
      <c r="D408" s="63" t="str">
        <f t="shared" si="26"/>
        <v/>
      </c>
      <c r="E408" s="62" t="str">
        <f>IF(D408="","",_xlfn.RANK.EQ(D408,$D$2:$D$1001,0)+COUNTIF($D$2:D408,D408)-1)</f>
        <v/>
      </c>
      <c r="F408" s="62" t="str">
        <f>IF(B408="","",--(COUNTIF(CN_Brands!$A$2:$A$300,UPPER(B408))&gt;0))</f>
        <v/>
      </c>
      <c r="G408" s="62" t="str">
        <f t="shared" si="27"/>
        <v/>
      </c>
      <c r="H408" s="62" t="str">
        <f>IF(AND('Data Export'!A408=前十整体车型排名!$B$2,'Data Export'!B408=前十整体车型排名!$B$3,'Data Export'!D408&lt;&gt;""),UPPER('Data Export'!C408)&amp;"♦"&amp;'Data Export'!D408,"")</f>
        <v>LEXUS♦LX</v>
      </c>
      <c r="I408" s="63">
        <f>IF(H408="","",IFERROR(INDEX('Data Export'!G408:CZ408,1,MATCH(前十整体车型排名!$B$4,'Data Export'!$G$1:$CZ$1,0)),0))</f>
        <v>0</v>
      </c>
      <c r="J408" s="62" t="str">
        <f>IF(H408="","",IF(OR('Data Export'!F408="三厢轿车",'Data Export'!F408="掀背轿车",'Data Export'!F408="旅行车",'Data Export'!F408="微型车",'Data Export'!F408="硬顶跑车",'Data Export'!F408="敞蓬车",'Data Export'!F408="Targa"),"轿车",IF(OR('Data Export'!F408="小型MPV",'Data Export'!F408="客车"),"MPV",IF('Data Export'!F408="运动型多功能车","SUV","其他"))))</f>
        <v>SUV</v>
      </c>
      <c r="K408" s="62" t="str">
        <f>IF(OR(D408="",NOT(F408=1)),"",1+SUMPRODUCT(($F$2:$F$1001=1)*($D$2:$D$1001&gt;D408))+COUNTIFS($F$2:F408,1,$D$2:D408,D408)-1)</f>
        <v/>
      </c>
      <c r="L408" s="62" t="str">
        <f>IF(OR(D408="",NOT(G408="轿车")),"",1+SUMPRODUCT(($G$2:$G$1001="轿车")*($D$2:$D$1001&gt;D408))+COUNTIFS($G$2:G408,"轿车",$D$2:D408,D408)-1)</f>
        <v/>
      </c>
      <c r="M408" s="62" t="str">
        <f>IF(OR(D408="",NOT(G408="MPV")),"",1+SUMPRODUCT(($G$2:$G$1001="MPV")*($D$2:$D$1001&gt;D408))+COUNTIFS($G$2:G408,"MPV",$D$2:D408,D408)-1)</f>
        <v/>
      </c>
      <c r="N408" s="62" t="str">
        <f>IF(OR(D408="",NOT(G408="SUV")),"",1+SUMPRODUCT(($G$2:$G$1001="SUV")*($D$2:$D$1001&gt;D408))+COUNTIFS($G$2:G408,"SUV",$D$2:D408,D408)-1)</f>
        <v/>
      </c>
      <c r="O408" s="62" t="str">
        <f>IF(OR(D408="",NOT(AND(F408=1,G408="轿车"))),"",1+SUMPRODUCT(($F$2:$F$1001=1)*($G$2:$G$1001="轿车")*($D$2:$D$1001&gt;D408))+COUNTIFS($F$2:F408,1,$G$2:G408,"轿车",$D$2:D408,D408)-1)</f>
        <v/>
      </c>
      <c r="P408" s="62" t="str">
        <f>IF(OR(D408="",NOT(AND(F408=1,G408="MPV"))),"",1+SUMPRODUCT(($F$2:$F$1001=1)*($G$2:$G$1001="MPV")*($D$2:$D$1001&gt;D408))+COUNTIFS($F$2:F408,1,$G$2:G408,"MPV",$D$2:D408,D408)-1)</f>
        <v/>
      </c>
      <c r="Q408" s="62" t="str">
        <f>IF(OR(D408="",NOT(AND(F408=1,G408="SUV"))),"",1+SUMPRODUCT(($F$2:$F$1001=1)*($G$2:$G$1001="SUV")*($D$2:$D$1001&gt;D408))+COUNTIFS($F$2:F408,1,$G$2:G408,"SUV",$D$2:D408,D408)-1)</f>
        <v/>
      </c>
    </row>
    <row r="409" spans="1:17">
      <c r="A409" s="62" t="str">
        <f>IFERROR(INDEX($H$2:$H$3000,MATCH(0,INDEX(COUNTIF($A$1:A408,$H$2:$H$3000)+($H$2:$H$3000=""),0,0),0)),"")</f>
        <v/>
      </c>
      <c r="B409" s="62" t="str">
        <f t="shared" si="24"/>
        <v/>
      </c>
      <c r="C409" s="62" t="str">
        <f t="shared" si="25"/>
        <v/>
      </c>
      <c r="D409" s="63" t="str">
        <f t="shared" si="26"/>
        <v/>
      </c>
      <c r="E409" s="62" t="str">
        <f>IF(D409="","",_xlfn.RANK.EQ(D409,$D$2:$D$1001,0)+COUNTIF($D$2:D409,D409)-1)</f>
        <v/>
      </c>
      <c r="F409" s="62" t="str">
        <f>IF(B409="","",--(COUNTIF(CN_Brands!$A$2:$A$300,UPPER(B409))&gt;0))</f>
        <v/>
      </c>
      <c r="G409" s="62" t="str">
        <f t="shared" si="27"/>
        <v/>
      </c>
      <c r="H409" s="62" t="str">
        <f>IF(AND('Data Export'!A409=前十整体车型排名!$B$2,'Data Export'!B409=前十整体车型排名!$B$3,'Data Export'!D409&lt;&gt;""),UPPER('Data Export'!C409)&amp;"♦"&amp;'Data Export'!D409,"")</f>
        <v>LEXUS♦LX</v>
      </c>
      <c r="I409" s="63">
        <f>IF(H409="","",IFERROR(INDEX('Data Export'!G409:CZ409,1,MATCH(前十整体车型排名!$B$4,'Data Export'!$G$1:$CZ$1,0)),0))</f>
        <v>0</v>
      </c>
      <c r="J409" s="62" t="str">
        <f>IF(H409="","",IF(OR('Data Export'!F409="三厢轿车",'Data Export'!F409="掀背轿车",'Data Export'!F409="旅行车",'Data Export'!F409="微型车",'Data Export'!F409="硬顶跑车",'Data Export'!F409="敞蓬车",'Data Export'!F409="Targa"),"轿车",IF(OR('Data Export'!F409="小型MPV",'Data Export'!F409="客车"),"MPV",IF('Data Export'!F409="运动型多功能车","SUV","其他"))))</f>
        <v>SUV</v>
      </c>
      <c r="K409" s="62" t="str">
        <f>IF(OR(D409="",NOT(F409=1)),"",1+SUMPRODUCT(($F$2:$F$1001=1)*($D$2:$D$1001&gt;D409))+COUNTIFS($F$2:F409,1,$D$2:D409,D409)-1)</f>
        <v/>
      </c>
      <c r="L409" s="62" t="str">
        <f>IF(OR(D409="",NOT(G409="轿车")),"",1+SUMPRODUCT(($G$2:$G$1001="轿车")*($D$2:$D$1001&gt;D409))+COUNTIFS($G$2:G409,"轿车",$D$2:D409,D409)-1)</f>
        <v/>
      </c>
      <c r="M409" s="62" t="str">
        <f>IF(OR(D409="",NOT(G409="MPV")),"",1+SUMPRODUCT(($G$2:$G$1001="MPV")*($D$2:$D$1001&gt;D409))+COUNTIFS($G$2:G409,"MPV",$D$2:D409,D409)-1)</f>
        <v/>
      </c>
      <c r="N409" s="62" t="str">
        <f>IF(OR(D409="",NOT(G409="SUV")),"",1+SUMPRODUCT(($G$2:$G$1001="SUV")*($D$2:$D$1001&gt;D409))+COUNTIFS($G$2:G409,"SUV",$D$2:D409,D409)-1)</f>
        <v/>
      </c>
      <c r="O409" s="62" t="str">
        <f>IF(OR(D409="",NOT(AND(F409=1,G409="轿车"))),"",1+SUMPRODUCT(($F$2:$F$1001=1)*($G$2:$G$1001="轿车")*($D$2:$D$1001&gt;D409))+COUNTIFS($F$2:F409,1,$G$2:G409,"轿车",$D$2:D409,D409)-1)</f>
        <v/>
      </c>
      <c r="P409" s="62" t="str">
        <f>IF(OR(D409="",NOT(AND(F409=1,G409="MPV"))),"",1+SUMPRODUCT(($F$2:$F$1001=1)*($G$2:$G$1001="MPV")*($D$2:$D$1001&gt;D409))+COUNTIFS($F$2:F409,1,$G$2:G409,"MPV",$D$2:D409,D409)-1)</f>
        <v/>
      </c>
      <c r="Q409" s="62" t="str">
        <f>IF(OR(D409="",NOT(AND(F409=1,G409="SUV"))),"",1+SUMPRODUCT(($F$2:$F$1001=1)*($G$2:$G$1001="SUV")*($D$2:$D$1001&gt;D409))+COUNTIFS($F$2:F409,1,$G$2:G409,"SUV",$D$2:D409,D409)-1)</f>
        <v/>
      </c>
    </row>
    <row r="410" spans="1:17">
      <c r="A410" s="62" t="str">
        <f>IFERROR(INDEX($H$2:$H$3000,MATCH(0,INDEX(COUNTIF($A$1:A409,$H$2:$H$3000)+($H$2:$H$3000=""),0,0),0)),"")</f>
        <v/>
      </c>
      <c r="B410" s="62" t="str">
        <f t="shared" si="24"/>
        <v/>
      </c>
      <c r="C410" s="62" t="str">
        <f t="shared" si="25"/>
        <v/>
      </c>
      <c r="D410" s="63" t="str">
        <f t="shared" si="26"/>
        <v/>
      </c>
      <c r="E410" s="62" t="str">
        <f>IF(D410="","",_xlfn.RANK.EQ(D410,$D$2:$D$1001,0)+COUNTIF($D$2:D410,D410)-1)</f>
        <v/>
      </c>
      <c r="F410" s="62" t="str">
        <f>IF(B410="","",--(COUNTIF(CN_Brands!$A$2:$A$300,UPPER(B410))&gt;0))</f>
        <v/>
      </c>
      <c r="G410" s="62" t="str">
        <f t="shared" si="27"/>
        <v/>
      </c>
      <c r="H410" s="62" t="str">
        <f>IF(AND('Data Export'!A410=前十整体车型排名!$B$2,'Data Export'!B410=前十整体车型排名!$B$3,'Data Export'!D410&lt;&gt;""),UPPER('Data Export'!C410)&amp;"♦"&amp;'Data Export'!D410,"")</f>
        <v>LEXUS♦LX</v>
      </c>
      <c r="I410" s="63">
        <f>IF(H410="","",IFERROR(INDEX('Data Export'!G410:CZ410,1,MATCH(前十整体车型排名!$B$4,'Data Export'!$G$1:$CZ$1,0)),0))</f>
        <v>0</v>
      </c>
      <c r="J410" s="62" t="str">
        <f>IF(H410="","",IF(OR('Data Export'!F410="三厢轿车",'Data Export'!F410="掀背轿车",'Data Export'!F410="旅行车",'Data Export'!F410="微型车",'Data Export'!F410="硬顶跑车",'Data Export'!F410="敞蓬车",'Data Export'!F410="Targa"),"轿车",IF(OR('Data Export'!F410="小型MPV",'Data Export'!F410="客车"),"MPV",IF('Data Export'!F410="运动型多功能车","SUV","其他"))))</f>
        <v>SUV</v>
      </c>
      <c r="K410" s="62" t="str">
        <f>IF(OR(D410="",NOT(F410=1)),"",1+SUMPRODUCT(($F$2:$F$1001=1)*($D$2:$D$1001&gt;D410))+COUNTIFS($F$2:F410,1,$D$2:D410,D410)-1)</f>
        <v/>
      </c>
      <c r="L410" s="62" t="str">
        <f>IF(OR(D410="",NOT(G410="轿车")),"",1+SUMPRODUCT(($G$2:$G$1001="轿车")*($D$2:$D$1001&gt;D410))+COUNTIFS($G$2:G410,"轿车",$D$2:D410,D410)-1)</f>
        <v/>
      </c>
      <c r="M410" s="62" t="str">
        <f>IF(OR(D410="",NOT(G410="MPV")),"",1+SUMPRODUCT(($G$2:$G$1001="MPV")*($D$2:$D$1001&gt;D410))+COUNTIFS($G$2:G410,"MPV",$D$2:D410,D410)-1)</f>
        <v/>
      </c>
      <c r="N410" s="62" t="str">
        <f>IF(OR(D410="",NOT(G410="SUV")),"",1+SUMPRODUCT(($G$2:$G$1001="SUV")*($D$2:$D$1001&gt;D410))+COUNTIFS($G$2:G410,"SUV",$D$2:D410,D410)-1)</f>
        <v/>
      </c>
      <c r="O410" s="62" t="str">
        <f>IF(OR(D410="",NOT(AND(F410=1,G410="轿车"))),"",1+SUMPRODUCT(($F$2:$F$1001=1)*($G$2:$G$1001="轿车")*($D$2:$D$1001&gt;D410))+COUNTIFS($F$2:F410,1,$G$2:G410,"轿车",$D$2:D410,D410)-1)</f>
        <v/>
      </c>
      <c r="P410" s="62" t="str">
        <f>IF(OR(D410="",NOT(AND(F410=1,G410="MPV"))),"",1+SUMPRODUCT(($F$2:$F$1001=1)*($G$2:$G$1001="MPV")*($D$2:$D$1001&gt;D410))+COUNTIFS($F$2:F410,1,$G$2:G410,"MPV",$D$2:D410,D410)-1)</f>
        <v/>
      </c>
      <c r="Q410" s="62" t="str">
        <f>IF(OR(D410="",NOT(AND(F410=1,G410="SUV"))),"",1+SUMPRODUCT(($F$2:$F$1001=1)*($G$2:$G$1001="SUV")*($D$2:$D$1001&gt;D410))+COUNTIFS($F$2:F410,1,$G$2:G410,"SUV",$D$2:D410,D410)-1)</f>
        <v/>
      </c>
    </row>
    <row r="411" spans="1:17">
      <c r="A411" s="62" t="str">
        <f>IFERROR(INDEX($H$2:$H$3000,MATCH(0,INDEX(COUNTIF($A$1:A410,$H$2:$H$3000)+($H$2:$H$3000=""),0,0),0)),"")</f>
        <v/>
      </c>
      <c r="B411" s="62" t="str">
        <f t="shared" si="24"/>
        <v/>
      </c>
      <c r="C411" s="62" t="str">
        <f t="shared" si="25"/>
        <v/>
      </c>
      <c r="D411" s="63" t="str">
        <f t="shared" si="26"/>
        <v/>
      </c>
      <c r="E411" s="62" t="str">
        <f>IF(D411="","",_xlfn.RANK.EQ(D411,$D$2:$D$1001,0)+COUNTIF($D$2:D411,D411)-1)</f>
        <v/>
      </c>
      <c r="F411" s="62" t="str">
        <f>IF(B411="","",--(COUNTIF(CN_Brands!$A$2:$A$300,UPPER(B411))&gt;0))</f>
        <v/>
      </c>
      <c r="G411" s="62" t="str">
        <f t="shared" si="27"/>
        <v/>
      </c>
      <c r="H411" s="62" t="str">
        <f>IF(AND('Data Export'!A411=前十整体车型排名!$B$2,'Data Export'!B411=前十整体车型排名!$B$3,'Data Export'!D411&lt;&gt;""),UPPER('Data Export'!C411)&amp;"♦"&amp;'Data Export'!D411,"")</f>
        <v>LEXUS♦NX</v>
      </c>
      <c r="I411" s="63">
        <f>IF(H411="","",IFERROR(INDEX('Data Export'!G411:CZ411,1,MATCH(前十整体车型排名!$B$4,'Data Export'!$G$1:$CZ$1,0)),0))</f>
        <v>0</v>
      </c>
      <c r="J411" s="62" t="str">
        <f>IF(H411="","",IF(OR('Data Export'!F411="三厢轿车",'Data Export'!F411="掀背轿车",'Data Export'!F411="旅行车",'Data Export'!F411="微型车",'Data Export'!F411="硬顶跑车",'Data Export'!F411="敞蓬车",'Data Export'!F411="Targa"),"轿车",IF(OR('Data Export'!F411="小型MPV",'Data Export'!F411="客车"),"MPV",IF('Data Export'!F411="运动型多功能车","SUV","其他"))))</f>
        <v>SUV</v>
      </c>
      <c r="K411" s="62" t="str">
        <f>IF(OR(D411="",NOT(F411=1)),"",1+SUMPRODUCT(($F$2:$F$1001=1)*($D$2:$D$1001&gt;D411))+COUNTIFS($F$2:F411,1,$D$2:D411,D411)-1)</f>
        <v/>
      </c>
      <c r="L411" s="62" t="str">
        <f>IF(OR(D411="",NOT(G411="轿车")),"",1+SUMPRODUCT(($G$2:$G$1001="轿车")*($D$2:$D$1001&gt;D411))+COUNTIFS($G$2:G411,"轿车",$D$2:D411,D411)-1)</f>
        <v/>
      </c>
      <c r="M411" s="62" t="str">
        <f>IF(OR(D411="",NOT(G411="MPV")),"",1+SUMPRODUCT(($G$2:$G$1001="MPV")*($D$2:$D$1001&gt;D411))+COUNTIFS($G$2:G411,"MPV",$D$2:D411,D411)-1)</f>
        <v/>
      </c>
      <c r="N411" s="62" t="str">
        <f>IF(OR(D411="",NOT(G411="SUV")),"",1+SUMPRODUCT(($G$2:$G$1001="SUV")*($D$2:$D$1001&gt;D411))+COUNTIFS($G$2:G411,"SUV",$D$2:D411,D411)-1)</f>
        <v/>
      </c>
      <c r="O411" s="62" t="str">
        <f>IF(OR(D411="",NOT(AND(F411=1,G411="轿车"))),"",1+SUMPRODUCT(($F$2:$F$1001=1)*($G$2:$G$1001="轿车")*($D$2:$D$1001&gt;D411))+COUNTIFS($F$2:F411,1,$G$2:G411,"轿车",$D$2:D411,D411)-1)</f>
        <v/>
      </c>
      <c r="P411" s="62" t="str">
        <f>IF(OR(D411="",NOT(AND(F411=1,G411="MPV"))),"",1+SUMPRODUCT(($F$2:$F$1001=1)*($G$2:$G$1001="MPV")*($D$2:$D$1001&gt;D411))+COUNTIFS($F$2:F411,1,$G$2:G411,"MPV",$D$2:D411,D411)-1)</f>
        <v/>
      </c>
      <c r="Q411" s="62" t="str">
        <f>IF(OR(D411="",NOT(AND(F411=1,G411="SUV"))),"",1+SUMPRODUCT(($F$2:$F$1001=1)*($G$2:$G$1001="SUV")*($D$2:$D$1001&gt;D411))+COUNTIFS($F$2:F411,1,$G$2:G411,"SUV",$D$2:D411,D411)-1)</f>
        <v/>
      </c>
    </row>
    <row r="412" spans="1:17">
      <c r="A412" s="62" t="str">
        <f>IFERROR(INDEX($H$2:$H$3000,MATCH(0,INDEX(COUNTIF($A$1:A411,$H$2:$H$3000)+($H$2:$H$3000=""),0,0),0)),"")</f>
        <v/>
      </c>
      <c r="B412" s="62" t="str">
        <f t="shared" si="24"/>
        <v/>
      </c>
      <c r="C412" s="62" t="str">
        <f t="shared" si="25"/>
        <v/>
      </c>
      <c r="D412" s="63" t="str">
        <f t="shared" si="26"/>
        <v/>
      </c>
      <c r="E412" s="62" t="str">
        <f>IF(D412="","",_xlfn.RANK.EQ(D412,$D$2:$D$1001,0)+COUNTIF($D$2:D412,D412)-1)</f>
        <v/>
      </c>
      <c r="F412" s="62" t="str">
        <f>IF(B412="","",--(COUNTIF(CN_Brands!$A$2:$A$300,UPPER(B412))&gt;0))</f>
        <v/>
      </c>
      <c r="G412" s="62" t="str">
        <f t="shared" si="27"/>
        <v/>
      </c>
      <c r="H412" s="62" t="str">
        <f>IF(AND('Data Export'!A412=前十整体车型排名!$B$2,'Data Export'!B412=前十整体车型排名!$B$3,'Data Export'!D412&lt;&gt;""),UPPER('Data Export'!C412)&amp;"♦"&amp;'Data Export'!D412,"")</f>
        <v>LEXUS♦NX</v>
      </c>
      <c r="I412" s="63">
        <f>IF(H412="","",IFERROR(INDEX('Data Export'!G412:CZ412,1,MATCH(前十整体车型排名!$B$4,'Data Export'!$G$1:$CZ$1,0)),0))</f>
        <v>12</v>
      </c>
      <c r="J412" s="62" t="str">
        <f>IF(H412="","",IF(OR('Data Export'!F412="三厢轿车",'Data Export'!F412="掀背轿车",'Data Export'!F412="旅行车",'Data Export'!F412="微型车",'Data Export'!F412="硬顶跑车",'Data Export'!F412="敞蓬车",'Data Export'!F412="Targa"),"轿车",IF(OR('Data Export'!F412="小型MPV",'Data Export'!F412="客车"),"MPV",IF('Data Export'!F412="运动型多功能车","SUV","其他"))))</f>
        <v>SUV</v>
      </c>
      <c r="K412" s="62" t="str">
        <f>IF(OR(D412="",NOT(F412=1)),"",1+SUMPRODUCT(($F$2:$F$1001=1)*($D$2:$D$1001&gt;D412))+COUNTIFS($F$2:F412,1,$D$2:D412,D412)-1)</f>
        <v/>
      </c>
      <c r="L412" s="62" t="str">
        <f>IF(OR(D412="",NOT(G412="轿车")),"",1+SUMPRODUCT(($G$2:$G$1001="轿车")*($D$2:$D$1001&gt;D412))+COUNTIFS($G$2:G412,"轿车",$D$2:D412,D412)-1)</f>
        <v/>
      </c>
      <c r="M412" s="62" t="str">
        <f>IF(OR(D412="",NOT(G412="MPV")),"",1+SUMPRODUCT(($G$2:$G$1001="MPV")*($D$2:$D$1001&gt;D412))+COUNTIFS($G$2:G412,"MPV",$D$2:D412,D412)-1)</f>
        <v/>
      </c>
      <c r="N412" s="62" t="str">
        <f>IF(OR(D412="",NOT(G412="SUV")),"",1+SUMPRODUCT(($G$2:$G$1001="SUV")*($D$2:$D$1001&gt;D412))+COUNTIFS($G$2:G412,"SUV",$D$2:D412,D412)-1)</f>
        <v/>
      </c>
      <c r="O412" s="62" t="str">
        <f>IF(OR(D412="",NOT(AND(F412=1,G412="轿车"))),"",1+SUMPRODUCT(($F$2:$F$1001=1)*($G$2:$G$1001="轿车")*($D$2:$D$1001&gt;D412))+COUNTIFS($F$2:F412,1,$G$2:G412,"轿车",$D$2:D412,D412)-1)</f>
        <v/>
      </c>
      <c r="P412" s="62" t="str">
        <f>IF(OR(D412="",NOT(AND(F412=1,G412="MPV"))),"",1+SUMPRODUCT(($F$2:$F$1001=1)*($G$2:$G$1001="MPV")*($D$2:$D$1001&gt;D412))+COUNTIFS($F$2:F412,1,$G$2:G412,"MPV",$D$2:D412,D412)-1)</f>
        <v/>
      </c>
      <c r="Q412" s="62" t="str">
        <f>IF(OR(D412="",NOT(AND(F412=1,G412="SUV"))),"",1+SUMPRODUCT(($F$2:$F$1001=1)*($G$2:$G$1001="SUV")*($D$2:$D$1001&gt;D412))+COUNTIFS($F$2:F412,1,$G$2:G412,"SUV",$D$2:D412,D412)-1)</f>
        <v/>
      </c>
    </row>
    <row r="413" spans="1:17">
      <c r="A413" s="62" t="str">
        <f>IFERROR(INDEX($H$2:$H$3000,MATCH(0,INDEX(COUNTIF($A$1:A412,$H$2:$H$3000)+($H$2:$H$3000=""),0,0),0)),"")</f>
        <v/>
      </c>
      <c r="B413" s="62" t="str">
        <f t="shared" si="24"/>
        <v/>
      </c>
      <c r="C413" s="62" t="str">
        <f t="shared" si="25"/>
        <v/>
      </c>
      <c r="D413" s="63" t="str">
        <f t="shared" si="26"/>
        <v/>
      </c>
      <c r="E413" s="62" t="str">
        <f>IF(D413="","",_xlfn.RANK.EQ(D413,$D$2:$D$1001,0)+COUNTIF($D$2:D413,D413)-1)</f>
        <v/>
      </c>
      <c r="F413" s="62" t="str">
        <f>IF(B413="","",--(COUNTIF(CN_Brands!$A$2:$A$300,UPPER(B413))&gt;0))</f>
        <v/>
      </c>
      <c r="G413" s="62" t="str">
        <f t="shared" si="27"/>
        <v/>
      </c>
      <c r="H413" s="62" t="str">
        <f>IF(AND('Data Export'!A413=前十整体车型排名!$B$2,'Data Export'!B413=前十整体车型排名!$B$3,'Data Export'!D413&lt;&gt;""),UPPER('Data Export'!C413)&amp;"♦"&amp;'Data Export'!D413,"")</f>
        <v>LEXUS♦NX</v>
      </c>
      <c r="I413" s="63">
        <f>IF(H413="","",IFERROR(INDEX('Data Export'!G413:CZ413,1,MATCH(前十整体车型排名!$B$4,'Data Export'!$G$1:$CZ$1,0)),0))</f>
        <v>0</v>
      </c>
      <c r="J413" s="62" t="str">
        <f>IF(H413="","",IF(OR('Data Export'!F413="三厢轿车",'Data Export'!F413="掀背轿车",'Data Export'!F413="旅行车",'Data Export'!F413="微型车",'Data Export'!F413="硬顶跑车",'Data Export'!F413="敞蓬车",'Data Export'!F413="Targa"),"轿车",IF(OR('Data Export'!F413="小型MPV",'Data Export'!F413="客车"),"MPV",IF('Data Export'!F413="运动型多功能车","SUV","其他"))))</f>
        <v>SUV</v>
      </c>
      <c r="K413" s="62" t="str">
        <f>IF(OR(D413="",NOT(F413=1)),"",1+SUMPRODUCT(($F$2:$F$1001=1)*($D$2:$D$1001&gt;D413))+COUNTIFS($F$2:F413,1,$D$2:D413,D413)-1)</f>
        <v/>
      </c>
      <c r="L413" s="62" t="str">
        <f>IF(OR(D413="",NOT(G413="轿车")),"",1+SUMPRODUCT(($G$2:$G$1001="轿车")*($D$2:$D$1001&gt;D413))+COUNTIFS($G$2:G413,"轿车",$D$2:D413,D413)-1)</f>
        <v/>
      </c>
      <c r="M413" s="62" t="str">
        <f>IF(OR(D413="",NOT(G413="MPV")),"",1+SUMPRODUCT(($G$2:$G$1001="MPV")*($D$2:$D$1001&gt;D413))+COUNTIFS($G$2:G413,"MPV",$D$2:D413,D413)-1)</f>
        <v/>
      </c>
      <c r="N413" s="62" t="str">
        <f>IF(OR(D413="",NOT(G413="SUV")),"",1+SUMPRODUCT(($G$2:$G$1001="SUV")*($D$2:$D$1001&gt;D413))+COUNTIFS($G$2:G413,"SUV",$D$2:D413,D413)-1)</f>
        <v/>
      </c>
      <c r="O413" s="62" t="str">
        <f>IF(OR(D413="",NOT(AND(F413=1,G413="轿车"))),"",1+SUMPRODUCT(($F$2:$F$1001=1)*($G$2:$G$1001="轿车")*($D$2:$D$1001&gt;D413))+COUNTIFS($F$2:F413,1,$G$2:G413,"轿车",$D$2:D413,D413)-1)</f>
        <v/>
      </c>
      <c r="P413" s="62" t="str">
        <f>IF(OR(D413="",NOT(AND(F413=1,G413="MPV"))),"",1+SUMPRODUCT(($F$2:$F$1001=1)*($G$2:$G$1001="MPV")*($D$2:$D$1001&gt;D413))+COUNTIFS($F$2:F413,1,$G$2:G413,"MPV",$D$2:D413,D413)-1)</f>
        <v/>
      </c>
      <c r="Q413" s="62" t="str">
        <f>IF(OR(D413="",NOT(AND(F413=1,G413="SUV"))),"",1+SUMPRODUCT(($F$2:$F$1001=1)*($G$2:$G$1001="SUV")*($D$2:$D$1001&gt;D413))+COUNTIFS($F$2:F413,1,$G$2:G413,"SUV",$D$2:D413,D413)-1)</f>
        <v/>
      </c>
    </row>
    <row r="414" spans="1:17">
      <c r="A414" s="62" t="str">
        <f>IFERROR(INDEX($H$2:$H$3000,MATCH(0,INDEX(COUNTIF($A$1:A413,$H$2:$H$3000)+($H$2:$H$3000=""),0,0),0)),"")</f>
        <v/>
      </c>
      <c r="B414" s="62" t="str">
        <f t="shared" si="24"/>
        <v/>
      </c>
      <c r="C414" s="62" t="str">
        <f t="shared" si="25"/>
        <v/>
      </c>
      <c r="D414" s="63" t="str">
        <f t="shared" si="26"/>
        <v/>
      </c>
      <c r="E414" s="62" t="str">
        <f>IF(D414="","",_xlfn.RANK.EQ(D414,$D$2:$D$1001,0)+COUNTIF($D$2:D414,D414)-1)</f>
        <v/>
      </c>
      <c r="F414" s="62" t="str">
        <f>IF(B414="","",--(COUNTIF(CN_Brands!$A$2:$A$300,UPPER(B414))&gt;0))</f>
        <v/>
      </c>
      <c r="G414" s="62" t="str">
        <f t="shared" si="27"/>
        <v/>
      </c>
      <c r="H414" s="62" t="str">
        <f>IF(AND('Data Export'!A414=前十整体车型排名!$B$2,'Data Export'!B414=前十整体车型排名!$B$3,'Data Export'!D414&lt;&gt;""),UPPER('Data Export'!C414)&amp;"♦"&amp;'Data Export'!D414,"")</f>
        <v>LEXUS♦NX</v>
      </c>
      <c r="I414" s="63">
        <f>IF(H414="","",IFERROR(INDEX('Data Export'!G414:CZ414,1,MATCH(前十整体车型排名!$B$4,'Data Export'!$G$1:$CZ$1,0)),0))</f>
        <v>5</v>
      </c>
      <c r="J414" s="62" t="str">
        <f>IF(H414="","",IF(OR('Data Export'!F414="三厢轿车",'Data Export'!F414="掀背轿车",'Data Export'!F414="旅行车",'Data Export'!F414="微型车",'Data Export'!F414="硬顶跑车",'Data Export'!F414="敞蓬车",'Data Export'!F414="Targa"),"轿车",IF(OR('Data Export'!F414="小型MPV",'Data Export'!F414="客车"),"MPV",IF('Data Export'!F414="运动型多功能车","SUV","其他"))))</f>
        <v>SUV</v>
      </c>
      <c r="K414" s="62" t="str">
        <f>IF(OR(D414="",NOT(F414=1)),"",1+SUMPRODUCT(($F$2:$F$1001=1)*($D$2:$D$1001&gt;D414))+COUNTIFS($F$2:F414,1,$D$2:D414,D414)-1)</f>
        <v/>
      </c>
      <c r="L414" s="62" t="str">
        <f>IF(OR(D414="",NOT(G414="轿车")),"",1+SUMPRODUCT(($G$2:$G$1001="轿车")*($D$2:$D$1001&gt;D414))+COUNTIFS($G$2:G414,"轿车",$D$2:D414,D414)-1)</f>
        <v/>
      </c>
      <c r="M414" s="62" t="str">
        <f>IF(OR(D414="",NOT(G414="MPV")),"",1+SUMPRODUCT(($G$2:$G$1001="MPV")*($D$2:$D$1001&gt;D414))+COUNTIFS($G$2:G414,"MPV",$D$2:D414,D414)-1)</f>
        <v/>
      </c>
      <c r="N414" s="62" t="str">
        <f>IF(OR(D414="",NOT(G414="SUV")),"",1+SUMPRODUCT(($G$2:$G$1001="SUV")*($D$2:$D$1001&gt;D414))+COUNTIFS($G$2:G414,"SUV",$D$2:D414,D414)-1)</f>
        <v/>
      </c>
      <c r="O414" s="62" t="str">
        <f>IF(OR(D414="",NOT(AND(F414=1,G414="轿车"))),"",1+SUMPRODUCT(($F$2:$F$1001=1)*($G$2:$G$1001="轿车")*($D$2:$D$1001&gt;D414))+COUNTIFS($F$2:F414,1,$G$2:G414,"轿车",$D$2:D414,D414)-1)</f>
        <v/>
      </c>
      <c r="P414" s="62" t="str">
        <f>IF(OR(D414="",NOT(AND(F414=1,G414="MPV"))),"",1+SUMPRODUCT(($F$2:$F$1001=1)*($G$2:$G$1001="MPV")*($D$2:$D$1001&gt;D414))+COUNTIFS($F$2:F414,1,$G$2:G414,"MPV",$D$2:D414,D414)-1)</f>
        <v/>
      </c>
      <c r="Q414" s="62" t="str">
        <f>IF(OR(D414="",NOT(AND(F414=1,G414="SUV"))),"",1+SUMPRODUCT(($F$2:$F$1001=1)*($G$2:$G$1001="SUV")*($D$2:$D$1001&gt;D414))+COUNTIFS($F$2:F414,1,$G$2:G414,"SUV",$D$2:D414,D414)-1)</f>
        <v/>
      </c>
    </row>
    <row r="415" spans="1:17">
      <c r="A415" s="62" t="str">
        <f>IFERROR(INDEX($H$2:$H$3000,MATCH(0,INDEX(COUNTIF($A$1:A414,$H$2:$H$3000)+($H$2:$H$3000=""),0,0),0)),"")</f>
        <v/>
      </c>
      <c r="B415" s="62" t="str">
        <f t="shared" si="24"/>
        <v/>
      </c>
      <c r="C415" s="62" t="str">
        <f t="shared" si="25"/>
        <v/>
      </c>
      <c r="D415" s="63" t="str">
        <f t="shared" si="26"/>
        <v/>
      </c>
      <c r="E415" s="62" t="str">
        <f>IF(D415="","",_xlfn.RANK.EQ(D415,$D$2:$D$1001,0)+COUNTIF($D$2:D415,D415)-1)</f>
        <v/>
      </c>
      <c r="F415" s="62" t="str">
        <f>IF(B415="","",--(COUNTIF(CN_Brands!$A$2:$A$300,UPPER(B415))&gt;0))</f>
        <v/>
      </c>
      <c r="G415" s="62" t="str">
        <f t="shared" si="27"/>
        <v/>
      </c>
      <c r="H415" s="62" t="str">
        <f>IF(AND('Data Export'!A415=前十整体车型排名!$B$2,'Data Export'!B415=前十整体车型排名!$B$3,'Data Export'!D415&lt;&gt;""),UPPER('Data Export'!C415)&amp;"♦"&amp;'Data Export'!D415,"")</f>
        <v>LEXUS♦OTHER</v>
      </c>
      <c r="I415" s="63">
        <f>IF(H415="","",IFERROR(INDEX('Data Export'!G415:CZ415,1,MATCH(前十整体车型排名!$B$4,'Data Export'!$G$1:$CZ$1,0)),0))</f>
        <v>0</v>
      </c>
      <c r="J415" s="62" t="str">
        <f>IF(H415="","",IF(OR('Data Export'!F415="三厢轿车",'Data Export'!F415="掀背轿车",'Data Export'!F415="旅行车",'Data Export'!F415="微型车",'Data Export'!F415="硬顶跑车",'Data Export'!F415="敞蓬车",'Data Export'!F415="Targa"),"轿车",IF(OR('Data Export'!F415="小型MPV",'Data Export'!F415="客车"),"MPV",IF('Data Export'!F415="运动型多功能车","SUV","其他"))))</f>
        <v>其他</v>
      </c>
      <c r="K415" s="62" t="str">
        <f>IF(OR(D415="",NOT(F415=1)),"",1+SUMPRODUCT(($F$2:$F$1001=1)*($D$2:$D$1001&gt;D415))+COUNTIFS($F$2:F415,1,$D$2:D415,D415)-1)</f>
        <v/>
      </c>
      <c r="L415" s="62" t="str">
        <f>IF(OR(D415="",NOT(G415="轿车")),"",1+SUMPRODUCT(($G$2:$G$1001="轿车")*($D$2:$D$1001&gt;D415))+COUNTIFS($G$2:G415,"轿车",$D$2:D415,D415)-1)</f>
        <v/>
      </c>
      <c r="M415" s="62" t="str">
        <f>IF(OR(D415="",NOT(G415="MPV")),"",1+SUMPRODUCT(($G$2:$G$1001="MPV")*($D$2:$D$1001&gt;D415))+COUNTIFS($G$2:G415,"MPV",$D$2:D415,D415)-1)</f>
        <v/>
      </c>
      <c r="N415" s="62" t="str">
        <f>IF(OR(D415="",NOT(G415="SUV")),"",1+SUMPRODUCT(($G$2:$G$1001="SUV")*($D$2:$D$1001&gt;D415))+COUNTIFS($G$2:G415,"SUV",$D$2:D415,D415)-1)</f>
        <v/>
      </c>
      <c r="O415" s="62" t="str">
        <f>IF(OR(D415="",NOT(AND(F415=1,G415="轿车"))),"",1+SUMPRODUCT(($F$2:$F$1001=1)*($G$2:$G$1001="轿车")*($D$2:$D$1001&gt;D415))+COUNTIFS($F$2:F415,1,$G$2:G415,"轿车",$D$2:D415,D415)-1)</f>
        <v/>
      </c>
      <c r="P415" s="62" t="str">
        <f>IF(OR(D415="",NOT(AND(F415=1,G415="MPV"))),"",1+SUMPRODUCT(($F$2:$F$1001=1)*($G$2:$G$1001="MPV")*($D$2:$D$1001&gt;D415))+COUNTIFS($F$2:F415,1,$G$2:G415,"MPV",$D$2:D415,D415)-1)</f>
        <v/>
      </c>
      <c r="Q415" s="62" t="str">
        <f>IF(OR(D415="",NOT(AND(F415=1,G415="SUV"))),"",1+SUMPRODUCT(($F$2:$F$1001=1)*($G$2:$G$1001="SUV")*($D$2:$D$1001&gt;D415))+COUNTIFS($F$2:F415,1,$G$2:G415,"SUV",$D$2:D415,D415)-1)</f>
        <v/>
      </c>
    </row>
    <row r="416" spans="1:17">
      <c r="A416" s="62" t="str">
        <f>IFERROR(INDEX($H$2:$H$3000,MATCH(0,INDEX(COUNTIF($A$1:A415,$H$2:$H$3000)+($H$2:$H$3000=""),0,0),0)),"")</f>
        <v/>
      </c>
      <c r="B416" s="62" t="str">
        <f t="shared" si="24"/>
        <v/>
      </c>
      <c r="C416" s="62" t="str">
        <f t="shared" si="25"/>
        <v/>
      </c>
      <c r="D416" s="63" t="str">
        <f t="shared" si="26"/>
        <v/>
      </c>
      <c r="E416" s="62" t="str">
        <f>IF(D416="","",_xlfn.RANK.EQ(D416,$D$2:$D$1001,0)+COUNTIF($D$2:D416,D416)-1)</f>
        <v/>
      </c>
      <c r="F416" s="62" t="str">
        <f>IF(B416="","",--(COUNTIF(CN_Brands!$A$2:$A$300,UPPER(B416))&gt;0))</f>
        <v/>
      </c>
      <c r="G416" s="62" t="str">
        <f t="shared" si="27"/>
        <v/>
      </c>
      <c r="H416" s="62" t="str">
        <f>IF(AND('Data Export'!A416=前十整体车型排名!$B$2,'Data Export'!B416=前十整体车型排名!$B$3,'Data Export'!D416&lt;&gt;""),UPPER('Data Export'!C416)&amp;"♦"&amp;'Data Export'!D416,"")</f>
        <v>LEXUS♦RC</v>
      </c>
      <c r="I416" s="63">
        <f>IF(H416="","",IFERROR(INDEX('Data Export'!G416:CZ416,1,MATCH(前十整体车型排名!$B$4,'Data Export'!$G$1:$CZ$1,0)),0))</f>
        <v>0</v>
      </c>
      <c r="J416" s="62" t="str">
        <f>IF(H416="","",IF(OR('Data Export'!F416="三厢轿车",'Data Export'!F416="掀背轿车",'Data Export'!F416="旅行车",'Data Export'!F416="微型车",'Data Export'!F416="硬顶跑车",'Data Export'!F416="敞蓬车",'Data Export'!F416="Targa"),"轿车",IF(OR('Data Export'!F416="小型MPV",'Data Export'!F416="客车"),"MPV",IF('Data Export'!F416="运动型多功能车","SUV","其他"))))</f>
        <v>轿车</v>
      </c>
      <c r="K416" s="62" t="str">
        <f>IF(OR(D416="",NOT(F416=1)),"",1+SUMPRODUCT(($F$2:$F$1001=1)*($D$2:$D$1001&gt;D416))+COUNTIFS($F$2:F416,1,$D$2:D416,D416)-1)</f>
        <v/>
      </c>
      <c r="L416" s="62" t="str">
        <f>IF(OR(D416="",NOT(G416="轿车")),"",1+SUMPRODUCT(($G$2:$G$1001="轿车")*($D$2:$D$1001&gt;D416))+COUNTIFS($G$2:G416,"轿车",$D$2:D416,D416)-1)</f>
        <v/>
      </c>
      <c r="M416" s="62" t="str">
        <f>IF(OR(D416="",NOT(G416="MPV")),"",1+SUMPRODUCT(($G$2:$G$1001="MPV")*($D$2:$D$1001&gt;D416))+COUNTIFS($G$2:G416,"MPV",$D$2:D416,D416)-1)</f>
        <v/>
      </c>
      <c r="N416" s="62" t="str">
        <f>IF(OR(D416="",NOT(G416="SUV")),"",1+SUMPRODUCT(($G$2:$G$1001="SUV")*($D$2:$D$1001&gt;D416))+COUNTIFS($G$2:G416,"SUV",$D$2:D416,D416)-1)</f>
        <v/>
      </c>
      <c r="O416" s="62" t="str">
        <f>IF(OR(D416="",NOT(AND(F416=1,G416="轿车"))),"",1+SUMPRODUCT(($F$2:$F$1001=1)*($G$2:$G$1001="轿车")*($D$2:$D$1001&gt;D416))+COUNTIFS($F$2:F416,1,$G$2:G416,"轿车",$D$2:D416,D416)-1)</f>
        <v/>
      </c>
      <c r="P416" s="62" t="str">
        <f>IF(OR(D416="",NOT(AND(F416=1,G416="MPV"))),"",1+SUMPRODUCT(($F$2:$F$1001=1)*($G$2:$G$1001="MPV")*($D$2:$D$1001&gt;D416))+COUNTIFS($F$2:F416,1,$G$2:G416,"MPV",$D$2:D416,D416)-1)</f>
        <v/>
      </c>
      <c r="Q416" s="62" t="str">
        <f>IF(OR(D416="",NOT(AND(F416=1,G416="SUV"))),"",1+SUMPRODUCT(($F$2:$F$1001=1)*($G$2:$G$1001="SUV")*($D$2:$D$1001&gt;D416))+COUNTIFS($F$2:F416,1,$G$2:G416,"SUV",$D$2:D416,D416)-1)</f>
        <v/>
      </c>
    </row>
    <row r="417" spans="1:17">
      <c r="A417" s="62" t="str">
        <f>IFERROR(INDEX($H$2:$H$3000,MATCH(0,INDEX(COUNTIF($A$1:A416,$H$2:$H$3000)+($H$2:$H$3000=""),0,0),0)),"")</f>
        <v/>
      </c>
      <c r="B417" s="62" t="str">
        <f t="shared" si="24"/>
        <v/>
      </c>
      <c r="C417" s="62" t="str">
        <f t="shared" si="25"/>
        <v/>
      </c>
      <c r="D417" s="63" t="str">
        <f t="shared" si="26"/>
        <v/>
      </c>
      <c r="E417" s="62" t="str">
        <f>IF(D417="","",_xlfn.RANK.EQ(D417,$D$2:$D$1001,0)+COUNTIF($D$2:D417,D417)-1)</f>
        <v/>
      </c>
      <c r="F417" s="62" t="str">
        <f>IF(B417="","",--(COUNTIF(CN_Brands!$A$2:$A$300,UPPER(B417))&gt;0))</f>
        <v/>
      </c>
      <c r="G417" s="62" t="str">
        <f t="shared" si="27"/>
        <v/>
      </c>
      <c r="H417" s="62" t="str">
        <f>IF(AND('Data Export'!A417=前十整体车型排名!$B$2,'Data Export'!B417=前十整体车型排名!$B$3,'Data Export'!D417&lt;&gt;""),UPPER('Data Export'!C417)&amp;"♦"&amp;'Data Export'!D417,"")</f>
        <v>LEXUS♦RX</v>
      </c>
      <c r="I417" s="63">
        <f>IF(H417="","",IFERROR(INDEX('Data Export'!G417:CZ417,1,MATCH(前十整体车型排名!$B$4,'Data Export'!$G$1:$CZ$1,0)),0))</f>
        <v>0</v>
      </c>
      <c r="J417" s="62" t="str">
        <f>IF(H417="","",IF(OR('Data Export'!F417="三厢轿车",'Data Export'!F417="掀背轿车",'Data Export'!F417="旅行车",'Data Export'!F417="微型车",'Data Export'!F417="硬顶跑车",'Data Export'!F417="敞蓬车",'Data Export'!F417="Targa"),"轿车",IF(OR('Data Export'!F417="小型MPV",'Data Export'!F417="客车"),"MPV",IF('Data Export'!F417="运动型多功能车","SUV","其他"))))</f>
        <v>SUV</v>
      </c>
      <c r="K417" s="62" t="str">
        <f>IF(OR(D417="",NOT(F417=1)),"",1+SUMPRODUCT(($F$2:$F$1001=1)*($D$2:$D$1001&gt;D417))+COUNTIFS($F$2:F417,1,$D$2:D417,D417)-1)</f>
        <v/>
      </c>
      <c r="L417" s="62" t="str">
        <f>IF(OR(D417="",NOT(G417="轿车")),"",1+SUMPRODUCT(($G$2:$G$1001="轿车")*($D$2:$D$1001&gt;D417))+COUNTIFS($G$2:G417,"轿车",$D$2:D417,D417)-1)</f>
        <v/>
      </c>
      <c r="M417" s="62" t="str">
        <f>IF(OR(D417="",NOT(G417="MPV")),"",1+SUMPRODUCT(($G$2:$G$1001="MPV")*($D$2:$D$1001&gt;D417))+COUNTIFS($G$2:G417,"MPV",$D$2:D417,D417)-1)</f>
        <v/>
      </c>
      <c r="N417" s="62" t="str">
        <f>IF(OR(D417="",NOT(G417="SUV")),"",1+SUMPRODUCT(($G$2:$G$1001="SUV")*($D$2:$D$1001&gt;D417))+COUNTIFS($G$2:G417,"SUV",$D$2:D417,D417)-1)</f>
        <v/>
      </c>
      <c r="O417" s="62" t="str">
        <f>IF(OR(D417="",NOT(AND(F417=1,G417="轿车"))),"",1+SUMPRODUCT(($F$2:$F$1001=1)*($G$2:$G$1001="轿车")*($D$2:$D$1001&gt;D417))+COUNTIFS($F$2:F417,1,$G$2:G417,"轿车",$D$2:D417,D417)-1)</f>
        <v/>
      </c>
      <c r="P417" s="62" t="str">
        <f>IF(OR(D417="",NOT(AND(F417=1,G417="MPV"))),"",1+SUMPRODUCT(($F$2:$F$1001=1)*($G$2:$G$1001="MPV")*($D$2:$D$1001&gt;D417))+COUNTIFS($F$2:F417,1,$G$2:G417,"MPV",$D$2:D417,D417)-1)</f>
        <v/>
      </c>
      <c r="Q417" s="62" t="str">
        <f>IF(OR(D417="",NOT(AND(F417=1,G417="SUV"))),"",1+SUMPRODUCT(($F$2:$F$1001=1)*($G$2:$G$1001="SUV")*($D$2:$D$1001&gt;D417))+COUNTIFS($F$2:F417,1,$G$2:G417,"SUV",$D$2:D417,D417)-1)</f>
        <v/>
      </c>
    </row>
    <row r="418" spans="1:17">
      <c r="A418" s="62" t="str">
        <f>IFERROR(INDEX($H$2:$H$3000,MATCH(0,INDEX(COUNTIF($A$1:A417,$H$2:$H$3000)+($H$2:$H$3000=""),0,0),0)),"")</f>
        <v/>
      </c>
      <c r="B418" s="62" t="str">
        <f t="shared" si="24"/>
        <v/>
      </c>
      <c r="C418" s="62" t="str">
        <f t="shared" si="25"/>
        <v/>
      </c>
      <c r="D418" s="63" t="str">
        <f t="shared" si="26"/>
        <v/>
      </c>
      <c r="E418" s="62" t="str">
        <f>IF(D418="","",_xlfn.RANK.EQ(D418,$D$2:$D$1001,0)+COUNTIF($D$2:D418,D418)-1)</f>
        <v/>
      </c>
      <c r="F418" s="62" t="str">
        <f>IF(B418="","",--(COUNTIF(CN_Brands!$A$2:$A$300,UPPER(B418))&gt;0))</f>
        <v/>
      </c>
      <c r="G418" s="62" t="str">
        <f t="shared" si="27"/>
        <v/>
      </c>
      <c r="H418" s="62" t="str">
        <f>IF(AND('Data Export'!A418=前十整体车型排名!$B$2,'Data Export'!B418=前十整体车型排名!$B$3,'Data Export'!D418&lt;&gt;""),UPPER('Data Export'!C418)&amp;"♦"&amp;'Data Export'!D418,"")</f>
        <v>LEXUS♦RX</v>
      </c>
      <c r="I418" s="63">
        <f>IF(H418="","",IFERROR(INDEX('Data Export'!G418:CZ418,1,MATCH(前十整体车型排名!$B$4,'Data Export'!$G$1:$CZ$1,0)),0))</f>
        <v>0</v>
      </c>
      <c r="J418" s="62" t="str">
        <f>IF(H418="","",IF(OR('Data Export'!F418="三厢轿车",'Data Export'!F418="掀背轿车",'Data Export'!F418="旅行车",'Data Export'!F418="微型车",'Data Export'!F418="硬顶跑车",'Data Export'!F418="敞蓬车",'Data Export'!F418="Targa"),"轿车",IF(OR('Data Export'!F418="小型MPV",'Data Export'!F418="客车"),"MPV",IF('Data Export'!F418="运动型多功能车","SUV","其他"))))</f>
        <v>SUV</v>
      </c>
      <c r="K418" s="62" t="str">
        <f>IF(OR(D418="",NOT(F418=1)),"",1+SUMPRODUCT(($F$2:$F$1001=1)*($D$2:$D$1001&gt;D418))+COUNTIFS($F$2:F418,1,$D$2:D418,D418)-1)</f>
        <v/>
      </c>
      <c r="L418" s="62" t="str">
        <f>IF(OR(D418="",NOT(G418="轿车")),"",1+SUMPRODUCT(($G$2:$G$1001="轿车")*($D$2:$D$1001&gt;D418))+COUNTIFS($G$2:G418,"轿车",$D$2:D418,D418)-1)</f>
        <v/>
      </c>
      <c r="M418" s="62" t="str">
        <f>IF(OR(D418="",NOT(G418="MPV")),"",1+SUMPRODUCT(($G$2:$G$1001="MPV")*($D$2:$D$1001&gt;D418))+COUNTIFS($G$2:G418,"MPV",$D$2:D418,D418)-1)</f>
        <v/>
      </c>
      <c r="N418" s="62" t="str">
        <f>IF(OR(D418="",NOT(G418="SUV")),"",1+SUMPRODUCT(($G$2:$G$1001="SUV")*($D$2:$D$1001&gt;D418))+COUNTIFS($G$2:G418,"SUV",$D$2:D418,D418)-1)</f>
        <v/>
      </c>
      <c r="O418" s="62" t="str">
        <f>IF(OR(D418="",NOT(AND(F418=1,G418="轿车"))),"",1+SUMPRODUCT(($F$2:$F$1001=1)*($G$2:$G$1001="轿车")*($D$2:$D$1001&gt;D418))+COUNTIFS($F$2:F418,1,$G$2:G418,"轿车",$D$2:D418,D418)-1)</f>
        <v/>
      </c>
      <c r="P418" s="62" t="str">
        <f>IF(OR(D418="",NOT(AND(F418=1,G418="MPV"))),"",1+SUMPRODUCT(($F$2:$F$1001=1)*($G$2:$G$1001="MPV")*($D$2:$D$1001&gt;D418))+COUNTIFS($F$2:F418,1,$G$2:G418,"MPV",$D$2:D418,D418)-1)</f>
        <v/>
      </c>
      <c r="Q418" s="62" t="str">
        <f>IF(OR(D418="",NOT(AND(F418=1,G418="SUV"))),"",1+SUMPRODUCT(($F$2:$F$1001=1)*($G$2:$G$1001="SUV")*($D$2:$D$1001&gt;D418))+COUNTIFS($F$2:F418,1,$G$2:G418,"SUV",$D$2:D418,D418)-1)</f>
        <v/>
      </c>
    </row>
    <row r="419" spans="1:17">
      <c r="A419" s="62" t="str">
        <f>IFERROR(INDEX($H$2:$H$3000,MATCH(0,INDEX(COUNTIF($A$1:A418,$H$2:$H$3000)+($H$2:$H$3000=""),0,0),0)),"")</f>
        <v/>
      </c>
      <c r="B419" s="62" t="str">
        <f t="shared" si="24"/>
        <v/>
      </c>
      <c r="C419" s="62" t="str">
        <f t="shared" si="25"/>
        <v/>
      </c>
      <c r="D419" s="63" t="str">
        <f t="shared" si="26"/>
        <v/>
      </c>
      <c r="E419" s="62" t="str">
        <f>IF(D419="","",_xlfn.RANK.EQ(D419,$D$2:$D$1001,0)+COUNTIF($D$2:D419,D419)-1)</f>
        <v/>
      </c>
      <c r="F419" s="62" t="str">
        <f>IF(B419="","",--(COUNTIF(CN_Brands!$A$2:$A$300,UPPER(B419))&gt;0))</f>
        <v/>
      </c>
      <c r="G419" s="62" t="str">
        <f t="shared" si="27"/>
        <v/>
      </c>
      <c r="H419" s="62" t="str">
        <f>IF(AND('Data Export'!A419=前十整体车型排名!$B$2,'Data Export'!B419=前十整体车型排名!$B$3,'Data Export'!D419&lt;&gt;""),UPPER('Data Export'!C419)&amp;"♦"&amp;'Data Export'!D419,"")</f>
        <v>LEXUS♦RX</v>
      </c>
      <c r="I419" s="63">
        <f>IF(H419="","",IFERROR(INDEX('Data Export'!G419:CZ419,1,MATCH(前十整体车型排名!$B$4,'Data Export'!$G$1:$CZ$1,0)),0))</f>
        <v>5</v>
      </c>
      <c r="J419" s="62" t="str">
        <f>IF(H419="","",IF(OR('Data Export'!F419="三厢轿车",'Data Export'!F419="掀背轿车",'Data Export'!F419="旅行车",'Data Export'!F419="微型车",'Data Export'!F419="硬顶跑车",'Data Export'!F419="敞蓬车",'Data Export'!F419="Targa"),"轿车",IF(OR('Data Export'!F419="小型MPV",'Data Export'!F419="客车"),"MPV",IF('Data Export'!F419="运动型多功能车","SUV","其他"))))</f>
        <v>SUV</v>
      </c>
      <c r="K419" s="62" t="str">
        <f>IF(OR(D419="",NOT(F419=1)),"",1+SUMPRODUCT(($F$2:$F$1001=1)*($D$2:$D$1001&gt;D419))+COUNTIFS($F$2:F419,1,$D$2:D419,D419)-1)</f>
        <v/>
      </c>
      <c r="L419" s="62" t="str">
        <f>IF(OR(D419="",NOT(G419="轿车")),"",1+SUMPRODUCT(($G$2:$G$1001="轿车")*($D$2:$D$1001&gt;D419))+COUNTIFS($G$2:G419,"轿车",$D$2:D419,D419)-1)</f>
        <v/>
      </c>
      <c r="M419" s="62" t="str">
        <f>IF(OR(D419="",NOT(G419="MPV")),"",1+SUMPRODUCT(($G$2:$G$1001="MPV")*($D$2:$D$1001&gt;D419))+COUNTIFS($G$2:G419,"MPV",$D$2:D419,D419)-1)</f>
        <v/>
      </c>
      <c r="N419" s="62" t="str">
        <f>IF(OR(D419="",NOT(G419="SUV")),"",1+SUMPRODUCT(($G$2:$G$1001="SUV")*($D$2:$D$1001&gt;D419))+COUNTIFS($G$2:G419,"SUV",$D$2:D419,D419)-1)</f>
        <v/>
      </c>
      <c r="O419" s="62" t="str">
        <f>IF(OR(D419="",NOT(AND(F419=1,G419="轿车"))),"",1+SUMPRODUCT(($F$2:$F$1001=1)*($G$2:$G$1001="轿车")*($D$2:$D$1001&gt;D419))+COUNTIFS($F$2:F419,1,$G$2:G419,"轿车",$D$2:D419,D419)-1)</f>
        <v/>
      </c>
      <c r="P419" s="62" t="str">
        <f>IF(OR(D419="",NOT(AND(F419=1,G419="MPV"))),"",1+SUMPRODUCT(($F$2:$F$1001=1)*($G$2:$G$1001="MPV")*($D$2:$D$1001&gt;D419))+COUNTIFS($F$2:F419,1,$G$2:G419,"MPV",$D$2:D419,D419)-1)</f>
        <v/>
      </c>
      <c r="Q419" s="62" t="str">
        <f>IF(OR(D419="",NOT(AND(F419=1,G419="SUV"))),"",1+SUMPRODUCT(($F$2:$F$1001=1)*($G$2:$G$1001="SUV")*($D$2:$D$1001&gt;D419))+COUNTIFS($F$2:F419,1,$G$2:G419,"SUV",$D$2:D419,D419)-1)</f>
        <v/>
      </c>
    </row>
    <row r="420" spans="1:17">
      <c r="A420" s="62" t="str">
        <f>IFERROR(INDEX($H$2:$H$3000,MATCH(0,INDEX(COUNTIF($A$1:A419,$H$2:$H$3000)+($H$2:$H$3000=""),0,0),0)),"")</f>
        <v/>
      </c>
      <c r="B420" s="62" t="str">
        <f t="shared" si="24"/>
        <v/>
      </c>
      <c r="C420" s="62" t="str">
        <f t="shared" si="25"/>
        <v/>
      </c>
      <c r="D420" s="63" t="str">
        <f t="shared" si="26"/>
        <v/>
      </c>
      <c r="E420" s="62" t="str">
        <f>IF(D420="","",_xlfn.RANK.EQ(D420,$D$2:$D$1001,0)+COUNTIF($D$2:D420,D420)-1)</f>
        <v/>
      </c>
      <c r="F420" s="62" t="str">
        <f>IF(B420="","",--(COUNTIF(CN_Brands!$A$2:$A$300,UPPER(B420))&gt;0))</f>
        <v/>
      </c>
      <c r="G420" s="62" t="str">
        <f t="shared" si="27"/>
        <v/>
      </c>
      <c r="H420" s="62" t="str">
        <f>IF(AND('Data Export'!A420=前十整体车型排名!$B$2,'Data Export'!B420=前十整体车型排名!$B$3,'Data Export'!D420&lt;&gt;""),UPPER('Data Export'!C420)&amp;"♦"&amp;'Data Export'!D420,"")</f>
        <v>LEXUS♦RX</v>
      </c>
      <c r="I420" s="63">
        <f>IF(H420="","",IFERROR(INDEX('Data Export'!G420:CZ420,1,MATCH(前十整体车型排名!$B$4,'Data Export'!$G$1:$CZ$1,0)),0))</f>
        <v>0</v>
      </c>
      <c r="J420" s="62" t="str">
        <f>IF(H420="","",IF(OR('Data Export'!F420="三厢轿车",'Data Export'!F420="掀背轿车",'Data Export'!F420="旅行车",'Data Export'!F420="微型车",'Data Export'!F420="硬顶跑车",'Data Export'!F420="敞蓬车",'Data Export'!F420="Targa"),"轿车",IF(OR('Data Export'!F420="小型MPV",'Data Export'!F420="客车"),"MPV",IF('Data Export'!F420="运动型多功能车","SUV","其他"))))</f>
        <v>SUV</v>
      </c>
      <c r="K420" s="62" t="str">
        <f>IF(OR(D420="",NOT(F420=1)),"",1+SUMPRODUCT(($F$2:$F$1001=1)*($D$2:$D$1001&gt;D420))+COUNTIFS($F$2:F420,1,$D$2:D420,D420)-1)</f>
        <v/>
      </c>
      <c r="L420" s="62" t="str">
        <f>IF(OR(D420="",NOT(G420="轿车")),"",1+SUMPRODUCT(($G$2:$G$1001="轿车")*($D$2:$D$1001&gt;D420))+COUNTIFS($G$2:G420,"轿车",$D$2:D420,D420)-1)</f>
        <v/>
      </c>
      <c r="M420" s="62" t="str">
        <f>IF(OR(D420="",NOT(G420="MPV")),"",1+SUMPRODUCT(($G$2:$G$1001="MPV")*($D$2:$D$1001&gt;D420))+COUNTIFS($G$2:G420,"MPV",$D$2:D420,D420)-1)</f>
        <v/>
      </c>
      <c r="N420" s="62" t="str">
        <f>IF(OR(D420="",NOT(G420="SUV")),"",1+SUMPRODUCT(($G$2:$G$1001="SUV")*($D$2:$D$1001&gt;D420))+COUNTIFS($G$2:G420,"SUV",$D$2:D420,D420)-1)</f>
        <v/>
      </c>
      <c r="O420" s="62" t="str">
        <f>IF(OR(D420="",NOT(AND(F420=1,G420="轿车"))),"",1+SUMPRODUCT(($F$2:$F$1001=1)*($G$2:$G$1001="轿车")*($D$2:$D$1001&gt;D420))+COUNTIFS($F$2:F420,1,$G$2:G420,"轿车",$D$2:D420,D420)-1)</f>
        <v/>
      </c>
      <c r="P420" s="62" t="str">
        <f>IF(OR(D420="",NOT(AND(F420=1,G420="MPV"))),"",1+SUMPRODUCT(($F$2:$F$1001=1)*($G$2:$G$1001="MPV")*($D$2:$D$1001&gt;D420))+COUNTIFS($F$2:F420,1,$G$2:G420,"MPV",$D$2:D420,D420)-1)</f>
        <v/>
      </c>
      <c r="Q420" s="62" t="str">
        <f>IF(OR(D420="",NOT(AND(F420=1,G420="SUV"))),"",1+SUMPRODUCT(($F$2:$F$1001=1)*($G$2:$G$1001="SUV")*($D$2:$D$1001&gt;D420))+COUNTIFS($F$2:F420,1,$G$2:G420,"SUV",$D$2:D420,D420)-1)</f>
        <v/>
      </c>
    </row>
    <row r="421" spans="1:17">
      <c r="A421" s="62" t="str">
        <f>IFERROR(INDEX($H$2:$H$3000,MATCH(0,INDEX(COUNTIF($A$1:A420,$H$2:$H$3000)+($H$2:$H$3000=""),0,0),0)),"")</f>
        <v/>
      </c>
      <c r="B421" s="62" t="str">
        <f t="shared" si="24"/>
        <v/>
      </c>
      <c r="C421" s="62" t="str">
        <f t="shared" si="25"/>
        <v/>
      </c>
      <c r="D421" s="63" t="str">
        <f t="shared" si="26"/>
        <v/>
      </c>
      <c r="E421" s="62" t="str">
        <f>IF(D421="","",_xlfn.RANK.EQ(D421,$D$2:$D$1001,0)+COUNTIF($D$2:D421,D421)-1)</f>
        <v/>
      </c>
      <c r="F421" s="62" t="str">
        <f>IF(B421="","",--(COUNTIF(CN_Brands!$A$2:$A$300,UPPER(B421))&gt;0))</f>
        <v/>
      </c>
      <c r="G421" s="62" t="str">
        <f t="shared" si="27"/>
        <v/>
      </c>
      <c r="H421" s="62" t="str">
        <f>IF(AND('Data Export'!A421=前十整体车型排名!$B$2,'Data Export'!B421=前十整体车型排名!$B$3,'Data Export'!D421&lt;&gt;""),UPPER('Data Export'!C421)&amp;"♦"&amp;'Data Export'!D421,"")</f>
        <v>LEXUS♦RX</v>
      </c>
      <c r="I421" s="63">
        <f>IF(H421="","",IFERROR(INDEX('Data Export'!G421:CZ421,1,MATCH(前十整体车型排名!$B$4,'Data Export'!$G$1:$CZ$1,0)),0))</f>
        <v>2</v>
      </c>
      <c r="J421" s="62" t="str">
        <f>IF(H421="","",IF(OR('Data Export'!F421="三厢轿车",'Data Export'!F421="掀背轿车",'Data Export'!F421="旅行车",'Data Export'!F421="微型车",'Data Export'!F421="硬顶跑车",'Data Export'!F421="敞蓬车",'Data Export'!F421="Targa"),"轿车",IF(OR('Data Export'!F421="小型MPV",'Data Export'!F421="客车"),"MPV",IF('Data Export'!F421="运动型多功能车","SUV","其他"))))</f>
        <v>SUV</v>
      </c>
      <c r="K421" s="62" t="str">
        <f>IF(OR(D421="",NOT(F421=1)),"",1+SUMPRODUCT(($F$2:$F$1001=1)*($D$2:$D$1001&gt;D421))+COUNTIFS($F$2:F421,1,$D$2:D421,D421)-1)</f>
        <v/>
      </c>
      <c r="L421" s="62" t="str">
        <f>IF(OR(D421="",NOT(G421="轿车")),"",1+SUMPRODUCT(($G$2:$G$1001="轿车")*($D$2:$D$1001&gt;D421))+COUNTIFS($G$2:G421,"轿车",$D$2:D421,D421)-1)</f>
        <v/>
      </c>
      <c r="M421" s="62" t="str">
        <f>IF(OR(D421="",NOT(G421="MPV")),"",1+SUMPRODUCT(($G$2:$G$1001="MPV")*($D$2:$D$1001&gt;D421))+COUNTIFS($G$2:G421,"MPV",$D$2:D421,D421)-1)</f>
        <v/>
      </c>
      <c r="N421" s="62" t="str">
        <f>IF(OR(D421="",NOT(G421="SUV")),"",1+SUMPRODUCT(($G$2:$G$1001="SUV")*($D$2:$D$1001&gt;D421))+COUNTIFS($G$2:G421,"SUV",$D$2:D421,D421)-1)</f>
        <v/>
      </c>
      <c r="O421" s="62" t="str">
        <f>IF(OR(D421="",NOT(AND(F421=1,G421="轿车"))),"",1+SUMPRODUCT(($F$2:$F$1001=1)*($G$2:$G$1001="轿车")*($D$2:$D$1001&gt;D421))+COUNTIFS($F$2:F421,1,$G$2:G421,"轿车",$D$2:D421,D421)-1)</f>
        <v/>
      </c>
      <c r="P421" s="62" t="str">
        <f>IF(OR(D421="",NOT(AND(F421=1,G421="MPV"))),"",1+SUMPRODUCT(($F$2:$F$1001=1)*($G$2:$G$1001="MPV")*($D$2:$D$1001&gt;D421))+COUNTIFS($F$2:F421,1,$G$2:G421,"MPV",$D$2:D421,D421)-1)</f>
        <v/>
      </c>
      <c r="Q421" s="62" t="str">
        <f>IF(OR(D421="",NOT(AND(F421=1,G421="SUV"))),"",1+SUMPRODUCT(($F$2:$F$1001=1)*($G$2:$G$1001="SUV")*($D$2:$D$1001&gt;D421))+COUNTIFS($F$2:F421,1,$G$2:G421,"SUV",$D$2:D421,D421)-1)</f>
        <v/>
      </c>
    </row>
    <row r="422" spans="1:17">
      <c r="A422" s="62" t="str">
        <f>IFERROR(INDEX($H$2:$H$3000,MATCH(0,INDEX(COUNTIF($A$1:A421,$H$2:$H$3000)+($H$2:$H$3000=""),0,0),0)),"")</f>
        <v/>
      </c>
      <c r="B422" s="62" t="str">
        <f t="shared" si="24"/>
        <v/>
      </c>
      <c r="C422" s="62" t="str">
        <f t="shared" si="25"/>
        <v/>
      </c>
      <c r="D422" s="63" t="str">
        <f t="shared" si="26"/>
        <v/>
      </c>
      <c r="E422" s="62" t="str">
        <f>IF(D422="","",_xlfn.RANK.EQ(D422,$D$2:$D$1001,0)+COUNTIF($D$2:D422,D422)-1)</f>
        <v/>
      </c>
      <c r="F422" s="62" t="str">
        <f>IF(B422="","",--(COUNTIF(CN_Brands!$A$2:$A$300,UPPER(B422))&gt;0))</f>
        <v/>
      </c>
      <c r="G422" s="62" t="str">
        <f t="shared" si="27"/>
        <v/>
      </c>
      <c r="H422" s="62" t="str">
        <f>IF(AND('Data Export'!A422=前十整体车型排名!$B$2,'Data Export'!B422=前十整体车型排名!$B$3,'Data Export'!D422&lt;&gt;""),UPPER('Data Export'!C422)&amp;"♦"&amp;'Data Export'!D422,"")</f>
        <v>LEXUS♦RZ</v>
      </c>
      <c r="I422" s="63">
        <f>IF(H422="","",IFERROR(INDEX('Data Export'!G422:CZ422,1,MATCH(前十整体车型排名!$B$4,'Data Export'!$G$1:$CZ$1,0)),0))</f>
        <v>0</v>
      </c>
      <c r="J422" s="62" t="str">
        <f>IF(H422="","",IF(OR('Data Export'!F422="三厢轿车",'Data Export'!F422="掀背轿车",'Data Export'!F422="旅行车",'Data Export'!F422="微型车",'Data Export'!F422="硬顶跑车",'Data Export'!F422="敞蓬车",'Data Export'!F422="Targa"),"轿车",IF(OR('Data Export'!F422="小型MPV",'Data Export'!F422="客车"),"MPV",IF('Data Export'!F422="运动型多功能车","SUV","其他"))))</f>
        <v>SUV</v>
      </c>
      <c r="K422" s="62" t="str">
        <f>IF(OR(D422="",NOT(F422=1)),"",1+SUMPRODUCT(($F$2:$F$1001=1)*($D$2:$D$1001&gt;D422))+COUNTIFS($F$2:F422,1,$D$2:D422,D422)-1)</f>
        <v/>
      </c>
      <c r="L422" s="62" t="str">
        <f>IF(OR(D422="",NOT(G422="轿车")),"",1+SUMPRODUCT(($G$2:$G$1001="轿车")*($D$2:$D$1001&gt;D422))+COUNTIFS($G$2:G422,"轿车",$D$2:D422,D422)-1)</f>
        <v/>
      </c>
      <c r="M422" s="62" t="str">
        <f>IF(OR(D422="",NOT(G422="MPV")),"",1+SUMPRODUCT(($G$2:$G$1001="MPV")*($D$2:$D$1001&gt;D422))+COUNTIFS($G$2:G422,"MPV",$D$2:D422,D422)-1)</f>
        <v/>
      </c>
      <c r="N422" s="62" t="str">
        <f>IF(OR(D422="",NOT(G422="SUV")),"",1+SUMPRODUCT(($G$2:$G$1001="SUV")*($D$2:$D$1001&gt;D422))+COUNTIFS($G$2:G422,"SUV",$D$2:D422,D422)-1)</f>
        <v/>
      </c>
      <c r="O422" s="62" t="str">
        <f>IF(OR(D422="",NOT(AND(F422=1,G422="轿车"))),"",1+SUMPRODUCT(($F$2:$F$1001=1)*($G$2:$G$1001="轿车")*($D$2:$D$1001&gt;D422))+COUNTIFS($F$2:F422,1,$G$2:G422,"轿车",$D$2:D422,D422)-1)</f>
        <v/>
      </c>
      <c r="P422" s="62" t="str">
        <f>IF(OR(D422="",NOT(AND(F422=1,G422="MPV"))),"",1+SUMPRODUCT(($F$2:$F$1001=1)*($G$2:$G$1001="MPV")*($D$2:$D$1001&gt;D422))+COUNTIFS($F$2:F422,1,$G$2:G422,"MPV",$D$2:D422,D422)-1)</f>
        <v/>
      </c>
      <c r="Q422" s="62" t="str">
        <f>IF(OR(D422="",NOT(AND(F422=1,G422="SUV"))),"",1+SUMPRODUCT(($F$2:$F$1001=1)*($G$2:$G$1001="SUV")*($D$2:$D$1001&gt;D422))+COUNTIFS($F$2:F422,1,$G$2:G422,"SUV",$D$2:D422,D422)-1)</f>
        <v/>
      </c>
    </row>
    <row r="423" spans="1:17">
      <c r="A423" s="62" t="str">
        <f>IFERROR(INDEX($H$2:$H$3000,MATCH(0,INDEX(COUNTIF($A$1:A422,$H$2:$H$3000)+($H$2:$H$3000=""),0,0),0)),"")</f>
        <v/>
      </c>
      <c r="B423" s="62" t="str">
        <f t="shared" si="24"/>
        <v/>
      </c>
      <c r="C423" s="62" t="str">
        <f t="shared" si="25"/>
        <v/>
      </c>
      <c r="D423" s="63" t="str">
        <f t="shared" si="26"/>
        <v/>
      </c>
      <c r="E423" s="62" t="str">
        <f>IF(D423="","",_xlfn.RANK.EQ(D423,$D$2:$D$1001,0)+COUNTIF($D$2:D423,D423)-1)</f>
        <v/>
      </c>
      <c r="F423" s="62" t="str">
        <f>IF(B423="","",--(COUNTIF(CN_Brands!$A$2:$A$300,UPPER(B423))&gt;0))</f>
        <v/>
      </c>
      <c r="G423" s="62" t="str">
        <f t="shared" si="27"/>
        <v/>
      </c>
      <c r="H423" s="62" t="str">
        <f>IF(AND('Data Export'!A423=前十整体车型排名!$B$2,'Data Export'!B423=前十整体车型排名!$B$3,'Data Export'!D423&lt;&gt;""),UPPER('Data Export'!C423)&amp;"♦"&amp;'Data Export'!D423,"")</f>
        <v>LEXUS♦RZ</v>
      </c>
      <c r="I423" s="63">
        <f>IF(H423="","",IFERROR(INDEX('Data Export'!G423:CZ423,1,MATCH(前十整体车型排名!$B$4,'Data Export'!$G$1:$CZ$1,0)),0))</f>
        <v>0</v>
      </c>
      <c r="J423" s="62" t="str">
        <f>IF(H423="","",IF(OR('Data Export'!F423="三厢轿车",'Data Export'!F423="掀背轿车",'Data Export'!F423="旅行车",'Data Export'!F423="微型车",'Data Export'!F423="硬顶跑车",'Data Export'!F423="敞蓬车",'Data Export'!F423="Targa"),"轿车",IF(OR('Data Export'!F423="小型MPV",'Data Export'!F423="客车"),"MPV",IF('Data Export'!F423="运动型多功能车","SUV","其他"))))</f>
        <v>SUV</v>
      </c>
      <c r="K423" s="62" t="str">
        <f>IF(OR(D423="",NOT(F423=1)),"",1+SUMPRODUCT(($F$2:$F$1001=1)*($D$2:$D$1001&gt;D423))+COUNTIFS($F$2:F423,1,$D$2:D423,D423)-1)</f>
        <v/>
      </c>
      <c r="L423" s="62" t="str">
        <f>IF(OR(D423="",NOT(G423="轿车")),"",1+SUMPRODUCT(($G$2:$G$1001="轿车")*($D$2:$D$1001&gt;D423))+COUNTIFS($G$2:G423,"轿车",$D$2:D423,D423)-1)</f>
        <v/>
      </c>
      <c r="M423" s="62" t="str">
        <f>IF(OR(D423="",NOT(G423="MPV")),"",1+SUMPRODUCT(($G$2:$G$1001="MPV")*($D$2:$D$1001&gt;D423))+COUNTIFS($G$2:G423,"MPV",$D$2:D423,D423)-1)</f>
        <v/>
      </c>
      <c r="N423" s="62" t="str">
        <f>IF(OR(D423="",NOT(G423="SUV")),"",1+SUMPRODUCT(($G$2:$G$1001="SUV")*($D$2:$D$1001&gt;D423))+COUNTIFS($G$2:G423,"SUV",$D$2:D423,D423)-1)</f>
        <v/>
      </c>
      <c r="O423" s="62" t="str">
        <f>IF(OR(D423="",NOT(AND(F423=1,G423="轿车"))),"",1+SUMPRODUCT(($F$2:$F$1001=1)*($G$2:$G$1001="轿车")*($D$2:$D$1001&gt;D423))+COUNTIFS($F$2:F423,1,$G$2:G423,"轿车",$D$2:D423,D423)-1)</f>
        <v/>
      </c>
      <c r="P423" s="62" t="str">
        <f>IF(OR(D423="",NOT(AND(F423=1,G423="MPV"))),"",1+SUMPRODUCT(($F$2:$F$1001=1)*($G$2:$G$1001="MPV")*($D$2:$D$1001&gt;D423))+COUNTIFS($F$2:F423,1,$G$2:G423,"MPV",$D$2:D423,D423)-1)</f>
        <v/>
      </c>
      <c r="Q423" s="62" t="str">
        <f>IF(OR(D423="",NOT(AND(F423=1,G423="SUV"))),"",1+SUMPRODUCT(($F$2:$F$1001=1)*($G$2:$G$1001="SUV")*($D$2:$D$1001&gt;D423))+COUNTIFS($F$2:F423,1,$G$2:G423,"SUV",$D$2:D423,D423)-1)</f>
        <v/>
      </c>
    </row>
    <row r="424" spans="1:17">
      <c r="A424" s="62" t="str">
        <f>IFERROR(INDEX($H$2:$H$3000,MATCH(0,INDEX(COUNTIF($A$1:A423,$H$2:$H$3000)+($H$2:$H$3000=""),0,0),0)),"")</f>
        <v/>
      </c>
      <c r="B424" s="62" t="str">
        <f t="shared" si="24"/>
        <v/>
      </c>
      <c r="C424" s="62" t="str">
        <f t="shared" si="25"/>
        <v/>
      </c>
      <c r="D424" s="63" t="str">
        <f t="shared" si="26"/>
        <v/>
      </c>
      <c r="E424" s="62" t="str">
        <f>IF(D424="","",_xlfn.RANK.EQ(D424,$D$2:$D$1001,0)+COUNTIF($D$2:D424,D424)-1)</f>
        <v/>
      </c>
      <c r="F424" s="62" t="str">
        <f>IF(B424="","",--(COUNTIF(CN_Brands!$A$2:$A$300,UPPER(B424))&gt;0))</f>
        <v/>
      </c>
      <c r="G424" s="62" t="str">
        <f t="shared" si="27"/>
        <v/>
      </c>
      <c r="H424" s="62" t="str">
        <f>IF(AND('Data Export'!A424=前十整体车型排名!$B$2,'Data Export'!B424=前十整体车型排名!$B$3,'Data Export'!D424&lt;&gt;""),UPPER('Data Export'!C424)&amp;"♦"&amp;'Data Export'!D424,"")</f>
        <v>LEXUS♦RZ</v>
      </c>
      <c r="I424" s="63">
        <f>IF(H424="","",IFERROR(INDEX('Data Export'!G424:CZ424,1,MATCH(前十整体车型排名!$B$4,'Data Export'!$G$1:$CZ$1,0)),0))</f>
        <v>2</v>
      </c>
      <c r="J424" s="62" t="str">
        <f>IF(H424="","",IF(OR('Data Export'!F424="三厢轿车",'Data Export'!F424="掀背轿车",'Data Export'!F424="旅行车",'Data Export'!F424="微型车",'Data Export'!F424="硬顶跑车",'Data Export'!F424="敞蓬车",'Data Export'!F424="Targa"),"轿车",IF(OR('Data Export'!F424="小型MPV",'Data Export'!F424="客车"),"MPV",IF('Data Export'!F424="运动型多功能车","SUV","其他"))))</f>
        <v>SUV</v>
      </c>
      <c r="K424" s="62" t="str">
        <f>IF(OR(D424="",NOT(F424=1)),"",1+SUMPRODUCT(($F$2:$F$1001=1)*($D$2:$D$1001&gt;D424))+COUNTIFS($F$2:F424,1,$D$2:D424,D424)-1)</f>
        <v/>
      </c>
      <c r="L424" s="62" t="str">
        <f>IF(OR(D424="",NOT(G424="轿车")),"",1+SUMPRODUCT(($G$2:$G$1001="轿车")*($D$2:$D$1001&gt;D424))+COUNTIFS($G$2:G424,"轿车",$D$2:D424,D424)-1)</f>
        <v/>
      </c>
      <c r="M424" s="62" t="str">
        <f>IF(OR(D424="",NOT(G424="MPV")),"",1+SUMPRODUCT(($G$2:$G$1001="MPV")*($D$2:$D$1001&gt;D424))+COUNTIFS($G$2:G424,"MPV",$D$2:D424,D424)-1)</f>
        <v/>
      </c>
      <c r="N424" s="62" t="str">
        <f>IF(OR(D424="",NOT(G424="SUV")),"",1+SUMPRODUCT(($G$2:$G$1001="SUV")*($D$2:$D$1001&gt;D424))+COUNTIFS($G$2:G424,"SUV",$D$2:D424,D424)-1)</f>
        <v/>
      </c>
      <c r="O424" s="62" t="str">
        <f>IF(OR(D424="",NOT(AND(F424=1,G424="轿车"))),"",1+SUMPRODUCT(($F$2:$F$1001=1)*($G$2:$G$1001="轿车")*($D$2:$D$1001&gt;D424))+COUNTIFS($F$2:F424,1,$G$2:G424,"轿车",$D$2:D424,D424)-1)</f>
        <v/>
      </c>
      <c r="P424" s="62" t="str">
        <f>IF(OR(D424="",NOT(AND(F424=1,G424="MPV"))),"",1+SUMPRODUCT(($F$2:$F$1001=1)*($G$2:$G$1001="MPV")*($D$2:$D$1001&gt;D424))+COUNTIFS($F$2:F424,1,$G$2:G424,"MPV",$D$2:D424,D424)-1)</f>
        <v/>
      </c>
      <c r="Q424" s="62" t="str">
        <f>IF(OR(D424="",NOT(AND(F424=1,G424="SUV"))),"",1+SUMPRODUCT(($F$2:$F$1001=1)*($G$2:$G$1001="SUV")*($D$2:$D$1001&gt;D424))+COUNTIFS($F$2:F424,1,$G$2:G424,"SUV",$D$2:D424,D424)-1)</f>
        <v/>
      </c>
    </row>
    <row r="425" spans="1:17">
      <c r="A425" s="62" t="str">
        <f>IFERROR(INDEX($H$2:$H$3000,MATCH(0,INDEX(COUNTIF($A$1:A424,$H$2:$H$3000)+($H$2:$H$3000=""),0,0),0)),"")</f>
        <v/>
      </c>
      <c r="B425" s="62" t="str">
        <f t="shared" si="24"/>
        <v/>
      </c>
      <c r="C425" s="62" t="str">
        <f t="shared" si="25"/>
        <v/>
      </c>
      <c r="D425" s="63" t="str">
        <f t="shared" si="26"/>
        <v/>
      </c>
      <c r="E425" s="62" t="str">
        <f>IF(D425="","",_xlfn.RANK.EQ(D425,$D$2:$D$1001,0)+COUNTIF($D$2:D425,D425)-1)</f>
        <v/>
      </c>
      <c r="F425" s="62" t="str">
        <f>IF(B425="","",--(COUNTIF(CN_Brands!$A$2:$A$300,UPPER(B425))&gt;0))</f>
        <v/>
      </c>
      <c r="G425" s="62" t="str">
        <f t="shared" si="27"/>
        <v/>
      </c>
      <c r="H425" s="62" t="str">
        <f>IF(AND('Data Export'!A425=前十整体车型排名!$B$2,'Data Export'!B425=前十整体车型排名!$B$3,'Data Export'!D425&lt;&gt;""),UPPER('Data Export'!C425)&amp;"♦"&amp;'Data Export'!D425,"")</f>
        <v>LEXUS♦RZ</v>
      </c>
      <c r="I425" s="63">
        <f>IF(H425="","",IFERROR(INDEX('Data Export'!G425:CZ425,1,MATCH(前十整体车型排名!$B$4,'Data Export'!$G$1:$CZ$1,0)),0))</f>
        <v>0</v>
      </c>
      <c r="J425" s="62" t="str">
        <f>IF(H425="","",IF(OR('Data Export'!F425="三厢轿车",'Data Export'!F425="掀背轿车",'Data Export'!F425="旅行车",'Data Export'!F425="微型车",'Data Export'!F425="硬顶跑车",'Data Export'!F425="敞蓬车",'Data Export'!F425="Targa"),"轿车",IF(OR('Data Export'!F425="小型MPV",'Data Export'!F425="客车"),"MPV",IF('Data Export'!F425="运动型多功能车","SUV","其他"))))</f>
        <v>SUV</v>
      </c>
      <c r="K425" s="62" t="str">
        <f>IF(OR(D425="",NOT(F425=1)),"",1+SUMPRODUCT(($F$2:$F$1001=1)*($D$2:$D$1001&gt;D425))+COUNTIFS($F$2:F425,1,$D$2:D425,D425)-1)</f>
        <v/>
      </c>
      <c r="L425" s="62" t="str">
        <f>IF(OR(D425="",NOT(G425="轿车")),"",1+SUMPRODUCT(($G$2:$G$1001="轿车")*($D$2:$D$1001&gt;D425))+COUNTIFS($G$2:G425,"轿车",$D$2:D425,D425)-1)</f>
        <v/>
      </c>
      <c r="M425" s="62" t="str">
        <f>IF(OR(D425="",NOT(G425="MPV")),"",1+SUMPRODUCT(($G$2:$G$1001="MPV")*($D$2:$D$1001&gt;D425))+COUNTIFS($G$2:G425,"MPV",$D$2:D425,D425)-1)</f>
        <v/>
      </c>
      <c r="N425" s="62" t="str">
        <f>IF(OR(D425="",NOT(G425="SUV")),"",1+SUMPRODUCT(($G$2:$G$1001="SUV")*($D$2:$D$1001&gt;D425))+COUNTIFS($G$2:G425,"SUV",$D$2:D425,D425)-1)</f>
        <v/>
      </c>
      <c r="O425" s="62" t="str">
        <f>IF(OR(D425="",NOT(AND(F425=1,G425="轿车"))),"",1+SUMPRODUCT(($F$2:$F$1001=1)*($G$2:$G$1001="轿车")*($D$2:$D$1001&gt;D425))+COUNTIFS($F$2:F425,1,$G$2:G425,"轿车",$D$2:D425,D425)-1)</f>
        <v/>
      </c>
      <c r="P425" s="62" t="str">
        <f>IF(OR(D425="",NOT(AND(F425=1,G425="MPV"))),"",1+SUMPRODUCT(($F$2:$F$1001=1)*($G$2:$G$1001="MPV")*($D$2:$D$1001&gt;D425))+COUNTIFS($F$2:F425,1,$G$2:G425,"MPV",$D$2:D425,D425)-1)</f>
        <v/>
      </c>
      <c r="Q425" s="62" t="str">
        <f>IF(OR(D425="",NOT(AND(F425=1,G425="SUV"))),"",1+SUMPRODUCT(($F$2:$F$1001=1)*($G$2:$G$1001="SUV")*($D$2:$D$1001&gt;D425))+COUNTIFS($F$2:F425,1,$G$2:G425,"SUV",$D$2:D425,D425)-1)</f>
        <v/>
      </c>
    </row>
    <row r="426" spans="1:17">
      <c r="A426" s="62" t="str">
        <f>IFERROR(INDEX($H$2:$H$3000,MATCH(0,INDEX(COUNTIF($A$1:A425,$H$2:$H$3000)+($H$2:$H$3000=""),0,0),0)),"")</f>
        <v/>
      </c>
      <c r="B426" s="62" t="str">
        <f t="shared" si="24"/>
        <v/>
      </c>
      <c r="C426" s="62" t="str">
        <f t="shared" si="25"/>
        <v/>
      </c>
      <c r="D426" s="63" t="str">
        <f t="shared" si="26"/>
        <v/>
      </c>
      <c r="E426" s="62" t="str">
        <f>IF(D426="","",_xlfn.RANK.EQ(D426,$D$2:$D$1001,0)+COUNTIF($D$2:D426,D426)-1)</f>
        <v/>
      </c>
      <c r="F426" s="62" t="str">
        <f>IF(B426="","",--(COUNTIF(CN_Brands!$A$2:$A$300,UPPER(B426))&gt;0))</f>
        <v/>
      </c>
      <c r="G426" s="62" t="str">
        <f t="shared" si="27"/>
        <v/>
      </c>
      <c r="H426" s="62" t="str">
        <f>IF(AND('Data Export'!A426=前十整体车型排名!$B$2,'Data Export'!B426=前十整体车型排名!$B$3,'Data Export'!D426&lt;&gt;""),UPPER('Data Export'!C426)&amp;"♦"&amp;'Data Export'!D426,"")</f>
        <v>LEXUS♦UX</v>
      </c>
      <c r="I426" s="63">
        <f>IF(H426="","",IFERROR(INDEX('Data Export'!G426:CZ426,1,MATCH(前十整体车型排名!$B$4,'Data Export'!$G$1:$CZ$1,0)),0))</f>
        <v>0</v>
      </c>
      <c r="J426" s="62" t="str">
        <f>IF(H426="","",IF(OR('Data Export'!F426="三厢轿车",'Data Export'!F426="掀背轿车",'Data Export'!F426="旅行车",'Data Export'!F426="微型车",'Data Export'!F426="硬顶跑车",'Data Export'!F426="敞蓬车",'Data Export'!F426="Targa"),"轿车",IF(OR('Data Export'!F426="小型MPV",'Data Export'!F426="客车"),"MPV",IF('Data Export'!F426="运动型多功能车","SUV","其他"))))</f>
        <v>SUV</v>
      </c>
      <c r="K426" s="62" t="str">
        <f>IF(OR(D426="",NOT(F426=1)),"",1+SUMPRODUCT(($F$2:$F$1001=1)*($D$2:$D$1001&gt;D426))+COUNTIFS($F$2:F426,1,$D$2:D426,D426)-1)</f>
        <v/>
      </c>
      <c r="L426" s="62" t="str">
        <f>IF(OR(D426="",NOT(G426="轿车")),"",1+SUMPRODUCT(($G$2:$G$1001="轿车")*($D$2:$D$1001&gt;D426))+COUNTIFS($G$2:G426,"轿车",$D$2:D426,D426)-1)</f>
        <v/>
      </c>
      <c r="M426" s="62" t="str">
        <f>IF(OR(D426="",NOT(G426="MPV")),"",1+SUMPRODUCT(($G$2:$G$1001="MPV")*($D$2:$D$1001&gt;D426))+COUNTIFS($G$2:G426,"MPV",$D$2:D426,D426)-1)</f>
        <v/>
      </c>
      <c r="N426" s="62" t="str">
        <f>IF(OR(D426="",NOT(G426="SUV")),"",1+SUMPRODUCT(($G$2:$G$1001="SUV")*($D$2:$D$1001&gt;D426))+COUNTIFS($G$2:G426,"SUV",$D$2:D426,D426)-1)</f>
        <v/>
      </c>
      <c r="O426" s="62" t="str">
        <f>IF(OR(D426="",NOT(AND(F426=1,G426="轿车"))),"",1+SUMPRODUCT(($F$2:$F$1001=1)*($G$2:$G$1001="轿车")*($D$2:$D$1001&gt;D426))+COUNTIFS($F$2:F426,1,$G$2:G426,"轿车",$D$2:D426,D426)-1)</f>
        <v/>
      </c>
      <c r="P426" s="62" t="str">
        <f>IF(OR(D426="",NOT(AND(F426=1,G426="MPV"))),"",1+SUMPRODUCT(($F$2:$F$1001=1)*($G$2:$G$1001="MPV")*($D$2:$D$1001&gt;D426))+COUNTIFS($F$2:F426,1,$G$2:G426,"MPV",$D$2:D426,D426)-1)</f>
        <v/>
      </c>
      <c r="Q426" s="62" t="str">
        <f>IF(OR(D426="",NOT(AND(F426=1,G426="SUV"))),"",1+SUMPRODUCT(($F$2:$F$1001=1)*($G$2:$G$1001="SUV")*($D$2:$D$1001&gt;D426))+COUNTIFS($F$2:F426,1,$G$2:G426,"SUV",$D$2:D426,D426)-1)</f>
        <v/>
      </c>
    </row>
    <row r="427" spans="1:17">
      <c r="A427" s="62" t="str">
        <f>IFERROR(INDEX($H$2:$H$3000,MATCH(0,INDEX(COUNTIF($A$1:A426,$H$2:$H$3000)+($H$2:$H$3000=""),0,0),0)),"")</f>
        <v/>
      </c>
      <c r="B427" s="62" t="str">
        <f t="shared" si="24"/>
        <v/>
      </c>
      <c r="C427" s="62" t="str">
        <f t="shared" si="25"/>
        <v/>
      </c>
      <c r="D427" s="63" t="str">
        <f t="shared" si="26"/>
        <v/>
      </c>
      <c r="E427" s="62" t="str">
        <f>IF(D427="","",_xlfn.RANK.EQ(D427,$D$2:$D$1001,0)+COUNTIF($D$2:D427,D427)-1)</f>
        <v/>
      </c>
      <c r="F427" s="62" t="str">
        <f>IF(B427="","",--(COUNTIF(CN_Brands!$A$2:$A$300,UPPER(B427))&gt;0))</f>
        <v/>
      </c>
      <c r="G427" s="62" t="str">
        <f t="shared" si="27"/>
        <v/>
      </c>
      <c r="H427" s="62" t="str">
        <f>IF(AND('Data Export'!A427=前十整体车型排名!$B$2,'Data Export'!B427=前十整体车型排名!$B$3,'Data Export'!D427&lt;&gt;""),UPPER('Data Export'!C427)&amp;"♦"&amp;'Data Export'!D427,"")</f>
        <v>LOTUS♦ELETRE</v>
      </c>
      <c r="I427" s="63">
        <f>IF(H427="","",IFERROR(INDEX('Data Export'!G427:CZ427,1,MATCH(前十整体车型排名!$B$4,'Data Export'!$G$1:$CZ$1,0)),0))</f>
        <v>2</v>
      </c>
      <c r="J427" s="62" t="str">
        <f>IF(H427="","",IF(OR('Data Export'!F427="三厢轿车",'Data Export'!F427="掀背轿车",'Data Export'!F427="旅行车",'Data Export'!F427="微型车",'Data Export'!F427="硬顶跑车",'Data Export'!F427="敞蓬车",'Data Export'!F427="Targa"),"轿车",IF(OR('Data Export'!F427="小型MPV",'Data Export'!F427="客车"),"MPV",IF('Data Export'!F427="运动型多功能车","SUV","其他"))))</f>
        <v>SUV</v>
      </c>
      <c r="K427" s="62" t="str">
        <f>IF(OR(D427="",NOT(F427=1)),"",1+SUMPRODUCT(($F$2:$F$1001=1)*($D$2:$D$1001&gt;D427))+COUNTIFS($F$2:F427,1,$D$2:D427,D427)-1)</f>
        <v/>
      </c>
      <c r="L427" s="62" t="str">
        <f>IF(OR(D427="",NOT(G427="轿车")),"",1+SUMPRODUCT(($G$2:$G$1001="轿车")*($D$2:$D$1001&gt;D427))+COUNTIFS($G$2:G427,"轿车",$D$2:D427,D427)-1)</f>
        <v/>
      </c>
      <c r="M427" s="62" t="str">
        <f>IF(OR(D427="",NOT(G427="MPV")),"",1+SUMPRODUCT(($G$2:$G$1001="MPV")*($D$2:$D$1001&gt;D427))+COUNTIFS($G$2:G427,"MPV",$D$2:D427,D427)-1)</f>
        <v/>
      </c>
      <c r="N427" s="62" t="str">
        <f>IF(OR(D427="",NOT(G427="SUV")),"",1+SUMPRODUCT(($G$2:$G$1001="SUV")*($D$2:$D$1001&gt;D427))+COUNTIFS($G$2:G427,"SUV",$D$2:D427,D427)-1)</f>
        <v/>
      </c>
      <c r="O427" s="62" t="str">
        <f>IF(OR(D427="",NOT(AND(F427=1,G427="轿车"))),"",1+SUMPRODUCT(($F$2:$F$1001=1)*($G$2:$G$1001="轿车")*($D$2:$D$1001&gt;D427))+COUNTIFS($F$2:F427,1,$G$2:G427,"轿车",$D$2:D427,D427)-1)</f>
        <v/>
      </c>
      <c r="P427" s="62" t="str">
        <f>IF(OR(D427="",NOT(AND(F427=1,G427="MPV"))),"",1+SUMPRODUCT(($F$2:$F$1001=1)*($G$2:$G$1001="MPV")*($D$2:$D$1001&gt;D427))+COUNTIFS($F$2:F427,1,$G$2:G427,"MPV",$D$2:D427,D427)-1)</f>
        <v/>
      </c>
      <c r="Q427" s="62" t="str">
        <f>IF(OR(D427="",NOT(AND(F427=1,G427="SUV"))),"",1+SUMPRODUCT(($F$2:$F$1001=1)*($G$2:$G$1001="SUV")*($D$2:$D$1001&gt;D427))+COUNTIFS($F$2:F427,1,$G$2:G427,"SUV",$D$2:D427,D427)-1)</f>
        <v/>
      </c>
    </row>
    <row r="428" spans="1:17">
      <c r="A428" s="62" t="str">
        <f>IFERROR(INDEX($H$2:$H$3000,MATCH(0,INDEX(COUNTIF($A$1:A427,$H$2:$H$3000)+($H$2:$H$3000=""),0,0),0)),"")</f>
        <v/>
      </c>
      <c r="B428" s="62" t="str">
        <f t="shared" si="24"/>
        <v/>
      </c>
      <c r="C428" s="62" t="str">
        <f t="shared" si="25"/>
        <v/>
      </c>
      <c r="D428" s="63" t="str">
        <f t="shared" si="26"/>
        <v/>
      </c>
      <c r="E428" s="62" t="str">
        <f>IF(D428="","",_xlfn.RANK.EQ(D428,$D$2:$D$1001,0)+COUNTIF($D$2:D428,D428)-1)</f>
        <v/>
      </c>
      <c r="F428" s="62" t="str">
        <f>IF(B428="","",--(COUNTIF(CN_Brands!$A$2:$A$300,UPPER(B428))&gt;0))</f>
        <v/>
      </c>
      <c r="G428" s="62" t="str">
        <f t="shared" si="27"/>
        <v/>
      </c>
      <c r="H428" s="62" t="str">
        <f>IF(AND('Data Export'!A428=前十整体车型排名!$B$2,'Data Export'!B428=前十整体车型排名!$B$3,'Data Export'!D428&lt;&gt;""),UPPER('Data Export'!C428)&amp;"♦"&amp;'Data Export'!D428,"")</f>
        <v>LOTUS♦ELETRE</v>
      </c>
      <c r="I428" s="63">
        <f>IF(H428="","",IFERROR(INDEX('Data Export'!G428:CZ428,1,MATCH(前十整体车型排名!$B$4,'Data Export'!$G$1:$CZ$1,0)),0))</f>
        <v>1</v>
      </c>
      <c r="J428" s="62" t="str">
        <f>IF(H428="","",IF(OR('Data Export'!F428="三厢轿车",'Data Export'!F428="掀背轿车",'Data Export'!F428="旅行车",'Data Export'!F428="微型车",'Data Export'!F428="硬顶跑车",'Data Export'!F428="敞蓬车",'Data Export'!F428="Targa"),"轿车",IF(OR('Data Export'!F428="小型MPV",'Data Export'!F428="客车"),"MPV",IF('Data Export'!F428="运动型多功能车","SUV","其他"))))</f>
        <v>SUV</v>
      </c>
      <c r="K428" s="62" t="str">
        <f>IF(OR(D428="",NOT(F428=1)),"",1+SUMPRODUCT(($F$2:$F$1001=1)*($D$2:$D$1001&gt;D428))+COUNTIFS($F$2:F428,1,$D$2:D428,D428)-1)</f>
        <v/>
      </c>
      <c r="L428" s="62" t="str">
        <f>IF(OR(D428="",NOT(G428="轿车")),"",1+SUMPRODUCT(($G$2:$G$1001="轿车")*($D$2:$D$1001&gt;D428))+COUNTIFS($G$2:G428,"轿车",$D$2:D428,D428)-1)</f>
        <v/>
      </c>
      <c r="M428" s="62" t="str">
        <f>IF(OR(D428="",NOT(G428="MPV")),"",1+SUMPRODUCT(($G$2:$G$1001="MPV")*($D$2:$D$1001&gt;D428))+COUNTIFS($G$2:G428,"MPV",$D$2:D428,D428)-1)</f>
        <v/>
      </c>
      <c r="N428" s="62" t="str">
        <f>IF(OR(D428="",NOT(G428="SUV")),"",1+SUMPRODUCT(($G$2:$G$1001="SUV")*($D$2:$D$1001&gt;D428))+COUNTIFS($G$2:G428,"SUV",$D$2:D428,D428)-1)</f>
        <v/>
      </c>
      <c r="O428" s="62" t="str">
        <f>IF(OR(D428="",NOT(AND(F428=1,G428="轿车"))),"",1+SUMPRODUCT(($F$2:$F$1001=1)*($G$2:$G$1001="轿车")*($D$2:$D$1001&gt;D428))+COUNTIFS($F$2:F428,1,$G$2:G428,"轿车",$D$2:D428,D428)-1)</f>
        <v/>
      </c>
      <c r="P428" s="62" t="str">
        <f>IF(OR(D428="",NOT(AND(F428=1,G428="MPV"))),"",1+SUMPRODUCT(($F$2:$F$1001=1)*($G$2:$G$1001="MPV")*($D$2:$D$1001&gt;D428))+COUNTIFS($F$2:F428,1,$G$2:G428,"MPV",$D$2:D428,D428)-1)</f>
        <v/>
      </c>
      <c r="Q428" s="62" t="str">
        <f>IF(OR(D428="",NOT(AND(F428=1,G428="SUV"))),"",1+SUMPRODUCT(($F$2:$F$1001=1)*($G$2:$G$1001="SUV")*($D$2:$D$1001&gt;D428))+COUNTIFS($F$2:F428,1,$G$2:G428,"SUV",$D$2:D428,D428)-1)</f>
        <v/>
      </c>
    </row>
    <row r="429" spans="1:17">
      <c r="A429" s="62" t="str">
        <f>IFERROR(INDEX($H$2:$H$3000,MATCH(0,INDEX(COUNTIF($A$1:A428,$H$2:$H$3000)+($H$2:$H$3000=""),0,0),0)),"")</f>
        <v/>
      </c>
      <c r="B429" s="62" t="str">
        <f t="shared" si="24"/>
        <v/>
      </c>
      <c r="C429" s="62" t="str">
        <f t="shared" si="25"/>
        <v/>
      </c>
      <c r="D429" s="63" t="str">
        <f t="shared" si="26"/>
        <v/>
      </c>
      <c r="E429" s="62" t="str">
        <f>IF(D429="","",_xlfn.RANK.EQ(D429,$D$2:$D$1001,0)+COUNTIF($D$2:D429,D429)-1)</f>
        <v/>
      </c>
      <c r="F429" s="62" t="str">
        <f>IF(B429="","",--(COUNTIF(CN_Brands!$A$2:$A$300,UPPER(B429))&gt;0))</f>
        <v/>
      </c>
      <c r="G429" s="62" t="str">
        <f t="shared" si="27"/>
        <v/>
      </c>
      <c r="H429" s="62" t="str">
        <f>IF(AND('Data Export'!A429=前十整体车型排名!$B$2,'Data Export'!B429=前十整体车型排名!$B$3,'Data Export'!D429&lt;&gt;""),UPPER('Data Export'!C429)&amp;"♦"&amp;'Data Export'!D429,"")</f>
        <v>LOTUS♦ELETRE</v>
      </c>
      <c r="I429" s="63">
        <f>IF(H429="","",IFERROR(INDEX('Data Export'!G429:CZ429,1,MATCH(前十整体车型排名!$B$4,'Data Export'!$G$1:$CZ$1,0)),0))</f>
        <v>1</v>
      </c>
      <c r="J429" s="62" t="str">
        <f>IF(H429="","",IF(OR('Data Export'!F429="三厢轿车",'Data Export'!F429="掀背轿车",'Data Export'!F429="旅行车",'Data Export'!F429="微型车",'Data Export'!F429="硬顶跑车",'Data Export'!F429="敞蓬车",'Data Export'!F429="Targa"),"轿车",IF(OR('Data Export'!F429="小型MPV",'Data Export'!F429="客车"),"MPV",IF('Data Export'!F429="运动型多功能车","SUV","其他"))))</f>
        <v>SUV</v>
      </c>
      <c r="K429" s="62" t="str">
        <f>IF(OR(D429="",NOT(F429=1)),"",1+SUMPRODUCT(($F$2:$F$1001=1)*($D$2:$D$1001&gt;D429))+COUNTIFS($F$2:F429,1,$D$2:D429,D429)-1)</f>
        <v/>
      </c>
      <c r="L429" s="62" t="str">
        <f>IF(OR(D429="",NOT(G429="轿车")),"",1+SUMPRODUCT(($G$2:$G$1001="轿车")*($D$2:$D$1001&gt;D429))+COUNTIFS($G$2:G429,"轿车",$D$2:D429,D429)-1)</f>
        <v/>
      </c>
      <c r="M429" s="62" t="str">
        <f>IF(OR(D429="",NOT(G429="MPV")),"",1+SUMPRODUCT(($G$2:$G$1001="MPV")*($D$2:$D$1001&gt;D429))+COUNTIFS($G$2:G429,"MPV",$D$2:D429,D429)-1)</f>
        <v/>
      </c>
      <c r="N429" s="62" t="str">
        <f>IF(OR(D429="",NOT(G429="SUV")),"",1+SUMPRODUCT(($G$2:$G$1001="SUV")*($D$2:$D$1001&gt;D429))+COUNTIFS($G$2:G429,"SUV",$D$2:D429,D429)-1)</f>
        <v/>
      </c>
      <c r="O429" s="62" t="str">
        <f>IF(OR(D429="",NOT(AND(F429=1,G429="轿车"))),"",1+SUMPRODUCT(($F$2:$F$1001=1)*($G$2:$G$1001="轿车")*($D$2:$D$1001&gt;D429))+COUNTIFS($F$2:F429,1,$G$2:G429,"轿车",$D$2:D429,D429)-1)</f>
        <v/>
      </c>
      <c r="P429" s="62" t="str">
        <f>IF(OR(D429="",NOT(AND(F429=1,G429="MPV"))),"",1+SUMPRODUCT(($F$2:$F$1001=1)*($G$2:$G$1001="MPV")*($D$2:$D$1001&gt;D429))+COUNTIFS($F$2:F429,1,$G$2:G429,"MPV",$D$2:D429,D429)-1)</f>
        <v/>
      </c>
      <c r="Q429" s="62" t="str">
        <f>IF(OR(D429="",NOT(AND(F429=1,G429="SUV"))),"",1+SUMPRODUCT(($F$2:$F$1001=1)*($G$2:$G$1001="SUV")*($D$2:$D$1001&gt;D429))+COUNTIFS($F$2:F429,1,$G$2:G429,"SUV",$D$2:D429,D429)-1)</f>
        <v/>
      </c>
    </row>
    <row r="430" spans="1:17">
      <c r="A430" s="62" t="str">
        <f>IFERROR(INDEX($H$2:$H$3000,MATCH(0,INDEX(COUNTIF($A$1:A429,$H$2:$H$3000)+($H$2:$H$3000=""),0,0),0)),"")</f>
        <v/>
      </c>
      <c r="B430" s="62" t="str">
        <f t="shared" si="24"/>
        <v/>
      </c>
      <c r="C430" s="62" t="str">
        <f t="shared" si="25"/>
        <v/>
      </c>
      <c r="D430" s="63" t="str">
        <f t="shared" si="26"/>
        <v/>
      </c>
      <c r="E430" s="62" t="str">
        <f>IF(D430="","",_xlfn.RANK.EQ(D430,$D$2:$D$1001,0)+COUNTIF($D$2:D430,D430)-1)</f>
        <v/>
      </c>
      <c r="F430" s="62" t="str">
        <f>IF(B430="","",--(COUNTIF(CN_Brands!$A$2:$A$300,UPPER(B430))&gt;0))</f>
        <v/>
      </c>
      <c r="G430" s="62" t="str">
        <f t="shared" si="27"/>
        <v/>
      </c>
      <c r="H430" s="62" t="str">
        <f>IF(AND('Data Export'!A430=前十整体车型排名!$B$2,'Data Export'!B430=前十整体车型排名!$B$3,'Data Export'!D430&lt;&gt;""),UPPER('Data Export'!C430)&amp;"♦"&amp;'Data Export'!D430,"")</f>
        <v>LOTUS♦ELETRE</v>
      </c>
      <c r="I430" s="63">
        <f>IF(H430="","",IFERROR(INDEX('Data Export'!G430:CZ430,1,MATCH(前十整体车型排名!$B$4,'Data Export'!$G$1:$CZ$1,0)),0))</f>
        <v>2</v>
      </c>
      <c r="J430" s="62" t="str">
        <f>IF(H430="","",IF(OR('Data Export'!F430="三厢轿车",'Data Export'!F430="掀背轿车",'Data Export'!F430="旅行车",'Data Export'!F430="微型车",'Data Export'!F430="硬顶跑车",'Data Export'!F430="敞蓬车",'Data Export'!F430="Targa"),"轿车",IF(OR('Data Export'!F430="小型MPV",'Data Export'!F430="客车"),"MPV",IF('Data Export'!F430="运动型多功能车","SUV","其他"))))</f>
        <v>SUV</v>
      </c>
      <c r="K430" s="62" t="str">
        <f>IF(OR(D430="",NOT(F430=1)),"",1+SUMPRODUCT(($F$2:$F$1001=1)*($D$2:$D$1001&gt;D430))+COUNTIFS($F$2:F430,1,$D$2:D430,D430)-1)</f>
        <v/>
      </c>
      <c r="L430" s="62" t="str">
        <f>IF(OR(D430="",NOT(G430="轿车")),"",1+SUMPRODUCT(($G$2:$G$1001="轿车")*($D$2:$D$1001&gt;D430))+COUNTIFS($G$2:G430,"轿车",$D$2:D430,D430)-1)</f>
        <v/>
      </c>
      <c r="M430" s="62" t="str">
        <f>IF(OR(D430="",NOT(G430="MPV")),"",1+SUMPRODUCT(($G$2:$G$1001="MPV")*($D$2:$D$1001&gt;D430))+COUNTIFS($G$2:G430,"MPV",$D$2:D430,D430)-1)</f>
        <v/>
      </c>
      <c r="N430" s="62" t="str">
        <f>IF(OR(D430="",NOT(G430="SUV")),"",1+SUMPRODUCT(($G$2:$G$1001="SUV")*($D$2:$D$1001&gt;D430))+COUNTIFS($G$2:G430,"SUV",$D$2:D430,D430)-1)</f>
        <v/>
      </c>
      <c r="O430" s="62" t="str">
        <f>IF(OR(D430="",NOT(AND(F430=1,G430="轿车"))),"",1+SUMPRODUCT(($F$2:$F$1001=1)*($G$2:$G$1001="轿车")*($D$2:$D$1001&gt;D430))+COUNTIFS($F$2:F430,1,$G$2:G430,"轿车",$D$2:D430,D430)-1)</f>
        <v/>
      </c>
      <c r="P430" s="62" t="str">
        <f>IF(OR(D430="",NOT(AND(F430=1,G430="MPV"))),"",1+SUMPRODUCT(($F$2:$F$1001=1)*($G$2:$G$1001="MPV")*($D$2:$D$1001&gt;D430))+COUNTIFS($F$2:F430,1,$G$2:G430,"MPV",$D$2:D430,D430)-1)</f>
        <v/>
      </c>
      <c r="Q430" s="62" t="str">
        <f>IF(OR(D430="",NOT(AND(F430=1,G430="SUV"))),"",1+SUMPRODUCT(($F$2:$F$1001=1)*($G$2:$G$1001="SUV")*($D$2:$D$1001&gt;D430))+COUNTIFS($F$2:F430,1,$G$2:G430,"SUV",$D$2:D430,D430)-1)</f>
        <v/>
      </c>
    </row>
    <row r="431" spans="1:17">
      <c r="A431" s="62" t="str">
        <f>IFERROR(INDEX($H$2:$H$3000,MATCH(0,INDEX(COUNTIF($A$1:A430,$H$2:$H$3000)+($H$2:$H$3000=""),0,0),0)),"")</f>
        <v/>
      </c>
      <c r="B431" s="62" t="str">
        <f t="shared" si="24"/>
        <v/>
      </c>
      <c r="C431" s="62" t="str">
        <f t="shared" si="25"/>
        <v/>
      </c>
      <c r="D431" s="63" t="str">
        <f t="shared" si="26"/>
        <v/>
      </c>
      <c r="E431" s="62" t="str">
        <f>IF(D431="","",_xlfn.RANK.EQ(D431,$D$2:$D$1001,0)+COUNTIF($D$2:D431,D431)-1)</f>
        <v/>
      </c>
      <c r="F431" s="62" t="str">
        <f>IF(B431="","",--(COUNTIF(CN_Brands!$A$2:$A$300,UPPER(B431))&gt;0))</f>
        <v/>
      </c>
      <c r="G431" s="62" t="str">
        <f t="shared" si="27"/>
        <v/>
      </c>
      <c r="H431" s="62" t="str">
        <f>IF(AND('Data Export'!A431=前十整体车型排名!$B$2,'Data Export'!B431=前十整体车型排名!$B$3,'Data Export'!D431&lt;&gt;""),UPPER('Data Export'!C431)&amp;"♦"&amp;'Data Export'!D431,"")</f>
        <v>LOTUS♦EMEYA</v>
      </c>
      <c r="I431" s="63">
        <f>IF(H431="","",IFERROR(INDEX('Data Export'!G431:CZ431,1,MATCH(前十整体车型排名!$B$4,'Data Export'!$G$1:$CZ$1,0)),0))</f>
        <v>0</v>
      </c>
      <c r="J431" s="62" t="str">
        <f>IF(H431="","",IF(OR('Data Export'!F431="三厢轿车",'Data Export'!F431="掀背轿车",'Data Export'!F431="旅行车",'Data Export'!F431="微型车",'Data Export'!F431="硬顶跑车",'Data Export'!F431="敞蓬车",'Data Export'!F431="Targa"),"轿车",IF(OR('Data Export'!F431="小型MPV",'Data Export'!F431="客车"),"MPV",IF('Data Export'!F431="运动型多功能车","SUV","其他"))))</f>
        <v>轿车</v>
      </c>
      <c r="K431" s="62" t="str">
        <f>IF(OR(D431="",NOT(F431=1)),"",1+SUMPRODUCT(($F$2:$F$1001=1)*($D$2:$D$1001&gt;D431))+COUNTIFS($F$2:F431,1,$D$2:D431,D431)-1)</f>
        <v/>
      </c>
      <c r="L431" s="62" t="str">
        <f>IF(OR(D431="",NOT(G431="轿车")),"",1+SUMPRODUCT(($G$2:$G$1001="轿车")*($D$2:$D$1001&gt;D431))+COUNTIFS($G$2:G431,"轿车",$D$2:D431,D431)-1)</f>
        <v/>
      </c>
      <c r="M431" s="62" t="str">
        <f>IF(OR(D431="",NOT(G431="MPV")),"",1+SUMPRODUCT(($G$2:$G$1001="MPV")*($D$2:$D$1001&gt;D431))+COUNTIFS($G$2:G431,"MPV",$D$2:D431,D431)-1)</f>
        <v/>
      </c>
      <c r="N431" s="62" t="str">
        <f>IF(OR(D431="",NOT(G431="SUV")),"",1+SUMPRODUCT(($G$2:$G$1001="SUV")*($D$2:$D$1001&gt;D431))+COUNTIFS($G$2:G431,"SUV",$D$2:D431,D431)-1)</f>
        <v/>
      </c>
      <c r="O431" s="62" t="str">
        <f>IF(OR(D431="",NOT(AND(F431=1,G431="轿车"))),"",1+SUMPRODUCT(($F$2:$F$1001=1)*($G$2:$G$1001="轿车")*($D$2:$D$1001&gt;D431))+COUNTIFS($F$2:F431,1,$G$2:G431,"轿车",$D$2:D431,D431)-1)</f>
        <v/>
      </c>
      <c r="P431" s="62" t="str">
        <f>IF(OR(D431="",NOT(AND(F431=1,G431="MPV"))),"",1+SUMPRODUCT(($F$2:$F$1001=1)*($G$2:$G$1001="MPV")*($D$2:$D$1001&gt;D431))+COUNTIFS($F$2:F431,1,$G$2:G431,"MPV",$D$2:D431,D431)-1)</f>
        <v/>
      </c>
      <c r="Q431" s="62" t="str">
        <f>IF(OR(D431="",NOT(AND(F431=1,G431="SUV"))),"",1+SUMPRODUCT(($F$2:$F$1001=1)*($G$2:$G$1001="SUV")*($D$2:$D$1001&gt;D431))+COUNTIFS($F$2:F431,1,$G$2:G431,"SUV",$D$2:D431,D431)-1)</f>
        <v/>
      </c>
    </row>
    <row r="432" spans="1:17">
      <c r="A432" s="62" t="str">
        <f>IFERROR(INDEX($H$2:$H$3000,MATCH(0,INDEX(COUNTIF($A$1:A431,$H$2:$H$3000)+($H$2:$H$3000=""),0,0),0)),"")</f>
        <v/>
      </c>
      <c r="B432" s="62" t="str">
        <f t="shared" si="24"/>
        <v/>
      </c>
      <c r="C432" s="62" t="str">
        <f t="shared" si="25"/>
        <v/>
      </c>
      <c r="D432" s="63" t="str">
        <f t="shared" si="26"/>
        <v/>
      </c>
      <c r="E432" s="62" t="str">
        <f>IF(D432="","",_xlfn.RANK.EQ(D432,$D$2:$D$1001,0)+COUNTIF($D$2:D432,D432)-1)</f>
        <v/>
      </c>
      <c r="F432" s="62" t="str">
        <f>IF(B432="","",--(COUNTIF(CN_Brands!$A$2:$A$300,UPPER(B432))&gt;0))</f>
        <v/>
      </c>
      <c r="G432" s="62" t="str">
        <f t="shared" si="27"/>
        <v/>
      </c>
      <c r="H432" s="62" t="str">
        <f>IF(AND('Data Export'!A432=前十整体车型排名!$B$2,'Data Export'!B432=前十整体车型排名!$B$3,'Data Export'!D432&lt;&gt;""),UPPER('Data Export'!C432)&amp;"♦"&amp;'Data Export'!D432,"")</f>
        <v>LOTUS♦EMEYA</v>
      </c>
      <c r="I432" s="63">
        <f>IF(H432="","",IFERROR(INDEX('Data Export'!G432:CZ432,1,MATCH(前十整体车型排名!$B$4,'Data Export'!$G$1:$CZ$1,0)),0))</f>
        <v>0</v>
      </c>
      <c r="J432" s="62" t="str">
        <f>IF(H432="","",IF(OR('Data Export'!F432="三厢轿车",'Data Export'!F432="掀背轿车",'Data Export'!F432="旅行车",'Data Export'!F432="微型车",'Data Export'!F432="硬顶跑车",'Data Export'!F432="敞蓬车",'Data Export'!F432="Targa"),"轿车",IF(OR('Data Export'!F432="小型MPV",'Data Export'!F432="客车"),"MPV",IF('Data Export'!F432="运动型多功能车","SUV","其他"))))</f>
        <v>轿车</v>
      </c>
      <c r="K432" s="62" t="str">
        <f>IF(OR(D432="",NOT(F432=1)),"",1+SUMPRODUCT(($F$2:$F$1001=1)*($D$2:$D$1001&gt;D432))+COUNTIFS($F$2:F432,1,$D$2:D432,D432)-1)</f>
        <v/>
      </c>
      <c r="L432" s="62" t="str">
        <f>IF(OR(D432="",NOT(G432="轿车")),"",1+SUMPRODUCT(($G$2:$G$1001="轿车")*($D$2:$D$1001&gt;D432))+COUNTIFS($G$2:G432,"轿车",$D$2:D432,D432)-1)</f>
        <v/>
      </c>
      <c r="M432" s="62" t="str">
        <f>IF(OR(D432="",NOT(G432="MPV")),"",1+SUMPRODUCT(($G$2:$G$1001="MPV")*($D$2:$D$1001&gt;D432))+COUNTIFS($G$2:G432,"MPV",$D$2:D432,D432)-1)</f>
        <v/>
      </c>
      <c r="N432" s="62" t="str">
        <f>IF(OR(D432="",NOT(G432="SUV")),"",1+SUMPRODUCT(($G$2:$G$1001="SUV")*($D$2:$D$1001&gt;D432))+COUNTIFS($G$2:G432,"SUV",$D$2:D432,D432)-1)</f>
        <v/>
      </c>
      <c r="O432" s="62" t="str">
        <f>IF(OR(D432="",NOT(AND(F432=1,G432="轿车"))),"",1+SUMPRODUCT(($F$2:$F$1001=1)*($G$2:$G$1001="轿车")*($D$2:$D$1001&gt;D432))+COUNTIFS($F$2:F432,1,$G$2:G432,"轿车",$D$2:D432,D432)-1)</f>
        <v/>
      </c>
      <c r="P432" s="62" t="str">
        <f>IF(OR(D432="",NOT(AND(F432=1,G432="MPV"))),"",1+SUMPRODUCT(($F$2:$F$1001=1)*($G$2:$G$1001="MPV")*($D$2:$D$1001&gt;D432))+COUNTIFS($F$2:F432,1,$G$2:G432,"MPV",$D$2:D432,D432)-1)</f>
        <v/>
      </c>
      <c r="Q432" s="62" t="str">
        <f>IF(OR(D432="",NOT(AND(F432=1,G432="SUV"))),"",1+SUMPRODUCT(($F$2:$F$1001=1)*($G$2:$G$1001="SUV")*($D$2:$D$1001&gt;D432))+COUNTIFS($F$2:F432,1,$G$2:G432,"SUV",$D$2:D432,D432)-1)</f>
        <v/>
      </c>
    </row>
    <row r="433" spans="1:17">
      <c r="A433" s="62" t="str">
        <f>IFERROR(INDEX($H$2:$H$3000,MATCH(0,INDEX(COUNTIF($A$1:A432,$H$2:$H$3000)+($H$2:$H$3000=""),0,0),0)),"")</f>
        <v/>
      </c>
      <c r="B433" s="62" t="str">
        <f t="shared" si="24"/>
        <v/>
      </c>
      <c r="C433" s="62" t="str">
        <f t="shared" si="25"/>
        <v/>
      </c>
      <c r="D433" s="63" t="str">
        <f t="shared" si="26"/>
        <v/>
      </c>
      <c r="E433" s="62" t="str">
        <f>IF(D433="","",_xlfn.RANK.EQ(D433,$D$2:$D$1001,0)+COUNTIF($D$2:D433,D433)-1)</f>
        <v/>
      </c>
      <c r="F433" s="62" t="str">
        <f>IF(B433="","",--(COUNTIF(CN_Brands!$A$2:$A$300,UPPER(B433))&gt;0))</f>
        <v/>
      </c>
      <c r="G433" s="62" t="str">
        <f t="shared" si="27"/>
        <v/>
      </c>
      <c r="H433" s="62" t="str">
        <f>IF(AND('Data Export'!A433=前十整体车型排名!$B$2,'Data Export'!B433=前十整体车型排名!$B$3,'Data Export'!D433&lt;&gt;""),UPPER('Data Export'!C433)&amp;"♦"&amp;'Data Export'!D433,"")</f>
        <v>LOTUS♦EMEYA</v>
      </c>
      <c r="I433" s="63">
        <f>IF(H433="","",IFERROR(INDEX('Data Export'!G433:CZ433,1,MATCH(前十整体车型排名!$B$4,'Data Export'!$G$1:$CZ$1,0)),0))</f>
        <v>0</v>
      </c>
      <c r="J433" s="62" t="str">
        <f>IF(H433="","",IF(OR('Data Export'!F433="三厢轿车",'Data Export'!F433="掀背轿车",'Data Export'!F433="旅行车",'Data Export'!F433="微型车",'Data Export'!F433="硬顶跑车",'Data Export'!F433="敞蓬车",'Data Export'!F433="Targa"),"轿车",IF(OR('Data Export'!F433="小型MPV",'Data Export'!F433="客车"),"MPV",IF('Data Export'!F433="运动型多功能车","SUV","其他"))))</f>
        <v>轿车</v>
      </c>
      <c r="K433" s="62" t="str">
        <f>IF(OR(D433="",NOT(F433=1)),"",1+SUMPRODUCT(($F$2:$F$1001=1)*($D$2:$D$1001&gt;D433))+COUNTIFS($F$2:F433,1,$D$2:D433,D433)-1)</f>
        <v/>
      </c>
      <c r="L433" s="62" t="str">
        <f>IF(OR(D433="",NOT(G433="轿车")),"",1+SUMPRODUCT(($G$2:$G$1001="轿车")*($D$2:$D$1001&gt;D433))+COUNTIFS($G$2:G433,"轿车",$D$2:D433,D433)-1)</f>
        <v/>
      </c>
      <c r="M433" s="62" t="str">
        <f>IF(OR(D433="",NOT(G433="MPV")),"",1+SUMPRODUCT(($G$2:$G$1001="MPV")*($D$2:$D$1001&gt;D433))+COUNTIFS($G$2:G433,"MPV",$D$2:D433,D433)-1)</f>
        <v/>
      </c>
      <c r="N433" s="62" t="str">
        <f>IF(OR(D433="",NOT(G433="SUV")),"",1+SUMPRODUCT(($G$2:$G$1001="SUV")*($D$2:$D$1001&gt;D433))+COUNTIFS($G$2:G433,"SUV",$D$2:D433,D433)-1)</f>
        <v/>
      </c>
      <c r="O433" s="62" t="str">
        <f>IF(OR(D433="",NOT(AND(F433=1,G433="轿车"))),"",1+SUMPRODUCT(($F$2:$F$1001=1)*($G$2:$G$1001="轿车")*($D$2:$D$1001&gt;D433))+COUNTIFS($F$2:F433,1,$G$2:G433,"轿车",$D$2:D433,D433)-1)</f>
        <v/>
      </c>
      <c r="P433" s="62" t="str">
        <f>IF(OR(D433="",NOT(AND(F433=1,G433="MPV"))),"",1+SUMPRODUCT(($F$2:$F$1001=1)*($G$2:$G$1001="MPV")*($D$2:$D$1001&gt;D433))+COUNTIFS($F$2:F433,1,$G$2:G433,"MPV",$D$2:D433,D433)-1)</f>
        <v/>
      </c>
      <c r="Q433" s="62" t="str">
        <f>IF(OR(D433="",NOT(AND(F433=1,G433="SUV"))),"",1+SUMPRODUCT(($F$2:$F$1001=1)*($G$2:$G$1001="SUV")*($D$2:$D$1001&gt;D433))+COUNTIFS($F$2:F433,1,$G$2:G433,"SUV",$D$2:D433,D433)-1)</f>
        <v/>
      </c>
    </row>
    <row r="434" spans="1:17">
      <c r="A434" s="62" t="str">
        <f>IFERROR(INDEX($H$2:$H$3000,MATCH(0,INDEX(COUNTIF($A$1:A433,$H$2:$H$3000)+($H$2:$H$3000=""),0,0),0)),"")</f>
        <v/>
      </c>
      <c r="B434" s="62" t="str">
        <f t="shared" si="24"/>
        <v/>
      </c>
      <c r="C434" s="62" t="str">
        <f t="shared" si="25"/>
        <v/>
      </c>
      <c r="D434" s="63" t="str">
        <f t="shared" si="26"/>
        <v/>
      </c>
      <c r="E434" s="62" t="str">
        <f>IF(D434="","",_xlfn.RANK.EQ(D434,$D$2:$D$1001,0)+COUNTIF($D$2:D434,D434)-1)</f>
        <v/>
      </c>
      <c r="F434" s="62" t="str">
        <f>IF(B434="","",--(COUNTIF(CN_Brands!$A$2:$A$300,UPPER(B434))&gt;0))</f>
        <v/>
      </c>
      <c r="G434" s="62" t="str">
        <f t="shared" si="27"/>
        <v/>
      </c>
      <c r="H434" s="62" t="str">
        <f>IF(AND('Data Export'!A434=前十整体车型排名!$B$2,'Data Export'!B434=前十整体车型排名!$B$3,'Data Export'!D434&lt;&gt;""),UPPER('Data Export'!C434)&amp;"♦"&amp;'Data Export'!D434,"")</f>
        <v>LOTUS♦EMEYA</v>
      </c>
      <c r="I434" s="63">
        <f>IF(H434="","",IFERROR(INDEX('Data Export'!G434:CZ434,1,MATCH(前十整体车型排名!$B$4,'Data Export'!$G$1:$CZ$1,0)),0))</f>
        <v>0</v>
      </c>
      <c r="J434" s="62" t="str">
        <f>IF(H434="","",IF(OR('Data Export'!F434="三厢轿车",'Data Export'!F434="掀背轿车",'Data Export'!F434="旅行车",'Data Export'!F434="微型车",'Data Export'!F434="硬顶跑车",'Data Export'!F434="敞蓬车",'Data Export'!F434="Targa"),"轿车",IF(OR('Data Export'!F434="小型MPV",'Data Export'!F434="客车"),"MPV",IF('Data Export'!F434="运动型多功能车","SUV","其他"))))</f>
        <v>轿车</v>
      </c>
      <c r="K434" s="62" t="str">
        <f>IF(OR(D434="",NOT(F434=1)),"",1+SUMPRODUCT(($F$2:$F$1001=1)*($D$2:$D$1001&gt;D434))+COUNTIFS($F$2:F434,1,$D$2:D434,D434)-1)</f>
        <v/>
      </c>
      <c r="L434" s="62" t="str">
        <f>IF(OR(D434="",NOT(G434="轿车")),"",1+SUMPRODUCT(($G$2:$G$1001="轿车")*($D$2:$D$1001&gt;D434))+COUNTIFS($G$2:G434,"轿车",$D$2:D434,D434)-1)</f>
        <v/>
      </c>
      <c r="M434" s="62" t="str">
        <f>IF(OR(D434="",NOT(G434="MPV")),"",1+SUMPRODUCT(($G$2:$G$1001="MPV")*($D$2:$D$1001&gt;D434))+COUNTIFS($G$2:G434,"MPV",$D$2:D434,D434)-1)</f>
        <v/>
      </c>
      <c r="N434" s="62" t="str">
        <f>IF(OR(D434="",NOT(G434="SUV")),"",1+SUMPRODUCT(($G$2:$G$1001="SUV")*($D$2:$D$1001&gt;D434))+COUNTIFS($G$2:G434,"SUV",$D$2:D434,D434)-1)</f>
        <v/>
      </c>
      <c r="O434" s="62" t="str">
        <f>IF(OR(D434="",NOT(AND(F434=1,G434="轿车"))),"",1+SUMPRODUCT(($F$2:$F$1001=1)*($G$2:$G$1001="轿车")*($D$2:$D$1001&gt;D434))+COUNTIFS($F$2:F434,1,$G$2:G434,"轿车",$D$2:D434,D434)-1)</f>
        <v/>
      </c>
      <c r="P434" s="62" t="str">
        <f>IF(OR(D434="",NOT(AND(F434=1,G434="MPV"))),"",1+SUMPRODUCT(($F$2:$F$1001=1)*($G$2:$G$1001="MPV")*($D$2:$D$1001&gt;D434))+COUNTIFS($F$2:F434,1,$G$2:G434,"MPV",$D$2:D434,D434)-1)</f>
        <v/>
      </c>
      <c r="Q434" s="62" t="str">
        <f>IF(OR(D434="",NOT(AND(F434=1,G434="SUV"))),"",1+SUMPRODUCT(($F$2:$F$1001=1)*($G$2:$G$1001="SUV")*($D$2:$D$1001&gt;D434))+COUNTIFS($F$2:F434,1,$G$2:G434,"SUV",$D$2:D434,D434)-1)</f>
        <v/>
      </c>
    </row>
    <row r="435" spans="1:17">
      <c r="A435" s="62" t="str">
        <f>IFERROR(INDEX($H$2:$H$3000,MATCH(0,INDEX(COUNTIF($A$1:A434,$H$2:$H$3000)+($H$2:$H$3000=""),0,0),0)),"")</f>
        <v/>
      </c>
      <c r="B435" s="62" t="str">
        <f t="shared" si="24"/>
        <v/>
      </c>
      <c r="C435" s="62" t="str">
        <f t="shared" si="25"/>
        <v/>
      </c>
      <c r="D435" s="63" t="str">
        <f t="shared" si="26"/>
        <v/>
      </c>
      <c r="E435" s="62" t="str">
        <f>IF(D435="","",_xlfn.RANK.EQ(D435,$D$2:$D$1001,0)+COUNTIF($D$2:D435,D435)-1)</f>
        <v/>
      </c>
      <c r="F435" s="62" t="str">
        <f>IF(B435="","",--(COUNTIF(CN_Brands!$A$2:$A$300,UPPER(B435))&gt;0))</f>
        <v/>
      </c>
      <c r="G435" s="62" t="str">
        <f t="shared" si="27"/>
        <v/>
      </c>
      <c r="H435" s="62" t="str">
        <f>IF(AND('Data Export'!A435=前十整体车型排名!$B$2,'Data Export'!B435=前十整体车型排名!$B$3,'Data Export'!D435&lt;&gt;""),UPPER('Data Export'!C435)&amp;"♦"&amp;'Data Export'!D435,"")</f>
        <v>LOTUS♦EMIRA</v>
      </c>
      <c r="I435" s="63">
        <f>IF(H435="","",IFERROR(INDEX('Data Export'!G435:CZ435,1,MATCH(前十整体车型排名!$B$4,'Data Export'!$G$1:$CZ$1,0)),0))</f>
        <v>0</v>
      </c>
      <c r="J435" s="62" t="str">
        <f>IF(H435="","",IF(OR('Data Export'!F435="三厢轿车",'Data Export'!F435="掀背轿车",'Data Export'!F435="旅行车",'Data Export'!F435="微型车",'Data Export'!F435="硬顶跑车",'Data Export'!F435="敞蓬车",'Data Export'!F435="Targa"),"轿车",IF(OR('Data Export'!F435="小型MPV",'Data Export'!F435="客车"),"MPV",IF('Data Export'!F435="运动型多功能车","SUV","其他"))))</f>
        <v>轿车</v>
      </c>
      <c r="K435" s="62" t="str">
        <f>IF(OR(D435="",NOT(F435=1)),"",1+SUMPRODUCT(($F$2:$F$1001=1)*($D$2:$D$1001&gt;D435))+COUNTIFS($F$2:F435,1,$D$2:D435,D435)-1)</f>
        <v/>
      </c>
      <c r="L435" s="62" t="str">
        <f>IF(OR(D435="",NOT(G435="轿车")),"",1+SUMPRODUCT(($G$2:$G$1001="轿车")*($D$2:$D$1001&gt;D435))+COUNTIFS($G$2:G435,"轿车",$D$2:D435,D435)-1)</f>
        <v/>
      </c>
      <c r="M435" s="62" t="str">
        <f>IF(OR(D435="",NOT(G435="MPV")),"",1+SUMPRODUCT(($G$2:$G$1001="MPV")*($D$2:$D$1001&gt;D435))+COUNTIFS($G$2:G435,"MPV",$D$2:D435,D435)-1)</f>
        <v/>
      </c>
      <c r="N435" s="62" t="str">
        <f>IF(OR(D435="",NOT(G435="SUV")),"",1+SUMPRODUCT(($G$2:$G$1001="SUV")*($D$2:$D$1001&gt;D435))+COUNTIFS($G$2:G435,"SUV",$D$2:D435,D435)-1)</f>
        <v/>
      </c>
      <c r="O435" s="62" t="str">
        <f>IF(OR(D435="",NOT(AND(F435=1,G435="轿车"))),"",1+SUMPRODUCT(($F$2:$F$1001=1)*($G$2:$G$1001="轿车")*($D$2:$D$1001&gt;D435))+COUNTIFS($F$2:F435,1,$G$2:G435,"轿车",$D$2:D435,D435)-1)</f>
        <v/>
      </c>
      <c r="P435" s="62" t="str">
        <f>IF(OR(D435="",NOT(AND(F435=1,G435="MPV"))),"",1+SUMPRODUCT(($F$2:$F$1001=1)*($G$2:$G$1001="MPV")*($D$2:$D$1001&gt;D435))+COUNTIFS($F$2:F435,1,$G$2:G435,"MPV",$D$2:D435,D435)-1)</f>
        <v/>
      </c>
      <c r="Q435" s="62" t="str">
        <f>IF(OR(D435="",NOT(AND(F435=1,G435="SUV"))),"",1+SUMPRODUCT(($F$2:$F$1001=1)*($G$2:$G$1001="SUV")*($D$2:$D$1001&gt;D435))+COUNTIFS($F$2:F435,1,$G$2:G435,"SUV",$D$2:D435,D435)-1)</f>
        <v/>
      </c>
    </row>
    <row r="436" spans="1:17">
      <c r="A436" s="62" t="str">
        <f>IFERROR(INDEX($H$2:$H$3000,MATCH(0,INDEX(COUNTIF($A$1:A435,$H$2:$H$3000)+($H$2:$H$3000=""),0,0),0)),"")</f>
        <v/>
      </c>
      <c r="B436" s="62" t="str">
        <f t="shared" si="24"/>
        <v/>
      </c>
      <c r="C436" s="62" t="str">
        <f t="shared" si="25"/>
        <v/>
      </c>
      <c r="D436" s="63" t="str">
        <f t="shared" si="26"/>
        <v/>
      </c>
      <c r="E436" s="62" t="str">
        <f>IF(D436="","",_xlfn.RANK.EQ(D436,$D$2:$D$1001,0)+COUNTIF($D$2:D436,D436)-1)</f>
        <v/>
      </c>
      <c r="F436" s="62" t="str">
        <f>IF(B436="","",--(COUNTIF(CN_Brands!$A$2:$A$300,UPPER(B436))&gt;0))</f>
        <v/>
      </c>
      <c r="G436" s="62" t="str">
        <f t="shared" si="27"/>
        <v/>
      </c>
      <c r="H436" s="62" t="str">
        <f>IF(AND('Data Export'!A436=前十整体车型排名!$B$2,'Data Export'!B436=前十整体车型排名!$B$3,'Data Export'!D436&lt;&gt;""),UPPER('Data Export'!C436)&amp;"♦"&amp;'Data Export'!D436,"")</f>
        <v>MARUTI SUZUKI♦JIMNY</v>
      </c>
      <c r="I436" s="63">
        <f>IF(H436="","",IFERROR(INDEX('Data Export'!G436:CZ436,1,MATCH(前十整体车型排名!$B$4,'Data Export'!$G$1:$CZ$1,0)),0))</f>
        <v>1</v>
      </c>
      <c r="J436" s="62" t="str">
        <f>IF(H436="","",IF(OR('Data Export'!F436="三厢轿车",'Data Export'!F436="掀背轿车",'Data Export'!F436="旅行车",'Data Export'!F436="微型车",'Data Export'!F436="硬顶跑车",'Data Export'!F436="敞蓬车",'Data Export'!F436="Targa"),"轿车",IF(OR('Data Export'!F436="小型MPV",'Data Export'!F436="客车"),"MPV",IF('Data Export'!F436="运动型多功能车","SUV","其他"))))</f>
        <v>其他</v>
      </c>
      <c r="K436" s="62" t="str">
        <f>IF(OR(D436="",NOT(F436=1)),"",1+SUMPRODUCT(($F$2:$F$1001=1)*($D$2:$D$1001&gt;D436))+COUNTIFS($F$2:F436,1,$D$2:D436,D436)-1)</f>
        <v/>
      </c>
      <c r="L436" s="62" t="str">
        <f>IF(OR(D436="",NOT(G436="轿车")),"",1+SUMPRODUCT(($G$2:$G$1001="轿车")*($D$2:$D$1001&gt;D436))+COUNTIFS($G$2:G436,"轿车",$D$2:D436,D436)-1)</f>
        <v/>
      </c>
      <c r="M436" s="62" t="str">
        <f>IF(OR(D436="",NOT(G436="MPV")),"",1+SUMPRODUCT(($G$2:$G$1001="MPV")*($D$2:$D$1001&gt;D436))+COUNTIFS($G$2:G436,"MPV",$D$2:D436,D436)-1)</f>
        <v/>
      </c>
      <c r="N436" s="62" t="str">
        <f>IF(OR(D436="",NOT(G436="SUV")),"",1+SUMPRODUCT(($G$2:$G$1001="SUV")*($D$2:$D$1001&gt;D436))+COUNTIFS($G$2:G436,"SUV",$D$2:D436,D436)-1)</f>
        <v/>
      </c>
      <c r="O436" s="62" t="str">
        <f>IF(OR(D436="",NOT(AND(F436=1,G436="轿车"))),"",1+SUMPRODUCT(($F$2:$F$1001=1)*($G$2:$G$1001="轿车")*($D$2:$D$1001&gt;D436))+COUNTIFS($F$2:F436,1,$G$2:G436,"轿车",$D$2:D436,D436)-1)</f>
        <v/>
      </c>
      <c r="P436" s="62" t="str">
        <f>IF(OR(D436="",NOT(AND(F436=1,G436="MPV"))),"",1+SUMPRODUCT(($F$2:$F$1001=1)*($G$2:$G$1001="MPV")*($D$2:$D$1001&gt;D436))+COUNTIFS($F$2:F436,1,$G$2:G436,"MPV",$D$2:D436,D436)-1)</f>
        <v/>
      </c>
      <c r="Q436" s="62" t="str">
        <f>IF(OR(D436="",NOT(AND(F436=1,G436="SUV"))),"",1+SUMPRODUCT(($F$2:$F$1001=1)*($G$2:$G$1001="SUV")*($D$2:$D$1001&gt;D436))+COUNTIFS($F$2:F436,1,$G$2:G436,"SUV",$D$2:D436,D436)-1)</f>
        <v/>
      </c>
    </row>
    <row r="437" spans="1:17">
      <c r="A437" s="62" t="str">
        <f>IFERROR(INDEX($H$2:$H$3000,MATCH(0,INDEX(COUNTIF($A$1:A436,$H$2:$H$3000)+($H$2:$H$3000=""),0,0),0)),"")</f>
        <v/>
      </c>
      <c r="B437" s="62" t="str">
        <f t="shared" si="24"/>
        <v/>
      </c>
      <c r="C437" s="62" t="str">
        <f t="shared" si="25"/>
        <v/>
      </c>
      <c r="D437" s="63" t="str">
        <f t="shared" si="26"/>
        <v/>
      </c>
      <c r="E437" s="62" t="str">
        <f>IF(D437="","",_xlfn.RANK.EQ(D437,$D$2:$D$1001,0)+COUNTIF($D$2:D437,D437)-1)</f>
        <v/>
      </c>
      <c r="F437" s="62" t="str">
        <f>IF(B437="","",--(COUNTIF(CN_Brands!$A$2:$A$300,UPPER(B437))&gt;0))</f>
        <v/>
      </c>
      <c r="G437" s="62" t="str">
        <f t="shared" si="27"/>
        <v/>
      </c>
      <c r="H437" s="62" t="str">
        <f>IF(AND('Data Export'!A437=前十整体车型排名!$B$2,'Data Export'!B437=前十整体车型排名!$B$3,'Data Export'!D437&lt;&gt;""),UPPER('Data Export'!C437)&amp;"♦"&amp;'Data Export'!D437,"")</f>
        <v>MASERATI♦GHIBLI</v>
      </c>
      <c r="I437" s="63">
        <f>IF(H437="","",IFERROR(INDEX('Data Export'!G437:CZ437,1,MATCH(前十整体车型排名!$B$4,'Data Export'!$G$1:$CZ$1,0)),0))</f>
        <v>0</v>
      </c>
      <c r="J437" s="62" t="str">
        <f>IF(H437="","",IF(OR('Data Export'!F437="三厢轿车",'Data Export'!F437="掀背轿车",'Data Export'!F437="旅行车",'Data Export'!F437="微型车",'Data Export'!F437="硬顶跑车",'Data Export'!F437="敞蓬车",'Data Export'!F437="Targa"),"轿车",IF(OR('Data Export'!F437="小型MPV",'Data Export'!F437="客车"),"MPV",IF('Data Export'!F437="运动型多功能车","SUV","其他"))))</f>
        <v>轿车</v>
      </c>
      <c r="K437" s="62" t="str">
        <f>IF(OR(D437="",NOT(F437=1)),"",1+SUMPRODUCT(($F$2:$F$1001=1)*($D$2:$D$1001&gt;D437))+COUNTIFS($F$2:F437,1,$D$2:D437,D437)-1)</f>
        <v/>
      </c>
      <c r="L437" s="62" t="str">
        <f>IF(OR(D437="",NOT(G437="轿车")),"",1+SUMPRODUCT(($G$2:$G$1001="轿车")*($D$2:$D$1001&gt;D437))+COUNTIFS($G$2:G437,"轿车",$D$2:D437,D437)-1)</f>
        <v/>
      </c>
      <c r="M437" s="62" t="str">
        <f>IF(OR(D437="",NOT(G437="MPV")),"",1+SUMPRODUCT(($G$2:$G$1001="MPV")*($D$2:$D$1001&gt;D437))+COUNTIFS($G$2:G437,"MPV",$D$2:D437,D437)-1)</f>
        <v/>
      </c>
      <c r="N437" s="62" t="str">
        <f>IF(OR(D437="",NOT(G437="SUV")),"",1+SUMPRODUCT(($G$2:$G$1001="SUV")*($D$2:$D$1001&gt;D437))+COUNTIFS($G$2:G437,"SUV",$D$2:D437,D437)-1)</f>
        <v/>
      </c>
      <c r="O437" s="62" t="str">
        <f>IF(OR(D437="",NOT(AND(F437=1,G437="轿车"))),"",1+SUMPRODUCT(($F$2:$F$1001=1)*($G$2:$G$1001="轿车")*($D$2:$D$1001&gt;D437))+COUNTIFS($F$2:F437,1,$G$2:G437,"轿车",$D$2:D437,D437)-1)</f>
        <v/>
      </c>
      <c r="P437" s="62" t="str">
        <f>IF(OR(D437="",NOT(AND(F437=1,G437="MPV"))),"",1+SUMPRODUCT(($F$2:$F$1001=1)*($G$2:$G$1001="MPV")*($D$2:$D$1001&gt;D437))+COUNTIFS($F$2:F437,1,$G$2:G437,"MPV",$D$2:D437,D437)-1)</f>
        <v/>
      </c>
      <c r="Q437" s="62" t="str">
        <f>IF(OR(D437="",NOT(AND(F437=1,G437="SUV"))),"",1+SUMPRODUCT(($F$2:$F$1001=1)*($G$2:$G$1001="SUV")*($D$2:$D$1001&gt;D437))+COUNTIFS($F$2:F437,1,$G$2:G437,"SUV",$D$2:D437,D437)-1)</f>
        <v/>
      </c>
    </row>
    <row r="438" spans="1:17">
      <c r="A438" s="62" t="str">
        <f>IFERROR(INDEX($H$2:$H$3000,MATCH(0,INDEX(COUNTIF($A$1:A437,$H$2:$H$3000)+($H$2:$H$3000=""),0,0),0)),"")</f>
        <v/>
      </c>
      <c r="B438" s="62" t="str">
        <f t="shared" si="24"/>
        <v/>
      </c>
      <c r="C438" s="62" t="str">
        <f t="shared" si="25"/>
        <v/>
      </c>
      <c r="D438" s="63" t="str">
        <f t="shared" si="26"/>
        <v/>
      </c>
      <c r="E438" s="62" t="str">
        <f>IF(D438="","",_xlfn.RANK.EQ(D438,$D$2:$D$1001,0)+COUNTIF($D$2:D438,D438)-1)</f>
        <v/>
      </c>
      <c r="F438" s="62" t="str">
        <f>IF(B438="","",--(COUNTIF(CN_Brands!$A$2:$A$300,UPPER(B438))&gt;0))</f>
        <v/>
      </c>
      <c r="G438" s="62" t="str">
        <f t="shared" si="27"/>
        <v/>
      </c>
      <c r="H438" s="62" t="str">
        <f>IF(AND('Data Export'!A438=前十整体车型排名!$B$2,'Data Export'!B438=前十整体车型排名!$B$3,'Data Export'!D438&lt;&gt;""),UPPER('Data Export'!C438)&amp;"♦"&amp;'Data Export'!D438,"")</f>
        <v>MASERATI♦GRANTURISMO</v>
      </c>
      <c r="I438" s="63">
        <f>IF(H438="","",IFERROR(INDEX('Data Export'!G438:CZ438,1,MATCH(前十整体车型排名!$B$4,'Data Export'!$G$1:$CZ$1,0)),0))</f>
        <v>0</v>
      </c>
      <c r="J438" s="62" t="str">
        <f>IF(H438="","",IF(OR('Data Export'!F438="三厢轿车",'Data Export'!F438="掀背轿车",'Data Export'!F438="旅行车",'Data Export'!F438="微型车",'Data Export'!F438="硬顶跑车",'Data Export'!F438="敞蓬车",'Data Export'!F438="Targa"),"轿车",IF(OR('Data Export'!F438="小型MPV",'Data Export'!F438="客车"),"MPV",IF('Data Export'!F438="运动型多功能车","SUV","其他"))))</f>
        <v>轿车</v>
      </c>
      <c r="K438" s="62" t="str">
        <f>IF(OR(D438="",NOT(F438=1)),"",1+SUMPRODUCT(($F$2:$F$1001=1)*($D$2:$D$1001&gt;D438))+COUNTIFS($F$2:F438,1,$D$2:D438,D438)-1)</f>
        <v/>
      </c>
      <c r="L438" s="62" t="str">
        <f>IF(OR(D438="",NOT(G438="轿车")),"",1+SUMPRODUCT(($G$2:$G$1001="轿车")*($D$2:$D$1001&gt;D438))+COUNTIFS($G$2:G438,"轿车",$D$2:D438,D438)-1)</f>
        <v/>
      </c>
      <c r="M438" s="62" t="str">
        <f>IF(OR(D438="",NOT(G438="MPV")),"",1+SUMPRODUCT(($G$2:$G$1001="MPV")*($D$2:$D$1001&gt;D438))+COUNTIFS($G$2:G438,"MPV",$D$2:D438,D438)-1)</f>
        <v/>
      </c>
      <c r="N438" s="62" t="str">
        <f>IF(OR(D438="",NOT(G438="SUV")),"",1+SUMPRODUCT(($G$2:$G$1001="SUV")*($D$2:$D$1001&gt;D438))+COUNTIFS($G$2:G438,"SUV",$D$2:D438,D438)-1)</f>
        <v/>
      </c>
      <c r="O438" s="62" t="str">
        <f>IF(OR(D438="",NOT(AND(F438=1,G438="轿车"))),"",1+SUMPRODUCT(($F$2:$F$1001=1)*($G$2:$G$1001="轿车")*($D$2:$D$1001&gt;D438))+COUNTIFS($F$2:F438,1,$G$2:G438,"轿车",$D$2:D438,D438)-1)</f>
        <v/>
      </c>
      <c r="P438" s="62" t="str">
        <f>IF(OR(D438="",NOT(AND(F438=1,G438="MPV"))),"",1+SUMPRODUCT(($F$2:$F$1001=1)*($G$2:$G$1001="MPV")*($D$2:$D$1001&gt;D438))+COUNTIFS($F$2:F438,1,$G$2:G438,"MPV",$D$2:D438,D438)-1)</f>
        <v/>
      </c>
      <c r="Q438" s="62" t="str">
        <f>IF(OR(D438="",NOT(AND(F438=1,G438="SUV"))),"",1+SUMPRODUCT(($F$2:$F$1001=1)*($G$2:$G$1001="SUV")*($D$2:$D$1001&gt;D438))+COUNTIFS($F$2:F438,1,$G$2:G438,"SUV",$D$2:D438,D438)-1)</f>
        <v/>
      </c>
    </row>
    <row r="439" spans="1:17">
      <c r="A439" s="62" t="str">
        <f>IFERROR(INDEX($H$2:$H$3000,MATCH(0,INDEX(COUNTIF($A$1:A438,$H$2:$H$3000)+($H$2:$H$3000=""),0,0),0)),"")</f>
        <v/>
      </c>
      <c r="B439" s="62" t="str">
        <f t="shared" si="24"/>
        <v/>
      </c>
      <c r="C439" s="62" t="str">
        <f t="shared" si="25"/>
        <v/>
      </c>
      <c r="D439" s="63" t="str">
        <f t="shared" si="26"/>
        <v/>
      </c>
      <c r="E439" s="62" t="str">
        <f>IF(D439="","",_xlfn.RANK.EQ(D439,$D$2:$D$1001,0)+COUNTIF($D$2:D439,D439)-1)</f>
        <v/>
      </c>
      <c r="F439" s="62" t="str">
        <f>IF(B439="","",--(COUNTIF(CN_Brands!$A$2:$A$300,UPPER(B439))&gt;0))</f>
        <v/>
      </c>
      <c r="G439" s="62" t="str">
        <f t="shared" si="27"/>
        <v/>
      </c>
      <c r="H439" s="62" t="str">
        <f>IF(AND('Data Export'!A439=前十整体车型排名!$B$2,'Data Export'!B439=前十整体车型排名!$B$3,'Data Export'!D439&lt;&gt;""),UPPER('Data Export'!C439)&amp;"♦"&amp;'Data Export'!D439,"")</f>
        <v>MASERATI♦GRANTURISMO</v>
      </c>
      <c r="I439" s="63">
        <f>IF(H439="","",IFERROR(INDEX('Data Export'!G439:CZ439,1,MATCH(前十整体车型排名!$B$4,'Data Export'!$G$1:$CZ$1,0)),0))</f>
        <v>0</v>
      </c>
      <c r="J439" s="62" t="str">
        <f>IF(H439="","",IF(OR('Data Export'!F439="三厢轿车",'Data Export'!F439="掀背轿车",'Data Export'!F439="旅行车",'Data Export'!F439="微型车",'Data Export'!F439="硬顶跑车",'Data Export'!F439="敞蓬车",'Data Export'!F439="Targa"),"轿车",IF(OR('Data Export'!F439="小型MPV",'Data Export'!F439="客车"),"MPV",IF('Data Export'!F439="运动型多功能车","SUV","其他"))))</f>
        <v>轿车</v>
      </c>
      <c r="K439" s="62" t="str">
        <f>IF(OR(D439="",NOT(F439=1)),"",1+SUMPRODUCT(($F$2:$F$1001=1)*($D$2:$D$1001&gt;D439))+COUNTIFS($F$2:F439,1,$D$2:D439,D439)-1)</f>
        <v/>
      </c>
      <c r="L439" s="62" t="str">
        <f>IF(OR(D439="",NOT(G439="轿车")),"",1+SUMPRODUCT(($G$2:$G$1001="轿车")*($D$2:$D$1001&gt;D439))+COUNTIFS($G$2:G439,"轿车",$D$2:D439,D439)-1)</f>
        <v/>
      </c>
      <c r="M439" s="62" t="str">
        <f>IF(OR(D439="",NOT(G439="MPV")),"",1+SUMPRODUCT(($G$2:$G$1001="MPV")*($D$2:$D$1001&gt;D439))+COUNTIFS($G$2:G439,"MPV",$D$2:D439,D439)-1)</f>
        <v/>
      </c>
      <c r="N439" s="62" t="str">
        <f>IF(OR(D439="",NOT(G439="SUV")),"",1+SUMPRODUCT(($G$2:$G$1001="SUV")*($D$2:$D$1001&gt;D439))+COUNTIFS($G$2:G439,"SUV",$D$2:D439,D439)-1)</f>
        <v/>
      </c>
      <c r="O439" s="62" t="str">
        <f>IF(OR(D439="",NOT(AND(F439=1,G439="轿车"))),"",1+SUMPRODUCT(($F$2:$F$1001=1)*($G$2:$G$1001="轿车")*($D$2:$D$1001&gt;D439))+COUNTIFS($F$2:F439,1,$G$2:G439,"轿车",$D$2:D439,D439)-1)</f>
        <v/>
      </c>
      <c r="P439" s="62" t="str">
        <f>IF(OR(D439="",NOT(AND(F439=1,G439="MPV"))),"",1+SUMPRODUCT(($F$2:$F$1001=1)*($G$2:$G$1001="MPV")*($D$2:$D$1001&gt;D439))+COUNTIFS($F$2:F439,1,$G$2:G439,"MPV",$D$2:D439,D439)-1)</f>
        <v/>
      </c>
      <c r="Q439" s="62" t="str">
        <f>IF(OR(D439="",NOT(AND(F439=1,G439="SUV"))),"",1+SUMPRODUCT(($F$2:$F$1001=1)*($G$2:$G$1001="SUV")*($D$2:$D$1001&gt;D439))+COUNTIFS($F$2:F439,1,$G$2:G439,"SUV",$D$2:D439,D439)-1)</f>
        <v/>
      </c>
    </row>
    <row r="440" spans="1:17">
      <c r="A440" s="62" t="str">
        <f>IFERROR(INDEX($H$2:$H$3000,MATCH(0,INDEX(COUNTIF($A$1:A439,$H$2:$H$3000)+($H$2:$H$3000=""),0,0),0)),"")</f>
        <v/>
      </c>
      <c r="B440" s="62" t="str">
        <f t="shared" si="24"/>
        <v/>
      </c>
      <c r="C440" s="62" t="str">
        <f t="shared" si="25"/>
        <v/>
      </c>
      <c r="D440" s="63" t="str">
        <f t="shared" si="26"/>
        <v/>
      </c>
      <c r="E440" s="62" t="str">
        <f>IF(D440="","",_xlfn.RANK.EQ(D440,$D$2:$D$1001,0)+COUNTIF($D$2:D440,D440)-1)</f>
        <v/>
      </c>
      <c r="F440" s="62" t="str">
        <f>IF(B440="","",--(COUNTIF(CN_Brands!$A$2:$A$300,UPPER(B440))&gt;0))</f>
        <v/>
      </c>
      <c r="G440" s="62" t="str">
        <f t="shared" si="27"/>
        <v/>
      </c>
      <c r="H440" s="62" t="str">
        <f>IF(AND('Data Export'!A440=前十整体车型排名!$B$2,'Data Export'!B440=前十整体车型排名!$B$3,'Data Export'!D440&lt;&gt;""),UPPER('Data Export'!C440)&amp;"♦"&amp;'Data Export'!D440,"")</f>
        <v>MASERATI♦GRANTURISMO</v>
      </c>
      <c r="I440" s="63">
        <f>IF(H440="","",IFERROR(INDEX('Data Export'!G440:CZ440,1,MATCH(前十整体车型排名!$B$4,'Data Export'!$G$1:$CZ$1,0)),0))</f>
        <v>3</v>
      </c>
      <c r="J440" s="62" t="str">
        <f>IF(H440="","",IF(OR('Data Export'!F440="三厢轿车",'Data Export'!F440="掀背轿车",'Data Export'!F440="旅行车",'Data Export'!F440="微型车",'Data Export'!F440="硬顶跑车",'Data Export'!F440="敞蓬车",'Data Export'!F440="Targa"),"轿车",IF(OR('Data Export'!F440="小型MPV",'Data Export'!F440="客车"),"MPV",IF('Data Export'!F440="运动型多功能车","SUV","其他"))))</f>
        <v>轿车</v>
      </c>
      <c r="K440" s="62" t="str">
        <f>IF(OR(D440="",NOT(F440=1)),"",1+SUMPRODUCT(($F$2:$F$1001=1)*($D$2:$D$1001&gt;D440))+COUNTIFS($F$2:F440,1,$D$2:D440,D440)-1)</f>
        <v/>
      </c>
      <c r="L440" s="62" t="str">
        <f>IF(OR(D440="",NOT(G440="轿车")),"",1+SUMPRODUCT(($G$2:$G$1001="轿车")*($D$2:$D$1001&gt;D440))+COUNTIFS($G$2:G440,"轿车",$D$2:D440,D440)-1)</f>
        <v/>
      </c>
      <c r="M440" s="62" t="str">
        <f>IF(OR(D440="",NOT(G440="MPV")),"",1+SUMPRODUCT(($G$2:$G$1001="MPV")*($D$2:$D$1001&gt;D440))+COUNTIFS($G$2:G440,"MPV",$D$2:D440,D440)-1)</f>
        <v/>
      </c>
      <c r="N440" s="62" t="str">
        <f>IF(OR(D440="",NOT(G440="SUV")),"",1+SUMPRODUCT(($G$2:$G$1001="SUV")*($D$2:$D$1001&gt;D440))+COUNTIFS($G$2:G440,"SUV",$D$2:D440,D440)-1)</f>
        <v/>
      </c>
      <c r="O440" s="62" t="str">
        <f>IF(OR(D440="",NOT(AND(F440=1,G440="轿车"))),"",1+SUMPRODUCT(($F$2:$F$1001=1)*($G$2:$G$1001="轿车")*($D$2:$D$1001&gt;D440))+COUNTIFS($F$2:F440,1,$G$2:G440,"轿车",$D$2:D440,D440)-1)</f>
        <v/>
      </c>
      <c r="P440" s="62" t="str">
        <f>IF(OR(D440="",NOT(AND(F440=1,G440="MPV"))),"",1+SUMPRODUCT(($F$2:$F$1001=1)*($G$2:$G$1001="MPV")*($D$2:$D$1001&gt;D440))+COUNTIFS($F$2:F440,1,$G$2:G440,"MPV",$D$2:D440,D440)-1)</f>
        <v/>
      </c>
      <c r="Q440" s="62" t="str">
        <f>IF(OR(D440="",NOT(AND(F440=1,G440="SUV"))),"",1+SUMPRODUCT(($F$2:$F$1001=1)*($G$2:$G$1001="SUV")*($D$2:$D$1001&gt;D440))+COUNTIFS($F$2:F440,1,$G$2:G440,"SUV",$D$2:D440,D440)-1)</f>
        <v/>
      </c>
    </row>
    <row r="441" spans="1:17">
      <c r="A441" s="62" t="str">
        <f>IFERROR(INDEX($H$2:$H$3000,MATCH(0,INDEX(COUNTIF($A$1:A440,$H$2:$H$3000)+($H$2:$H$3000=""),0,0),0)),"")</f>
        <v/>
      </c>
      <c r="B441" s="62" t="str">
        <f t="shared" si="24"/>
        <v/>
      </c>
      <c r="C441" s="62" t="str">
        <f t="shared" si="25"/>
        <v/>
      </c>
      <c r="D441" s="63" t="str">
        <f t="shared" si="26"/>
        <v/>
      </c>
      <c r="E441" s="62" t="str">
        <f>IF(D441="","",_xlfn.RANK.EQ(D441,$D$2:$D$1001,0)+COUNTIF($D$2:D441,D441)-1)</f>
        <v/>
      </c>
      <c r="F441" s="62" t="str">
        <f>IF(B441="","",--(COUNTIF(CN_Brands!$A$2:$A$300,UPPER(B441))&gt;0))</f>
        <v/>
      </c>
      <c r="G441" s="62" t="str">
        <f t="shared" si="27"/>
        <v/>
      </c>
      <c r="H441" s="62" t="str">
        <f>IF(AND('Data Export'!A441=前十整体车型排名!$B$2,'Data Export'!B441=前十整体车型排名!$B$3,'Data Export'!D441&lt;&gt;""),UPPER('Data Export'!C441)&amp;"♦"&amp;'Data Export'!D441,"")</f>
        <v>MASERATI♦GRECALE</v>
      </c>
      <c r="I441" s="63">
        <f>IF(H441="","",IFERROR(INDEX('Data Export'!G441:CZ441,1,MATCH(前十整体车型排名!$B$4,'Data Export'!$G$1:$CZ$1,0)),0))</f>
        <v>1</v>
      </c>
      <c r="J441" s="62" t="str">
        <f>IF(H441="","",IF(OR('Data Export'!F441="三厢轿车",'Data Export'!F441="掀背轿车",'Data Export'!F441="旅行车",'Data Export'!F441="微型车",'Data Export'!F441="硬顶跑车",'Data Export'!F441="敞蓬车",'Data Export'!F441="Targa"),"轿车",IF(OR('Data Export'!F441="小型MPV",'Data Export'!F441="客车"),"MPV",IF('Data Export'!F441="运动型多功能车","SUV","其他"))))</f>
        <v>SUV</v>
      </c>
      <c r="K441" s="62" t="str">
        <f>IF(OR(D441="",NOT(F441=1)),"",1+SUMPRODUCT(($F$2:$F$1001=1)*($D$2:$D$1001&gt;D441))+COUNTIFS($F$2:F441,1,$D$2:D441,D441)-1)</f>
        <v/>
      </c>
      <c r="L441" s="62" t="str">
        <f>IF(OR(D441="",NOT(G441="轿车")),"",1+SUMPRODUCT(($G$2:$G$1001="轿车")*($D$2:$D$1001&gt;D441))+COUNTIFS($G$2:G441,"轿车",$D$2:D441,D441)-1)</f>
        <v/>
      </c>
      <c r="M441" s="62" t="str">
        <f>IF(OR(D441="",NOT(G441="MPV")),"",1+SUMPRODUCT(($G$2:$G$1001="MPV")*($D$2:$D$1001&gt;D441))+COUNTIFS($G$2:G441,"MPV",$D$2:D441,D441)-1)</f>
        <v/>
      </c>
      <c r="N441" s="62" t="str">
        <f>IF(OR(D441="",NOT(G441="SUV")),"",1+SUMPRODUCT(($G$2:$G$1001="SUV")*($D$2:$D$1001&gt;D441))+COUNTIFS($G$2:G441,"SUV",$D$2:D441,D441)-1)</f>
        <v/>
      </c>
      <c r="O441" s="62" t="str">
        <f>IF(OR(D441="",NOT(AND(F441=1,G441="轿车"))),"",1+SUMPRODUCT(($F$2:$F$1001=1)*($G$2:$G$1001="轿车")*($D$2:$D$1001&gt;D441))+COUNTIFS($F$2:F441,1,$G$2:G441,"轿车",$D$2:D441,D441)-1)</f>
        <v/>
      </c>
      <c r="P441" s="62" t="str">
        <f>IF(OR(D441="",NOT(AND(F441=1,G441="MPV"))),"",1+SUMPRODUCT(($F$2:$F$1001=1)*($G$2:$G$1001="MPV")*($D$2:$D$1001&gt;D441))+COUNTIFS($F$2:F441,1,$G$2:G441,"MPV",$D$2:D441,D441)-1)</f>
        <v/>
      </c>
      <c r="Q441" s="62" t="str">
        <f>IF(OR(D441="",NOT(AND(F441=1,G441="SUV"))),"",1+SUMPRODUCT(($F$2:$F$1001=1)*($G$2:$G$1001="SUV")*($D$2:$D$1001&gt;D441))+COUNTIFS($F$2:F441,1,$G$2:G441,"SUV",$D$2:D441,D441)-1)</f>
        <v/>
      </c>
    </row>
    <row r="442" spans="1:17">
      <c r="A442" s="62" t="str">
        <f>IFERROR(INDEX($H$2:$H$3000,MATCH(0,INDEX(COUNTIF($A$1:A441,$H$2:$H$3000)+($H$2:$H$3000=""),0,0),0)),"")</f>
        <v/>
      </c>
      <c r="B442" s="62" t="str">
        <f t="shared" si="24"/>
        <v/>
      </c>
      <c r="C442" s="62" t="str">
        <f t="shared" si="25"/>
        <v/>
      </c>
      <c r="D442" s="63" t="str">
        <f t="shared" si="26"/>
        <v/>
      </c>
      <c r="E442" s="62" t="str">
        <f>IF(D442="","",_xlfn.RANK.EQ(D442,$D$2:$D$1001,0)+COUNTIF($D$2:D442,D442)-1)</f>
        <v/>
      </c>
      <c r="F442" s="62" t="str">
        <f>IF(B442="","",--(COUNTIF(CN_Brands!$A$2:$A$300,UPPER(B442))&gt;0))</f>
        <v/>
      </c>
      <c r="G442" s="62" t="str">
        <f t="shared" si="27"/>
        <v/>
      </c>
      <c r="H442" s="62" t="str">
        <f>IF(AND('Data Export'!A442=前十整体车型排名!$B$2,'Data Export'!B442=前十整体车型排名!$B$3,'Data Export'!D442&lt;&gt;""),UPPER('Data Export'!C442)&amp;"♦"&amp;'Data Export'!D442,"")</f>
        <v>MASERATI♦GRECALE</v>
      </c>
      <c r="I442" s="63">
        <f>IF(H442="","",IFERROR(INDEX('Data Export'!G442:CZ442,1,MATCH(前十整体车型排名!$B$4,'Data Export'!$G$1:$CZ$1,0)),0))</f>
        <v>1</v>
      </c>
      <c r="J442" s="62" t="str">
        <f>IF(H442="","",IF(OR('Data Export'!F442="三厢轿车",'Data Export'!F442="掀背轿车",'Data Export'!F442="旅行车",'Data Export'!F442="微型车",'Data Export'!F442="硬顶跑车",'Data Export'!F442="敞蓬车",'Data Export'!F442="Targa"),"轿车",IF(OR('Data Export'!F442="小型MPV",'Data Export'!F442="客车"),"MPV",IF('Data Export'!F442="运动型多功能车","SUV","其他"))))</f>
        <v>SUV</v>
      </c>
      <c r="K442" s="62" t="str">
        <f>IF(OR(D442="",NOT(F442=1)),"",1+SUMPRODUCT(($F$2:$F$1001=1)*($D$2:$D$1001&gt;D442))+COUNTIFS($F$2:F442,1,$D$2:D442,D442)-1)</f>
        <v/>
      </c>
      <c r="L442" s="62" t="str">
        <f>IF(OR(D442="",NOT(G442="轿车")),"",1+SUMPRODUCT(($G$2:$G$1001="轿车")*($D$2:$D$1001&gt;D442))+COUNTIFS($G$2:G442,"轿车",$D$2:D442,D442)-1)</f>
        <v/>
      </c>
      <c r="M442" s="62" t="str">
        <f>IF(OR(D442="",NOT(G442="MPV")),"",1+SUMPRODUCT(($G$2:$G$1001="MPV")*($D$2:$D$1001&gt;D442))+COUNTIFS($G$2:G442,"MPV",$D$2:D442,D442)-1)</f>
        <v/>
      </c>
      <c r="N442" s="62" t="str">
        <f>IF(OR(D442="",NOT(G442="SUV")),"",1+SUMPRODUCT(($G$2:$G$1001="SUV")*($D$2:$D$1001&gt;D442))+COUNTIFS($G$2:G442,"SUV",$D$2:D442,D442)-1)</f>
        <v/>
      </c>
      <c r="O442" s="62" t="str">
        <f>IF(OR(D442="",NOT(AND(F442=1,G442="轿车"))),"",1+SUMPRODUCT(($F$2:$F$1001=1)*($G$2:$G$1001="轿车")*($D$2:$D$1001&gt;D442))+COUNTIFS($F$2:F442,1,$G$2:G442,"轿车",$D$2:D442,D442)-1)</f>
        <v/>
      </c>
      <c r="P442" s="62" t="str">
        <f>IF(OR(D442="",NOT(AND(F442=1,G442="MPV"))),"",1+SUMPRODUCT(($F$2:$F$1001=1)*($G$2:$G$1001="MPV")*($D$2:$D$1001&gt;D442))+COUNTIFS($F$2:F442,1,$G$2:G442,"MPV",$D$2:D442,D442)-1)</f>
        <v/>
      </c>
      <c r="Q442" s="62" t="str">
        <f>IF(OR(D442="",NOT(AND(F442=1,G442="SUV"))),"",1+SUMPRODUCT(($F$2:$F$1001=1)*($G$2:$G$1001="SUV")*($D$2:$D$1001&gt;D442))+COUNTIFS($F$2:F442,1,$G$2:G442,"SUV",$D$2:D442,D442)-1)</f>
        <v/>
      </c>
    </row>
    <row r="443" spans="1:17">
      <c r="A443" s="62" t="str">
        <f>IFERROR(INDEX($H$2:$H$3000,MATCH(0,INDEX(COUNTIF($A$1:A442,$H$2:$H$3000)+($H$2:$H$3000=""),0,0),0)),"")</f>
        <v/>
      </c>
      <c r="B443" s="62" t="str">
        <f t="shared" si="24"/>
        <v/>
      </c>
      <c r="C443" s="62" t="str">
        <f t="shared" si="25"/>
        <v/>
      </c>
      <c r="D443" s="63" t="str">
        <f t="shared" si="26"/>
        <v/>
      </c>
      <c r="E443" s="62" t="str">
        <f>IF(D443="","",_xlfn.RANK.EQ(D443,$D$2:$D$1001,0)+COUNTIF($D$2:D443,D443)-1)</f>
        <v/>
      </c>
      <c r="F443" s="62" t="str">
        <f>IF(B443="","",--(COUNTIF(CN_Brands!$A$2:$A$300,UPPER(B443))&gt;0))</f>
        <v/>
      </c>
      <c r="G443" s="62" t="str">
        <f t="shared" si="27"/>
        <v/>
      </c>
      <c r="H443" s="62" t="str">
        <f>IF(AND('Data Export'!A443=前十整体车型排名!$B$2,'Data Export'!B443=前十整体车型排名!$B$3,'Data Export'!D443&lt;&gt;""),UPPER('Data Export'!C443)&amp;"♦"&amp;'Data Export'!D443,"")</f>
        <v>MASERATI♦GRECALE</v>
      </c>
      <c r="I443" s="63">
        <f>IF(H443="","",IFERROR(INDEX('Data Export'!G443:CZ443,1,MATCH(前十整体车型排名!$B$4,'Data Export'!$G$1:$CZ$1,0)),0))</f>
        <v>1</v>
      </c>
      <c r="J443" s="62" t="str">
        <f>IF(H443="","",IF(OR('Data Export'!F443="三厢轿车",'Data Export'!F443="掀背轿车",'Data Export'!F443="旅行车",'Data Export'!F443="微型车",'Data Export'!F443="硬顶跑车",'Data Export'!F443="敞蓬车",'Data Export'!F443="Targa"),"轿车",IF(OR('Data Export'!F443="小型MPV",'Data Export'!F443="客车"),"MPV",IF('Data Export'!F443="运动型多功能车","SUV","其他"))))</f>
        <v>SUV</v>
      </c>
      <c r="K443" s="62" t="str">
        <f>IF(OR(D443="",NOT(F443=1)),"",1+SUMPRODUCT(($F$2:$F$1001=1)*($D$2:$D$1001&gt;D443))+COUNTIFS($F$2:F443,1,$D$2:D443,D443)-1)</f>
        <v/>
      </c>
      <c r="L443" s="62" t="str">
        <f>IF(OR(D443="",NOT(G443="轿车")),"",1+SUMPRODUCT(($G$2:$G$1001="轿车")*($D$2:$D$1001&gt;D443))+COUNTIFS($G$2:G443,"轿车",$D$2:D443,D443)-1)</f>
        <v/>
      </c>
      <c r="M443" s="62" t="str">
        <f>IF(OR(D443="",NOT(G443="MPV")),"",1+SUMPRODUCT(($G$2:$G$1001="MPV")*($D$2:$D$1001&gt;D443))+COUNTIFS($G$2:G443,"MPV",$D$2:D443,D443)-1)</f>
        <v/>
      </c>
      <c r="N443" s="62" t="str">
        <f>IF(OR(D443="",NOT(G443="SUV")),"",1+SUMPRODUCT(($G$2:$G$1001="SUV")*($D$2:$D$1001&gt;D443))+COUNTIFS($G$2:G443,"SUV",$D$2:D443,D443)-1)</f>
        <v/>
      </c>
      <c r="O443" s="62" t="str">
        <f>IF(OR(D443="",NOT(AND(F443=1,G443="轿车"))),"",1+SUMPRODUCT(($F$2:$F$1001=1)*($G$2:$G$1001="轿车")*($D$2:$D$1001&gt;D443))+COUNTIFS($F$2:F443,1,$G$2:G443,"轿车",$D$2:D443,D443)-1)</f>
        <v/>
      </c>
      <c r="P443" s="62" t="str">
        <f>IF(OR(D443="",NOT(AND(F443=1,G443="MPV"))),"",1+SUMPRODUCT(($F$2:$F$1001=1)*($G$2:$G$1001="MPV")*($D$2:$D$1001&gt;D443))+COUNTIFS($F$2:F443,1,$G$2:G443,"MPV",$D$2:D443,D443)-1)</f>
        <v/>
      </c>
      <c r="Q443" s="62" t="str">
        <f>IF(OR(D443="",NOT(AND(F443=1,G443="SUV"))),"",1+SUMPRODUCT(($F$2:$F$1001=1)*($G$2:$G$1001="SUV")*($D$2:$D$1001&gt;D443))+COUNTIFS($F$2:F443,1,$G$2:G443,"SUV",$D$2:D443,D443)-1)</f>
        <v/>
      </c>
    </row>
    <row r="444" spans="1:17">
      <c r="A444" s="62" t="str">
        <f>IFERROR(INDEX($H$2:$H$3000,MATCH(0,INDEX(COUNTIF($A$1:A443,$H$2:$H$3000)+($H$2:$H$3000=""),0,0),0)),"")</f>
        <v/>
      </c>
      <c r="B444" s="62" t="str">
        <f t="shared" si="24"/>
        <v/>
      </c>
      <c r="C444" s="62" t="str">
        <f t="shared" si="25"/>
        <v/>
      </c>
      <c r="D444" s="63" t="str">
        <f t="shared" si="26"/>
        <v/>
      </c>
      <c r="E444" s="62" t="str">
        <f>IF(D444="","",_xlfn.RANK.EQ(D444,$D$2:$D$1001,0)+COUNTIF($D$2:D444,D444)-1)</f>
        <v/>
      </c>
      <c r="F444" s="62" t="str">
        <f>IF(B444="","",--(COUNTIF(CN_Brands!$A$2:$A$300,UPPER(B444))&gt;0))</f>
        <v/>
      </c>
      <c r="G444" s="62" t="str">
        <f t="shared" si="27"/>
        <v/>
      </c>
      <c r="H444" s="62" t="str">
        <f>IF(AND('Data Export'!A444=前十整体车型排名!$B$2,'Data Export'!B444=前十整体车型排名!$B$3,'Data Export'!D444&lt;&gt;""),UPPER('Data Export'!C444)&amp;"♦"&amp;'Data Export'!D444,"")</f>
        <v>MASERATI♦LEVANTE</v>
      </c>
      <c r="I444" s="63">
        <f>IF(H444="","",IFERROR(INDEX('Data Export'!G444:CZ444,1,MATCH(前十整体车型排名!$B$4,'Data Export'!$G$1:$CZ$1,0)),0))</f>
        <v>0</v>
      </c>
      <c r="J444" s="62" t="str">
        <f>IF(H444="","",IF(OR('Data Export'!F444="三厢轿车",'Data Export'!F444="掀背轿车",'Data Export'!F444="旅行车",'Data Export'!F444="微型车",'Data Export'!F444="硬顶跑车",'Data Export'!F444="敞蓬车",'Data Export'!F444="Targa"),"轿车",IF(OR('Data Export'!F444="小型MPV",'Data Export'!F444="客车"),"MPV",IF('Data Export'!F444="运动型多功能车","SUV","其他"))))</f>
        <v>SUV</v>
      </c>
      <c r="K444" s="62" t="str">
        <f>IF(OR(D444="",NOT(F444=1)),"",1+SUMPRODUCT(($F$2:$F$1001=1)*($D$2:$D$1001&gt;D444))+COUNTIFS($F$2:F444,1,$D$2:D444,D444)-1)</f>
        <v/>
      </c>
      <c r="L444" s="62" t="str">
        <f>IF(OR(D444="",NOT(G444="轿车")),"",1+SUMPRODUCT(($G$2:$G$1001="轿车")*($D$2:$D$1001&gt;D444))+COUNTIFS($G$2:G444,"轿车",$D$2:D444,D444)-1)</f>
        <v/>
      </c>
      <c r="M444" s="62" t="str">
        <f>IF(OR(D444="",NOT(G444="MPV")),"",1+SUMPRODUCT(($G$2:$G$1001="MPV")*($D$2:$D$1001&gt;D444))+COUNTIFS($G$2:G444,"MPV",$D$2:D444,D444)-1)</f>
        <v/>
      </c>
      <c r="N444" s="62" t="str">
        <f>IF(OR(D444="",NOT(G444="SUV")),"",1+SUMPRODUCT(($G$2:$G$1001="SUV")*($D$2:$D$1001&gt;D444))+COUNTIFS($G$2:G444,"SUV",$D$2:D444,D444)-1)</f>
        <v/>
      </c>
      <c r="O444" s="62" t="str">
        <f>IF(OR(D444="",NOT(AND(F444=1,G444="轿车"))),"",1+SUMPRODUCT(($F$2:$F$1001=1)*($G$2:$G$1001="轿车")*($D$2:$D$1001&gt;D444))+COUNTIFS($F$2:F444,1,$G$2:G444,"轿车",$D$2:D444,D444)-1)</f>
        <v/>
      </c>
      <c r="P444" s="62" t="str">
        <f>IF(OR(D444="",NOT(AND(F444=1,G444="MPV"))),"",1+SUMPRODUCT(($F$2:$F$1001=1)*($G$2:$G$1001="MPV")*($D$2:$D$1001&gt;D444))+COUNTIFS($F$2:F444,1,$G$2:G444,"MPV",$D$2:D444,D444)-1)</f>
        <v/>
      </c>
      <c r="Q444" s="62" t="str">
        <f>IF(OR(D444="",NOT(AND(F444=1,G444="SUV"))),"",1+SUMPRODUCT(($F$2:$F$1001=1)*($G$2:$G$1001="SUV")*($D$2:$D$1001&gt;D444))+COUNTIFS($F$2:F444,1,$G$2:G444,"SUV",$D$2:D444,D444)-1)</f>
        <v/>
      </c>
    </row>
    <row r="445" spans="1:17">
      <c r="A445" s="62" t="str">
        <f>IFERROR(INDEX($H$2:$H$3000,MATCH(0,INDEX(COUNTIF($A$1:A444,$H$2:$H$3000)+($H$2:$H$3000=""),0,0),0)),"")</f>
        <v/>
      </c>
      <c r="B445" s="62" t="str">
        <f t="shared" si="24"/>
        <v/>
      </c>
      <c r="C445" s="62" t="str">
        <f t="shared" si="25"/>
        <v/>
      </c>
      <c r="D445" s="63" t="str">
        <f t="shared" si="26"/>
        <v/>
      </c>
      <c r="E445" s="62" t="str">
        <f>IF(D445="","",_xlfn.RANK.EQ(D445,$D$2:$D$1001,0)+COUNTIF($D$2:D445,D445)-1)</f>
        <v/>
      </c>
      <c r="F445" s="62" t="str">
        <f>IF(B445="","",--(COUNTIF(CN_Brands!$A$2:$A$300,UPPER(B445))&gt;0))</f>
        <v/>
      </c>
      <c r="G445" s="62" t="str">
        <f t="shared" si="27"/>
        <v/>
      </c>
      <c r="H445" s="62" t="str">
        <f>IF(AND('Data Export'!A445=前十整体车型排名!$B$2,'Data Export'!B445=前十整体车型排名!$B$3,'Data Export'!D445&lt;&gt;""),UPPER('Data Export'!C445)&amp;"♦"&amp;'Data Export'!D445,"")</f>
        <v>MASERATI♦MC20</v>
      </c>
      <c r="I445" s="63">
        <f>IF(H445="","",IFERROR(INDEX('Data Export'!G445:CZ445,1,MATCH(前十整体车型排名!$B$4,'Data Export'!$G$1:$CZ$1,0)),0))</f>
        <v>1</v>
      </c>
      <c r="J445" s="62" t="str">
        <f>IF(H445="","",IF(OR('Data Export'!F445="三厢轿车",'Data Export'!F445="掀背轿车",'Data Export'!F445="旅行车",'Data Export'!F445="微型车",'Data Export'!F445="硬顶跑车",'Data Export'!F445="敞蓬车",'Data Export'!F445="Targa"),"轿车",IF(OR('Data Export'!F445="小型MPV",'Data Export'!F445="客车"),"MPV",IF('Data Export'!F445="运动型多功能车","SUV","其他"))))</f>
        <v>其他</v>
      </c>
      <c r="K445" s="62" t="str">
        <f>IF(OR(D445="",NOT(F445=1)),"",1+SUMPRODUCT(($F$2:$F$1001=1)*($D$2:$D$1001&gt;D445))+COUNTIFS($F$2:F445,1,$D$2:D445,D445)-1)</f>
        <v/>
      </c>
      <c r="L445" s="62" t="str">
        <f>IF(OR(D445="",NOT(G445="轿车")),"",1+SUMPRODUCT(($G$2:$G$1001="轿车")*($D$2:$D$1001&gt;D445))+COUNTIFS($G$2:G445,"轿车",$D$2:D445,D445)-1)</f>
        <v/>
      </c>
      <c r="M445" s="62" t="str">
        <f>IF(OR(D445="",NOT(G445="MPV")),"",1+SUMPRODUCT(($G$2:$G$1001="MPV")*($D$2:$D$1001&gt;D445))+COUNTIFS($G$2:G445,"MPV",$D$2:D445,D445)-1)</f>
        <v/>
      </c>
      <c r="N445" s="62" t="str">
        <f>IF(OR(D445="",NOT(G445="SUV")),"",1+SUMPRODUCT(($G$2:$G$1001="SUV")*($D$2:$D$1001&gt;D445))+COUNTIFS($G$2:G445,"SUV",$D$2:D445,D445)-1)</f>
        <v/>
      </c>
      <c r="O445" s="62" t="str">
        <f>IF(OR(D445="",NOT(AND(F445=1,G445="轿车"))),"",1+SUMPRODUCT(($F$2:$F$1001=1)*($G$2:$G$1001="轿车")*($D$2:$D$1001&gt;D445))+COUNTIFS($F$2:F445,1,$G$2:G445,"轿车",$D$2:D445,D445)-1)</f>
        <v/>
      </c>
      <c r="P445" s="62" t="str">
        <f>IF(OR(D445="",NOT(AND(F445=1,G445="MPV"))),"",1+SUMPRODUCT(($F$2:$F$1001=1)*($G$2:$G$1001="MPV")*($D$2:$D$1001&gt;D445))+COUNTIFS($F$2:F445,1,$G$2:G445,"MPV",$D$2:D445,D445)-1)</f>
        <v/>
      </c>
      <c r="Q445" s="62" t="str">
        <f>IF(OR(D445="",NOT(AND(F445=1,G445="SUV"))),"",1+SUMPRODUCT(($F$2:$F$1001=1)*($G$2:$G$1001="SUV")*($D$2:$D$1001&gt;D445))+COUNTIFS($F$2:F445,1,$G$2:G445,"SUV",$D$2:D445,D445)-1)</f>
        <v/>
      </c>
    </row>
    <row r="446" spans="1:17">
      <c r="A446" s="62" t="str">
        <f>IFERROR(INDEX($H$2:$H$3000,MATCH(0,INDEX(COUNTIF($A$1:A445,$H$2:$H$3000)+($H$2:$H$3000=""),0,0),0)),"")</f>
        <v/>
      </c>
      <c r="B446" s="62" t="str">
        <f t="shared" si="24"/>
        <v/>
      </c>
      <c r="C446" s="62" t="str">
        <f t="shared" si="25"/>
        <v/>
      </c>
      <c r="D446" s="63" t="str">
        <f t="shared" si="26"/>
        <v/>
      </c>
      <c r="E446" s="62" t="str">
        <f>IF(D446="","",_xlfn.RANK.EQ(D446,$D$2:$D$1001,0)+COUNTIF($D$2:D446,D446)-1)</f>
        <v/>
      </c>
      <c r="F446" s="62" t="str">
        <f>IF(B446="","",--(COUNTIF(CN_Brands!$A$2:$A$300,UPPER(B446))&gt;0))</f>
        <v/>
      </c>
      <c r="G446" s="62" t="str">
        <f t="shared" si="27"/>
        <v/>
      </c>
      <c r="H446" s="62" t="str">
        <f>IF(AND('Data Export'!A446=前十整体车型排名!$B$2,'Data Export'!B446=前十整体车型排名!$B$3,'Data Export'!D446&lt;&gt;""),UPPER('Data Export'!C446)&amp;"♦"&amp;'Data Export'!D446,"")</f>
        <v>MASERATI♦QUATTROPORTE</v>
      </c>
      <c r="I446" s="63">
        <f>IF(H446="","",IFERROR(INDEX('Data Export'!G446:CZ446,1,MATCH(前十整体车型排名!$B$4,'Data Export'!$G$1:$CZ$1,0)),0))</f>
        <v>0</v>
      </c>
      <c r="J446" s="62" t="str">
        <f>IF(H446="","",IF(OR('Data Export'!F446="三厢轿车",'Data Export'!F446="掀背轿车",'Data Export'!F446="旅行车",'Data Export'!F446="微型车",'Data Export'!F446="硬顶跑车",'Data Export'!F446="敞蓬车",'Data Export'!F446="Targa"),"轿车",IF(OR('Data Export'!F446="小型MPV",'Data Export'!F446="客车"),"MPV",IF('Data Export'!F446="运动型多功能车","SUV","其他"))))</f>
        <v>轿车</v>
      </c>
      <c r="K446" s="62" t="str">
        <f>IF(OR(D446="",NOT(F446=1)),"",1+SUMPRODUCT(($F$2:$F$1001=1)*($D$2:$D$1001&gt;D446))+COUNTIFS($F$2:F446,1,$D$2:D446,D446)-1)</f>
        <v/>
      </c>
      <c r="L446" s="62" t="str">
        <f>IF(OR(D446="",NOT(G446="轿车")),"",1+SUMPRODUCT(($G$2:$G$1001="轿车")*($D$2:$D$1001&gt;D446))+COUNTIFS($G$2:G446,"轿车",$D$2:D446,D446)-1)</f>
        <v/>
      </c>
      <c r="M446" s="62" t="str">
        <f>IF(OR(D446="",NOT(G446="MPV")),"",1+SUMPRODUCT(($G$2:$G$1001="MPV")*($D$2:$D$1001&gt;D446))+COUNTIFS($G$2:G446,"MPV",$D$2:D446,D446)-1)</f>
        <v/>
      </c>
      <c r="N446" s="62" t="str">
        <f>IF(OR(D446="",NOT(G446="SUV")),"",1+SUMPRODUCT(($G$2:$G$1001="SUV")*($D$2:$D$1001&gt;D446))+COUNTIFS($G$2:G446,"SUV",$D$2:D446,D446)-1)</f>
        <v/>
      </c>
      <c r="O446" s="62" t="str">
        <f>IF(OR(D446="",NOT(AND(F446=1,G446="轿车"))),"",1+SUMPRODUCT(($F$2:$F$1001=1)*($G$2:$G$1001="轿车")*($D$2:$D$1001&gt;D446))+COUNTIFS($F$2:F446,1,$G$2:G446,"轿车",$D$2:D446,D446)-1)</f>
        <v/>
      </c>
      <c r="P446" s="62" t="str">
        <f>IF(OR(D446="",NOT(AND(F446=1,G446="MPV"))),"",1+SUMPRODUCT(($F$2:$F$1001=1)*($G$2:$G$1001="MPV")*($D$2:$D$1001&gt;D446))+COUNTIFS($F$2:F446,1,$G$2:G446,"MPV",$D$2:D446,D446)-1)</f>
        <v/>
      </c>
      <c r="Q446" s="62" t="str">
        <f>IF(OR(D446="",NOT(AND(F446=1,G446="SUV"))),"",1+SUMPRODUCT(($F$2:$F$1001=1)*($G$2:$G$1001="SUV")*($D$2:$D$1001&gt;D446))+COUNTIFS($F$2:F446,1,$G$2:G446,"SUV",$D$2:D446,D446)-1)</f>
        <v/>
      </c>
    </row>
    <row r="447" spans="1:17">
      <c r="A447" s="62" t="str">
        <f>IFERROR(INDEX($H$2:$H$3000,MATCH(0,INDEX(COUNTIF($A$1:A446,$H$2:$H$3000)+($H$2:$H$3000=""),0,0),0)),"")</f>
        <v/>
      </c>
      <c r="B447" s="62" t="str">
        <f t="shared" si="24"/>
        <v/>
      </c>
      <c r="C447" s="62" t="str">
        <f t="shared" si="25"/>
        <v/>
      </c>
      <c r="D447" s="63" t="str">
        <f t="shared" si="26"/>
        <v/>
      </c>
      <c r="E447" s="62" t="str">
        <f>IF(D447="","",_xlfn.RANK.EQ(D447,$D$2:$D$1001,0)+COUNTIF($D$2:D447,D447)-1)</f>
        <v/>
      </c>
      <c r="F447" s="62" t="str">
        <f>IF(B447="","",--(COUNTIF(CN_Brands!$A$2:$A$300,UPPER(B447))&gt;0))</f>
        <v/>
      </c>
      <c r="G447" s="62" t="str">
        <f t="shared" si="27"/>
        <v/>
      </c>
      <c r="H447" s="62" t="str">
        <f>IF(AND('Data Export'!A447=前十整体车型排名!$B$2,'Data Export'!B447=前十整体车型排名!$B$3,'Data Export'!D447&lt;&gt;""),UPPER('Data Export'!C447)&amp;"♦"&amp;'Data Export'!D447,"")</f>
        <v>MAXUS♦MIFA 7</v>
      </c>
      <c r="I447" s="63">
        <f>IF(H447="","",IFERROR(INDEX('Data Export'!G447:CZ447,1,MATCH(前十整体车型排名!$B$4,'Data Export'!$G$1:$CZ$1,0)),0))</f>
        <v>0</v>
      </c>
      <c r="J447" s="62" t="str">
        <f>IF(H447="","",IF(OR('Data Export'!F447="三厢轿车",'Data Export'!F447="掀背轿车",'Data Export'!F447="旅行车",'Data Export'!F447="微型车",'Data Export'!F447="硬顶跑车",'Data Export'!F447="敞蓬车",'Data Export'!F447="Targa"),"轿车",IF(OR('Data Export'!F447="小型MPV",'Data Export'!F447="客车"),"MPV",IF('Data Export'!F447="运动型多功能车","SUV","其他"))))</f>
        <v>其他</v>
      </c>
      <c r="K447" s="62" t="str">
        <f>IF(OR(D447="",NOT(F447=1)),"",1+SUMPRODUCT(($F$2:$F$1001=1)*($D$2:$D$1001&gt;D447))+COUNTIFS($F$2:F447,1,$D$2:D447,D447)-1)</f>
        <v/>
      </c>
      <c r="L447" s="62" t="str">
        <f>IF(OR(D447="",NOT(G447="轿车")),"",1+SUMPRODUCT(($G$2:$G$1001="轿车")*($D$2:$D$1001&gt;D447))+COUNTIFS($G$2:G447,"轿车",$D$2:D447,D447)-1)</f>
        <v/>
      </c>
      <c r="M447" s="62" t="str">
        <f>IF(OR(D447="",NOT(G447="MPV")),"",1+SUMPRODUCT(($G$2:$G$1001="MPV")*($D$2:$D$1001&gt;D447))+COUNTIFS($G$2:G447,"MPV",$D$2:D447,D447)-1)</f>
        <v/>
      </c>
      <c r="N447" s="62" t="str">
        <f>IF(OR(D447="",NOT(G447="SUV")),"",1+SUMPRODUCT(($G$2:$G$1001="SUV")*($D$2:$D$1001&gt;D447))+COUNTIFS($G$2:G447,"SUV",$D$2:D447,D447)-1)</f>
        <v/>
      </c>
      <c r="O447" s="62" t="str">
        <f>IF(OR(D447="",NOT(AND(F447=1,G447="轿车"))),"",1+SUMPRODUCT(($F$2:$F$1001=1)*($G$2:$G$1001="轿车")*($D$2:$D$1001&gt;D447))+COUNTIFS($F$2:F447,1,$G$2:G447,"轿车",$D$2:D447,D447)-1)</f>
        <v/>
      </c>
      <c r="P447" s="62" t="str">
        <f>IF(OR(D447="",NOT(AND(F447=1,G447="MPV"))),"",1+SUMPRODUCT(($F$2:$F$1001=1)*($G$2:$G$1001="MPV")*($D$2:$D$1001&gt;D447))+COUNTIFS($F$2:F447,1,$G$2:G447,"MPV",$D$2:D447,D447)-1)</f>
        <v/>
      </c>
      <c r="Q447" s="62" t="str">
        <f>IF(OR(D447="",NOT(AND(F447=1,G447="SUV"))),"",1+SUMPRODUCT(($F$2:$F$1001=1)*($G$2:$G$1001="SUV")*($D$2:$D$1001&gt;D447))+COUNTIFS($F$2:F447,1,$G$2:G447,"SUV",$D$2:D447,D447)-1)</f>
        <v/>
      </c>
    </row>
    <row r="448" spans="1:17">
      <c r="A448" s="62" t="str">
        <f>IFERROR(INDEX($H$2:$H$3000,MATCH(0,INDEX(COUNTIF($A$1:A447,$H$2:$H$3000)+($H$2:$H$3000=""),0,0),0)),"")</f>
        <v/>
      </c>
      <c r="B448" s="62" t="str">
        <f t="shared" si="24"/>
        <v/>
      </c>
      <c r="C448" s="62" t="str">
        <f t="shared" si="25"/>
        <v/>
      </c>
      <c r="D448" s="63" t="str">
        <f t="shared" si="26"/>
        <v/>
      </c>
      <c r="E448" s="62" t="str">
        <f>IF(D448="","",_xlfn.RANK.EQ(D448,$D$2:$D$1001,0)+COUNTIF($D$2:D448,D448)-1)</f>
        <v/>
      </c>
      <c r="F448" s="62" t="str">
        <f>IF(B448="","",--(COUNTIF(CN_Brands!$A$2:$A$300,UPPER(B448))&gt;0))</f>
        <v/>
      </c>
      <c r="G448" s="62" t="str">
        <f t="shared" si="27"/>
        <v/>
      </c>
      <c r="H448" s="62" t="str">
        <f>IF(AND('Data Export'!A448=前十整体车型排名!$B$2,'Data Export'!B448=前十整体车型排名!$B$3,'Data Export'!D448&lt;&gt;""),UPPER('Data Export'!C448)&amp;"♦"&amp;'Data Export'!D448,"")</f>
        <v>MAZDA♦CX-3</v>
      </c>
      <c r="I448" s="63">
        <f>IF(H448="","",IFERROR(INDEX('Data Export'!G448:CZ448,1,MATCH(前十整体车型排名!$B$4,'Data Export'!$G$1:$CZ$1,0)),0))</f>
        <v>56</v>
      </c>
      <c r="J448" s="62" t="str">
        <f>IF(H448="","",IF(OR('Data Export'!F448="三厢轿车",'Data Export'!F448="掀背轿车",'Data Export'!F448="旅行车",'Data Export'!F448="微型车",'Data Export'!F448="硬顶跑车",'Data Export'!F448="敞蓬车",'Data Export'!F448="Targa"),"轿车",IF(OR('Data Export'!F448="小型MPV",'Data Export'!F448="客车"),"MPV",IF('Data Export'!F448="运动型多功能车","SUV","其他"))))</f>
        <v>SUV</v>
      </c>
      <c r="K448" s="62" t="str">
        <f>IF(OR(D448="",NOT(F448=1)),"",1+SUMPRODUCT(($F$2:$F$1001=1)*($D$2:$D$1001&gt;D448))+COUNTIFS($F$2:F448,1,$D$2:D448,D448)-1)</f>
        <v/>
      </c>
      <c r="L448" s="62" t="str">
        <f>IF(OR(D448="",NOT(G448="轿车")),"",1+SUMPRODUCT(($G$2:$G$1001="轿车")*($D$2:$D$1001&gt;D448))+COUNTIFS($G$2:G448,"轿车",$D$2:D448,D448)-1)</f>
        <v/>
      </c>
      <c r="M448" s="62" t="str">
        <f>IF(OR(D448="",NOT(G448="MPV")),"",1+SUMPRODUCT(($G$2:$G$1001="MPV")*($D$2:$D$1001&gt;D448))+COUNTIFS($G$2:G448,"MPV",$D$2:D448,D448)-1)</f>
        <v/>
      </c>
      <c r="N448" s="62" t="str">
        <f>IF(OR(D448="",NOT(G448="SUV")),"",1+SUMPRODUCT(($G$2:$G$1001="SUV")*($D$2:$D$1001&gt;D448))+COUNTIFS($G$2:G448,"SUV",$D$2:D448,D448)-1)</f>
        <v/>
      </c>
      <c r="O448" s="62" t="str">
        <f>IF(OR(D448="",NOT(AND(F448=1,G448="轿车"))),"",1+SUMPRODUCT(($F$2:$F$1001=1)*($G$2:$G$1001="轿车")*($D$2:$D$1001&gt;D448))+COUNTIFS($F$2:F448,1,$G$2:G448,"轿车",$D$2:D448,D448)-1)</f>
        <v/>
      </c>
      <c r="P448" s="62" t="str">
        <f>IF(OR(D448="",NOT(AND(F448=1,G448="MPV"))),"",1+SUMPRODUCT(($F$2:$F$1001=1)*($G$2:$G$1001="MPV")*($D$2:$D$1001&gt;D448))+COUNTIFS($F$2:F448,1,$G$2:G448,"MPV",$D$2:D448,D448)-1)</f>
        <v/>
      </c>
      <c r="Q448" s="62" t="str">
        <f>IF(OR(D448="",NOT(AND(F448=1,G448="SUV"))),"",1+SUMPRODUCT(($F$2:$F$1001=1)*($G$2:$G$1001="SUV")*($D$2:$D$1001&gt;D448))+COUNTIFS($F$2:F448,1,$G$2:G448,"SUV",$D$2:D448,D448)-1)</f>
        <v/>
      </c>
    </row>
    <row r="449" spans="1:17">
      <c r="A449" s="62" t="str">
        <f>IFERROR(INDEX($H$2:$H$3000,MATCH(0,INDEX(COUNTIF($A$1:A448,$H$2:$H$3000)+($H$2:$H$3000=""),0,0),0)),"")</f>
        <v/>
      </c>
      <c r="B449" s="62" t="str">
        <f t="shared" si="24"/>
        <v/>
      </c>
      <c r="C449" s="62" t="str">
        <f t="shared" si="25"/>
        <v/>
      </c>
      <c r="D449" s="63" t="str">
        <f t="shared" si="26"/>
        <v/>
      </c>
      <c r="E449" s="62" t="str">
        <f>IF(D449="","",_xlfn.RANK.EQ(D449,$D$2:$D$1001,0)+COUNTIF($D$2:D449,D449)-1)</f>
        <v/>
      </c>
      <c r="F449" s="62" t="str">
        <f>IF(B449="","",--(COUNTIF(CN_Brands!$A$2:$A$300,UPPER(B449))&gt;0))</f>
        <v/>
      </c>
      <c r="G449" s="62" t="str">
        <f t="shared" si="27"/>
        <v/>
      </c>
      <c r="H449" s="62" t="str">
        <f>IF(AND('Data Export'!A449=前十整体车型排名!$B$2,'Data Export'!B449=前十整体车型排名!$B$3,'Data Export'!D449&lt;&gt;""),UPPER('Data Export'!C449)&amp;"♦"&amp;'Data Export'!D449,"")</f>
        <v>MAZDA♦CX-30</v>
      </c>
      <c r="I449" s="63">
        <f>IF(H449="","",IFERROR(INDEX('Data Export'!G449:CZ449,1,MATCH(前十整体车型排名!$B$4,'Data Export'!$G$1:$CZ$1,0)),0))</f>
        <v>88</v>
      </c>
      <c r="J449" s="62" t="str">
        <f>IF(H449="","",IF(OR('Data Export'!F449="三厢轿车",'Data Export'!F449="掀背轿车",'Data Export'!F449="旅行车",'Data Export'!F449="微型车",'Data Export'!F449="硬顶跑车",'Data Export'!F449="敞蓬车",'Data Export'!F449="Targa"),"轿车",IF(OR('Data Export'!F449="小型MPV",'Data Export'!F449="客车"),"MPV",IF('Data Export'!F449="运动型多功能车","SUV","其他"))))</f>
        <v>SUV</v>
      </c>
      <c r="K449" s="62" t="str">
        <f>IF(OR(D449="",NOT(F449=1)),"",1+SUMPRODUCT(($F$2:$F$1001=1)*($D$2:$D$1001&gt;D449))+COUNTIFS($F$2:F449,1,$D$2:D449,D449)-1)</f>
        <v/>
      </c>
      <c r="L449" s="62" t="str">
        <f>IF(OR(D449="",NOT(G449="轿车")),"",1+SUMPRODUCT(($G$2:$G$1001="轿车")*($D$2:$D$1001&gt;D449))+COUNTIFS($G$2:G449,"轿车",$D$2:D449,D449)-1)</f>
        <v/>
      </c>
      <c r="M449" s="62" t="str">
        <f>IF(OR(D449="",NOT(G449="MPV")),"",1+SUMPRODUCT(($G$2:$G$1001="MPV")*($D$2:$D$1001&gt;D449))+COUNTIFS($G$2:G449,"MPV",$D$2:D449,D449)-1)</f>
        <v/>
      </c>
      <c r="N449" s="62" t="str">
        <f>IF(OR(D449="",NOT(G449="SUV")),"",1+SUMPRODUCT(($G$2:$G$1001="SUV")*($D$2:$D$1001&gt;D449))+COUNTIFS($G$2:G449,"SUV",$D$2:D449,D449)-1)</f>
        <v/>
      </c>
      <c r="O449" s="62" t="str">
        <f>IF(OR(D449="",NOT(AND(F449=1,G449="轿车"))),"",1+SUMPRODUCT(($F$2:$F$1001=1)*($G$2:$G$1001="轿车")*($D$2:$D$1001&gt;D449))+COUNTIFS($F$2:F449,1,$G$2:G449,"轿车",$D$2:D449,D449)-1)</f>
        <v/>
      </c>
      <c r="P449" s="62" t="str">
        <f>IF(OR(D449="",NOT(AND(F449=1,G449="MPV"))),"",1+SUMPRODUCT(($F$2:$F$1001=1)*($G$2:$G$1001="MPV")*($D$2:$D$1001&gt;D449))+COUNTIFS($F$2:F449,1,$G$2:G449,"MPV",$D$2:D449,D449)-1)</f>
        <v/>
      </c>
      <c r="Q449" s="62" t="str">
        <f>IF(OR(D449="",NOT(AND(F449=1,G449="SUV"))),"",1+SUMPRODUCT(($F$2:$F$1001=1)*($G$2:$G$1001="SUV")*($D$2:$D$1001&gt;D449))+COUNTIFS($F$2:F449,1,$G$2:G449,"SUV",$D$2:D449,D449)-1)</f>
        <v/>
      </c>
    </row>
    <row r="450" spans="1:17">
      <c r="A450" s="62" t="str">
        <f>IFERROR(INDEX($H$2:$H$3000,MATCH(0,INDEX(COUNTIF($A$1:A449,$H$2:$H$3000)+($H$2:$H$3000=""),0,0),0)),"")</f>
        <v/>
      </c>
      <c r="B450" s="62" t="str">
        <f t="shared" ref="B450:B513" si="28">IF(A450="","",LEFT(A450,FIND("♦",A450)-1))</f>
        <v/>
      </c>
      <c r="C450" s="62" t="str">
        <f t="shared" ref="C450:C513" si="29">IF(A450="","",MID(A450,FIND("♦",A450)+1,999))</f>
        <v/>
      </c>
      <c r="D450" s="63" t="str">
        <f t="shared" ref="D450:D513" si="30">IF(A450="","",SUMIF($H$2:$H$3000,A450,$I$2:$I$3000))</f>
        <v/>
      </c>
      <c r="E450" s="62" t="str">
        <f>IF(D450="","",_xlfn.RANK.EQ(D450,$D$2:$D$1001,0)+COUNTIF($D$2:D450,D450)-1)</f>
        <v/>
      </c>
      <c r="F450" s="62" t="str">
        <f>IF(B450="","",--(COUNTIF(CN_Brands!$A$2:$A$300,UPPER(B450))&gt;0))</f>
        <v/>
      </c>
      <c r="G450" s="62" t="str">
        <f t="shared" ref="G450:G513" si="31">IF(A450="","",IFERROR(INDEX($J$2:$J$3000,MATCH(A450,$H$2:$H$3000,0)),"其他"))</f>
        <v/>
      </c>
      <c r="H450" s="62" t="str">
        <f>IF(AND('Data Export'!A450=前十整体车型排名!$B$2,'Data Export'!B450=前十整体车型排名!$B$3,'Data Export'!D450&lt;&gt;""),UPPER('Data Export'!C450)&amp;"♦"&amp;'Data Export'!D450,"")</f>
        <v>MAZDA♦CX-5</v>
      </c>
      <c r="I450" s="63">
        <f>IF(H450="","",IFERROR(INDEX('Data Export'!G450:CZ450,1,MATCH(前十整体车型排名!$B$4,'Data Export'!$G$1:$CZ$1,0)),0))</f>
        <v>44</v>
      </c>
      <c r="J450" s="62" t="str">
        <f>IF(H450="","",IF(OR('Data Export'!F450="三厢轿车",'Data Export'!F450="掀背轿车",'Data Export'!F450="旅行车",'Data Export'!F450="微型车",'Data Export'!F450="硬顶跑车",'Data Export'!F450="敞蓬车",'Data Export'!F450="Targa"),"轿车",IF(OR('Data Export'!F450="小型MPV",'Data Export'!F450="客车"),"MPV",IF('Data Export'!F450="运动型多功能车","SUV","其他"))))</f>
        <v>SUV</v>
      </c>
      <c r="K450" s="62" t="str">
        <f>IF(OR(D450="",NOT(F450=1)),"",1+SUMPRODUCT(($F$2:$F$1001=1)*($D$2:$D$1001&gt;D450))+COUNTIFS($F$2:F450,1,$D$2:D450,D450)-1)</f>
        <v/>
      </c>
      <c r="L450" s="62" t="str">
        <f>IF(OR(D450="",NOT(G450="轿车")),"",1+SUMPRODUCT(($G$2:$G$1001="轿车")*($D$2:$D$1001&gt;D450))+COUNTIFS($G$2:G450,"轿车",$D$2:D450,D450)-1)</f>
        <v/>
      </c>
      <c r="M450" s="62" t="str">
        <f>IF(OR(D450="",NOT(G450="MPV")),"",1+SUMPRODUCT(($G$2:$G$1001="MPV")*($D$2:$D$1001&gt;D450))+COUNTIFS($G$2:G450,"MPV",$D$2:D450,D450)-1)</f>
        <v/>
      </c>
      <c r="N450" s="62" t="str">
        <f>IF(OR(D450="",NOT(G450="SUV")),"",1+SUMPRODUCT(($G$2:$G$1001="SUV")*($D$2:$D$1001&gt;D450))+COUNTIFS($G$2:G450,"SUV",$D$2:D450,D450)-1)</f>
        <v/>
      </c>
      <c r="O450" s="62" t="str">
        <f>IF(OR(D450="",NOT(AND(F450=1,G450="轿车"))),"",1+SUMPRODUCT(($F$2:$F$1001=1)*($G$2:$G$1001="轿车")*($D$2:$D$1001&gt;D450))+COUNTIFS($F$2:F450,1,$G$2:G450,"轿车",$D$2:D450,D450)-1)</f>
        <v/>
      </c>
      <c r="P450" s="62" t="str">
        <f>IF(OR(D450="",NOT(AND(F450=1,G450="MPV"))),"",1+SUMPRODUCT(($F$2:$F$1001=1)*($G$2:$G$1001="MPV")*($D$2:$D$1001&gt;D450))+COUNTIFS($F$2:F450,1,$G$2:G450,"MPV",$D$2:D450,D450)-1)</f>
        <v/>
      </c>
      <c r="Q450" s="62" t="str">
        <f>IF(OR(D450="",NOT(AND(F450=1,G450="SUV"))),"",1+SUMPRODUCT(($F$2:$F$1001=1)*($G$2:$G$1001="SUV")*($D$2:$D$1001&gt;D450))+COUNTIFS($F$2:F450,1,$G$2:G450,"SUV",$D$2:D450,D450)-1)</f>
        <v/>
      </c>
    </row>
    <row r="451" spans="1:17">
      <c r="A451" s="62" t="str">
        <f>IFERROR(INDEX($H$2:$H$3000,MATCH(0,INDEX(COUNTIF($A$1:A450,$H$2:$H$3000)+($H$2:$H$3000=""),0,0),0)),"")</f>
        <v/>
      </c>
      <c r="B451" s="62" t="str">
        <f t="shared" si="28"/>
        <v/>
      </c>
      <c r="C451" s="62" t="str">
        <f t="shared" si="29"/>
        <v/>
      </c>
      <c r="D451" s="63" t="str">
        <f t="shared" si="30"/>
        <v/>
      </c>
      <c r="E451" s="62" t="str">
        <f>IF(D451="","",_xlfn.RANK.EQ(D451,$D$2:$D$1001,0)+COUNTIF($D$2:D451,D451)-1)</f>
        <v/>
      </c>
      <c r="F451" s="62" t="str">
        <f>IF(B451="","",--(COUNTIF(CN_Brands!$A$2:$A$300,UPPER(B451))&gt;0))</f>
        <v/>
      </c>
      <c r="G451" s="62" t="str">
        <f t="shared" si="31"/>
        <v/>
      </c>
      <c r="H451" s="62" t="str">
        <f>IF(AND('Data Export'!A451=前十整体车型排名!$B$2,'Data Export'!B451=前十整体车型排名!$B$3,'Data Export'!D451&lt;&gt;""),UPPER('Data Export'!C451)&amp;"♦"&amp;'Data Export'!D451,"")</f>
        <v>MAZDA♦CX-8</v>
      </c>
      <c r="I451" s="63">
        <f>IF(H451="","",IFERROR(INDEX('Data Export'!G451:CZ451,1,MATCH(前十整体车型排名!$B$4,'Data Export'!$G$1:$CZ$1,0)),0))</f>
        <v>8</v>
      </c>
      <c r="J451" s="62" t="str">
        <f>IF(H451="","",IF(OR('Data Export'!F451="三厢轿车",'Data Export'!F451="掀背轿车",'Data Export'!F451="旅行车",'Data Export'!F451="微型车",'Data Export'!F451="硬顶跑车",'Data Export'!F451="敞蓬车",'Data Export'!F451="Targa"),"轿车",IF(OR('Data Export'!F451="小型MPV",'Data Export'!F451="客车"),"MPV",IF('Data Export'!F451="运动型多功能车","SUV","其他"))))</f>
        <v>SUV</v>
      </c>
      <c r="K451" s="62" t="str">
        <f>IF(OR(D451="",NOT(F451=1)),"",1+SUMPRODUCT(($F$2:$F$1001=1)*($D$2:$D$1001&gt;D451))+COUNTIFS($F$2:F451,1,$D$2:D451,D451)-1)</f>
        <v/>
      </c>
      <c r="L451" s="62" t="str">
        <f>IF(OR(D451="",NOT(G451="轿车")),"",1+SUMPRODUCT(($G$2:$G$1001="轿车")*($D$2:$D$1001&gt;D451))+COUNTIFS($G$2:G451,"轿车",$D$2:D451,D451)-1)</f>
        <v/>
      </c>
      <c r="M451" s="62" t="str">
        <f>IF(OR(D451="",NOT(G451="MPV")),"",1+SUMPRODUCT(($G$2:$G$1001="MPV")*($D$2:$D$1001&gt;D451))+COUNTIFS($G$2:G451,"MPV",$D$2:D451,D451)-1)</f>
        <v/>
      </c>
      <c r="N451" s="62" t="str">
        <f>IF(OR(D451="",NOT(G451="SUV")),"",1+SUMPRODUCT(($G$2:$G$1001="SUV")*($D$2:$D$1001&gt;D451))+COUNTIFS($G$2:G451,"SUV",$D$2:D451,D451)-1)</f>
        <v/>
      </c>
      <c r="O451" s="62" t="str">
        <f>IF(OR(D451="",NOT(AND(F451=1,G451="轿车"))),"",1+SUMPRODUCT(($F$2:$F$1001=1)*($G$2:$G$1001="轿车")*($D$2:$D$1001&gt;D451))+COUNTIFS($F$2:F451,1,$G$2:G451,"轿车",$D$2:D451,D451)-1)</f>
        <v/>
      </c>
      <c r="P451" s="62" t="str">
        <f>IF(OR(D451="",NOT(AND(F451=1,G451="MPV"))),"",1+SUMPRODUCT(($F$2:$F$1001=1)*($G$2:$G$1001="MPV")*($D$2:$D$1001&gt;D451))+COUNTIFS($F$2:F451,1,$G$2:G451,"MPV",$D$2:D451,D451)-1)</f>
        <v/>
      </c>
      <c r="Q451" s="62" t="str">
        <f>IF(OR(D451="",NOT(AND(F451=1,G451="SUV"))),"",1+SUMPRODUCT(($F$2:$F$1001=1)*($G$2:$G$1001="SUV")*($D$2:$D$1001&gt;D451))+COUNTIFS($F$2:F451,1,$G$2:G451,"SUV",$D$2:D451,D451)-1)</f>
        <v/>
      </c>
    </row>
    <row r="452" spans="1:17">
      <c r="A452" s="62" t="str">
        <f>IFERROR(INDEX($H$2:$H$3000,MATCH(0,INDEX(COUNTIF($A$1:A451,$H$2:$H$3000)+($H$2:$H$3000=""),0,0),0)),"")</f>
        <v/>
      </c>
      <c r="B452" s="62" t="str">
        <f t="shared" si="28"/>
        <v/>
      </c>
      <c r="C452" s="62" t="str">
        <f t="shared" si="29"/>
        <v/>
      </c>
      <c r="D452" s="63" t="str">
        <f t="shared" si="30"/>
        <v/>
      </c>
      <c r="E452" s="62" t="str">
        <f>IF(D452="","",_xlfn.RANK.EQ(D452,$D$2:$D$1001,0)+COUNTIF($D$2:D452,D452)-1)</f>
        <v/>
      </c>
      <c r="F452" s="62" t="str">
        <f>IF(B452="","",--(COUNTIF(CN_Brands!$A$2:$A$300,UPPER(B452))&gt;0))</f>
        <v/>
      </c>
      <c r="G452" s="62" t="str">
        <f t="shared" si="31"/>
        <v/>
      </c>
      <c r="H452" s="62" t="str">
        <f>IF(AND('Data Export'!A452=前十整体车型排名!$B$2,'Data Export'!B452=前十整体车型排名!$B$3,'Data Export'!D452&lt;&gt;""),UPPER('Data Export'!C452)&amp;"♦"&amp;'Data Export'!D452,"")</f>
        <v>MAZDA♦MAZDA2</v>
      </c>
      <c r="I452" s="63">
        <f>IF(H452="","",IFERROR(INDEX('Data Export'!G452:CZ452,1,MATCH(前十整体车型排名!$B$4,'Data Export'!$G$1:$CZ$1,0)),0))</f>
        <v>390</v>
      </c>
      <c r="J452" s="62" t="str">
        <f>IF(H452="","",IF(OR('Data Export'!F452="三厢轿车",'Data Export'!F452="掀背轿车",'Data Export'!F452="旅行车",'Data Export'!F452="微型车",'Data Export'!F452="硬顶跑车",'Data Export'!F452="敞蓬车",'Data Export'!F452="Targa"),"轿车",IF(OR('Data Export'!F452="小型MPV",'Data Export'!F452="客车"),"MPV",IF('Data Export'!F452="运动型多功能车","SUV","其他"))))</f>
        <v>其他</v>
      </c>
      <c r="K452" s="62" t="str">
        <f>IF(OR(D452="",NOT(F452=1)),"",1+SUMPRODUCT(($F$2:$F$1001=1)*($D$2:$D$1001&gt;D452))+COUNTIFS($F$2:F452,1,$D$2:D452,D452)-1)</f>
        <v/>
      </c>
      <c r="L452" s="62" t="str">
        <f>IF(OR(D452="",NOT(G452="轿车")),"",1+SUMPRODUCT(($G$2:$G$1001="轿车")*($D$2:$D$1001&gt;D452))+COUNTIFS($G$2:G452,"轿车",$D$2:D452,D452)-1)</f>
        <v/>
      </c>
      <c r="M452" s="62" t="str">
        <f>IF(OR(D452="",NOT(G452="MPV")),"",1+SUMPRODUCT(($G$2:$G$1001="MPV")*($D$2:$D$1001&gt;D452))+COUNTIFS($G$2:G452,"MPV",$D$2:D452,D452)-1)</f>
        <v/>
      </c>
      <c r="N452" s="62" t="str">
        <f>IF(OR(D452="",NOT(G452="SUV")),"",1+SUMPRODUCT(($G$2:$G$1001="SUV")*($D$2:$D$1001&gt;D452))+COUNTIFS($G$2:G452,"SUV",$D$2:D452,D452)-1)</f>
        <v/>
      </c>
      <c r="O452" s="62" t="str">
        <f>IF(OR(D452="",NOT(AND(F452=1,G452="轿车"))),"",1+SUMPRODUCT(($F$2:$F$1001=1)*($G$2:$G$1001="轿车")*($D$2:$D$1001&gt;D452))+COUNTIFS($F$2:F452,1,$G$2:G452,"轿车",$D$2:D452,D452)-1)</f>
        <v/>
      </c>
      <c r="P452" s="62" t="str">
        <f>IF(OR(D452="",NOT(AND(F452=1,G452="MPV"))),"",1+SUMPRODUCT(($F$2:$F$1001=1)*($G$2:$G$1001="MPV")*($D$2:$D$1001&gt;D452))+COUNTIFS($F$2:F452,1,$G$2:G452,"MPV",$D$2:D452,D452)-1)</f>
        <v/>
      </c>
      <c r="Q452" s="62" t="str">
        <f>IF(OR(D452="",NOT(AND(F452=1,G452="SUV"))),"",1+SUMPRODUCT(($F$2:$F$1001=1)*($G$2:$G$1001="SUV")*($D$2:$D$1001&gt;D452))+COUNTIFS($F$2:F452,1,$G$2:G452,"SUV",$D$2:D452,D452)-1)</f>
        <v/>
      </c>
    </row>
    <row r="453" spans="1:17">
      <c r="A453" s="62" t="str">
        <f>IFERROR(INDEX($H$2:$H$3000,MATCH(0,INDEX(COUNTIF($A$1:A452,$H$2:$H$3000)+($H$2:$H$3000=""),0,0),0)),"")</f>
        <v/>
      </c>
      <c r="B453" s="62" t="str">
        <f t="shared" si="28"/>
        <v/>
      </c>
      <c r="C453" s="62" t="str">
        <f t="shared" si="29"/>
        <v/>
      </c>
      <c r="D453" s="63" t="str">
        <f t="shared" si="30"/>
        <v/>
      </c>
      <c r="E453" s="62" t="str">
        <f>IF(D453="","",_xlfn.RANK.EQ(D453,$D$2:$D$1001,0)+COUNTIF($D$2:D453,D453)-1)</f>
        <v/>
      </c>
      <c r="F453" s="62" t="str">
        <f>IF(B453="","",--(COUNTIF(CN_Brands!$A$2:$A$300,UPPER(B453))&gt;0))</f>
        <v/>
      </c>
      <c r="G453" s="62" t="str">
        <f t="shared" si="31"/>
        <v/>
      </c>
      <c r="H453" s="62" t="str">
        <f>IF(AND('Data Export'!A453=前十整体车型排名!$B$2,'Data Export'!B453=前十整体车型排名!$B$3,'Data Export'!D453&lt;&gt;""),UPPER('Data Export'!C453)&amp;"♦"&amp;'Data Export'!D453,"")</f>
        <v>MAZDA♦MAZDA3</v>
      </c>
      <c r="I453" s="63">
        <f>IF(H453="","",IFERROR(INDEX('Data Export'!G453:CZ453,1,MATCH(前十整体车型排名!$B$4,'Data Export'!$G$1:$CZ$1,0)),0))</f>
        <v>14</v>
      </c>
      <c r="J453" s="62" t="str">
        <f>IF(H453="","",IF(OR('Data Export'!F453="三厢轿车",'Data Export'!F453="掀背轿车",'Data Export'!F453="旅行车",'Data Export'!F453="微型车",'Data Export'!F453="硬顶跑车",'Data Export'!F453="敞蓬车",'Data Export'!F453="Targa"),"轿车",IF(OR('Data Export'!F453="小型MPV",'Data Export'!F453="客车"),"MPV",IF('Data Export'!F453="运动型多功能车","SUV","其他"))))</f>
        <v>其他</v>
      </c>
      <c r="K453" s="62" t="str">
        <f>IF(OR(D453="",NOT(F453=1)),"",1+SUMPRODUCT(($F$2:$F$1001=1)*($D$2:$D$1001&gt;D453))+COUNTIFS($F$2:F453,1,$D$2:D453,D453)-1)</f>
        <v/>
      </c>
      <c r="L453" s="62" t="str">
        <f>IF(OR(D453="",NOT(G453="轿车")),"",1+SUMPRODUCT(($G$2:$G$1001="轿车")*($D$2:$D$1001&gt;D453))+COUNTIFS($G$2:G453,"轿车",$D$2:D453,D453)-1)</f>
        <v/>
      </c>
      <c r="M453" s="62" t="str">
        <f>IF(OR(D453="",NOT(G453="MPV")),"",1+SUMPRODUCT(($G$2:$G$1001="MPV")*($D$2:$D$1001&gt;D453))+COUNTIFS($G$2:G453,"MPV",$D$2:D453,D453)-1)</f>
        <v/>
      </c>
      <c r="N453" s="62" t="str">
        <f>IF(OR(D453="",NOT(G453="SUV")),"",1+SUMPRODUCT(($G$2:$G$1001="SUV")*($D$2:$D$1001&gt;D453))+COUNTIFS($G$2:G453,"SUV",$D$2:D453,D453)-1)</f>
        <v/>
      </c>
      <c r="O453" s="62" t="str">
        <f>IF(OR(D453="",NOT(AND(F453=1,G453="轿车"))),"",1+SUMPRODUCT(($F$2:$F$1001=1)*($G$2:$G$1001="轿车")*($D$2:$D$1001&gt;D453))+COUNTIFS($F$2:F453,1,$G$2:G453,"轿车",$D$2:D453,D453)-1)</f>
        <v/>
      </c>
      <c r="P453" s="62" t="str">
        <f>IF(OR(D453="",NOT(AND(F453=1,G453="MPV"))),"",1+SUMPRODUCT(($F$2:$F$1001=1)*($G$2:$G$1001="MPV")*($D$2:$D$1001&gt;D453))+COUNTIFS($F$2:F453,1,$G$2:G453,"MPV",$D$2:D453,D453)-1)</f>
        <v/>
      </c>
      <c r="Q453" s="62" t="str">
        <f>IF(OR(D453="",NOT(AND(F453=1,G453="SUV"))),"",1+SUMPRODUCT(($F$2:$F$1001=1)*($G$2:$G$1001="SUV")*($D$2:$D$1001&gt;D453))+COUNTIFS($F$2:F453,1,$G$2:G453,"SUV",$D$2:D453,D453)-1)</f>
        <v/>
      </c>
    </row>
    <row r="454" spans="1:17">
      <c r="A454" s="62" t="str">
        <f>IFERROR(INDEX($H$2:$H$3000,MATCH(0,INDEX(COUNTIF($A$1:A453,$H$2:$H$3000)+($H$2:$H$3000=""),0,0),0)),"")</f>
        <v/>
      </c>
      <c r="B454" s="62" t="str">
        <f t="shared" si="28"/>
        <v/>
      </c>
      <c r="C454" s="62" t="str">
        <f t="shared" si="29"/>
        <v/>
      </c>
      <c r="D454" s="63" t="str">
        <f t="shared" si="30"/>
        <v/>
      </c>
      <c r="E454" s="62" t="str">
        <f>IF(D454="","",_xlfn.RANK.EQ(D454,$D$2:$D$1001,0)+COUNTIF($D$2:D454,D454)-1)</f>
        <v/>
      </c>
      <c r="F454" s="62" t="str">
        <f>IF(B454="","",--(COUNTIF(CN_Brands!$A$2:$A$300,UPPER(B454))&gt;0))</f>
        <v/>
      </c>
      <c r="G454" s="62" t="str">
        <f t="shared" si="31"/>
        <v/>
      </c>
      <c r="H454" s="62" t="str">
        <f>IF(AND('Data Export'!A454=前十整体车型排名!$B$2,'Data Export'!B454=前十整体车型排名!$B$3,'Data Export'!D454&lt;&gt;""),UPPER('Data Export'!C454)&amp;"♦"&amp;'Data Export'!D454,"")</f>
        <v>MAZDA♦MAZDA6</v>
      </c>
      <c r="I454" s="63">
        <f>IF(H454="","",IFERROR(INDEX('Data Export'!G454:CZ454,1,MATCH(前十整体车型排名!$B$4,'Data Export'!$G$1:$CZ$1,0)),0))</f>
        <v>0</v>
      </c>
      <c r="J454" s="62" t="str">
        <f>IF(H454="","",IF(OR('Data Export'!F454="三厢轿车",'Data Export'!F454="掀背轿车",'Data Export'!F454="旅行车",'Data Export'!F454="微型车",'Data Export'!F454="硬顶跑车",'Data Export'!F454="敞蓬车",'Data Export'!F454="Targa"),"轿车",IF(OR('Data Export'!F454="小型MPV",'Data Export'!F454="客车"),"MPV",IF('Data Export'!F454="运动型多功能车","SUV","其他"))))</f>
        <v>其他</v>
      </c>
      <c r="K454" s="62" t="str">
        <f>IF(OR(D454="",NOT(F454=1)),"",1+SUMPRODUCT(($F$2:$F$1001=1)*($D$2:$D$1001&gt;D454))+COUNTIFS($F$2:F454,1,$D$2:D454,D454)-1)</f>
        <v/>
      </c>
      <c r="L454" s="62" t="str">
        <f>IF(OR(D454="",NOT(G454="轿车")),"",1+SUMPRODUCT(($G$2:$G$1001="轿车")*($D$2:$D$1001&gt;D454))+COUNTIFS($G$2:G454,"轿车",$D$2:D454,D454)-1)</f>
        <v/>
      </c>
      <c r="M454" s="62" t="str">
        <f>IF(OR(D454="",NOT(G454="MPV")),"",1+SUMPRODUCT(($G$2:$G$1001="MPV")*($D$2:$D$1001&gt;D454))+COUNTIFS($G$2:G454,"MPV",$D$2:D454,D454)-1)</f>
        <v/>
      </c>
      <c r="N454" s="62" t="str">
        <f>IF(OR(D454="",NOT(G454="SUV")),"",1+SUMPRODUCT(($G$2:$G$1001="SUV")*($D$2:$D$1001&gt;D454))+COUNTIFS($G$2:G454,"SUV",$D$2:D454,D454)-1)</f>
        <v/>
      </c>
      <c r="O454" s="62" t="str">
        <f>IF(OR(D454="",NOT(AND(F454=1,G454="轿车"))),"",1+SUMPRODUCT(($F$2:$F$1001=1)*($G$2:$G$1001="轿车")*($D$2:$D$1001&gt;D454))+COUNTIFS($F$2:F454,1,$G$2:G454,"轿车",$D$2:D454,D454)-1)</f>
        <v/>
      </c>
      <c r="P454" s="62" t="str">
        <f>IF(OR(D454="",NOT(AND(F454=1,G454="MPV"))),"",1+SUMPRODUCT(($F$2:$F$1001=1)*($G$2:$G$1001="MPV")*($D$2:$D$1001&gt;D454))+COUNTIFS($F$2:F454,1,$G$2:G454,"MPV",$D$2:D454,D454)-1)</f>
        <v/>
      </c>
      <c r="Q454" s="62" t="str">
        <f>IF(OR(D454="",NOT(AND(F454=1,G454="SUV"))),"",1+SUMPRODUCT(($F$2:$F$1001=1)*($G$2:$G$1001="SUV")*($D$2:$D$1001&gt;D454))+COUNTIFS($F$2:F454,1,$G$2:G454,"SUV",$D$2:D454,D454)-1)</f>
        <v/>
      </c>
    </row>
    <row r="455" spans="1:17">
      <c r="A455" s="62" t="str">
        <f>IFERROR(INDEX($H$2:$H$3000,MATCH(0,INDEX(COUNTIF($A$1:A454,$H$2:$H$3000)+($H$2:$H$3000=""),0,0),0)),"")</f>
        <v/>
      </c>
      <c r="B455" s="62" t="str">
        <f t="shared" si="28"/>
        <v/>
      </c>
      <c r="C455" s="62" t="str">
        <f t="shared" si="29"/>
        <v/>
      </c>
      <c r="D455" s="63" t="str">
        <f t="shared" si="30"/>
        <v/>
      </c>
      <c r="E455" s="62" t="str">
        <f>IF(D455="","",_xlfn.RANK.EQ(D455,$D$2:$D$1001,0)+COUNTIF($D$2:D455,D455)-1)</f>
        <v/>
      </c>
      <c r="F455" s="62" t="str">
        <f>IF(B455="","",--(COUNTIF(CN_Brands!$A$2:$A$300,UPPER(B455))&gt;0))</f>
        <v/>
      </c>
      <c r="G455" s="62" t="str">
        <f t="shared" si="31"/>
        <v/>
      </c>
      <c r="H455" s="62" t="str">
        <f>IF(AND('Data Export'!A455=前十整体车型排名!$B$2,'Data Export'!B455=前十整体车型排名!$B$3,'Data Export'!D455&lt;&gt;""),UPPER('Data Export'!C455)&amp;"♦"&amp;'Data Export'!D455,"")</f>
        <v>MAZDA♦MAZDA6</v>
      </c>
      <c r="I455" s="63">
        <f>IF(H455="","",IFERROR(INDEX('Data Export'!G455:CZ455,1,MATCH(前十整体车型排名!$B$4,'Data Export'!$G$1:$CZ$1,0)),0))</f>
        <v>0</v>
      </c>
      <c r="J455" s="62" t="str">
        <f>IF(H455="","",IF(OR('Data Export'!F455="三厢轿车",'Data Export'!F455="掀背轿车",'Data Export'!F455="旅行车",'Data Export'!F455="微型车",'Data Export'!F455="硬顶跑车",'Data Export'!F455="敞蓬车",'Data Export'!F455="Targa"),"轿车",IF(OR('Data Export'!F455="小型MPV",'Data Export'!F455="客车"),"MPV",IF('Data Export'!F455="运动型多功能车","SUV","其他"))))</f>
        <v>轿车</v>
      </c>
      <c r="K455" s="62" t="str">
        <f>IF(OR(D455="",NOT(F455=1)),"",1+SUMPRODUCT(($F$2:$F$1001=1)*($D$2:$D$1001&gt;D455))+COUNTIFS($F$2:F455,1,$D$2:D455,D455)-1)</f>
        <v/>
      </c>
      <c r="L455" s="62" t="str">
        <f>IF(OR(D455="",NOT(G455="轿车")),"",1+SUMPRODUCT(($G$2:$G$1001="轿车")*($D$2:$D$1001&gt;D455))+COUNTIFS($G$2:G455,"轿车",$D$2:D455,D455)-1)</f>
        <v/>
      </c>
      <c r="M455" s="62" t="str">
        <f>IF(OR(D455="",NOT(G455="MPV")),"",1+SUMPRODUCT(($G$2:$G$1001="MPV")*($D$2:$D$1001&gt;D455))+COUNTIFS($G$2:G455,"MPV",$D$2:D455,D455)-1)</f>
        <v/>
      </c>
      <c r="N455" s="62" t="str">
        <f>IF(OR(D455="",NOT(G455="SUV")),"",1+SUMPRODUCT(($G$2:$G$1001="SUV")*($D$2:$D$1001&gt;D455))+COUNTIFS($G$2:G455,"SUV",$D$2:D455,D455)-1)</f>
        <v/>
      </c>
      <c r="O455" s="62" t="str">
        <f>IF(OR(D455="",NOT(AND(F455=1,G455="轿车"))),"",1+SUMPRODUCT(($F$2:$F$1001=1)*($G$2:$G$1001="轿车")*($D$2:$D$1001&gt;D455))+COUNTIFS($F$2:F455,1,$G$2:G455,"轿车",$D$2:D455,D455)-1)</f>
        <v/>
      </c>
      <c r="P455" s="62" t="str">
        <f>IF(OR(D455="",NOT(AND(F455=1,G455="MPV"))),"",1+SUMPRODUCT(($F$2:$F$1001=1)*($G$2:$G$1001="MPV")*($D$2:$D$1001&gt;D455))+COUNTIFS($F$2:F455,1,$G$2:G455,"MPV",$D$2:D455,D455)-1)</f>
        <v/>
      </c>
      <c r="Q455" s="62" t="str">
        <f>IF(OR(D455="",NOT(AND(F455=1,G455="SUV"))),"",1+SUMPRODUCT(($F$2:$F$1001=1)*($G$2:$G$1001="SUV")*($D$2:$D$1001&gt;D455))+COUNTIFS($F$2:F455,1,$G$2:G455,"SUV",$D$2:D455,D455)-1)</f>
        <v/>
      </c>
    </row>
    <row r="456" spans="1:17">
      <c r="A456" s="62" t="str">
        <f>IFERROR(INDEX($H$2:$H$3000,MATCH(0,INDEX(COUNTIF($A$1:A455,$H$2:$H$3000)+($H$2:$H$3000=""),0,0),0)),"")</f>
        <v/>
      </c>
      <c r="B456" s="62" t="str">
        <f t="shared" si="28"/>
        <v/>
      </c>
      <c r="C456" s="62" t="str">
        <f t="shared" si="29"/>
        <v/>
      </c>
      <c r="D456" s="63" t="str">
        <f t="shared" si="30"/>
        <v/>
      </c>
      <c r="E456" s="62" t="str">
        <f>IF(D456="","",_xlfn.RANK.EQ(D456,$D$2:$D$1001,0)+COUNTIF($D$2:D456,D456)-1)</f>
        <v/>
      </c>
      <c r="F456" s="62" t="str">
        <f>IF(B456="","",--(COUNTIF(CN_Brands!$A$2:$A$300,UPPER(B456))&gt;0))</f>
        <v/>
      </c>
      <c r="G456" s="62" t="str">
        <f t="shared" si="31"/>
        <v/>
      </c>
      <c r="H456" s="62" t="str">
        <f>IF(AND('Data Export'!A456=前十整体车型排名!$B$2,'Data Export'!B456=前十整体车型排名!$B$3,'Data Export'!D456&lt;&gt;""),UPPER('Data Export'!C456)&amp;"♦"&amp;'Data Export'!D456,"")</f>
        <v>MAZDA♦MAZDA6</v>
      </c>
      <c r="I456" s="63">
        <f>IF(H456="","",IFERROR(INDEX('Data Export'!G456:CZ456,1,MATCH(前十整体车型排名!$B$4,'Data Export'!$G$1:$CZ$1,0)),0))</f>
        <v>55</v>
      </c>
      <c r="J456" s="62" t="str">
        <f>IF(H456="","",IF(OR('Data Export'!F456="三厢轿车",'Data Export'!F456="掀背轿车",'Data Export'!F456="旅行车",'Data Export'!F456="微型车",'Data Export'!F456="硬顶跑车",'Data Export'!F456="敞蓬车",'Data Export'!F456="Targa"),"轿车",IF(OR('Data Export'!F456="小型MPV",'Data Export'!F456="客车"),"MPV",IF('Data Export'!F456="运动型多功能车","SUV","其他"))))</f>
        <v>轿车</v>
      </c>
      <c r="K456" s="62" t="str">
        <f>IF(OR(D456="",NOT(F456=1)),"",1+SUMPRODUCT(($F$2:$F$1001=1)*($D$2:$D$1001&gt;D456))+COUNTIFS($F$2:F456,1,$D$2:D456,D456)-1)</f>
        <v/>
      </c>
      <c r="L456" s="62" t="str">
        <f>IF(OR(D456="",NOT(G456="轿车")),"",1+SUMPRODUCT(($G$2:$G$1001="轿车")*($D$2:$D$1001&gt;D456))+COUNTIFS($G$2:G456,"轿车",$D$2:D456,D456)-1)</f>
        <v/>
      </c>
      <c r="M456" s="62" t="str">
        <f>IF(OR(D456="",NOT(G456="MPV")),"",1+SUMPRODUCT(($G$2:$G$1001="MPV")*($D$2:$D$1001&gt;D456))+COUNTIFS($G$2:G456,"MPV",$D$2:D456,D456)-1)</f>
        <v/>
      </c>
      <c r="N456" s="62" t="str">
        <f>IF(OR(D456="",NOT(G456="SUV")),"",1+SUMPRODUCT(($G$2:$G$1001="SUV")*($D$2:$D$1001&gt;D456))+COUNTIFS($G$2:G456,"SUV",$D$2:D456,D456)-1)</f>
        <v/>
      </c>
      <c r="O456" s="62" t="str">
        <f>IF(OR(D456="",NOT(AND(F456=1,G456="轿车"))),"",1+SUMPRODUCT(($F$2:$F$1001=1)*($G$2:$G$1001="轿车")*($D$2:$D$1001&gt;D456))+COUNTIFS($F$2:F456,1,$G$2:G456,"轿车",$D$2:D456,D456)-1)</f>
        <v/>
      </c>
      <c r="P456" s="62" t="str">
        <f>IF(OR(D456="",NOT(AND(F456=1,G456="MPV"))),"",1+SUMPRODUCT(($F$2:$F$1001=1)*($G$2:$G$1001="MPV")*($D$2:$D$1001&gt;D456))+COUNTIFS($F$2:F456,1,$G$2:G456,"MPV",$D$2:D456,D456)-1)</f>
        <v/>
      </c>
      <c r="Q456" s="62" t="str">
        <f>IF(OR(D456="",NOT(AND(F456=1,G456="SUV"))),"",1+SUMPRODUCT(($F$2:$F$1001=1)*($G$2:$G$1001="SUV")*($D$2:$D$1001&gt;D456))+COUNTIFS($F$2:F456,1,$G$2:G456,"SUV",$D$2:D456,D456)-1)</f>
        <v/>
      </c>
    </row>
    <row r="457" spans="1:17">
      <c r="A457" s="62" t="str">
        <f>IFERROR(INDEX($H$2:$H$3000,MATCH(0,INDEX(COUNTIF($A$1:A456,$H$2:$H$3000)+($H$2:$H$3000=""),0,0),0)),"")</f>
        <v/>
      </c>
      <c r="B457" s="62" t="str">
        <f t="shared" si="28"/>
        <v/>
      </c>
      <c r="C457" s="62" t="str">
        <f t="shared" si="29"/>
        <v/>
      </c>
      <c r="D457" s="63" t="str">
        <f t="shared" si="30"/>
        <v/>
      </c>
      <c r="E457" s="62" t="str">
        <f>IF(D457="","",_xlfn.RANK.EQ(D457,$D$2:$D$1001,0)+COUNTIF($D$2:D457,D457)-1)</f>
        <v/>
      </c>
      <c r="F457" s="62" t="str">
        <f>IF(B457="","",--(COUNTIF(CN_Brands!$A$2:$A$300,UPPER(B457))&gt;0))</f>
        <v/>
      </c>
      <c r="G457" s="62" t="str">
        <f t="shared" si="31"/>
        <v/>
      </c>
      <c r="H457" s="62" t="str">
        <f>IF(AND('Data Export'!A457=前十整体车型排名!$B$2,'Data Export'!B457=前十整体车型排名!$B$3,'Data Export'!D457&lt;&gt;""),UPPER('Data Export'!C457)&amp;"♦"&amp;'Data Export'!D457,"")</f>
        <v>MAZDA♦MX-5</v>
      </c>
      <c r="I457" s="63">
        <f>IF(H457="","",IFERROR(INDEX('Data Export'!G457:CZ457,1,MATCH(前十整体车型排名!$B$4,'Data Export'!$G$1:$CZ$1,0)),0))</f>
        <v>0</v>
      </c>
      <c r="J457" s="62" t="str">
        <f>IF(H457="","",IF(OR('Data Export'!F457="三厢轿车",'Data Export'!F457="掀背轿车",'Data Export'!F457="旅行车",'Data Export'!F457="微型车",'Data Export'!F457="硬顶跑车",'Data Export'!F457="敞蓬车",'Data Export'!F457="Targa"),"轿车",IF(OR('Data Export'!F457="小型MPV",'Data Export'!F457="客车"),"MPV",IF('Data Export'!F457="运动型多功能车","SUV","其他"))))</f>
        <v>轿车</v>
      </c>
      <c r="K457" s="62" t="str">
        <f>IF(OR(D457="",NOT(F457=1)),"",1+SUMPRODUCT(($F$2:$F$1001=1)*($D$2:$D$1001&gt;D457))+COUNTIFS($F$2:F457,1,$D$2:D457,D457)-1)</f>
        <v/>
      </c>
      <c r="L457" s="62" t="str">
        <f>IF(OR(D457="",NOT(G457="轿车")),"",1+SUMPRODUCT(($G$2:$G$1001="轿车")*($D$2:$D$1001&gt;D457))+COUNTIFS($G$2:G457,"轿车",$D$2:D457,D457)-1)</f>
        <v/>
      </c>
      <c r="M457" s="62" t="str">
        <f>IF(OR(D457="",NOT(G457="MPV")),"",1+SUMPRODUCT(($G$2:$G$1001="MPV")*($D$2:$D$1001&gt;D457))+COUNTIFS($G$2:G457,"MPV",$D$2:D457,D457)-1)</f>
        <v/>
      </c>
      <c r="N457" s="62" t="str">
        <f>IF(OR(D457="",NOT(G457="SUV")),"",1+SUMPRODUCT(($G$2:$G$1001="SUV")*($D$2:$D$1001&gt;D457))+COUNTIFS($G$2:G457,"SUV",$D$2:D457,D457)-1)</f>
        <v/>
      </c>
      <c r="O457" s="62" t="str">
        <f>IF(OR(D457="",NOT(AND(F457=1,G457="轿车"))),"",1+SUMPRODUCT(($F$2:$F$1001=1)*($G$2:$G$1001="轿车")*($D$2:$D$1001&gt;D457))+COUNTIFS($F$2:F457,1,$G$2:G457,"轿车",$D$2:D457,D457)-1)</f>
        <v/>
      </c>
      <c r="P457" s="62" t="str">
        <f>IF(OR(D457="",NOT(AND(F457=1,G457="MPV"))),"",1+SUMPRODUCT(($F$2:$F$1001=1)*($G$2:$G$1001="MPV")*($D$2:$D$1001&gt;D457))+COUNTIFS($F$2:F457,1,$G$2:G457,"MPV",$D$2:D457,D457)-1)</f>
        <v/>
      </c>
      <c r="Q457" s="62" t="str">
        <f>IF(OR(D457="",NOT(AND(F457=1,G457="SUV"))),"",1+SUMPRODUCT(($F$2:$F$1001=1)*($G$2:$G$1001="SUV")*($D$2:$D$1001&gt;D457))+COUNTIFS($F$2:F457,1,$G$2:G457,"SUV",$D$2:D457,D457)-1)</f>
        <v/>
      </c>
    </row>
    <row r="458" spans="1:17">
      <c r="A458" s="62" t="str">
        <f>IFERROR(INDEX($H$2:$H$3000,MATCH(0,INDEX(COUNTIF($A$1:A457,$H$2:$H$3000)+($H$2:$H$3000=""),0,0),0)),"")</f>
        <v/>
      </c>
      <c r="B458" s="62" t="str">
        <f t="shared" si="28"/>
        <v/>
      </c>
      <c r="C458" s="62" t="str">
        <f t="shared" si="29"/>
        <v/>
      </c>
      <c r="D458" s="63" t="str">
        <f t="shared" si="30"/>
        <v/>
      </c>
      <c r="E458" s="62" t="str">
        <f>IF(D458="","",_xlfn.RANK.EQ(D458,$D$2:$D$1001,0)+COUNTIF($D$2:D458,D458)-1)</f>
        <v/>
      </c>
      <c r="F458" s="62" t="str">
        <f>IF(B458="","",--(COUNTIF(CN_Brands!$A$2:$A$300,UPPER(B458))&gt;0))</f>
        <v/>
      </c>
      <c r="G458" s="62" t="str">
        <f t="shared" si="31"/>
        <v/>
      </c>
      <c r="H458" s="62" t="str">
        <f>IF(AND('Data Export'!A458=前十整体车型排名!$B$2,'Data Export'!B458=前十整体车型排名!$B$3,'Data Export'!D458&lt;&gt;""),UPPER('Data Export'!C458)&amp;"♦"&amp;'Data Export'!D458,"")</f>
        <v>MAZDA♦MX-5</v>
      </c>
      <c r="I458" s="63">
        <f>IF(H458="","",IFERROR(INDEX('Data Export'!G458:CZ458,1,MATCH(前十整体车型排名!$B$4,'Data Export'!$G$1:$CZ$1,0)),0))</f>
        <v>0</v>
      </c>
      <c r="J458" s="62" t="str">
        <f>IF(H458="","",IF(OR('Data Export'!F458="三厢轿车",'Data Export'!F458="掀背轿车",'Data Export'!F458="旅行车",'Data Export'!F458="微型车",'Data Export'!F458="硬顶跑车",'Data Export'!F458="敞蓬车",'Data Export'!F458="Targa"),"轿车",IF(OR('Data Export'!F458="小型MPV",'Data Export'!F458="客车"),"MPV",IF('Data Export'!F458="运动型多功能车","SUV","其他"))))</f>
        <v>轿车</v>
      </c>
      <c r="K458" s="62" t="str">
        <f>IF(OR(D458="",NOT(F458=1)),"",1+SUMPRODUCT(($F$2:$F$1001=1)*($D$2:$D$1001&gt;D458))+COUNTIFS($F$2:F458,1,$D$2:D458,D458)-1)</f>
        <v/>
      </c>
      <c r="L458" s="62" t="str">
        <f>IF(OR(D458="",NOT(G458="轿车")),"",1+SUMPRODUCT(($G$2:$G$1001="轿车")*($D$2:$D$1001&gt;D458))+COUNTIFS($G$2:G458,"轿车",$D$2:D458,D458)-1)</f>
        <v/>
      </c>
      <c r="M458" s="62" t="str">
        <f>IF(OR(D458="",NOT(G458="MPV")),"",1+SUMPRODUCT(($G$2:$G$1001="MPV")*($D$2:$D$1001&gt;D458))+COUNTIFS($G$2:G458,"MPV",$D$2:D458,D458)-1)</f>
        <v/>
      </c>
      <c r="N458" s="62" t="str">
        <f>IF(OR(D458="",NOT(G458="SUV")),"",1+SUMPRODUCT(($G$2:$G$1001="SUV")*($D$2:$D$1001&gt;D458))+COUNTIFS($G$2:G458,"SUV",$D$2:D458,D458)-1)</f>
        <v/>
      </c>
      <c r="O458" s="62" t="str">
        <f>IF(OR(D458="",NOT(AND(F458=1,G458="轿车"))),"",1+SUMPRODUCT(($F$2:$F$1001=1)*($G$2:$G$1001="轿车")*($D$2:$D$1001&gt;D458))+COUNTIFS($F$2:F458,1,$G$2:G458,"轿车",$D$2:D458,D458)-1)</f>
        <v/>
      </c>
      <c r="P458" s="62" t="str">
        <f>IF(OR(D458="",NOT(AND(F458=1,G458="MPV"))),"",1+SUMPRODUCT(($F$2:$F$1001=1)*($G$2:$G$1001="MPV")*($D$2:$D$1001&gt;D458))+COUNTIFS($F$2:F458,1,$G$2:G458,"MPV",$D$2:D458,D458)-1)</f>
        <v/>
      </c>
      <c r="Q458" s="62" t="str">
        <f>IF(OR(D458="",NOT(AND(F458=1,G458="SUV"))),"",1+SUMPRODUCT(($F$2:$F$1001=1)*($G$2:$G$1001="SUV")*($D$2:$D$1001&gt;D458))+COUNTIFS($F$2:F458,1,$G$2:G458,"SUV",$D$2:D458,D458)-1)</f>
        <v/>
      </c>
    </row>
    <row r="459" spans="1:17">
      <c r="A459" s="62" t="str">
        <f>IFERROR(INDEX($H$2:$H$3000,MATCH(0,INDEX(COUNTIF($A$1:A458,$H$2:$H$3000)+($H$2:$H$3000=""),0,0),0)),"")</f>
        <v/>
      </c>
      <c r="B459" s="62" t="str">
        <f t="shared" si="28"/>
        <v/>
      </c>
      <c r="C459" s="62" t="str">
        <f t="shared" si="29"/>
        <v/>
      </c>
      <c r="D459" s="63" t="str">
        <f t="shared" si="30"/>
        <v/>
      </c>
      <c r="E459" s="62" t="str">
        <f>IF(D459="","",_xlfn.RANK.EQ(D459,$D$2:$D$1001,0)+COUNTIF($D$2:D459,D459)-1)</f>
        <v/>
      </c>
      <c r="F459" s="62" t="str">
        <f>IF(B459="","",--(COUNTIF(CN_Brands!$A$2:$A$300,UPPER(B459))&gt;0))</f>
        <v/>
      </c>
      <c r="G459" s="62" t="str">
        <f t="shared" si="31"/>
        <v/>
      </c>
      <c r="H459" s="62" t="str">
        <f>IF(AND('Data Export'!A459=前十整体车型排名!$B$2,'Data Export'!B459=前十整体车型排名!$B$3,'Data Export'!D459&lt;&gt;""),UPPER('Data Export'!C459)&amp;"♦"&amp;'Data Export'!D459,"")</f>
        <v>MAZDA♦MX-5</v>
      </c>
      <c r="I459" s="63">
        <f>IF(H459="","",IFERROR(INDEX('Data Export'!G459:CZ459,1,MATCH(前十整体车型排名!$B$4,'Data Export'!$G$1:$CZ$1,0)),0))</f>
        <v>0</v>
      </c>
      <c r="J459" s="62" t="str">
        <f>IF(H459="","",IF(OR('Data Export'!F459="三厢轿车",'Data Export'!F459="掀背轿车",'Data Export'!F459="旅行车",'Data Export'!F459="微型车",'Data Export'!F459="硬顶跑车",'Data Export'!F459="敞蓬车",'Data Export'!F459="Targa"),"轿车",IF(OR('Data Export'!F459="小型MPV",'Data Export'!F459="客车"),"MPV",IF('Data Export'!F459="运动型多功能车","SUV","其他"))))</f>
        <v>轿车</v>
      </c>
      <c r="K459" s="62" t="str">
        <f>IF(OR(D459="",NOT(F459=1)),"",1+SUMPRODUCT(($F$2:$F$1001=1)*($D$2:$D$1001&gt;D459))+COUNTIFS($F$2:F459,1,$D$2:D459,D459)-1)</f>
        <v/>
      </c>
      <c r="L459" s="62" t="str">
        <f>IF(OR(D459="",NOT(G459="轿车")),"",1+SUMPRODUCT(($G$2:$G$1001="轿车")*($D$2:$D$1001&gt;D459))+COUNTIFS($G$2:G459,"轿车",$D$2:D459,D459)-1)</f>
        <v/>
      </c>
      <c r="M459" s="62" t="str">
        <f>IF(OR(D459="",NOT(G459="MPV")),"",1+SUMPRODUCT(($G$2:$G$1001="MPV")*($D$2:$D$1001&gt;D459))+COUNTIFS($G$2:G459,"MPV",$D$2:D459,D459)-1)</f>
        <v/>
      </c>
      <c r="N459" s="62" t="str">
        <f>IF(OR(D459="",NOT(G459="SUV")),"",1+SUMPRODUCT(($G$2:$G$1001="SUV")*($D$2:$D$1001&gt;D459))+COUNTIFS($G$2:G459,"SUV",$D$2:D459,D459)-1)</f>
        <v/>
      </c>
      <c r="O459" s="62" t="str">
        <f>IF(OR(D459="",NOT(AND(F459=1,G459="轿车"))),"",1+SUMPRODUCT(($F$2:$F$1001=1)*($G$2:$G$1001="轿车")*($D$2:$D$1001&gt;D459))+COUNTIFS($F$2:F459,1,$G$2:G459,"轿车",$D$2:D459,D459)-1)</f>
        <v/>
      </c>
      <c r="P459" s="62" t="str">
        <f>IF(OR(D459="",NOT(AND(F459=1,G459="MPV"))),"",1+SUMPRODUCT(($F$2:$F$1001=1)*($G$2:$G$1001="MPV")*($D$2:$D$1001&gt;D459))+COUNTIFS($F$2:F459,1,$G$2:G459,"MPV",$D$2:D459,D459)-1)</f>
        <v/>
      </c>
      <c r="Q459" s="62" t="str">
        <f>IF(OR(D459="",NOT(AND(F459=1,G459="SUV"))),"",1+SUMPRODUCT(($F$2:$F$1001=1)*($G$2:$G$1001="SUV")*($D$2:$D$1001&gt;D459))+COUNTIFS($F$2:F459,1,$G$2:G459,"SUV",$D$2:D459,D459)-1)</f>
        <v/>
      </c>
    </row>
    <row r="460" spans="1:17">
      <c r="A460" s="62" t="str">
        <f>IFERROR(INDEX($H$2:$H$3000,MATCH(0,INDEX(COUNTIF($A$1:A459,$H$2:$H$3000)+($H$2:$H$3000=""),0,0),0)),"")</f>
        <v/>
      </c>
      <c r="B460" s="62" t="str">
        <f t="shared" si="28"/>
        <v/>
      </c>
      <c r="C460" s="62" t="str">
        <f t="shared" si="29"/>
        <v/>
      </c>
      <c r="D460" s="63" t="str">
        <f t="shared" si="30"/>
        <v/>
      </c>
      <c r="E460" s="62" t="str">
        <f>IF(D460="","",_xlfn.RANK.EQ(D460,$D$2:$D$1001,0)+COUNTIF($D$2:D460,D460)-1)</f>
        <v/>
      </c>
      <c r="F460" s="62" t="str">
        <f>IF(B460="","",--(COUNTIF(CN_Brands!$A$2:$A$300,UPPER(B460))&gt;0))</f>
        <v/>
      </c>
      <c r="G460" s="62" t="str">
        <f t="shared" si="31"/>
        <v/>
      </c>
      <c r="H460" s="62" t="str">
        <f>IF(AND('Data Export'!A460=前十整体车型排名!$B$2,'Data Export'!B460=前十整体车型排名!$B$3,'Data Export'!D460&lt;&gt;""),UPPER('Data Export'!C460)&amp;"♦"&amp;'Data Export'!D460,"")</f>
        <v>MAZDA♦ROADSTER</v>
      </c>
      <c r="I460" s="63">
        <f>IF(H460="","",IFERROR(INDEX('Data Export'!G460:CZ460,1,MATCH(前十整体车型排名!$B$4,'Data Export'!$G$1:$CZ$1,0)),0))</f>
        <v>0</v>
      </c>
      <c r="J460" s="62" t="str">
        <f>IF(H460="","",IF(OR('Data Export'!F460="三厢轿车",'Data Export'!F460="掀背轿车",'Data Export'!F460="旅行车",'Data Export'!F460="微型车",'Data Export'!F460="硬顶跑车",'Data Export'!F460="敞蓬车",'Data Export'!F460="Targa"),"轿车",IF(OR('Data Export'!F460="小型MPV",'Data Export'!F460="客车"),"MPV",IF('Data Export'!F460="运动型多功能车","SUV","其他"))))</f>
        <v>其他</v>
      </c>
      <c r="K460" s="62" t="str">
        <f>IF(OR(D460="",NOT(F460=1)),"",1+SUMPRODUCT(($F$2:$F$1001=1)*($D$2:$D$1001&gt;D460))+COUNTIFS($F$2:F460,1,$D$2:D460,D460)-1)</f>
        <v/>
      </c>
      <c r="L460" s="62" t="str">
        <f>IF(OR(D460="",NOT(G460="轿车")),"",1+SUMPRODUCT(($G$2:$G$1001="轿车")*($D$2:$D$1001&gt;D460))+COUNTIFS($G$2:G460,"轿车",$D$2:D460,D460)-1)</f>
        <v/>
      </c>
      <c r="M460" s="62" t="str">
        <f>IF(OR(D460="",NOT(G460="MPV")),"",1+SUMPRODUCT(($G$2:$G$1001="MPV")*($D$2:$D$1001&gt;D460))+COUNTIFS($G$2:G460,"MPV",$D$2:D460,D460)-1)</f>
        <v/>
      </c>
      <c r="N460" s="62" t="str">
        <f>IF(OR(D460="",NOT(G460="SUV")),"",1+SUMPRODUCT(($G$2:$G$1001="SUV")*($D$2:$D$1001&gt;D460))+COUNTIFS($G$2:G460,"SUV",$D$2:D460,D460)-1)</f>
        <v/>
      </c>
      <c r="O460" s="62" t="str">
        <f>IF(OR(D460="",NOT(AND(F460=1,G460="轿车"))),"",1+SUMPRODUCT(($F$2:$F$1001=1)*($G$2:$G$1001="轿车")*($D$2:$D$1001&gt;D460))+COUNTIFS($F$2:F460,1,$G$2:G460,"轿车",$D$2:D460,D460)-1)</f>
        <v/>
      </c>
      <c r="P460" s="62" t="str">
        <f>IF(OR(D460="",NOT(AND(F460=1,G460="MPV"))),"",1+SUMPRODUCT(($F$2:$F$1001=1)*($G$2:$G$1001="MPV")*($D$2:$D$1001&gt;D460))+COUNTIFS($F$2:F460,1,$G$2:G460,"MPV",$D$2:D460,D460)-1)</f>
        <v/>
      </c>
      <c r="Q460" s="62" t="str">
        <f>IF(OR(D460="",NOT(AND(F460=1,G460="SUV"))),"",1+SUMPRODUCT(($F$2:$F$1001=1)*($G$2:$G$1001="SUV")*($D$2:$D$1001&gt;D460))+COUNTIFS($F$2:F460,1,$G$2:G460,"SUV",$D$2:D460,D460)-1)</f>
        <v/>
      </c>
    </row>
    <row r="461" spans="1:17">
      <c r="A461" s="62" t="str">
        <f>IFERROR(INDEX($H$2:$H$3000,MATCH(0,INDEX(COUNTIF($A$1:A460,$H$2:$H$3000)+($H$2:$H$3000=""),0,0),0)),"")</f>
        <v/>
      </c>
      <c r="B461" s="62" t="str">
        <f t="shared" si="28"/>
        <v/>
      </c>
      <c r="C461" s="62" t="str">
        <f t="shared" si="29"/>
        <v/>
      </c>
      <c r="D461" s="63" t="str">
        <f t="shared" si="30"/>
        <v/>
      </c>
      <c r="E461" s="62" t="str">
        <f>IF(D461="","",_xlfn.RANK.EQ(D461,$D$2:$D$1001,0)+COUNTIF($D$2:D461,D461)-1)</f>
        <v/>
      </c>
      <c r="F461" s="62" t="str">
        <f>IF(B461="","",--(COUNTIF(CN_Brands!$A$2:$A$300,UPPER(B461))&gt;0))</f>
        <v/>
      </c>
      <c r="G461" s="62" t="str">
        <f t="shared" si="31"/>
        <v/>
      </c>
      <c r="H461" s="62" t="str">
        <f>IF(AND('Data Export'!A461=前十整体车型排名!$B$2,'Data Export'!B461=前十整体车型排名!$B$3,'Data Export'!D461&lt;&gt;""),UPPER('Data Export'!C461)&amp;"♦"&amp;'Data Export'!D461,"")</f>
        <v>MAZDA♦ROADSTER</v>
      </c>
      <c r="I461" s="63">
        <f>IF(H461="","",IFERROR(INDEX('Data Export'!G461:CZ461,1,MATCH(前十整体车型排名!$B$4,'Data Export'!$G$1:$CZ$1,0)),0))</f>
        <v>0</v>
      </c>
      <c r="J461" s="62" t="str">
        <f>IF(H461="","",IF(OR('Data Export'!F461="三厢轿车",'Data Export'!F461="掀背轿车",'Data Export'!F461="旅行车",'Data Export'!F461="微型车",'Data Export'!F461="硬顶跑车",'Data Export'!F461="敞蓬车",'Data Export'!F461="Targa"),"轿车",IF(OR('Data Export'!F461="小型MPV",'Data Export'!F461="客车"),"MPV",IF('Data Export'!F461="运动型多功能车","SUV","其他"))))</f>
        <v>其他</v>
      </c>
      <c r="K461" s="62" t="str">
        <f>IF(OR(D461="",NOT(F461=1)),"",1+SUMPRODUCT(($F$2:$F$1001=1)*($D$2:$D$1001&gt;D461))+COUNTIFS($F$2:F461,1,$D$2:D461,D461)-1)</f>
        <v/>
      </c>
      <c r="L461" s="62" t="str">
        <f>IF(OR(D461="",NOT(G461="轿车")),"",1+SUMPRODUCT(($G$2:$G$1001="轿车")*($D$2:$D$1001&gt;D461))+COUNTIFS($G$2:G461,"轿车",$D$2:D461,D461)-1)</f>
        <v/>
      </c>
      <c r="M461" s="62" t="str">
        <f>IF(OR(D461="",NOT(G461="MPV")),"",1+SUMPRODUCT(($G$2:$G$1001="MPV")*($D$2:$D$1001&gt;D461))+COUNTIFS($G$2:G461,"MPV",$D$2:D461,D461)-1)</f>
        <v/>
      </c>
      <c r="N461" s="62" t="str">
        <f>IF(OR(D461="",NOT(G461="SUV")),"",1+SUMPRODUCT(($G$2:$G$1001="SUV")*($D$2:$D$1001&gt;D461))+COUNTIFS($G$2:G461,"SUV",$D$2:D461,D461)-1)</f>
        <v/>
      </c>
      <c r="O461" s="62" t="str">
        <f>IF(OR(D461="",NOT(AND(F461=1,G461="轿车"))),"",1+SUMPRODUCT(($F$2:$F$1001=1)*($G$2:$G$1001="轿车")*($D$2:$D$1001&gt;D461))+COUNTIFS($F$2:F461,1,$G$2:G461,"轿车",$D$2:D461,D461)-1)</f>
        <v/>
      </c>
      <c r="P461" s="62" t="str">
        <f>IF(OR(D461="",NOT(AND(F461=1,G461="MPV"))),"",1+SUMPRODUCT(($F$2:$F$1001=1)*($G$2:$G$1001="MPV")*($D$2:$D$1001&gt;D461))+COUNTIFS($F$2:F461,1,$G$2:G461,"MPV",$D$2:D461,D461)-1)</f>
        <v/>
      </c>
      <c r="Q461" s="62" t="str">
        <f>IF(OR(D461="",NOT(AND(F461=1,G461="SUV"))),"",1+SUMPRODUCT(($F$2:$F$1001=1)*($G$2:$G$1001="SUV")*($D$2:$D$1001&gt;D461))+COUNTIFS($F$2:F461,1,$G$2:G461,"SUV",$D$2:D461,D461)-1)</f>
        <v/>
      </c>
    </row>
    <row r="462" spans="1:17">
      <c r="A462" s="62" t="str">
        <f>IFERROR(INDEX($H$2:$H$3000,MATCH(0,INDEX(COUNTIF($A$1:A461,$H$2:$H$3000)+($H$2:$H$3000=""),0,0),0)),"")</f>
        <v/>
      </c>
      <c r="B462" s="62" t="str">
        <f t="shared" si="28"/>
        <v/>
      </c>
      <c r="C462" s="62" t="str">
        <f t="shared" si="29"/>
        <v/>
      </c>
      <c r="D462" s="63" t="str">
        <f t="shared" si="30"/>
        <v/>
      </c>
      <c r="E462" s="62" t="str">
        <f>IF(D462="","",_xlfn.RANK.EQ(D462,$D$2:$D$1001,0)+COUNTIF($D$2:D462,D462)-1)</f>
        <v/>
      </c>
      <c r="F462" s="62" t="str">
        <f>IF(B462="","",--(COUNTIF(CN_Brands!$A$2:$A$300,UPPER(B462))&gt;0))</f>
        <v/>
      </c>
      <c r="G462" s="62" t="str">
        <f t="shared" si="31"/>
        <v/>
      </c>
      <c r="H462" s="62" t="str">
        <f>IF(AND('Data Export'!A462=前十整体车型排名!$B$2,'Data Export'!B462=前十整体车型排名!$B$3,'Data Export'!D462&lt;&gt;""),UPPER('Data Export'!C462)&amp;"♦"&amp;'Data Export'!D462,"")</f>
        <v>MAZDA♦ROADSTER</v>
      </c>
      <c r="I462" s="63">
        <f>IF(H462="","",IFERROR(INDEX('Data Export'!G462:CZ462,1,MATCH(前十整体车型排名!$B$4,'Data Export'!$G$1:$CZ$1,0)),0))</f>
        <v>0</v>
      </c>
      <c r="J462" s="62" t="str">
        <f>IF(H462="","",IF(OR('Data Export'!F462="三厢轿车",'Data Export'!F462="掀背轿车",'Data Export'!F462="旅行车",'Data Export'!F462="微型车",'Data Export'!F462="硬顶跑车",'Data Export'!F462="敞蓬车",'Data Export'!F462="Targa"),"轿车",IF(OR('Data Export'!F462="小型MPV",'Data Export'!F462="客车"),"MPV",IF('Data Export'!F462="运动型多功能车","SUV","其他"))))</f>
        <v>其他</v>
      </c>
      <c r="K462" s="62" t="str">
        <f>IF(OR(D462="",NOT(F462=1)),"",1+SUMPRODUCT(($F$2:$F$1001=1)*($D$2:$D$1001&gt;D462))+COUNTIFS($F$2:F462,1,$D$2:D462,D462)-1)</f>
        <v/>
      </c>
      <c r="L462" s="62" t="str">
        <f>IF(OR(D462="",NOT(G462="轿车")),"",1+SUMPRODUCT(($G$2:$G$1001="轿车")*($D$2:$D$1001&gt;D462))+COUNTIFS($G$2:G462,"轿车",$D$2:D462,D462)-1)</f>
        <v/>
      </c>
      <c r="M462" s="62" t="str">
        <f>IF(OR(D462="",NOT(G462="MPV")),"",1+SUMPRODUCT(($G$2:$G$1001="MPV")*($D$2:$D$1001&gt;D462))+COUNTIFS($G$2:G462,"MPV",$D$2:D462,D462)-1)</f>
        <v/>
      </c>
      <c r="N462" s="62" t="str">
        <f>IF(OR(D462="",NOT(G462="SUV")),"",1+SUMPRODUCT(($G$2:$G$1001="SUV")*($D$2:$D$1001&gt;D462))+COUNTIFS($G$2:G462,"SUV",$D$2:D462,D462)-1)</f>
        <v/>
      </c>
      <c r="O462" s="62" t="str">
        <f>IF(OR(D462="",NOT(AND(F462=1,G462="轿车"))),"",1+SUMPRODUCT(($F$2:$F$1001=1)*($G$2:$G$1001="轿车")*($D$2:$D$1001&gt;D462))+COUNTIFS($F$2:F462,1,$G$2:G462,"轿车",$D$2:D462,D462)-1)</f>
        <v/>
      </c>
      <c r="P462" s="62" t="str">
        <f>IF(OR(D462="",NOT(AND(F462=1,G462="MPV"))),"",1+SUMPRODUCT(($F$2:$F$1001=1)*($G$2:$G$1001="MPV")*($D$2:$D$1001&gt;D462))+COUNTIFS($F$2:F462,1,$G$2:G462,"MPV",$D$2:D462,D462)-1)</f>
        <v/>
      </c>
      <c r="Q462" s="62" t="str">
        <f>IF(OR(D462="",NOT(AND(F462=1,G462="SUV"))),"",1+SUMPRODUCT(($F$2:$F$1001=1)*($G$2:$G$1001="SUV")*($D$2:$D$1001&gt;D462))+COUNTIFS($F$2:F462,1,$G$2:G462,"SUV",$D$2:D462,D462)-1)</f>
        <v/>
      </c>
    </row>
    <row r="463" spans="1:17">
      <c r="A463" s="62" t="str">
        <f>IFERROR(INDEX($H$2:$H$3000,MATCH(0,INDEX(COUNTIF($A$1:A462,$H$2:$H$3000)+($H$2:$H$3000=""),0,0),0)),"")</f>
        <v/>
      </c>
      <c r="B463" s="62" t="str">
        <f t="shared" si="28"/>
        <v/>
      </c>
      <c r="C463" s="62" t="str">
        <f t="shared" si="29"/>
        <v/>
      </c>
      <c r="D463" s="63" t="str">
        <f t="shared" si="30"/>
        <v/>
      </c>
      <c r="E463" s="62" t="str">
        <f>IF(D463="","",_xlfn.RANK.EQ(D463,$D$2:$D$1001,0)+COUNTIF($D$2:D463,D463)-1)</f>
        <v/>
      </c>
      <c r="F463" s="62" t="str">
        <f>IF(B463="","",--(COUNTIF(CN_Brands!$A$2:$A$300,UPPER(B463))&gt;0))</f>
        <v/>
      </c>
      <c r="G463" s="62" t="str">
        <f t="shared" si="31"/>
        <v/>
      </c>
      <c r="H463" s="62" t="str">
        <f>IF(AND('Data Export'!A463=前十整体车型排名!$B$2,'Data Export'!B463=前十整体车型排名!$B$3,'Data Export'!D463&lt;&gt;""),UPPER('Data Export'!C463)&amp;"♦"&amp;'Data Export'!D463,"")</f>
        <v>MAZDA♦ROADSTER</v>
      </c>
      <c r="I463" s="63">
        <f>IF(H463="","",IFERROR(INDEX('Data Export'!G463:CZ463,1,MATCH(前十整体车型排名!$B$4,'Data Export'!$G$1:$CZ$1,0)),0))</f>
        <v>1</v>
      </c>
      <c r="J463" s="62" t="str">
        <f>IF(H463="","",IF(OR('Data Export'!F463="三厢轿车",'Data Export'!F463="掀背轿车",'Data Export'!F463="旅行车",'Data Export'!F463="微型车",'Data Export'!F463="硬顶跑车",'Data Export'!F463="敞蓬车",'Data Export'!F463="Targa"),"轿车",IF(OR('Data Export'!F463="小型MPV",'Data Export'!F463="客车"),"MPV",IF('Data Export'!F463="运动型多功能车","SUV","其他"))))</f>
        <v>其他</v>
      </c>
      <c r="K463" s="62" t="str">
        <f>IF(OR(D463="",NOT(F463=1)),"",1+SUMPRODUCT(($F$2:$F$1001=1)*($D$2:$D$1001&gt;D463))+COUNTIFS($F$2:F463,1,$D$2:D463,D463)-1)</f>
        <v/>
      </c>
      <c r="L463" s="62" t="str">
        <f>IF(OR(D463="",NOT(G463="轿车")),"",1+SUMPRODUCT(($G$2:$G$1001="轿车")*($D$2:$D$1001&gt;D463))+COUNTIFS($G$2:G463,"轿车",$D$2:D463,D463)-1)</f>
        <v/>
      </c>
      <c r="M463" s="62" t="str">
        <f>IF(OR(D463="",NOT(G463="MPV")),"",1+SUMPRODUCT(($G$2:$G$1001="MPV")*($D$2:$D$1001&gt;D463))+COUNTIFS($G$2:G463,"MPV",$D$2:D463,D463)-1)</f>
        <v/>
      </c>
      <c r="N463" s="62" t="str">
        <f>IF(OR(D463="",NOT(G463="SUV")),"",1+SUMPRODUCT(($G$2:$G$1001="SUV")*($D$2:$D$1001&gt;D463))+COUNTIFS($G$2:G463,"SUV",$D$2:D463,D463)-1)</f>
        <v/>
      </c>
      <c r="O463" s="62" t="str">
        <f>IF(OR(D463="",NOT(AND(F463=1,G463="轿车"))),"",1+SUMPRODUCT(($F$2:$F$1001=1)*($G$2:$G$1001="轿车")*($D$2:$D$1001&gt;D463))+COUNTIFS($F$2:F463,1,$G$2:G463,"轿车",$D$2:D463,D463)-1)</f>
        <v/>
      </c>
      <c r="P463" s="62" t="str">
        <f>IF(OR(D463="",NOT(AND(F463=1,G463="MPV"))),"",1+SUMPRODUCT(($F$2:$F$1001=1)*($G$2:$G$1001="MPV")*($D$2:$D$1001&gt;D463))+COUNTIFS($F$2:F463,1,$G$2:G463,"MPV",$D$2:D463,D463)-1)</f>
        <v/>
      </c>
      <c r="Q463" s="62" t="str">
        <f>IF(OR(D463="",NOT(AND(F463=1,G463="SUV"))),"",1+SUMPRODUCT(($F$2:$F$1001=1)*($G$2:$G$1001="SUV")*($D$2:$D$1001&gt;D463))+COUNTIFS($F$2:F463,1,$G$2:G463,"SUV",$D$2:D463,D463)-1)</f>
        <v/>
      </c>
    </row>
    <row r="464" spans="1:17">
      <c r="A464" s="62" t="str">
        <f>IFERROR(INDEX($H$2:$H$3000,MATCH(0,INDEX(COUNTIF($A$1:A463,$H$2:$H$3000)+($H$2:$H$3000=""),0,0),0)),"")</f>
        <v/>
      </c>
      <c r="B464" s="62" t="str">
        <f t="shared" si="28"/>
        <v/>
      </c>
      <c r="C464" s="62" t="str">
        <f t="shared" si="29"/>
        <v/>
      </c>
      <c r="D464" s="63" t="str">
        <f t="shared" si="30"/>
        <v/>
      </c>
      <c r="E464" s="62" t="str">
        <f>IF(D464="","",_xlfn.RANK.EQ(D464,$D$2:$D$1001,0)+COUNTIF($D$2:D464,D464)-1)</f>
        <v/>
      </c>
      <c r="F464" s="62" t="str">
        <f>IF(B464="","",--(COUNTIF(CN_Brands!$A$2:$A$300,UPPER(B464))&gt;0))</f>
        <v/>
      </c>
      <c r="G464" s="62" t="str">
        <f t="shared" si="31"/>
        <v/>
      </c>
      <c r="H464" s="62" t="str">
        <f>IF(AND('Data Export'!A464=前十整体车型排名!$B$2,'Data Export'!B464=前十整体车型排名!$B$3,'Data Export'!D464&lt;&gt;""),UPPER('Data Export'!C464)&amp;"♦"&amp;'Data Export'!D464,"")</f>
        <v>MAZDA♦ROADSTER</v>
      </c>
      <c r="I464" s="63">
        <f>IF(H464="","",IFERROR(INDEX('Data Export'!G464:CZ464,1,MATCH(前十整体车型排名!$B$4,'Data Export'!$G$1:$CZ$1,0)),0))</f>
        <v>0</v>
      </c>
      <c r="J464" s="62" t="str">
        <f>IF(H464="","",IF(OR('Data Export'!F464="三厢轿车",'Data Export'!F464="掀背轿车",'Data Export'!F464="旅行车",'Data Export'!F464="微型车",'Data Export'!F464="硬顶跑车",'Data Export'!F464="敞蓬车",'Data Export'!F464="Targa"),"轿车",IF(OR('Data Export'!F464="小型MPV",'Data Export'!F464="客车"),"MPV",IF('Data Export'!F464="运动型多功能车","SUV","其他"))))</f>
        <v>轿车</v>
      </c>
      <c r="K464" s="62" t="str">
        <f>IF(OR(D464="",NOT(F464=1)),"",1+SUMPRODUCT(($F$2:$F$1001=1)*($D$2:$D$1001&gt;D464))+COUNTIFS($F$2:F464,1,$D$2:D464,D464)-1)</f>
        <v/>
      </c>
      <c r="L464" s="62" t="str">
        <f>IF(OR(D464="",NOT(G464="轿车")),"",1+SUMPRODUCT(($G$2:$G$1001="轿车")*($D$2:$D$1001&gt;D464))+COUNTIFS($G$2:G464,"轿车",$D$2:D464,D464)-1)</f>
        <v/>
      </c>
      <c r="M464" s="62" t="str">
        <f>IF(OR(D464="",NOT(G464="MPV")),"",1+SUMPRODUCT(($G$2:$G$1001="MPV")*($D$2:$D$1001&gt;D464))+COUNTIFS($G$2:G464,"MPV",$D$2:D464,D464)-1)</f>
        <v/>
      </c>
      <c r="N464" s="62" t="str">
        <f>IF(OR(D464="",NOT(G464="SUV")),"",1+SUMPRODUCT(($G$2:$G$1001="SUV")*($D$2:$D$1001&gt;D464))+COUNTIFS($G$2:G464,"SUV",$D$2:D464,D464)-1)</f>
        <v/>
      </c>
      <c r="O464" s="62" t="str">
        <f>IF(OR(D464="",NOT(AND(F464=1,G464="轿车"))),"",1+SUMPRODUCT(($F$2:$F$1001=1)*($G$2:$G$1001="轿车")*($D$2:$D$1001&gt;D464))+COUNTIFS($F$2:F464,1,$G$2:G464,"轿车",$D$2:D464,D464)-1)</f>
        <v/>
      </c>
      <c r="P464" s="62" t="str">
        <f>IF(OR(D464="",NOT(AND(F464=1,G464="MPV"))),"",1+SUMPRODUCT(($F$2:$F$1001=1)*($G$2:$G$1001="MPV")*($D$2:$D$1001&gt;D464))+COUNTIFS($F$2:F464,1,$G$2:G464,"MPV",$D$2:D464,D464)-1)</f>
        <v/>
      </c>
      <c r="Q464" s="62" t="str">
        <f>IF(OR(D464="",NOT(AND(F464=1,G464="SUV"))),"",1+SUMPRODUCT(($F$2:$F$1001=1)*($G$2:$G$1001="SUV")*($D$2:$D$1001&gt;D464))+COUNTIFS($F$2:F464,1,$G$2:G464,"SUV",$D$2:D464,D464)-1)</f>
        <v/>
      </c>
    </row>
    <row r="465" spans="1:17">
      <c r="A465" s="62" t="str">
        <f>IFERROR(INDEX($H$2:$H$3000,MATCH(0,INDEX(COUNTIF($A$1:A464,$H$2:$H$3000)+($H$2:$H$3000=""),0,0),0)),"")</f>
        <v/>
      </c>
      <c r="B465" s="62" t="str">
        <f t="shared" si="28"/>
        <v/>
      </c>
      <c r="C465" s="62" t="str">
        <f t="shared" si="29"/>
        <v/>
      </c>
      <c r="D465" s="63" t="str">
        <f t="shared" si="30"/>
        <v/>
      </c>
      <c r="E465" s="62" t="str">
        <f>IF(D465="","",_xlfn.RANK.EQ(D465,$D$2:$D$1001,0)+COUNTIF($D$2:D465,D465)-1)</f>
        <v/>
      </c>
      <c r="F465" s="62" t="str">
        <f>IF(B465="","",--(COUNTIF(CN_Brands!$A$2:$A$300,UPPER(B465))&gt;0))</f>
        <v/>
      </c>
      <c r="G465" s="62" t="str">
        <f t="shared" si="31"/>
        <v/>
      </c>
      <c r="H465" s="62" t="str">
        <f>IF(AND('Data Export'!A465=前十整体车型排名!$B$2,'Data Export'!B465=前十整体车型排名!$B$3,'Data Export'!D465&lt;&gt;""),UPPER('Data Export'!C465)&amp;"♦"&amp;'Data Export'!D465,"")</f>
        <v>MAZDA♦ROADSTER</v>
      </c>
      <c r="I465" s="63">
        <f>IF(H465="","",IFERROR(INDEX('Data Export'!G465:CZ465,1,MATCH(前十整体车型排名!$B$4,'Data Export'!$G$1:$CZ$1,0)),0))</f>
        <v>2</v>
      </c>
      <c r="J465" s="62" t="str">
        <f>IF(H465="","",IF(OR('Data Export'!F465="三厢轿车",'Data Export'!F465="掀背轿车",'Data Export'!F465="旅行车",'Data Export'!F465="微型车",'Data Export'!F465="硬顶跑车",'Data Export'!F465="敞蓬车",'Data Export'!F465="Targa"),"轿车",IF(OR('Data Export'!F465="小型MPV",'Data Export'!F465="客车"),"MPV",IF('Data Export'!F465="运动型多功能车","SUV","其他"))))</f>
        <v>轿车</v>
      </c>
      <c r="K465" s="62" t="str">
        <f>IF(OR(D465="",NOT(F465=1)),"",1+SUMPRODUCT(($F$2:$F$1001=1)*($D$2:$D$1001&gt;D465))+COUNTIFS($F$2:F465,1,$D$2:D465,D465)-1)</f>
        <v/>
      </c>
      <c r="L465" s="62" t="str">
        <f>IF(OR(D465="",NOT(G465="轿车")),"",1+SUMPRODUCT(($G$2:$G$1001="轿车")*($D$2:$D$1001&gt;D465))+COUNTIFS($G$2:G465,"轿车",$D$2:D465,D465)-1)</f>
        <v/>
      </c>
      <c r="M465" s="62" t="str">
        <f>IF(OR(D465="",NOT(G465="MPV")),"",1+SUMPRODUCT(($G$2:$G$1001="MPV")*($D$2:$D$1001&gt;D465))+COUNTIFS($G$2:G465,"MPV",$D$2:D465,D465)-1)</f>
        <v/>
      </c>
      <c r="N465" s="62" t="str">
        <f>IF(OR(D465="",NOT(G465="SUV")),"",1+SUMPRODUCT(($G$2:$G$1001="SUV")*($D$2:$D$1001&gt;D465))+COUNTIFS($G$2:G465,"SUV",$D$2:D465,D465)-1)</f>
        <v/>
      </c>
      <c r="O465" s="62" t="str">
        <f>IF(OR(D465="",NOT(AND(F465=1,G465="轿车"))),"",1+SUMPRODUCT(($F$2:$F$1001=1)*($G$2:$G$1001="轿车")*($D$2:$D$1001&gt;D465))+COUNTIFS($F$2:F465,1,$G$2:G465,"轿车",$D$2:D465,D465)-1)</f>
        <v/>
      </c>
      <c r="P465" s="62" t="str">
        <f>IF(OR(D465="",NOT(AND(F465=1,G465="MPV"))),"",1+SUMPRODUCT(($F$2:$F$1001=1)*($G$2:$G$1001="MPV")*($D$2:$D$1001&gt;D465))+COUNTIFS($F$2:F465,1,$G$2:G465,"MPV",$D$2:D465,D465)-1)</f>
        <v/>
      </c>
      <c r="Q465" s="62" t="str">
        <f>IF(OR(D465="",NOT(AND(F465=1,G465="SUV"))),"",1+SUMPRODUCT(($F$2:$F$1001=1)*($G$2:$G$1001="SUV")*($D$2:$D$1001&gt;D465))+COUNTIFS($F$2:F465,1,$G$2:G465,"SUV",$D$2:D465,D465)-1)</f>
        <v/>
      </c>
    </row>
    <row r="466" spans="1:17">
      <c r="A466" s="62" t="str">
        <f>IFERROR(INDEX($H$2:$H$3000,MATCH(0,INDEX(COUNTIF($A$1:A465,$H$2:$H$3000)+($H$2:$H$3000=""),0,0),0)),"")</f>
        <v/>
      </c>
      <c r="B466" s="62" t="str">
        <f t="shared" si="28"/>
        <v/>
      </c>
      <c r="C466" s="62" t="str">
        <f t="shared" si="29"/>
        <v/>
      </c>
      <c r="D466" s="63" t="str">
        <f t="shared" si="30"/>
        <v/>
      </c>
      <c r="E466" s="62" t="str">
        <f>IF(D466="","",_xlfn.RANK.EQ(D466,$D$2:$D$1001,0)+COUNTIF($D$2:D466,D466)-1)</f>
        <v/>
      </c>
      <c r="F466" s="62" t="str">
        <f>IF(B466="","",--(COUNTIF(CN_Brands!$A$2:$A$300,UPPER(B466))&gt;0))</f>
        <v/>
      </c>
      <c r="G466" s="62" t="str">
        <f t="shared" si="31"/>
        <v/>
      </c>
      <c r="H466" s="62" t="str">
        <f>IF(AND('Data Export'!A466=前十整体车型排名!$B$2,'Data Export'!B466=前十整体车型排名!$B$3,'Data Export'!D466&lt;&gt;""),UPPER('Data Export'!C466)&amp;"♦"&amp;'Data Export'!D466,"")</f>
        <v>MAZDA♦ROADSTER</v>
      </c>
      <c r="I466" s="63">
        <f>IF(H466="","",IFERROR(INDEX('Data Export'!G466:CZ466,1,MATCH(前十整体车型排名!$B$4,'Data Export'!$G$1:$CZ$1,0)),0))</f>
        <v>0</v>
      </c>
      <c r="J466" s="62" t="str">
        <f>IF(H466="","",IF(OR('Data Export'!F466="三厢轿车",'Data Export'!F466="掀背轿车",'Data Export'!F466="旅行车",'Data Export'!F466="微型车",'Data Export'!F466="硬顶跑车",'Data Export'!F466="敞蓬车",'Data Export'!F466="Targa"),"轿车",IF(OR('Data Export'!F466="小型MPV",'Data Export'!F466="客车"),"MPV",IF('Data Export'!F466="运动型多功能车","SUV","其他"))))</f>
        <v>其他</v>
      </c>
      <c r="K466" s="62" t="str">
        <f>IF(OR(D466="",NOT(F466=1)),"",1+SUMPRODUCT(($F$2:$F$1001=1)*($D$2:$D$1001&gt;D466))+COUNTIFS($F$2:F466,1,$D$2:D466,D466)-1)</f>
        <v/>
      </c>
      <c r="L466" s="62" t="str">
        <f>IF(OR(D466="",NOT(G466="轿车")),"",1+SUMPRODUCT(($G$2:$G$1001="轿车")*($D$2:$D$1001&gt;D466))+COUNTIFS($G$2:G466,"轿车",$D$2:D466,D466)-1)</f>
        <v/>
      </c>
      <c r="M466" s="62" t="str">
        <f>IF(OR(D466="",NOT(G466="MPV")),"",1+SUMPRODUCT(($G$2:$G$1001="MPV")*($D$2:$D$1001&gt;D466))+COUNTIFS($G$2:G466,"MPV",$D$2:D466,D466)-1)</f>
        <v/>
      </c>
      <c r="N466" s="62" t="str">
        <f>IF(OR(D466="",NOT(G466="SUV")),"",1+SUMPRODUCT(($G$2:$G$1001="SUV")*($D$2:$D$1001&gt;D466))+COUNTIFS($G$2:G466,"SUV",$D$2:D466,D466)-1)</f>
        <v/>
      </c>
      <c r="O466" s="62" t="str">
        <f>IF(OR(D466="",NOT(AND(F466=1,G466="轿车"))),"",1+SUMPRODUCT(($F$2:$F$1001=1)*($G$2:$G$1001="轿车")*($D$2:$D$1001&gt;D466))+COUNTIFS($F$2:F466,1,$G$2:G466,"轿车",$D$2:D466,D466)-1)</f>
        <v/>
      </c>
      <c r="P466" s="62" t="str">
        <f>IF(OR(D466="",NOT(AND(F466=1,G466="MPV"))),"",1+SUMPRODUCT(($F$2:$F$1001=1)*($G$2:$G$1001="MPV")*($D$2:$D$1001&gt;D466))+COUNTIFS($F$2:F466,1,$G$2:G466,"MPV",$D$2:D466,D466)-1)</f>
        <v/>
      </c>
      <c r="Q466" s="62" t="str">
        <f>IF(OR(D466="",NOT(AND(F466=1,G466="SUV"))),"",1+SUMPRODUCT(($F$2:$F$1001=1)*($G$2:$G$1001="SUV")*($D$2:$D$1001&gt;D466))+COUNTIFS($F$2:F466,1,$G$2:G466,"SUV",$D$2:D466,D466)-1)</f>
        <v/>
      </c>
    </row>
    <row r="467" spans="1:17">
      <c r="A467" s="62" t="str">
        <f>IFERROR(INDEX($H$2:$H$3000,MATCH(0,INDEX(COUNTIF($A$1:A466,$H$2:$H$3000)+($H$2:$H$3000=""),0,0),0)),"")</f>
        <v/>
      </c>
      <c r="B467" s="62" t="str">
        <f t="shared" si="28"/>
        <v/>
      </c>
      <c r="C467" s="62" t="str">
        <f t="shared" si="29"/>
        <v/>
      </c>
      <c r="D467" s="63" t="str">
        <f t="shared" si="30"/>
        <v/>
      </c>
      <c r="E467" s="62" t="str">
        <f>IF(D467="","",_xlfn.RANK.EQ(D467,$D$2:$D$1001,0)+COUNTIF($D$2:D467,D467)-1)</f>
        <v/>
      </c>
      <c r="F467" s="62" t="str">
        <f>IF(B467="","",--(COUNTIF(CN_Brands!$A$2:$A$300,UPPER(B467))&gt;0))</f>
        <v/>
      </c>
      <c r="G467" s="62" t="str">
        <f t="shared" si="31"/>
        <v/>
      </c>
      <c r="H467" s="62" t="str">
        <f>IF(AND('Data Export'!A467=前十整体车型排名!$B$2,'Data Export'!B467=前十整体车型排名!$B$3,'Data Export'!D467&lt;&gt;""),UPPER('Data Export'!C467)&amp;"♦"&amp;'Data Export'!D467,"")</f>
        <v>MAZDA♦ROADSTER</v>
      </c>
      <c r="I467" s="63">
        <f>IF(H467="","",IFERROR(INDEX('Data Export'!G467:CZ467,1,MATCH(前十整体车型排名!$B$4,'Data Export'!$G$1:$CZ$1,0)),0))</f>
        <v>1</v>
      </c>
      <c r="J467" s="62" t="str">
        <f>IF(H467="","",IF(OR('Data Export'!F467="三厢轿车",'Data Export'!F467="掀背轿车",'Data Export'!F467="旅行车",'Data Export'!F467="微型车",'Data Export'!F467="硬顶跑车",'Data Export'!F467="敞蓬车",'Data Export'!F467="Targa"),"轿车",IF(OR('Data Export'!F467="小型MPV",'Data Export'!F467="客车"),"MPV",IF('Data Export'!F467="运动型多功能车","SUV","其他"))))</f>
        <v>轿车</v>
      </c>
      <c r="K467" s="62" t="str">
        <f>IF(OR(D467="",NOT(F467=1)),"",1+SUMPRODUCT(($F$2:$F$1001=1)*($D$2:$D$1001&gt;D467))+COUNTIFS($F$2:F467,1,$D$2:D467,D467)-1)</f>
        <v/>
      </c>
      <c r="L467" s="62" t="str">
        <f>IF(OR(D467="",NOT(G467="轿车")),"",1+SUMPRODUCT(($G$2:$G$1001="轿车")*($D$2:$D$1001&gt;D467))+COUNTIFS($G$2:G467,"轿车",$D$2:D467,D467)-1)</f>
        <v/>
      </c>
      <c r="M467" s="62" t="str">
        <f>IF(OR(D467="",NOT(G467="MPV")),"",1+SUMPRODUCT(($G$2:$G$1001="MPV")*($D$2:$D$1001&gt;D467))+COUNTIFS($G$2:G467,"MPV",$D$2:D467,D467)-1)</f>
        <v/>
      </c>
      <c r="N467" s="62" t="str">
        <f>IF(OR(D467="",NOT(G467="SUV")),"",1+SUMPRODUCT(($G$2:$G$1001="SUV")*($D$2:$D$1001&gt;D467))+COUNTIFS($G$2:G467,"SUV",$D$2:D467,D467)-1)</f>
        <v/>
      </c>
      <c r="O467" s="62" t="str">
        <f>IF(OR(D467="",NOT(AND(F467=1,G467="轿车"))),"",1+SUMPRODUCT(($F$2:$F$1001=1)*($G$2:$G$1001="轿车")*($D$2:$D$1001&gt;D467))+COUNTIFS($F$2:F467,1,$G$2:G467,"轿车",$D$2:D467,D467)-1)</f>
        <v/>
      </c>
      <c r="P467" s="62" t="str">
        <f>IF(OR(D467="",NOT(AND(F467=1,G467="MPV"))),"",1+SUMPRODUCT(($F$2:$F$1001=1)*($G$2:$G$1001="MPV")*($D$2:$D$1001&gt;D467))+COUNTIFS($F$2:F467,1,$G$2:G467,"MPV",$D$2:D467,D467)-1)</f>
        <v/>
      </c>
      <c r="Q467" s="62" t="str">
        <f>IF(OR(D467="",NOT(AND(F467=1,G467="SUV"))),"",1+SUMPRODUCT(($F$2:$F$1001=1)*($G$2:$G$1001="SUV")*($D$2:$D$1001&gt;D467))+COUNTIFS($F$2:F467,1,$G$2:G467,"SUV",$D$2:D467,D467)-1)</f>
        <v/>
      </c>
    </row>
    <row r="468" spans="1:17">
      <c r="A468" s="62" t="str">
        <f>IFERROR(INDEX($H$2:$H$3000,MATCH(0,INDEX(COUNTIF($A$1:A467,$H$2:$H$3000)+($H$2:$H$3000=""),0,0),0)),"")</f>
        <v/>
      </c>
      <c r="B468" s="62" t="str">
        <f t="shared" si="28"/>
        <v/>
      </c>
      <c r="C468" s="62" t="str">
        <f t="shared" si="29"/>
        <v/>
      </c>
      <c r="D468" s="63" t="str">
        <f t="shared" si="30"/>
        <v/>
      </c>
      <c r="E468" s="62" t="str">
        <f>IF(D468="","",_xlfn.RANK.EQ(D468,$D$2:$D$1001,0)+COUNTIF($D$2:D468,D468)-1)</f>
        <v/>
      </c>
      <c r="F468" s="62" t="str">
        <f>IF(B468="","",--(COUNTIF(CN_Brands!$A$2:$A$300,UPPER(B468))&gt;0))</f>
        <v/>
      </c>
      <c r="G468" s="62" t="str">
        <f t="shared" si="31"/>
        <v/>
      </c>
      <c r="H468" s="62" t="str">
        <f>IF(AND('Data Export'!A468=前十整体车型排名!$B$2,'Data Export'!B468=前十整体车型排名!$B$3,'Data Export'!D468&lt;&gt;""),UPPER('Data Export'!C468)&amp;"♦"&amp;'Data Export'!D468,"")</f>
        <v>MAZDA♦ROADSTER</v>
      </c>
      <c r="I468" s="63">
        <f>IF(H468="","",IFERROR(INDEX('Data Export'!G468:CZ468,1,MATCH(前十整体车型排名!$B$4,'Data Export'!$G$1:$CZ$1,0)),0))</f>
        <v>0</v>
      </c>
      <c r="J468" s="62" t="str">
        <f>IF(H468="","",IF(OR('Data Export'!F468="三厢轿车",'Data Export'!F468="掀背轿车",'Data Export'!F468="旅行车",'Data Export'!F468="微型车",'Data Export'!F468="硬顶跑车",'Data Export'!F468="敞蓬车",'Data Export'!F468="Targa"),"轿车",IF(OR('Data Export'!F468="小型MPV",'Data Export'!F468="客车"),"MPV",IF('Data Export'!F468="运动型多功能车","SUV","其他"))))</f>
        <v>其他</v>
      </c>
      <c r="K468" s="62" t="str">
        <f>IF(OR(D468="",NOT(F468=1)),"",1+SUMPRODUCT(($F$2:$F$1001=1)*($D$2:$D$1001&gt;D468))+COUNTIFS($F$2:F468,1,$D$2:D468,D468)-1)</f>
        <v/>
      </c>
      <c r="L468" s="62" t="str">
        <f>IF(OR(D468="",NOT(G468="轿车")),"",1+SUMPRODUCT(($G$2:$G$1001="轿车")*($D$2:$D$1001&gt;D468))+COUNTIFS($G$2:G468,"轿车",$D$2:D468,D468)-1)</f>
        <v/>
      </c>
      <c r="M468" s="62" t="str">
        <f>IF(OR(D468="",NOT(G468="MPV")),"",1+SUMPRODUCT(($G$2:$G$1001="MPV")*($D$2:$D$1001&gt;D468))+COUNTIFS($G$2:G468,"MPV",$D$2:D468,D468)-1)</f>
        <v/>
      </c>
      <c r="N468" s="62" t="str">
        <f>IF(OR(D468="",NOT(G468="SUV")),"",1+SUMPRODUCT(($G$2:$G$1001="SUV")*($D$2:$D$1001&gt;D468))+COUNTIFS($G$2:G468,"SUV",$D$2:D468,D468)-1)</f>
        <v/>
      </c>
      <c r="O468" s="62" t="str">
        <f>IF(OR(D468="",NOT(AND(F468=1,G468="轿车"))),"",1+SUMPRODUCT(($F$2:$F$1001=1)*($G$2:$G$1001="轿车")*($D$2:$D$1001&gt;D468))+COUNTIFS($F$2:F468,1,$G$2:G468,"轿车",$D$2:D468,D468)-1)</f>
        <v/>
      </c>
      <c r="P468" s="62" t="str">
        <f>IF(OR(D468="",NOT(AND(F468=1,G468="MPV"))),"",1+SUMPRODUCT(($F$2:$F$1001=1)*($G$2:$G$1001="MPV")*($D$2:$D$1001&gt;D468))+COUNTIFS($F$2:F468,1,$G$2:G468,"MPV",$D$2:D468,D468)-1)</f>
        <v/>
      </c>
      <c r="Q468" s="62" t="str">
        <f>IF(OR(D468="",NOT(AND(F468=1,G468="SUV"))),"",1+SUMPRODUCT(($F$2:$F$1001=1)*($G$2:$G$1001="SUV")*($D$2:$D$1001&gt;D468))+COUNTIFS($F$2:F468,1,$G$2:G468,"SUV",$D$2:D468,D468)-1)</f>
        <v/>
      </c>
    </row>
    <row r="469" spans="1:17">
      <c r="A469" s="62" t="str">
        <f>IFERROR(INDEX($H$2:$H$3000,MATCH(0,INDEX(COUNTIF($A$1:A468,$H$2:$H$3000)+($H$2:$H$3000=""),0,0),0)),"")</f>
        <v/>
      </c>
      <c r="B469" s="62" t="str">
        <f t="shared" si="28"/>
        <v/>
      </c>
      <c r="C469" s="62" t="str">
        <f t="shared" si="29"/>
        <v/>
      </c>
      <c r="D469" s="63" t="str">
        <f t="shared" si="30"/>
        <v/>
      </c>
      <c r="E469" s="62" t="str">
        <f>IF(D469="","",_xlfn.RANK.EQ(D469,$D$2:$D$1001,0)+COUNTIF($D$2:D469,D469)-1)</f>
        <v/>
      </c>
      <c r="F469" s="62" t="str">
        <f>IF(B469="","",--(COUNTIF(CN_Brands!$A$2:$A$300,UPPER(B469))&gt;0))</f>
        <v/>
      </c>
      <c r="G469" s="62" t="str">
        <f t="shared" si="31"/>
        <v/>
      </c>
      <c r="H469" s="62" t="str">
        <f>IF(AND('Data Export'!A469=前十整体车型排名!$B$2,'Data Export'!B469=前十整体车型排名!$B$3,'Data Export'!D469&lt;&gt;""),UPPER('Data Export'!C469)&amp;"♦"&amp;'Data Export'!D469,"")</f>
        <v>MCLAREN♦750S</v>
      </c>
      <c r="I469" s="63">
        <f>IF(H469="","",IFERROR(INDEX('Data Export'!G469:CZ469,1,MATCH(前十整体车型排名!$B$4,'Data Export'!$G$1:$CZ$1,0)),0))</f>
        <v>0</v>
      </c>
      <c r="J469" s="62" t="str">
        <f>IF(H469="","",IF(OR('Data Export'!F469="三厢轿车",'Data Export'!F469="掀背轿车",'Data Export'!F469="旅行车",'Data Export'!F469="微型车",'Data Export'!F469="硬顶跑车",'Data Export'!F469="敞蓬车",'Data Export'!F469="Targa"),"轿车",IF(OR('Data Export'!F469="小型MPV",'Data Export'!F469="客车"),"MPV",IF('Data Export'!F469="运动型多功能车","SUV","其他"))))</f>
        <v>轿车</v>
      </c>
      <c r="K469" s="62" t="str">
        <f>IF(OR(D469="",NOT(F469=1)),"",1+SUMPRODUCT(($F$2:$F$1001=1)*($D$2:$D$1001&gt;D469))+COUNTIFS($F$2:F469,1,$D$2:D469,D469)-1)</f>
        <v/>
      </c>
      <c r="L469" s="62" t="str">
        <f>IF(OR(D469="",NOT(G469="轿车")),"",1+SUMPRODUCT(($G$2:$G$1001="轿车")*($D$2:$D$1001&gt;D469))+COUNTIFS($G$2:G469,"轿车",$D$2:D469,D469)-1)</f>
        <v/>
      </c>
      <c r="M469" s="62" t="str">
        <f>IF(OR(D469="",NOT(G469="MPV")),"",1+SUMPRODUCT(($G$2:$G$1001="MPV")*($D$2:$D$1001&gt;D469))+COUNTIFS($G$2:G469,"MPV",$D$2:D469,D469)-1)</f>
        <v/>
      </c>
      <c r="N469" s="62" t="str">
        <f>IF(OR(D469="",NOT(G469="SUV")),"",1+SUMPRODUCT(($G$2:$G$1001="SUV")*($D$2:$D$1001&gt;D469))+COUNTIFS($G$2:G469,"SUV",$D$2:D469,D469)-1)</f>
        <v/>
      </c>
      <c r="O469" s="62" t="str">
        <f>IF(OR(D469="",NOT(AND(F469=1,G469="轿车"))),"",1+SUMPRODUCT(($F$2:$F$1001=1)*($G$2:$G$1001="轿车")*($D$2:$D$1001&gt;D469))+COUNTIFS($F$2:F469,1,$G$2:G469,"轿车",$D$2:D469,D469)-1)</f>
        <v/>
      </c>
      <c r="P469" s="62" t="str">
        <f>IF(OR(D469="",NOT(AND(F469=1,G469="MPV"))),"",1+SUMPRODUCT(($F$2:$F$1001=1)*($G$2:$G$1001="MPV")*($D$2:$D$1001&gt;D469))+COUNTIFS($F$2:F469,1,$G$2:G469,"MPV",$D$2:D469,D469)-1)</f>
        <v/>
      </c>
      <c r="Q469" s="62" t="str">
        <f>IF(OR(D469="",NOT(AND(F469=1,G469="SUV"))),"",1+SUMPRODUCT(($F$2:$F$1001=1)*($G$2:$G$1001="SUV")*($D$2:$D$1001&gt;D469))+COUNTIFS($F$2:F469,1,$G$2:G469,"SUV",$D$2:D469,D469)-1)</f>
        <v/>
      </c>
    </row>
    <row r="470" spans="1:17">
      <c r="A470" s="62" t="str">
        <f>IFERROR(INDEX($H$2:$H$3000,MATCH(0,INDEX(COUNTIF($A$1:A469,$H$2:$H$3000)+($H$2:$H$3000=""),0,0),0)),"")</f>
        <v/>
      </c>
      <c r="B470" s="62" t="str">
        <f t="shared" si="28"/>
        <v/>
      </c>
      <c r="C470" s="62" t="str">
        <f t="shared" si="29"/>
        <v/>
      </c>
      <c r="D470" s="63" t="str">
        <f t="shared" si="30"/>
        <v/>
      </c>
      <c r="E470" s="62" t="str">
        <f>IF(D470="","",_xlfn.RANK.EQ(D470,$D$2:$D$1001,0)+COUNTIF($D$2:D470,D470)-1)</f>
        <v/>
      </c>
      <c r="F470" s="62" t="str">
        <f>IF(B470="","",--(COUNTIF(CN_Brands!$A$2:$A$300,UPPER(B470))&gt;0))</f>
        <v/>
      </c>
      <c r="G470" s="62" t="str">
        <f t="shared" si="31"/>
        <v/>
      </c>
      <c r="H470" s="62" t="str">
        <f>IF(AND('Data Export'!A470=前十整体车型排名!$B$2,'Data Export'!B470=前十整体车型排名!$B$3,'Data Export'!D470&lt;&gt;""),UPPER('Data Export'!C470)&amp;"♦"&amp;'Data Export'!D470,"")</f>
        <v>MCLAREN♦750S</v>
      </c>
      <c r="I470" s="63">
        <f>IF(H470="","",IFERROR(INDEX('Data Export'!G470:CZ470,1,MATCH(前十整体车型排名!$B$4,'Data Export'!$G$1:$CZ$1,0)),0))</f>
        <v>0</v>
      </c>
      <c r="J470" s="62" t="str">
        <f>IF(H470="","",IF(OR('Data Export'!F470="三厢轿车",'Data Export'!F470="掀背轿车",'Data Export'!F470="旅行车",'Data Export'!F470="微型车",'Data Export'!F470="硬顶跑车",'Data Export'!F470="敞蓬车",'Data Export'!F470="Targa"),"轿车",IF(OR('Data Export'!F470="小型MPV",'Data Export'!F470="客车"),"MPV",IF('Data Export'!F470="运动型多功能车","SUV","其他"))))</f>
        <v>轿车</v>
      </c>
      <c r="K470" s="62" t="str">
        <f>IF(OR(D470="",NOT(F470=1)),"",1+SUMPRODUCT(($F$2:$F$1001=1)*($D$2:$D$1001&gt;D470))+COUNTIFS($F$2:F470,1,$D$2:D470,D470)-1)</f>
        <v/>
      </c>
      <c r="L470" s="62" t="str">
        <f>IF(OR(D470="",NOT(G470="轿车")),"",1+SUMPRODUCT(($G$2:$G$1001="轿车")*($D$2:$D$1001&gt;D470))+COUNTIFS($G$2:G470,"轿车",$D$2:D470,D470)-1)</f>
        <v/>
      </c>
      <c r="M470" s="62" t="str">
        <f>IF(OR(D470="",NOT(G470="MPV")),"",1+SUMPRODUCT(($G$2:$G$1001="MPV")*($D$2:$D$1001&gt;D470))+COUNTIFS($G$2:G470,"MPV",$D$2:D470,D470)-1)</f>
        <v/>
      </c>
      <c r="N470" s="62" t="str">
        <f>IF(OR(D470="",NOT(G470="SUV")),"",1+SUMPRODUCT(($G$2:$G$1001="SUV")*($D$2:$D$1001&gt;D470))+COUNTIFS($G$2:G470,"SUV",$D$2:D470,D470)-1)</f>
        <v/>
      </c>
      <c r="O470" s="62" t="str">
        <f>IF(OR(D470="",NOT(AND(F470=1,G470="轿车"))),"",1+SUMPRODUCT(($F$2:$F$1001=1)*($G$2:$G$1001="轿车")*($D$2:$D$1001&gt;D470))+COUNTIFS($F$2:F470,1,$G$2:G470,"轿车",$D$2:D470,D470)-1)</f>
        <v/>
      </c>
      <c r="P470" s="62" t="str">
        <f>IF(OR(D470="",NOT(AND(F470=1,G470="MPV"))),"",1+SUMPRODUCT(($F$2:$F$1001=1)*($G$2:$G$1001="MPV")*($D$2:$D$1001&gt;D470))+COUNTIFS($F$2:F470,1,$G$2:G470,"MPV",$D$2:D470,D470)-1)</f>
        <v/>
      </c>
      <c r="Q470" s="62" t="str">
        <f>IF(OR(D470="",NOT(AND(F470=1,G470="SUV"))),"",1+SUMPRODUCT(($F$2:$F$1001=1)*($G$2:$G$1001="SUV")*($D$2:$D$1001&gt;D470))+COUNTIFS($F$2:F470,1,$G$2:G470,"SUV",$D$2:D470,D470)-1)</f>
        <v/>
      </c>
    </row>
    <row r="471" spans="1:17">
      <c r="A471" s="62" t="str">
        <f>IFERROR(INDEX($H$2:$H$3000,MATCH(0,INDEX(COUNTIF($A$1:A470,$H$2:$H$3000)+($H$2:$H$3000=""),0,0),0)),"")</f>
        <v/>
      </c>
      <c r="B471" s="62" t="str">
        <f t="shared" si="28"/>
        <v/>
      </c>
      <c r="C471" s="62" t="str">
        <f t="shared" si="29"/>
        <v/>
      </c>
      <c r="D471" s="63" t="str">
        <f t="shared" si="30"/>
        <v/>
      </c>
      <c r="E471" s="62" t="str">
        <f>IF(D471="","",_xlfn.RANK.EQ(D471,$D$2:$D$1001,0)+COUNTIF($D$2:D471,D471)-1)</f>
        <v/>
      </c>
      <c r="F471" s="62" t="str">
        <f>IF(B471="","",--(COUNTIF(CN_Brands!$A$2:$A$300,UPPER(B471))&gt;0))</f>
        <v/>
      </c>
      <c r="G471" s="62" t="str">
        <f t="shared" si="31"/>
        <v/>
      </c>
      <c r="H471" s="62" t="str">
        <f>IF(AND('Data Export'!A471=前十整体车型排名!$B$2,'Data Export'!B471=前十整体车型排名!$B$3,'Data Export'!D471&lt;&gt;""),UPPER('Data Export'!C471)&amp;"♦"&amp;'Data Export'!D471,"")</f>
        <v>MCLAREN♦ARTURA</v>
      </c>
      <c r="I471" s="63">
        <f>IF(H471="","",IFERROR(INDEX('Data Export'!G471:CZ471,1,MATCH(前十整体车型排名!$B$4,'Data Export'!$G$1:$CZ$1,0)),0))</f>
        <v>0</v>
      </c>
      <c r="J471" s="62" t="str">
        <f>IF(H471="","",IF(OR('Data Export'!F471="三厢轿车",'Data Export'!F471="掀背轿车",'Data Export'!F471="旅行车",'Data Export'!F471="微型车",'Data Export'!F471="硬顶跑车",'Data Export'!F471="敞蓬车",'Data Export'!F471="Targa"),"轿车",IF(OR('Data Export'!F471="小型MPV",'Data Export'!F471="客车"),"MPV",IF('Data Export'!F471="运动型多功能车","SUV","其他"))))</f>
        <v>轿车</v>
      </c>
      <c r="K471" s="62" t="str">
        <f>IF(OR(D471="",NOT(F471=1)),"",1+SUMPRODUCT(($F$2:$F$1001=1)*($D$2:$D$1001&gt;D471))+COUNTIFS($F$2:F471,1,$D$2:D471,D471)-1)</f>
        <v/>
      </c>
      <c r="L471" s="62" t="str">
        <f>IF(OR(D471="",NOT(G471="轿车")),"",1+SUMPRODUCT(($G$2:$G$1001="轿车")*($D$2:$D$1001&gt;D471))+COUNTIFS($G$2:G471,"轿车",$D$2:D471,D471)-1)</f>
        <v/>
      </c>
      <c r="M471" s="62" t="str">
        <f>IF(OR(D471="",NOT(G471="MPV")),"",1+SUMPRODUCT(($G$2:$G$1001="MPV")*($D$2:$D$1001&gt;D471))+COUNTIFS($G$2:G471,"MPV",$D$2:D471,D471)-1)</f>
        <v/>
      </c>
      <c r="N471" s="62" t="str">
        <f>IF(OR(D471="",NOT(G471="SUV")),"",1+SUMPRODUCT(($G$2:$G$1001="SUV")*($D$2:$D$1001&gt;D471))+COUNTIFS($G$2:G471,"SUV",$D$2:D471,D471)-1)</f>
        <v/>
      </c>
      <c r="O471" s="62" t="str">
        <f>IF(OR(D471="",NOT(AND(F471=1,G471="轿车"))),"",1+SUMPRODUCT(($F$2:$F$1001=1)*($G$2:$G$1001="轿车")*($D$2:$D$1001&gt;D471))+COUNTIFS($F$2:F471,1,$G$2:G471,"轿车",$D$2:D471,D471)-1)</f>
        <v/>
      </c>
      <c r="P471" s="62" t="str">
        <f>IF(OR(D471="",NOT(AND(F471=1,G471="MPV"))),"",1+SUMPRODUCT(($F$2:$F$1001=1)*($G$2:$G$1001="MPV")*($D$2:$D$1001&gt;D471))+COUNTIFS($F$2:F471,1,$G$2:G471,"MPV",$D$2:D471,D471)-1)</f>
        <v/>
      </c>
      <c r="Q471" s="62" t="str">
        <f>IF(OR(D471="",NOT(AND(F471=1,G471="SUV"))),"",1+SUMPRODUCT(($F$2:$F$1001=1)*($G$2:$G$1001="SUV")*($D$2:$D$1001&gt;D471))+COUNTIFS($F$2:F471,1,$G$2:G471,"SUV",$D$2:D471,D471)-1)</f>
        <v/>
      </c>
    </row>
    <row r="472" spans="1:17">
      <c r="A472" s="62" t="str">
        <f>IFERROR(INDEX($H$2:$H$3000,MATCH(0,INDEX(COUNTIF($A$1:A471,$H$2:$H$3000)+($H$2:$H$3000=""),0,0),0)),"")</f>
        <v/>
      </c>
      <c r="B472" s="62" t="str">
        <f t="shared" si="28"/>
        <v/>
      </c>
      <c r="C472" s="62" t="str">
        <f t="shared" si="29"/>
        <v/>
      </c>
      <c r="D472" s="63" t="str">
        <f t="shared" si="30"/>
        <v/>
      </c>
      <c r="E472" s="62" t="str">
        <f>IF(D472="","",_xlfn.RANK.EQ(D472,$D$2:$D$1001,0)+COUNTIF($D$2:D472,D472)-1)</f>
        <v/>
      </c>
      <c r="F472" s="62" t="str">
        <f>IF(B472="","",--(COUNTIF(CN_Brands!$A$2:$A$300,UPPER(B472))&gt;0))</f>
        <v/>
      </c>
      <c r="G472" s="62" t="str">
        <f t="shared" si="31"/>
        <v/>
      </c>
      <c r="H472" s="62" t="str">
        <f>IF(AND('Data Export'!A472=前十整体车型排名!$B$2,'Data Export'!B472=前十整体车型排名!$B$3,'Data Export'!D472&lt;&gt;""),UPPER('Data Export'!C472)&amp;"♦"&amp;'Data Export'!D472,"")</f>
        <v>MCLAREN♦GTS</v>
      </c>
      <c r="I472" s="63">
        <f>IF(H472="","",IFERROR(INDEX('Data Export'!G472:CZ472,1,MATCH(前十整体车型排名!$B$4,'Data Export'!$G$1:$CZ$1,0)),0))</f>
        <v>0</v>
      </c>
      <c r="J472" s="62" t="str">
        <f>IF(H472="","",IF(OR('Data Export'!F472="三厢轿车",'Data Export'!F472="掀背轿车",'Data Export'!F472="旅行车",'Data Export'!F472="微型车",'Data Export'!F472="硬顶跑车",'Data Export'!F472="敞蓬车",'Data Export'!F472="Targa"),"轿车",IF(OR('Data Export'!F472="小型MPV",'Data Export'!F472="客车"),"MPV",IF('Data Export'!F472="运动型多功能车","SUV","其他"))))</f>
        <v>轿车</v>
      </c>
      <c r="K472" s="62" t="str">
        <f>IF(OR(D472="",NOT(F472=1)),"",1+SUMPRODUCT(($F$2:$F$1001=1)*($D$2:$D$1001&gt;D472))+COUNTIFS($F$2:F472,1,$D$2:D472,D472)-1)</f>
        <v/>
      </c>
      <c r="L472" s="62" t="str">
        <f>IF(OR(D472="",NOT(G472="轿车")),"",1+SUMPRODUCT(($G$2:$G$1001="轿车")*($D$2:$D$1001&gt;D472))+COUNTIFS($G$2:G472,"轿车",$D$2:D472,D472)-1)</f>
        <v/>
      </c>
      <c r="M472" s="62" t="str">
        <f>IF(OR(D472="",NOT(G472="MPV")),"",1+SUMPRODUCT(($G$2:$G$1001="MPV")*($D$2:$D$1001&gt;D472))+COUNTIFS($G$2:G472,"MPV",$D$2:D472,D472)-1)</f>
        <v/>
      </c>
      <c r="N472" s="62" t="str">
        <f>IF(OR(D472="",NOT(G472="SUV")),"",1+SUMPRODUCT(($G$2:$G$1001="SUV")*($D$2:$D$1001&gt;D472))+COUNTIFS($G$2:G472,"SUV",$D$2:D472,D472)-1)</f>
        <v/>
      </c>
      <c r="O472" s="62" t="str">
        <f>IF(OR(D472="",NOT(AND(F472=1,G472="轿车"))),"",1+SUMPRODUCT(($F$2:$F$1001=1)*($G$2:$G$1001="轿车")*($D$2:$D$1001&gt;D472))+COUNTIFS($F$2:F472,1,$G$2:G472,"轿车",$D$2:D472,D472)-1)</f>
        <v/>
      </c>
      <c r="P472" s="62" t="str">
        <f>IF(OR(D472="",NOT(AND(F472=1,G472="MPV"))),"",1+SUMPRODUCT(($F$2:$F$1001=1)*($G$2:$G$1001="MPV")*($D$2:$D$1001&gt;D472))+COUNTIFS($F$2:F472,1,$G$2:G472,"MPV",$D$2:D472,D472)-1)</f>
        <v/>
      </c>
      <c r="Q472" s="62" t="str">
        <f>IF(OR(D472="",NOT(AND(F472=1,G472="SUV"))),"",1+SUMPRODUCT(($F$2:$F$1001=1)*($G$2:$G$1001="SUV")*($D$2:$D$1001&gt;D472))+COUNTIFS($F$2:F472,1,$G$2:G472,"SUV",$D$2:D472,D472)-1)</f>
        <v/>
      </c>
    </row>
    <row r="473" spans="1:17">
      <c r="A473" s="62" t="str">
        <f>IFERROR(INDEX($H$2:$H$3000,MATCH(0,INDEX(COUNTIF($A$1:A472,$H$2:$H$3000)+($H$2:$H$3000=""),0,0),0)),"")</f>
        <v/>
      </c>
      <c r="B473" s="62" t="str">
        <f t="shared" si="28"/>
        <v/>
      </c>
      <c r="C473" s="62" t="str">
        <f t="shared" si="29"/>
        <v/>
      </c>
      <c r="D473" s="63" t="str">
        <f t="shared" si="30"/>
        <v/>
      </c>
      <c r="E473" s="62" t="str">
        <f>IF(D473="","",_xlfn.RANK.EQ(D473,$D$2:$D$1001,0)+COUNTIF($D$2:D473,D473)-1)</f>
        <v/>
      </c>
      <c r="F473" s="62" t="str">
        <f>IF(B473="","",--(COUNTIF(CN_Brands!$A$2:$A$300,UPPER(B473))&gt;0))</f>
        <v/>
      </c>
      <c r="G473" s="62" t="str">
        <f t="shared" si="31"/>
        <v/>
      </c>
      <c r="H473" s="62" t="str">
        <f>IF(AND('Data Export'!A473=前十整体车型排名!$B$2,'Data Export'!B473=前十整体车型排名!$B$3,'Data Export'!D473&lt;&gt;""),UPPER('Data Export'!C473)&amp;"♦"&amp;'Data Export'!D473,"")</f>
        <v>MERCEDES♦A-CLASS</v>
      </c>
      <c r="I473" s="63">
        <f>IF(H473="","",IFERROR(INDEX('Data Export'!G473:CZ473,1,MATCH(前十整体车型排名!$B$4,'Data Export'!$G$1:$CZ$1,0)),0))</f>
        <v>14</v>
      </c>
      <c r="J473" s="62" t="str">
        <f>IF(H473="","",IF(OR('Data Export'!F473="三厢轿车",'Data Export'!F473="掀背轿车",'Data Export'!F473="旅行车",'Data Export'!F473="微型车",'Data Export'!F473="硬顶跑车",'Data Export'!F473="敞蓬车",'Data Export'!F473="Targa"),"轿车",IF(OR('Data Export'!F473="小型MPV",'Data Export'!F473="客车"),"MPV",IF('Data Export'!F473="运动型多功能车","SUV","其他"))))</f>
        <v>轿车</v>
      </c>
      <c r="K473" s="62" t="str">
        <f>IF(OR(D473="",NOT(F473=1)),"",1+SUMPRODUCT(($F$2:$F$1001=1)*($D$2:$D$1001&gt;D473))+COUNTIFS($F$2:F473,1,$D$2:D473,D473)-1)</f>
        <v/>
      </c>
      <c r="L473" s="62" t="str">
        <f>IF(OR(D473="",NOT(G473="轿车")),"",1+SUMPRODUCT(($G$2:$G$1001="轿车")*($D$2:$D$1001&gt;D473))+COUNTIFS($G$2:G473,"轿车",$D$2:D473,D473)-1)</f>
        <v/>
      </c>
      <c r="M473" s="62" t="str">
        <f>IF(OR(D473="",NOT(G473="MPV")),"",1+SUMPRODUCT(($G$2:$G$1001="MPV")*($D$2:$D$1001&gt;D473))+COUNTIFS($G$2:G473,"MPV",$D$2:D473,D473)-1)</f>
        <v/>
      </c>
      <c r="N473" s="62" t="str">
        <f>IF(OR(D473="",NOT(G473="SUV")),"",1+SUMPRODUCT(($G$2:$G$1001="SUV")*($D$2:$D$1001&gt;D473))+COUNTIFS($G$2:G473,"SUV",$D$2:D473,D473)-1)</f>
        <v/>
      </c>
      <c r="O473" s="62" t="str">
        <f>IF(OR(D473="",NOT(AND(F473=1,G473="轿车"))),"",1+SUMPRODUCT(($F$2:$F$1001=1)*($G$2:$G$1001="轿车")*($D$2:$D$1001&gt;D473))+COUNTIFS($F$2:F473,1,$G$2:G473,"轿车",$D$2:D473,D473)-1)</f>
        <v/>
      </c>
      <c r="P473" s="62" t="str">
        <f>IF(OR(D473="",NOT(AND(F473=1,G473="MPV"))),"",1+SUMPRODUCT(($F$2:$F$1001=1)*($G$2:$G$1001="MPV")*($D$2:$D$1001&gt;D473))+COUNTIFS($F$2:F473,1,$G$2:G473,"MPV",$D$2:D473,D473)-1)</f>
        <v/>
      </c>
      <c r="Q473" s="62" t="str">
        <f>IF(OR(D473="",NOT(AND(F473=1,G473="SUV"))),"",1+SUMPRODUCT(($F$2:$F$1001=1)*($G$2:$G$1001="SUV")*($D$2:$D$1001&gt;D473))+COUNTIFS($F$2:F473,1,$G$2:G473,"SUV",$D$2:D473,D473)-1)</f>
        <v/>
      </c>
    </row>
    <row r="474" spans="1:17">
      <c r="A474" s="62" t="str">
        <f>IFERROR(INDEX($H$2:$H$3000,MATCH(0,INDEX(COUNTIF($A$1:A473,$H$2:$H$3000)+($H$2:$H$3000=""),0,0),0)),"")</f>
        <v/>
      </c>
      <c r="B474" s="62" t="str">
        <f t="shared" si="28"/>
        <v/>
      </c>
      <c r="C474" s="62" t="str">
        <f t="shared" si="29"/>
        <v/>
      </c>
      <c r="D474" s="63" t="str">
        <f t="shared" si="30"/>
        <v/>
      </c>
      <c r="E474" s="62" t="str">
        <f>IF(D474="","",_xlfn.RANK.EQ(D474,$D$2:$D$1001,0)+COUNTIF($D$2:D474,D474)-1)</f>
        <v/>
      </c>
      <c r="F474" s="62" t="str">
        <f>IF(B474="","",--(COUNTIF(CN_Brands!$A$2:$A$300,UPPER(B474))&gt;0))</f>
        <v/>
      </c>
      <c r="G474" s="62" t="str">
        <f t="shared" si="31"/>
        <v/>
      </c>
      <c r="H474" s="62" t="str">
        <f>IF(AND('Data Export'!A474=前十整体车型排名!$B$2,'Data Export'!B474=前十整体车型排名!$B$3,'Data Export'!D474&lt;&gt;""),UPPER('Data Export'!C474)&amp;"♦"&amp;'Data Export'!D474,"")</f>
        <v>MERCEDES♦AMG GT</v>
      </c>
      <c r="I474" s="63">
        <f>IF(H474="","",IFERROR(INDEX('Data Export'!G474:CZ474,1,MATCH(前十整体车型排名!$B$4,'Data Export'!$G$1:$CZ$1,0)),0))</f>
        <v>0</v>
      </c>
      <c r="J474" s="62" t="str">
        <f>IF(H474="","",IF(OR('Data Export'!F474="三厢轿车",'Data Export'!F474="掀背轿车",'Data Export'!F474="旅行车",'Data Export'!F474="微型车",'Data Export'!F474="硬顶跑车",'Data Export'!F474="敞蓬车",'Data Export'!F474="Targa"),"轿车",IF(OR('Data Export'!F474="小型MPV",'Data Export'!F474="客车"),"MPV",IF('Data Export'!F474="运动型多功能车","SUV","其他"))))</f>
        <v>轿车</v>
      </c>
      <c r="K474" s="62" t="str">
        <f>IF(OR(D474="",NOT(F474=1)),"",1+SUMPRODUCT(($F$2:$F$1001=1)*($D$2:$D$1001&gt;D474))+COUNTIFS($F$2:F474,1,$D$2:D474,D474)-1)</f>
        <v/>
      </c>
      <c r="L474" s="62" t="str">
        <f>IF(OR(D474="",NOT(G474="轿车")),"",1+SUMPRODUCT(($G$2:$G$1001="轿车")*($D$2:$D$1001&gt;D474))+COUNTIFS($G$2:G474,"轿车",$D$2:D474,D474)-1)</f>
        <v/>
      </c>
      <c r="M474" s="62" t="str">
        <f>IF(OR(D474="",NOT(G474="MPV")),"",1+SUMPRODUCT(($G$2:$G$1001="MPV")*($D$2:$D$1001&gt;D474))+COUNTIFS($G$2:G474,"MPV",$D$2:D474,D474)-1)</f>
        <v/>
      </c>
      <c r="N474" s="62" t="str">
        <f>IF(OR(D474="",NOT(G474="SUV")),"",1+SUMPRODUCT(($G$2:$G$1001="SUV")*($D$2:$D$1001&gt;D474))+COUNTIFS($G$2:G474,"SUV",$D$2:D474,D474)-1)</f>
        <v/>
      </c>
      <c r="O474" s="62" t="str">
        <f>IF(OR(D474="",NOT(AND(F474=1,G474="轿车"))),"",1+SUMPRODUCT(($F$2:$F$1001=1)*($G$2:$G$1001="轿车")*($D$2:$D$1001&gt;D474))+COUNTIFS($F$2:F474,1,$G$2:G474,"轿车",$D$2:D474,D474)-1)</f>
        <v/>
      </c>
      <c r="P474" s="62" t="str">
        <f>IF(OR(D474="",NOT(AND(F474=1,G474="MPV"))),"",1+SUMPRODUCT(($F$2:$F$1001=1)*($G$2:$G$1001="MPV")*($D$2:$D$1001&gt;D474))+COUNTIFS($F$2:F474,1,$G$2:G474,"MPV",$D$2:D474,D474)-1)</f>
        <v/>
      </c>
      <c r="Q474" s="62" t="str">
        <f>IF(OR(D474="",NOT(AND(F474=1,G474="SUV"))),"",1+SUMPRODUCT(($F$2:$F$1001=1)*($G$2:$G$1001="SUV")*($D$2:$D$1001&gt;D474))+COUNTIFS($F$2:F474,1,$G$2:G474,"SUV",$D$2:D474,D474)-1)</f>
        <v/>
      </c>
    </row>
    <row r="475" spans="1:17">
      <c r="A475" s="62" t="str">
        <f>IFERROR(INDEX($H$2:$H$3000,MATCH(0,INDEX(COUNTIF($A$1:A474,$H$2:$H$3000)+($H$2:$H$3000=""),0,0),0)),"")</f>
        <v/>
      </c>
      <c r="B475" s="62" t="str">
        <f t="shared" si="28"/>
        <v/>
      </c>
      <c r="C475" s="62" t="str">
        <f t="shared" si="29"/>
        <v/>
      </c>
      <c r="D475" s="63" t="str">
        <f t="shared" si="30"/>
        <v/>
      </c>
      <c r="E475" s="62" t="str">
        <f>IF(D475="","",_xlfn.RANK.EQ(D475,$D$2:$D$1001,0)+COUNTIF($D$2:D475,D475)-1)</f>
        <v/>
      </c>
      <c r="F475" s="62" t="str">
        <f>IF(B475="","",--(COUNTIF(CN_Brands!$A$2:$A$300,UPPER(B475))&gt;0))</f>
        <v/>
      </c>
      <c r="G475" s="62" t="str">
        <f t="shared" si="31"/>
        <v/>
      </c>
      <c r="H475" s="62" t="str">
        <f>IF(AND('Data Export'!A475=前十整体车型排名!$B$2,'Data Export'!B475=前十整体车型排名!$B$3,'Data Export'!D475&lt;&gt;""),UPPER('Data Export'!C475)&amp;"♦"&amp;'Data Export'!D475,"")</f>
        <v>MERCEDES♦C-CLASS</v>
      </c>
      <c r="I475" s="63">
        <f>IF(H475="","",IFERROR(INDEX('Data Export'!G475:CZ475,1,MATCH(前十整体车型排名!$B$4,'Data Export'!$G$1:$CZ$1,0)),0))</f>
        <v>0</v>
      </c>
      <c r="J475" s="62" t="str">
        <f>IF(H475="","",IF(OR('Data Export'!F475="三厢轿车",'Data Export'!F475="掀背轿车",'Data Export'!F475="旅行车",'Data Export'!F475="微型车",'Data Export'!F475="硬顶跑车",'Data Export'!F475="敞蓬车",'Data Export'!F475="Targa"),"轿车",IF(OR('Data Export'!F475="小型MPV",'Data Export'!F475="客车"),"MPV",IF('Data Export'!F475="运动型多功能车","SUV","其他"))))</f>
        <v>轿车</v>
      </c>
      <c r="K475" s="62" t="str">
        <f>IF(OR(D475="",NOT(F475=1)),"",1+SUMPRODUCT(($F$2:$F$1001=1)*($D$2:$D$1001&gt;D475))+COUNTIFS($F$2:F475,1,$D$2:D475,D475)-1)</f>
        <v/>
      </c>
      <c r="L475" s="62" t="str">
        <f>IF(OR(D475="",NOT(G475="轿车")),"",1+SUMPRODUCT(($G$2:$G$1001="轿车")*($D$2:$D$1001&gt;D475))+COUNTIFS($G$2:G475,"轿车",$D$2:D475,D475)-1)</f>
        <v/>
      </c>
      <c r="M475" s="62" t="str">
        <f>IF(OR(D475="",NOT(G475="MPV")),"",1+SUMPRODUCT(($G$2:$G$1001="MPV")*($D$2:$D$1001&gt;D475))+COUNTIFS($G$2:G475,"MPV",$D$2:D475,D475)-1)</f>
        <v/>
      </c>
      <c r="N475" s="62" t="str">
        <f>IF(OR(D475="",NOT(G475="SUV")),"",1+SUMPRODUCT(($G$2:$G$1001="SUV")*($D$2:$D$1001&gt;D475))+COUNTIFS($G$2:G475,"SUV",$D$2:D475,D475)-1)</f>
        <v/>
      </c>
      <c r="O475" s="62" t="str">
        <f>IF(OR(D475="",NOT(AND(F475=1,G475="轿车"))),"",1+SUMPRODUCT(($F$2:$F$1001=1)*($G$2:$G$1001="轿车")*($D$2:$D$1001&gt;D475))+COUNTIFS($F$2:F475,1,$G$2:G475,"轿车",$D$2:D475,D475)-1)</f>
        <v/>
      </c>
      <c r="P475" s="62" t="str">
        <f>IF(OR(D475="",NOT(AND(F475=1,G475="MPV"))),"",1+SUMPRODUCT(($F$2:$F$1001=1)*($G$2:$G$1001="MPV")*($D$2:$D$1001&gt;D475))+COUNTIFS($F$2:F475,1,$G$2:G475,"MPV",$D$2:D475,D475)-1)</f>
        <v/>
      </c>
      <c r="Q475" s="62" t="str">
        <f>IF(OR(D475="",NOT(AND(F475=1,G475="SUV"))),"",1+SUMPRODUCT(($F$2:$F$1001=1)*($G$2:$G$1001="SUV")*($D$2:$D$1001&gt;D475))+COUNTIFS($F$2:F475,1,$G$2:G475,"SUV",$D$2:D475,D475)-1)</f>
        <v/>
      </c>
    </row>
    <row r="476" spans="1:17">
      <c r="A476" s="62" t="str">
        <f>IFERROR(INDEX($H$2:$H$3000,MATCH(0,INDEX(COUNTIF($A$1:A475,$H$2:$H$3000)+($H$2:$H$3000=""),0,0),0)),"")</f>
        <v/>
      </c>
      <c r="B476" s="62" t="str">
        <f t="shared" si="28"/>
        <v/>
      </c>
      <c r="C476" s="62" t="str">
        <f t="shared" si="29"/>
        <v/>
      </c>
      <c r="D476" s="63" t="str">
        <f t="shared" si="30"/>
        <v/>
      </c>
      <c r="E476" s="62" t="str">
        <f>IF(D476="","",_xlfn.RANK.EQ(D476,$D$2:$D$1001,0)+COUNTIF($D$2:D476,D476)-1)</f>
        <v/>
      </c>
      <c r="F476" s="62" t="str">
        <f>IF(B476="","",--(COUNTIF(CN_Brands!$A$2:$A$300,UPPER(B476))&gt;0))</f>
        <v/>
      </c>
      <c r="G476" s="62" t="str">
        <f t="shared" si="31"/>
        <v/>
      </c>
      <c r="H476" s="62" t="str">
        <f>IF(AND('Data Export'!A476=前十整体车型排名!$B$2,'Data Export'!B476=前十整体车型排名!$B$3,'Data Export'!D476&lt;&gt;""),UPPER('Data Export'!C476)&amp;"♦"&amp;'Data Export'!D476,"")</f>
        <v>MERCEDES♦C-CLASS</v>
      </c>
      <c r="I476" s="63">
        <f>IF(H476="","",IFERROR(INDEX('Data Export'!G476:CZ476,1,MATCH(前十整体车型排名!$B$4,'Data Export'!$G$1:$CZ$1,0)),0))</f>
        <v>0</v>
      </c>
      <c r="J476" s="62" t="str">
        <f>IF(H476="","",IF(OR('Data Export'!F476="三厢轿车",'Data Export'!F476="掀背轿车",'Data Export'!F476="旅行车",'Data Export'!F476="微型车",'Data Export'!F476="硬顶跑车",'Data Export'!F476="敞蓬车",'Data Export'!F476="Targa"),"轿车",IF(OR('Data Export'!F476="小型MPV",'Data Export'!F476="客车"),"MPV",IF('Data Export'!F476="运动型多功能车","SUV","其他"))))</f>
        <v>轿车</v>
      </c>
      <c r="K476" s="62" t="str">
        <f>IF(OR(D476="",NOT(F476=1)),"",1+SUMPRODUCT(($F$2:$F$1001=1)*($D$2:$D$1001&gt;D476))+COUNTIFS($F$2:F476,1,$D$2:D476,D476)-1)</f>
        <v/>
      </c>
      <c r="L476" s="62" t="str">
        <f>IF(OR(D476="",NOT(G476="轿车")),"",1+SUMPRODUCT(($G$2:$G$1001="轿车")*($D$2:$D$1001&gt;D476))+COUNTIFS($G$2:G476,"轿车",$D$2:D476,D476)-1)</f>
        <v/>
      </c>
      <c r="M476" s="62" t="str">
        <f>IF(OR(D476="",NOT(G476="MPV")),"",1+SUMPRODUCT(($G$2:$G$1001="MPV")*($D$2:$D$1001&gt;D476))+COUNTIFS($G$2:G476,"MPV",$D$2:D476,D476)-1)</f>
        <v/>
      </c>
      <c r="N476" s="62" t="str">
        <f>IF(OR(D476="",NOT(G476="SUV")),"",1+SUMPRODUCT(($G$2:$G$1001="SUV")*($D$2:$D$1001&gt;D476))+COUNTIFS($G$2:G476,"SUV",$D$2:D476,D476)-1)</f>
        <v/>
      </c>
      <c r="O476" s="62" t="str">
        <f>IF(OR(D476="",NOT(AND(F476=1,G476="轿车"))),"",1+SUMPRODUCT(($F$2:$F$1001=1)*($G$2:$G$1001="轿车")*($D$2:$D$1001&gt;D476))+COUNTIFS($F$2:F476,1,$G$2:G476,"轿车",$D$2:D476,D476)-1)</f>
        <v/>
      </c>
      <c r="P476" s="62" t="str">
        <f>IF(OR(D476="",NOT(AND(F476=1,G476="MPV"))),"",1+SUMPRODUCT(($F$2:$F$1001=1)*($G$2:$G$1001="MPV")*($D$2:$D$1001&gt;D476))+COUNTIFS($F$2:F476,1,$G$2:G476,"MPV",$D$2:D476,D476)-1)</f>
        <v/>
      </c>
      <c r="Q476" s="62" t="str">
        <f>IF(OR(D476="",NOT(AND(F476=1,G476="SUV"))),"",1+SUMPRODUCT(($F$2:$F$1001=1)*($G$2:$G$1001="SUV")*($D$2:$D$1001&gt;D476))+COUNTIFS($F$2:F476,1,$G$2:G476,"SUV",$D$2:D476,D476)-1)</f>
        <v/>
      </c>
    </row>
    <row r="477" spans="1:17">
      <c r="A477" s="62" t="str">
        <f>IFERROR(INDEX($H$2:$H$3000,MATCH(0,INDEX(COUNTIF($A$1:A476,$H$2:$H$3000)+($H$2:$H$3000=""),0,0),0)),"")</f>
        <v/>
      </c>
      <c r="B477" s="62" t="str">
        <f t="shared" si="28"/>
        <v/>
      </c>
      <c r="C477" s="62" t="str">
        <f t="shared" si="29"/>
        <v/>
      </c>
      <c r="D477" s="63" t="str">
        <f t="shared" si="30"/>
        <v/>
      </c>
      <c r="E477" s="62" t="str">
        <f>IF(D477="","",_xlfn.RANK.EQ(D477,$D$2:$D$1001,0)+COUNTIF($D$2:D477,D477)-1)</f>
        <v/>
      </c>
      <c r="F477" s="62" t="str">
        <f>IF(B477="","",--(COUNTIF(CN_Brands!$A$2:$A$300,UPPER(B477))&gt;0))</f>
        <v/>
      </c>
      <c r="G477" s="62" t="str">
        <f t="shared" si="31"/>
        <v/>
      </c>
      <c r="H477" s="62" t="str">
        <f>IF(AND('Data Export'!A477=前十整体车型排名!$B$2,'Data Export'!B477=前十整体车型排名!$B$3,'Data Export'!D477&lt;&gt;""),UPPER('Data Export'!C477)&amp;"♦"&amp;'Data Export'!D477,"")</f>
        <v>MERCEDES♦C-CLASS</v>
      </c>
      <c r="I477" s="63">
        <f>IF(H477="","",IFERROR(INDEX('Data Export'!G477:CZ477,1,MATCH(前十整体车型排名!$B$4,'Data Export'!$G$1:$CZ$1,0)),0))</f>
        <v>0</v>
      </c>
      <c r="J477" s="62" t="str">
        <f>IF(H477="","",IF(OR('Data Export'!F477="三厢轿车",'Data Export'!F477="掀背轿车",'Data Export'!F477="旅行车",'Data Export'!F477="微型车",'Data Export'!F477="硬顶跑车",'Data Export'!F477="敞蓬车",'Data Export'!F477="Targa"),"轿车",IF(OR('Data Export'!F477="小型MPV",'Data Export'!F477="客车"),"MPV",IF('Data Export'!F477="运动型多功能车","SUV","其他"))))</f>
        <v>轿车</v>
      </c>
      <c r="K477" s="62" t="str">
        <f>IF(OR(D477="",NOT(F477=1)),"",1+SUMPRODUCT(($F$2:$F$1001=1)*($D$2:$D$1001&gt;D477))+COUNTIFS($F$2:F477,1,$D$2:D477,D477)-1)</f>
        <v/>
      </c>
      <c r="L477" s="62" t="str">
        <f>IF(OR(D477="",NOT(G477="轿车")),"",1+SUMPRODUCT(($G$2:$G$1001="轿车")*($D$2:$D$1001&gt;D477))+COUNTIFS($G$2:G477,"轿车",$D$2:D477,D477)-1)</f>
        <v/>
      </c>
      <c r="M477" s="62" t="str">
        <f>IF(OR(D477="",NOT(G477="MPV")),"",1+SUMPRODUCT(($G$2:$G$1001="MPV")*($D$2:$D$1001&gt;D477))+COUNTIFS($G$2:G477,"MPV",$D$2:D477,D477)-1)</f>
        <v/>
      </c>
      <c r="N477" s="62" t="str">
        <f>IF(OR(D477="",NOT(G477="SUV")),"",1+SUMPRODUCT(($G$2:$G$1001="SUV")*($D$2:$D$1001&gt;D477))+COUNTIFS($G$2:G477,"SUV",$D$2:D477,D477)-1)</f>
        <v/>
      </c>
      <c r="O477" s="62" t="str">
        <f>IF(OR(D477="",NOT(AND(F477=1,G477="轿车"))),"",1+SUMPRODUCT(($F$2:$F$1001=1)*($G$2:$G$1001="轿车")*($D$2:$D$1001&gt;D477))+COUNTIFS($F$2:F477,1,$G$2:G477,"轿车",$D$2:D477,D477)-1)</f>
        <v/>
      </c>
      <c r="P477" s="62" t="str">
        <f>IF(OR(D477="",NOT(AND(F477=1,G477="MPV"))),"",1+SUMPRODUCT(($F$2:$F$1001=1)*($G$2:$G$1001="MPV")*($D$2:$D$1001&gt;D477))+COUNTIFS($F$2:F477,1,$G$2:G477,"MPV",$D$2:D477,D477)-1)</f>
        <v/>
      </c>
      <c r="Q477" s="62" t="str">
        <f>IF(OR(D477="",NOT(AND(F477=1,G477="SUV"))),"",1+SUMPRODUCT(($F$2:$F$1001=1)*($G$2:$G$1001="SUV")*($D$2:$D$1001&gt;D477))+COUNTIFS($F$2:F477,1,$G$2:G477,"SUV",$D$2:D477,D477)-1)</f>
        <v/>
      </c>
    </row>
    <row r="478" spans="1:17">
      <c r="A478" s="62" t="str">
        <f>IFERROR(INDEX($H$2:$H$3000,MATCH(0,INDEX(COUNTIF($A$1:A477,$H$2:$H$3000)+($H$2:$H$3000=""),0,0),0)),"")</f>
        <v/>
      </c>
      <c r="B478" s="62" t="str">
        <f t="shared" si="28"/>
        <v/>
      </c>
      <c r="C478" s="62" t="str">
        <f t="shared" si="29"/>
        <v/>
      </c>
      <c r="D478" s="63" t="str">
        <f t="shared" si="30"/>
        <v/>
      </c>
      <c r="E478" s="62" t="str">
        <f>IF(D478="","",_xlfn.RANK.EQ(D478,$D$2:$D$1001,0)+COUNTIF($D$2:D478,D478)-1)</f>
        <v/>
      </c>
      <c r="F478" s="62" t="str">
        <f>IF(B478="","",--(COUNTIF(CN_Brands!$A$2:$A$300,UPPER(B478))&gt;0))</f>
        <v/>
      </c>
      <c r="G478" s="62" t="str">
        <f t="shared" si="31"/>
        <v/>
      </c>
      <c r="H478" s="62" t="str">
        <f>IF(AND('Data Export'!A478=前十整体车型排名!$B$2,'Data Export'!B478=前十整体车型排名!$B$3,'Data Export'!D478&lt;&gt;""),UPPER('Data Export'!C478)&amp;"♦"&amp;'Data Export'!D478,"")</f>
        <v>MERCEDES♦C-CLASS</v>
      </c>
      <c r="I478" s="63">
        <f>IF(H478="","",IFERROR(INDEX('Data Export'!G478:CZ478,1,MATCH(前十整体车型排名!$B$4,'Data Export'!$G$1:$CZ$1,0)),0))</f>
        <v>0</v>
      </c>
      <c r="J478" s="62" t="str">
        <f>IF(H478="","",IF(OR('Data Export'!F478="三厢轿车",'Data Export'!F478="掀背轿车",'Data Export'!F478="旅行车",'Data Export'!F478="微型车",'Data Export'!F478="硬顶跑车",'Data Export'!F478="敞蓬车",'Data Export'!F478="Targa"),"轿车",IF(OR('Data Export'!F478="小型MPV",'Data Export'!F478="客车"),"MPV",IF('Data Export'!F478="运动型多功能车","SUV","其他"))))</f>
        <v>轿车</v>
      </c>
      <c r="K478" s="62" t="str">
        <f>IF(OR(D478="",NOT(F478=1)),"",1+SUMPRODUCT(($F$2:$F$1001=1)*($D$2:$D$1001&gt;D478))+COUNTIFS($F$2:F478,1,$D$2:D478,D478)-1)</f>
        <v/>
      </c>
      <c r="L478" s="62" t="str">
        <f>IF(OR(D478="",NOT(G478="轿车")),"",1+SUMPRODUCT(($G$2:$G$1001="轿车")*($D$2:$D$1001&gt;D478))+COUNTIFS($G$2:G478,"轿车",$D$2:D478,D478)-1)</f>
        <v/>
      </c>
      <c r="M478" s="62" t="str">
        <f>IF(OR(D478="",NOT(G478="MPV")),"",1+SUMPRODUCT(($G$2:$G$1001="MPV")*($D$2:$D$1001&gt;D478))+COUNTIFS($G$2:G478,"MPV",$D$2:D478,D478)-1)</f>
        <v/>
      </c>
      <c r="N478" s="62" t="str">
        <f>IF(OR(D478="",NOT(G478="SUV")),"",1+SUMPRODUCT(($G$2:$G$1001="SUV")*($D$2:$D$1001&gt;D478))+COUNTIFS($G$2:G478,"SUV",$D$2:D478,D478)-1)</f>
        <v/>
      </c>
      <c r="O478" s="62" t="str">
        <f>IF(OR(D478="",NOT(AND(F478=1,G478="轿车"))),"",1+SUMPRODUCT(($F$2:$F$1001=1)*($G$2:$G$1001="轿车")*($D$2:$D$1001&gt;D478))+COUNTIFS($F$2:F478,1,$G$2:G478,"轿车",$D$2:D478,D478)-1)</f>
        <v/>
      </c>
      <c r="P478" s="62" t="str">
        <f>IF(OR(D478="",NOT(AND(F478=1,G478="MPV"))),"",1+SUMPRODUCT(($F$2:$F$1001=1)*($G$2:$G$1001="MPV")*($D$2:$D$1001&gt;D478))+COUNTIFS($F$2:F478,1,$G$2:G478,"MPV",$D$2:D478,D478)-1)</f>
        <v/>
      </c>
      <c r="Q478" s="62" t="str">
        <f>IF(OR(D478="",NOT(AND(F478=1,G478="SUV"))),"",1+SUMPRODUCT(($F$2:$F$1001=1)*($G$2:$G$1001="SUV")*($D$2:$D$1001&gt;D478))+COUNTIFS($F$2:F478,1,$G$2:G478,"SUV",$D$2:D478,D478)-1)</f>
        <v/>
      </c>
    </row>
    <row r="479" spans="1:17">
      <c r="A479" s="62" t="str">
        <f>IFERROR(INDEX($H$2:$H$3000,MATCH(0,INDEX(COUNTIF($A$1:A478,$H$2:$H$3000)+($H$2:$H$3000=""),0,0),0)),"")</f>
        <v/>
      </c>
      <c r="B479" s="62" t="str">
        <f t="shared" si="28"/>
        <v/>
      </c>
      <c r="C479" s="62" t="str">
        <f t="shared" si="29"/>
        <v/>
      </c>
      <c r="D479" s="63" t="str">
        <f t="shared" si="30"/>
        <v/>
      </c>
      <c r="E479" s="62" t="str">
        <f>IF(D479="","",_xlfn.RANK.EQ(D479,$D$2:$D$1001,0)+COUNTIF($D$2:D479,D479)-1)</f>
        <v/>
      </c>
      <c r="F479" s="62" t="str">
        <f>IF(B479="","",--(COUNTIF(CN_Brands!$A$2:$A$300,UPPER(B479))&gt;0))</f>
        <v/>
      </c>
      <c r="G479" s="62" t="str">
        <f t="shared" si="31"/>
        <v/>
      </c>
      <c r="H479" s="62" t="str">
        <f>IF(AND('Data Export'!A479=前十整体车型排名!$B$2,'Data Export'!B479=前十整体车型排名!$B$3,'Data Export'!D479&lt;&gt;""),UPPER('Data Export'!C479)&amp;"♦"&amp;'Data Export'!D479,"")</f>
        <v>MERCEDES♦C-CLASS</v>
      </c>
      <c r="I479" s="63">
        <f>IF(H479="","",IFERROR(INDEX('Data Export'!G479:CZ479,1,MATCH(前十整体车型排名!$B$4,'Data Export'!$G$1:$CZ$1,0)),0))</f>
        <v>1</v>
      </c>
      <c r="J479" s="62" t="str">
        <f>IF(H479="","",IF(OR('Data Export'!F479="三厢轿车",'Data Export'!F479="掀背轿车",'Data Export'!F479="旅行车",'Data Export'!F479="微型车",'Data Export'!F479="硬顶跑车",'Data Export'!F479="敞蓬车",'Data Export'!F479="Targa"),"轿车",IF(OR('Data Export'!F479="小型MPV",'Data Export'!F479="客车"),"MPV",IF('Data Export'!F479="运动型多功能车","SUV","其他"))))</f>
        <v>轿车</v>
      </c>
      <c r="K479" s="62" t="str">
        <f>IF(OR(D479="",NOT(F479=1)),"",1+SUMPRODUCT(($F$2:$F$1001=1)*($D$2:$D$1001&gt;D479))+COUNTIFS($F$2:F479,1,$D$2:D479,D479)-1)</f>
        <v/>
      </c>
      <c r="L479" s="62" t="str">
        <f>IF(OR(D479="",NOT(G479="轿车")),"",1+SUMPRODUCT(($G$2:$G$1001="轿车")*($D$2:$D$1001&gt;D479))+COUNTIFS($G$2:G479,"轿车",$D$2:D479,D479)-1)</f>
        <v/>
      </c>
      <c r="M479" s="62" t="str">
        <f>IF(OR(D479="",NOT(G479="MPV")),"",1+SUMPRODUCT(($G$2:$G$1001="MPV")*($D$2:$D$1001&gt;D479))+COUNTIFS($G$2:G479,"MPV",$D$2:D479,D479)-1)</f>
        <v/>
      </c>
      <c r="N479" s="62" t="str">
        <f>IF(OR(D479="",NOT(G479="SUV")),"",1+SUMPRODUCT(($G$2:$G$1001="SUV")*($D$2:$D$1001&gt;D479))+COUNTIFS($G$2:G479,"SUV",$D$2:D479,D479)-1)</f>
        <v/>
      </c>
      <c r="O479" s="62" t="str">
        <f>IF(OR(D479="",NOT(AND(F479=1,G479="轿车"))),"",1+SUMPRODUCT(($F$2:$F$1001=1)*($G$2:$G$1001="轿车")*($D$2:$D$1001&gt;D479))+COUNTIFS($F$2:F479,1,$G$2:G479,"轿车",$D$2:D479,D479)-1)</f>
        <v/>
      </c>
      <c r="P479" s="62" t="str">
        <f>IF(OR(D479="",NOT(AND(F479=1,G479="MPV"))),"",1+SUMPRODUCT(($F$2:$F$1001=1)*($G$2:$G$1001="MPV")*($D$2:$D$1001&gt;D479))+COUNTIFS($F$2:F479,1,$G$2:G479,"MPV",$D$2:D479,D479)-1)</f>
        <v/>
      </c>
      <c r="Q479" s="62" t="str">
        <f>IF(OR(D479="",NOT(AND(F479=1,G479="SUV"))),"",1+SUMPRODUCT(($F$2:$F$1001=1)*($G$2:$G$1001="SUV")*($D$2:$D$1001&gt;D479))+COUNTIFS($F$2:F479,1,$G$2:G479,"SUV",$D$2:D479,D479)-1)</f>
        <v/>
      </c>
    </row>
    <row r="480" spans="1:17">
      <c r="A480" s="62" t="str">
        <f>IFERROR(INDEX($H$2:$H$3000,MATCH(0,INDEX(COUNTIF($A$1:A479,$H$2:$H$3000)+($H$2:$H$3000=""),0,0),0)),"")</f>
        <v/>
      </c>
      <c r="B480" s="62" t="str">
        <f t="shared" si="28"/>
        <v/>
      </c>
      <c r="C480" s="62" t="str">
        <f t="shared" si="29"/>
        <v/>
      </c>
      <c r="D480" s="63" t="str">
        <f t="shared" si="30"/>
        <v/>
      </c>
      <c r="E480" s="62" t="str">
        <f>IF(D480="","",_xlfn.RANK.EQ(D480,$D$2:$D$1001,0)+COUNTIF($D$2:D480,D480)-1)</f>
        <v/>
      </c>
      <c r="F480" s="62" t="str">
        <f>IF(B480="","",--(COUNTIF(CN_Brands!$A$2:$A$300,UPPER(B480))&gt;0))</f>
        <v/>
      </c>
      <c r="G480" s="62" t="str">
        <f t="shared" si="31"/>
        <v/>
      </c>
      <c r="H480" s="62" t="str">
        <f>IF(AND('Data Export'!A480=前十整体车型排名!$B$2,'Data Export'!B480=前十整体车型排名!$B$3,'Data Export'!D480&lt;&gt;""),UPPER('Data Export'!C480)&amp;"♦"&amp;'Data Export'!D480,"")</f>
        <v>MERCEDES♦C-CLASS</v>
      </c>
      <c r="I480" s="63">
        <f>IF(H480="","",IFERROR(INDEX('Data Export'!G480:CZ480,1,MATCH(前十整体车型排名!$B$4,'Data Export'!$G$1:$CZ$1,0)),0))</f>
        <v>50</v>
      </c>
      <c r="J480" s="62" t="str">
        <f>IF(H480="","",IF(OR('Data Export'!F480="三厢轿车",'Data Export'!F480="掀背轿车",'Data Export'!F480="旅行车",'Data Export'!F480="微型车",'Data Export'!F480="硬顶跑车",'Data Export'!F480="敞蓬车",'Data Export'!F480="Targa"),"轿车",IF(OR('Data Export'!F480="小型MPV",'Data Export'!F480="客车"),"MPV",IF('Data Export'!F480="运动型多功能车","SUV","其他"))))</f>
        <v>轿车</v>
      </c>
      <c r="K480" s="62" t="str">
        <f>IF(OR(D480="",NOT(F480=1)),"",1+SUMPRODUCT(($F$2:$F$1001=1)*($D$2:$D$1001&gt;D480))+COUNTIFS($F$2:F480,1,$D$2:D480,D480)-1)</f>
        <v/>
      </c>
      <c r="L480" s="62" t="str">
        <f>IF(OR(D480="",NOT(G480="轿车")),"",1+SUMPRODUCT(($G$2:$G$1001="轿车")*($D$2:$D$1001&gt;D480))+COUNTIFS($G$2:G480,"轿车",$D$2:D480,D480)-1)</f>
        <v/>
      </c>
      <c r="M480" s="62" t="str">
        <f>IF(OR(D480="",NOT(G480="MPV")),"",1+SUMPRODUCT(($G$2:$G$1001="MPV")*($D$2:$D$1001&gt;D480))+COUNTIFS($G$2:G480,"MPV",$D$2:D480,D480)-1)</f>
        <v/>
      </c>
      <c r="N480" s="62" t="str">
        <f>IF(OR(D480="",NOT(G480="SUV")),"",1+SUMPRODUCT(($G$2:$G$1001="SUV")*($D$2:$D$1001&gt;D480))+COUNTIFS($G$2:G480,"SUV",$D$2:D480,D480)-1)</f>
        <v/>
      </c>
      <c r="O480" s="62" t="str">
        <f>IF(OR(D480="",NOT(AND(F480=1,G480="轿车"))),"",1+SUMPRODUCT(($F$2:$F$1001=1)*($G$2:$G$1001="轿车")*($D$2:$D$1001&gt;D480))+COUNTIFS($F$2:F480,1,$G$2:G480,"轿车",$D$2:D480,D480)-1)</f>
        <v/>
      </c>
      <c r="P480" s="62" t="str">
        <f>IF(OR(D480="",NOT(AND(F480=1,G480="MPV"))),"",1+SUMPRODUCT(($F$2:$F$1001=1)*($G$2:$G$1001="MPV")*($D$2:$D$1001&gt;D480))+COUNTIFS($F$2:F480,1,$G$2:G480,"MPV",$D$2:D480,D480)-1)</f>
        <v/>
      </c>
      <c r="Q480" s="62" t="str">
        <f>IF(OR(D480="",NOT(AND(F480=1,G480="SUV"))),"",1+SUMPRODUCT(($F$2:$F$1001=1)*($G$2:$G$1001="SUV")*($D$2:$D$1001&gt;D480))+COUNTIFS($F$2:F480,1,$G$2:G480,"SUV",$D$2:D480,D480)-1)</f>
        <v/>
      </c>
    </row>
    <row r="481" spans="1:17">
      <c r="A481" s="62" t="str">
        <f>IFERROR(INDEX($H$2:$H$3000,MATCH(0,INDEX(COUNTIF($A$1:A480,$H$2:$H$3000)+($H$2:$H$3000=""),0,0),0)),"")</f>
        <v/>
      </c>
      <c r="B481" s="62" t="str">
        <f t="shared" si="28"/>
        <v/>
      </c>
      <c r="C481" s="62" t="str">
        <f t="shared" si="29"/>
        <v/>
      </c>
      <c r="D481" s="63" t="str">
        <f t="shared" si="30"/>
        <v/>
      </c>
      <c r="E481" s="62" t="str">
        <f>IF(D481="","",_xlfn.RANK.EQ(D481,$D$2:$D$1001,0)+COUNTIF($D$2:D481,D481)-1)</f>
        <v/>
      </c>
      <c r="F481" s="62" t="str">
        <f>IF(B481="","",--(COUNTIF(CN_Brands!$A$2:$A$300,UPPER(B481))&gt;0))</f>
        <v/>
      </c>
      <c r="G481" s="62" t="str">
        <f t="shared" si="31"/>
        <v/>
      </c>
      <c r="H481" s="62" t="str">
        <f>IF(AND('Data Export'!A481=前十整体车型排名!$B$2,'Data Export'!B481=前十整体车型排名!$B$3,'Data Export'!D481&lt;&gt;""),UPPER('Data Export'!C481)&amp;"♦"&amp;'Data Export'!D481,"")</f>
        <v>MERCEDES♦C-CLASS</v>
      </c>
      <c r="I481" s="63">
        <f>IF(H481="","",IFERROR(INDEX('Data Export'!G481:CZ481,1,MATCH(前十整体车型排名!$B$4,'Data Export'!$G$1:$CZ$1,0)),0))</f>
        <v>0</v>
      </c>
      <c r="J481" s="62" t="str">
        <f>IF(H481="","",IF(OR('Data Export'!F481="三厢轿车",'Data Export'!F481="掀背轿车",'Data Export'!F481="旅行车",'Data Export'!F481="微型车",'Data Export'!F481="硬顶跑车",'Data Export'!F481="敞蓬车",'Data Export'!F481="Targa"),"轿车",IF(OR('Data Export'!F481="小型MPV",'Data Export'!F481="客车"),"MPV",IF('Data Export'!F481="运动型多功能车","SUV","其他"))))</f>
        <v>轿车</v>
      </c>
      <c r="K481" s="62" t="str">
        <f>IF(OR(D481="",NOT(F481=1)),"",1+SUMPRODUCT(($F$2:$F$1001=1)*($D$2:$D$1001&gt;D481))+COUNTIFS($F$2:F481,1,$D$2:D481,D481)-1)</f>
        <v/>
      </c>
      <c r="L481" s="62" t="str">
        <f>IF(OR(D481="",NOT(G481="轿车")),"",1+SUMPRODUCT(($G$2:$G$1001="轿车")*($D$2:$D$1001&gt;D481))+COUNTIFS($G$2:G481,"轿车",$D$2:D481,D481)-1)</f>
        <v/>
      </c>
      <c r="M481" s="62" t="str">
        <f>IF(OR(D481="",NOT(G481="MPV")),"",1+SUMPRODUCT(($G$2:$G$1001="MPV")*($D$2:$D$1001&gt;D481))+COUNTIFS($G$2:G481,"MPV",$D$2:D481,D481)-1)</f>
        <v/>
      </c>
      <c r="N481" s="62" t="str">
        <f>IF(OR(D481="",NOT(G481="SUV")),"",1+SUMPRODUCT(($G$2:$G$1001="SUV")*($D$2:$D$1001&gt;D481))+COUNTIFS($G$2:G481,"SUV",$D$2:D481,D481)-1)</f>
        <v/>
      </c>
      <c r="O481" s="62" t="str">
        <f>IF(OR(D481="",NOT(AND(F481=1,G481="轿车"))),"",1+SUMPRODUCT(($F$2:$F$1001=1)*($G$2:$G$1001="轿车")*($D$2:$D$1001&gt;D481))+COUNTIFS($F$2:F481,1,$G$2:G481,"轿车",$D$2:D481,D481)-1)</f>
        <v/>
      </c>
      <c r="P481" s="62" t="str">
        <f>IF(OR(D481="",NOT(AND(F481=1,G481="MPV"))),"",1+SUMPRODUCT(($F$2:$F$1001=1)*($G$2:$G$1001="MPV")*($D$2:$D$1001&gt;D481))+COUNTIFS($F$2:F481,1,$G$2:G481,"MPV",$D$2:D481,D481)-1)</f>
        <v/>
      </c>
      <c r="Q481" s="62" t="str">
        <f>IF(OR(D481="",NOT(AND(F481=1,G481="SUV"))),"",1+SUMPRODUCT(($F$2:$F$1001=1)*($G$2:$G$1001="SUV")*($D$2:$D$1001&gt;D481))+COUNTIFS($F$2:F481,1,$G$2:G481,"SUV",$D$2:D481,D481)-1)</f>
        <v/>
      </c>
    </row>
    <row r="482" spans="1:17">
      <c r="A482" s="62" t="str">
        <f>IFERROR(INDEX($H$2:$H$3000,MATCH(0,INDEX(COUNTIF($A$1:A481,$H$2:$H$3000)+($H$2:$H$3000=""),0,0),0)),"")</f>
        <v/>
      </c>
      <c r="B482" s="62" t="str">
        <f t="shared" si="28"/>
        <v/>
      </c>
      <c r="C482" s="62" t="str">
        <f t="shared" si="29"/>
        <v/>
      </c>
      <c r="D482" s="63" t="str">
        <f t="shared" si="30"/>
        <v/>
      </c>
      <c r="E482" s="62" t="str">
        <f>IF(D482="","",_xlfn.RANK.EQ(D482,$D$2:$D$1001,0)+COUNTIF($D$2:D482,D482)-1)</f>
        <v/>
      </c>
      <c r="F482" s="62" t="str">
        <f>IF(B482="","",--(COUNTIF(CN_Brands!$A$2:$A$300,UPPER(B482))&gt;0))</f>
        <v/>
      </c>
      <c r="G482" s="62" t="str">
        <f t="shared" si="31"/>
        <v/>
      </c>
      <c r="H482" s="62" t="str">
        <f>IF(AND('Data Export'!A482=前十整体车型排名!$B$2,'Data Export'!B482=前十整体车型排名!$B$3,'Data Export'!D482&lt;&gt;""),UPPER('Data Export'!C482)&amp;"♦"&amp;'Data Export'!D482,"")</f>
        <v>MERCEDES♦C-CLASS</v>
      </c>
      <c r="I482" s="63">
        <f>IF(H482="","",IFERROR(INDEX('Data Export'!G482:CZ482,1,MATCH(前十整体车型排名!$B$4,'Data Export'!$G$1:$CZ$1,0)),0))</f>
        <v>1</v>
      </c>
      <c r="J482" s="62" t="str">
        <f>IF(H482="","",IF(OR('Data Export'!F482="三厢轿车",'Data Export'!F482="掀背轿车",'Data Export'!F482="旅行车",'Data Export'!F482="微型车",'Data Export'!F482="硬顶跑车",'Data Export'!F482="敞蓬车",'Data Export'!F482="Targa"),"轿车",IF(OR('Data Export'!F482="小型MPV",'Data Export'!F482="客车"),"MPV",IF('Data Export'!F482="运动型多功能车","SUV","其他"))))</f>
        <v>轿车</v>
      </c>
      <c r="K482" s="62" t="str">
        <f>IF(OR(D482="",NOT(F482=1)),"",1+SUMPRODUCT(($F$2:$F$1001=1)*($D$2:$D$1001&gt;D482))+COUNTIFS($F$2:F482,1,$D$2:D482,D482)-1)</f>
        <v/>
      </c>
      <c r="L482" s="62" t="str">
        <f>IF(OR(D482="",NOT(G482="轿车")),"",1+SUMPRODUCT(($G$2:$G$1001="轿车")*($D$2:$D$1001&gt;D482))+COUNTIFS($G$2:G482,"轿车",$D$2:D482,D482)-1)</f>
        <v/>
      </c>
      <c r="M482" s="62" t="str">
        <f>IF(OR(D482="",NOT(G482="MPV")),"",1+SUMPRODUCT(($G$2:$G$1001="MPV")*($D$2:$D$1001&gt;D482))+COUNTIFS($G$2:G482,"MPV",$D$2:D482,D482)-1)</f>
        <v/>
      </c>
      <c r="N482" s="62" t="str">
        <f>IF(OR(D482="",NOT(G482="SUV")),"",1+SUMPRODUCT(($G$2:$G$1001="SUV")*($D$2:$D$1001&gt;D482))+COUNTIFS($G$2:G482,"SUV",$D$2:D482,D482)-1)</f>
        <v/>
      </c>
      <c r="O482" s="62" t="str">
        <f>IF(OR(D482="",NOT(AND(F482=1,G482="轿车"))),"",1+SUMPRODUCT(($F$2:$F$1001=1)*($G$2:$G$1001="轿车")*($D$2:$D$1001&gt;D482))+COUNTIFS($F$2:F482,1,$G$2:G482,"轿车",$D$2:D482,D482)-1)</f>
        <v/>
      </c>
      <c r="P482" s="62" t="str">
        <f>IF(OR(D482="",NOT(AND(F482=1,G482="MPV"))),"",1+SUMPRODUCT(($F$2:$F$1001=1)*($G$2:$G$1001="MPV")*($D$2:$D$1001&gt;D482))+COUNTIFS($F$2:F482,1,$G$2:G482,"MPV",$D$2:D482,D482)-1)</f>
        <v/>
      </c>
      <c r="Q482" s="62" t="str">
        <f>IF(OR(D482="",NOT(AND(F482=1,G482="SUV"))),"",1+SUMPRODUCT(($F$2:$F$1001=1)*($G$2:$G$1001="SUV")*($D$2:$D$1001&gt;D482))+COUNTIFS($F$2:F482,1,$G$2:G482,"SUV",$D$2:D482,D482)-1)</f>
        <v/>
      </c>
    </row>
    <row r="483" spans="1:17">
      <c r="A483" s="62" t="str">
        <f>IFERROR(INDEX($H$2:$H$3000,MATCH(0,INDEX(COUNTIF($A$1:A482,$H$2:$H$3000)+($H$2:$H$3000=""),0,0),0)),"")</f>
        <v/>
      </c>
      <c r="B483" s="62" t="str">
        <f t="shared" si="28"/>
        <v/>
      </c>
      <c r="C483" s="62" t="str">
        <f t="shared" si="29"/>
        <v/>
      </c>
      <c r="D483" s="63" t="str">
        <f t="shared" si="30"/>
        <v/>
      </c>
      <c r="E483" s="62" t="str">
        <f>IF(D483="","",_xlfn.RANK.EQ(D483,$D$2:$D$1001,0)+COUNTIF($D$2:D483,D483)-1)</f>
        <v/>
      </c>
      <c r="F483" s="62" t="str">
        <f>IF(B483="","",--(COUNTIF(CN_Brands!$A$2:$A$300,UPPER(B483))&gt;0))</f>
        <v/>
      </c>
      <c r="G483" s="62" t="str">
        <f t="shared" si="31"/>
        <v/>
      </c>
      <c r="H483" s="62" t="str">
        <f>IF(AND('Data Export'!A483=前十整体车型排名!$B$2,'Data Export'!B483=前十整体车型排名!$B$3,'Data Export'!D483&lt;&gt;""),UPPER('Data Export'!C483)&amp;"♦"&amp;'Data Export'!D483,"")</f>
        <v>MERCEDES♦C-CLASS</v>
      </c>
      <c r="I483" s="63">
        <f>IF(H483="","",IFERROR(INDEX('Data Export'!G483:CZ483,1,MATCH(前十整体车型排名!$B$4,'Data Export'!$G$1:$CZ$1,0)),0))</f>
        <v>48</v>
      </c>
      <c r="J483" s="62" t="str">
        <f>IF(H483="","",IF(OR('Data Export'!F483="三厢轿车",'Data Export'!F483="掀背轿车",'Data Export'!F483="旅行车",'Data Export'!F483="微型车",'Data Export'!F483="硬顶跑车",'Data Export'!F483="敞蓬车",'Data Export'!F483="Targa"),"轿车",IF(OR('Data Export'!F483="小型MPV",'Data Export'!F483="客车"),"MPV",IF('Data Export'!F483="运动型多功能车","SUV","其他"))))</f>
        <v>轿车</v>
      </c>
      <c r="K483" s="62" t="str">
        <f>IF(OR(D483="",NOT(F483=1)),"",1+SUMPRODUCT(($F$2:$F$1001=1)*($D$2:$D$1001&gt;D483))+COUNTIFS($F$2:F483,1,$D$2:D483,D483)-1)</f>
        <v/>
      </c>
      <c r="L483" s="62" t="str">
        <f>IF(OR(D483="",NOT(G483="轿车")),"",1+SUMPRODUCT(($G$2:$G$1001="轿车")*($D$2:$D$1001&gt;D483))+COUNTIFS($G$2:G483,"轿车",$D$2:D483,D483)-1)</f>
        <v/>
      </c>
      <c r="M483" s="62" t="str">
        <f>IF(OR(D483="",NOT(G483="MPV")),"",1+SUMPRODUCT(($G$2:$G$1001="MPV")*($D$2:$D$1001&gt;D483))+COUNTIFS($G$2:G483,"MPV",$D$2:D483,D483)-1)</f>
        <v/>
      </c>
      <c r="N483" s="62" t="str">
        <f>IF(OR(D483="",NOT(G483="SUV")),"",1+SUMPRODUCT(($G$2:$G$1001="SUV")*($D$2:$D$1001&gt;D483))+COUNTIFS($G$2:G483,"SUV",$D$2:D483,D483)-1)</f>
        <v/>
      </c>
      <c r="O483" s="62" t="str">
        <f>IF(OR(D483="",NOT(AND(F483=1,G483="轿车"))),"",1+SUMPRODUCT(($F$2:$F$1001=1)*($G$2:$G$1001="轿车")*($D$2:$D$1001&gt;D483))+COUNTIFS($F$2:F483,1,$G$2:G483,"轿车",$D$2:D483,D483)-1)</f>
        <v/>
      </c>
      <c r="P483" s="62" t="str">
        <f>IF(OR(D483="",NOT(AND(F483=1,G483="MPV"))),"",1+SUMPRODUCT(($F$2:$F$1001=1)*($G$2:$G$1001="MPV")*($D$2:$D$1001&gt;D483))+COUNTIFS($F$2:F483,1,$G$2:G483,"MPV",$D$2:D483,D483)-1)</f>
        <v/>
      </c>
      <c r="Q483" s="62" t="str">
        <f>IF(OR(D483="",NOT(AND(F483=1,G483="SUV"))),"",1+SUMPRODUCT(($F$2:$F$1001=1)*($G$2:$G$1001="SUV")*($D$2:$D$1001&gt;D483))+COUNTIFS($F$2:F483,1,$G$2:G483,"SUV",$D$2:D483,D483)-1)</f>
        <v/>
      </c>
    </row>
    <row r="484" spans="1:17">
      <c r="A484" s="62" t="str">
        <f>IFERROR(INDEX($H$2:$H$3000,MATCH(0,INDEX(COUNTIF($A$1:A483,$H$2:$H$3000)+($H$2:$H$3000=""),0,0),0)),"")</f>
        <v/>
      </c>
      <c r="B484" s="62" t="str">
        <f t="shared" si="28"/>
        <v/>
      </c>
      <c r="C484" s="62" t="str">
        <f t="shared" si="29"/>
        <v/>
      </c>
      <c r="D484" s="63" t="str">
        <f t="shared" si="30"/>
        <v/>
      </c>
      <c r="E484" s="62" t="str">
        <f>IF(D484="","",_xlfn.RANK.EQ(D484,$D$2:$D$1001,0)+COUNTIF($D$2:D484,D484)-1)</f>
        <v/>
      </c>
      <c r="F484" s="62" t="str">
        <f>IF(B484="","",--(COUNTIF(CN_Brands!$A$2:$A$300,UPPER(B484))&gt;0))</f>
        <v/>
      </c>
      <c r="G484" s="62" t="str">
        <f t="shared" si="31"/>
        <v/>
      </c>
      <c r="H484" s="62" t="str">
        <f>IF(AND('Data Export'!A484=前十整体车型排名!$B$2,'Data Export'!B484=前十整体车型排名!$B$3,'Data Export'!D484&lt;&gt;""),UPPER('Data Export'!C484)&amp;"♦"&amp;'Data Export'!D484,"")</f>
        <v>MERCEDES♦C-CLASS</v>
      </c>
      <c r="I484" s="63">
        <f>IF(H484="","",IFERROR(INDEX('Data Export'!G484:CZ484,1,MATCH(前十整体车型排名!$B$4,'Data Export'!$G$1:$CZ$1,0)),0))</f>
        <v>0</v>
      </c>
      <c r="J484" s="62" t="str">
        <f>IF(H484="","",IF(OR('Data Export'!F484="三厢轿车",'Data Export'!F484="掀背轿车",'Data Export'!F484="旅行车",'Data Export'!F484="微型车",'Data Export'!F484="硬顶跑车",'Data Export'!F484="敞蓬车",'Data Export'!F484="Targa"),"轿车",IF(OR('Data Export'!F484="小型MPV",'Data Export'!F484="客车"),"MPV",IF('Data Export'!F484="运动型多功能车","SUV","其他"))))</f>
        <v>其他</v>
      </c>
      <c r="K484" s="62" t="str">
        <f>IF(OR(D484="",NOT(F484=1)),"",1+SUMPRODUCT(($F$2:$F$1001=1)*($D$2:$D$1001&gt;D484))+COUNTIFS($F$2:F484,1,$D$2:D484,D484)-1)</f>
        <v/>
      </c>
      <c r="L484" s="62" t="str">
        <f>IF(OR(D484="",NOT(G484="轿车")),"",1+SUMPRODUCT(($G$2:$G$1001="轿车")*($D$2:$D$1001&gt;D484))+COUNTIFS($G$2:G484,"轿车",$D$2:D484,D484)-1)</f>
        <v/>
      </c>
      <c r="M484" s="62" t="str">
        <f>IF(OR(D484="",NOT(G484="MPV")),"",1+SUMPRODUCT(($G$2:$G$1001="MPV")*($D$2:$D$1001&gt;D484))+COUNTIFS($G$2:G484,"MPV",$D$2:D484,D484)-1)</f>
        <v/>
      </c>
      <c r="N484" s="62" t="str">
        <f>IF(OR(D484="",NOT(G484="SUV")),"",1+SUMPRODUCT(($G$2:$G$1001="SUV")*($D$2:$D$1001&gt;D484))+COUNTIFS($G$2:G484,"SUV",$D$2:D484,D484)-1)</f>
        <v/>
      </c>
      <c r="O484" s="62" t="str">
        <f>IF(OR(D484="",NOT(AND(F484=1,G484="轿车"))),"",1+SUMPRODUCT(($F$2:$F$1001=1)*($G$2:$G$1001="轿车")*($D$2:$D$1001&gt;D484))+COUNTIFS($F$2:F484,1,$G$2:G484,"轿车",$D$2:D484,D484)-1)</f>
        <v/>
      </c>
      <c r="P484" s="62" t="str">
        <f>IF(OR(D484="",NOT(AND(F484=1,G484="MPV"))),"",1+SUMPRODUCT(($F$2:$F$1001=1)*($G$2:$G$1001="MPV")*($D$2:$D$1001&gt;D484))+COUNTIFS($F$2:F484,1,$G$2:G484,"MPV",$D$2:D484,D484)-1)</f>
        <v/>
      </c>
      <c r="Q484" s="62" t="str">
        <f>IF(OR(D484="",NOT(AND(F484=1,G484="SUV"))),"",1+SUMPRODUCT(($F$2:$F$1001=1)*($G$2:$G$1001="SUV")*($D$2:$D$1001&gt;D484))+COUNTIFS($F$2:F484,1,$G$2:G484,"SUV",$D$2:D484,D484)-1)</f>
        <v/>
      </c>
    </row>
    <row r="485" spans="1:17">
      <c r="A485" s="62" t="str">
        <f>IFERROR(INDEX($H$2:$H$3000,MATCH(0,INDEX(COUNTIF($A$1:A484,$H$2:$H$3000)+($H$2:$H$3000=""),0,0),0)),"")</f>
        <v/>
      </c>
      <c r="B485" s="62" t="str">
        <f t="shared" si="28"/>
        <v/>
      </c>
      <c r="C485" s="62" t="str">
        <f t="shared" si="29"/>
        <v/>
      </c>
      <c r="D485" s="63" t="str">
        <f t="shared" si="30"/>
        <v/>
      </c>
      <c r="E485" s="62" t="str">
        <f>IF(D485="","",_xlfn.RANK.EQ(D485,$D$2:$D$1001,0)+COUNTIF($D$2:D485,D485)-1)</f>
        <v/>
      </c>
      <c r="F485" s="62" t="str">
        <f>IF(B485="","",--(COUNTIF(CN_Brands!$A$2:$A$300,UPPER(B485))&gt;0))</f>
        <v/>
      </c>
      <c r="G485" s="62" t="str">
        <f t="shared" si="31"/>
        <v/>
      </c>
      <c r="H485" s="62" t="str">
        <f>IF(AND('Data Export'!A485=前十整体车型排名!$B$2,'Data Export'!B485=前十整体车型排名!$B$3,'Data Export'!D485&lt;&gt;""),UPPER('Data Export'!C485)&amp;"♦"&amp;'Data Export'!D485,"")</f>
        <v>MERCEDES♦CLA</v>
      </c>
      <c r="I485" s="63">
        <f>IF(H485="","",IFERROR(INDEX('Data Export'!G485:CZ485,1,MATCH(前十整体车型排名!$B$4,'Data Export'!$G$1:$CZ$1,0)),0))</f>
        <v>0</v>
      </c>
      <c r="J485" s="62" t="str">
        <f>IF(H485="","",IF(OR('Data Export'!F485="三厢轿车",'Data Export'!F485="掀背轿车",'Data Export'!F485="旅行车",'Data Export'!F485="微型车",'Data Export'!F485="硬顶跑车",'Data Export'!F485="敞蓬车",'Data Export'!F485="Targa"),"轿车",IF(OR('Data Export'!F485="小型MPV",'Data Export'!F485="客车"),"MPV",IF('Data Export'!F485="运动型多功能车","SUV","其他"))))</f>
        <v>轿车</v>
      </c>
      <c r="K485" s="62" t="str">
        <f>IF(OR(D485="",NOT(F485=1)),"",1+SUMPRODUCT(($F$2:$F$1001=1)*($D$2:$D$1001&gt;D485))+COUNTIFS($F$2:F485,1,$D$2:D485,D485)-1)</f>
        <v/>
      </c>
      <c r="L485" s="62" t="str">
        <f>IF(OR(D485="",NOT(G485="轿车")),"",1+SUMPRODUCT(($G$2:$G$1001="轿车")*($D$2:$D$1001&gt;D485))+COUNTIFS($G$2:G485,"轿车",$D$2:D485,D485)-1)</f>
        <v/>
      </c>
      <c r="M485" s="62" t="str">
        <f>IF(OR(D485="",NOT(G485="MPV")),"",1+SUMPRODUCT(($G$2:$G$1001="MPV")*($D$2:$D$1001&gt;D485))+COUNTIFS($G$2:G485,"MPV",$D$2:D485,D485)-1)</f>
        <v/>
      </c>
      <c r="N485" s="62" t="str">
        <f>IF(OR(D485="",NOT(G485="SUV")),"",1+SUMPRODUCT(($G$2:$G$1001="SUV")*($D$2:$D$1001&gt;D485))+COUNTIFS($G$2:G485,"SUV",$D$2:D485,D485)-1)</f>
        <v/>
      </c>
      <c r="O485" s="62" t="str">
        <f>IF(OR(D485="",NOT(AND(F485=1,G485="轿车"))),"",1+SUMPRODUCT(($F$2:$F$1001=1)*($G$2:$G$1001="轿车")*($D$2:$D$1001&gt;D485))+COUNTIFS($F$2:F485,1,$G$2:G485,"轿车",$D$2:D485,D485)-1)</f>
        <v/>
      </c>
      <c r="P485" s="62" t="str">
        <f>IF(OR(D485="",NOT(AND(F485=1,G485="MPV"))),"",1+SUMPRODUCT(($F$2:$F$1001=1)*($G$2:$G$1001="MPV")*($D$2:$D$1001&gt;D485))+COUNTIFS($F$2:F485,1,$G$2:G485,"MPV",$D$2:D485,D485)-1)</f>
        <v/>
      </c>
      <c r="Q485" s="62" t="str">
        <f>IF(OR(D485="",NOT(AND(F485=1,G485="SUV"))),"",1+SUMPRODUCT(($F$2:$F$1001=1)*($G$2:$G$1001="SUV")*($D$2:$D$1001&gt;D485))+COUNTIFS($F$2:F485,1,$G$2:G485,"SUV",$D$2:D485,D485)-1)</f>
        <v/>
      </c>
    </row>
    <row r="486" spans="1:17">
      <c r="A486" s="62" t="str">
        <f>IFERROR(INDEX($H$2:$H$3000,MATCH(0,INDEX(COUNTIF($A$1:A485,$H$2:$H$3000)+($H$2:$H$3000=""),0,0),0)),"")</f>
        <v/>
      </c>
      <c r="B486" s="62" t="str">
        <f t="shared" si="28"/>
        <v/>
      </c>
      <c r="C486" s="62" t="str">
        <f t="shared" si="29"/>
        <v/>
      </c>
      <c r="D486" s="63" t="str">
        <f t="shared" si="30"/>
        <v/>
      </c>
      <c r="E486" s="62" t="str">
        <f>IF(D486="","",_xlfn.RANK.EQ(D486,$D$2:$D$1001,0)+COUNTIF($D$2:D486,D486)-1)</f>
        <v/>
      </c>
      <c r="F486" s="62" t="str">
        <f>IF(B486="","",--(COUNTIF(CN_Brands!$A$2:$A$300,UPPER(B486))&gt;0))</f>
        <v/>
      </c>
      <c r="G486" s="62" t="str">
        <f t="shared" si="31"/>
        <v/>
      </c>
      <c r="H486" s="62" t="str">
        <f>IF(AND('Data Export'!A486=前十整体车型排名!$B$2,'Data Export'!B486=前十整体车型排名!$B$3,'Data Export'!D486&lt;&gt;""),UPPER('Data Export'!C486)&amp;"♦"&amp;'Data Export'!D486,"")</f>
        <v>MERCEDES♦CLA</v>
      </c>
      <c r="I486" s="63">
        <f>IF(H486="","",IFERROR(INDEX('Data Export'!G486:CZ486,1,MATCH(前十整体车型排名!$B$4,'Data Export'!$G$1:$CZ$1,0)),0))</f>
        <v>29</v>
      </c>
      <c r="J486" s="62" t="str">
        <f>IF(H486="","",IF(OR('Data Export'!F486="三厢轿车",'Data Export'!F486="掀背轿车",'Data Export'!F486="旅行车",'Data Export'!F486="微型车",'Data Export'!F486="硬顶跑车",'Data Export'!F486="敞蓬车",'Data Export'!F486="Targa"),"轿车",IF(OR('Data Export'!F486="小型MPV",'Data Export'!F486="客车"),"MPV",IF('Data Export'!F486="运动型多功能车","SUV","其他"))))</f>
        <v>轿车</v>
      </c>
      <c r="K486" s="62" t="str">
        <f>IF(OR(D486="",NOT(F486=1)),"",1+SUMPRODUCT(($F$2:$F$1001=1)*($D$2:$D$1001&gt;D486))+COUNTIFS($F$2:F486,1,$D$2:D486,D486)-1)</f>
        <v/>
      </c>
      <c r="L486" s="62" t="str">
        <f>IF(OR(D486="",NOT(G486="轿车")),"",1+SUMPRODUCT(($G$2:$G$1001="轿车")*($D$2:$D$1001&gt;D486))+COUNTIFS($G$2:G486,"轿车",$D$2:D486,D486)-1)</f>
        <v/>
      </c>
      <c r="M486" s="62" t="str">
        <f>IF(OR(D486="",NOT(G486="MPV")),"",1+SUMPRODUCT(($G$2:$G$1001="MPV")*($D$2:$D$1001&gt;D486))+COUNTIFS($G$2:G486,"MPV",$D$2:D486,D486)-1)</f>
        <v/>
      </c>
      <c r="N486" s="62" t="str">
        <f>IF(OR(D486="",NOT(G486="SUV")),"",1+SUMPRODUCT(($G$2:$G$1001="SUV")*($D$2:$D$1001&gt;D486))+COUNTIFS($G$2:G486,"SUV",$D$2:D486,D486)-1)</f>
        <v/>
      </c>
      <c r="O486" s="62" t="str">
        <f>IF(OR(D486="",NOT(AND(F486=1,G486="轿车"))),"",1+SUMPRODUCT(($F$2:$F$1001=1)*($G$2:$G$1001="轿车")*($D$2:$D$1001&gt;D486))+COUNTIFS($F$2:F486,1,$G$2:G486,"轿车",$D$2:D486,D486)-1)</f>
        <v/>
      </c>
      <c r="P486" s="62" t="str">
        <f>IF(OR(D486="",NOT(AND(F486=1,G486="MPV"))),"",1+SUMPRODUCT(($F$2:$F$1001=1)*($G$2:$G$1001="MPV")*($D$2:$D$1001&gt;D486))+COUNTIFS($F$2:F486,1,$G$2:G486,"MPV",$D$2:D486,D486)-1)</f>
        <v/>
      </c>
      <c r="Q486" s="62" t="str">
        <f>IF(OR(D486="",NOT(AND(F486=1,G486="SUV"))),"",1+SUMPRODUCT(($F$2:$F$1001=1)*($G$2:$G$1001="SUV")*($D$2:$D$1001&gt;D486))+COUNTIFS($F$2:F486,1,$G$2:G486,"SUV",$D$2:D486,D486)-1)</f>
        <v/>
      </c>
    </row>
    <row r="487" spans="1:17">
      <c r="A487" s="62" t="str">
        <f>IFERROR(INDEX($H$2:$H$3000,MATCH(0,INDEX(COUNTIF($A$1:A486,$H$2:$H$3000)+($H$2:$H$3000=""),0,0),0)),"")</f>
        <v/>
      </c>
      <c r="B487" s="62" t="str">
        <f t="shared" si="28"/>
        <v/>
      </c>
      <c r="C487" s="62" t="str">
        <f t="shared" si="29"/>
        <v/>
      </c>
      <c r="D487" s="63" t="str">
        <f t="shared" si="30"/>
        <v/>
      </c>
      <c r="E487" s="62" t="str">
        <f>IF(D487="","",_xlfn.RANK.EQ(D487,$D$2:$D$1001,0)+COUNTIF($D$2:D487,D487)-1)</f>
        <v/>
      </c>
      <c r="F487" s="62" t="str">
        <f>IF(B487="","",--(COUNTIF(CN_Brands!$A$2:$A$300,UPPER(B487))&gt;0))</f>
        <v/>
      </c>
      <c r="G487" s="62" t="str">
        <f t="shared" si="31"/>
        <v/>
      </c>
      <c r="H487" s="62" t="str">
        <f>IF(AND('Data Export'!A487=前十整体车型排名!$B$2,'Data Export'!B487=前十整体车型排名!$B$3,'Data Export'!D487&lt;&gt;""),UPPER('Data Export'!C487)&amp;"♦"&amp;'Data Export'!D487,"")</f>
        <v>MERCEDES♦CLE</v>
      </c>
      <c r="I487" s="63">
        <f>IF(H487="","",IFERROR(INDEX('Data Export'!G487:CZ487,1,MATCH(前十整体车型排名!$B$4,'Data Export'!$G$1:$CZ$1,0)),0))</f>
        <v>15</v>
      </c>
      <c r="J487" s="62" t="str">
        <f>IF(H487="","",IF(OR('Data Export'!F487="三厢轿车",'Data Export'!F487="掀背轿车",'Data Export'!F487="旅行车",'Data Export'!F487="微型车",'Data Export'!F487="硬顶跑车",'Data Export'!F487="敞蓬车",'Data Export'!F487="Targa"),"轿车",IF(OR('Data Export'!F487="小型MPV",'Data Export'!F487="客车"),"MPV",IF('Data Export'!F487="运动型多功能车","SUV","其他"))))</f>
        <v>轿车</v>
      </c>
      <c r="K487" s="62" t="str">
        <f>IF(OR(D487="",NOT(F487=1)),"",1+SUMPRODUCT(($F$2:$F$1001=1)*($D$2:$D$1001&gt;D487))+COUNTIFS($F$2:F487,1,$D$2:D487,D487)-1)</f>
        <v/>
      </c>
      <c r="L487" s="62" t="str">
        <f>IF(OR(D487="",NOT(G487="轿车")),"",1+SUMPRODUCT(($G$2:$G$1001="轿车")*($D$2:$D$1001&gt;D487))+COUNTIFS($G$2:G487,"轿车",$D$2:D487,D487)-1)</f>
        <v/>
      </c>
      <c r="M487" s="62" t="str">
        <f>IF(OR(D487="",NOT(G487="MPV")),"",1+SUMPRODUCT(($G$2:$G$1001="MPV")*($D$2:$D$1001&gt;D487))+COUNTIFS($G$2:G487,"MPV",$D$2:D487,D487)-1)</f>
        <v/>
      </c>
      <c r="N487" s="62" t="str">
        <f>IF(OR(D487="",NOT(G487="SUV")),"",1+SUMPRODUCT(($G$2:$G$1001="SUV")*($D$2:$D$1001&gt;D487))+COUNTIFS($G$2:G487,"SUV",$D$2:D487,D487)-1)</f>
        <v/>
      </c>
      <c r="O487" s="62" t="str">
        <f>IF(OR(D487="",NOT(AND(F487=1,G487="轿车"))),"",1+SUMPRODUCT(($F$2:$F$1001=1)*($G$2:$G$1001="轿车")*($D$2:$D$1001&gt;D487))+COUNTIFS($F$2:F487,1,$G$2:G487,"轿车",$D$2:D487,D487)-1)</f>
        <v/>
      </c>
      <c r="P487" s="62" t="str">
        <f>IF(OR(D487="",NOT(AND(F487=1,G487="MPV"))),"",1+SUMPRODUCT(($F$2:$F$1001=1)*($G$2:$G$1001="MPV")*($D$2:$D$1001&gt;D487))+COUNTIFS($F$2:F487,1,$G$2:G487,"MPV",$D$2:D487,D487)-1)</f>
        <v/>
      </c>
      <c r="Q487" s="62" t="str">
        <f>IF(OR(D487="",NOT(AND(F487=1,G487="SUV"))),"",1+SUMPRODUCT(($F$2:$F$1001=1)*($G$2:$G$1001="SUV")*($D$2:$D$1001&gt;D487))+COUNTIFS($F$2:F487,1,$G$2:G487,"SUV",$D$2:D487,D487)-1)</f>
        <v/>
      </c>
    </row>
    <row r="488" spans="1:17">
      <c r="A488" s="62" t="str">
        <f>IFERROR(INDEX($H$2:$H$3000,MATCH(0,INDEX(COUNTIF($A$1:A487,$H$2:$H$3000)+($H$2:$H$3000=""),0,0),0)),"")</f>
        <v/>
      </c>
      <c r="B488" s="62" t="str">
        <f t="shared" si="28"/>
        <v/>
      </c>
      <c r="C488" s="62" t="str">
        <f t="shared" si="29"/>
        <v/>
      </c>
      <c r="D488" s="63" t="str">
        <f t="shared" si="30"/>
        <v/>
      </c>
      <c r="E488" s="62" t="str">
        <f>IF(D488="","",_xlfn.RANK.EQ(D488,$D$2:$D$1001,0)+COUNTIF($D$2:D488,D488)-1)</f>
        <v/>
      </c>
      <c r="F488" s="62" t="str">
        <f>IF(B488="","",--(COUNTIF(CN_Brands!$A$2:$A$300,UPPER(B488))&gt;0))</f>
        <v/>
      </c>
      <c r="G488" s="62" t="str">
        <f t="shared" si="31"/>
        <v/>
      </c>
      <c r="H488" s="62" t="str">
        <f>IF(AND('Data Export'!A488=前十整体车型排名!$B$2,'Data Export'!B488=前十整体车型排名!$B$3,'Data Export'!D488&lt;&gt;""),UPPER('Data Export'!C488)&amp;"♦"&amp;'Data Export'!D488,"")</f>
        <v>MERCEDES♦CLE</v>
      </c>
      <c r="I488" s="63">
        <f>IF(H488="","",IFERROR(INDEX('Data Export'!G488:CZ488,1,MATCH(前十整体车型排名!$B$4,'Data Export'!$G$1:$CZ$1,0)),0))</f>
        <v>19</v>
      </c>
      <c r="J488" s="62" t="str">
        <f>IF(H488="","",IF(OR('Data Export'!F488="三厢轿车",'Data Export'!F488="掀背轿车",'Data Export'!F488="旅行车",'Data Export'!F488="微型车",'Data Export'!F488="硬顶跑车",'Data Export'!F488="敞蓬车",'Data Export'!F488="Targa"),"轿车",IF(OR('Data Export'!F488="小型MPV",'Data Export'!F488="客车"),"MPV",IF('Data Export'!F488="运动型多功能车","SUV","其他"))))</f>
        <v>轿车</v>
      </c>
      <c r="K488" s="62" t="str">
        <f>IF(OR(D488="",NOT(F488=1)),"",1+SUMPRODUCT(($F$2:$F$1001=1)*($D$2:$D$1001&gt;D488))+COUNTIFS($F$2:F488,1,$D$2:D488,D488)-1)</f>
        <v/>
      </c>
      <c r="L488" s="62" t="str">
        <f>IF(OR(D488="",NOT(G488="轿车")),"",1+SUMPRODUCT(($G$2:$G$1001="轿车")*($D$2:$D$1001&gt;D488))+COUNTIFS($G$2:G488,"轿车",$D$2:D488,D488)-1)</f>
        <v/>
      </c>
      <c r="M488" s="62" t="str">
        <f>IF(OR(D488="",NOT(G488="MPV")),"",1+SUMPRODUCT(($G$2:$G$1001="MPV")*($D$2:$D$1001&gt;D488))+COUNTIFS($G$2:G488,"MPV",$D$2:D488,D488)-1)</f>
        <v/>
      </c>
      <c r="N488" s="62" t="str">
        <f>IF(OR(D488="",NOT(G488="SUV")),"",1+SUMPRODUCT(($G$2:$G$1001="SUV")*($D$2:$D$1001&gt;D488))+COUNTIFS($G$2:G488,"SUV",$D$2:D488,D488)-1)</f>
        <v/>
      </c>
      <c r="O488" s="62" t="str">
        <f>IF(OR(D488="",NOT(AND(F488=1,G488="轿车"))),"",1+SUMPRODUCT(($F$2:$F$1001=1)*($G$2:$G$1001="轿车")*($D$2:$D$1001&gt;D488))+COUNTIFS($F$2:F488,1,$G$2:G488,"轿车",$D$2:D488,D488)-1)</f>
        <v/>
      </c>
      <c r="P488" s="62" t="str">
        <f>IF(OR(D488="",NOT(AND(F488=1,G488="MPV"))),"",1+SUMPRODUCT(($F$2:$F$1001=1)*($G$2:$G$1001="MPV")*($D$2:$D$1001&gt;D488))+COUNTIFS($F$2:F488,1,$G$2:G488,"MPV",$D$2:D488,D488)-1)</f>
        <v/>
      </c>
      <c r="Q488" s="62" t="str">
        <f>IF(OR(D488="",NOT(AND(F488=1,G488="SUV"))),"",1+SUMPRODUCT(($F$2:$F$1001=1)*($G$2:$G$1001="SUV")*($D$2:$D$1001&gt;D488))+COUNTIFS($F$2:F488,1,$G$2:G488,"SUV",$D$2:D488,D488)-1)</f>
        <v/>
      </c>
    </row>
    <row r="489" spans="1:17">
      <c r="A489" s="62" t="str">
        <f>IFERROR(INDEX($H$2:$H$3000,MATCH(0,INDEX(COUNTIF($A$1:A488,$H$2:$H$3000)+($H$2:$H$3000=""),0,0),0)),"")</f>
        <v/>
      </c>
      <c r="B489" s="62" t="str">
        <f t="shared" si="28"/>
        <v/>
      </c>
      <c r="C489" s="62" t="str">
        <f t="shared" si="29"/>
        <v/>
      </c>
      <c r="D489" s="63" t="str">
        <f t="shared" si="30"/>
        <v/>
      </c>
      <c r="E489" s="62" t="str">
        <f>IF(D489="","",_xlfn.RANK.EQ(D489,$D$2:$D$1001,0)+COUNTIF($D$2:D489,D489)-1)</f>
        <v/>
      </c>
      <c r="F489" s="62" t="str">
        <f>IF(B489="","",--(COUNTIF(CN_Brands!$A$2:$A$300,UPPER(B489))&gt;0))</f>
        <v/>
      </c>
      <c r="G489" s="62" t="str">
        <f t="shared" si="31"/>
        <v/>
      </c>
      <c r="H489" s="62" t="str">
        <f>IF(AND('Data Export'!A489=前十整体车型排名!$B$2,'Data Export'!B489=前十整体车型排名!$B$3,'Data Export'!D489&lt;&gt;""),UPPER('Data Export'!C489)&amp;"♦"&amp;'Data Export'!D489,"")</f>
        <v>MERCEDES♦CLS</v>
      </c>
      <c r="I489" s="63">
        <f>IF(H489="","",IFERROR(INDEX('Data Export'!G489:CZ489,1,MATCH(前十整体车型排名!$B$4,'Data Export'!$G$1:$CZ$1,0)),0))</f>
        <v>21</v>
      </c>
      <c r="J489" s="62" t="str">
        <f>IF(H489="","",IF(OR('Data Export'!F489="三厢轿车",'Data Export'!F489="掀背轿车",'Data Export'!F489="旅行车",'Data Export'!F489="微型车",'Data Export'!F489="硬顶跑车",'Data Export'!F489="敞蓬车",'Data Export'!F489="Targa"),"轿车",IF(OR('Data Export'!F489="小型MPV",'Data Export'!F489="客车"),"MPV",IF('Data Export'!F489="运动型多功能车","SUV","其他"))))</f>
        <v>轿车</v>
      </c>
      <c r="K489" s="62" t="str">
        <f>IF(OR(D489="",NOT(F489=1)),"",1+SUMPRODUCT(($F$2:$F$1001=1)*($D$2:$D$1001&gt;D489))+COUNTIFS($F$2:F489,1,$D$2:D489,D489)-1)</f>
        <v/>
      </c>
      <c r="L489" s="62" t="str">
        <f>IF(OR(D489="",NOT(G489="轿车")),"",1+SUMPRODUCT(($G$2:$G$1001="轿车")*($D$2:$D$1001&gt;D489))+COUNTIFS($G$2:G489,"轿车",$D$2:D489,D489)-1)</f>
        <v/>
      </c>
      <c r="M489" s="62" t="str">
        <f>IF(OR(D489="",NOT(G489="MPV")),"",1+SUMPRODUCT(($G$2:$G$1001="MPV")*($D$2:$D$1001&gt;D489))+COUNTIFS($G$2:G489,"MPV",$D$2:D489,D489)-1)</f>
        <v/>
      </c>
      <c r="N489" s="62" t="str">
        <f>IF(OR(D489="",NOT(G489="SUV")),"",1+SUMPRODUCT(($G$2:$G$1001="SUV")*($D$2:$D$1001&gt;D489))+COUNTIFS($G$2:G489,"SUV",$D$2:D489,D489)-1)</f>
        <v/>
      </c>
      <c r="O489" s="62" t="str">
        <f>IF(OR(D489="",NOT(AND(F489=1,G489="轿车"))),"",1+SUMPRODUCT(($F$2:$F$1001=1)*($G$2:$G$1001="轿车")*($D$2:$D$1001&gt;D489))+COUNTIFS($F$2:F489,1,$G$2:G489,"轿车",$D$2:D489,D489)-1)</f>
        <v/>
      </c>
      <c r="P489" s="62" t="str">
        <f>IF(OR(D489="",NOT(AND(F489=1,G489="MPV"))),"",1+SUMPRODUCT(($F$2:$F$1001=1)*($G$2:$G$1001="MPV")*($D$2:$D$1001&gt;D489))+COUNTIFS($F$2:F489,1,$G$2:G489,"MPV",$D$2:D489,D489)-1)</f>
        <v/>
      </c>
      <c r="Q489" s="62" t="str">
        <f>IF(OR(D489="",NOT(AND(F489=1,G489="SUV"))),"",1+SUMPRODUCT(($F$2:$F$1001=1)*($G$2:$G$1001="SUV")*($D$2:$D$1001&gt;D489))+COUNTIFS($F$2:F489,1,$G$2:G489,"SUV",$D$2:D489,D489)-1)</f>
        <v/>
      </c>
    </row>
    <row r="490" spans="1:17">
      <c r="A490" s="62" t="str">
        <f>IFERROR(INDEX($H$2:$H$3000,MATCH(0,INDEX(COUNTIF($A$1:A489,$H$2:$H$3000)+($H$2:$H$3000=""),0,0),0)),"")</f>
        <v/>
      </c>
      <c r="B490" s="62" t="str">
        <f t="shared" si="28"/>
        <v/>
      </c>
      <c r="C490" s="62" t="str">
        <f t="shared" si="29"/>
        <v/>
      </c>
      <c r="D490" s="63" t="str">
        <f t="shared" si="30"/>
        <v/>
      </c>
      <c r="E490" s="62" t="str">
        <f>IF(D490="","",_xlfn.RANK.EQ(D490,$D$2:$D$1001,0)+COUNTIF($D$2:D490,D490)-1)</f>
        <v/>
      </c>
      <c r="F490" s="62" t="str">
        <f>IF(B490="","",--(COUNTIF(CN_Brands!$A$2:$A$300,UPPER(B490))&gt;0))</f>
        <v/>
      </c>
      <c r="G490" s="62" t="str">
        <f t="shared" si="31"/>
        <v/>
      </c>
      <c r="H490" s="62" t="str">
        <f>IF(AND('Data Export'!A490=前十整体车型排名!$B$2,'Data Export'!B490=前十整体车型排名!$B$3,'Data Export'!D490&lt;&gt;""),UPPER('Data Export'!C490)&amp;"♦"&amp;'Data Export'!D490,"")</f>
        <v>MERCEDES♦CLS</v>
      </c>
      <c r="I490" s="63">
        <f>IF(H490="","",IFERROR(INDEX('Data Export'!G490:CZ490,1,MATCH(前十整体车型排名!$B$4,'Data Export'!$G$1:$CZ$1,0)),0))</f>
        <v>14</v>
      </c>
      <c r="J490" s="62" t="str">
        <f>IF(H490="","",IF(OR('Data Export'!F490="三厢轿车",'Data Export'!F490="掀背轿车",'Data Export'!F490="旅行车",'Data Export'!F490="微型车",'Data Export'!F490="硬顶跑车",'Data Export'!F490="敞蓬车",'Data Export'!F490="Targa"),"轿车",IF(OR('Data Export'!F490="小型MPV",'Data Export'!F490="客车"),"MPV",IF('Data Export'!F490="运动型多功能车","SUV","其他"))))</f>
        <v>轿车</v>
      </c>
      <c r="K490" s="62" t="str">
        <f>IF(OR(D490="",NOT(F490=1)),"",1+SUMPRODUCT(($F$2:$F$1001=1)*($D$2:$D$1001&gt;D490))+COUNTIFS($F$2:F490,1,$D$2:D490,D490)-1)</f>
        <v/>
      </c>
      <c r="L490" s="62" t="str">
        <f>IF(OR(D490="",NOT(G490="轿车")),"",1+SUMPRODUCT(($G$2:$G$1001="轿车")*($D$2:$D$1001&gt;D490))+COUNTIFS($G$2:G490,"轿车",$D$2:D490,D490)-1)</f>
        <v/>
      </c>
      <c r="M490" s="62" t="str">
        <f>IF(OR(D490="",NOT(G490="MPV")),"",1+SUMPRODUCT(($G$2:$G$1001="MPV")*($D$2:$D$1001&gt;D490))+COUNTIFS($G$2:G490,"MPV",$D$2:D490,D490)-1)</f>
        <v/>
      </c>
      <c r="N490" s="62" t="str">
        <f>IF(OR(D490="",NOT(G490="SUV")),"",1+SUMPRODUCT(($G$2:$G$1001="SUV")*($D$2:$D$1001&gt;D490))+COUNTIFS($G$2:G490,"SUV",$D$2:D490,D490)-1)</f>
        <v/>
      </c>
      <c r="O490" s="62" t="str">
        <f>IF(OR(D490="",NOT(AND(F490=1,G490="轿车"))),"",1+SUMPRODUCT(($F$2:$F$1001=1)*($G$2:$G$1001="轿车")*($D$2:$D$1001&gt;D490))+COUNTIFS($F$2:F490,1,$G$2:G490,"轿车",$D$2:D490,D490)-1)</f>
        <v/>
      </c>
      <c r="P490" s="62" t="str">
        <f>IF(OR(D490="",NOT(AND(F490=1,G490="MPV"))),"",1+SUMPRODUCT(($F$2:$F$1001=1)*($G$2:$G$1001="MPV")*($D$2:$D$1001&gt;D490))+COUNTIFS($F$2:F490,1,$G$2:G490,"MPV",$D$2:D490,D490)-1)</f>
        <v/>
      </c>
      <c r="Q490" s="62" t="str">
        <f>IF(OR(D490="",NOT(AND(F490=1,G490="SUV"))),"",1+SUMPRODUCT(($F$2:$F$1001=1)*($G$2:$G$1001="SUV")*($D$2:$D$1001&gt;D490))+COUNTIFS($F$2:F490,1,$G$2:G490,"SUV",$D$2:D490,D490)-1)</f>
        <v/>
      </c>
    </row>
    <row r="491" spans="1:17">
      <c r="A491" s="62" t="str">
        <f>IFERROR(INDEX($H$2:$H$3000,MATCH(0,INDEX(COUNTIF($A$1:A490,$H$2:$H$3000)+($H$2:$H$3000=""),0,0),0)),"")</f>
        <v/>
      </c>
      <c r="B491" s="62" t="str">
        <f t="shared" si="28"/>
        <v/>
      </c>
      <c r="C491" s="62" t="str">
        <f t="shared" si="29"/>
        <v/>
      </c>
      <c r="D491" s="63" t="str">
        <f t="shared" si="30"/>
        <v/>
      </c>
      <c r="E491" s="62" t="str">
        <f>IF(D491="","",_xlfn.RANK.EQ(D491,$D$2:$D$1001,0)+COUNTIF($D$2:D491,D491)-1)</f>
        <v/>
      </c>
      <c r="F491" s="62" t="str">
        <f>IF(B491="","",--(COUNTIF(CN_Brands!$A$2:$A$300,UPPER(B491))&gt;0))</f>
        <v/>
      </c>
      <c r="G491" s="62" t="str">
        <f t="shared" si="31"/>
        <v/>
      </c>
      <c r="H491" s="62" t="str">
        <f>IF(AND('Data Export'!A491=前十整体车型排名!$B$2,'Data Export'!B491=前十整体车型排名!$B$3,'Data Export'!D491&lt;&gt;""),UPPER('Data Export'!C491)&amp;"♦"&amp;'Data Export'!D491,"")</f>
        <v>MERCEDES♦E-CLASS</v>
      </c>
      <c r="I491" s="63">
        <f>IF(H491="","",IFERROR(INDEX('Data Export'!G491:CZ491,1,MATCH(前十整体车型排名!$B$4,'Data Export'!$G$1:$CZ$1,0)),0))</f>
        <v>1</v>
      </c>
      <c r="J491" s="62" t="str">
        <f>IF(H491="","",IF(OR('Data Export'!F491="三厢轿车",'Data Export'!F491="掀背轿车",'Data Export'!F491="旅行车",'Data Export'!F491="微型车",'Data Export'!F491="硬顶跑车",'Data Export'!F491="敞蓬车",'Data Export'!F491="Targa"),"轿车",IF(OR('Data Export'!F491="小型MPV",'Data Export'!F491="客车"),"MPV",IF('Data Export'!F491="运动型多功能车","SUV","其他"))))</f>
        <v>轿车</v>
      </c>
      <c r="K491" s="62" t="str">
        <f>IF(OR(D491="",NOT(F491=1)),"",1+SUMPRODUCT(($F$2:$F$1001=1)*($D$2:$D$1001&gt;D491))+COUNTIFS($F$2:F491,1,$D$2:D491,D491)-1)</f>
        <v/>
      </c>
      <c r="L491" s="62" t="str">
        <f>IF(OR(D491="",NOT(G491="轿车")),"",1+SUMPRODUCT(($G$2:$G$1001="轿车")*($D$2:$D$1001&gt;D491))+COUNTIFS($G$2:G491,"轿车",$D$2:D491,D491)-1)</f>
        <v/>
      </c>
      <c r="M491" s="62" t="str">
        <f>IF(OR(D491="",NOT(G491="MPV")),"",1+SUMPRODUCT(($G$2:$G$1001="MPV")*($D$2:$D$1001&gt;D491))+COUNTIFS($G$2:G491,"MPV",$D$2:D491,D491)-1)</f>
        <v/>
      </c>
      <c r="N491" s="62" t="str">
        <f>IF(OR(D491="",NOT(G491="SUV")),"",1+SUMPRODUCT(($G$2:$G$1001="SUV")*($D$2:$D$1001&gt;D491))+COUNTIFS($G$2:G491,"SUV",$D$2:D491,D491)-1)</f>
        <v/>
      </c>
      <c r="O491" s="62" t="str">
        <f>IF(OR(D491="",NOT(AND(F491=1,G491="轿车"))),"",1+SUMPRODUCT(($F$2:$F$1001=1)*($G$2:$G$1001="轿车")*($D$2:$D$1001&gt;D491))+COUNTIFS($F$2:F491,1,$G$2:G491,"轿车",$D$2:D491,D491)-1)</f>
        <v/>
      </c>
      <c r="P491" s="62" t="str">
        <f>IF(OR(D491="",NOT(AND(F491=1,G491="MPV"))),"",1+SUMPRODUCT(($F$2:$F$1001=1)*($G$2:$G$1001="MPV")*($D$2:$D$1001&gt;D491))+COUNTIFS($F$2:F491,1,$G$2:G491,"MPV",$D$2:D491,D491)-1)</f>
        <v/>
      </c>
      <c r="Q491" s="62" t="str">
        <f>IF(OR(D491="",NOT(AND(F491=1,G491="SUV"))),"",1+SUMPRODUCT(($F$2:$F$1001=1)*($G$2:$G$1001="SUV")*($D$2:$D$1001&gt;D491))+COUNTIFS($F$2:F491,1,$G$2:G491,"SUV",$D$2:D491,D491)-1)</f>
        <v/>
      </c>
    </row>
    <row r="492" spans="1:17">
      <c r="A492" s="62" t="str">
        <f>IFERROR(INDEX($H$2:$H$3000,MATCH(0,INDEX(COUNTIF($A$1:A491,$H$2:$H$3000)+($H$2:$H$3000=""),0,0),0)),"")</f>
        <v/>
      </c>
      <c r="B492" s="62" t="str">
        <f t="shared" si="28"/>
        <v/>
      </c>
      <c r="C492" s="62" t="str">
        <f t="shared" si="29"/>
        <v/>
      </c>
      <c r="D492" s="63" t="str">
        <f t="shared" si="30"/>
        <v/>
      </c>
      <c r="E492" s="62" t="str">
        <f>IF(D492="","",_xlfn.RANK.EQ(D492,$D$2:$D$1001,0)+COUNTIF($D$2:D492,D492)-1)</f>
        <v/>
      </c>
      <c r="F492" s="62" t="str">
        <f>IF(B492="","",--(COUNTIF(CN_Brands!$A$2:$A$300,UPPER(B492))&gt;0))</f>
        <v/>
      </c>
      <c r="G492" s="62" t="str">
        <f t="shared" si="31"/>
        <v/>
      </c>
      <c r="H492" s="62" t="str">
        <f>IF(AND('Data Export'!A492=前十整体车型排名!$B$2,'Data Export'!B492=前十整体车型排名!$B$3,'Data Export'!D492&lt;&gt;""),UPPER('Data Export'!C492)&amp;"♦"&amp;'Data Export'!D492,"")</f>
        <v>MERCEDES♦E-CLASS</v>
      </c>
      <c r="I492" s="63">
        <f>IF(H492="","",IFERROR(INDEX('Data Export'!G492:CZ492,1,MATCH(前十整体车型排名!$B$4,'Data Export'!$G$1:$CZ$1,0)),0))</f>
        <v>36</v>
      </c>
      <c r="J492" s="62" t="str">
        <f>IF(H492="","",IF(OR('Data Export'!F492="三厢轿车",'Data Export'!F492="掀背轿车",'Data Export'!F492="旅行车",'Data Export'!F492="微型车",'Data Export'!F492="硬顶跑车",'Data Export'!F492="敞蓬车",'Data Export'!F492="Targa"),"轿车",IF(OR('Data Export'!F492="小型MPV",'Data Export'!F492="客车"),"MPV",IF('Data Export'!F492="运动型多功能车","SUV","其他"))))</f>
        <v>轿车</v>
      </c>
      <c r="K492" s="62" t="str">
        <f>IF(OR(D492="",NOT(F492=1)),"",1+SUMPRODUCT(($F$2:$F$1001=1)*($D$2:$D$1001&gt;D492))+COUNTIFS($F$2:F492,1,$D$2:D492,D492)-1)</f>
        <v/>
      </c>
      <c r="L492" s="62" t="str">
        <f>IF(OR(D492="",NOT(G492="轿车")),"",1+SUMPRODUCT(($G$2:$G$1001="轿车")*($D$2:$D$1001&gt;D492))+COUNTIFS($G$2:G492,"轿车",$D$2:D492,D492)-1)</f>
        <v/>
      </c>
      <c r="M492" s="62" t="str">
        <f>IF(OR(D492="",NOT(G492="MPV")),"",1+SUMPRODUCT(($G$2:$G$1001="MPV")*($D$2:$D$1001&gt;D492))+COUNTIFS($G$2:G492,"MPV",$D$2:D492,D492)-1)</f>
        <v/>
      </c>
      <c r="N492" s="62" t="str">
        <f>IF(OR(D492="",NOT(G492="SUV")),"",1+SUMPRODUCT(($G$2:$G$1001="SUV")*($D$2:$D$1001&gt;D492))+COUNTIFS($G$2:G492,"SUV",$D$2:D492,D492)-1)</f>
        <v/>
      </c>
      <c r="O492" s="62" t="str">
        <f>IF(OR(D492="",NOT(AND(F492=1,G492="轿车"))),"",1+SUMPRODUCT(($F$2:$F$1001=1)*($G$2:$G$1001="轿车")*($D$2:$D$1001&gt;D492))+COUNTIFS($F$2:F492,1,$G$2:G492,"轿车",$D$2:D492,D492)-1)</f>
        <v/>
      </c>
      <c r="P492" s="62" t="str">
        <f>IF(OR(D492="",NOT(AND(F492=1,G492="MPV"))),"",1+SUMPRODUCT(($F$2:$F$1001=1)*($G$2:$G$1001="MPV")*($D$2:$D$1001&gt;D492))+COUNTIFS($F$2:F492,1,$G$2:G492,"MPV",$D$2:D492,D492)-1)</f>
        <v/>
      </c>
      <c r="Q492" s="62" t="str">
        <f>IF(OR(D492="",NOT(AND(F492=1,G492="SUV"))),"",1+SUMPRODUCT(($F$2:$F$1001=1)*($G$2:$G$1001="SUV")*($D$2:$D$1001&gt;D492))+COUNTIFS($F$2:F492,1,$G$2:G492,"SUV",$D$2:D492,D492)-1)</f>
        <v/>
      </c>
    </row>
    <row r="493" spans="1:17">
      <c r="A493" s="62" t="str">
        <f>IFERROR(INDEX($H$2:$H$3000,MATCH(0,INDEX(COUNTIF($A$1:A492,$H$2:$H$3000)+($H$2:$H$3000=""),0,0),0)),"")</f>
        <v/>
      </c>
      <c r="B493" s="62" t="str">
        <f t="shared" si="28"/>
        <v/>
      </c>
      <c r="C493" s="62" t="str">
        <f t="shared" si="29"/>
        <v/>
      </c>
      <c r="D493" s="63" t="str">
        <f t="shared" si="30"/>
        <v/>
      </c>
      <c r="E493" s="62" t="str">
        <f>IF(D493="","",_xlfn.RANK.EQ(D493,$D$2:$D$1001,0)+COUNTIF($D$2:D493,D493)-1)</f>
        <v/>
      </c>
      <c r="F493" s="62" t="str">
        <f>IF(B493="","",--(COUNTIF(CN_Brands!$A$2:$A$300,UPPER(B493))&gt;0))</f>
        <v/>
      </c>
      <c r="G493" s="62" t="str">
        <f t="shared" si="31"/>
        <v/>
      </c>
      <c r="H493" s="62" t="str">
        <f>IF(AND('Data Export'!A493=前十整体车型排名!$B$2,'Data Export'!B493=前十整体车型排名!$B$3,'Data Export'!D493&lt;&gt;""),UPPER('Data Export'!C493)&amp;"♦"&amp;'Data Export'!D493,"")</f>
        <v>MERCEDES♦E-CLASS</v>
      </c>
      <c r="I493" s="63">
        <f>IF(H493="","",IFERROR(INDEX('Data Export'!G493:CZ493,1,MATCH(前十整体车型排名!$B$4,'Data Export'!$G$1:$CZ$1,0)),0))</f>
        <v>0</v>
      </c>
      <c r="J493" s="62" t="str">
        <f>IF(H493="","",IF(OR('Data Export'!F493="三厢轿车",'Data Export'!F493="掀背轿车",'Data Export'!F493="旅行车",'Data Export'!F493="微型车",'Data Export'!F493="硬顶跑车",'Data Export'!F493="敞蓬车",'Data Export'!F493="Targa"),"轿车",IF(OR('Data Export'!F493="小型MPV",'Data Export'!F493="客车"),"MPV",IF('Data Export'!F493="运动型多功能车","SUV","其他"))))</f>
        <v>轿车</v>
      </c>
      <c r="K493" s="62" t="str">
        <f>IF(OR(D493="",NOT(F493=1)),"",1+SUMPRODUCT(($F$2:$F$1001=1)*($D$2:$D$1001&gt;D493))+COUNTIFS($F$2:F493,1,$D$2:D493,D493)-1)</f>
        <v/>
      </c>
      <c r="L493" s="62" t="str">
        <f>IF(OR(D493="",NOT(G493="轿车")),"",1+SUMPRODUCT(($G$2:$G$1001="轿车")*($D$2:$D$1001&gt;D493))+COUNTIFS($G$2:G493,"轿车",$D$2:D493,D493)-1)</f>
        <v/>
      </c>
      <c r="M493" s="62" t="str">
        <f>IF(OR(D493="",NOT(G493="MPV")),"",1+SUMPRODUCT(($G$2:$G$1001="MPV")*($D$2:$D$1001&gt;D493))+COUNTIFS($G$2:G493,"MPV",$D$2:D493,D493)-1)</f>
        <v/>
      </c>
      <c r="N493" s="62" t="str">
        <f>IF(OR(D493="",NOT(G493="SUV")),"",1+SUMPRODUCT(($G$2:$G$1001="SUV")*($D$2:$D$1001&gt;D493))+COUNTIFS($G$2:G493,"SUV",$D$2:D493,D493)-1)</f>
        <v/>
      </c>
      <c r="O493" s="62" t="str">
        <f>IF(OR(D493="",NOT(AND(F493=1,G493="轿车"))),"",1+SUMPRODUCT(($F$2:$F$1001=1)*($G$2:$G$1001="轿车")*($D$2:$D$1001&gt;D493))+COUNTIFS($F$2:F493,1,$G$2:G493,"轿车",$D$2:D493,D493)-1)</f>
        <v/>
      </c>
      <c r="P493" s="62" t="str">
        <f>IF(OR(D493="",NOT(AND(F493=1,G493="MPV"))),"",1+SUMPRODUCT(($F$2:$F$1001=1)*($G$2:$G$1001="MPV")*($D$2:$D$1001&gt;D493))+COUNTIFS($F$2:F493,1,$G$2:G493,"MPV",$D$2:D493,D493)-1)</f>
        <v/>
      </c>
      <c r="Q493" s="62" t="str">
        <f>IF(OR(D493="",NOT(AND(F493=1,G493="SUV"))),"",1+SUMPRODUCT(($F$2:$F$1001=1)*($G$2:$G$1001="SUV")*($D$2:$D$1001&gt;D493))+COUNTIFS($F$2:F493,1,$G$2:G493,"SUV",$D$2:D493,D493)-1)</f>
        <v/>
      </c>
    </row>
    <row r="494" spans="1:17">
      <c r="A494" s="62" t="str">
        <f>IFERROR(INDEX($H$2:$H$3000,MATCH(0,INDEX(COUNTIF($A$1:A493,$H$2:$H$3000)+($H$2:$H$3000=""),0,0),0)),"")</f>
        <v/>
      </c>
      <c r="B494" s="62" t="str">
        <f t="shared" si="28"/>
        <v/>
      </c>
      <c r="C494" s="62" t="str">
        <f t="shared" si="29"/>
        <v/>
      </c>
      <c r="D494" s="63" t="str">
        <f t="shared" si="30"/>
        <v/>
      </c>
      <c r="E494" s="62" t="str">
        <f>IF(D494="","",_xlfn.RANK.EQ(D494,$D$2:$D$1001,0)+COUNTIF($D$2:D494,D494)-1)</f>
        <v/>
      </c>
      <c r="F494" s="62" t="str">
        <f>IF(B494="","",--(COUNTIF(CN_Brands!$A$2:$A$300,UPPER(B494))&gt;0))</f>
        <v/>
      </c>
      <c r="G494" s="62" t="str">
        <f t="shared" si="31"/>
        <v/>
      </c>
      <c r="H494" s="62" t="str">
        <f>IF(AND('Data Export'!A494=前十整体车型排名!$B$2,'Data Export'!B494=前十整体车型排名!$B$3,'Data Export'!D494&lt;&gt;""),UPPER('Data Export'!C494)&amp;"♦"&amp;'Data Export'!D494,"")</f>
        <v>MERCEDES♦E-CLASS</v>
      </c>
      <c r="I494" s="63">
        <f>IF(H494="","",IFERROR(INDEX('Data Export'!G494:CZ494,1,MATCH(前十整体车型排名!$B$4,'Data Export'!$G$1:$CZ$1,0)),0))</f>
        <v>6</v>
      </c>
      <c r="J494" s="62" t="str">
        <f>IF(H494="","",IF(OR('Data Export'!F494="三厢轿车",'Data Export'!F494="掀背轿车",'Data Export'!F494="旅行车",'Data Export'!F494="微型车",'Data Export'!F494="硬顶跑车",'Data Export'!F494="敞蓬车",'Data Export'!F494="Targa"),"轿车",IF(OR('Data Export'!F494="小型MPV",'Data Export'!F494="客车"),"MPV",IF('Data Export'!F494="运动型多功能车","SUV","其他"))))</f>
        <v>轿车</v>
      </c>
      <c r="K494" s="62" t="str">
        <f>IF(OR(D494="",NOT(F494=1)),"",1+SUMPRODUCT(($F$2:$F$1001=1)*($D$2:$D$1001&gt;D494))+COUNTIFS($F$2:F494,1,$D$2:D494,D494)-1)</f>
        <v/>
      </c>
      <c r="L494" s="62" t="str">
        <f>IF(OR(D494="",NOT(G494="轿车")),"",1+SUMPRODUCT(($G$2:$G$1001="轿车")*($D$2:$D$1001&gt;D494))+COUNTIFS($G$2:G494,"轿车",$D$2:D494,D494)-1)</f>
        <v/>
      </c>
      <c r="M494" s="62" t="str">
        <f>IF(OR(D494="",NOT(G494="MPV")),"",1+SUMPRODUCT(($G$2:$G$1001="MPV")*($D$2:$D$1001&gt;D494))+COUNTIFS($G$2:G494,"MPV",$D$2:D494,D494)-1)</f>
        <v/>
      </c>
      <c r="N494" s="62" t="str">
        <f>IF(OR(D494="",NOT(G494="SUV")),"",1+SUMPRODUCT(($G$2:$G$1001="SUV")*($D$2:$D$1001&gt;D494))+COUNTIFS($G$2:G494,"SUV",$D$2:D494,D494)-1)</f>
        <v/>
      </c>
      <c r="O494" s="62" t="str">
        <f>IF(OR(D494="",NOT(AND(F494=1,G494="轿车"))),"",1+SUMPRODUCT(($F$2:$F$1001=1)*($G$2:$G$1001="轿车")*($D$2:$D$1001&gt;D494))+COUNTIFS($F$2:F494,1,$G$2:G494,"轿车",$D$2:D494,D494)-1)</f>
        <v/>
      </c>
      <c r="P494" s="62" t="str">
        <f>IF(OR(D494="",NOT(AND(F494=1,G494="MPV"))),"",1+SUMPRODUCT(($F$2:$F$1001=1)*($G$2:$G$1001="MPV")*($D$2:$D$1001&gt;D494))+COUNTIFS($F$2:F494,1,$G$2:G494,"MPV",$D$2:D494,D494)-1)</f>
        <v/>
      </c>
      <c r="Q494" s="62" t="str">
        <f>IF(OR(D494="",NOT(AND(F494=1,G494="SUV"))),"",1+SUMPRODUCT(($F$2:$F$1001=1)*($G$2:$G$1001="SUV")*($D$2:$D$1001&gt;D494))+COUNTIFS($F$2:F494,1,$G$2:G494,"SUV",$D$2:D494,D494)-1)</f>
        <v/>
      </c>
    </row>
    <row r="495" spans="1:17">
      <c r="A495" s="62" t="str">
        <f>IFERROR(INDEX($H$2:$H$3000,MATCH(0,INDEX(COUNTIF($A$1:A494,$H$2:$H$3000)+($H$2:$H$3000=""),0,0),0)),"")</f>
        <v/>
      </c>
      <c r="B495" s="62" t="str">
        <f t="shared" si="28"/>
        <v/>
      </c>
      <c r="C495" s="62" t="str">
        <f t="shared" si="29"/>
        <v/>
      </c>
      <c r="D495" s="63" t="str">
        <f t="shared" si="30"/>
        <v/>
      </c>
      <c r="E495" s="62" t="str">
        <f>IF(D495="","",_xlfn.RANK.EQ(D495,$D$2:$D$1001,0)+COUNTIF($D$2:D495,D495)-1)</f>
        <v/>
      </c>
      <c r="F495" s="62" t="str">
        <f>IF(B495="","",--(COUNTIF(CN_Brands!$A$2:$A$300,UPPER(B495))&gt;0))</f>
        <v/>
      </c>
      <c r="G495" s="62" t="str">
        <f t="shared" si="31"/>
        <v/>
      </c>
      <c r="H495" s="62" t="str">
        <f>IF(AND('Data Export'!A495=前十整体车型排名!$B$2,'Data Export'!B495=前十整体车型排名!$B$3,'Data Export'!D495&lt;&gt;""),UPPER('Data Export'!C495)&amp;"♦"&amp;'Data Export'!D495,"")</f>
        <v>MERCEDES♦E-CLASS</v>
      </c>
      <c r="I495" s="63">
        <f>IF(H495="","",IFERROR(INDEX('Data Export'!G495:CZ495,1,MATCH(前十整体车型排名!$B$4,'Data Export'!$G$1:$CZ$1,0)),0))</f>
        <v>62</v>
      </c>
      <c r="J495" s="62" t="str">
        <f>IF(H495="","",IF(OR('Data Export'!F495="三厢轿车",'Data Export'!F495="掀背轿车",'Data Export'!F495="旅行车",'Data Export'!F495="微型车",'Data Export'!F495="硬顶跑车",'Data Export'!F495="敞蓬车",'Data Export'!F495="Targa"),"轿车",IF(OR('Data Export'!F495="小型MPV",'Data Export'!F495="客车"),"MPV",IF('Data Export'!F495="运动型多功能车","SUV","其他"))))</f>
        <v>轿车</v>
      </c>
      <c r="K495" s="62" t="str">
        <f>IF(OR(D495="",NOT(F495=1)),"",1+SUMPRODUCT(($F$2:$F$1001=1)*($D$2:$D$1001&gt;D495))+COUNTIFS($F$2:F495,1,$D$2:D495,D495)-1)</f>
        <v/>
      </c>
      <c r="L495" s="62" t="str">
        <f>IF(OR(D495="",NOT(G495="轿车")),"",1+SUMPRODUCT(($G$2:$G$1001="轿车")*($D$2:$D$1001&gt;D495))+COUNTIFS($G$2:G495,"轿车",$D$2:D495,D495)-1)</f>
        <v/>
      </c>
      <c r="M495" s="62" t="str">
        <f>IF(OR(D495="",NOT(G495="MPV")),"",1+SUMPRODUCT(($G$2:$G$1001="MPV")*($D$2:$D$1001&gt;D495))+COUNTIFS($G$2:G495,"MPV",$D$2:D495,D495)-1)</f>
        <v/>
      </c>
      <c r="N495" s="62" t="str">
        <f>IF(OR(D495="",NOT(G495="SUV")),"",1+SUMPRODUCT(($G$2:$G$1001="SUV")*($D$2:$D$1001&gt;D495))+COUNTIFS($G$2:G495,"SUV",$D$2:D495,D495)-1)</f>
        <v/>
      </c>
      <c r="O495" s="62" t="str">
        <f>IF(OR(D495="",NOT(AND(F495=1,G495="轿车"))),"",1+SUMPRODUCT(($F$2:$F$1001=1)*($G$2:$G$1001="轿车")*($D$2:$D$1001&gt;D495))+COUNTIFS($F$2:F495,1,$G$2:G495,"轿车",$D$2:D495,D495)-1)</f>
        <v/>
      </c>
      <c r="P495" s="62" t="str">
        <f>IF(OR(D495="",NOT(AND(F495=1,G495="MPV"))),"",1+SUMPRODUCT(($F$2:$F$1001=1)*($G$2:$G$1001="MPV")*($D$2:$D$1001&gt;D495))+COUNTIFS($F$2:F495,1,$G$2:G495,"MPV",$D$2:D495,D495)-1)</f>
        <v/>
      </c>
      <c r="Q495" s="62" t="str">
        <f>IF(OR(D495="",NOT(AND(F495=1,G495="SUV"))),"",1+SUMPRODUCT(($F$2:$F$1001=1)*($G$2:$G$1001="SUV")*($D$2:$D$1001&gt;D495))+COUNTIFS($F$2:F495,1,$G$2:G495,"SUV",$D$2:D495,D495)-1)</f>
        <v/>
      </c>
    </row>
    <row r="496" spans="1:17">
      <c r="A496" s="62" t="str">
        <f>IFERROR(INDEX($H$2:$H$3000,MATCH(0,INDEX(COUNTIF($A$1:A495,$H$2:$H$3000)+($H$2:$H$3000=""),0,0),0)),"")</f>
        <v/>
      </c>
      <c r="B496" s="62" t="str">
        <f t="shared" si="28"/>
        <v/>
      </c>
      <c r="C496" s="62" t="str">
        <f t="shared" si="29"/>
        <v/>
      </c>
      <c r="D496" s="63" t="str">
        <f t="shared" si="30"/>
        <v/>
      </c>
      <c r="E496" s="62" t="str">
        <f>IF(D496="","",_xlfn.RANK.EQ(D496,$D$2:$D$1001,0)+COUNTIF($D$2:D496,D496)-1)</f>
        <v/>
      </c>
      <c r="F496" s="62" t="str">
        <f>IF(B496="","",--(COUNTIF(CN_Brands!$A$2:$A$300,UPPER(B496))&gt;0))</f>
        <v/>
      </c>
      <c r="G496" s="62" t="str">
        <f t="shared" si="31"/>
        <v/>
      </c>
      <c r="H496" s="62" t="str">
        <f>IF(AND('Data Export'!A496=前十整体车型排名!$B$2,'Data Export'!B496=前十整体车型排名!$B$3,'Data Export'!D496&lt;&gt;""),UPPER('Data Export'!C496)&amp;"♦"&amp;'Data Export'!D496,"")</f>
        <v>MERCEDES♦EQE</v>
      </c>
      <c r="I496" s="63">
        <f>IF(H496="","",IFERROR(INDEX('Data Export'!G496:CZ496,1,MATCH(前十整体车型排名!$B$4,'Data Export'!$G$1:$CZ$1,0)),0))</f>
        <v>0</v>
      </c>
      <c r="J496" s="62" t="str">
        <f>IF(H496="","",IF(OR('Data Export'!F496="三厢轿车",'Data Export'!F496="掀背轿车",'Data Export'!F496="旅行车",'Data Export'!F496="微型车",'Data Export'!F496="硬顶跑车",'Data Export'!F496="敞蓬车",'Data Export'!F496="Targa"),"轿车",IF(OR('Data Export'!F496="小型MPV",'Data Export'!F496="客车"),"MPV",IF('Data Export'!F496="运动型多功能车","SUV","其他"))))</f>
        <v>SUV</v>
      </c>
      <c r="K496" s="62" t="str">
        <f>IF(OR(D496="",NOT(F496=1)),"",1+SUMPRODUCT(($F$2:$F$1001=1)*($D$2:$D$1001&gt;D496))+COUNTIFS($F$2:F496,1,$D$2:D496,D496)-1)</f>
        <v/>
      </c>
      <c r="L496" s="62" t="str">
        <f>IF(OR(D496="",NOT(G496="轿车")),"",1+SUMPRODUCT(($G$2:$G$1001="轿车")*($D$2:$D$1001&gt;D496))+COUNTIFS($G$2:G496,"轿车",$D$2:D496,D496)-1)</f>
        <v/>
      </c>
      <c r="M496" s="62" t="str">
        <f>IF(OR(D496="",NOT(G496="MPV")),"",1+SUMPRODUCT(($G$2:$G$1001="MPV")*($D$2:$D$1001&gt;D496))+COUNTIFS($G$2:G496,"MPV",$D$2:D496,D496)-1)</f>
        <v/>
      </c>
      <c r="N496" s="62" t="str">
        <f>IF(OR(D496="",NOT(G496="SUV")),"",1+SUMPRODUCT(($G$2:$G$1001="SUV")*($D$2:$D$1001&gt;D496))+COUNTIFS($G$2:G496,"SUV",$D$2:D496,D496)-1)</f>
        <v/>
      </c>
      <c r="O496" s="62" t="str">
        <f>IF(OR(D496="",NOT(AND(F496=1,G496="轿车"))),"",1+SUMPRODUCT(($F$2:$F$1001=1)*($G$2:$G$1001="轿车")*($D$2:$D$1001&gt;D496))+COUNTIFS($F$2:F496,1,$G$2:G496,"轿车",$D$2:D496,D496)-1)</f>
        <v/>
      </c>
      <c r="P496" s="62" t="str">
        <f>IF(OR(D496="",NOT(AND(F496=1,G496="MPV"))),"",1+SUMPRODUCT(($F$2:$F$1001=1)*($G$2:$G$1001="MPV")*($D$2:$D$1001&gt;D496))+COUNTIFS($F$2:F496,1,$G$2:G496,"MPV",$D$2:D496,D496)-1)</f>
        <v/>
      </c>
      <c r="Q496" s="62" t="str">
        <f>IF(OR(D496="",NOT(AND(F496=1,G496="SUV"))),"",1+SUMPRODUCT(($F$2:$F$1001=1)*($G$2:$G$1001="SUV")*($D$2:$D$1001&gt;D496))+COUNTIFS($F$2:F496,1,$G$2:G496,"SUV",$D$2:D496,D496)-1)</f>
        <v/>
      </c>
    </row>
    <row r="497" spans="1:17">
      <c r="A497" s="62" t="str">
        <f>IFERROR(INDEX($H$2:$H$3000,MATCH(0,INDEX(COUNTIF($A$1:A496,$H$2:$H$3000)+($H$2:$H$3000=""),0,0),0)),"")</f>
        <v/>
      </c>
      <c r="B497" s="62" t="str">
        <f t="shared" si="28"/>
        <v/>
      </c>
      <c r="C497" s="62" t="str">
        <f t="shared" si="29"/>
        <v/>
      </c>
      <c r="D497" s="63" t="str">
        <f t="shared" si="30"/>
        <v/>
      </c>
      <c r="E497" s="62" t="str">
        <f>IF(D497="","",_xlfn.RANK.EQ(D497,$D$2:$D$1001,0)+COUNTIF($D$2:D497,D497)-1)</f>
        <v/>
      </c>
      <c r="F497" s="62" t="str">
        <f>IF(B497="","",--(COUNTIF(CN_Brands!$A$2:$A$300,UPPER(B497))&gt;0))</f>
        <v/>
      </c>
      <c r="G497" s="62" t="str">
        <f t="shared" si="31"/>
        <v/>
      </c>
      <c r="H497" s="62" t="str">
        <f>IF(AND('Data Export'!A497=前十整体车型排名!$B$2,'Data Export'!B497=前十整体车型排名!$B$3,'Data Export'!D497&lt;&gt;""),UPPER('Data Export'!C497)&amp;"♦"&amp;'Data Export'!D497,"")</f>
        <v>MERCEDES♦EQE</v>
      </c>
      <c r="I497" s="63">
        <f>IF(H497="","",IFERROR(INDEX('Data Export'!G497:CZ497,1,MATCH(前十整体车型排名!$B$4,'Data Export'!$G$1:$CZ$1,0)),0))</f>
        <v>1</v>
      </c>
      <c r="J497" s="62" t="str">
        <f>IF(H497="","",IF(OR('Data Export'!F497="三厢轿车",'Data Export'!F497="掀背轿车",'Data Export'!F497="旅行车",'Data Export'!F497="微型车",'Data Export'!F497="硬顶跑车",'Data Export'!F497="敞蓬车",'Data Export'!F497="Targa"),"轿车",IF(OR('Data Export'!F497="小型MPV",'Data Export'!F497="客车"),"MPV",IF('Data Export'!F497="运动型多功能车","SUV","其他"))))</f>
        <v>轿车</v>
      </c>
      <c r="K497" s="62" t="str">
        <f>IF(OR(D497="",NOT(F497=1)),"",1+SUMPRODUCT(($F$2:$F$1001=1)*($D$2:$D$1001&gt;D497))+COUNTIFS($F$2:F497,1,$D$2:D497,D497)-1)</f>
        <v/>
      </c>
      <c r="L497" s="62" t="str">
        <f>IF(OR(D497="",NOT(G497="轿车")),"",1+SUMPRODUCT(($G$2:$G$1001="轿车")*($D$2:$D$1001&gt;D497))+COUNTIFS($G$2:G497,"轿车",$D$2:D497,D497)-1)</f>
        <v/>
      </c>
      <c r="M497" s="62" t="str">
        <f>IF(OR(D497="",NOT(G497="MPV")),"",1+SUMPRODUCT(($G$2:$G$1001="MPV")*($D$2:$D$1001&gt;D497))+COUNTIFS($G$2:G497,"MPV",$D$2:D497,D497)-1)</f>
        <v/>
      </c>
      <c r="N497" s="62" t="str">
        <f>IF(OR(D497="",NOT(G497="SUV")),"",1+SUMPRODUCT(($G$2:$G$1001="SUV")*($D$2:$D$1001&gt;D497))+COUNTIFS($G$2:G497,"SUV",$D$2:D497,D497)-1)</f>
        <v/>
      </c>
      <c r="O497" s="62" t="str">
        <f>IF(OR(D497="",NOT(AND(F497=1,G497="轿车"))),"",1+SUMPRODUCT(($F$2:$F$1001=1)*($G$2:$G$1001="轿车")*($D$2:$D$1001&gt;D497))+COUNTIFS($F$2:F497,1,$G$2:G497,"轿车",$D$2:D497,D497)-1)</f>
        <v/>
      </c>
      <c r="P497" s="62" t="str">
        <f>IF(OR(D497="",NOT(AND(F497=1,G497="MPV"))),"",1+SUMPRODUCT(($F$2:$F$1001=1)*($G$2:$G$1001="MPV")*($D$2:$D$1001&gt;D497))+COUNTIFS($F$2:F497,1,$G$2:G497,"MPV",$D$2:D497,D497)-1)</f>
        <v/>
      </c>
      <c r="Q497" s="62" t="str">
        <f>IF(OR(D497="",NOT(AND(F497=1,G497="SUV"))),"",1+SUMPRODUCT(($F$2:$F$1001=1)*($G$2:$G$1001="SUV")*($D$2:$D$1001&gt;D497))+COUNTIFS($F$2:F497,1,$G$2:G497,"SUV",$D$2:D497,D497)-1)</f>
        <v/>
      </c>
    </row>
    <row r="498" spans="1:17">
      <c r="A498" s="62" t="str">
        <f>IFERROR(INDEX($H$2:$H$3000,MATCH(0,INDEX(COUNTIF($A$1:A497,$H$2:$H$3000)+($H$2:$H$3000=""),0,0),0)),"")</f>
        <v/>
      </c>
      <c r="B498" s="62" t="str">
        <f t="shared" si="28"/>
        <v/>
      </c>
      <c r="C498" s="62" t="str">
        <f t="shared" si="29"/>
        <v/>
      </c>
      <c r="D498" s="63" t="str">
        <f t="shared" si="30"/>
        <v/>
      </c>
      <c r="E498" s="62" t="str">
        <f>IF(D498="","",_xlfn.RANK.EQ(D498,$D$2:$D$1001,0)+COUNTIF($D$2:D498,D498)-1)</f>
        <v/>
      </c>
      <c r="F498" s="62" t="str">
        <f>IF(B498="","",--(COUNTIF(CN_Brands!$A$2:$A$300,UPPER(B498))&gt;0))</f>
        <v/>
      </c>
      <c r="G498" s="62" t="str">
        <f t="shared" si="31"/>
        <v/>
      </c>
      <c r="H498" s="62" t="str">
        <f>IF(AND('Data Export'!A498=前十整体车型排名!$B$2,'Data Export'!B498=前十整体车型排名!$B$3,'Data Export'!D498&lt;&gt;""),UPPER('Data Export'!C498)&amp;"♦"&amp;'Data Export'!D498,"")</f>
        <v>MERCEDES♦EQE</v>
      </c>
      <c r="I498" s="63">
        <f>IF(H498="","",IFERROR(INDEX('Data Export'!G498:CZ498,1,MATCH(前十整体车型排名!$B$4,'Data Export'!$G$1:$CZ$1,0)),0))</f>
        <v>7</v>
      </c>
      <c r="J498" s="62" t="str">
        <f>IF(H498="","",IF(OR('Data Export'!F498="三厢轿车",'Data Export'!F498="掀背轿车",'Data Export'!F498="旅行车",'Data Export'!F498="微型车",'Data Export'!F498="硬顶跑车",'Data Export'!F498="敞蓬车",'Data Export'!F498="Targa"),"轿车",IF(OR('Data Export'!F498="小型MPV",'Data Export'!F498="客车"),"MPV",IF('Data Export'!F498="运动型多功能车","SUV","其他"))))</f>
        <v>其他</v>
      </c>
      <c r="K498" s="62" t="str">
        <f>IF(OR(D498="",NOT(F498=1)),"",1+SUMPRODUCT(($F$2:$F$1001=1)*($D$2:$D$1001&gt;D498))+COUNTIFS($F$2:F498,1,$D$2:D498,D498)-1)</f>
        <v/>
      </c>
      <c r="L498" s="62" t="str">
        <f>IF(OR(D498="",NOT(G498="轿车")),"",1+SUMPRODUCT(($G$2:$G$1001="轿车")*($D$2:$D$1001&gt;D498))+COUNTIFS($G$2:G498,"轿车",$D$2:D498,D498)-1)</f>
        <v/>
      </c>
      <c r="M498" s="62" t="str">
        <f>IF(OR(D498="",NOT(G498="MPV")),"",1+SUMPRODUCT(($G$2:$G$1001="MPV")*($D$2:$D$1001&gt;D498))+COUNTIFS($G$2:G498,"MPV",$D$2:D498,D498)-1)</f>
        <v/>
      </c>
      <c r="N498" s="62" t="str">
        <f>IF(OR(D498="",NOT(G498="SUV")),"",1+SUMPRODUCT(($G$2:$G$1001="SUV")*($D$2:$D$1001&gt;D498))+COUNTIFS($G$2:G498,"SUV",$D$2:D498,D498)-1)</f>
        <v/>
      </c>
      <c r="O498" s="62" t="str">
        <f>IF(OR(D498="",NOT(AND(F498=1,G498="轿车"))),"",1+SUMPRODUCT(($F$2:$F$1001=1)*($G$2:$G$1001="轿车")*($D$2:$D$1001&gt;D498))+COUNTIFS($F$2:F498,1,$G$2:G498,"轿车",$D$2:D498,D498)-1)</f>
        <v/>
      </c>
      <c r="P498" s="62" t="str">
        <f>IF(OR(D498="",NOT(AND(F498=1,G498="MPV"))),"",1+SUMPRODUCT(($F$2:$F$1001=1)*($G$2:$G$1001="MPV")*($D$2:$D$1001&gt;D498))+COUNTIFS($F$2:F498,1,$G$2:G498,"MPV",$D$2:D498,D498)-1)</f>
        <v/>
      </c>
      <c r="Q498" s="62" t="str">
        <f>IF(OR(D498="",NOT(AND(F498=1,G498="SUV"))),"",1+SUMPRODUCT(($F$2:$F$1001=1)*($G$2:$G$1001="SUV")*($D$2:$D$1001&gt;D498))+COUNTIFS($F$2:F498,1,$G$2:G498,"SUV",$D$2:D498,D498)-1)</f>
        <v/>
      </c>
    </row>
    <row r="499" spans="1:17">
      <c r="A499" s="62" t="str">
        <f>IFERROR(INDEX($H$2:$H$3000,MATCH(0,INDEX(COUNTIF($A$1:A498,$H$2:$H$3000)+($H$2:$H$3000=""),0,0),0)),"")</f>
        <v/>
      </c>
      <c r="B499" s="62" t="str">
        <f t="shared" si="28"/>
        <v/>
      </c>
      <c r="C499" s="62" t="str">
        <f t="shared" si="29"/>
        <v/>
      </c>
      <c r="D499" s="63" t="str">
        <f t="shared" si="30"/>
        <v/>
      </c>
      <c r="E499" s="62" t="str">
        <f>IF(D499="","",_xlfn.RANK.EQ(D499,$D$2:$D$1001,0)+COUNTIF($D$2:D499,D499)-1)</f>
        <v/>
      </c>
      <c r="F499" s="62" t="str">
        <f>IF(B499="","",--(COUNTIF(CN_Brands!$A$2:$A$300,UPPER(B499))&gt;0))</f>
        <v/>
      </c>
      <c r="G499" s="62" t="str">
        <f t="shared" si="31"/>
        <v/>
      </c>
      <c r="H499" s="62" t="str">
        <f>IF(AND('Data Export'!A499=前十整体车型排名!$B$2,'Data Export'!B499=前十整体车型排名!$B$3,'Data Export'!D499&lt;&gt;""),UPPER('Data Export'!C499)&amp;"♦"&amp;'Data Export'!D499,"")</f>
        <v>MERCEDES♦EQE</v>
      </c>
      <c r="I499" s="63">
        <f>IF(H499="","",IFERROR(INDEX('Data Export'!G499:CZ499,1,MATCH(前十整体车型排名!$B$4,'Data Export'!$G$1:$CZ$1,0)),0))</f>
        <v>13</v>
      </c>
      <c r="J499" s="62" t="str">
        <f>IF(H499="","",IF(OR('Data Export'!F499="三厢轿车",'Data Export'!F499="掀背轿车",'Data Export'!F499="旅行车",'Data Export'!F499="微型车",'Data Export'!F499="硬顶跑车",'Data Export'!F499="敞蓬车",'Data Export'!F499="Targa"),"轿车",IF(OR('Data Export'!F499="小型MPV",'Data Export'!F499="客车"),"MPV",IF('Data Export'!F499="运动型多功能车","SUV","其他"))))</f>
        <v>SUV</v>
      </c>
      <c r="K499" s="62" t="str">
        <f>IF(OR(D499="",NOT(F499=1)),"",1+SUMPRODUCT(($F$2:$F$1001=1)*($D$2:$D$1001&gt;D499))+COUNTIFS($F$2:F499,1,$D$2:D499,D499)-1)</f>
        <v/>
      </c>
      <c r="L499" s="62" t="str">
        <f>IF(OR(D499="",NOT(G499="轿车")),"",1+SUMPRODUCT(($G$2:$G$1001="轿车")*($D$2:$D$1001&gt;D499))+COUNTIFS($G$2:G499,"轿车",$D$2:D499,D499)-1)</f>
        <v/>
      </c>
      <c r="M499" s="62" t="str">
        <f>IF(OR(D499="",NOT(G499="MPV")),"",1+SUMPRODUCT(($G$2:$G$1001="MPV")*($D$2:$D$1001&gt;D499))+COUNTIFS($G$2:G499,"MPV",$D$2:D499,D499)-1)</f>
        <v/>
      </c>
      <c r="N499" s="62" t="str">
        <f>IF(OR(D499="",NOT(G499="SUV")),"",1+SUMPRODUCT(($G$2:$G$1001="SUV")*($D$2:$D$1001&gt;D499))+COUNTIFS($G$2:G499,"SUV",$D$2:D499,D499)-1)</f>
        <v/>
      </c>
      <c r="O499" s="62" t="str">
        <f>IF(OR(D499="",NOT(AND(F499=1,G499="轿车"))),"",1+SUMPRODUCT(($F$2:$F$1001=1)*($G$2:$G$1001="轿车")*($D$2:$D$1001&gt;D499))+COUNTIFS($F$2:F499,1,$G$2:G499,"轿车",$D$2:D499,D499)-1)</f>
        <v/>
      </c>
      <c r="P499" s="62" t="str">
        <f>IF(OR(D499="",NOT(AND(F499=1,G499="MPV"))),"",1+SUMPRODUCT(($F$2:$F$1001=1)*($G$2:$G$1001="MPV")*($D$2:$D$1001&gt;D499))+COUNTIFS($F$2:F499,1,$G$2:G499,"MPV",$D$2:D499,D499)-1)</f>
        <v/>
      </c>
      <c r="Q499" s="62" t="str">
        <f>IF(OR(D499="",NOT(AND(F499=1,G499="SUV"))),"",1+SUMPRODUCT(($F$2:$F$1001=1)*($G$2:$G$1001="SUV")*($D$2:$D$1001&gt;D499))+COUNTIFS($F$2:F499,1,$G$2:G499,"SUV",$D$2:D499,D499)-1)</f>
        <v/>
      </c>
    </row>
    <row r="500" spans="1:17">
      <c r="A500" s="62" t="str">
        <f>IFERROR(INDEX($H$2:$H$3000,MATCH(0,INDEX(COUNTIF($A$1:A499,$H$2:$H$3000)+($H$2:$H$3000=""),0,0),0)),"")</f>
        <v/>
      </c>
      <c r="B500" s="62" t="str">
        <f t="shared" si="28"/>
        <v/>
      </c>
      <c r="C500" s="62" t="str">
        <f t="shared" si="29"/>
        <v/>
      </c>
      <c r="D500" s="63" t="str">
        <f t="shared" si="30"/>
        <v/>
      </c>
      <c r="E500" s="62" t="str">
        <f>IF(D500="","",_xlfn.RANK.EQ(D500,$D$2:$D$1001,0)+COUNTIF($D$2:D500,D500)-1)</f>
        <v/>
      </c>
      <c r="F500" s="62" t="str">
        <f>IF(B500="","",--(COUNTIF(CN_Brands!$A$2:$A$300,UPPER(B500))&gt;0))</f>
        <v/>
      </c>
      <c r="G500" s="62" t="str">
        <f t="shared" si="31"/>
        <v/>
      </c>
      <c r="H500" s="62" t="str">
        <f>IF(AND('Data Export'!A500=前十整体车型排名!$B$2,'Data Export'!B500=前十整体车型排名!$B$3,'Data Export'!D500&lt;&gt;""),UPPER('Data Export'!C500)&amp;"♦"&amp;'Data Export'!D500,"")</f>
        <v>MERCEDES♦EQS</v>
      </c>
      <c r="I500" s="63">
        <f>IF(H500="","",IFERROR(INDEX('Data Export'!G500:CZ500,1,MATCH(前十整体车型排名!$B$4,'Data Export'!$G$1:$CZ$1,0)),0))</f>
        <v>0</v>
      </c>
      <c r="J500" s="62" t="str">
        <f>IF(H500="","",IF(OR('Data Export'!F500="三厢轿车",'Data Export'!F500="掀背轿车",'Data Export'!F500="旅行车",'Data Export'!F500="微型车",'Data Export'!F500="硬顶跑车",'Data Export'!F500="敞蓬车",'Data Export'!F500="Targa"),"轿车",IF(OR('Data Export'!F500="小型MPV",'Data Export'!F500="客车"),"MPV",IF('Data Export'!F500="运动型多功能车","SUV","其他"))))</f>
        <v>SUV</v>
      </c>
      <c r="K500" s="62" t="str">
        <f>IF(OR(D500="",NOT(F500=1)),"",1+SUMPRODUCT(($F$2:$F$1001=1)*($D$2:$D$1001&gt;D500))+COUNTIFS($F$2:F500,1,$D$2:D500,D500)-1)</f>
        <v/>
      </c>
      <c r="L500" s="62" t="str">
        <f>IF(OR(D500="",NOT(G500="轿车")),"",1+SUMPRODUCT(($G$2:$G$1001="轿车")*($D$2:$D$1001&gt;D500))+COUNTIFS($G$2:G500,"轿车",$D$2:D500,D500)-1)</f>
        <v/>
      </c>
      <c r="M500" s="62" t="str">
        <f>IF(OR(D500="",NOT(G500="MPV")),"",1+SUMPRODUCT(($G$2:$G$1001="MPV")*($D$2:$D$1001&gt;D500))+COUNTIFS($G$2:G500,"MPV",$D$2:D500,D500)-1)</f>
        <v/>
      </c>
      <c r="N500" s="62" t="str">
        <f>IF(OR(D500="",NOT(G500="SUV")),"",1+SUMPRODUCT(($G$2:$G$1001="SUV")*($D$2:$D$1001&gt;D500))+COUNTIFS($G$2:G500,"SUV",$D$2:D500,D500)-1)</f>
        <v/>
      </c>
      <c r="O500" s="62" t="str">
        <f>IF(OR(D500="",NOT(AND(F500=1,G500="轿车"))),"",1+SUMPRODUCT(($F$2:$F$1001=1)*($G$2:$G$1001="轿车")*($D$2:$D$1001&gt;D500))+COUNTIFS($F$2:F500,1,$G$2:G500,"轿车",$D$2:D500,D500)-1)</f>
        <v/>
      </c>
      <c r="P500" s="62" t="str">
        <f>IF(OR(D500="",NOT(AND(F500=1,G500="MPV"))),"",1+SUMPRODUCT(($F$2:$F$1001=1)*($G$2:$G$1001="MPV")*($D$2:$D$1001&gt;D500))+COUNTIFS($F$2:F500,1,$G$2:G500,"MPV",$D$2:D500,D500)-1)</f>
        <v/>
      </c>
      <c r="Q500" s="62" t="str">
        <f>IF(OR(D500="",NOT(AND(F500=1,G500="SUV"))),"",1+SUMPRODUCT(($F$2:$F$1001=1)*($G$2:$G$1001="SUV")*($D$2:$D$1001&gt;D500))+COUNTIFS($F$2:F500,1,$G$2:G500,"SUV",$D$2:D500,D500)-1)</f>
        <v/>
      </c>
    </row>
    <row r="501" spans="1:17">
      <c r="A501" s="62" t="str">
        <f>IFERROR(INDEX($H$2:$H$3000,MATCH(0,INDEX(COUNTIF($A$1:A500,$H$2:$H$3000)+($H$2:$H$3000=""),0,0),0)),"")</f>
        <v/>
      </c>
      <c r="B501" s="62" t="str">
        <f t="shared" si="28"/>
        <v/>
      </c>
      <c r="C501" s="62" t="str">
        <f t="shared" si="29"/>
        <v/>
      </c>
      <c r="D501" s="63" t="str">
        <f t="shared" si="30"/>
        <v/>
      </c>
      <c r="E501" s="62" t="str">
        <f>IF(D501="","",_xlfn.RANK.EQ(D501,$D$2:$D$1001,0)+COUNTIF($D$2:D501,D501)-1)</f>
        <v/>
      </c>
      <c r="F501" s="62" t="str">
        <f>IF(B501="","",--(COUNTIF(CN_Brands!$A$2:$A$300,UPPER(B501))&gt;0))</f>
        <v/>
      </c>
      <c r="G501" s="62" t="str">
        <f t="shared" si="31"/>
        <v/>
      </c>
      <c r="H501" s="62" t="str">
        <f>IF(AND('Data Export'!A501=前十整体车型排名!$B$2,'Data Export'!B501=前十整体车型排名!$B$3,'Data Export'!D501&lt;&gt;""),UPPER('Data Export'!C501)&amp;"♦"&amp;'Data Export'!D501,"")</f>
        <v>MERCEDES♦EQS</v>
      </c>
      <c r="I501" s="63">
        <f>IF(H501="","",IFERROR(INDEX('Data Export'!G501:CZ501,1,MATCH(前十整体车型排名!$B$4,'Data Export'!$G$1:$CZ$1,0)),0))</f>
        <v>1</v>
      </c>
      <c r="J501" s="62" t="str">
        <f>IF(H501="","",IF(OR('Data Export'!F501="三厢轿车",'Data Export'!F501="掀背轿车",'Data Export'!F501="旅行车",'Data Export'!F501="微型车",'Data Export'!F501="硬顶跑车",'Data Export'!F501="敞蓬车",'Data Export'!F501="Targa"),"轿车",IF(OR('Data Export'!F501="小型MPV",'Data Export'!F501="客车"),"MPV",IF('Data Export'!F501="运动型多功能车","SUV","其他"))))</f>
        <v>其他</v>
      </c>
      <c r="K501" s="62" t="str">
        <f>IF(OR(D501="",NOT(F501=1)),"",1+SUMPRODUCT(($F$2:$F$1001=1)*($D$2:$D$1001&gt;D501))+COUNTIFS($F$2:F501,1,$D$2:D501,D501)-1)</f>
        <v/>
      </c>
      <c r="L501" s="62" t="str">
        <f>IF(OR(D501="",NOT(G501="轿车")),"",1+SUMPRODUCT(($G$2:$G$1001="轿车")*($D$2:$D$1001&gt;D501))+COUNTIFS($G$2:G501,"轿车",$D$2:D501,D501)-1)</f>
        <v/>
      </c>
      <c r="M501" s="62" t="str">
        <f>IF(OR(D501="",NOT(G501="MPV")),"",1+SUMPRODUCT(($G$2:$G$1001="MPV")*($D$2:$D$1001&gt;D501))+COUNTIFS($G$2:G501,"MPV",$D$2:D501,D501)-1)</f>
        <v/>
      </c>
      <c r="N501" s="62" t="str">
        <f>IF(OR(D501="",NOT(G501="SUV")),"",1+SUMPRODUCT(($G$2:$G$1001="SUV")*($D$2:$D$1001&gt;D501))+COUNTIFS($G$2:G501,"SUV",$D$2:D501,D501)-1)</f>
        <v/>
      </c>
      <c r="O501" s="62" t="str">
        <f>IF(OR(D501="",NOT(AND(F501=1,G501="轿车"))),"",1+SUMPRODUCT(($F$2:$F$1001=1)*($G$2:$G$1001="轿车")*($D$2:$D$1001&gt;D501))+COUNTIFS($F$2:F501,1,$G$2:G501,"轿车",$D$2:D501,D501)-1)</f>
        <v/>
      </c>
      <c r="P501" s="62" t="str">
        <f>IF(OR(D501="",NOT(AND(F501=1,G501="MPV"))),"",1+SUMPRODUCT(($F$2:$F$1001=1)*($G$2:$G$1001="MPV")*($D$2:$D$1001&gt;D501))+COUNTIFS($F$2:F501,1,$G$2:G501,"MPV",$D$2:D501,D501)-1)</f>
        <v/>
      </c>
      <c r="Q501" s="62" t="str">
        <f>IF(OR(D501="",NOT(AND(F501=1,G501="SUV"))),"",1+SUMPRODUCT(($F$2:$F$1001=1)*($G$2:$G$1001="SUV")*($D$2:$D$1001&gt;D501))+COUNTIFS($F$2:F501,1,$G$2:G501,"SUV",$D$2:D501,D501)-1)</f>
        <v/>
      </c>
    </row>
    <row r="502" spans="1:17">
      <c r="A502" s="62" t="str">
        <f>IFERROR(INDEX($H$2:$H$3000,MATCH(0,INDEX(COUNTIF($A$1:A501,$H$2:$H$3000)+($H$2:$H$3000=""),0,0),0)),"")</f>
        <v/>
      </c>
      <c r="B502" s="62" t="str">
        <f t="shared" si="28"/>
        <v/>
      </c>
      <c r="C502" s="62" t="str">
        <f t="shared" si="29"/>
        <v/>
      </c>
      <c r="D502" s="63" t="str">
        <f t="shared" si="30"/>
        <v/>
      </c>
      <c r="E502" s="62" t="str">
        <f>IF(D502="","",_xlfn.RANK.EQ(D502,$D$2:$D$1001,0)+COUNTIF($D$2:D502,D502)-1)</f>
        <v/>
      </c>
      <c r="F502" s="62" t="str">
        <f>IF(B502="","",--(COUNTIF(CN_Brands!$A$2:$A$300,UPPER(B502))&gt;0))</f>
        <v/>
      </c>
      <c r="G502" s="62" t="str">
        <f t="shared" si="31"/>
        <v/>
      </c>
      <c r="H502" s="62" t="str">
        <f>IF(AND('Data Export'!A502=前十整体车型排名!$B$2,'Data Export'!B502=前十整体车型排名!$B$3,'Data Export'!D502&lt;&gt;""),UPPER('Data Export'!C502)&amp;"♦"&amp;'Data Export'!D502,"")</f>
        <v>MERCEDES♦EQS</v>
      </c>
      <c r="I502" s="63">
        <f>IF(H502="","",IFERROR(INDEX('Data Export'!G502:CZ502,1,MATCH(前十整体车型排名!$B$4,'Data Export'!$G$1:$CZ$1,0)),0))</f>
        <v>2</v>
      </c>
      <c r="J502" s="62" t="str">
        <f>IF(H502="","",IF(OR('Data Export'!F502="三厢轿车",'Data Export'!F502="掀背轿车",'Data Export'!F502="旅行车",'Data Export'!F502="微型车",'Data Export'!F502="硬顶跑车",'Data Export'!F502="敞蓬车",'Data Export'!F502="Targa"),"轿车",IF(OR('Data Export'!F502="小型MPV",'Data Export'!F502="客车"),"MPV",IF('Data Export'!F502="运动型多功能车","SUV","其他"))))</f>
        <v>其他</v>
      </c>
      <c r="K502" s="62" t="str">
        <f>IF(OR(D502="",NOT(F502=1)),"",1+SUMPRODUCT(($F$2:$F$1001=1)*($D$2:$D$1001&gt;D502))+COUNTIFS($F$2:F502,1,$D$2:D502,D502)-1)</f>
        <v/>
      </c>
      <c r="L502" s="62" t="str">
        <f>IF(OR(D502="",NOT(G502="轿车")),"",1+SUMPRODUCT(($G$2:$G$1001="轿车")*($D$2:$D$1001&gt;D502))+COUNTIFS($G$2:G502,"轿车",$D$2:D502,D502)-1)</f>
        <v/>
      </c>
      <c r="M502" s="62" t="str">
        <f>IF(OR(D502="",NOT(G502="MPV")),"",1+SUMPRODUCT(($G$2:$G$1001="MPV")*($D$2:$D$1001&gt;D502))+COUNTIFS($G$2:G502,"MPV",$D$2:D502,D502)-1)</f>
        <v/>
      </c>
      <c r="N502" s="62" t="str">
        <f>IF(OR(D502="",NOT(G502="SUV")),"",1+SUMPRODUCT(($G$2:$G$1001="SUV")*($D$2:$D$1001&gt;D502))+COUNTIFS($G$2:G502,"SUV",$D$2:D502,D502)-1)</f>
        <v/>
      </c>
      <c r="O502" s="62" t="str">
        <f>IF(OR(D502="",NOT(AND(F502=1,G502="轿车"))),"",1+SUMPRODUCT(($F$2:$F$1001=1)*($G$2:$G$1001="轿车")*($D$2:$D$1001&gt;D502))+COUNTIFS($F$2:F502,1,$G$2:G502,"轿车",$D$2:D502,D502)-1)</f>
        <v/>
      </c>
      <c r="P502" s="62" t="str">
        <f>IF(OR(D502="",NOT(AND(F502=1,G502="MPV"))),"",1+SUMPRODUCT(($F$2:$F$1001=1)*($G$2:$G$1001="MPV")*($D$2:$D$1001&gt;D502))+COUNTIFS($F$2:F502,1,$G$2:G502,"MPV",$D$2:D502,D502)-1)</f>
        <v/>
      </c>
      <c r="Q502" s="62" t="str">
        <f>IF(OR(D502="",NOT(AND(F502=1,G502="SUV"))),"",1+SUMPRODUCT(($F$2:$F$1001=1)*($G$2:$G$1001="SUV")*($D$2:$D$1001&gt;D502))+COUNTIFS($F$2:F502,1,$G$2:G502,"SUV",$D$2:D502,D502)-1)</f>
        <v/>
      </c>
    </row>
    <row r="503" spans="1:17">
      <c r="A503" s="62" t="str">
        <f>IFERROR(INDEX($H$2:$H$3000,MATCH(0,INDEX(COUNTIF($A$1:A502,$H$2:$H$3000)+($H$2:$H$3000=""),0,0),0)),"")</f>
        <v/>
      </c>
      <c r="B503" s="62" t="str">
        <f t="shared" si="28"/>
        <v/>
      </c>
      <c r="C503" s="62" t="str">
        <f t="shared" si="29"/>
        <v/>
      </c>
      <c r="D503" s="63" t="str">
        <f t="shared" si="30"/>
        <v/>
      </c>
      <c r="E503" s="62" t="str">
        <f>IF(D503="","",_xlfn.RANK.EQ(D503,$D$2:$D$1001,0)+COUNTIF($D$2:D503,D503)-1)</f>
        <v/>
      </c>
      <c r="F503" s="62" t="str">
        <f>IF(B503="","",--(COUNTIF(CN_Brands!$A$2:$A$300,UPPER(B503))&gt;0))</f>
        <v/>
      </c>
      <c r="G503" s="62" t="str">
        <f t="shared" si="31"/>
        <v/>
      </c>
      <c r="H503" s="62" t="str">
        <f>IF(AND('Data Export'!A503=前十整体车型排名!$B$2,'Data Export'!B503=前十整体车型排名!$B$3,'Data Export'!D503&lt;&gt;""),UPPER('Data Export'!C503)&amp;"♦"&amp;'Data Export'!D503,"")</f>
        <v>MERCEDES♦EQS</v>
      </c>
      <c r="I503" s="63">
        <f>IF(H503="","",IFERROR(INDEX('Data Export'!G503:CZ503,1,MATCH(前十整体车型排名!$B$4,'Data Export'!$G$1:$CZ$1,0)),0))</f>
        <v>2</v>
      </c>
      <c r="J503" s="62" t="str">
        <f>IF(H503="","",IF(OR('Data Export'!F503="三厢轿车",'Data Export'!F503="掀背轿车",'Data Export'!F503="旅行车",'Data Export'!F503="微型车",'Data Export'!F503="硬顶跑车",'Data Export'!F503="敞蓬车",'Data Export'!F503="Targa"),"轿车",IF(OR('Data Export'!F503="小型MPV",'Data Export'!F503="客车"),"MPV",IF('Data Export'!F503="运动型多功能车","SUV","其他"))))</f>
        <v>其他</v>
      </c>
      <c r="K503" s="62" t="str">
        <f>IF(OR(D503="",NOT(F503=1)),"",1+SUMPRODUCT(($F$2:$F$1001=1)*($D$2:$D$1001&gt;D503))+COUNTIFS($F$2:F503,1,$D$2:D503,D503)-1)</f>
        <v/>
      </c>
      <c r="L503" s="62" t="str">
        <f>IF(OR(D503="",NOT(G503="轿车")),"",1+SUMPRODUCT(($G$2:$G$1001="轿车")*($D$2:$D$1001&gt;D503))+COUNTIFS($G$2:G503,"轿车",$D$2:D503,D503)-1)</f>
        <v/>
      </c>
      <c r="M503" s="62" t="str">
        <f>IF(OR(D503="",NOT(G503="MPV")),"",1+SUMPRODUCT(($G$2:$G$1001="MPV")*($D$2:$D$1001&gt;D503))+COUNTIFS($G$2:G503,"MPV",$D$2:D503,D503)-1)</f>
        <v/>
      </c>
      <c r="N503" s="62" t="str">
        <f>IF(OR(D503="",NOT(G503="SUV")),"",1+SUMPRODUCT(($G$2:$G$1001="SUV")*($D$2:$D$1001&gt;D503))+COUNTIFS($G$2:G503,"SUV",$D$2:D503,D503)-1)</f>
        <v/>
      </c>
      <c r="O503" s="62" t="str">
        <f>IF(OR(D503="",NOT(AND(F503=1,G503="轿车"))),"",1+SUMPRODUCT(($F$2:$F$1001=1)*($G$2:$G$1001="轿车")*($D$2:$D$1001&gt;D503))+COUNTIFS($F$2:F503,1,$G$2:G503,"轿车",$D$2:D503,D503)-1)</f>
        <v/>
      </c>
      <c r="P503" s="62" t="str">
        <f>IF(OR(D503="",NOT(AND(F503=1,G503="MPV"))),"",1+SUMPRODUCT(($F$2:$F$1001=1)*($G$2:$G$1001="MPV")*($D$2:$D$1001&gt;D503))+COUNTIFS($F$2:F503,1,$G$2:G503,"MPV",$D$2:D503,D503)-1)</f>
        <v/>
      </c>
      <c r="Q503" s="62" t="str">
        <f>IF(OR(D503="",NOT(AND(F503=1,G503="SUV"))),"",1+SUMPRODUCT(($F$2:$F$1001=1)*($G$2:$G$1001="SUV")*($D$2:$D$1001&gt;D503))+COUNTIFS($F$2:F503,1,$G$2:G503,"SUV",$D$2:D503,D503)-1)</f>
        <v/>
      </c>
    </row>
    <row r="504" spans="1:17">
      <c r="A504" s="62" t="str">
        <f>IFERROR(INDEX($H$2:$H$3000,MATCH(0,INDEX(COUNTIF($A$1:A503,$H$2:$H$3000)+($H$2:$H$3000=""),0,0),0)),"")</f>
        <v/>
      </c>
      <c r="B504" s="62" t="str">
        <f t="shared" si="28"/>
        <v/>
      </c>
      <c r="C504" s="62" t="str">
        <f t="shared" si="29"/>
        <v/>
      </c>
      <c r="D504" s="63" t="str">
        <f t="shared" si="30"/>
        <v/>
      </c>
      <c r="E504" s="62" t="str">
        <f>IF(D504="","",_xlfn.RANK.EQ(D504,$D$2:$D$1001,0)+COUNTIF($D$2:D504,D504)-1)</f>
        <v/>
      </c>
      <c r="F504" s="62" t="str">
        <f>IF(B504="","",--(COUNTIF(CN_Brands!$A$2:$A$300,UPPER(B504))&gt;0))</f>
        <v/>
      </c>
      <c r="G504" s="62" t="str">
        <f t="shared" si="31"/>
        <v/>
      </c>
      <c r="H504" s="62" t="str">
        <f>IF(AND('Data Export'!A504=前十整体车型排名!$B$2,'Data Export'!B504=前十整体车型排名!$B$3,'Data Export'!D504&lt;&gt;""),UPPER('Data Export'!C504)&amp;"♦"&amp;'Data Export'!D504,"")</f>
        <v>MERCEDES♦EQS</v>
      </c>
      <c r="I504" s="63">
        <f>IF(H504="","",IFERROR(INDEX('Data Export'!G504:CZ504,1,MATCH(前十整体车型排名!$B$4,'Data Export'!$G$1:$CZ$1,0)),0))</f>
        <v>20</v>
      </c>
      <c r="J504" s="62" t="str">
        <f>IF(H504="","",IF(OR('Data Export'!F504="三厢轿车",'Data Export'!F504="掀背轿车",'Data Export'!F504="旅行车",'Data Export'!F504="微型车",'Data Export'!F504="硬顶跑车",'Data Export'!F504="敞蓬车",'Data Export'!F504="Targa"),"轿车",IF(OR('Data Export'!F504="小型MPV",'Data Export'!F504="客车"),"MPV",IF('Data Export'!F504="运动型多功能车","SUV","其他"))))</f>
        <v>SUV</v>
      </c>
      <c r="K504" s="62" t="str">
        <f>IF(OR(D504="",NOT(F504=1)),"",1+SUMPRODUCT(($F$2:$F$1001=1)*($D$2:$D$1001&gt;D504))+COUNTIFS($F$2:F504,1,$D$2:D504,D504)-1)</f>
        <v/>
      </c>
      <c r="L504" s="62" t="str">
        <f>IF(OR(D504="",NOT(G504="轿车")),"",1+SUMPRODUCT(($G$2:$G$1001="轿车")*($D$2:$D$1001&gt;D504))+COUNTIFS($G$2:G504,"轿车",$D$2:D504,D504)-1)</f>
        <v/>
      </c>
      <c r="M504" s="62" t="str">
        <f>IF(OR(D504="",NOT(G504="MPV")),"",1+SUMPRODUCT(($G$2:$G$1001="MPV")*($D$2:$D$1001&gt;D504))+COUNTIFS($G$2:G504,"MPV",$D$2:D504,D504)-1)</f>
        <v/>
      </c>
      <c r="N504" s="62" t="str">
        <f>IF(OR(D504="",NOT(G504="SUV")),"",1+SUMPRODUCT(($G$2:$G$1001="SUV")*($D$2:$D$1001&gt;D504))+COUNTIFS($G$2:G504,"SUV",$D$2:D504,D504)-1)</f>
        <v/>
      </c>
      <c r="O504" s="62" t="str">
        <f>IF(OR(D504="",NOT(AND(F504=1,G504="轿车"))),"",1+SUMPRODUCT(($F$2:$F$1001=1)*($G$2:$G$1001="轿车")*($D$2:$D$1001&gt;D504))+COUNTIFS($F$2:F504,1,$G$2:G504,"轿车",$D$2:D504,D504)-1)</f>
        <v/>
      </c>
      <c r="P504" s="62" t="str">
        <f>IF(OR(D504="",NOT(AND(F504=1,G504="MPV"))),"",1+SUMPRODUCT(($F$2:$F$1001=1)*($G$2:$G$1001="MPV")*($D$2:$D$1001&gt;D504))+COUNTIFS($F$2:F504,1,$G$2:G504,"MPV",$D$2:D504,D504)-1)</f>
        <v/>
      </c>
      <c r="Q504" s="62" t="str">
        <f>IF(OR(D504="",NOT(AND(F504=1,G504="SUV"))),"",1+SUMPRODUCT(($F$2:$F$1001=1)*($G$2:$G$1001="SUV")*($D$2:$D$1001&gt;D504))+COUNTIFS($F$2:F504,1,$G$2:G504,"SUV",$D$2:D504,D504)-1)</f>
        <v/>
      </c>
    </row>
    <row r="505" spans="1:17">
      <c r="A505" s="62" t="str">
        <f>IFERROR(INDEX($H$2:$H$3000,MATCH(0,INDEX(COUNTIF($A$1:A504,$H$2:$H$3000)+($H$2:$H$3000=""),0,0),0)),"")</f>
        <v/>
      </c>
      <c r="B505" s="62" t="str">
        <f t="shared" si="28"/>
        <v/>
      </c>
      <c r="C505" s="62" t="str">
        <f t="shared" si="29"/>
        <v/>
      </c>
      <c r="D505" s="63" t="str">
        <f t="shared" si="30"/>
        <v/>
      </c>
      <c r="E505" s="62" t="str">
        <f>IF(D505="","",_xlfn.RANK.EQ(D505,$D$2:$D$1001,0)+COUNTIF($D$2:D505,D505)-1)</f>
        <v/>
      </c>
      <c r="F505" s="62" t="str">
        <f>IF(B505="","",--(COUNTIF(CN_Brands!$A$2:$A$300,UPPER(B505))&gt;0))</f>
        <v/>
      </c>
      <c r="G505" s="62" t="str">
        <f t="shared" si="31"/>
        <v/>
      </c>
      <c r="H505" s="62" t="str">
        <f>IF(AND('Data Export'!A505=前十整体车型排名!$B$2,'Data Export'!B505=前十整体车型排名!$B$3,'Data Export'!D505&lt;&gt;""),UPPER('Data Export'!C505)&amp;"♦"&amp;'Data Export'!D505,"")</f>
        <v>MERCEDES♦EQS</v>
      </c>
      <c r="I505" s="63">
        <f>IF(H505="","",IFERROR(INDEX('Data Export'!G505:CZ505,1,MATCH(前十整体车型排名!$B$4,'Data Export'!$G$1:$CZ$1,0)),0))</f>
        <v>1</v>
      </c>
      <c r="J505" s="62" t="str">
        <f>IF(H505="","",IF(OR('Data Export'!F505="三厢轿车",'Data Export'!F505="掀背轿车",'Data Export'!F505="旅行车",'Data Export'!F505="微型车",'Data Export'!F505="硬顶跑车",'Data Export'!F505="敞蓬车",'Data Export'!F505="Targa"),"轿车",IF(OR('Data Export'!F505="小型MPV",'Data Export'!F505="客车"),"MPV",IF('Data Export'!F505="运动型多功能车","SUV","其他"))))</f>
        <v>SUV</v>
      </c>
      <c r="K505" s="62" t="str">
        <f>IF(OR(D505="",NOT(F505=1)),"",1+SUMPRODUCT(($F$2:$F$1001=1)*($D$2:$D$1001&gt;D505))+COUNTIFS($F$2:F505,1,$D$2:D505,D505)-1)</f>
        <v/>
      </c>
      <c r="L505" s="62" t="str">
        <f>IF(OR(D505="",NOT(G505="轿车")),"",1+SUMPRODUCT(($G$2:$G$1001="轿车")*($D$2:$D$1001&gt;D505))+COUNTIFS($G$2:G505,"轿车",$D$2:D505,D505)-1)</f>
        <v/>
      </c>
      <c r="M505" s="62" t="str">
        <f>IF(OR(D505="",NOT(G505="MPV")),"",1+SUMPRODUCT(($G$2:$G$1001="MPV")*($D$2:$D$1001&gt;D505))+COUNTIFS($G$2:G505,"MPV",$D$2:D505,D505)-1)</f>
        <v/>
      </c>
      <c r="N505" s="62" t="str">
        <f>IF(OR(D505="",NOT(G505="SUV")),"",1+SUMPRODUCT(($G$2:$G$1001="SUV")*($D$2:$D$1001&gt;D505))+COUNTIFS($G$2:G505,"SUV",$D$2:D505,D505)-1)</f>
        <v/>
      </c>
      <c r="O505" s="62" t="str">
        <f>IF(OR(D505="",NOT(AND(F505=1,G505="轿车"))),"",1+SUMPRODUCT(($F$2:$F$1001=1)*($G$2:$G$1001="轿车")*($D$2:$D$1001&gt;D505))+COUNTIFS($F$2:F505,1,$G$2:G505,"轿车",$D$2:D505,D505)-1)</f>
        <v/>
      </c>
      <c r="P505" s="62" t="str">
        <f>IF(OR(D505="",NOT(AND(F505=1,G505="MPV"))),"",1+SUMPRODUCT(($F$2:$F$1001=1)*($G$2:$G$1001="MPV")*($D$2:$D$1001&gt;D505))+COUNTIFS($F$2:F505,1,$G$2:G505,"MPV",$D$2:D505,D505)-1)</f>
        <v/>
      </c>
      <c r="Q505" s="62" t="str">
        <f>IF(OR(D505="",NOT(AND(F505=1,G505="SUV"))),"",1+SUMPRODUCT(($F$2:$F$1001=1)*($G$2:$G$1001="SUV")*($D$2:$D$1001&gt;D505))+COUNTIFS($F$2:F505,1,$G$2:G505,"SUV",$D$2:D505,D505)-1)</f>
        <v/>
      </c>
    </row>
    <row r="506" spans="1:17">
      <c r="A506" s="62" t="str">
        <f>IFERROR(INDEX($H$2:$H$3000,MATCH(0,INDEX(COUNTIF($A$1:A505,$H$2:$H$3000)+($H$2:$H$3000=""),0,0),0)),"")</f>
        <v/>
      </c>
      <c r="B506" s="62" t="str">
        <f t="shared" si="28"/>
        <v/>
      </c>
      <c r="C506" s="62" t="str">
        <f t="shared" si="29"/>
        <v/>
      </c>
      <c r="D506" s="63" t="str">
        <f t="shared" si="30"/>
        <v/>
      </c>
      <c r="E506" s="62" t="str">
        <f>IF(D506="","",_xlfn.RANK.EQ(D506,$D$2:$D$1001,0)+COUNTIF($D$2:D506,D506)-1)</f>
        <v/>
      </c>
      <c r="F506" s="62" t="str">
        <f>IF(B506="","",--(COUNTIF(CN_Brands!$A$2:$A$300,UPPER(B506))&gt;0))</f>
        <v/>
      </c>
      <c r="G506" s="62" t="str">
        <f t="shared" si="31"/>
        <v/>
      </c>
      <c r="H506" s="62" t="str">
        <f>IF(AND('Data Export'!A506=前十整体车型排名!$B$2,'Data Export'!B506=前十整体车型排名!$B$3,'Data Export'!D506&lt;&gt;""),UPPER('Data Export'!C506)&amp;"♦"&amp;'Data Export'!D506,"")</f>
        <v>MERCEDES♦EQS</v>
      </c>
      <c r="I506" s="63">
        <f>IF(H506="","",IFERROR(INDEX('Data Export'!G506:CZ506,1,MATCH(前十整体车型排名!$B$4,'Data Export'!$G$1:$CZ$1,0)),0))</f>
        <v>0</v>
      </c>
      <c r="J506" s="62" t="str">
        <f>IF(H506="","",IF(OR('Data Export'!F506="三厢轿车",'Data Export'!F506="掀背轿车",'Data Export'!F506="旅行车",'Data Export'!F506="微型车",'Data Export'!F506="硬顶跑车",'Data Export'!F506="敞蓬车",'Data Export'!F506="Targa"),"轿车",IF(OR('Data Export'!F506="小型MPV",'Data Export'!F506="客车"),"MPV",IF('Data Export'!F506="运动型多功能车","SUV","其他"))))</f>
        <v>其他</v>
      </c>
      <c r="K506" s="62" t="str">
        <f>IF(OR(D506="",NOT(F506=1)),"",1+SUMPRODUCT(($F$2:$F$1001=1)*($D$2:$D$1001&gt;D506))+COUNTIFS($F$2:F506,1,$D$2:D506,D506)-1)</f>
        <v/>
      </c>
      <c r="L506" s="62" t="str">
        <f>IF(OR(D506="",NOT(G506="轿车")),"",1+SUMPRODUCT(($G$2:$G$1001="轿车")*($D$2:$D$1001&gt;D506))+COUNTIFS($G$2:G506,"轿车",$D$2:D506,D506)-1)</f>
        <v/>
      </c>
      <c r="M506" s="62" t="str">
        <f>IF(OR(D506="",NOT(G506="MPV")),"",1+SUMPRODUCT(($G$2:$G$1001="MPV")*($D$2:$D$1001&gt;D506))+COUNTIFS($G$2:G506,"MPV",$D$2:D506,D506)-1)</f>
        <v/>
      </c>
      <c r="N506" s="62" t="str">
        <f>IF(OR(D506="",NOT(G506="SUV")),"",1+SUMPRODUCT(($G$2:$G$1001="SUV")*($D$2:$D$1001&gt;D506))+COUNTIFS($G$2:G506,"SUV",$D$2:D506,D506)-1)</f>
        <v/>
      </c>
      <c r="O506" s="62" t="str">
        <f>IF(OR(D506="",NOT(AND(F506=1,G506="轿车"))),"",1+SUMPRODUCT(($F$2:$F$1001=1)*($G$2:$G$1001="轿车")*($D$2:$D$1001&gt;D506))+COUNTIFS($F$2:F506,1,$G$2:G506,"轿车",$D$2:D506,D506)-1)</f>
        <v/>
      </c>
      <c r="P506" s="62" t="str">
        <f>IF(OR(D506="",NOT(AND(F506=1,G506="MPV"))),"",1+SUMPRODUCT(($F$2:$F$1001=1)*($G$2:$G$1001="MPV")*($D$2:$D$1001&gt;D506))+COUNTIFS($F$2:F506,1,$G$2:G506,"MPV",$D$2:D506,D506)-1)</f>
        <v/>
      </c>
      <c r="Q506" s="62" t="str">
        <f>IF(OR(D506="",NOT(AND(F506=1,G506="SUV"))),"",1+SUMPRODUCT(($F$2:$F$1001=1)*($G$2:$G$1001="SUV")*($D$2:$D$1001&gt;D506))+COUNTIFS($F$2:F506,1,$G$2:G506,"SUV",$D$2:D506,D506)-1)</f>
        <v/>
      </c>
    </row>
    <row r="507" spans="1:17">
      <c r="A507" s="62" t="str">
        <f>IFERROR(INDEX($H$2:$H$3000,MATCH(0,INDEX(COUNTIF($A$1:A506,$H$2:$H$3000)+($H$2:$H$3000=""),0,0),0)),"")</f>
        <v/>
      </c>
      <c r="B507" s="62" t="str">
        <f t="shared" si="28"/>
        <v/>
      </c>
      <c r="C507" s="62" t="str">
        <f t="shared" si="29"/>
        <v/>
      </c>
      <c r="D507" s="63" t="str">
        <f t="shared" si="30"/>
        <v/>
      </c>
      <c r="E507" s="62" t="str">
        <f>IF(D507="","",_xlfn.RANK.EQ(D507,$D$2:$D$1001,0)+COUNTIF($D$2:D507,D507)-1)</f>
        <v/>
      </c>
      <c r="F507" s="62" t="str">
        <f>IF(B507="","",--(COUNTIF(CN_Brands!$A$2:$A$300,UPPER(B507))&gt;0))</f>
        <v/>
      </c>
      <c r="G507" s="62" t="str">
        <f t="shared" si="31"/>
        <v/>
      </c>
      <c r="H507" s="62" t="str">
        <f>IF(AND('Data Export'!A507=前十整体车型排名!$B$2,'Data Export'!B507=前十整体车型排名!$B$3,'Data Export'!D507&lt;&gt;""),UPPER('Data Export'!C507)&amp;"♦"&amp;'Data Export'!D507,"")</f>
        <v>MERCEDES♦EQS</v>
      </c>
      <c r="I507" s="63">
        <f>IF(H507="","",IFERROR(INDEX('Data Export'!G507:CZ507,1,MATCH(前十整体车型排名!$B$4,'Data Export'!$G$1:$CZ$1,0)),0))</f>
        <v>0</v>
      </c>
      <c r="J507" s="62" t="str">
        <f>IF(H507="","",IF(OR('Data Export'!F507="三厢轿车",'Data Export'!F507="掀背轿车",'Data Export'!F507="旅行车",'Data Export'!F507="微型车",'Data Export'!F507="硬顶跑车",'Data Export'!F507="敞蓬车",'Data Export'!F507="Targa"),"轿车",IF(OR('Data Export'!F507="小型MPV",'Data Export'!F507="客车"),"MPV",IF('Data Export'!F507="运动型多功能车","SUV","其他"))))</f>
        <v>其他</v>
      </c>
      <c r="K507" s="62" t="str">
        <f>IF(OR(D507="",NOT(F507=1)),"",1+SUMPRODUCT(($F$2:$F$1001=1)*($D$2:$D$1001&gt;D507))+COUNTIFS($F$2:F507,1,$D$2:D507,D507)-1)</f>
        <v/>
      </c>
      <c r="L507" s="62" t="str">
        <f>IF(OR(D507="",NOT(G507="轿车")),"",1+SUMPRODUCT(($G$2:$G$1001="轿车")*($D$2:$D$1001&gt;D507))+COUNTIFS($G$2:G507,"轿车",$D$2:D507,D507)-1)</f>
        <v/>
      </c>
      <c r="M507" s="62" t="str">
        <f>IF(OR(D507="",NOT(G507="MPV")),"",1+SUMPRODUCT(($G$2:$G$1001="MPV")*($D$2:$D$1001&gt;D507))+COUNTIFS($G$2:G507,"MPV",$D$2:D507,D507)-1)</f>
        <v/>
      </c>
      <c r="N507" s="62" t="str">
        <f>IF(OR(D507="",NOT(G507="SUV")),"",1+SUMPRODUCT(($G$2:$G$1001="SUV")*($D$2:$D$1001&gt;D507))+COUNTIFS($G$2:G507,"SUV",$D$2:D507,D507)-1)</f>
        <v/>
      </c>
      <c r="O507" s="62" t="str">
        <f>IF(OR(D507="",NOT(AND(F507=1,G507="轿车"))),"",1+SUMPRODUCT(($F$2:$F$1001=1)*($G$2:$G$1001="轿车")*($D$2:$D$1001&gt;D507))+COUNTIFS($F$2:F507,1,$G$2:G507,"轿车",$D$2:D507,D507)-1)</f>
        <v/>
      </c>
      <c r="P507" s="62" t="str">
        <f>IF(OR(D507="",NOT(AND(F507=1,G507="MPV"))),"",1+SUMPRODUCT(($F$2:$F$1001=1)*($G$2:$G$1001="MPV")*($D$2:$D$1001&gt;D507))+COUNTIFS($F$2:F507,1,$G$2:G507,"MPV",$D$2:D507,D507)-1)</f>
        <v/>
      </c>
      <c r="Q507" s="62" t="str">
        <f>IF(OR(D507="",NOT(AND(F507=1,G507="SUV"))),"",1+SUMPRODUCT(($F$2:$F$1001=1)*($G$2:$G$1001="SUV")*($D$2:$D$1001&gt;D507))+COUNTIFS($F$2:F507,1,$G$2:G507,"SUV",$D$2:D507,D507)-1)</f>
        <v/>
      </c>
    </row>
    <row r="508" spans="1:17">
      <c r="A508" s="62" t="str">
        <f>IFERROR(INDEX($H$2:$H$3000,MATCH(0,INDEX(COUNTIF($A$1:A507,$H$2:$H$3000)+($H$2:$H$3000=""),0,0),0)),"")</f>
        <v/>
      </c>
      <c r="B508" s="62" t="str">
        <f t="shared" si="28"/>
        <v/>
      </c>
      <c r="C508" s="62" t="str">
        <f t="shared" si="29"/>
        <v/>
      </c>
      <c r="D508" s="63" t="str">
        <f t="shared" si="30"/>
        <v/>
      </c>
      <c r="E508" s="62" t="str">
        <f>IF(D508="","",_xlfn.RANK.EQ(D508,$D$2:$D$1001,0)+COUNTIF($D$2:D508,D508)-1)</f>
        <v/>
      </c>
      <c r="F508" s="62" t="str">
        <f>IF(B508="","",--(COUNTIF(CN_Brands!$A$2:$A$300,UPPER(B508))&gt;0))</f>
        <v/>
      </c>
      <c r="G508" s="62" t="str">
        <f t="shared" si="31"/>
        <v/>
      </c>
      <c r="H508" s="62" t="str">
        <f>IF(AND('Data Export'!A508=前十整体车型排名!$B$2,'Data Export'!B508=前十整体车型排名!$B$3,'Data Export'!D508&lt;&gt;""),UPPER('Data Export'!C508)&amp;"♦"&amp;'Data Export'!D508,"")</f>
        <v>MERCEDES♦G-CLASS</v>
      </c>
      <c r="I508" s="63">
        <f>IF(H508="","",IFERROR(INDEX('Data Export'!G508:CZ508,1,MATCH(前十整体车型排名!$B$4,'Data Export'!$G$1:$CZ$1,0)),0))</f>
        <v>0</v>
      </c>
      <c r="J508" s="62" t="str">
        <f>IF(H508="","",IF(OR('Data Export'!F508="三厢轿车",'Data Export'!F508="掀背轿车",'Data Export'!F508="旅行车",'Data Export'!F508="微型车",'Data Export'!F508="硬顶跑车",'Data Export'!F508="敞蓬车",'Data Export'!F508="Targa"),"轿车",IF(OR('Data Export'!F508="小型MPV",'Data Export'!F508="客车"),"MPV",IF('Data Export'!F508="运动型多功能车","SUV","其他"))))</f>
        <v>SUV</v>
      </c>
      <c r="K508" s="62" t="str">
        <f>IF(OR(D508="",NOT(F508=1)),"",1+SUMPRODUCT(($F$2:$F$1001=1)*($D$2:$D$1001&gt;D508))+COUNTIFS($F$2:F508,1,$D$2:D508,D508)-1)</f>
        <v/>
      </c>
      <c r="L508" s="62" t="str">
        <f>IF(OR(D508="",NOT(G508="轿车")),"",1+SUMPRODUCT(($G$2:$G$1001="轿车")*($D$2:$D$1001&gt;D508))+COUNTIFS($G$2:G508,"轿车",$D$2:D508,D508)-1)</f>
        <v/>
      </c>
      <c r="M508" s="62" t="str">
        <f>IF(OR(D508="",NOT(G508="MPV")),"",1+SUMPRODUCT(($G$2:$G$1001="MPV")*($D$2:$D$1001&gt;D508))+COUNTIFS($G$2:G508,"MPV",$D$2:D508,D508)-1)</f>
        <v/>
      </c>
      <c r="N508" s="62" t="str">
        <f>IF(OR(D508="",NOT(G508="SUV")),"",1+SUMPRODUCT(($G$2:$G$1001="SUV")*($D$2:$D$1001&gt;D508))+COUNTIFS($G$2:G508,"SUV",$D$2:D508,D508)-1)</f>
        <v/>
      </c>
      <c r="O508" s="62" t="str">
        <f>IF(OR(D508="",NOT(AND(F508=1,G508="轿车"))),"",1+SUMPRODUCT(($F$2:$F$1001=1)*($G$2:$G$1001="轿车")*($D$2:$D$1001&gt;D508))+COUNTIFS($F$2:F508,1,$G$2:G508,"轿车",$D$2:D508,D508)-1)</f>
        <v/>
      </c>
      <c r="P508" s="62" t="str">
        <f>IF(OR(D508="",NOT(AND(F508=1,G508="MPV"))),"",1+SUMPRODUCT(($F$2:$F$1001=1)*($G$2:$G$1001="MPV")*($D$2:$D$1001&gt;D508))+COUNTIFS($F$2:F508,1,$G$2:G508,"MPV",$D$2:D508,D508)-1)</f>
        <v/>
      </c>
      <c r="Q508" s="62" t="str">
        <f>IF(OR(D508="",NOT(AND(F508=1,G508="SUV"))),"",1+SUMPRODUCT(($F$2:$F$1001=1)*($G$2:$G$1001="SUV")*($D$2:$D$1001&gt;D508))+COUNTIFS($F$2:F508,1,$G$2:G508,"SUV",$D$2:D508,D508)-1)</f>
        <v/>
      </c>
    </row>
    <row r="509" spans="1:17">
      <c r="A509" s="62" t="str">
        <f>IFERROR(INDEX($H$2:$H$3000,MATCH(0,INDEX(COUNTIF($A$1:A508,$H$2:$H$3000)+($H$2:$H$3000=""),0,0),0)),"")</f>
        <v/>
      </c>
      <c r="B509" s="62" t="str">
        <f t="shared" si="28"/>
        <v/>
      </c>
      <c r="C509" s="62" t="str">
        <f t="shared" si="29"/>
        <v/>
      </c>
      <c r="D509" s="63" t="str">
        <f t="shared" si="30"/>
        <v/>
      </c>
      <c r="E509" s="62" t="str">
        <f>IF(D509="","",_xlfn.RANK.EQ(D509,$D$2:$D$1001,0)+COUNTIF($D$2:D509,D509)-1)</f>
        <v/>
      </c>
      <c r="F509" s="62" t="str">
        <f>IF(B509="","",--(COUNTIF(CN_Brands!$A$2:$A$300,UPPER(B509))&gt;0))</f>
        <v/>
      </c>
      <c r="G509" s="62" t="str">
        <f t="shared" si="31"/>
        <v/>
      </c>
      <c r="H509" s="62" t="str">
        <f>IF(AND('Data Export'!A509=前十整体车型排名!$B$2,'Data Export'!B509=前十整体车型排名!$B$3,'Data Export'!D509&lt;&gt;""),UPPER('Data Export'!C509)&amp;"♦"&amp;'Data Export'!D509,"")</f>
        <v>MERCEDES♦G-CLASS</v>
      </c>
      <c r="I509" s="63">
        <f>IF(H509="","",IFERROR(INDEX('Data Export'!G509:CZ509,1,MATCH(前十整体车型排名!$B$4,'Data Export'!$G$1:$CZ$1,0)),0))</f>
        <v>0</v>
      </c>
      <c r="J509" s="62" t="str">
        <f>IF(H509="","",IF(OR('Data Export'!F509="三厢轿车",'Data Export'!F509="掀背轿车",'Data Export'!F509="旅行车",'Data Export'!F509="微型车",'Data Export'!F509="硬顶跑车",'Data Export'!F509="敞蓬车",'Data Export'!F509="Targa"),"轿车",IF(OR('Data Export'!F509="小型MPV",'Data Export'!F509="客车"),"MPV",IF('Data Export'!F509="运动型多功能车","SUV","其他"))))</f>
        <v>SUV</v>
      </c>
      <c r="K509" s="62" t="str">
        <f>IF(OR(D509="",NOT(F509=1)),"",1+SUMPRODUCT(($F$2:$F$1001=1)*($D$2:$D$1001&gt;D509))+COUNTIFS($F$2:F509,1,$D$2:D509,D509)-1)</f>
        <v/>
      </c>
      <c r="L509" s="62" t="str">
        <f>IF(OR(D509="",NOT(G509="轿车")),"",1+SUMPRODUCT(($G$2:$G$1001="轿车")*($D$2:$D$1001&gt;D509))+COUNTIFS($G$2:G509,"轿车",$D$2:D509,D509)-1)</f>
        <v/>
      </c>
      <c r="M509" s="62" t="str">
        <f>IF(OR(D509="",NOT(G509="MPV")),"",1+SUMPRODUCT(($G$2:$G$1001="MPV")*($D$2:$D$1001&gt;D509))+COUNTIFS($G$2:G509,"MPV",$D$2:D509,D509)-1)</f>
        <v/>
      </c>
      <c r="N509" s="62" t="str">
        <f>IF(OR(D509="",NOT(G509="SUV")),"",1+SUMPRODUCT(($G$2:$G$1001="SUV")*($D$2:$D$1001&gt;D509))+COUNTIFS($G$2:G509,"SUV",$D$2:D509,D509)-1)</f>
        <v/>
      </c>
      <c r="O509" s="62" t="str">
        <f>IF(OR(D509="",NOT(AND(F509=1,G509="轿车"))),"",1+SUMPRODUCT(($F$2:$F$1001=1)*($G$2:$G$1001="轿车")*($D$2:$D$1001&gt;D509))+COUNTIFS($F$2:F509,1,$G$2:G509,"轿车",$D$2:D509,D509)-1)</f>
        <v/>
      </c>
      <c r="P509" s="62" t="str">
        <f>IF(OR(D509="",NOT(AND(F509=1,G509="MPV"))),"",1+SUMPRODUCT(($F$2:$F$1001=1)*($G$2:$G$1001="MPV")*($D$2:$D$1001&gt;D509))+COUNTIFS($F$2:F509,1,$G$2:G509,"MPV",$D$2:D509,D509)-1)</f>
        <v/>
      </c>
      <c r="Q509" s="62" t="str">
        <f>IF(OR(D509="",NOT(AND(F509=1,G509="SUV"))),"",1+SUMPRODUCT(($F$2:$F$1001=1)*($G$2:$G$1001="SUV")*($D$2:$D$1001&gt;D509))+COUNTIFS($F$2:F509,1,$G$2:G509,"SUV",$D$2:D509,D509)-1)</f>
        <v/>
      </c>
    </row>
    <row r="510" spans="1:17">
      <c r="A510" s="62" t="str">
        <f>IFERROR(INDEX($H$2:$H$3000,MATCH(0,INDEX(COUNTIF($A$1:A509,$H$2:$H$3000)+($H$2:$H$3000=""),0,0),0)),"")</f>
        <v/>
      </c>
      <c r="B510" s="62" t="str">
        <f t="shared" si="28"/>
        <v/>
      </c>
      <c r="C510" s="62" t="str">
        <f t="shared" si="29"/>
        <v/>
      </c>
      <c r="D510" s="63" t="str">
        <f t="shared" si="30"/>
        <v/>
      </c>
      <c r="E510" s="62" t="str">
        <f>IF(D510="","",_xlfn.RANK.EQ(D510,$D$2:$D$1001,0)+COUNTIF($D$2:D510,D510)-1)</f>
        <v/>
      </c>
      <c r="F510" s="62" t="str">
        <f>IF(B510="","",--(COUNTIF(CN_Brands!$A$2:$A$300,UPPER(B510))&gt;0))</f>
        <v/>
      </c>
      <c r="G510" s="62" t="str">
        <f t="shared" si="31"/>
        <v/>
      </c>
      <c r="H510" s="62" t="str">
        <f>IF(AND('Data Export'!A510=前十整体车型排名!$B$2,'Data Export'!B510=前十整体车型排名!$B$3,'Data Export'!D510&lt;&gt;""),UPPER('Data Export'!C510)&amp;"♦"&amp;'Data Export'!D510,"")</f>
        <v>MERCEDES♦G-CLASS</v>
      </c>
      <c r="I510" s="63">
        <f>IF(H510="","",IFERROR(INDEX('Data Export'!G510:CZ510,1,MATCH(前十整体车型排名!$B$4,'Data Export'!$G$1:$CZ$1,0)),0))</f>
        <v>0</v>
      </c>
      <c r="J510" s="62" t="str">
        <f>IF(H510="","",IF(OR('Data Export'!F510="三厢轿车",'Data Export'!F510="掀背轿车",'Data Export'!F510="旅行车",'Data Export'!F510="微型车",'Data Export'!F510="硬顶跑车",'Data Export'!F510="敞蓬车",'Data Export'!F510="Targa"),"轿车",IF(OR('Data Export'!F510="小型MPV",'Data Export'!F510="客车"),"MPV",IF('Data Export'!F510="运动型多功能车","SUV","其他"))))</f>
        <v>SUV</v>
      </c>
      <c r="K510" s="62" t="str">
        <f>IF(OR(D510="",NOT(F510=1)),"",1+SUMPRODUCT(($F$2:$F$1001=1)*($D$2:$D$1001&gt;D510))+COUNTIFS($F$2:F510,1,$D$2:D510,D510)-1)</f>
        <v/>
      </c>
      <c r="L510" s="62" t="str">
        <f>IF(OR(D510="",NOT(G510="轿车")),"",1+SUMPRODUCT(($G$2:$G$1001="轿车")*($D$2:$D$1001&gt;D510))+COUNTIFS($G$2:G510,"轿车",$D$2:D510,D510)-1)</f>
        <v/>
      </c>
      <c r="M510" s="62" t="str">
        <f>IF(OR(D510="",NOT(G510="MPV")),"",1+SUMPRODUCT(($G$2:$G$1001="MPV")*($D$2:$D$1001&gt;D510))+COUNTIFS($G$2:G510,"MPV",$D$2:D510,D510)-1)</f>
        <v/>
      </c>
      <c r="N510" s="62" t="str">
        <f>IF(OR(D510="",NOT(G510="SUV")),"",1+SUMPRODUCT(($G$2:$G$1001="SUV")*($D$2:$D$1001&gt;D510))+COUNTIFS($G$2:G510,"SUV",$D$2:D510,D510)-1)</f>
        <v/>
      </c>
      <c r="O510" s="62" t="str">
        <f>IF(OR(D510="",NOT(AND(F510=1,G510="轿车"))),"",1+SUMPRODUCT(($F$2:$F$1001=1)*($G$2:$G$1001="轿车")*($D$2:$D$1001&gt;D510))+COUNTIFS($F$2:F510,1,$G$2:G510,"轿车",$D$2:D510,D510)-1)</f>
        <v/>
      </c>
      <c r="P510" s="62" t="str">
        <f>IF(OR(D510="",NOT(AND(F510=1,G510="MPV"))),"",1+SUMPRODUCT(($F$2:$F$1001=1)*($G$2:$G$1001="MPV")*($D$2:$D$1001&gt;D510))+COUNTIFS($F$2:F510,1,$G$2:G510,"MPV",$D$2:D510,D510)-1)</f>
        <v/>
      </c>
      <c r="Q510" s="62" t="str">
        <f>IF(OR(D510="",NOT(AND(F510=1,G510="SUV"))),"",1+SUMPRODUCT(($F$2:$F$1001=1)*($G$2:$G$1001="SUV")*($D$2:$D$1001&gt;D510))+COUNTIFS($F$2:F510,1,$G$2:G510,"SUV",$D$2:D510,D510)-1)</f>
        <v/>
      </c>
    </row>
    <row r="511" spans="1:17">
      <c r="A511" s="62" t="str">
        <f>IFERROR(INDEX($H$2:$H$3000,MATCH(0,INDEX(COUNTIF($A$1:A510,$H$2:$H$3000)+($H$2:$H$3000=""),0,0),0)),"")</f>
        <v/>
      </c>
      <c r="B511" s="62" t="str">
        <f t="shared" si="28"/>
        <v/>
      </c>
      <c r="C511" s="62" t="str">
        <f t="shared" si="29"/>
        <v/>
      </c>
      <c r="D511" s="63" t="str">
        <f t="shared" si="30"/>
        <v/>
      </c>
      <c r="E511" s="62" t="str">
        <f>IF(D511="","",_xlfn.RANK.EQ(D511,$D$2:$D$1001,0)+COUNTIF($D$2:D511,D511)-1)</f>
        <v/>
      </c>
      <c r="F511" s="62" t="str">
        <f>IF(B511="","",--(COUNTIF(CN_Brands!$A$2:$A$300,UPPER(B511))&gt;0))</f>
        <v/>
      </c>
      <c r="G511" s="62" t="str">
        <f t="shared" si="31"/>
        <v/>
      </c>
      <c r="H511" s="62" t="str">
        <f>IF(AND('Data Export'!A511=前十整体车型排名!$B$2,'Data Export'!B511=前十整体车型排名!$B$3,'Data Export'!D511&lt;&gt;""),UPPER('Data Export'!C511)&amp;"♦"&amp;'Data Export'!D511,"")</f>
        <v>MERCEDES♦G-CLASS</v>
      </c>
      <c r="I511" s="63">
        <f>IF(H511="","",IFERROR(INDEX('Data Export'!G511:CZ511,1,MATCH(前十整体车型排名!$B$4,'Data Export'!$G$1:$CZ$1,0)),0))</f>
        <v>0</v>
      </c>
      <c r="J511" s="62" t="str">
        <f>IF(H511="","",IF(OR('Data Export'!F511="三厢轿车",'Data Export'!F511="掀背轿车",'Data Export'!F511="旅行车",'Data Export'!F511="微型车",'Data Export'!F511="硬顶跑车",'Data Export'!F511="敞蓬车",'Data Export'!F511="Targa"),"轿车",IF(OR('Data Export'!F511="小型MPV",'Data Export'!F511="客车"),"MPV",IF('Data Export'!F511="运动型多功能车","SUV","其他"))))</f>
        <v>SUV</v>
      </c>
      <c r="K511" s="62" t="str">
        <f>IF(OR(D511="",NOT(F511=1)),"",1+SUMPRODUCT(($F$2:$F$1001=1)*($D$2:$D$1001&gt;D511))+COUNTIFS($F$2:F511,1,$D$2:D511,D511)-1)</f>
        <v/>
      </c>
      <c r="L511" s="62" t="str">
        <f>IF(OR(D511="",NOT(G511="轿车")),"",1+SUMPRODUCT(($G$2:$G$1001="轿车")*($D$2:$D$1001&gt;D511))+COUNTIFS($G$2:G511,"轿车",$D$2:D511,D511)-1)</f>
        <v/>
      </c>
      <c r="M511" s="62" t="str">
        <f>IF(OR(D511="",NOT(G511="MPV")),"",1+SUMPRODUCT(($G$2:$G$1001="MPV")*($D$2:$D$1001&gt;D511))+COUNTIFS($G$2:G511,"MPV",$D$2:D511,D511)-1)</f>
        <v/>
      </c>
      <c r="N511" s="62" t="str">
        <f>IF(OR(D511="",NOT(G511="SUV")),"",1+SUMPRODUCT(($G$2:$G$1001="SUV")*($D$2:$D$1001&gt;D511))+COUNTIFS($G$2:G511,"SUV",$D$2:D511,D511)-1)</f>
        <v/>
      </c>
      <c r="O511" s="62" t="str">
        <f>IF(OR(D511="",NOT(AND(F511=1,G511="轿车"))),"",1+SUMPRODUCT(($F$2:$F$1001=1)*($G$2:$G$1001="轿车")*($D$2:$D$1001&gt;D511))+COUNTIFS($F$2:F511,1,$G$2:G511,"轿车",$D$2:D511,D511)-1)</f>
        <v/>
      </c>
      <c r="P511" s="62" t="str">
        <f>IF(OR(D511="",NOT(AND(F511=1,G511="MPV"))),"",1+SUMPRODUCT(($F$2:$F$1001=1)*($G$2:$G$1001="MPV")*($D$2:$D$1001&gt;D511))+COUNTIFS($F$2:F511,1,$G$2:G511,"MPV",$D$2:D511,D511)-1)</f>
        <v/>
      </c>
      <c r="Q511" s="62" t="str">
        <f>IF(OR(D511="",NOT(AND(F511=1,G511="SUV"))),"",1+SUMPRODUCT(($F$2:$F$1001=1)*($G$2:$G$1001="SUV")*($D$2:$D$1001&gt;D511))+COUNTIFS($F$2:F511,1,$G$2:G511,"SUV",$D$2:D511,D511)-1)</f>
        <v/>
      </c>
    </row>
    <row r="512" spans="1:17">
      <c r="A512" s="62" t="str">
        <f>IFERROR(INDEX($H$2:$H$3000,MATCH(0,INDEX(COUNTIF($A$1:A511,$H$2:$H$3000)+($H$2:$H$3000=""),0,0),0)),"")</f>
        <v/>
      </c>
      <c r="B512" s="62" t="str">
        <f t="shared" si="28"/>
        <v/>
      </c>
      <c r="C512" s="62" t="str">
        <f t="shared" si="29"/>
        <v/>
      </c>
      <c r="D512" s="63" t="str">
        <f t="shared" si="30"/>
        <v/>
      </c>
      <c r="E512" s="62" t="str">
        <f>IF(D512="","",_xlfn.RANK.EQ(D512,$D$2:$D$1001,0)+COUNTIF($D$2:D512,D512)-1)</f>
        <v/>
      </c>
      <c r="F512" s="62" t="str">
        <f>IF(B512="","",--(COUNTIF(CN_Brands!$A$2:$A$300,UPPER(B512))&gt;0))</f>
        <v/>
      </c>
      <c r="G512" s="62" t="str">
        <f t="shared" si="31"/>
        <v/>
      </c>
      <c r="H512" s="62" t="str">
        <f>IF(AND('Data Export'!A512=前十整体车型排名!$B$2,'Data Export'!B512=前十整体车型排名!$B$3,'Data Export'!D512&lt;&gt;""),UPPER('Data Export'!C512)&amp;"♦"&amp;'Data Export'!D512,"")</f>
        <v>MERCEDES♦G-CLASS</v>
      </c>
      <c r="I512" s="63">
        <f>IF(H512="","",IFERROR(INDEX('Data Export'!G512:CZ512,1,MATCH(前十整体车型排名!$B$4,'Data Export'!$G$1:$CZ$1,0)),0))</f>
        <v>3</v>
      </c>
      <c r="J512" s="62" t="str">
        <f>IF(H512="","",IF(OR('Data Export'!F512="三厢轿车",'Data Export'!F512="掀背轿车",'Data Export'!F512="旅行车",'Data Export'!F512="微型车",'Data Export'!F512="硬顶跑车",'Data Export'!F512="敞蓬车",'Data Export'!F512="Targa"),"轿车",IF(OR('Data Export'!F512="小型MPV",'Data Export'!F512="客车"),"MPV",IF('Data Export'!F512="运动型多功能车","SUV","其他"))))</f>
        <v>SUV</v>
      </c>
      <c r="K512" s="62" t="str">
        <f>IF(OR(D512="",NOT(F512=1)),"",1+SUMPRODUCT(($F$2:$F$1001=1)*($D$2:$D$1001&gt;D512))+COUNTIFS($F$2:F512,1,$D$2:D512,D512)-1)</f>
        <v/>
      </c>
      <c r="L512" s="62" t="str">
        <f>IF(OR(D512="",NOT(G512="轿车")),"",1+SUMPRODUCT(($G$2:$G$1001="轿车")*($D$2:$D$1001&gt;D512))+COUNTIFS($G$2:G512,"轿车",$D$2:D512,D512)-1)</f>
        <v/>
      </c>
      <c r="M512" s="62" t="str">
        <f>IF(OR(D512="",NOT(G512="MPV")),"",1+SUMPRODUCT(($G$2:$G$1001="MPV")*($D$2:$D$1001&gt;D512))+COUNTIFS($G$2:G512,"MPV",$D$2:D512,D512)-1)</f>
        <v/>
      </c>
      <c r="N512" s="62" t="str">
        <f>IF(OR(D512="",NOT(G512="SUV")),"",1+SUMPRODUCT(($G$2:$G$1001="SUV")*($D$2:$D$1001&gt;D512))+COUNTIFS($G$2:G512,"SUV",$D$2:D512,D512)-1)</f>
        <v/>
      </c>
      <c r="O512" s="62" t="str">
        <f>IF(OR(D512="",NOT(AND(F512=1,G512="轿车"))),"",1+SUMPRODUCT(($F$2:$F$1001=1)*($G$2:$G$1001="轿车")*($D$2:$D$1001&gt;D512))+COUNTIFS($F$2:F512,1,$G$2:G512,"轿车",$D$2:D512,D512)-1)</f>
        <v/>
      </c>
      <c r="P512" s="62" t="str">
        <f>IF(OR(D512="",NOT(AND(F512=1,G512="MPV"))),"",1+SUMPRODUCT(($F$2:$F$1001=1)*($G$2:$G$1001="MPV")*($D$2:$D$1001&gt;D512))+COUNTIFS($F$2:F512,1,$G$2:G512,"MPV",$D$2:D512,D512)-1)</f>
        <v/>
      </c>
      <c r="Q512" s="62" t="str">
        <f>IF(OR(D512="",NOT(AND(F512=1,G512="SUV"))),"",1+SUMPRODUCT(($F$2:$F$1001=1)*($G$2:$G$1001="SUV")*($D$2:$D$1001&gt;D512))+COUNTIFS($F$2:F512,1,$G$2:G512,"SUV",$D$2:D512,D512)-1)</f>
        <v/>
      </c>
    </row>
    <row r="513" spans="1:17">
      <c r="A513" s="62" t="str">
        <f>IFERROR(INDEX($H$2:$H$3000,MATCH(0,INDEX(COUNTIF($A$1:A512,$H$2:$H$3000)+($H$2:$H$3000=""),0,0),0)),"")</f>
        <v/>
      </c>
      <c r="B513" s="62" t="str">
        <f t="shared" si="28"/>
        <v/>
      </c>
      <c r="C513" s="62" t="str">
        <f t="shared" si="29"/>
        <v/>
      </c>
      <c r="D513" s="63" t="str">
        <f t="shared" si="30"/>
        <v/>
      </c>
      <c r="E513" s="62" t="str">
        <f>IF(D513="","",_xlfn.RANK.EQ(D513,$D$2:$D$1001,0)+COUNTIF($D$2:D513,D513)-1)</f>
        <v/>
      </c>
      <c r="F513" s="62" t="str">
        <f>IF(B513="","",--(COUNTIF(CN_Brands!$A$2:$A$300,UPPER(B513))&gt;0))</f>
        <v/>
      </c>
      <c r="G513" s="62" t="str">
        <f t="shared" si="31"/>
        <v/>
      </c>
      <c r="H513" s="62" t="str">
        <f>IF(AND('Data Export'!A513=前十整体车型排名!$B$2,'Data Export'!B513=前十整体车型排名!$B$3,'Data Export'!D513&lt;&gt;""),UPPER('Data Export'!C513)&amp;"♦"&amp;'Data Export'!D513,"")</f>
        <v>MERCEDES♦G-CLASS</v>
      </c>
      <c r="I513" s="63">
        <f>IF(H513="","",IFERROR(INDEX('Data Export'!G513:CZ513,1,MATCH(前十整体车型排名!$B$4,'Data Export'!$G$1:$CZ$1,0)),0))</f>
        <v>0</v>
      </c>
      <c r="J513" s="62" t="str">
        <f>IF(H513="","",IF(OR('Data Export'!F513="三厢轿车",'Data Export'!F513="掀背轿车",'Data Export'!F513="旅行车",'Data Export'!F513="微型车",'Data Export'!F513="硬顶跑车",'Data Export'!F513="敞蓬车",'Data Export'!F513="Targa"),"轿车",IF(OR('Data Export'!F513="小型MPV",'Data Export'!F513="客车"),"MPV",IF('Data Export'!F513="运动型多功能车","SUV","其他"))))</f>
        <v>SUV</v>
      </c>
      <c r="K513" s="62" t="str">
        <f>IF(OR(D513="",NOT(F513=1)),"",1+SUMPRODUCT(($F$2:$F$1001=1)*($D$2:$D$1001&gt;D513))+COUNTIFS($F$2:F513,1,$D$2:D513,D513)-1)</f>
        <v/>
      </c>
      <c r="L513" s="62" t="str">
        <f>IF(OR(D513="",NOT(G513="轿车")),"",1+SUMPRODUCT(($G$2:$G$1001="轿车")*($D$2:$D$1001&gt;D513))+COUNTIFS($G$2:G513,"轿车",$D$2:D513,D513)-1)</f>
        <v/>
      </c>
      <c r="M513" s="62" t="str">
        <f>IF(OR(D513="",NOT(G513="MPV")),"",1+SUMPRODUCT(($G$2:$G$1001="MPV")*($D$2:$D$1001&gt;D513))+COUNTIFS($G$2:G513,"MPV",$D$2:D513,D513)-1)</f>
        <v/>
      </c>
      <c r="N513" s="62" t="str">
        <f>IF(OR(D513="",NOT(G513="SUV")),"",1+SUMPRODUCT(($G$2:$G$1001="SUV")*($D$2:$D$1001&gt;D513))+COUNTIFS($G$2:G513,"SUV",$D$2:D513,D513)-1)</f>
        <v/>
      </c>
      <c r="O513" s="62" t="str">
        <f>IF(OR(D513="",NOT(AND(F513=1,G513="轿车"))),"",1+SUMPRODUCT(($F$2:$F$1001=1)*($G$2:$G$1001="轿车")*($D$2:$D$1001&gt;D513))+COUNTIFS($F$2:F513,1,$G$2:G513,"轿车",$D$2:D513,D513)-1)</f>
        <v/>
      </c>
      <c r="P513" s="62" t="str">
        <f>IF(OR(D513="",NOT(AND(F513=1,G513="MPV"))),"",1+SUMPRODUCT(($F$2:$F$1001=1)*($G$2:$G$1001="MPV")*($D$2:$D$1001&gt;D513))+COUNTIFS($F$2:F513,1,$G$2:G513,"MPV",$D$2:D513,D513)-1)</f>
        <v/>
      </c>
      <c r="Q513" s="62" t="str">
        <f>IF(OR(D513="",NOT(AND(F513=1,G513="SUV"))),"",1+SUMPRODUCT(($F$2:$F$1001=1)*($G$2:$G$1001="SUV")*($D$2:$D$1001&gt;D513))+COUNTIFS($F$2:F513,1,$G$2:G513,"SUV",$D$2:D513,D513)-1)</f>
        <v/>
      </c>
    </row>
    <row r="514" spans="1:17">
      <c r="A514" s="62" t="str">
        <f>IFERROR(INDEX($H$2:$H$3000,MATCH(0,INDEX(COUNTIF($A$1:A513,$H$2:$H$3000)+($H$2:$H$3000=""),0,0),0)),"")</f>
        <v/>
      </c>
      <c r="B514" s="62" t="str">
        <f t="shared" ref="B514:B577" si="32">IF(A514="","",LEFT(A514,FIND("♦",A514)-1))</f>
        <v/>
      </c>
      <c r="C514" s="62" t="str">
        <f t="shared" ref="C514:C577" si="33">IF(A514="","",MID(A514,FIND("♦",A514)+1,999))</f>
        <v/>
      </c>
      <c r="D514" s="63" t="str">
        <f t="shared" ref="D514:D577" si="34">IF(A514="","",SUMIF($H$2:$H$3000,A514,$I$2:$I$3000))</f>
        <v/>
      </c>
      <c r="E514" s="62" t="str">
        <f>IF(D514="","",_xlfn.RANK.EQ(D514,$D$2:$D$1001,0)+COUNTIF($D$2:D514,D514)-1)</f>
        <v/>
      </c>
      <c r="F514" s="62" t="str">
        <f>IF(B514="","",--(COUNTIF(CN_Brands!$A$2:$A$300,UPPER(B514))&gt;0))</f>
        <v/>
      </c>
      <c r="G514" s="62" t="str">
        <f t="shared" ref="G514:G577" si="35">IF(A514="","",IFERROR(INDEX($J$2:$J$3000,MATCH(A514,$H$2:$H$3000,0)),"其他"))</f>
        <v/>
      </c>
      <c r="H514" s="62" t="str">
        <f>IF(AND('Data Export'!A514=前十整体车型排名!$B$2,'Data Export'!B514=前十整体车型排名!$B$3,'Data Export'!D514&lt;&gt;""),UPPER('Data Export'!C514)&amp;"♦"&amp;'Data Export'!D514,"")</f>
        <v>MERCEDES♦G-CLASS</v>
      </c>
      <c r="I514" s="63">
        <f>IF(H514="","",IFERROR(INDEX('Data Export'!G514:CZ514,1,MATCH(前十整体车型排名!$B$4,'Data Export'!$G$1:$CZ$1,0)),0))</f>
        <v>6</v>
      </c>
      <c r="J514" s="62" t="str">
        <f>IF(H514="","",IF(OR('Data Export'!F514="三厢轿车",'Data Export'!F514="掀背轿车",'Data Export'!F514="旅行车",'Data Export'!F514="微型车",'Data Export'!F514="硬顶跑车",'Data Export'!F514="敞蓬车",'Data Export'!F514="Targa"),"轿车",IF(OR('Data Export'!F514="小型MPV",'Data Export'!F514="客车"),"MPV",IF('Data Export'!F514="运动型多功能车","SUV","其他"))))</f>
        <v>SUV</v>
      </c>
      <c r="K514" s="62" t="str">
        <f>IF(OR(D514="",NOT(F514=1)),"",1+SUMPRODUCT(($F$2:$F$1001=1)*($D$2:$D$1001&gt;D514))+COUNTIFS($F$2:F514,1,$D$2:D514,D514)-1)</f>
        <v/>
      </c>
      <c r="L514" s="62" t="str">
        <f>IF(OR(D514="",NOT(G514="轿车")),"",1+SUMPRODUCT(($G$2:$G$1001="轿车")*($D$2:$D$1001&gt;D514))+COUNTIFS($G$2:G514,"轿车",$D$2:D514,D514)-1)</f>
        <v/>
      </c>
      <c r="M514" s="62" t="str">
        <f>IF(OR(D514="",NOT(G514="MPV")),"",1+SUMPRODUCT(($G$2:$G$1001="MPV")*($D$2:$D$1001&gt;D514))+COUNTIFS($G$2:G514,"MPV",$D$2:D514,D514)-1)</f>
        <v/>
      </c>
      <c r="N514" s="62" t="str">
        <f>IF(OR(D514="",NOT(G514="SUV")),"",1+SUMPRODUCT(($G$2:$G$1001="SUV")*($D$2:$D$1001&gt;D514))+COUNTIFS($G$2:G514,"SUV",$D$2:D514,D514)-1)</f>
        <v/>
      </c>
      <c r="O514" s="62" t="str">
        <f>IF(OR(D514="",NOT(AND(F514=1,G514="轿车"))),"",1+SUMPRODUCT(($F$2:$F$1001=1)*($G$2:$G$1001="轿车")*($D$2:$D$1001&gt;D514))+COUNTIFS($F$2:F514,1,$G$2:G514,"轿车",$D$2:D514,D514)-1)</f>
        <v/>
      </c>
      <c r="P514" s="62" t="str">
        <f>IF(OR(D514="",NOT(AND(F514=1,G514="MPV"))),"",1+SUMPRODUCT(($F$2:$F$1001=1)*($G$2:$G$1001="MPV")*($D$2:$D$1001&gt;D514))+COUNTIFS($F$2:F514,1,$G$2:G514,"MPV",$D$2:D514,D514)-1)</f>
        <v/>
      </c>
      <c r="Q514" s="62" t="str">
        <f>IF(OR(D514="",NOT(AND(F514=1,G514="SUV"))),"",1+SUMPRODUCT(($F$2:$F$1001=1)*($G$2:$G$1001="SUV")*($D$2:$D$1001&gt;D514))+COUNTIFS($F$2:F514,1,$G$2:G514,"SUV",$D$2:D514,D514)-1)</f>
        <v/>
      </c>
    </row>
    <row r="515" spans="1:17">
      <c r="A515" s="62" t="str">
        <f>IFERROR(INDEX($H$2:$H$3000,MATCH(0,INDEX(COUNTIF($A$1:A514,$H$2:$H$3000)+($H$2:$H$3000=""),0,0),0)),"")</f>
        <v/>
      </c>
      <c r="B515" s="62" t="str">
        <f t="shared" si="32"/>
        <v/>
      </c>
      <c r="C515" s="62" t="str">
        <f t="shared" si="33"/>
        <v/>
      </c>
      <c r="D515" s="63" t="str">
        <f t="shared" si="34"/>
        <v/>
      </c>
      <c r="E515" s="62" t="str">
        <f>IF(D515="","",_xlfn.RANK.EQ(D515,$D$2:$D$1001,0)+COUNTIF($D$2:D515,D515)-1)</f>
        <v/>
      </c>
      <c r="F515" s="62" t="str">
        <f>IF(B515="","",--(COUNTIF(CN_Brands!$A$2:$A$300,UPPER(B515))&gt;0))</f>
        <v/>
      </c>
      <c r="G515" s="62" t="str">
        <f t="shared" si="35"/>
        <v/>
      </c>
      <c r="H515" s="62" t="str">
        <f>IF(AND('Data Export'!A515=前十整体车型排名!$B$2,'Data Export'!B515=前十整体车型排名!$B$3,'Data Export'!D515&lt;&gt;""),UPPER('Data Export'!C515)&amp;"♦"&amp;'Data Export'!D515,"")</f>
        <v>MERCEDES♦G-CLASS</v>
      </c>
      <c r="I515" s="63">
        <f>IF(H515="","",IFERROR(INDEX('Data Export'!G515:CZ515,1,MATCH(前十整体车型排名!$B$4,'Data Export'!$G$1:$CZ$1,0)),0))</f>
        <v>0</v>
      </c>
      <c r="J515" s="62" t="str">
        <f>IF(H515="","",IF(OR('Data Export'!F515="三厢轿车",'Data Export'!F515="掀背轿车",'Data Export'!F515="旅行车",'Data Export'!F515="微型车",'Data Export'!F515="硬顶跑车",'Data Export'!F515="敞蓬车",'Data Export'!F515="Targa"),"轿车",IF(OR('Data Export'!F515="小型MPV",'Data Export'!F515="客车"),"MPV",IF('Data Export'!F515="运动型多功能车","SUV","其他"))))</f>
        <v>SUV</v>
      </c>
      <c r="K515" s="62" t="str">
        <f>IF(OR(D515="",NOT(F515=1)),"",1+SUMPRODUCT(($F$2:$F$1001=1)*($D$2:$D$1001&gt;D515))+COUNTIFS($F$2:F515,1,$D$2:D515,D515)-1)</f>
        <v/>
      </c>
      <c r="L515" s="62" t="str">
        <f>IF(OR(D515="",NOT(G515="轿车")),"",1+SUMPRODUCT(($G$2:$G$1001="轿车")*($D$2:$D$1001&gt;D515))+COUNTIFS($G$2:G515,"轿车",$D$2:D515,D515)-1)</f>
        <v/>
      </c>
      <c r="M515" s="62" t="str">
        <f>IF(OR(D515="",NOT(G515="MPV")),"",1+SUMPRODUCT(($G$2:$G$1001="MPV")*($D$2:$D$1001&gt;D515))+COUNTIFS($G$2:G515,"MPV",$D$2:D515,D515)-1)</f>
        <v/>
      </c>
      <c r="N515" s="62" t="str">
        <f>IF(OR(D515="",NOT(G515="SUV")),"",1+SUMPRODUCT(($G$2:$G$1001="SUV")*($D$2:$D$1001&gt;D515))+COUNTIFS($G$2:G515,"SUV",$D$2:D515,D515)-1)</f>
        <v/>
      </c>
      <c r="O515" s="62" t="str">
        <f>IF(OR(D515="",NOT(AND(F515=1,G515="轿车"))),"",1+SUMPRODUCT(($F$2:$F$1001=1)*($G$2:$G$1001="轿车")*($D$2:$D$1001&gt;D515))+COUNTIFS($F$2:F515,1,$G$2:G515,"轿车",$D$2:D515,D515)-1)</f>
        <v/>
      </c>
      <c r="P515" s="62" t="str">
        <f>IF(OR(D515="",NOT(AND(F515=1,G515="MPV"))),"",1+SUMPRODUCT(($F$2:$F$1001=1)*($G$2:$G$1001="MPV")*($D$2:$D$1001&gt;D515))+COUNTIFS($F$2:F515,1,$G$2:G515,"MPV",$D$2:D515,D515)-1)</f>
        <v/>
      </c>
      <c r="Q515" s="62" t="str">
        <f>IF(OR(D515="",NOT(AND(F515=1,G515="SUV"))),"",1+SUMPRODUCT(($F$2:$F$1001=1)*($G$2:$G$1001="SUV")*($D$2:$D$1001&gt;D515))+COUNTIFS($F$2:F515,1,$G$2:G515,"SUV",$D$2:D515,D515)-1)</f>
        <v/>
      </c>
    </row>
    <row r="516" spans="1:17">
      <c r="A516" s="62" t="str">
        <f>IFERROR(INDEX($H$2:$H$3000,MATCH(0,INDEX(COUNTIF($A$1:A515,$H$2:$H$3000)+($H$2:$H$3000=""),0,0),0)),"")</f>
        <v/>
      </c>
      <c r="B516" s="62" t="str">
        <f t="shared" si="32"/>
        <v/>
      </c>
      <c r="C516" s="62" t="str">
        <f t="shared" si="33"/>
        <v/>
      </c>
      <c r="D516" s="63" t="str">
        <f t="shared" si="34"/>
        <v/>
      </c>
      <c r="E516" s="62" t="str">
        <f>IF(D516="","",_xlfn.RANK.EQ(D516,$D$2:$D$1001,0)+COUNTIF($D$2:D516,D516)-1)</f>
        <v/>
      </c>
      <c r="F516" s="62" t="str">
        <f>IF(B516="","",--(COUNTIF(CN_Brands!$A$2:$A$300,UPPER(B516))&gt;0))</f>
        <v/>
      </c>
      <c r="G516" s="62" t="str">
        <f t="shared" si="35"/>
        <v/>
      </c>
      <c r="H516" s="62" t="str">
        <f>IF(AND('Data Export'!A516=前十整体车型排名!$B$2,'Data Export'!B516=前十整体车型排名!$B$3,'Data Export'!D516&lt;&gt;""),UPPER('Data Export'!C516)&amp;"♦"&amp;'Data Export'!D516,"")</f>
        <v>MERCEDES♦G-CLASS</v>
      </c>
      <c r="I516" s="63">
        <f>IF(H516="","",IFERROR(INDEX('Data Export'!G516:CZ516,1,MATCH(前十整体车型排名!$B$4,'Data Export'!$G$1:$CZ$1,0)),0))</f>
        <v>2</v>
      </c>
      <c r="J516" s="62" t="str">
        <f>IF(H516="","",IF(OR('Data Export'!F516="三厢轿车",'Data Export'!F516="掀背轿车",'Data Export'!F516="旅行车",'Data Export'!F516="微型车",'Data Export'!F516="硬顶跑车",'Data Export'!F516="敞蓬车",'Data Export'!F516="Targa"),"轿车",IF(OR('Data Export'!F516="小型MPV",'Data Export'!F516="客车"),"MPV",IF('Data Export'!F516="运动型多功能车","SUV","其他"))))</f>
        <v>SUV</v>
      </c>
      <c r="K516" s="62" t="str">
        <f>IF(OR(D516="",NOT(F516=1)),"",1+SUMPRODUCT(($F$2:$F$1001=1)*($D$2:$D$1001&gt;D516))+COUNTIFS($F$2:F516,1,$D$2:D516,D516)-1)</f>
        <v/>
      </c>
      <c r="L516" s="62" t="str">
        <f>IF(OR(D516="",NOT(G516="轿车")),"",1+SUMPRODUCT(($G$2:$G$1001="轿车")*($D$2:$D$1001&gt;D516))+COUNTIFS($G$2:G516,"轿车",$D$2:D516,D516)-1)</f>
        <v/>
      </c>
      <c r="M516" s="62" t="str">
        <f>IF(OR(D516="",NOT(G516="MPV")),"",1+SUMPRODUCT(($G$2:$G$1001="MPV")*($D$2:$D$1001&gt;D516))+COUNTIFS($G$2:G516,"MPV",$D$2:D516,D516)-1)</f>
        <v/>
      </c>
      <c r="N516" s="62" t="str">
        <f>IF(OR(D516="",NOT(G516="SUV")),"",1+SUMPRODUCT(($G$2:$G$1001="SUV")*($D$2:$D$1001&gt;D516))+COUNTIFS($G$2:G516,"SUV",$D$2:D516,D516)-1)</f>
        <v/>
      </c>
      <c r="O516" s="62" t="str">
        <f>IF(OR(D516="",NOT(AND(F516=1,G516="轿车"))),"",1+SUMPRODUCT(($F$2:$F$1001=1)*($G$2:$G$1001="轿车")*($D$2:$D$1001&gt;D516))+COUNTIFS($F$2:F516,1,$G$2:G516,"轿车",$D$2:D516,D516)-1)</f>
        <v/>
      </c>
      <c r="P516" s="62" t="str">
        <f>IF(OR(D516="",NOT(AND(F516=1,G516="MPV"))),"",1+SUMPRODUCT(($F$2:$F$1001=1)*($G$2:$G$1001="MPV")*($D$2:$D$1001&gt;D516))+COUNTIFS($F$2:F516,1,$G$2:G516,"MPV",$D$2:D516,D516)-1)</f>
        <v/>
      </c>
      <c r="Q516" s="62" t="str">
        <f>IF(OR(D516="",NOT(AND(F516=1,G516="SUV"))),"",1+SUMPRODUCT(($F$2:$F$1001=1)*($G$2:$G$1001="SUV")*($D$2:$D$1001&gt;D516))+COUNTIFS($F$2:F516,1,$G$2:G516,"SUV",$D$2:D516,D516)-1)</f>
        <v/>
      </c>
    </row>
    <row r="517" spans="1:17">
      <c r="A517" s="62" t="str">
        <f>IFERROR(INDEX($H$2:$H$3000,MATCH(0,INDEX(COUNTIF($A$1:A516,$H$2:$H$3000)+($H$2:$H$3000=""),0,0),0)),"")</f>
        <v/>
      </c>
      <c r="B517" s="62" t="str">
        <f t="shared" si="32"/>
        <v/>
      </c>
      <c r="C517" s="62" t="str">
        <f t="shared" si="33"/>
        <v/>
      </c>
      <c r="D517" s="63" t="str">
        <f t="shared" si="34"/>
        <v/>
      </c>
      <c r="E517" s="62" t="str">
        <f>IF(D517="","",_xlfn.RANK.EQ(D517,$D$2:$D$1001,0)+COUNTIF($D$2:D517,D517)-1)</f>
        <v/>
      </c>
      <c r="F517" s="62" t="str">
        <f>IF(B517="","",--(COUNTIF(CN_Brands!$A$2:$A$300,UPPER(B517))&gt;0))</f>
        <v/>
      </c>
      <c r="G517" s="62" t="str">
        <f t="shared" si="35"/>
        <v/>
      </c>
      <c r="H517" s="62" t="str">
        <f>IF(AND('Data Export'!A517=前十整体车型排名!$B$2,'Data Export'!B517=前十整体车型排名!$B$3,'Data Export'!D517&lt;&gt;""),UPPER('Data Export'!C517)&amp;"♦"&amp;'Data Export'!D517,"")</f>
        <v>MERCEDES♦G-CLASS</v>
      </c>
      <c r="I517" s="63">
        <f>IF(H517="","",IFERROR(INDEX('Data Export'!G517:CZ517,1,MATCH(前十整体车型排名!$B$4,'Data Export'!$G$1:$CZ$1,0)),0))</f>
        <v>4</v>
      </c>
      <c r="J517" s="62" t="str">
        <f>IF(H517="","",IF(OR('Data Export'!F517="三厢轿车",'Data Export'!F517="掀背轿车",'Data Export'!F517="旅行车",'Data Export'!F517="微型车",'Data Export'!F517="硬顶跑车",'Data Export'!F517="敞蓬车",'Data Export'!F517="Targa"),"轿车",IF(OR('Data Export'!F517="小型MPV",'Data Export'!F517="客车"),"MPV",IF('Data Export'!F517="运动型多功能车","SUV","其他"))))</f>
        <v>SUV</v>
      </c>
      <c r="K517" s="62" t="str">
        <f>IF(OR(D517="",NOT(F517=1)),"",1+SUMPRODUCT(($F$2:$F$1001=1)*($D$2:$D$1001&gt;D517))+COUNTIFS($F$2:F517,1,$D$2:D517,D517)-1)</f>
        <v/>
      </c>
      <c r="L517" s="62" t="str">
        <f>IF(OR(D517="",NOT(G517="轿车")),"",1+SUMPRODUCT(($G$2:$G$1001="轿车")*($D$2:$D$1001&gt;D517))+COUNTIFS($G$2:G517,"轿车",$D$2:D517,D517)-1)</f>
        <v/>
      </c>
      <c r="M517" s="62" t="str">
        <f>IF(OR(D517="",NOT(G517="MPV")),"",1+SUMPRODUCT(($G$2:$G$1001="MPV")*($D$2:$D$1001&gt;D517))+COUNTIFS($G$2:G517,"MPV",$D$2:D517,D517)-1)</f>
        <v/>
      </c>
      <c r="N517" s="62" t="str">
        <f>IF(OR(D517="",NOT(G517="SUV")),"",1+SUMPRODUCT(($G$2:$G$1001="SUV")*($D$2:$D$1001&gt;D517))+COUNTIFS($G$2:G517,"SUV",$D$2:D517,D517)-1)</f>
        <v/>
      </c>
      <c r="O517" s="62" t="str">
        <f>IF(OR(D517="",NOT(AND(F517=1,G517="轿车"))),"",1+SUMPRODUCT(($F$2:$F$1001=1)*($G$2:$G$1001="轿车")*($D$2:$D$1001&gt;D517))+COUNTIFS($F$2:F517,1,$G$2:G517,"轿车",$D$2:D517,D517)-1)</f>
        <v/>
      </c>
      <c r="P517" s="62" t="str">
        <f>IF(OR(D517="",NOT(AND(F517=1,G517="MPV"))),"",1+SUMPRODUCT(($F$2:$F$1001=1)*($G$2:$G$1001="MPV")*($D$2:$D$1001&gt;D517))+COUNTIFS($F$2:F517,1,$G$2:G517,"MPV",$D$2:D517,D517)-1)</f>
        <v/>
      </c>
      <c r="Q517" s="62" t="str">
        <f>IF(OR(D517="",NOT(AND(F517=1,G517="SUV"))),"",1+SUMPRODUCT(($F$2:$F$1001=1)*($G$2:$G$1001="SUV")*($D$2:$D$1001&gt;D517))+COUNTIFS($F$2:F517,1,$G$2:G517,"SUV",$D$2:D517,D517)-1)</f>
        <v/>
      </c>
    </row>
    <row r="518" spans="1:17">
      <c r="A518" s="62" t="str">
        <f>IFERROR(INDEX($H$2:$H$3000,MATCH(0,INDEX(COUNTIF($A$1:A517,$H$2:$H$3000)+($H$2:$H$3000=""),0,0),0)),"")</f>
        <v/>
      </c>
      <c r="B518" s="62" t="str">
        <f t="shared" si="32"/>
        <v/>
      </c>
      <c r="C518" s="62" t="str">
        <f t="shared" si="33"/>
        <v/>
      </c>
      <c r="D518" s="63" t="str">
        <f t="shared" si="34"/>
        <v/>
      </c>
      <c r="E518" s="62" t="str">
        <f>IF(D518="","",_xlfn.RANK.EQ(D518,$D$2:$D$1001,0)+COUNTIF($D$2:D518,D518)-1)</f>
        <v/>
      </c>
      <c r="F518" s="62" t="str">
        <f>IF(B518="","",--(COUNTIF(CN_Brands!$A$2:$A$300,UPPER(B518))&gt;0))</f>
        <v/>
      </c>
      <c r="G518" s="62" t="str">
        <f t="shared" si="35"/>
        <v/>
      </c>
      <c r="H518" s="62" t="str">
        <f>IF(AND('Data Export'!A518=前十整体车型排名!$B$2,'Data Export'!B518=前十整体车型排名!$B$3,'Data Export'!D518&lt;&gt;""),UPPER('Data Export'!C518)&amp;"♦"&amp;'Data Export'!D518,"")</f>
        <v>MERCEDES♦GLA</v>
      </c>
      <c r="I518" s="63">
        <f>IF(H518="","",IFERROR(INDEX('Data Export'!G518:CZ518,1,MATCH(前十整体车型排名!$B$4,'Data Export'!$G$1:$CZ$1,0)),0))</f>
        <v>0</v>
      </c>
      <c r="J518" s="62" t="str">
        <f>IF(H518="","",IF(OR('Data Export'!F518="三厢轿车",'Data Export'!F518="掀背轿车",'Data Export'!F518="旅行车",'Data Export'!F518="微型车",'Data Export'!F518="硬顶跑车",'Data Export'!F518="敞蓬车",'Data Export'!F518="Targa"),"轿车",IF(OR('Data Export'!F518="小型MPV",'Data Export'!F518="客车"),"MPV",IF('Data Export'!F518="运动型多功能车","SUV","其他"))))</f>
        <v>SUV</v>
      </c>
      <c r="K518" s="62" t="str">
        <f>IF(OR(D518="",NOT(F518=1)),"",1+SUMPRODUCT(($F$2:$F$1001=1)*($D$2:$D$1001&gt;D518))+COUNTIFS($F$2:F518,1,$D$2:D518,D518)-1)</f>
        <v/>
      </c>
      <c r="L518" s="62" t="str">
        <f>IF(OR(D518="",NOT(G518="轿车")),"",1+SUMPRODUCT(($G$2:$G$1001="轿车")*($D$2:$D$1001&gt;D518))+COUNTIFS($G$2:G518,"轿车",$D$2:D518,D518)-1)</f>
        <v/>
      </c>
      <c r="M518" s="62" t="str">
        <f>IF(OR(D518="",NOT(G518="MPV")),"",1+SUMPRODUCT(($G$2:$G$1001="MPV")*($D$2:$D$1001&gt;D518))+COUNTIFS($G$2:G518,"MPV",$D$2:D518,D518)-1)</f>
        <v/>
      </c>
      <c r="N518" s="62" t="str">
        <f>IF(OR(D518="",NOT(G518="SUV")),"",1+SUMPRODUCT(($G$2:$G$1001="SUV")*($D$2:$D$1001&gt;D518))+COUNTIFS($G$2:G518,"SUV",$D$2:D518,D518)-1)</f>
        <v/>
      </c>
      <c r="O518" s="62" t="str">
        <f>IF(OR(D518="",NOT(AND(F518=1,G518="轿车"))),"",1+SUMPRODUCT(($F$2:$F$1001=1)*($G$2:$G$1001="轿车")*($D$2:$D$1001&gt;D518))+COUNTIFS($F$2:F518,1,$G$2:G518,"轿车",$D$2:D518,D518)-1)</f>
        <v/>
      </c>
      <c r="P518" s="62" t="str">
        <f>IF(OR(D518="",NOT(AND(F518=1,G518="MPV"))),"",1+SUMPRODUCT(($F$2:$F$1001=1)*($G$2:$G$1001="MPV")*($D$2:$D$1001&gt;D518))+COUNTIFS($F$2:F518,1,$G$2:G518,"MPV",$D$2:D518,D518)-1)</f>
        <v/>
      </c>
      <c r="Q518" s="62" t="str">
        <f>IF(OR(D518="",NOT(AND(F518=1,G518="SUV"))),"",1+SUMPRODUCT(($F$2:$F$1001=1)*($G$2:$G$1001="SUV")*($D$2:$D$1001&gt;D518))+COUNTIFS($F$2:F518,1,$G$2:G518,"SUV",$D$2:D518,D518)-1)</f>
        <v/>
      </c>
    </row>
    <row r="519" spans="1:17">
      <c r="A519" s="62" t="str">
        <f>IFERROR(INDEX($H$2:$H$3000,MATCH(0,INDEX(COUNTIF($A$1:A518,$H$2:$H$3000)+($H$2:$H$3000=""),0,0),0)),"")</f>
        <v/>
      </c>
      <c r="B519" s="62" t="str">
        <f t="shared" si="32"/>
        <v/>
      </c>
      <c r="C519" s="62" t="str">
        <f t="shared" si="33"/>
        <v/>
      </c>
      <c r="D519" s="63" t="str">
        <f t="shared" si="34"/>
        <v/>
      </c>
      <c r="E519" s="62" t="str">
        <f>IF(D519="","",_xlfn.RANK.EQ(D519,$D$2:$D$1001,0)+COUNTIF($D$2:D519,D519)-1)</f>
        <v/>
      </c>
      <c r="F519" s="62" t="str">
        <f>IF(B519="","",--(COUNTIF(CN_Brands!$A$2:$A$300,UPPER(B519))&gt;0))</f>
        <v/>
      </c>
      <c r="G519" s="62" t="str">
        <f t="shared" si="35"/>
        <v/>
      </c>
      <c r="H519" s="62" t="str">
        <f>IF(AND('Data Export'!A519=前十整体车型排名!$B$2,'Data Export'!B519=前十整体车型排名!$B$3,'Data Export'!D519&lt;&gt;""),UPPER('Data Export'!C519)&amp;"♦"&amp;'Data Export'!D519,"")</f>
        <v>MERCEDES♦GLA</v>
      </c>
      <c r="I519" s="63">
        <f>IF(H519="","",IFERROR(INDEX('Data Export'!G519:CZ519,1,MATCH(前十整体车型排名!$B$4,'Data Export'!$G$1:$CZ$1,0)),0))</f>
        <v>30</v>
      </c>
      <c r="J519" s="62" t="str">
        <f>IF(H519="","",IF(OR('Data Export'!F519="三厢轿车",'Data Export'!F519="掀背轿车",'Data Export'!F519="旅行车",'Data Export'!F519="微型车",'Data Export'!F519="硬顶跑车",'Data Export'!F519="敞蓬车",'Data Export'!F519="Targa"),"轿车",IF(OR('Data Export'!F519="小型MPV",'Data Export'!F519="客车"),"MPV",IF('Data Export'!F519="运动型多功能车","SUV","其他"))))</f>
        <v>SUV</v>
      </c>
      <c r="K519" s="62" t="str">
        <f>IF(OR(D519="",NOT(F519=1)),"",1+SUMPRODUCT(($F$2:$F$1001=1)*($D$2:$D$1001&gt;D519))+COUNTIFS($F$2:F519,1,$D$2:D519,D519)-1)</f>
        <v/>
      </c>
      <c r="L519" s="62" t="str">
        <f>IF(OR(D519="",NOT(G519="轿车")),"",1+SUMPRODUCT(($G$2:$G$1001="轿车")*($D$2:$D$1001&gt;D519))+COUNTIFS($G$2:G519,"轿车",$D$2:D519,D519)-1)</f>
        <v/>
      </c>
      <c r="M519" s="62" t="str">
        <f>IF(OR(D519="",NOT(G519="MPV")),"",1+SUMPRODUCT(($G$2:$G$1001="MPV")*($D$2:$D$1001&gt;D519))+COUNTIFS($G$2:G519,"MPV",$D$2:D519,D519)-1)</f>
        <v/>
      </c>
      <c r="N519" s="62" t="str">
        <f>IF(OR(D519="",NOT(G519="SUV")),"",1+SUMPRODUCT(($G$2:$G$1001="SUV")*($D$2:$D$1001&gt;D519))+COUNTIFS($G$2:G519,"SUV",$D$2:D519,D519)-1)</f>
        <v/>
      </c>
      <c r="O519" s="62" t="str">
        <f>IF(OR(D519="",NOT(AND(F519=1,G519="轿车"))),"",1+SUMPRODUCT(($F$2:$F$1001=1)*($G$2:$G$1001="轿车")*($D$2:$D$1001&gt;D519))+COUNTIFS($F$2:F519,1,$G$2:G519,"轿车",$D$2:D519,D519)-1)</f>
        <v/>
      </c>
      <c r="P519" s="62" t="str">
        <f>IF(OR(D519="",NOT(AND(F519=1,G519="MPV"))),"",1+SUMPRODUCT(($F$2:$F$1001=1)*($G$2:$G$1001="MPV")*($D$2:$D$1001&gt;D519))+COUNTIFS($F$2:F519,1,$G$2:G519,"MPV",$D$2:D519,D519)-1)</f>
        <v/>
      </c>
      <c r="Q519" s="62" t="str">
        <f>IF(OR(D519="",NOT(AND(F519=1,G519="SUV"))),"",1+SUMPRODUCT(($F$2:$F$1001=1)*($G$2:$G$1001="SUV")*($D$2:$D$1001&gt;D519))+COUNTIFS($F$2:F519,1,$G$2:G519,"SUV",$D$2:D519,D519)-1)</f>
        <v/>
      </c>
    </row>
    <row r="520" spans="1:17">
      <c r="A520" s="62" t="str">
        <f>IFERROR(INDEX($H$2:$H$3000,MATCH(0,INDEX(COUNTIF($A$1:A519,$H$2:$H$3000)+($H$2:$H$3000=""),0,0),0)),"")</f>
        <v/>
      </c>
      <c r="B520" s="62" t="str">
        <f t="shared" si="32"/>
        <v/>
      </c>
      <c r="C520" s="62" t="str">
        <f t="shared" si="33"/>
        <v/>
      </c>
      <c r="D520" s="63" t="str">
        <f t="shared" si="34"/>
        <v/>
      </c>
      <c r="E520" s="62" t="str">
        <f>IF(D520="","",_xlfn.RANK.EQ(D520,$D$2:$D$1001,0)+COUNTIF($D$2:D520,D520)-1)</f>
        <v/>
      </c>
      <c r="F520" s="62" t="str">
        <f>IF(B520="","",--(COUNTIF(CN_Brands!$A$2:$A$300,UPPER(B520))&gt;0))</f>
        <v/>
      </c>
      <c r="G520" s="62" t="str">
        <f t="shared" si="35"/>
        <v/>
      </c>
      <c r="H520" s="62" t="str">
        <f>IF(AND('Data Export'!A520=前十整体车型排名!$B$2,'Data Export'!B520=前十整体车型排名!$B$3,'Data Export'!D520&lt;&gt;""),UPPER('Data Export'!C520)&amp;"♦"&amp;'Data Export'!D520,"")</f>
        <v>MERCEDES♦GLA</v>
      </c>
      <c r="I520" s="63">
        <f>IF(H520="","",IFERROR(INDEX('Data Export'!G520:CZ520,1,MATCH(前十整体车型排名!$B$4,'Data Export'!$G$1:$CZ$1,0)),0))</f>
        <v>0</v>
      </c>
      <c r="J520" s="62" t="str">
        <f>IF(H520="","",IF(OR('Data Export'!F520="三厢轿车",'Data Export'!F520="掀背轿车",'Data Export'!F520="旅行车",'Data Export'!F520="微型车",'Data Export'!F520="硬顶跑车",'Data Export'!F520="敞蓬车",'Data Export'!F520="Targa"),"轿车",IF(OR('Data Export'!F520="小型MPV",'Data Export'!F520="客车"),"MPV",IF('Data Export'!F520="运动型多功能车","SUV","其他"))))</f>
        <v>SUV</v>
      </c>
      <c r="K520" s="62" t="str">
        <f>IF(OR(D520="",NOT(F520=1)),"",1+SUMPRODUCT(($F$2:$F$1001=1)*($D$2:$D$1001&gt;D520))+COUNTIFS($F$2:F520,1,$D$2:D520,D520)-1)</f>
        <v/>
      </c>
      <c r="L520" s="62" t="str">
        <f>IF(OR(D520="",NOT(G520="轿车")),"",1+SUMPRODUCT(($G$2:$G$1001="轿车")*($D$2:$D$1001&gt;D520))+COUNTIFS($G$2:G520,"轿车",$D$2:D520,D520)-1)</f>
        <v/>
      </c>
      <c r="M520" s="62" t="str">
        <f>IF(OR(D520="",NOT(G520="MPV")),"",1+SUMPRODUCT(($G$2:$G$1001="MPV")*($D$2:$D$1001&gt;D520))+COUNTIFS($G$2:G520,"MPV",$D$2:D520,D520)-1)</f>
        <v/>
      </c>
      <c r="N520" s="62" t="str">
        <f>IF(OR(D520="",NOT(G520="SUV")),"",1+SUMPRODUCT(($G$2:$G$1001="SUV")*($D$2:$D$1001&gt;D520))+COUNTIFS($G$2:G520,"SUV",$D$2:D520,D520)-1)</f>
        <v/>
      </c>
      <c r="O520" s="62" t="str">
        <f>IF(OR(D520="",NOT(AND(F520=1,G520="轿车"))),"",1+SUMPRODUCT(($F$2:$F$1001=1)*($G$2:$G$1001="轿车")*($D$2:$D$1001&gt;D520))+COUNTIFS($F$2:F520,1,$G$2:G520,"轿车",$D$2:D520,D520)-1)</f>
        <v/>
      </c>
      <c r="P520" s="62" t="str">
        <f>IF(OR(D520="",NOT(AND(F520=1,G520="MPV"))),"",1+SUMPRODUCT(($F$2:$F$1001=1)*($G$2:$G$1001="MPV")*($D$2:$D$1001&gt;D520))+COUNTIFS($F$2:F520,1,$G$2:G520,"MPV",$D$2:D520,D520)-1)</f>
        <v/>
      </c>
      <c r="Q520" s="62" t="str">
        <f>IF(OR(D520="",NOT(AND(F520=1,G520="SUV"))),"",1+SUMPRODUCT(($F$2:$F$1001=1)*($G$2:$G$1001="SUV")*($D$2:$D$1001&gt;D520))+COUNTIFS($F$2:F520,1,$G$2:G520,"SUV",$D$2:D520,D520)-1)</f>
        <v/>
      </c>
    </row>
    <row r="521" spans="1:17">
      <c r="A521" s="62" t="str">
        <f>IFERROR(INDEX($H$2:$H$3000,MATCH(0,INDEX(COUNTIF($A$1:A520,$H$2:$H$3000)+($H$2:$H$3000=""),0,0),0)),"")</f>
        <v/>
      </c>
      <c r="B521" s="62" t="str">
        <f t="shared" si="32"/>
        <v/>
      </c>
      <c r="C521" s="62" t="str">
        <f t="shared" si="33"/>
        <v/>
      </c>
      <c r="D521" s="63" t="str">
        <f t="shared" si="34"/>
        <v/>
      </c>
      <c r="E521" s="62" t="str">
        <f>IF(D521="","",_xlfn.RANK.EQ(D521,$D$2:$D$1001,0)+COUNTIF($D$2:D521,D521)-1)</f>
        <v/>
      </c>
      <c r="F521" s="62" t="str">
        <f>IF(B521="","",--(COUNTIF(CN_Brands!$A$2:$A$300,UPPER(B521))&gt;0))</f>
        <v/>
      </c>
      <c r="G521" s="62" t="str">
        <f t="shared" si="35"/>
        <v/>
      </c>
      <c r="H521" s="62" t="str">
        <f>IF(AND('Data Export'!A521=前十整体车型排名!$B$2,'Data Export'!B521=前十整体车型排名!$B$3,'Data Export'!D521&lt;&gt;""),UPPER('Data Export'!C521)&amp;"♦"&amp;'Data Export'!D521,"")</f>
        <v>MERCEDES♦GLB</v>
      </c>
      <c r="I521" s="63">
        <f>IF(H521="","",IFERROR(INDEX('Data Export'!G521:CZ521,1,MATCH(前十整体车型排名!$B$4,'Data Export'!$G$1:$CZ$1,0)),0))</f>
        <v>0</v>
      </c>
      <c r="J521" s="62" t="str">
        <f>IF(H521="","",IF(OR('Data Export'!F521="三厢轿车",'Data Export'!F521="掀背轿车",'Data Export'!F521="旅行车",'Data Export'!F521="微型车",'Data Export'!F521="硬顶跑车",'Data Export'!F521="敞蓬车",'Data Export'!F521="Targa"),"轿车",IF(OR('Data Export'!F521="小型MPV",'Data Export'!F521="客车"),"MPV",IF('Data Export'!F521="运动型多功能车","SUV","其他"))))</f>
        <v>SUV</v>
      </c>
      <c r="K521" s="62" t="str">
        <f>IF(OR(D521="",NOT(F521=1)),"",1+SUMPRODUCT(($F$2:$F$1001=1)*($D$2:$D$1001&gt;D521))+COUNTIFS($F$2:F521,1,$D$2:D521,D521)-1)</f>
        <v/>
      </c>
      <c r="L521" s="62" t="str">
        <f>IF(OR(D521="",NOT(G521="轿车")),"",1+SUMPRODUCT(($G$2:$G$1001="轿车")*($D$2:$D$1001&gt;D521))+COUNTIFS($G$2:G521,"轿车",$D$2:D521,D521)-1)</f>
        <v/>
      </c>
      <c r="M521" s="62" t="str">
        <f>IF(OR(D521="",NOT(G521="MPV")),"",1+SUMPRODUCT(($G$2:$G$1001="MPV")*($D$2:$D$1001&gt;D521))+COUNTIFS($G$2:G521,"MPV",$D$2:D521,D521)-1)</f>
        <v/>
      </c>
      <c r="N521" s="62" t="str">
        <f>IF(OR(D521="",NOT(G521="SUV")),"",1+SUMPRODUCT(($G$2:$G$1001="SUV")*($D$2:$D$1001&gt;D521))+COUNTIFS($G$2:G521,"SUV",$D$2:D521,D521)-1)</f>
        <v/>
      </c>
      <c r="O521" s="62" t="str">
        <f>IF(OR(D521="",NOT(AND(F521=1,G521="轿车"))),"",1+SUMPRODUCT(($F$2:$F$1001=1)*($G$2:$G$1001="轿车")*($D$2:$D$1001&gt;D521))+COUNTIFS($F$2:F521,1,$G$2:G521,"轿车",$D$2:D521,D521)-1)</f>
        <v/>
      </c>
      <c r="P521" s="62" t="str">
        <f>IF(OR(D521="",NOT(AND(F521=1,G521="MPV"))),"",1+SUMPRODUCT(($F$2:$F$1001=1)*($G$2:$G$1001="MPV")*($D$2:$D$1001&gt;D521))+COUNTIFS($F$2:F521,1,$G$2:G521,"MPV",$D$2:D521,D521)-1)</f>
        <v/>
      </c>
      <c r="Q521" s="62" t="str">
        <f>IF(OR(D521="",NOT(AND(F521=1,G521="SUV"))),"",1+SUMPRODUCT(($F$2:$F$1001=1)*($G$2:$G$1001="SUV")*($D$2:$D$1001&gt;D521))+COUNTIFS($F$2:F521,1,$G$2:G521,"SUV",$D$2:D521,D521)-1)</f>
        <v/>
      </c>
    </row>
    <row r="522" spans="1:17">
      <c r="A522" s="62" t="str">
        <f>IFERROR(INDEX($H$2:$H$3000,MATCH(0,INDEX(COUNTIF($A$1:A521,$H$2:$H$3000)+($H$2:$H$3000=""),0,0),0)),"")</f>
        <v/>
      </c>
      <c r="B522" s="62" t="str">
        <f t="shared" si="32"/>
        <v/>
      </c>
      <c r="C522" s="62" t="str">
        <f t="shared" si="33"/>
        <v/>
      </c>
      <c r="D522" s="63" t="str">
        <f t="shared" si="34"/>
        <v/>
      </c>
      <c r="E522" s="62" t="str">
        <f>IF(D522="","",_xlfn.RANK.EQ(D522,$D$2:$D$1001,0)+COUNTIF($D$2:D522,D522)-1)</f>
        <v/>
      </c>
      <c r="F522" s="62" t="str">
        <f>IF(B522="","",--(COUNTIF(CN_Brands!$A$2:$A$300,UPPER(B522))&gt;0))</f>
        <v/>
      </c>
      <c r="G522" s="62" t="str">
        <f t="shared" si="35"/>
        <v/>
      </c>
      <c r="H522" s="62" t="str">
        <f>IF(AND('Data Export'!A522=前十整体车型排名!$B$2,'Data Export'!B522=前十整体车型排名!$B$3,'Data Export'!D522&lt;&gt;""),UPPER('Data Export'!C522)&amp;"♦"&amp;'Data Export'!D522,"")</f>
        <v>MERCEDES♦GLC COUPE</v>
      </c>
      <c r="I522" s="63">
        <f>IF(H522="","",IFERROR(INDEX('Data Export'!G522:CZ522,1,MATCH(前十整体车型排名!$B$4,'Data Export'!$G$1:$CZ$1,0)),0))</f>
        <v>0</v>
      </c>
      <c r="J522" s="62" t="str">
        <f>IF(H522="","",IF(OR('Data Export'!F522="三厢轿车",'Data Export'!F522="掀背轿车",'Data Export'!F522="旅行车",'Data Export'!F522="微型车",'Data Export'!F522="硬顶跑车",'Data Export'!F522="敞蓬车",'Data Export'!F522="Targa"),"轿车",IF(OR('Data Export'!F522="小型MPV",'Data Export'!F522="客车"),"MPV",IF('Data Export'!F522="运动型多功能车","SUV","其他"))))</f>
        <v>SUV</v>
      </c>
      <c r="K522" s="62" t="str">
        <f>IF(OR(D522="",NOT(F522=1)),"",1+SUMPRODUCT(($F$2:$F$1001=1)*($D$2:$D$1001&gt;D522))+COUNTIFS($F$2:F522,1,$D$2:D522,D522)-1)</f>
        <v/>
      </c>
      <c r="L522" s="62" t="str">
        <f>IF(OR(D522="",NOT(G522="轿车")),"",1+SUMPRODUCT(($G$2:$G$1001="轿车")*($D$2:$D$1001&gt;D522))+COUNTIFS($G$2:G522,"轿车",$D$2:D522,D522)-1)</f>
        <v/>
      </c>
      <c r="M522" s="62" t="str">
        <f>IF(OR(D522="",NOT(G522="MPV")),"",1+SUMPRODUCT(($G$2:$G$1001="MPV")*($D$2:$D$1001&gt;D522))+COUNTIFS($G$2:G522,"MPV",$D$2:D522,D522)-1)</f>
        <v/>
      </c>
      <c r="N522" s="62" t="str">
        <f>IF(OR(D522="",NOT(G522="SUV")),"",1+SUMPRODUCT(($G$2:$G$1001="SUV")*($D$2:$D$1001&gt;D522))+COUNTIFS($G$2:G522,"SUV",$D$2:D522,D522)-1)</f>
        <v/>
      </c>
      <c r="O522" s="62" t="str">
        <f>IF(OR(D522="",NOT(AND(F522=1,G522="轿车"))),"",1+SUMPRODUCT(($F$2:$F$1001=1)*($G$2:$G$1001="轿车")*($D$2:$D$1001&gt;D522))+COUNTIFS($F$2:F522,1,$G$2:G522,"轿车",$D$2:D522,D522)-1)</f>
        <v/>
      </c>
      <c r="P522" s="62" t="str">
        <f>IF(OR(D522="",NOT(AND(F522=1,G522="MPV"))),"",1+SUMPRODUCT(($F$2:$F$1001=1)*($G$2:$G$1001="MPV")*($D$2:$D$1001&gt;D522))+COUNTIFS($F$2:F522,1,$G$2:G522,"MPV",$D$2:D522,D522)-1)</f>
        <v/>
      </c>
      <c r="Q522" s="62" t="str">
        <f>IF(OR(D522="",NOT(AND(F522=1,G522="SUV"))),"",1+SUMPRODUCT(($F$2:$F$1001=1)*($G$2:$G$1001="SUV")*($D$2:$D$1001&gt;D522))+COUNTIFS($F$2:F522,1,$G$2:G522,"SUV",$D$2:D522,D522)-1)</f>
        <v/>
      </c>
    </row>
    <row r="523" spans="1:17">
      <c r="A523" s="62" t="str">
        <f>IFERROR(INDEX($H$2:$H$3000,MATCH(0,INDEX(COUNTIF($A$1:A522,$H$2:$H$3000)+($H$2:$H$3000=""),0,0),0)),"")</f>
        <v/>
      </c>
      <c r="B523" s="62" t="str">
        <f t="shared" si="32"/>
        <v/>
      </c>
      <c r="C523" s="62" t="str">
        <f t="shared" si="33"/>
        <v/>
      </c>
      <c r="D523" s="63" t="str">
        <f t="shared" si="34"/>
        <v/>
      </c>
      <c r="E523" s="62" t="str">
        <f>IF(D523="","",_xlfn.RANK.EQ(D523,$D$2:$D$1001,0)+COUNTIF($D$2:D523,D523)-1)</f>
        <v/>
      </c>
      <c r="F523" s="62" t="str">
        <f>IF(B523="","",--(COUNTIF(CN_Brands!$A$2:$A$300,UPPER(B523))&gt;0))</f>
        <v/>
      </c>
      <c r="G523" s="62" t="str">
        <f t="shared" si="35"/>
        <v/>
      </c>
      <c r="H523" s="62" t="str">
        <f>IF(AND('Data Export'!A523=前十整体车型排名!$B$2,'Data Export'!B523=前十整体车型排名!$B$3,'Data Export'!D523&lt;&gt;""),UPPER('Data Export'!C523)&amp;"♦"&amp;'Data Export'!D523,"")</f>
        <v>MERCEDES♦GLC COUPE</v>
      </c>
      <c r="I523" s="63">
        <f>IF(H523="","",IFERROR(INDEX('Data Export'!G523:CZ523,1,MATCH(前十整体车型排名!$B$4,'Data Export'!$G$1:$CZ$1,0)),0))</f>
        <v>25</v>
      </c>
      <c r="J523" s="62" t="str">
        <f>IF(H523="","",IF(OR('Data Export'!F523="三厢轿车",'Data Export'!F523="掀背轿车",'Data Export'!F523="旅行车",'Data Export'!F523="微型车",'Data Export'!F523="硬顶跑车",'Data Export'!F523="敞蓬车",'Data Export'!F523="Targa"),"轿车",IF(OR('Data Export'!F523="小型MPV",'Data Export'!F523="客车"),"MPV",IF('Data Export'!F523="运动型多功能车","SUV","其他"))))</f>
        <v>SUV</v>
      </c>
      <c r="K523" s="62" t="str">
        <f>IF(OR(D523="",NOT(F523=1)),"",1+SUMPRODUCT(($F$2:$F$1001=1)*($D$2:$D$1001&gt;D523))+COUNTIFS($F$2:F523,1,$D$2:D523,D523)-1)</f>
        <v/>
      </c>
      <c r="L523" s="62" t="str">
        <f>IF(OR(D523="",NOT(G523="轿车")),"",1+SUMPRODUCT(($G$2:$G$1001="轿车")*($D$2:$D$1001&gt;D523))+COUNTIFS($G$2:G523,"轿车",$D$2:D523,D523)-1)</f>
        <v/>
      </c>
      <c r="M523" s="62" t="str">
        <f>IF(OR(D523="",NOT(G523="MPV")),"",1+SUMPRODUCT(($G$2:$G$1001="MPV")*($D$2:$D$1001&gt;D523))+COUNTIFS($G$2:G523,"MPV",$D$2:D523,D523)-1)</f>
        <v/>
      </c>
      <c r="N523" s="62" t="str">
        <f>IF(OR(D523="",NOT(G523="SUV")),"",1+SUMPRODUCT(($G$2:$G$1001="SUV")*($D$2:$D$1001&gt;D523))+COUNTIFS($G$2:G523,"SUV",$D$2:D523,D523)-1)</f>
        <v/>
      </c>
      <c r="O523" s="62" t="str">
        <f>IF(OR(D523="",NOT(AND(F523=1,G523="轿车"))),"",1+SUMPRODUCT(($F$2:$F$1001=1)*($G$2:$G$1001="轿车")*($D$2:$D$1001&gt;D523))+COUNTIFS($F$2:F523,1,$G$2:G523,"轿车",$D$2:D523,D523)-1)</f>
        <v/>
      </c>
      <c r="P523" s="62" t="str">
        <f>IF(OR(D523="",NOT(AND(F523=1,G523="MPV"))),"",1+SUMPRODUCT(($F$2:$F$1001=1)*($G$2:$G$1001="MPV")*($D$2:$D$1001&gt;D523))+COUNTIFS($F$2:F523,1,$G$2:G523,"MPV",$D$2:D523,D523)-1)</f>
        <v/>
      </c>
      <c r="Q523" s="62" t="str">
        <f>IF(OR(D523="",NOT(AND(F523=1,G523="SUV"))),"",1+SUMPRODUCT(($F$2:$F$1001=1)*($G$2:$G$1001="SUV")*($D$2:$D$1001&gt;D523))+COUNTIFS($F$2:F523,1,$G$2:G523,"SUV",$D$2:D523,D523)-1)</f>
        <v/>
      </c>
    </row>
    <row r="524" spans="1:17">
      <c r="A524" s="62" t="str">
        <f>IFERROR(INDEX($H$2:$H$3000,MATCH(0,INDEX(COUNTIF($A$1:A523,$H$2:$H$3000)+($H$2:$H$3000=""),0,0),0)),"")</f>
        <v/>
      </c>
      <c r="B524" s="62" t="str">
        <f t="shared" si="32"/>
        <v/>
      </c>
      <c r="C524" s="62" t="str">
        <f t="shared" si="33"/>
        <v/>
      </c>
      <c r="D524" s="63" t="str">
        <f t="shared" si="34"/>
        <v/>
      </c>
      <c r="E524" s="62" t="str">
        <f>IF(D524="","",_xlfn.RANK.EQ(D524,$D$2:$D$1001,0)+COUNTIF($D$2:D524,D524)-1)</f>
        <v/>
      </c>
      <c r="F524" s="62" t="str">
        <f>IF(B524="","",--(COUNTIF(CN_Brands!$A$2:$A$300,UPPER(B524))&gt;0))</f>
        <v/>
      </c>
      <c r="G524" s="62" t="str">
        <f t="shared" si="35"/>
        <v/>
      </c>
      <c r="H524" s="62" t="str">
        <f>IF(AND('Data Export'!A524=前十整体车型排名!$B$2,'Data Export'!B524=前十整体车型排名!$B$3,'Data Export'!D524&lt;&gt;""),UPPER('Data Export'!C524)&amp;"♦"&amp;'Data Export'!D524,"")</f>
        <v>MERCEDES♦GLC COUPE</v>
      </c>
      <c r="I524" s="63">
        <f>IF(H524="","",IFERROR(INDEX('Data Export'!G524:CZ524,1,MATCH(前十整体车型排名!$B$4,'Data Export'!$G$1:$CZ$1,0)),0))</f>
        <v>0</v>
      </c>
      <c r="J524" s="62" t="str">
        <f>IF(H524="","",IF(OR('Data Export'!F524="三厢轿车",'Data Export'!F524="掀背轿车",'Data Export'!F524="旅行车",'Data Export'!F524="微型车",'Data Export'!F524="硬顶跑车",'Data Export'!F524="敞蓬车",'Data Export'!F524="Targa"),"轿车",IF(OR('Data Export'!F524="小型MPV",'Data Export'!F524="客车"),"MPV",IF('Data Export'!F524="运动型多功能车","SUV","其他"))))</f>
        <v>SUV</v>
      </c>
      <c r="K524" s="62" t="str">
        <f>IF(OR(D524="",NOT(F524=1)),"",1+SUMPRODUCT(($F$2:$F$1001=1)*($D$2:$D$1001&gt;D524))+COUNTIFS($F$2:F524,1,$D$2:D524,D524)-1)</f>
        <v/>
      </c>
      <c r="L524" s="62" t="str">
        <f>IF(OR(D524="",NOT(G524="轿车")),"",1+SUMPRODUCT(($G$2:$G$1001="轿车")*($D$2:$D$1001&gt;D524))+COUNTIFS($G$2:G524,"轿车",$D$2:D524,D524)-1)</f>
        <v/>
      </c>
      <c r="M524" s="62" t="str">
        <f>IF(OR(D524="",NOT(G524="MPV")),"",1+SUMPRODUCT(($G$2:$G$1001="MPV")*($D$2:$D$1001&gt;D524))+COUNTIFS($G$2:G524,"MPV",$D$2:D524,D524)-1)</f>
        <v/>
      </c>
      <c r="N524" s="62" t="str">
        <f>IF(OR(D524="",NOT(G524="SUV")),"",1+SUMPRODUCT(($G$2:$G$1001="SUV")*($D$2:$D$1001&gt;D524))+COUNTIFS($G$2:G524,"SUV",$D$2:D524,D524)-1)</f>
        <v/>
      </c>
      <c r="O524" s="62" t="str">
        <f>IF(OR(D524="",NOT(AND(F524=1,G524="轿车"))),"",1+SUMPRODUCT(($F$2:$F$1001=1)*($G$2:$G$1001="轿车")*($D$2:$D$1001&gt;D524))+COUNTIFS($F$2:F524,1,$G$2:G524,"轿车",$D$2:D524,D524)-1)</f>
        <v/>
      </c>
      <c r="P524" s="62" t="str">
        <f>IF(OR(D524="",NOT(AND(F524=1,G524="MPV"))),"",1+SUMPRODUCT(($F$2:$F$1001=1)*($G$2:$G$1001="MPV")*($D$2:$D$1001&gt;D524))+COUNTIFS($F$2:F524,1,$G$2:G524,"MPV",$D$2:D524,D524)-1)</f>
        <v/>
      </c>
      <c r="Q524" s="62" t="str">
        <f>IF(OR(D524="",NOT(AND(F524=1,G524="SUV"))),"",1+SUMPRODUCT(($F$2:$F$1001=1)*($G$2:$G$1001="SUV")*($D$2:$D$1001&gt;D524))+COUNTIFS($F$2:F524,1,$G$2:G524,"SUV",$D$2:D524,D524)-1)</f>
        <v/>
      </c>
    </row>
    <row r="525" spans="1:17">
      <c r="A525" s="62" t="str">
        <f>IFERROR(INDEX($H$2:$H$3000,MATCH(0,INDEX(COUNTIF($A$1:A524,$H$2:$H$3000)+($H$2:$H$3000=""),0,0),0)),"")</f>
        <v/>
      </c>
      <c r="B525" s="62" t="str">
        <f t="shared" si="32"/>
        <v/>
      </c>
      <c r="C525" s="62" t="str">
        <f t="shared" si="33"/>
        <v/>
      </c>
      <c r="D525" s="63" t="str">
        <f t="shared" si="34"/>
        <v/>
      </c>
      <c r="E525" s="62" t="str">
        <f>IF(D525="","",_xlfn.RANK.EQ(D525,$D$2:$D$1001,0)+COUNTIF($D$2:D525,D525)-1)</f>
        <v/>
      </c>
      <c r="F525" s="62" t="str">
        <f>IF(B525="","",--(COUNTIF(CN_Brands!$A$2:$A$300,UPPER(B525))&gt;0))</f>
        <v/>
      </c>
      <c r="G525" s="62" t="str">
        <f t="shared" si="35"/>
        <v/>
      </c>
      <c r="H525" s="62" t="str">
        <f>IF(AND('Data Export'!A525=前十整体车型排名!$B$2,'Data Export'!B525=前十整体车型排名!$B$3,'Data Export'!D525&lt;&gt;""),UPPER('Data Export'!C525)&amp;"♦"&amp;'Data Export'!D525,"")</f>
        <v>MERCEDES♦GLC-CLASS</v>
      </c>
      <c r="I525" s="63">
        <f>IF(H525="","",IFERROR(INDEX('Data Export'!G525:CZ525,1,MATCH(前十整体车型排名!$B$4,'Data Export'!$G$1:$CZ$1,0)),0))</f>
        <v>0</v>
      </c>
      <c r="J525" s="62" t="str">
        <f>IF(H525="","",IF(OR('Data Export'!F525="三厢轿车",'Data Export'!F525="掀背轿车",'Data Export'!F525="旅行车",'Data Export'!F525="微型车",'Data Export'!F525="硬顶跑车",'Data Export'!F525="敞蓬车",'Data Export'!F525="Targa"),"轿车",IF(OR('Data Export'!F525="小型MPV",'Data Export'!F525="客车"),"MPV",IF('Data Export'!F525="运动型多功能车","SUV","其他"))))</f>
        <v>SUV</v>
      </c>
      <c r="K525" s="62" t="str">
        <f>IF(OR(D525="",NOT(F525=1)),"",1+SUMPRODUCT(($F$2:$F$1001=1)*($D$2:$D$1001&gt;D525))+COUNTIFS($F$2:F525,1,$D$2:D525,D525)-1)</f>
        <v/>
      </c>
      <c r="L525" s="62" t="str">
        <f>IF(OR(D525="",NOT(G525="轿车")),"",1+SUMPRODUCT(($G$2:$G$1001="轿车")*($D$2:$D$1001&gt;D525))+COUNTIFS($G$2:G525,"轿车",$D$2:D525,D525)-1)</f>
        <v/>
      </c>
      <c r="M525" s="62" t="str">
        <f>IF(OR(D525="",NOT(G525="MPV")),"",1+SUMPRODUCT(($G$2:$G$1001="MPV")*($D$2:$D$1001&gt;D525))+COUNTIFS($G$2:G525,"MPV",$D$2:D525,D525)-1)</f>
        <v/>
      </c>
      <c r="N525" s="62" t="str">
        <f>IF(OR(D525="",NOT(G525="SUV")),"",1+SUMPRODUCT(($G$2:$G$1001="SUV")*($D$2:$D$1001&gt;D525))+COUNTIFS($G$2:G525,"SUV",$D$2:D525,D525)-1)</f>
        <v/>
      </c>
      <c r="O525" s="62" t="str">
        <f>IF(OR(D525="",NOT(AND(F525=1,G525="轿车"))),"",1+SUMPRODUCT(($F$2:$F$1001=1)*($G$2:$G$1001="轿车")*($D$2:$D$1001&gt;D525))+COUNTIFS($F$2:F525,1,$G$2:G525,"轿车",$D$2:D525,D525)-1)</f>
        <v/>
      </c>
      <c r="P525" s="62" t="str">
        <f>IF(OR(D525="",NOT(AND(F525=1,G525="MPV"))),"",1+SUMPRODUCT(($F$2:$F$1001=1)*($G$2:$G$1001="MPV")*($D$2:$D$1001&gt;D525))+COUNTIFS($F$2:F525,1,$G$2:G525,"MPV",$D$2:D525,D525)-1)</f>
        <v/>
      </c>
      <c r="Q525" s="62" t="str">
        <f>IF(OR(D525="",NOT(AND(F525=1,G525="SUV"))),"",1+SUMPRODUCT(($F$2:$F$1001=1)*($G$2:$G$1001="SUV")*($D$2:$D$1001&gt;D525))+COUNTIFS($F$2:F525,1,$G$2:G525,"SUV",$D$2:D525,D525)-1)</f>
        <v/>
      </c>
    </row>
    <row r="526" spans="1:17">
      <c r="A526" s="62" t="str">
        <f>IFERROR(INDEX($H$2:$H$3000,MATCH(0,INDEX(COUNTIF($A$1:A525,$H$2:$H$3000)+($H$2:$H$3000=""),0,0),0)),"")</f>
        <v/>
      </c>
      <c r="B526" s="62" t="str">
        <f t="shared" si="32"/>
        <v/>
      </c>
      <c r="C526" s="62" t="str">
        <f t="shared" si="33"/>
        <v/>
      </c>
      <c r="D526" s="63" t="str">
        <f t="shared" si="34"/>
        <v/>
      </c>
      <c r="E526" s="62" t="str">
        <f>IF(D526="","",_xlfn.RANK.EQ(D526,$D$2:$D$1001,0)+COUNTIF($D$2:D526,D526)-1)</f>
        <v/>
      </c>
      <c r="F526" s="62" t="str">
        <f>IF(B526="","",--(COUNTIF(CN_Brands!$A$2:$A$300,UPPER(B526))&gt;0))</f>
        <v/>
      </c>
      <c r="G526" s="62" t="str">
        <f t="shared" si="35"/>
        <v/>
      </c>
      <c r="H526" s="62" t="str">
        <f>IF(AND('Data Export'!A526=前十整体车型排名!$B$2,'Data Export'!B526=前十整体车型排名!$B$3,'Data Export'!D526&lt;&gt;""),UPPER('Data Export'!C526)&amp;"♦"&amp;'Data Export'!D526,"")</f>
        <v>MERCEDES♦GLC-CLASS</v>
      </c>
      <c r="I526" s="63">
        <f>IF(H526="","",IFERROR(INDEX('Data Export'!G526:CZ526,1,MATCH(前十整体车型排名!$B$4,'Data Export'!$G$1:$CZ$1,0)),0))</f>
        <v>36</v>
      </c>
      <c r="J526" s="62" t="str">
        <f>IF(H526="","",IF(OR('Data Export'!F526="三厢轿车",'Data Export'!F526="掀背轿车",'Data Export'!F526="旅行车",'Data Export'!F526="微型车",'Data Export'!F526="硬顶跑车",'Data Export'!F526="敞蓬车",'Data Export'!F526="Targa"),"轿车",IF(OR('Data Export'!F526="小型MPV",'Data Export'!F526="客车"),"MPV",IF('Data Export'!F526="运动型多功能车","SUV","其他"))))</f>
        <v>SUV</v>
      </c>
      <c r="K526" s="62" t="str">
        <f>IF(OR(D526="",NOT(F526=1)),"",1+SUMPRODUCT(($F$2:$F$1001=1)*($D$2:$D$1001&gt;D526))+COUNTIFS($F$2:F526,1,$D$2:D526,D526)-1)</f>
        <v/>
      </c>
      <c r="L526" s="62" t="str">
        <f>IF(OR(D526="",NOT(G526="轿车")),"",1+SUMPRODUCT(($G$2:$G$1001="轿车")*($D$2:$D$1001&gt;D526))+COUNTIFS($G$2:G526,"轿车",$D$2:D526,D526)-1)</f>
        <v/>
      </c>
      <c r="M526" s="62" t="str">
        <f>IF(OR(D526="",NOT(G526="MPV")),"",1+SUMPRODUCT(($G$2:$G$1001="MPV")*($D$2:$D$1001&gt;D526))+COUNTIFS($G$2:G526,"MPV",$D$2:D526,D526)-1)</f>
        <v/>
      </c>
      <c r="N526" s="62" t="str">
        <f>IF(OR(D526="",NOT(G526="SUV")),"",1+SUMPRODUCT(($G$2:$G$1001="SUV")*($D$2:$D$1001&gt;D526))+COUNTIFS($G$2:G526,"SUV",$D$2:D526,D526)-1)</f>
        <v/>
      </c>
      <c r="O526" s="62" t="str">
        <f>IF(OR(D526="",NOT(AND(F526=1,G526="轿车"))),"",1+SUMPRODUCT(($F$2:$F$1001=1)*($G$2:$G$1001="轿车")*($D$2:$D$1001&gt;D526))+COUNTIFS($F$2:F526,1,$G$2:G526,"轿车",$D$2:D526,D526)-1)</f>
        <v/>
      </c>
      <c r="P526" s="62" t="str">
        <f>IF(OR(D526="",NOT(AND(F526=1,G526="MPV"))),"",1+SUMPRODUCT(($F$2:$F$1001=1)*($G$2:$G$1001="MPV")*($D$2:$D$1001&gt;D526))+COUNTIFS($F$2:F526,1,$G$2:G526,"MPV",$D$2:D526,D526)-1)</f>
        <v/>
      </c>
      <c r="Q526" s="62" t="str">
        <f>IF(OR(D526="",NOT(AND(F526=1,G526="SUV"))),"",1+SUMPRODUCT(($F$2:$F$1001=1)*($G$2:$G$1001="SUV")*($D$2:$D$1001&gt;D526))+COUNTIFS($F$2:F526,1,$G$2:G526,"SUV",$D$2:D526,D526)-1)</f>
        <v/>
      </c>
    </row>
    <row r="527" spans="1:17">
      <c r="A527" s="62" t="str">
        <f>IFERROR(INDEX($H$2:$H$3000,MATCH(0,INDEX(COUNTIF($A$1:A526,$H$2:$H$3000)+($H$2:$H$3000=""),0,0),0)),"")</f>
        <v/>
      </c>
      <c r="B527" s="62" t="str">
        <f t="shared" si="32"/>
        <v/>
      </c>
      <c r="C527" s="62" t="str">
        <f t="shared" si="33"/>
        <v/>
      </c>
      <c r="D527" s="63" t="str">
        <f t="shared" si="34"/>
        <v/>
      </c>
      <c r="E527" s="62" t="str">
        <f>IF(D527="","",_xlfn.RANK.EQ(D527,$D$2:$D$1001,0)+COUNTIF($D$2:D527,D527)-1)</f>
        <v/>
      </c>
      <c r="F527" s="62" t="str">
        <f>IF(B527="","",--(COUNTIF(CN_Brands!$A$2:$A$300,UPPER(B527))&gt;0))</f>
        <v/>
      </c>
      <c r="G527" s="62" t="str">
        <f t="shared" si="35"/>
        <v/>
      </c>
      <c r="H527" s="62" t="str">
        <f>IF(AND('Data Export'!A527=前十整体车型排名!$B$2,'Data Export'!B527=前十整体车型排名!$B$3,'Data Export'!D527&lt;&gt;""),UPPER('Data Export'!C527)&amp;"♦"&amp;'Data Export'!D527,"")</f>
        <v>MERCEDES♦GLC-CLASS</v>
      </c>
      <c r="I527" s="63">
        <f>IF(H527="","",IFERROR(INDEX('Data Export'!G527:CZ527,1,MATCH(前十整体车型排名!$B$4,'Data Export'!$G$1:$CZ$1,0)),0))</f>
        <v>2</v>
      </c>
      <c r="J527" s="62" t="str">
        <f>IF(H527="","",IF(OR('Data Export'!F527="三厢轿车",'Data Export'!F527="掀背轿车",'Data Export'!F527="旅行车",'Data Export'!F527="微型车",'Data Export'!F527="硬顶跑车",'Data Export'!F527="敞蓬车",'Data Export'!F527="Targa"),"轿车",IF(OR('Data Export'!F527="小型MPV",'Data Export'!F527="客车"),"MPV",IF('Data Export'!F527="运动型多功能车","SUV","其他"))))</f>
        <v>SUV</v>
      </c>
      <c r="K527" s="62" t="str">
        <f>IF(OR(D527="",NOT(F527=1)),"",1+SUMPRODUCT(($F$2:$F$1001=1)*($D$2:$D$1001&gt;D527))+COUNTIFS($F$2:F527,1,$D$2:D527,D527)-1)</f>
        <v/>
      </c>
      <c r="L527" s="62" t="str">
        <f>IF(OR(D527="",NOT(G527="轿车")),"",1+SUMPRODUCT(($G$2:$G$1001="轿车")*($D$2:$D$1001&gt;D527))+COUNTIFS($G$2:G527,"轿车",$D$2:D527,D527)-1)</f>
        <v/>
      </c>
      <c r="M527" s="62" t="str">
        <f>IF(OR(D527="",NOT(G527="MPV")),"",1+SUMPRODUCT(($G$2:$G$1001="MPV")*($D$2:$D$1001&gt;D527))+COUNTIFS($G$2:G527,"MPV",$D$2:D527,D527)-1)</f>
        <v/>
      </c>
      <c r="N527" s="62" t="str">
        <f>IF(OR(D527="",NOT(G527="SUV")),"",1+SUMPRODUCT(($G$2:$G$1001="SUV")*($D$2:$D$1001&gt;D527))+COUNTIFS($G$2:G527,"SUV",$D$2:D527,D527)-1)</f>
        <v/>
      </c>
      <c r="O527" s="62" t="str">
        <f>IF(OR(D527="",NOT(AND(F527=1,G527="轿车"))),"",1+SUMPRODUCT(($F$2:$F$1001=1)*($G$2:$G$1001="轿车")*($D$2:$D$1001&gt;D527))+COUNTIFS($F$2:F527,1,$G$2:G527,"轿车",$D$2:D527,D527)-1)</f>
        <v/>
      </c>
      <c r="P527" s="62" t="str">
        <f>IF(OR(D527="",NOT(AND(F527=1,G527="MPV"))),"",1+SUMPRODUCT(($F$2:$F$1001=1)*($G$2:$G$1001="MPV")*($D$2:$D$1001&gt;D527))+COUNTIFS($F$2:F527,1,$G$2:G527,"MPV",$D$2:D527,D527)-1)</f>
        <v/>
      </c>
      <c r="Q527" s="62" t="str">
        <f>IF(OR(D527="",NOT(AND(F527=1,G527="SUV"))),"",1+SUMPRODUCT(($F$2:$F$1001=1)*($G$2:$G$1001="SUV")*($D$2:$D$1001&gt;D527))+COUNTIFS($F$2:F527,1,$G$2:G527,"SUV",$D$2:D527,D527)-1)</f>
        <v/>
      </c>
    </row>
    <row r="528" spans="1:17">
      <c r="A528" s="62" t="str">
        <f>IFERROR(INDEX($H$2:$H$3000,MATCH(0,INDEX(COUNTIF($A$1:A527,$H$2:$H$3000)+($H$2:$H$3000=""),0,0),0)),"")</f>
        <v/>
      </c>
      <c r="B528" s="62" t="str">
        <f t="shared" si="32"/>
        <v/>
      </c>
      <c r="C528" s="62" t="str">
        <f t="shared" si="33"/>
        <v/>
      </c>
      <c r="D528" s="63" t="str">
        <f t="shared" si="34"/>
        <v/>
      </c>
      <c r="E528" s="62" t="str">
        <f>IF(D528="","",_xlfn.RANK.EQ(D528,$D$2:$D$1001,0)+COUNTIF($D$2:D528,D528)-1)</f>
        <v/>
      </c>
      <c r="F528" s="62" t="str">
        <f>IF(B528="","",--(COUNTIF(CN_Brands!$A$2:$A$300,UPPER(B528))&gt;0))</f>
        <v/>
      </c>
      <c r="G528" s="62" t="str">
        <f t="shared" si="35"/>
        <v/>
      </c>
      <c r="H528" s="62" t="str">
        <f>IF(AND('Data Export'!A528=前十整体车型排名!$B$2,'Data Export'!B528=前十整体车型排名!$B$3,'Data Export'!D528&lt;&gt;""),UPPER('Data Export'!C528)&amp;"♦"&amp;'Data Export'!D528,"")</f>
        <v>MERCEDES♦GLC-CLASS</v>
      </c>
      <c r="I528" s="63">
        <f>IF(H528="","",IFERROR(INDEX('Data Export'!G528:CZ528,1,MATCH(前十整体车型排名!$B$4,'Data Export'!$G$1:$CZ$1,0)),0))</f>
        <v>15</v>
      </c>
      <c r="J528" s="62" t="str">
        <f>IF(H528="","",IF(OR('Data Export'!F528="三厢轿车",'Data Export'!F528="掀背轿车",'Data Export'!F528="旅行车",'Data Export'!F528="微型车",'Data Export'!F528="硬顶跑车",'Data Export'!F528="敞蓬车",'Data Export'!F528="Targa"),"轿车",IF(OR('Data Export'!F528="小型MPV",'Data Export'!F528="客车"),"MPV",IF('Data Export'!F528="运动型多功能车","SUV","其他"))))</f>
        <v>SUV</v>
      </c>
      <c r="K528" s="62" t="str">
        <f>IF(OR(D528="",NOT(F528=1)),"",1+SUMPRODUCT(($F$2:$F$1001=1)*($D$2:$D$1001&gt;D528))+COUNTIFS($F$2:F528,1,$D$2:D528,D528)-1)</f>
        <v/>
      </c>
      <c r="L528" s="62" t="str">
        <f>IF(OR(D528="",NOT(G528="轿车")),"",1+SUMPRODUCT(($G$2:$G$1001="轿车")*($D$2:$D$1001&gt;D528))+COUNTIFS($G$2:G528,"轿车",$D$2:D528,D528)-1)</f>
        <v/>
      </c>
      <c r="M528" s="62" t="str">
        <f>IF(OR(D528="",NOT(G528="MPV")),"",1+SUMPRODUCT(($G$2:$G$1001="MPV")*($D$2:$D$1001&gt;D528))+COUNTIFS($G$2:G528,"MPV",$D$2:D528,D528)-1)</f>
        <v/>
      </c>
      <c r="N528" s="62" t="str">
        <f>IF(OR(D528="",NOT(G528="SUV")),"",1+SUMPRODUCT(($G$2:$G$1001="SUV")*($D$2:$D$1001&gt;D528))+COUNTIFS($G$2:G528,"SUV",$D$2:D528,D528)-1)</f>
        <v/>
      </c>
      <c r="O528" s="62" t="str">
        <f>IF(OR(D528="",NOT(AND(F528=1,G528="轿车"))),"",1+SUMPRODUCT(($F$2:$F$1001=1)*($G$2:$G$1001="轿车")*($D$2:$D$1001&gt;D528))+COUNTIFS($F$2:F528,1,$G$2:G528,"轿车",$D$2:D528,D528)-1)</f>
        <v/>
      </c>
      <c r="P528" s="62" t="str">
        <f>IF(OR(D528="",NOT(AND(F528=1,G528="MPV"))),"",1+SUMPRODUCT(($F$2:$F$1001=1)*($G$2:$G$1001="MPV")*($D$2:$D$1001&gt;D528))+COUNTIFS($F$2:F528,1,$G$2:G528,"MPV",$D$2:D528,D528)-1)</f>
        <v/>
      </c>
      <c r="Q528" s="62" t="str">
        <f>IF(OR(D528="",NOT(AND(F528=1,G528="SUV"))),"",1+SUMPRODUCT(($F$2:$F$1001=1)*($G$2:$G$1001="SUV")*($D$2:$D$1001&gt;D528))+COUNTIFS($F$2:F528,1,$G$2:G528,"SUV",$D$2:D528,D528)-1)</f>
        <v/>
      </c>
    </row>
    <row r="529" spans="1:17">
      <c r="A529" s="62" t="str">
        <f>IFERROR(INDEX($H$2:$H$3000,MATCH(0,INDEX(COUNTIF($A$1:A528,$H$2:$H$3000)+($H$2:$H$3000=""),0,0),0)),"")</f>
        <v/>
      </c>
      <c r="B529" s="62" t="str">
        <f t="shared" si="32"/>
        <v/>
      </c>
      <c r="C529" s="62" t="str">
        <f t="shared" si="33"/>
        <v/>
      </c>
      <c r="D529" s="63" t="str">
        <f t="shared" si="34"/>
        <v/>
      </c>
      <c r="E529" s="62" t="str">
        <f>IF(D529="","",_xlfn.RANK.EQ(D529,$D$2:$D$1001,0)+COUNTIF($D$2:D529,D529)-1)</f>
        <v/>
      </c>
      <c r="F529" s="62" t="str">
        <f>IF(B529="","",--(COUNTIF(CN_Brands!$A$2:$A$300,UPPER(B529))&gt;0))</f>
        <v/>
      </c>
      <c r="G529" s="62" t="str">
        <f t="shared" si="35"/>
        <v/>
      </c>
      <c r="H529" s="62" t="str">
        <f>IF(AND('Data Export'!A529=前十整体车型排名!$B$2,'Data Export'!B529=前十整体车型排名!$B$3,'Data Export'!D529&lt;&gt;""),UPPER('Data Export'!C529)&amp;"♦"&amp;'Data Export'!D529,"")</f>
        <v>MERCEDES♦GLC-CLASS</v>
      </c>
      <c r="I529" s="63">
        <f>IF(H529="","",IFERROR(INDEX('Data Export'!G529:CZ529,1,MATCH(前十整体车型排名!$B$4,'Data Export'!$G$1:$CZ$1,0)),0))</f>
        <v>1</v>
      </c>
      <c r="J529" s="62" t="str">
        <f>IF(H529="","",IF(OR('Data Export'!F529="三厢轿车",'Data Export'!F529="掀背轿车",'Data Export'!F529="旅行车",'Data Export'!F529="微型车",'Data Export'!F529="硬顶跑车",'Data Export'!F529="敞蓬车",'Data Export'!F529="Targa"),"轿车",IF(OR('Data Export'!F529="小型MPV",'Data Export'!F529="客车"),"MPV",IF('Data Export'!F529="运动型多功能车","SUV","其他"))))</f>
        <v>SUV</v>
      </c>
      <c r="K529" s="62" t="str">
        <f>IF(OR(D529="",NOT(F529=1)),"",1+SUMPRODUCT(($F$2:$F$1001=1)*($D$2:$D$1001&gt;D529))+COUNTIFS($F$2:F529,1,$D$2:D529,D529)-1)</f>
        <v/>
      </c>
      <c r="L529" s="62" t="str">
        <f>IF(OR(D529="",NOT(G529="轿车")),"",1+SUMPRODUCT(($G$2:$G$1001="轿车")*($D$2:$D$1001&gt;D529))+COUNTIFS($G$2:G529,"轿车",$D$2:D529,D529)-1)</f>
        <v/>
      </c>
      <c r="M529" s="62" t="str">
        <f>IF(OR(D529="",NOT(G529="MPV")),"",1+SUMPRODUCT(($G$2:$G$1001="MPV")*($D$2:$D$1001&gt;D529))+COUNTIFS($G$2:G529,"MPV",$D$2:D529,D529)-1)</f>
        <v/>
      </c>
      <c r="N529" s="62" t="str">
        <f>IF(OR(D529="",NOT(G529="SUV")),"",1+SUMPRODUCT(($G$2:$G$1001="SUV")*($D$2:$D$1001&gt;D529))+COUNTIFS($G$2:G529,"SUV",$D$2:D529,D529)-1)</f>
        <v/>
      </c>
      <c r="O529" s="62" t="str">
        <f>IF(OR(D529="",NOT(AND(F529=1,G529="轿车"))),"",1+SUMPRODUCT(($F$2:$F$1001=1)*($G$2:$G$1001="轿车")*($D$2:$D$1001&gt;D529))+COUNTIFS($F$2:F529,1,$G$2:G529,"轿车",$D$2:D529,D529)-1)</f>
        <v/>
      </c>
      <c r="P529" s="62" t="str">
        <f>IF(OR(D529="",NOT(AND(F529=1,G529="MPV"))),"",1+SUMPRODUCT(($F$2:$F$1001=1)*($G$2:$G$1001="MPV")*($D$2:$D$1001&gt;D529))+COUNTIFS($F$2:F529,1,$G$2:G529,"MPV",$D$2:D529,D529)-1)</f>
        <v/>
      </c>
      <c r="Q529" s="62" t="str">
        <f>IF(OR(D529="",NOT(AND(F529=1,G529="SUV"))),"",1+SUMPRODUCT(($F$2:$F$1001=1)*($G$2:$G$1001="SUV")*($D$2:$D$1001&gt;D529))+COUNTIFS($F$2:F529,1,$G$2:G529,"SUV",$D$2:D529,D529)-1)</f>
        <v/>
      </c>
    </row>
    <row r="530" spans="1:17">
      <c r="A530" s="62" t="str">
        <f>IFERROR(INDEX($H$2:$H$3000,MATCH(0,INDEX(COUNTIF($A$1:A529,$H$2:$H$3000)+($H$2:$H$3000=""),0,0),0)),"")</f>
        <v/>
      </c>
      <c r="B530" s="62" t="str">
        <f t="shared" si="32"/>
        <v/>
      </c>
      <c r="C530" s="62" t="str">
        <f t="shared" si="33"/>
        <v/>
      </c>
      <c r="D530" s="63" t="str">
        <f t="shared" si="34"/>
        <v/>
      </c>
      <c r="E530" s="62" t="str">
        <f>IF(D530="","",_xlfn.RANK.EQ(D530,$D$2:$D$1001,0)+COUNTIF($D$2:D530,D530)-1)</f>
        <v/>
      </c>
      <c r="F530" s="62" t="str">
        <f>IF(B530="","",--(COUNTIF(CN_Brands!$A$2:$A$300,UPPER(B530))&gt;0))</f>
        <v/>
      </c>
      <c r="G530" s="62" t="str">
        <f t="shared" si="35"/>
        <v/>
      </c>
      <c r="H530" s="62" t="str">
        <f>IF(AND('Data Export'!A530=前十整体车型排名!$B$2,'Data Export'!B530=前十整体车型排名!$B$3,'Data Export'!D530&lt;&gt;""),UPPER('Data Export'!C530)&amp;"♦"&amp;'Data Export'!D530,"")</f>
        <v>MERCEDES♦GLE</v>
      </c>
      <c r="I530" s="63">
        <f>IF(H530="","",IFERROR(INDEX('Data Export'!G530:CZ530,1,MATCH(前十整体车型排名!$B$4,'Data Export'!$G$1:$CZ$1,0)),0))</f>
        <v>7</v>
      </c>
      <c r="J530" s="62" t="str">
        <f>IF(H530="","",IF(OR('Data Export'!F530="三厢轿车",'Data Export'!F530="掀背轿车",'Data Export'!F530="旅行车",'Data Export'!F530="微型车",'Data Export'!F530="硬顶跑车",'Data Export'!F530="敞蓬车",'Data Export'!F530="Targa"),"轿车",IF(OR('Data Export'!F530="小型MPV",'Data Export'!F530="客车"),"MPV",IF('Data Export'!F530="运动型多功能车","SUV","其他"))))</f>
        <v>SUV</v>
      </c>
      <c r="K530" s="62" t="str">
        <f>IF(OR(D530="",NOT(F530=1)),"",1+SUMPRODUCT(($F$2:$F$1001=1)*($D$2:$D$1001&gt;D530))+COUNTIFS($F$2:F530,1,$D$2:D530,D530)-1)</f>
        <v/>
      </c>
      <c r="L530" s="62" t="str">
        <f>IF(OR(D530="",NOT(G530="轿车")),"",1+SUMPRODUCT(($G$2:$G$1001="轿车")*($D$2:$D$1001&gt;D530))+COUNTIFS($G$2:G530,"轿车",$D$2:D530,D530)-1)</f>
        <v/>
      </c>
      <c r="M530" s="62" t="str">
        <f>IF(OR(D530="",NOT(G530="MPV")),"",1+SUMPRODUCT(($G$2:$G$1001="MPV")*($D$2:$D$1001&gt;D530))+COUNTIFS($G$2:G530,"MPV",$D$2:D530,D530)-1)</f>
        <v/>
      </c>
      <c r="N530" s="62" t="str">
        <f>IF(OR(D530="",NOT(G530="SUV")),"",1+SUMPRODUCT(($G$2:$G$1001="SUV")*($D$2:$D$1001&gt;D530))+COUNTIFS($G$2:G530,"SUV",$D$2:D530,D530)-1)</f>
        <v/>
      </c>
      <c r="O530" s="62" t="str">
        <f>IF(OR(D530="",NOT(AND(F530=1,G530="轿车"))),"",1+SUMPRODUCT(($F$2:$F$1001=1)*($G$2:$G$1001="轿车")*($D$2:$D$1001&gt;D530))+COUNTIFS($F$2:F530,1,$G$2:G530,"轿车",$D$2:D530,D530)-1)</f>
        <v/>
      </c>
      <c r="P530" s="62" t="str">
        <f>IF(OR(D530="",NOT(AND(F530=1,G530="MPV"))),"",1+SUMPRODUCT(($F$2:$F$1001=1)*($G$2:$G$1001="MPV")*($D$2:$D$1001&gt;D530))+COUNTIFS($F$2:F530,1,$G$2:G530,"MPV",$D$2:D530,D530)-1)</f>
        <v/>
      </c>
      <c r="Q530" s="62" t="str">
        <f>IF(OR(D530="",NOT(AND(F530=1,G530="SUV"))),"",1+SUMPRODUCT(($F$2:$F$1001=1)*($G$2:$G$1001="SUV")*($D$2:$D$1001&gt;D530))+COUNTIFS($F$2:F530,1,$G$2:G530,"SUV",$D$2:D530,D530)-1)</f>
        <v/>
      </c>
    </row>
    <row r="531" spans="1:17">
      <c r="A531" s="62" t="str">
        <f>IFERROR(INDEX($H$2:$H$3000,MATCH(0,INDEX(COUNTIF($A$1:A530,$H$2:$H$3000)+($H$2:$H$3000=""),0,0),0)),"")</f>
        <v/>
      </c>
      <c r="B531" s="62" t="str">
        <f t="shared" si="32"/>
        <v/>
      </c>
      <c r="C531" s="62" t="str">
        <f t="shared" si="33"/>
        <v/>
      </c>
      <c r="D531" s="63" t="str">
        <f t="shared" si="34"/>
        <v/>
      </c>
      <c r="E531" s="62" t="str">
        <f>IF(D531="","",_xlfn.RANK.EQ(D531,$D$2:$D$1001,0)+COUNTIF($D$2:D531,D531)-1)</f>
        <v/>
      </c>
      <c r="F531" s="62" t="str">
        <f>IF(B531="","",--(COUNTIF(CN_Brands!$A$2:$A$300,UPPER(B531))&gt;0))</f>
        <v/>
      </c>
      <c r="G531" s="62" t="str">
        <f t="shared" si="35"/>
        <v/>
      </c>
      <c r="H531" s="62" t="str">
        <f>IF(AND('Data Export'!A531=前十整体车型排名!$B$2,'Data Export'!B531=前十整体车型排名!$B$3,'Data Export'!D531&lt;&gt;""),UPPER('Data Export'!C531)&amp;"♦"&amp;'Data Export'!D531,"")</f>
        <v>MERCEDES♦GLE</v>
      </c>
      <c r="I531" s="63">
        <f>IF(H531="","",IFERROR(INDEX('Data Export'!G531:CZ531,1,MATCH(前十整体车型排名!$B$4,'Data Export'!$G$1:$CZ$1,0)),0))</f>
        <v>12</v>
      </c>
      <c r="J531" s="62" t="str">
        <f>IF(H531="","",IF(OR('Data Export'!F531="三厢轿车",'Data Export'!F531="掀背轿车",'Data Export'!F531="旅行车",'Data Export'!F531="微型车",'Data Export'!F531="硬顶跑车",'Data Export'!F531="敞蓬车",'Data Export'!F531="Targa"),"轿车",IF(OR('Data Export'!F531="小型MPV",'Data Export'!F531="客车"),"MPV",IF('Data Export'!F531="运动型多功能车","SUV","其他"))))</f>
        <v>SUV</v>
      </c>
      <c r="K531" s="62" t="str">
        <f>IF(OR(D531="",NOT(F531=1)),"",1+SUMPRODUCT(($F$2:$F$1001=1)*($D$2:$D$1001&gt;D531))+COUNTIFS($F$2:F531,1,$D$2:D531,D531)-1)</f>
        <v/>
      </c>
      <c r="L531" s="62" t="str">
        <f>IF(OR(D531="",NOT(G531="轿车")),"",1+SUMPRODUCT(($G$2:$G$1001="轿车")*($D$2:$D$1001&gt;D531))+COUNTIFS($G$2:G531,"轿车",$D$2:D531,D531)-1)</f>
        <v/>
      </c>
      <c r="M531" s="62" t="str">
        <f>IF(OR(D531="",NOT(G531="MPV")),"",1+SUMPRODUCT(($G$2:$G$1001="MPV")*($D$2:$D$1001&gt;D531))+COUNTIFS($G$2:G531,"MPV",$D$2:D531,D531)-1)</f>
        <v/>
      </c>
      <c r="N531" s="62" t="str">
        <f>IF(OR(D531="",NOT(G531="SUV")),"",1+SUMPRODUCT(($G$2:$G$1001="SUV")*($D$2:$D$1001&gt;D531))+COUNTIFS($G$2:G531,"SUV",$D$2:D531,D531)-1)</f>
        <v/>
      </c>
      <c r="O531" s="62" t="str">
        <f>IF(OR(D531="",NOT(AND(F531=1,G531="轿车"))),"",1+SUMPRODUCT(($F$2:$F$1001=1)*($G$2:$G$1001="轿车")*($D$2:$D$1001&gt;D531))+COUNTIFS($F$2:F531,1,$G$2:G531,"轿车",$D$2:D531,D531)-1)</f>
        <v/>
      </c>
      <c r="P531" s="62" t="str">
        <f>IF(OR(D531="",NOT(AND(F531=1,G531="MPV"))),"",1+SUMPRODUCT(($F$2:$F$1001=1)*($G$2:$G$1001="MPV")*($D$2:$D$1001&gt;D531))+COUNTIFS($F$2:F531,1,$G$2:G531,"MPV",$D$2:D531,D531)-1)</f>
        <v/>
      </c>
      <c r="Q531" s="62" t="str">
        <f>IF(OR(D531="",NOT(AND(F531=1,G531="SUV"))),"",1+SUMPRODUCT(($F$2:$F$1001=1)*($G$2:$G$1001="SUV")*($D$2:$D$1001&gt;D531))+COUNTIFS($F$2:F531,1,$G$2:G531,"SUV",$D$2:D531,D531)-1)</f>
        <v/>
      </c>
    </row>
    <row r="532" spans="1:17">
      <c r="A532" s="62" t="str">
        <f>IFERROR(INDEX($H$2:$H$3000,MATCH(0,INDEX(COUNTIF($A$1:A531,$H$2:$H$3000)+($H$2:$H$3000=""),0,0),0)),"")</f>
        <v/>
      </c>
      <c r="B532" s="62" t="str">
        <f t="shared" si="32"/>
        <v/>
      </c>
      <c r="C532" s="62" t="str">
        <f t="shared" si="33"/>
        <v/>
      </c>
      <c r="D532" s="63" t="str">
        <f t="shared" si="34"/>
        <v/>
      </c>
      <c r="E532" s="62" t="str">
        <f>IF(D532="","",_xlfn.RANK.EQ(D532,$D$2:$D$1001,0)+COUNTIF($D$2:D532,D532)-1)</f>
        <v/>
      </c>
      <c r="F532" s="62" t="str">
        <f>IF(B532="","",--(COUNTIF(CN_Brands!$A$2:$A$300,UPPER(B532))&gt;0))</f>
        <v/>
      </c>
      <c r="G532" s="62" t="str">
        <f t="shared" si="35"/>
        <v/>
      </c>
      <c r="H532" s="62" t="str">
        <f>IF(AND('Data Export'!A532=前十整体车型排名!$B$2,'Data Export'!B532=前十整体车型排名!$B$3,'Data Export'!D532&lt;&gt;""),UPPER('Data Export'!C532)&amp;"♦"&amp;'Data Export'!D532,"")</f>
        <v>MERCEDES♦GLS</v>
      </c>
      <c r="I532" s="63">
        <f>IF(H532="","",IFERROR(INDEX('Data Export'!G532:CZ532,1,MATCH(前十整体车型排名!$B$4,'Data Export'!$G$1:$CZ$1,0)),0))</f>
        <v>0</v>
      </c>
      <c r="J532" s="62" t="str">
        <f>IF(H532="","",IF(OR('Data Export'!F532="三厢轿车",'Data Export'!F532="掀背轿车",'Data Export'!F532="旅行车",'Data Export'!F532="微型车",'Data Export'!F532="硬顶跑车",'Data Export'!F532="敞蓬车",'Data Export'!F532="Targa"),"轿车",IF(OR('Data Export'!F532="小型MPV",'Data Export'!F532="客车"),"MPV",IF('Data Export'!F532="运动型多功能车","SUV","其他"))))</f>
        <v>SUV</v>
      </c>
      <c r="K532" s="62" t="str">
        <f>IF(OR(D532="",NOT(F532=1)),"",1+SUMPRODUCT(($F$2:$F$1001=1)*($D$2:$D$1001&gt;D532))+COUNTIFS($F$2:F532,1,$D$2:D532,D532)-1)</f>
        <v/>
      </c>
      <c r="L532" s="62" t="str">
        <f>IF(OR(D532="",NOT(G532="轿车")),"",1+SUMPRODUCT(($G$2:$G$1001="轿车")*($D$2:$D$1001&gt;D532))+COUNTIFS($G$2:G532,"轿车",$D$2:D532,D532)-1)</f>
        <v/>
      </c>
      <c r="M532" s="62" t="str">
        <f>IF(OR(D532="",NOT(G532="MPV")),"",1+SUMPRODUCT(($G$2:$G$1001="MPV")*($D$2:$D$1001&gt;D532))+COUNTIFS($G$2:G532,"MPV",$D$2:D532,D532)-1)</f>
        <v/>
      </c>
      <c r="N532" s="62" t="str">
        <f>IF(OR(D532="",NOT(G532="SUV")),"",1+SUMPRODUCT(($G$2:$G$1001="SUV")*($D$2:$D$1001&gt;D532))+COUNTIFS($G$2:G532,"SUV",$D$2:D532,D532)-1)</f>
        <v/>
      </c>
      <c r="O532" s="62" t="str">
        <f>IF(OR(D532="",NOT(AND(F532=1,G532="轿车"))),"",1+SUMPRODUCT(($F$2:$F$1001=1)*($G$2:$G$1001="轿车")*($D$2:$D$1001&gt;D532))+COUNTIFS($F$2:F532,1,$G$2:G532,"轿车",$D$2:D532,D532)-1)</f>
        <v/>
      </c>
      <c r="P532" s="62" t="str">
        <f>IF(OR(D532="",NOT(AND(F532=1,G532="MPV"))),"",1+SUMPRODUCT(($F$2:$F$1001=1)*($G$2:$G$1001="MPV")*($D$2:$D$1001&gt;D532))+COUNTIFS($F$2:F532,1,$G$2:G532,"MPV",$D$2:D532,D532)-1)</f>
        <v/>
      </c>
      <c r="Q532" s="62" t="str">
        <f>IF(OR(D532="",NOT(AND(F532=1,G532="SUV"))),"",1+SUMPRODUCT(($F$2:$F$1001=1)*($G$2:$G$1001="SUV")*($D$2:$D$1001&gt;D532))+COUNTIFS($F$2:F532,1,$G$2:G532,"SUV",$D$2:D532,D532)-1)</f>
        <v/>
      </c>
    </row>
    <row r="533" spans="1:17">
      <c r="A533" s="62" t="str">
        <f>IFERROR(INDEX($H$2:$H$3000,MATCH(0,INDEX(COUNTIF($A$1:A532,$H$2:$H$3000)+($H$2:$H$3000=""),0,0),0)),"")</f>
        <v/>
      </c>
      <c r="B533" s="62" t="str">
        <f t="shared" si="32"/>
        <v/>
      </c>
      <c r="C533" s="62" t="str">
        <f t="shared" si="33"/>
        <v/>
      </c>
      <c r="D533" s="63" t="str">
        <f t="shared" si="34"/>
        <v/>
      </c>
      <c r="E533" s="62" t="str">
        <f>IF(D533="","",_xlfn.RANK.EQ(D533,$D$2:$D$1001,0)+COUNTIF($D$2:D533,D533)-1)</f>
        <v/>
      </c>
      <c r="F533" s="62" t="str">
        <f>IF(B533="","",--(COUNTIF(CN_Brands!$A$2:$A$300,UPPER(B533))&gt;0))</f>
        <v/>
      </c>
      <c r="G533" s="62" t="str">
        <f t="shared" si="35"/>
        <v/>
      </c>
      <c r="H533" s="62" t="str">
        <f>IF(AND('Data Export'!A533=前十整体车型排名!$B$2,'Data Export'!B533=前十整体车型排名!$B$3,'Data Export'!D533&lt;&gt;""),UPPER('Data Export'!C533)&amp;"♦"&amp;'Data Export'!D533,"")</f>
        <v>MERCEDES♦GLS</v>
      </c>
      <c r="I533" s="63">
        <f>IF(H533="","",IFERROR(INDEX('Data Export'!G533:CZ533,1,MATCH(前十整体车型排名!$B$4,'Data Export'!$G$1:$CZ$1,0)),0))</f>
        <v>0</v>
      </c>
      <c r="J533" s="62" t="str">
        <f>IF(H533="","",IF(OR('Data Export'!F533="三厢轿车",'Data Export'!F533="掀背轿车",'Data Export'!F533="旅行车",'Data Export'!F533="微型车",'Data Export'!F533="硬顶跑车",'Data Export'!F533="敞蓬车",'Data Export'!F533="Targa"),"轿车",IF(OR('Data Export'!F533="小型MPV",'Data Export'!F533="客车"),"MPV",IF('Data Export'!F533="运动型多功能车","SUV","其他"))))</f>
        <v>SUV</v>
      </c>
      <c r="K533" s="62" t="str">
        <f>IF(OR(D533="",NOT(F533=1)),"",1+SUMPRODUCT(($F$2:$F$1001=1)*($D$2:$D$1001&gt;D533))+COUNTIFS($F$2:F533,1,$D$2:D533,D533)-1)</f>
        <v/>
      </c>
      <c r="L533" s="62" t="str">
        <f>IF(OR(D533="",NOT(G533="轿车")),"",1+SUMPRODUCT(($G$2:$G$1001="轿车")*($D$2:$D$1001&gt;D533))+COUNTIFS($G$2:G533,"轿车",$D$2:D533,D533)-1)</f>
        <v/>
      </c>
      <c r="M533" s="62" t="str">
        <f>IF(OR(D533="",NOT(G533="MPV")),"",1+SUMPRODUCT(($G$2:$G$1001="MPV")*($D$2:$D$1001&gt;D533))+COUNTIFS($G$2:G533,"MPV",$D$2:D533,D533)-1)</f>
        <v/>
      </c>
      <c r="N533" s="62" t="str">
        <f>IF(OR(D533="",NOT(G533="SUV")),"",1+SUMPRODUCT(($G$2:$G$1001="SUV")*($D$2:$D$1001&gt;D533))+COUNTIFS($G$2:G533,"SUV",$D$2:D533,D533)-1)</f>
        <v/>
      </c>
      <c r="O533" s="62" t="str">
        <f>IF(OR(D533="",NOT(AND(F533=1,G533="轿车"))),"",1+SUMPRODUCT(($F$2:$F$1001=1)*($G$2:$G$1001="轿车")*($D$2:$D$1001&gt;D533))+COUNTIFS($F$2:F533,1,$G$2:G533,"轿车",$D$2:D533,D533)-1)</f>
        <v/>
      </c>
      <c r="P533" s="62" t="str">
        <f>IF(OR(D533="",NOT(AND(F533=1,G533="MPV"))),"",1+SUMPRODUCT(($F$2:$F$1001=1)*($G$2:$G$1001="MPV")*($D$2:$D$1001&gt;D533))+COUNTIFS($F$2:F533,1,$G$2:G533,"MPV",$D$2:D533,D533)-1)</f>
        <v/>
      </c>
      <c r="Q533" s="62" t="str">
        <f>IF(OR(D533="",NOT(AND(F533=1,G533="SUV"))),"",1+SUMPRODUCT(($F$2:$F$1001=1)*($G$2:$G$1001="SUV")*($D$2:$D$1001&gt;D533))+COUNTIFS($F$2:F533,1,$G$2:G533,"SUV",$D$2:D533,D533)-1)</f>
        <v/>
      </c>
    </row>
    <row r="534" spans="1:17">
      <c r="A534" s="62" t="str">
        <f>IFERROR(INDEX($H$2:$H$3000,MATCH(0,INDEX(COUNTIF($A$1:A533,$H$2:$H$3000)+($H$2:$H$3000=""),0,0),0)),"")</f>
        <v/>
      </c>
      <c r="B534" s="62" t="str">
        <f t="shared" si="32"/>
        <v/>
      </c>
      <c r="C534" s="62" t="str">
        <f t="shared" si="33"/>
        <v/>
      </c>
      <c r="D534" s="63" t="str">
        <f t="shared" si="34"/>
        <v/>
      </c>
      <c r="E534" s="62" t="str">
        <f>IF(D534="","",_xlfn.RANK.EQ(D534,$D$2:$D$1001,0)+COUNTIF($D$2:D534,D534)-1)</f>
        <v/>
      </c>
      <c r="F534" s="62" t="str">
        <f>IF(B534="","",--(COUNTIF(CN_Brands!$A$2:$A$300,UPPER(B534))&gt;0))</f>
        <v/>
      </c>
      <c r="G534" s="62" t="str">
        <f t="shared" si="35"/>
        <v/>
      </c>
      <c r="H534" s="62" t="str">
        <f>IF(AND('Data Export'!A534=前十整体车型排名!$B$2,'Data Export'!B534=前十整体车型排名!$B$3,'Data Export'!D534&lt;&gt;""),UPPER('Data Export'!C534)&amp;"♦"&amp;'Data Export'!D534,"")</f>
        <v>MERCEDES♦GLS</v>
      </c>
      <c r="I534" s="63">
        <f>IF(H534="","",IFERROR(INDEX('Data Export'!G534:CZ534,1,MATCH(前十整体车型排名!$B$4,'Data Export'!$G$1:$CZ$1,0)),0))</f>
        <v>5</v>
      </c>
      <c r="J534" s="62" t="str">
        <f>IF(H534="","",IF(OR('Data Export'!F534="三厢轿车",'Data Export'!F534="掀背轿车",'Data Export'!F534="旅行车",'Data Export'!F534="微型车",'Data Export'!F534="硬顶跑车",'Data Export'!F534="敞蓬车",'Data Export'!F534="Targa"),"轿车",IF(OR('Data Export'!F534="小型MPV",'Data Export'!F534="客车"),"MPV",IF('Data Export'!F534="运动型多功能车","SUV","其他"))))</f>
        <v>SUV</v>
      </c>
      <c r="K534" s="62" t="str">
        <f>IF(OR(D534="",NOT(F534=1)),"",1+SUMPRODUCT(($F$2:$F$1001=1)*($D$2:$D$1001&gt;D534))+COUNTIFS($F$2:F534,1,$D$2:D534,D534)-1)</f>
        <v/>
      </c>
      <c r="L534" s="62" t="str">
        <f>IF(OR(D534="",NOT(G534="轿车")),"",1+SUMPRODUCT(($G$2:$G$1001="轿车")*($D$2:$D$1001&gt;D534))+COUNTIFS($G$2:G534,"轿车",$D$2:D534,D534)-1)</f>
        <v/>
      </c>
      <c r="M534" s="62" t="str">
        <f>IF(OR(D534="",NOT(G534="MPV")),"",1+SUMPRODUCT(($G$2:$G$1001="MPV")*($D$2:$D$1001&gt;D534))+COUNTIFS($G$2:G534,"MPV",$D$2:D534,D534)-1)</f>
        <v/>
      </c>
      <c r="N534" s="62" t="str">
        <f>IF(OR(D534="",NOT(G534="SUV")),"",1+SUMPRODUCT(($G$2:$G$1001="SUV")*($D$2:$D$1001&gt;D534))+COUNTIFS($G$2:G534,"SUV",$D$2:D534,D534)-1)</f>
        <v/>
      </c>
      <c r="O534" s="62" t="str">
        <f>IF(OR(D534="",NOT(AND(F534=1,G534="轿车"))),"",1+SUMPRODUCT(($F$2:$F$1001=1)*($G$2:$G$1001="轿车")*($D$2:$D$1001&gt;D534))+COUNTIFS($F$2:F534,1,$G$2:G534,"轿车",$D$2:D534,D534)-1)</f>
        <v/>
      </c>
      <c r="P534" s="62" t="str">
        <f>IF(OR(D534="",NOT(AND(F534=1,G534="MPV"))),"",1+SUMPRODUCT(($F$2:$F$1001=1)*($G$2:$G$1001="MPV")*($D$2:$D$1001&gt;D534))+COUNTIFS($F$2:F534,1,$G$2:G534,"MPV",$D$2:D534,D534)-1)</f>
        <v/>
      </c>
      <c r="Q534" s="62" t="str">
        <f>IF(OR(D534="",NOT(AND(F534=1,G534="SUV"))),"",1+SUMPRODUCT(($F$2:$F$1001=1)*($G$2:$G$1001="SUV")*($D$2:$D$1001&gt;D534))+COUNTIFS($F$2:F534,1,$G$2:G534,"SUV",$D$2:D534,D534)-1)</f>
        <v/>
      </c>
    </row>
    <row r="535" spans="1:17">
      <c r="A535" s="62" t="str">
        <f>IFERROR(INDEX($H$2:$H$3000,MATCH(0,INDEX(COUNTIF($A$1:A534,$H$2:$H$3000)+($H$2:$H$3000=""),0,0),0)),"")</f>
        <v/>
      </c>
      <c r="B535" s="62" t="str">
        <f t="shared" si="32"/>
        <v/>
      </c>
      <c r="C535" s="62" t="str">
        <f t="shared" si="33"/>
        <v/>
      </c>
      <c r="D535" s="63" t="str">
        <f t="shared" si="34"/>
        <v/>
      </c>
      <c r="E535" s="62" t="str">
        <f>IF(D535="","",_xlfn.RANK.EQ(D535,$D$2:$D$1001,0)+COUNTIF($D$2:D535,D535)-1)</f>
        <v/>
      </c>
      <c r="F535" s="62" t="str">
        <f>IF(B535="","",--(COUNTIF(CN_Brands!$A$2:$A$300,UPPER(B535))&gt;0))</f>
        <v/>
      </c>
      <c r="G535" s="62" t="str">
        <f t="shared" si="35"/>
        <v/>
      </c>
      <c r="H535" s="62" t="str">
        <f>IF(AND('Data Export'!A535=前十整体车型排名!$B$2,'Data Export'!B535=前十整体车型排名!$B$3,'Data Export'!D535&lt;&gt;""),UPPER('Data Export'!C535)&amp;"♦"&amp;'Data Export'!D535,"")</f>
        <v>MERCEDES♦OTHER</v>
      </c>
      <c r="I535" s="63">
        <f>IF(H535="","",IFERROR(INDEX('Data Export'!G535:CZ535,1,MATCH(前十整体车型排名!$B$4,'Data Export'!$G$1:$CZ$1,0)),0))</f>
        <v>0</v>
      </c>
      <c r="J535" s="62" t="str">
        <f>IF(H535="","",IF(OR('Data Export'!F535="三厢轿车",'Data Export'!F535="掀背轿车",'Data Export'!F535="旅行车",'Data Export'!F535="微型车",'Data Export'!F535="硬顶跑车",'Data Export'!F535="敞蓬车",'Data Export'!F535="Targa"),"轿车",IF(OR('Data Export'!F535="小型MPV",'Data Export'!F535="客车"),"MPV",IF('Data Export'!F535="运动型多功能车","SUV","其他"))))</f>
        <v>其他</v>
      </c>
      <c r="K535" s="62" t="str">
        <f>IF(OR(D535="",NOT(F535=1)),"",1+SUMPRODUCT(($F$2:$F$1001=1)*($D$2:$D$1001&gt;D535))+COUNTIFS($F$2:F535,1,$D$2:D535,D535)-1)</f>
        <v/>
      </c>
      <c r="L535" s="62" t="str">
        <f>IF(OR(D535="",NOT(G535="轿车")),"",1+SUMPRODUCT(($G$2:$G$1001="轿车")*($D$2:$D$1001&gt;D535))+COUNTIFS($G$2:G535,"轿车",$D$2:D535,D535)-1)</f>
        <v/>
      </c>
      <c r="M535" s="62" t="str">
        <f>IF(OR(D535="",NOT(G535="MPV")),"",1+SUMPRODUCT(($G$2:$G$1001="MPV")*($D$2:$D$1001&gt;D535))+COUNTIFS($G$2:G535,"MPV",$D$2:D535,D535)-1)</f>
        <v/>
      </c>
      <c r="N535" s="62" t="str">
        <f>IF(OR(D535="",NOT(G535="SUV")),"",1+SUMPRODUCT(($G$2:$G$1001="SUV")*($D$2:$D$1001&gt;D535))+COUNTIFS($G$2:G535,"SUV",$D$2:D535,D535)-1)</f>
        <v/>
      </c>
      <c r="O535" s="62" t="str">
        <f>IF(OR(D535="",NOT(AND(F535=1,G535="轿车"))),"",1+SUMPRODUCT(($F$2:$F$1001=1)*($G$2:$G$1001="轿车")*($D$2:$D$1001&gt;D535))+COUNTIFS($F$2:F535,1,$G$2:G535,"轿车",$D$2:D535,D535)-1)</f>
        <v/>
      </c>
      <c r="P535" s="62" t="str">
        <f>IF(OR(D535="",NOT(AND(F535=1,G535="MPV"))),"",1+SUMPRODUCT(($F$2:$F$1001=1)*($G$2:$G$1001="MPV")*($D$2:$D$1001&gt;D535))+COUNTIFS($F$2:F535,1,$G$2:G535,"MPV",$D$2:D535,D535)-1)</f>
        <v/>
      </c>
      <c r="Q535" s="62" t="str">
        <f>IF(OR(D535="",NOT(AND(F535=1,G535="SUV"))),"",1+SUMPRODUCT(($F$2:$F$1001=1)*($G$2:$G$1001="SUV")*($D$2:$D$1001&gt;D535))+COUNTIFS($F$2:F535,1,$G$2:G535,"SUV",$D$2:D535,D535)-1)</f>
        <v/>
      </c>
    </row>
    <row r="536" spans="1:17">
      <c r="A536" s="62" t="str">
        <f>IFERROR(INDEX($H$2:$H$3000,MATCH(0,INDEX(COUNTIF($A$1:A535,$H$2:$H$3000)+($H$2:$H$3000=""),0,0),0)),"")</f>
        <v/>
      </c>
      <c r="B536" s="62" t="str">
        <f t="shared" si="32"/>
        <v/>
      </c>
      <c r="C536" s="62" t="str">
        <f t="shared" si="33"/>
        <v/>
      </c>
      <c r="D536" s="63" t="str">
        <f t="shared" si="34"/>
        <v/>
      </c>
      <c r="E536" s="62" t="str">
        <f>IF(D536="","",_xlfn.RANK.EQ(D536,$D$2:$D$1001,0)+COUNTIF($D$2:D536,D536)-1)</f>
        <v/>
      </c>
      <c r="F536" s="62" t="str">
        <f>IF(B536="","",--(COUNTIF(CN_Brands!$A$2:$A$300,UPPER(B536))&gt;0))</f>
        <v/>
      </c>
      <c r="G536" s="62" t="str">
        <f t="shared" si="35"/>
        <v/>
      </c>
      <c r="H536" s="62" t="str">
        <f>IF(AND('Data Export'!A536=前十整体车型排名!$B$2,'Data Export'!B536=前十整体车型排名!$B$3,'Data Export'!D536&lt;&gt;""),UPPER('Data Export'!C536)&amp;"♦"&amp;'Data Export'!D536,"")</f>
        <v>MERCEDES♦S-CLASS</v>
      </c>
      <c r="I536" s="63">
        <f>IF(H536="","",IFERROR(INDEX('Data Export'!G536:CZ536,1,MATCH(前十整体车型排名!$B$4,'Data Export'!$G$1:$CZ$1,0)),0))</f>
        <v>0</v>
      </c>
      <c r="J536" s="62" t="str">
        <f>IF(H536="","",IF(OR('Data Export'!F536="三厢轿车",'Data Export'!F536="掀背轿车",'Data Export'!F536="旅行车",'Data Export'!F536="微型车",'Data Export'!F536="硬顶跑车",'Data Export'!F536="敞蓬车",'Data Export'!F536="Targa"),"轿车",IF(OR('Data Export'!F536="小型MPV",'Data Export'!F536="客车"),"MPV",IF('Data Export'!F536="运动型多功能车","SUV","其他"))))</f>
        <v>轿车</v>
      </c>
      <c r="K536" s="62" t="str">
        <f>IF(OR(D536="",NOT(F536=1)),"",1+SUMPRODUCT(($F$2:$F$1001=1)*($D$2:$D$1001&gt;D536))+COUNTIFS($F$2:F536,1,$D$2:D536,D536)-1)</f>
        <v/>
      </c>
      <c r="L536" s="62" t="str">
        <f>IF(OR(D536="",NOT(G536="轿车")),"",1+SUMPRODUCT(($G$2:$G$1001="轿车")*($D$2:$D$1001&gt;D536))+COUNTIFS($G$2:G536,"轿车",$D$2:D536,D536)-1)</f>
        <v/>
      </c>
      <c r="M536" s="62" t="str">
        <f>IF(OR(D536="",NOT(G536="MPV")),"",1+SUMPRODUCT(($G$2:$G$1001="MPV")*($D$2:$D$1001&gt;D536))+COUNTIFS($G$2:G536,"MPV",$D$2:D536,D536)-1)</f>
        <v/>
      </c>
      <c r="N536" s="62" t="str">
        <f>IF(OR(D536="",NOT(G536="SUV")),"",1+SUMPRODUCT(($G$2:$G$1001="SUV")*($D$2:$D$1001&gt;D536))+COUNTIFS($G$2:G536,"SUV",$D$2:D536,D536)-1)</f>
        <v/>
      </c>
      <c r="O536" s="62" t="str">
        <f>IF(OR(D536="",NOT(AND(F536=1,G536="轿车"))),"",1+SUMPRODUCT(($F$2:$F$1001=1)*($G$2:$G$1001="轿车")*($D$2:$D$1001&gt;D536))+COUNTIFS($F$2:F536,1,$G$2:G536,"轿车",$D$2:D536,D536)-1)</f>
        <v/>
      </c>
      <c r="P536" s="62" t="str">
        <f>IF(OR(D536="",NOT(AND(F536=1,G536="MPV"))),"",1+SUMPRODUCT(($F$2:$F$1001=1)*($G$2:$G$1001="MPV")*($D$2:$D$1001&gt;D536))+COUNTIFS($F$2:F536,1,$G$2:G536,"MPV",$D$2:D536,D536)-1)</f>
        <v/>
      </c>
      <c r="Q536" s="62" t="str">
        <f>IF(OR(D536="",NOT(AND(F536=1,G536="SUV"))),"",1+SUMPRODUCT(($F$2:$F$1001=1)*($G$2:$G$1001="SUV")*($D$2:$D$1001&gt;D536))+COUNTIFS($F$2:F536,1,$G$2:G536,"SUV",$D$2:D536,D536)-1)</f>
        <v/>
      </c>
    </row>
    <row r="537" spans="1:17">
      <c r="A537" s="62" t="str">
        <f>IFERROR(INDEX($H$2:$H$3000,MATCH(0,INDEX(COUNTIF($A$1:A536,$H$2:$H$3000)+($H$2:$H$3000=""),0,0),0)),"")</f>
        <v/>
      </c>
      <c r="B537" s="62" t="str">
        <f t="shared" si="32"/>
        <v/>
      </c>
      <c r="C537" s="62" t="str">
        <f t="shared" si="33"/>
        <v/>
      </c>
      <c r="D537" s="63" t="str">
        <f t="shared" si="34"/>
        <v/>
      </c>
      <c r="E537" s="62" t="str">
        <f>IF(D537="","",_xlfn.RANK.EQ(D537,$D$2:$D$1001,0)+COUNTIF($D$2:D537,D537)-1)</f>
        <v/>
      </c>
      <c r="F537" s="62" t="str">
        <f>IF(B537="","",--(COUNTIF(CN_Brands!$A$2:$A$300,UPPER(B537))&gt;0))</f>
        <v/>
      </c>
      <c r="G537" s="62" t="str">
        <f t="shared" si="35"/>
        <v/>
      </c>
      <c r="H537" s="62" t="str">
        <f>IF(AND('Data Export'!A537=前十整体车型排名!$B$2,'Data Export'!B537=前十整体车型排名!$B$3,'Data Export'!D537&lt;&gt;""),UPPER('Data Export'!C537)&amp;"♦"&amp;'Data Export'!D537,"")</f>
        <v>MERCEDES♦S-CLASS</v>
      </c>
      <c r="I537" s="63">
        <f>IF(H537="","",IFERROR(INDEX('Data Export'!G537:CZ537,1,MATCH(前十整体车型排名!$B$4,'Data Export'!$G$1:$CZ$1,0)),0))</f>
        <v>2</v>
      </c>
      <c r="J537" s="62" t="str">
        <f>IF(H537="","",IF(OR('Data Export'!F537="三厢轿车",'Data Export'!F537="掀背轿车",'Data Export'!F537="旅行车",'Data Export'!F537="微型车",'Data Export'!F537="硬顶跑车",'Data Export'!F537="敞蓬车",'Data Export'!F537="Targa"),"轿车",IF(OR('Data Export'!F537="小型MPV",'Data Export'!F537="客车"),"MPV",IF('Data Export'!F537="运动型多功能车","SUV","其他"))))</f>
        <v>轿车</v>
      </c>
      <c r="K537" s="62" t="str">
        <f>IF(OR(D537="",NOT(F537=1)),"",1+SUMPRODUCT(($F$2:$F$1001=1)*($D$2:$D$1001&gt;D537))+COUNTIFS($F$2:F537,1,$D$2:D537,D537)-1)</f>
        <v/>
      </c>
      <c r="L537" s="62" t="str">
        <f>IF(OR(D537="",NOT(G537="轿车")),"",1+SUMPRODUCT(($G$2:$G$1001="轿车")*($D$2:$D$1001&gt;D537))+COUNTIFS($G$2:G537,"轿车",$D$2:D537,D537)-1)</f>
        <v/>
      </c>
      <c r="M537" s="62" t="str">
        <f>IF(OR(D537="",NOT(G537="MPV")),"",1+SUMPRODUCT(($G$2:$G$1001="MPV")*($D$2:$D$1001&gt;D537))+COUNTIFS($G$2:G537,"MPV",$D$2:D537,D537)-1)</f>
        <v/>
      </c>
      <c r="N537" s="62" t="str">
        <f>IF(OR(D537="",NOT(G537="SUV")),"",1+SUMPRODUCT(($G$2:$G$1001="SUV")*($D$2:$D$1001&gt;D537))+COUNTIFS($G$2:G537,"SUV",$D$2:D537,D537)-1)</f>
        <v/>
      </c>
      <c r="O537" s="62" t="str">
        <f>IF(OR(D537="",NOT(AND(F537=1,G537="轿车"))),"",1+SUMPRODUCT(($F$2:$F$1001=1)*($G$2:$G$1001="轿车")*($D$2:$D$1001&gt;D537))+COUNTIFS($F$2:F537,1,$G$2:G537,"轿车",$D$2:D537,D537)-1)</f>
        <v/>
      </c>
      <c r="P537" s="62" t="str">
        <f>IF(OR(D537="",NOT(AND(F537=1,G537="MPV"))),"",1+SUMPRODUCT(($F$2:$F$1001=1)*($G$2:$G$1001="MPV")*($D$2:$D$1001&gt;D537))+COUNTIFS($F$2:F537,1,$G$2:G537,"MPV",$D$2:D537,D537)-1)</f>
        <v/>
      </c>
      <c r="Q537" s="62" t="str">
        <f>IF(OR(D537="",NOT(AND(F537=1,G537="SUV"))),"",1+SUMPRODUCT(($F$2:$F$1001=1)*($G$2:$G$1001="SUV")*($D$2:$D$1001&gt;D537))+COUNTIFS($F$2:F537,1,$G$2:G537,"SUV",$D$2:D537,D537)-1)</f>
        <v/>
      </c>
    </row>
    <row r="538" spans="1:17">
      <c r="A538" s="62" t="str">
        <f>IFERROR(INDEX($H$2:$H$3000,MATCH(0,INDEX(COUNTIF($A$1:A537,$H$2:$H$3000)+($H$2:$H$3000=""),0,0),0)),"")</f>
        <v/>
      </c>
      <c r="B538" s="62" t="str">
        <f t="shared" si="32"/>
        <v/>
      </c>
      <c r="C538" s="62" t="str">
        <f t="shared" si="33"/>
        <v/>
      </c>
      <c r="D538" s="63" t="str">
        <f t="shared" si="34"/>
        <v/>
      </c>
      <c r="E538" s="62" t="str">
        <f>IF(D538="","",_xlfn.RANK.EQ(D538,$D$2:$D$1001,0)+COUNTIF($D$2:D538,D538)-1)</f>
        <v/>
      </c>
      <c r="F538" s="62" t="str">
        <f>IF(B538="","",--(COUNTIF(CN_Brands!$A$2:$A$300,UPPER(B538))&gt;0))</f>
        <v/>
      </c>
      <c r="G538" s="62" t="str">
        <f t="shared" si="35"/>
        <v/>
      </c>
      <c r="H538" s="62" t="str">
        <f>IF(AND('Data Export'!A538=前十整体车型排名!$B$2,'Data Export'!B538=前十整体车型排名!$B$3,'Data Export'!D538&lt;&gt;""),UPPER('Data Export'!C538)&amp;"♦"&amp;'Data Export'!D538,"")</f>
        <v>MERCEDES♦S-CLASS</v>
      </c>
      <c r="I538" s="63">
        <f>IF(H538="","",IFERROR(INDEX('Data Export'!G538:CZ538,1,MATCH(前十整体车型排名!$B$4,'Data Export'!$G$1:$CZ$1,0)),0))</f>
        <v>6</v>
      </c>
      <c r="J538" s="62" t="str">
        <f>IF(H538="","",IF(OR('Data Export'!F538="三厢轿车",'Data Export'!F538="掀背轿车",'Data Export'!F538="旅行车",'Data Export'!F538="微型车",'Data Export'!F538="硬顶跑车",'Data Export'!F538="敞蓬车",'Data Export'!F538="Targa"),"轿车",IF(OR('Data Export'!F538="小型MPV",'Data Export'!F538="客车"),"MPV",IF('Data Export'!F538="运动型多功能车","SUV","其他"))))</f>
        <v>轿车</v>
      </c>
      <c r="K538" s="62" t="str">
        <f>IF(OR(D538="",NOT(F538=1)),"",1+SUMPRODUCT(($F$2:$F$1001=1)*($D$2:$D$1001&gt;D538))+COUNTIFS($F$2:F538,1,$D$2:D538,D538)-1)</f>
        <v/>
      </c>
      <c r="L538" s="62" t="str">
        <f>IF(OR(D538="",NOT(G538="轿车")),"",1+SUMPRODUCT(($G$2:$G$1001="轿车")*($D$2:$D$1001&gt;D538))+COUNTIFS($G$2:G538,"轿车",$D$2:D538,D538)-1)</f>
        <v/>
      </c>
      <c r="M538" s="62" t="str">
        <f>IF(OR(D538="",NOT(G538="MPV")),"",1+SUMPRODUCT(($G$2:$G$1001="MPV")*($D$2:$D$1001&gt;D538))+COUNTIFS($G$2:G538,"MPV",$D$2:D538,D538)-1)</f>
        <v/>
      </c>
      <c r="N538" s="62" t="str">
        <f>IF(OR(D538="",NOT(G538="SUV")),"",1+SUMPRODUCT(($G$2:$G$1001="SUV")*($D$2:$D$1001&gt;D538))+COUNTIFS($G$2:G538,"SUV",$D$2:D538,D538)-1)</f>
        <v/>
      </c>
      <c r="O538" s="62" t="str">
        <f>IF(OR(D538="",NOT(AND(F538=1,G538="轿车"))),"",1+SUMPRODUCT(($F$2:$F$1001=1)*($G$2:$G$1001="轿车")*($D$2:$D$1001&gt;D538))+COUNTIFS($F$2:F538,1,$G$2:G538,"轿车",$D$2:D538,D538)-1)</f>
        <v/>
      </c>
      <c r="P538" s="62" t="str">
        <f>IF(OR(D538="",NOT(AND(F538=1,G538="MPV"))),"",1+SUMPRODUCT(($F$2:$F$1001=1)*($G$2:$G$1001="MPV")*($D$2:$D$1001&gt;D538))+COUNTIFS($F$2:F538,1,$G$2:G538,"MPV",$D$2:D538,D538)-1)</f>
        <v/>
      </c>
      <c r="Q538" s="62" t="str">
        <f>IF(OR(D538="",NOT(AND(F538=1,G538="SUV"))),"",1+SUMPRODUCT(($F$2:$F$1001=1)*($G$2:$G$1001="SUV")*($D$2:$D$1001&gt;D538))+COUNTIFS($F$2:F538,1,$G$2:G538,"SUV",$D$2:D538,D538)-1)</f>
        <v/>
      </c>
    </row>
    <row r="539" spans="1:17">
      <c r="A539" s="62" t="str">
        <f>IFERROR(INDEX($H$2:$H$3000,MATCH(0,INDEX(COUNTIF($A$1:A538,$H$2:$H$3000)+($H$2:$H$3000=""),0,0),0)),"")</f>
        <v/>
      </c>
      <c r="B539" s="62" t="str">
        <f t="shared" si="32"/>
        <v/>
      </c>
      <c r="C539" s="62" t="str">
        <f t="shared" si="33"/>
        <v/>
      </c>
      <c r="D539" s="63" t="str">
        <f t="shared" si="34"/>
        <v/>
      </c>
      <c r="E539" s="62" t="str">
        <f>IF(D539="","",_xlfn.RANK.EQ(D539,$D$2:$D$1001,0)+COUNTIF($D$2:D539,D539)-1)</f>
        <v/>
      </c>
      <c r="F539" s="62" t="str">
        <f>IF(B539="","",--(COUNTIF(CN_Brands!$A$2:$A$300,UPPER(B539))&gt;0))</f>
        <v/>
      </c>
      <c r="G539" s="62" t="str">
        <f t="shared" si="35"/>
        <v/>
      </c>
      <c r="H539" s="62" t="str">
        <f>IF(AND('Data Export'!A539=前十整体车型排名!$B$2,'Data Export'!B539=前十整体车型排名!$B$3,'Data Export'!D539&lt;&gt;""),UPPER('Data Export'!C539)&amp;"♦"&amp;'Data Export'!D539,"")</f>
        <v>MERCEDES♦S-CLASS</v>
      </c>
      <c r="I539" s="63">
        <f>IF(H539="","",IFERROR(INDEX('Data Export'!G539:CZ539,1,MATCH(前十整体车型排名!$B$4,'Data Export'!$G$1:$CZ$1,0)),0))</f>
        <v>0</v>
      </c>
      <c r="J539" s="62" t="str">
        <f>IF(H539="","",IF(OR('Data Export'!F539="三厢轿车",'Data Export'!F539="掀背轿车",'Data Export'!F539="旅行车",'Data Export'!F539="微型车",'Data Export'!F539="硬顶跑车",'Data Export'!F539="敞蓬车",'Data Export'!F539="Targa"),"轿车",IF(OR('Data Export'!F539="小型MPV",'Data Export'!F539="客车"),"MPV",IF('Data Export'!F539="运动型多功能车","SUV","其他"))))</f>
        <v>轿车</v>
      </c>
      <c r="K539" s="62" t="str">
        <f>IF(OR(D539="",NOT(F539=1)),"",1+SUMPRODUCT(($F$2:$F$1001=1)*($D$2:$D$1001&gt;D539))+COUNTIFS($F$2:F539,1,$D$2:D539,D539)-1)</f>
        <v/>
      </c>
      <c r="L539" s="62" t="str">
        <f>IF(OR(D539="",NOT(G539="轿车")),"",1+SUMPRODUCT(($G$2:$G$1001="轿车")*($D$2:$D$1001&gt;D539))+COUNTIFS($G$2:G539,"轿车",$D$2:D539,D539)-1)</f>
        <v/>
      </c>
      <c r="M539" s="62" t="str">
        <f>IF(OR(D539="",NOT(G539="MPV")),"",1+SUMPRODUCT(($G$2:$G$1001="MPV")*($D$2:$D$1001&gt;D539))+COUNTIFS($G$2:G539,"MPV",$D$2:D539,D539)-1)</f>
        <v/>
      </c>
      <c r="N539" s="62" t="str">
        <f>IF(OR(D539="",NOT(G539="SUV")),"",1+SUMPRODUCT(($G$2:$G$1001="SUV")*($D$2:$D$1001&gt;D539))+COUNTIFS($G$2:G539,"SUV",$D$2:D539,D539)-1)</f>
        <v/>
      </c>
      <c r="O539" s="62" t="str">
        <f>IF(OR(D539="",NOT(AND(F539=1,G539="轿车"))),"",1+SUMPRODUCT(($F$2:$F$1001=1)*($G$2:$G$1001="轿车")*($D$2:$D$1001&gt;D539))+COUNTIFS($F$2:F539,1,$G$2:G539,"轿车",$D$2:D539,D539)-1)</f>
        <v/>
      </c>
      <c r="P539" s="62" t="str">
        <f>IF(OR(D539="",NOT(AND(F539=1,G539="MPV"))),"",1+SUMPRODUCT(($F$2:$F$1001=1)*($G$2:$G$1001="MPV")*($D$2:$D$1001&gt;D539))+COUNTIFS($F$2:F539,1,$G$2:G539,"MPV",$D$2:D539,D539)-1)</f>
        <v/>
      </c>
      <c r="Q539" s="62" t="str">
        <f>IF(OR(D539="",NOT(AND(F539=1,G539="SUV"))),"",1+SUMPRODUCT(($F$2:$F$1001=1)*($G$2:$G$1001="SUV")*($D$2:$D$1001&gt;D539))+COUNTIFS($F$2:F539,1,$G$2:G539,"SUV",$D$2:D539,D539)-1)</f>
        <v/>
      </c>
    </row>
    <row r="540" spans="1:17">
      <c r="A540" s="62" t="str">
        <f>IFERROR(INDEX($H$2:$H$3000,MATCH(0,INDEX(COUNTIF($A$1:A539,$H$2:$H$3000)+($H$2:$H$3000=""),0,0),0)),"")</f>
        <v/>
      </c>
      <c r="B540" s="62" t="str">
        <f t="shared" si="32"/>
        <v/>
      </c>
      <c r="C540" s="62" t="str">
        <f t="shared" si="33"/>
        <v/>
      </c>
      <c r="D540" s="63" t="str">
        <f t="shared" si="34"/>
        <v/>
      </c>
      <c r="E540" s="62" t="str">
        <f>IF(D540="","",_xlfn.RANK.EQ(D540,$D$2:$D$1001,0)+COUNTIF($D$2:D540,D540)-1)</f>
        <v/>
      </c>
      <c r="F540" s="62" t="str">
        <f>IF(B540="","",--(COUNTIF(CN_Brands!$A$2:$A$300,UPPER(B540))&gt;0))</f>
        <v/>
      </c>
      <c r="G540" s="62" t="str">
        <f t="shared" si="35"/>
        <v/>
      </c>
      <c r="H540" s="62" t="str">
        <f>IF(AND('Data Export'!A540=前十整体车型排名!$B$2,'Data Export'!B540=前十整体车型排名!$B$3,'Data Export'!D540&lt;&gt;""),UPPER('Data Export'!C540)&amp;"♦"&amp;'Data Export'!D540,"")</f>
        <v>MERCEDES♦S-CLASS</v>
      </c>
      <c r="I540" s="63">
        <f>IF(H540="","",IFERROR(INDEX('Data Export'!G540:CZ540,1,MATCH(前十整体车型排名!$B$4,'Data Export'!$G$1:$CZ$1,0)),0))</f>
        <v>0</v>
      </c>
      <c r="J540" s="62" t="str">
        <f>IF(H540="","",IF(OR('Data Export'!F540="三厢轿车",'Data Export'!F540="掀背轿车",'Data Export'!F540="旅行车",'Data Export'!F540="微型车",'Data Export'!F540="硬顶跑车",'Data Export'!F540="敞蓬车",'Data Export'!F540="Targa"),"轿车",IF(OR('Data Export'!F540="小型MPV",'Data Export'!F540="客车"),"MPV",IF('Data Export'!F540="运动型多功能车","SUV","其他"))))</f>
        <v>轿车</v>
      </c>
      <c r="K540" s="62" t="str">
        <f>IF(OR(D540="",NOT(F540=1)),"",1+SUMPRODUCT(($F$2:$F$1001=1)*($D$2:$D$1001&gt;D540))+COUNTIFS($F$2:F540,1,$D$2:D540,D540)-1)</f>
        <v/>
      </c>
      <c r="L540" s="62" t="str">
        <f>IF(OR(D540="",NOT(G540="轿车")),"",1+SUMPRODUCT(($G$2:$G$1001="轿车")*($D$2:$D$1001&gt;D540))+COUNTIFS($G$2:G540,"轿车",$D$2:D540,D540)-1)</f>
        <v/>
      </c>
      <c r="M540" s="62" t="str">
        <f>IF(OR(D540="",NOT(G540="MPV")),"",1+SUMPRODUCT(($G$2:$G$1001="MPV")*($D$2:$D$1001&gt;D540))+COUNTIFS($G$2:G540,"MPV",$D$2:D540,D540)-1)</f>
        <v/>
      </c>
      <c r="N540" s="62" t="str">
        <f>IF(OR(D540="",NOT(G540="SUV")),"",1+SUMPRODUCT(($G$2:$G$1001="SUV")*($D$2:$D$1001&gt;D540))+COUNTIFS($G$2:G540,"SUV",$D$2:D540,D540)-1)</f>
        <v/>
      </c>
      <c r="O540" s="62" t="str">
        <f>IF(OR(D540="",NOT(AND(F540=1,G540="轿车"))),"",1+SUMPRODUCT(($F$2:$F$1001=1)*($G$2:$G$1001="轿车")*($D$2:$D$1001&gt;D540))+COUNTIFS($F$2:F540,1,$G$2:G540,"轿车",$D$2:D540,D540)-1)</f>
        <v/>
      </c>
      <c r="P540" s="62" t="str">
        <f>IF(OR(D540="",NOT(AND(F540=1,G540="MPV"))),"",1+SUMPRODUCT(($F$2:$F$1001=1)*($G$2:$G$1001="MPV")*($D$2:$D$1001&gt;D540))+COUNTIFS($F$2:F540,1,$G$2:G540,"MPV",$D$2:D540,D540)-1)</f>
        <v/>
      </c>
      <c r="Q540" s="62" t="str">
        <f>IF(OR(D540="",NOT(AND(F540=1,G540="SUV"))),"",1+SUMPRODUCT(($F$2:$F$1001=1)*($G$2:$G$1001="SUV")*($D$2:$D$1001&gt;D540))+COUNTIFS($F$2:F540,1,$G$2:G540,"SUV",$D$2:D540,D540)-1)</f>
        <v/>
      </c>
    </row>
    <row r="541" spans="1:17">
      <c r="A541" s="62" t="str">
        <f>IFERROR(INDEX($H$2:$H$3000,MATCH(0,INDEX(COUNTIF($A$1:A540,$H$2:$H$3000)+($H$2:$H$3000=""),0,0),0)),"")</f>
        <v/>
      </c>
      <c r="B541" s="62" t="str">
        <f t="shared" si="32"/>
        <v/>
      </c>
      <c r="C541" s="62" t="str">
        <f t="shared" si="33"/>
        <v/>
      </c>
      <c r="D541" s="63" t="str">
        <f t="shared" si="34"/>
        <v/>
      </c>
      <c r="E541" s="62" t="str">
        <f>IF(D541="","",_xlfn.RANK.EQ(D541,$D$2:$D$1001,0)+COUNTIF($D$2:D541,D541)-1)</f>
        <v/>
      </c>
      <c r="F541" s="62" t="str">
        <f>IF(B541="","",--(COUNTIF(CN_Brands!$A$2:$A$300,UPPER(B541))&gt;0))</f>
        <v/>
      </c>
      <c r="G541" s="62" t="str">
        <f t="shared" si="35"/>
        <v/>
      </c>
      <c r="H541" s="62" t="str">
        <f>IF(AND('Data Export'!A541=前十整体车型排名!$B$2,'Data Export'!B541=前十整体车型排名!$B$3,'Data Export'!D541&lt;&gt;""),UPPER('Data Export'!C541)&amp;"♦"&amp;'Data Export'!D541,"")</f>
        <v>MERCEDES♦S-CLASS</v>
      </c>
      <c r="I541" s="63">
        <f>IF(H541="","",IFERROR(INDEX('Data Export'!G541:CZ541,1,MATCH(前十整体车型排名!$B$4,'Data Export'!$G$1:$CZ$1,0)),0))</f>
        <v>0</v>
      </c>
      <c r="J541" s="62" t="str">
        <f>IF(H541="","",IF(OR('Data Export'!F541="三厢轿车",'Data Export'!F541="掀背轿车",'Data Export'!F541="旅行车",'Data Export'!F541="微型车",'Data Export'!F541="硬顶跑车",'Data Export'!F541="敞蓬车",'Data Export'!F541="Targa"),"轿车",IF(OR('Data Export'!F541="小型MPV",'Data Export'!F541="客车"),"MPV",IF('Data Export'!F541="运动型多功能车","SUV","其他"))))</f>
        <v>轿车</v>
      </c>
      <c r="K541" s="62" t="str">
        <f>IF(OR(D541="",NOT(F541=1)),"",1+SUMPRODUCT(($F$2:$F$1001=1)*($D$2:$D$1001&gt;D541))+COUNTIFS($F$2:F541,1,$D$2:D541,D541)-1)</f>
        <v/>
      </c>
      <c r="L541" s="62" t="str">
        <f>IF(OR(D541="",NOT(G541="轿车")),"",1+SUMPRODUCT(($G$2:$G$1001="轿车")*($D$2:$D$1001&gt;D541))+COUNTIFS($G$2:G541,"轿车",$D$2:D541,D541)-1)</f>
        <v/>
      </c>
      <c r="M541" s="62" t="str">
        <f>IF(OR(D541="",NOT(G541="MPV")),"",1+SUMPRODUCT(($G$2:$G$1001="MPV")*($D$2:$D$1001&gt;D541))+COUNTIFS($G$2:G541,"MPV",$D$2:D541,D541)-1)</f>
        <v/>
      </c>
      <c r="N541" s="62" t="str">
        <f>IF(OR(D541="",NOT(G541="SUV")),"",1+SUMPRODUCT(($G$2:$G$1001="SUV")*($D$2:$D$1001&gt;D541))+COUNTIFS($G$2:G541,"SUV",$D$2:D541,D541)-1)</f>
        <v/>
      </c>
      <c r="O541" s="62" t="str">
        <f>IF(OR(D541="",NOT(AND(F541=1,G541="轿车"))),"",1+SUMPRODUCT(($F$2:$F$1001=1)*($G$2:$G$1001="轿车")*($D$2:$D$1001&gt;D541))+COUNTIFS($F$2:F541,1,$G$2:G541,"轿车",$D$2:D541,D541)-1)</f>
        <v/>
      </c>
      <c r="P541" s="62" t="str">
        <f>IF(OR(D541="",NOT(AND(F541=1,G541="MPV"))),"",1+SUMPRODUCT(($F$2:$F$1001=1)*($G$2:$G$1001="MPV")*($D$2:$D$1001&gt;D541))+COUNTIFS($F$2:F541,1,$G$2:G541,"MPV",$D$2:D541,D541)-1)</f>
        <v/>
      </c>
      <c r="Q541" s="62" t="str">
        <f>IF(OR(D541="",NOT(AND(F541=1,G541="SUV"))),"",1+SUMPRODUCT(($F$2:$F$1001=1)*($G$2:$G$1001="SUV")*($D$2:$D$1001&gt;D541))+COUNTIFS($F$2:F541,1,$G$2:G541,"SUV",$D$2:D541,D541)-1)</f>
        <v/>
      </c>
    </row>
    <row r="542" spans="1:17">
      <c r="A542" s="62" t="str">
        <f>IFERROR(INDEX($H$2:$H$3000,MATCH(0,INDEX(COUNTIF($A$1:A541,$H$2:$H$3000)+($H$2:$H$3000=""),0,0),0)),"")</f>
        <v/>
      </c>
      <c r="B542" s="62" t="str">
        <f t="shared" si="32"/>
        <v/>
      </c>
      <c r="C542" s="62" t="str">
        <f t="shared" si="33"/>
        <v/>
      </c>
      <c r="D542" s="63" t="str">
        <f t="shared" si="34"/>
        <v/>
      </c>
      <c r="E542" s="62" t="str">
        <f>IF(D542="","",_xlfn.RANK.EQ(D542,$D$2:$D$1001,0)+COUNTIF($D$2:D542,D542)-1)</f>
        <v/>
      </c>
      <c r="F542" s="62" t="str">
        <f>IF(B542="","",--(COUNTIF(CN_Brands!$A$2:$A$300,UPPER(B542))&gt;0))</f>
        <v/>
      </c>
      <c r="G542" s="62" t="str">
        <f t="shared" si="35"/>
        <v/>
      </c>
      <c r="H542" s="62" t="str">
        <f>IF(AND('Data Export'!A542=前十整体车型排名!$B$2,'Data Export'!B542=前十整体车型排名!$B$3,'Data Export'!D542&lt;&gt;""),UPPER('Data Export'!C542)&amp;"♦"&amp;'Data Export'!D542,"")</f>
        <v>MERCEDES♦S-CLASS</v>
      </c>
      <c r="I542" s="63">
        <f>IF(H542="","",IFERROR(INDEX('Data Export'!G542:CZ542,1,MATCH(前十整体车型排名!$B$4,'Data Export'!$G$1:$CZ$1,0)),0))</f>
        <v>5</v>
      </c>
      <c r="J542" s="62" t="str">
        <f>IF(H542="","",IF(OR('Data Export'!F542="三厢轿车",'Data Export'!F542="掀背轿车",'Data Export'!F542="旅行车",'Data Export'!F542="微型车",'Data Export'!F542="硬顶跑车",'Data Export'!F542="敞蓬车",'Data Export'!F542="Targa"),"轿车",IF(OR('Data Export'!F542="小型MPV",'Data Export'!F542="客车"),"MPV",IF('Data Export'!F542="运动型多功能车","SUV","其他"))))</f>
        <v>轿车</v>
      </c>
      <c r="K542" s="62" t="str">
        <f>IF(OR(D542="",NOT(F542=1)),"",1+SUMPRODUCT(($F$2:$F$1001=1)*($D$2:$D$1001&gt;D542))+COUNTIFS($F$2:F542,1,$D$2:D542,D542)-1)</f>
        <v/>
      </c>
      <c r="L542" s="62" t="str">
        <f>IF(OR(D542="",NOT(G542="轿车")),"",1+SUMPRODUCT(($G$2:$G$1001="轿车")*($D$2:$D$1001&gt;D542))+COUNTIFS($G$2:G542,"轿车",$D$2:D542,D542)-1)</f>
        <v/>
      </c>
      <c r="M542" s="62" t="str">
        <f>IF(OR(D542="",NOT(G542="MPV")),"",1+SUMPRODUCT(($G$2:$G$1001="MPV")*($D$2:$D$1001&gt;D542))+COUNTIFS($G$2:G542,"MPV",$D$2:D542,D542)-1)</f>
        <v/>
      </c>
      <c r="N542" s="62" t="str">
        <f>IF(OR(D542="",NOT(G542="SUV")),"",1+SUMPRODUCT(($G$2:$G$1001="SUV")*($D$2:$D$1001&gt;D542))+COUNTIFS($G$2:G542,"SUV",$D$2:D542,D542)-1)</f>
        <v/>
      </c>
      <c r="O542" s="62" t="str">
        <f>IF(OR(D542="",NOT(AND(F542=1,G542="轿车"))),"",1+SUMPRODUCT(($F$2:$F$1001=1)*($G$2:$G$1001="轿车")*($D$2:$D$1001&gt;D542))+COUNTIFS($F$2:F542,1,$G$2:G542,"轿车",$D$2:D542,D542)-1)</f>
        <v/>
      </c>
      <c r="P542" s="62" t="str">
        <f>IF(OR(D542="",NOT(AND(F542=1,G542="MPV"))),"",1+SUMPRODUCT(($F$2:$F$1001=1)*($G$2:$G$1001="MPV")*($D$2:$D$1001&gt;D542))+COUNTIFS($F$2:F542,1,$G$2:G542,"MPV",$D$2:D542,D542)-1)</f>
        <v/>
      </c>
      <c r="Q542" s="62" t="str">
        <f>IF(OR(D542="",NOT(AND(F542=1,G542="SUV"))),"",1+SUMPRODUCT(($F$2:$F$1001=1)*($G$2:$G$1001="SUV")*($D$2:$D$1001&gt;D542))+COUNTIFS($F$2:F542,1,$G$2:G542,"SUV",$D$2:D542,D542)-1)</f>
        <v/>
      </c>
    </row>
    <row r="543" spans="1:17">
      <c r="A543" s="62" t="str">
        <f>IFERROR(INDEX($H$2:$H$3000,MATCH(0,INDEX(COUNTIF($A$1:A542,$H$2:$H$3000)+($H$2:$H$3000=""),0,0),0)),"")</f>
        <v/>
      </c>
      <c r="B543" s="62" t="str">
        <f t="shared" si="32"/>
        <v/>
      </c>
      <c r="C543" s="62" t="str">
        <f t="shared" si="33"/>
        <v/>
      </c>
      <c r="D543" s="63" t="str">
        <f t="shared" si="34"/>
        <v/>
      </c>
      <c r="E543" s="62" t="str">
        <f>IF(D543="","",_xlfn.RANK.EQ(D543,$D$2:$D$1001,0)+COUNTIF($D$2:D543,D543)-1)</f>
        <v/>
      </c>
      <c r="F543" s="62" t="str">
        <f>IF(B543="","",--(COUNTIF(CN_Brands!$A$2:$A$300,UPPER(B543))&gt;0))</f>
        <v/>
      </c>
      <c r="G543" s="62" t="str">
        <f t="shared" si="35"/>
        <v/>
      </c>
      <c r="H543" s="62" t="str">
        <f>IF(AND('Data Export'!A543=前十整体车型排名!$B$2,'Data Export'!B543=前十整体车型排名!$B$3,'Data Export'!D543&lt;&gt;""),UPPER('Data Export'!C543)&amp;"♦"&amp;'Data Export'!D543,"")</f>
        <v>MERCEDES♦SL</v>
      </c>
      <c r="I543" s="63">
        <f>IF(H543="","",IFERROR(INDEX('Data Export'!G543:CZ543,1,MATCH(前十整体车型排名!$B$4,'Data Export'!$G$1:$CZ$1,0)),0))</f>
        <v>1</v>
      </c>
      <c r="J543" s="62" t="str">
        <f>IF(H543="","",IF(OR('Data Export'!F543="三厢轿车",'Data Export'!F543="掀背轿车",'Data Export'!F543="旅行车",'Data Export'!F543="微型车",'Data Export'!F543="硬顶跑车",'Data Export'!F543="敞蓬车",'Data Export'!F543="Targa"),"轿车",IF(OR('Data Export'!F543="小型MPV",'Data Export'!F543="客车"),"MPV",IF('Data Export'!F543="运动型多功能车","SUV","其他"))))</f>
        <v>轿车</v>
      </c>
      <c r="K543" s="62" t="str">
        <f>IF(OR(D543="",NOT(F543=1)),"",1+SUMPRODUCT(($F$2:$F$1001=1)*($D$2:$D$1001&gt;D543))+COUNTIFS($F$2:F543,1,$D$2:D543,D543)-1)</f>
        <v/>
      </c>
      <c r="L543" s="62" t="str">
        <f>IF(OR(D543="",NOT(G543="轿车")),"",1+SUMPRODUCT(($G$2:$G$1001="轿车")*($D$2:$D$1001&gt;D543))+COUNTIFS($G$2:G543,"轿车",$D$2:D543,D543)-1)</f>
        <v/>
      </c>
      <c r="M543" s="62" t="str">
        <f>IF(OR(D543="",NOT(G543="MPV")),"",1+SUMPRODUCT(($G$2:$G$1001="MPV")*($D$2:$D$1001&gt;D543))+COUNTIFS($G$2:G543,"MPV",$D$2:D543,D543)-1)</f>
        <v/>
      </c>
      <c r="N543" s="62" t="str">
        <f>IF(OR(D543="",NOT(G543="SUV")),"",1+SUMPRODUCT(($G$2:$G$1001="SUV")*($D$2:$D$1001&gt;D543))+COUNTIFS($G$2:G543,"SUV",$D$2:D543,D543)-1)</f>
        <v/>
      </c>
      <c r="O543" s="62" t="str">
        <f>IF(OR(D543="",NOT(AND(F543=1,G543="轿车"))),"",1+SUMPRODUCT(($F$2:$F$1001=1)*($G$2:$G$1001="轿车")*($D$2:$D$1001&gt;D543))+COUNTIFS($F$2:F543,1,$G$2:G543,"轿车",$D$2:D543,D543)-1)</f>
        <v/>
      </c>
      <c r="P543" s="62" t="str">
        <f>IF(OR(D543="",NOT(AND(F543=1,G543="MPV"))),"",1+SUMPRODUCT(($F$2:$F$1001=1)*($G$2:$G$1001="MPV")*($D$2:$D$1001&gt;D543))+COUNTIFS($F$2:F543,1,$G$2:G543,"MPV",$D$2:D543,D543)-1)</f>
        <v/>
      </c>
      <c r="Q543" s="62" t="str">
        <f>IF(OR(D543="",NOT(AND(F543=1,G543="SUV"))),"",1+SUMPRODUCT(($F$2:$F$1001=1)*($G$2:$G$1001="SUV")*($D$2:$D$1001&gt;D543))+COUNTIFS($F$2:F543,1,$G$2:G543,"SUV",$D$2:D543,D543)-1)</f>
        <v/>
      </c>
    </row>
    <row r="544" spans="1:17">
      <c r="A544" s="62" t="str">
        <f>IFERROR(INDEX($H$2:$H$3000,MATCH(0,INDEX(COUNTIF($A$1:A543,$H$2:$H$3000)+($H$2:$H$3000=""),0,0),0)),"")</f>
        <v/>
      </c>
      <c r="B544" s="62" t="str">
        <f t="shared" si="32"/>
        <v/>
      </c>
      <c r="C544" s="62" t="str">
        <f t="shared" si="33"/>
        <v/>
      </c>
      <c r="D544" s="63" t="str">
        <f t="shared" si="34"/>
        <v/>
      </c>
      <c r="E544" s="62" t="str">
        <f>IF(D544="","",_xlfn.RANK.EQ(D544,$D$2:$D$1001,0)+COUNTIF($D$2:D544,D544)-1)</f>
        <v/>
      </c>
      <c r="F544" s="62" t="str">
        <f>IF(B544="","",--(COUNTIF(CN_Brands!$A$2:$A$300,UPPER(B544))&gt;0))</f>
        <v/>
      </c>
      <c r="G544" s="62" t="str">
        <f t="shared" si="35"/>
        <v/>
      </c>
      <c r="H544" s="62" t="str">
        <f>IF(AND('Data Export'!A544=前十整体车型排名!$B$2,'Data Export'!B544=前十整体车型排名!$B$3,'Data Export'!D544&lt;&gt;""),UPPER('Data Export'!C544)&amp;"♦"&amp;'Data Export'!D544,"")</f>
        <v>MERCEDES♦V-CLASS</v>
      </c>
      <c r="I544" s="63">
        <f>IF(H544="","",IFERROR(INDEX('Data Export'!G544:CZ544,1,MATCH(前十整体车型排名!$B$4,'Data Export'!$G$1:$CZ$1,0)),0))</f>
        <v>2</v>
      </c>
      <c r="J544" s="62" t="str">
        <f>IF(H544="","",IF(OR('Data Export'!F544="三厢轿车",'Data Export'!F544="掀背轿车",'Data Export'!F544="旅行车",'Data Export'!F544="微型车",'Data Export'!F544="硬顶跑车",'Data Export'!F544="敞蓬车",'Data Export'!F544="Targa"),"轿车",IF(OR('Data Export'!F544="小型MPV",'Data Export'!F544="客车"),"MPV",IF('Data Export'!F544="运动型多功能车","SUV","其他"))))</f>
        <v>其他</v>
      </c>
      <c r="K544" s="62" t="str">
        <f>IF(OR(D544="",NOT(F544=1)),"",1+SUMPRODUCT(($F$2:$F$1001=1)*($D$2:$D$1001&gt;D544))+COUNTIFS($F$2:F544,1,$D$2:D544,D544)-1)</f>
        <v/>
      </c>
      <c r="L544" s="62" t="str">
        <f>IF(OR(D544="",NOT(G544="轿车")),"",1+SUMPRODUCT(($G$2:$G$1001="轿车")*($D$2:$D$1001&gt;D544))+COUNTIFS($G$2:G544,"轿车",$D$2:D544,D544)-1)</f>
        <v/>
      </c>
      <c r="M544" s="62" t="str">
        <f>IF(OR(D544="",NOT(G544="MPV")),"",1+SUMPRODUCT(($G$2:$G$1001="MPV")*($D$2:$D$1001&gt;D544))+COUNTIFS($G$2:G544,"MPV",$D$2:D544,D544)-1)</f>
        <v/>
      </c>
      <c r="N544" s="62" t="str">
        <f>IF(OR(D544="",NOT(G544="SUV")),"",1+SUMPRODUCT(($G$2:$G$1001="SUV")*($D$2:$D$1001&gt;D544))+COUNTIFS($G$2:G544,"SUV",$D$2:D544,D544)-1)</f>
        <v/>
      </c>
      <c r="O544" s="62" t="str">
        <f>IF(OR(D544="",NOT(AND(F544=1,G544="轿车"))),"",1+SUMPRODUCT(($F$2:$F$1001=1)*($G$2:$G$1001="轿车")*($D$2:$D$1001&gt;D544))+COUNTIFS($F$2:F544,1,$G$2:G544,"轿车",$D$2:D544,D544)-1)</f>
        <v/>
      </c>
      <c r="P544" s="62" t="str">
        <f>IF(OR(D544="",NOT(AND(F544=1,G544="MPV"))),"",1+SUMPRODUCT(($F$2:$F$1001=1)*($G$2:$G$1001="MPV")*($D$2:$D$1001&gt;D544))+COUNTIFS($F$2:F544,1,$G$2:G544,"MPV",$D$2:D544,D544)-1)</f>
        <v/>
      </c>
      <c r="Q544" s="62" t="str">
        <f>IF(OR(D544="",NOT(AND(F544=1,G544="SUV"))),"",1+SUMPRODUCT(($F$2:$F$1001=1)*($G$2:$G$1001="SUV")*($D$2:$D$1001&gt;D544))+COUNTIFS($F$2:F544,1,$G$2:G544,"SUV",$D$2:D544,D544)-1)</f>
        <v/>
      </c>
    </row>
    <row r="545" spans="1:17">
      <c r="A545" s="62" t="str">
        <f>IFERROR(INDEX($H$2:$H$3000,MATCH(0,INDEX(COUNTIF($A$1:A544,$H$2:$H$3000)+($H$2:$H$3000=""),0,0),0)),"")</f>
        <v/>
      </c>
      <c r="B545" s="62" t="str">
        <f t="shared" si="32"/>
        <v/>
      </c>
      <c r="C545" s="62" t="str">
        <f t="shared" si="33"/>
        <v/>
      </c>
      <c r="D545" s="63" t="str">
        <f t="shared" si="34"/>
        <v/>
      </c>
      <c r="E545" s="62" t="str">
        <f>IF(D545="","",_xlfn.RANK.EQ(D545,$D$2:$D$1001,0)+COUNTIF($D$2:D545,D545)-1)</f>
        <v/>
      </c>
      <c r="F545" s="62" t="str">
        <f>IF(B545="","",--(COUNTIF(CN_Brands!$A$2:$A$300,UPPER(B545))&gt;0))</f>
        <v/>
      </c>
      <c r="G545" s="62" t="str">
        <f t="shared" si="35"/>
        <v/>
      </c>
      <c r="H545" s="62" t="str">
        <f>IF(AND('Data Export'!A545=前十整体车型排名!$B$2,'Data Export'!B545=前十整体车型排名!$B$3,'Data Export'!D545&lt;&gt;""),UPPER('Data Export'!C545)&amp;"♦"&amp;'Data Export'!D545,"")</f>
        <v>MG♦CYBERSTER</v>
      </c>
      <c r="I545" s="63">
        <f>IF(H545="","",IFERROR(INDEX('Data Export'!G545:CZ545,1,MATCH(前十整体车型排名!$B$4,'Data Export'!$G$1:$CZ$1,0)),0))</f>
        <v>2</v>
      </c>
      <c r="J545" s="62" t="str">
        <f>IF(H545="","",IF(OR('Data Export'!F545="三厢轿车",'Data Export'!F545="掀背轿车",'Data Export'!F545="旅行车",'Data Export'!F545="微型车",'Data Export'!F545="硬顶跑车",'Data Export'!F545="敞蓬车",'Data Export'!F545="Targa"),"轿车",IF(OR('Data Export'!F545="小型MPV",'Data Export'!F545="客车"),"MPV",IF('Data Export'!F545="运动型多功能车","SUV","其他"))))</f>
        <v>轿车</v>
      </c>
      <c r="K545" s="62" t="str">
        <f>IF(OR(D545="",NOT(F545=1)),"",1+SUMPRODUCT(($F$2:$F$1001=1)*($D$2:$D$1001&gt;D545))+COUNTIFS($F$2:F545,1,$D$2:D545,D545)-1)</f>
        <v/>
      </c>
      <c r="L545" s="62" t="str">
        <f>IF(OR(D545="",NOT(G545="轿车")),"",1+SUMPRODUCT(($G$2:$G$1001="轿车")*($D$2:$D$1001&gt;D545))+COUNTIFS($G$2:G545,"轿车",$D$2:D545,D545)-1)</f>
        <v/>
      </c>
      <c r="M545" s="62" t="str">
        <f>IF(OR(D545="",NOT(G545="MPV")),"",1+SUMPRODUCT(($G$2:$G$1001="MPV")*($D$2:$D$1001&gt;D545))+COUNTIFS($G$2:G545,"MPV",$D$2:D545,D545)-1)</f>
        <v/>
      </c>
      <c r="N545" s="62" t="str">
        <f>IF(OR(D545="",NOT(G545="SUV")),"",1+SUMPRODUCT(($G$2:$G$1001="SUV")*($D$2:$D$1001&gt;D545))+COUNTIFS($G$2:G545,"SUV",$D$2:D545,D545)-1)</f>
        <v/>
      </c>
      <c r="O545" s="62" t="str">
        <f>IF(OR(D545="",NOT(AND(F545=1,G545="轿车"))),"",1+SUMPRODUCT(($F$2:$F$1001=1)*($G$2:$G$1001="轿车")*($D$2:$D$1001&gt;D545))+COUNTIFS($F$2:F545,1,$G$2:G545,"轿车",$D$2:D545,D545)-1)</f>
        <v/>
      </c>
      <c r="P545" s="62" t="str">
        <f>IF(OR(D545="",NOT(AND(F545=1,G545="MPV"))),"",1+SUMPRODUCT(($F$2:$F$1001=1)*($G$2:$G$1001="MPV")*($D$2:$D$1001&gt;D545))+COUNTIFS($F$2:F545,1,$G$2:G545,"MPV",$D$2:D545,D545)-1)</f>
        <v/>
      </c>
      <c r="Q545" s="62" t="str">
        <f>IF(OR(D545="",NOT(AND(F545=1,G545="SUV"))),"",1+SUMPRODUCT(($F$2:$F$1001=1)*($G$2:$G$1001="SUV")*($D$2:$D$1001&gt;D545))+COUNTIFS($F$2:F545,1,$G$2:G545,"SUV",$D$2:D545,D545)-1)</f>
        <v/>
      </c>
    </row>
    <row r="546" spans="1:17">
      <c r="A546" s="62" t="str">
        <f>IFERROR(INDEX($H$2:$H$3000,MATCH(0,INDEX(COUNTIF($A$1:A545,$H$2:$H$3000)+($H$2:$H$3000=""),0,0),0)),"")</f>
        <v/>
      </c>
      <c r="B546" s="62" t="str">
        <f t="shared" si="32"/>
        <v/>
      </c>
      <c r="C546" s="62" t="str">
        <f t="shared" si="33"/>
        <v/>
      </c>
      <c r="D546" s="63" t="str">
        <f t="shared" si="34"/>
        <v/>
      </c>
      <c r="E546" s="62" t="str">
        <f>IF(D546="","",_xlfn.RANK.EQ(D546,$D$2:$D$1001,0)+COUNTIF($D$2:D546,D546)-1)</f>
        <v/>
      </c>
      <c r="F546" s="62" t="str">
        <f>IF(B546="","",--(COUNTIF(CN_Brands!$A$2:$A$300,UPPER(B546))&gt;0))</f>
        <v/>
      </c>
      <c r="G546" s="62" t="str">
        <f t="shared" si="35"/>
        <v/>
      </c>
      <c r="H546" s="62" t="str">
        <f>IF(AND('Data Export'!A546=前十整体车型排名!$B$2,'Data Export'!B546=前十整体车型排名!$B$3,'Data Export'!D546&lt;&gt;""),UPPER('Data Export'!C546)&amp;"♦"&amp;'Data Export'!D546,"")</f>
        <v>MG♦EP</v>
      </c>
      <c r="I546" s="63">
        <f>IF(H546="","",IFERROR(INDEX('Data Export'!G546:CZ546,1,MATCH(前十整体车型排名!$B$4,'Data Export'!$G$1:$CZ$1,0)),0))</f>
        <v>3</v>
      </c>
      <c r="J546" s="62" t="str">
        <f>IF(H546="","",IF(OR('Data Export'!F546="三厢轿车",'Data Export'!F546="掀背轿车",'Data Export'!F546="旅行车",'Data Export'!F546="微型车",'Data Export'!F546="硬顶跑车",'Data Export'!F546="敞蓬车",'Data Export'!F546="Targa"),"轿车",IF(OR('Data Export'!F546="小型MPV",'Data Export'!F546="客车"),"MPV",IF('Data Export'!F546="运动型多功能车","SUV","其他"))))</f>
        <v>轿车</v>
      </c>
      <c r="K546" s="62" t="str">
        <f>IF(OR(D546="",NOT(F546=1)),"",1+SUMPRODUCT(($F$2:$F$1001=1)*($D$2:$D$1001&gt;D546))+COUNTIFS($F$2:F546,1,$D$2:D546,D546)-1)</f>
        <v/>
      </c>
      <c r="L546" s="62" t="str">
        <f>IF(OR(D546="",NOT(G546="轿车")),"",1+SUMPRODUCT(($G$2:$G$1001="轿车")*($D$2:$D$1001&gt;D546))+COUNTIFS($G$2:G546,"轿车",$D$2:D546,D546)-1)</f>
        <v/>
      </c>
      <c r="M546" s="62" t="str">
        <f>IF(OR(D546="",NOT(G546="MPV")),"",1+SUMPRODUCT(($G$2:$G$1001="MPV")*($D$2:$D$1001&gt;D546))+COUNTIFS($G$2:G546,"MPV",$D$2:D546,D546)-1)</f>
        <v/>
      </c>
      <c r="N546" s="62" t="str">
        <f>IF(OR(D546="",NOT(G546="SUV")),"",1+SUMPRODUCT(($G$2:$G$1001="SUV")*($D$2:$D$1001&gt;D546))+COUNTIFS($G$2:G546,"SUV",$D$2:D546,D546)-1)</f>
        <v/>
      </c>
      <c r="O546" s="62" t="str">
        <f>IF(OR(D546="",NOT(AND(F546=1,G546="轿车"))),"",1+SUMPRODUCT(($F$2:$F$1001=1)*($G$2:$G$1001="轿车")*($D$2:$D$1001&gt;D546))+COUNTIFS($F$2:F546,1,$G$2:G546,"轿车",$D$2:D546,D546)-1)</f>
        <v/>
      </c>
      <c r="P546" s="62" t="str">
        <f>IF(OR(D546="",NOT(AND(F546=1,G546="MPV"))),"",1+SUMPRODUCT(($F$2:$F$1001=1)*($G$2:$G$1001="MPV")*($D$2:$D$1001&gt;D546))+COUNTIFS($F$2:F546,1,$G$2:G546,"MPV",$D$2:D546,D546)-1)</f>
        <v/>
      </c>
      <c r="Q546" s="62" t="str">
        <f>IF(OR(D546="",NOT(AND(F546=1,G546="SUV"))),"",1+SUMPRODUCT(($F$2:$F$1001=1)*($G$2:$G$1001="SUV")*($D$2:$D$1001&gt;D546))+COUNTIFS($F$2:F546,1,$G$2:G546,"SUV",$D$2:D546,D546)-1)</f>
        <v/>
      </c>
    </row>
    <row r="547" spans="1:17">
      <c r="A547" s="62" t="str">
        <f>IFERROR(INDEX($H$2:$H$3000,MATCH(0,INDEX(COUNTIF($A$1:A546,$H$2:$H$3000)+($H$2:$H$3000=""),0,0),0)),"")</f>
        <v/>
      </c>
      <c r="B547" s="62" t="str">
        <f t="shared" si="32"/>
        <v/>
      </c>
      <c r="C547" s="62" t="str">
        <f t="shared" si="33"/>
        <v/>
      </c>
      <c r="D547" s="63" t="str">
        <f t="shared" si="34"/>
        <v/>
      </c>
      <c r="E547" s="62" t="str">
        <f>IF(D547="","",_xlfn.RANK.EQ(D547,$D$2:$D$1001,0)+COUNTIF($D$2:D547,D547)-1)</f>
        <v/>
      </c>
      <c r="F547" s="62" t="str">
        <f>IF(B547="","",--(COUNTIF(CN_Brands!$A$2:$A$300,UPPER(B547))&gt;0))</f>
        <v/>
      </c>
      <c r="G547" s="62" t="str">
        <f t="shared" si="35"/>
        <v/>
      </c>
      <c r="H547" s="62" t="str">
        <f>IF(AND('Data Export'!A547=前十整体车型排名!$B$2,'Data Export'!B547=前十整体车型排名!$B$3,'Data Export'!D547&lt;&gt;""),UPPER('Data Export'!C547)&amp;"♦"&amp;'Data Export'!D547,"")</f>
        <v>MG♦ES</v>
      </c>
      <c r="I547" s="63">
        <f>IF(H547="","",IFERROR(INDEX('Data Export'!G547:CZ547,1,MATCH(前十整体车型排名!$B$4,'Data Export'!$G$1:$CZ$1,0)),0))</f>
        <v>0</v>
      </c>
      <c r="J547" s="62" t="str">
        <f>IF(H547="","",IF(OR('Data Export'!F547="三厢轿车",'Data Export'!F547="掀背轿车",'Data Export'!F547="旅行车",'Data Export'!F547="微型车",'Data Export'!F547="硬顶跑车",'Data Export'!F547="敞蓬车",'Data Export'!F547="Targa"),"轿车",IF(OR('Data Export'!F547="小型MPV",'Data Export'!F547="客车"),"MPV",IF('Data Export'!F547="运动型多功能车","SUV","其他"))))</f>
        <v>轿车</v>
      </c>
      <c r="K547" s="62" t="str">
        <f>IF(OR(D547="",NOT(F547=1)),"",1+SUMPRODUCT(($F$2:$F$1001=1)*($D$2:$D$1001&gt;D547))+COUNTIFS($F$2:F547,1,$D$2:D547,D547)-1)</f>
        <v/>
      </c>
      <c r="L547" s="62" t="str">
        <f>IF(OR(D547="",NOT(G547="轿车")),"",1+SUMPRODUCT(($G$2:$G$1001="轿车")*($D$2:$D$1001&gt;D547))+COUNTIFS($G$2:G547,"轿车",$D$2:D547,D547)-1)</f>
        <v/>
      </c>
      <c r="M547" s="62" t="str">
        <f>IF(OR(D547="",NOT(G547="MPV")),"",1+SUMPRODUCT(($G$2:$G$1001="MPV")*($D$2:$D$1001&gt;D547))+COUNTIFS($G$2:G547,"MPV",$D$2:D547,D547)-1)</f>
        <v/>
      </c>
      <c r="N547" s="62" t="str">
        <f>IF(OR(D547="",NOT(G547="SUV")),"",1+SUMPRODUCT(($G$2:$G$1001="SUV")*($D$2:$D$1001&gt;D547))+COUNTIFS($G$2:G547,"SUV",$D$2:D547,D547)-1)</f>
        <v/>
      </c>
      <c r="O547" s="62" t="str">
        <f>IF(OR(D547="",NOT(AND(F547=1,G547="轿车"))),"",1+SUMPRODUCT(($F$2:$F$1001=1)*($G$2:$G$1001="轿车")*($D$2:$D$1001&gt;D547))+COUNTIFS($F$2:F547,1,$G$2:G547,"轿车",$D$2:D547,D547)-1)</f>
        <v/>
      </c>
      <c r="P547" s="62" t="str">
        <f>IF(OR(D547="",NOT(AND(F547=1,G547="MPV"))),"",1+SUMPRODUCT(($F$2:$F$1001=1)*($G$2:$G$1001="MPV")*($D$2:$D$1001&gt;D547))+COUNTIFS($F$2:F547,1,$G$2:G547,"MPV",$D$2:D547,D547)-1)</f>
        <v/>
      </c>
      <c r="Q547" s="62" t="str">
        <f>IF(OR(D547="",NOT(AND(F547=1,G547="SUV"))),"",1+SUMPRODUCT(($F$2:$F$1001=1)*($G$2:$G$1001="SUV")*($D$2:$D$1001&gt;D547))+COUNTIFS($F$2:F547,1,$G$2:G547,"SUV",$D$2:D547,D547)-1)</f>
        <v/>
      </c>
    </row>
    <row r="548" spans="1:17">
      <c r="A548" s="62" t="str">
        <f>IFERROR(INDEX($H$2:$H$3000,MATCH(0,INDEX(COUNTIF($A$1:A547,$H$2:$H$3000)+($H$2:$H$3000=""),0,0),0)),"")</f>
        <v/>
      </c>
      <c r="B548" s="62" t="str">
        <f t="shared" si="32"/>
        <v/>
      </c>
      <c r="C548" s="62" t="str">
        <f t="shared" si="33"/>
        <v/>
      </c>
      <c r="D548" s="63" t="str">
        <f t="shared" si="34"/>
        <v/>
      </c>
      <c r="E548" s="62" t="str">
        <f>IF(D548="","",_xlfn.RANK.EQ(D548,$D$2:$D$1001,0)+COUNTIF($D$2:D548,D548)-1)</f>
        <v/>
      </c>
      <c r="F548" s="62" t="str">
        <f>IF(B548="","",--(COUNTIF(CN_Brands!$A$2:$A$300,UPPER(B548))&gt;0))</f>
        <v/>
      </c>
      <c r="G548" s="62" t="str">
        <f t="shared" si="35"/>
        <v/>
      </c>
      <c r="H548" s="62" t="str">
        <f>IF(AND('Data Export'!A548=前十整体车型排名!$B$2,'Data Export'!B548=前十整体车型排名!$B$3,'Data Export'!D548&lt;&gt;""),UPPER('Data Export'!C548)&amp;"♦"&amp;'Data Export'!D548,"")</f>
        <v>MG♦HS</v>
      </c>
      <c r="I548" s="63">
        <f>IF(H548="","",IFERROR(INDEX('Data Export'!G548:CZ548,1,MATCH(前十整体车型排名!$B$4,'Data Export'!$G$1:$CZ$1,0)),0))</f>
        <v>1</v>
      </c>
      <c r="J548" s="62" t="str">
        <f>IF(H548="","",IF(OR('Data Export'!F548="三厢轿车",'Data Export'!F548="掀背轿车",'Data Export'!F548="旅行车",'Data Export'!F548="微型车",'Data Export'!F548="硬顶跑车",'Data Export'!F548="敞蓬车",'Data Export'!F548="Targa"),"轿车",IF(OR('Data Export'!F548="小型MPV",'Data Export'!F548="客车"),"MPV",IF('Data Export'!F548="运动型多功能车","SUV","其他"))))</f>
        <v>SUV</v>
      </c>
      <c r="K548" s="62" t="str">
        <f>IF(OR(D548="",NOT(F548=1)),"",1+SUMPRODUCT(($F$2:$F$1001=1)*($D$2:$D$1001&gt;D548))+COUNTIFS($F$2:F548,1,$D$2:D548,D548)-1)</f>
        <v/>
      </c>
      <c r="L548" s="62" t="str">
        <f>IF(OR(D548="",NOT(G548="轿车")),"",1+SUMPRODUCT(($G$2:$G$1001="轿车")*($D$2:$D$1001&gt;D548))+COUNTIFS($G$2:G548,"轿车",$D$2:D548,D548)-1)</f>
        <v/>
      </c>
      <c r="M548" s="62" t="str">
        <f>IF(OR(D548="",NOT(G548="MPV")),"",1+SUMPRODUCT(($G$2:$G$1001="MPV")*($D$2:$D$1001&gt;D548))+COUNTIFS($G$2:G548,"MPV",$D$2:D548,D548)-1)</f>
        <v/>
      </c>
      <c r="N548" s="62" t="str">
        <f>IF(OR(D548="",NOT(G548="SUV")),"",1+SUMPRODUCT(($G$2:$G$1001="SUV")*($D$2:$D$1001&gt;D548))+COUNTIFS($G$2:G548,"SUV",$D$2:D548,D548)-1)</f>
        <v/>
      </c>
      <c r="O548" s="62" t="str">
        <f>IF(OR(D548="",NOT(AND(F548=1,G548="轿车"))),"",1+SUMPRODUCT(($F$2:$F$1001=1)*($G$2:$G$1001="轿车")*($D$2:$D$1001&gt;D548))+COUNTIFS($F$2:F548,1,$G$2:G548,"轿车",$D$2:D548,D548)-1)</f>
        <v/>
      </c>
      <c r="P548" s="62" t="str">
        <f>IF(OR(D548="",NOT(AND(F548=1,G548="MPV"))),"",1+SUMPRODUCT(($F$2:$F$1001=1)*($G$2:$G$1001="MPV")*($D$2:$D$1001&gt;D548))+COUNTIFS($F$2:F548,1,$G$2:G548,"MPV",$D$2:D548,D548)-1)</f>
        <v/>
      </c>
      <c r="Q548" s="62" t="str">
        <f>IF(OR(D548="",NOT(AND(F548=1,G548="SUV"))),"",1+SUMPRODUCT(($F$2:$F$1001=1)*($G$2:$G$1001="SUV")*($D$2:$D$1001&gt;D548))+COUNTIFS($F$2:F548,1,$G$2:G548,"SUV",$D$2:D548,D548)-1)</f>
        <v/>
      </c>
    </row>
    <row r="549" spans="1:17">
      <c r="A549" s="62" t="str">
        <f>IFERROR(INDEX($H$2:$H$3000,MATCH(0,INDEX(COUNTIF($A$1:A548,$H$2:$H$3000)+($H$2:$H$3000=""),0,0),0)),"")</f>
        <v/>
      </c>
      <c r="B549" s="62" t="str">
        <f t="shared" si="32"/>
        <v/>
      </c>
      <c r="C549" s="62" t="str">
        <f t="shared" si="33"/>
        <v/>
      </c>
      <c r="D549" s="63" t="str">
        <f t="shared" si="34"/>
        <v/>
      </c>
      <c r="E549" s="62" t="str">
        <f>IF(D549="","",_xlfn.RANK.EQ(D549,$D$2:$D$1001,0)+COUNTIF($D$2:D549,D549)-1)</f>
        <v/>
      </c>
      <c r="F549" s="62" t="str">
        <f>IF(B549="","",--(COUNTIF(CN_Brands!$A$2:$A$300,UPPER(B549))&gt;0))</f>
        <v/>
      </c>
      <c r="G549" s="62" t="str">
        <f t="shared" si="35"/>
        <v/>
      </c>
      <c r="H549" s="62" t="str">
        <f>IF(AND('Data Export'!A549=前十整体车型排名!$B$2,'Data Export'!B549=前十整体车型排名!$B$3,'Data Export'!D549&lt;&gt;""),UPPER('Data Export'!C549)&amp;"♦"&amp;'Data Export'!D549,"")</f>
        <v>MG♦HS</v>
      </c>
      <c r="I549" s="63">
        <f>IF(H549="","",IFERROR(INDEX('Data Export'!G549:CZ549,1,MATCH(前十整体车型排名!$B$4,'Data Export'!$G$1:$CZ$1,0)),0))</f>
        <v>15</v>
      </c>
      <c r="J549" s="62" t="str">
        <f>IF(H549="","",IF(OR('Data Export'!F549="三厢轿车",'Data Export'!F549="掀背轿车",'Data Export'!F549="旅行车",'Data Export'!F549="微型车",'Data Export'!F549="硬顶跑车",'Data Export'!F549="敞蓬车",'Data Export'!F549="Targa"),"轿车",IF(OR('Data Export'!F549="小型MPV",'Data Export'!F549="客车"),"MPV",IF('Data Export'!F549="运动型多功能车","SUV","其他"))))</f>
        <v>SUV</v>
      </c>
      <c r="K549" s="62" t="str">
        <f>IF(OR(D549="",NOT(F549=1)),"",1+SUMPRODUCT(($F$2:$F$1001=1)*($D$2:$D$1001&gt;D549))+COUNTIFS($F$2:F549,1,$D$2:D549,D549)-1)</f>
        <v/>
      </c>
      <c r="L549" s="62" t="str">
        <f>IF(OR(D549="",NOT(G549="轿车")),"",1+SUMPRODUCT(($G$2:$G$1001="轿车")*($D$2:$D$1001&gt;D549))+COUNTIFS($G$2:G549,"轿车",$D$2:D549,D549)-1)</f>
        <v/>
      </c>
      <c r="M549" s="62" t="str">
        <f>IF(OR(D549="",NOT(G549="MPV")),"",1+SUMPRODUCT(($G$2:$G$1001="MPV")*($D$2:$D$1001&gt;D549))+COUNTIFS($G$2:G549,"MPV",$D$2:D549,D549)-1)</f>
        <v/>
      </c>
      <c r="N549" s="62" t="str">
        <f>IF(OR(D549="",NOT(G549="SUV")),"",1+SUMPRODUCT(($G$2:$G$1001="SUV")*($D$2:$D$1001&gt;D549))+COUNTIFS($G$2:G549,"SUV",$D$2:D549,D549)-1)</f>
        <v/>
      </c>
      <c r="O549" s="62" t="str">
        <f>IF(OR(D549="",NOT(AND(F549=1,G549="轿车"))),"",1+SUMPRODUCT(($F$2:$F$1001=1)*($G$2:$G$1001="轿车")*($D$2:$D$1001&gt;D549))+COUNTIFS($F$2:F549,1,$G$2:G549,"轿车",$D$2:D549,D549)-1)</f>
        <v/>
      </c>
      <c r="P549" s="62" t="str">
        <f>IF(OR(D549="",NOT(AND(F549=1,G549="MPV"))),"",1+SUMPRODUCT(($F$2:$F$1001=1)*($G$2:$G$1001="MPV")*($D$2:$D$1001&gt;D549))+COUNTIFS($F$2:F549,1,$G$2:G549,"MPV",$D$2:D549,D549)-1)</f>
        <v/>
      </c>
      <c r="Q549" s="62" t="str">
        <f>IF(OR(D549="",NOT(AND(F549=1,G549="SUV"))),"",1+SUMPRODUCT(($F$2:$F$1001=1)*($G$2:$G$1001="SUV")*($D$2:$D$1001&gt;D549))+COUNTIFS($F$2:F549,1,$G$2:G549,"SUV",$D$2:D549,D549)-1)</f>
        <v/>
      </c>
    </row>
    <row r="550" spans="1:17">
      <c r="A550" s="62" t="str">
        <f>IFERROR(INDEX($H$2:$H$3000,MATCH(0,INDEX(COUNTIF($A$1:A549,$H$2:$H$3000)+($H$2:$H$3000=""),0,0),0)),"")</f>
        <v/>
      </c>
      <c r="B550" s="62" t="str">
        <f t="shared" si="32"/>
        <v/>
      </c>
      <c r="C550" s="62" t="str">
        <f t="shared" si="33"/>
        <v/>
      </c>
      <c r="D550" s="63" t="str">
        <f t="shared" si="34"/>
        <v/>
      </c>
      <c r="E550" s="62" t="str">
        <f>IF(D550="","",_xlfn.RANK.EQ(D550,$D$2:$D$1001,0)+COUNTIF($D$2:D550,D550)-1)</f>
        <v/>
      </c>
      <c r="F550" s="62" t="str">
        <f>IF(B550="","",--(COUNTIF(CN_Brands!$A$2:$A$300,UPPER(B550))&gt;0))</f>
        <v/>
      </c>
      <c r="G550" s="62" t="str">
        <f t="shared" si="35"/>
        <v/>
      </c>
      <c r="H550" s="62" t="str">
        <f>IF(AND('Data Export'!A550=前十整体车型排名!$B$2,'Data Export'!B550=前十整体车型排名!$B$3,'Data Export'!D550&lt;&gt;""),UPPER('Data Export'!C550)&amp;"♦"&amp;'Data Export'!D550,"")</f>
        <v>MG♦IM5</v>
      </c>
      <c r="I550" s="63">
        <f>IF(H550="","",IFERROR(INDEX('Data Export'!G550:CZ550,1,MATCH(前十整体车型排名!$B$4,'Data Export'!$G$1:$CZ$1,0)),0))</f>
        <v>187</v>
      </c>
      <c r="J550" s="62" t="str">
        <f>IF(H550="","",IF(OR('Data Export'!F550="三厢轿车",'Data Export'!F550="掀背轿车",'Data Export'!F550="旅行车",'Data Export'!F550="微型车",'Data Export'!F550="硬顶跑车",'Data Export'!F550="敞蓬车",'Data Export'!F550="Targa"),"轿车",IF(OR('Data Export'!F550="小型MPV",'Data Export'!F550="客车"),"MPV",IF('Data Export'!F550="运动型多功能车","SUV","其他"))))</f>
        <v>轿车</v>
      </c>
      <c r="K550" s="62" t="str">
        <f>IF(OR(D550="",NOT(F550=1)),"",1+SUMPRODUCT(($F$2:$F$1001=1)*($D$2:$D$1001&gt;D550))+COUNTIFS($F$2:F550,1,$D$2:D550,D550)-1)</f>
        <v/>
      </c>
      <c r="L550" s="62" t="str">
        <f>IF(OR(D550="",NOT(G550="轿车")),"",1+SUMPRODUCT(($G$2:$G$1001="轿车")*($D$2:$D$1001&gt;D550))+COUNTIFS($G$2:G550,"轿车",$D$2:D550,D550)-1)</f>
        <v/>
      </c>
      <c r="M550" s="62" t="str">
        <f>IF(OR(D550="",NOT(G550="MPV")),"",1+SUMPRODUCT(($G$2:$G$1001="MPV")*($D$2:$D$1001&gt;D550))+COUNTIFS($G$2:G550,"MPV",$D$2:D550,D550)-1)</f>
        <v/>
      </c>
      <c r="N550" s="62" t="str">
        <f>IF(OR(D550="",NOT(G550="SUV")),"",1+SUMPRODUCT(($G$2:$G$1001="SUV")*($D$2:$D$1001&gt;D550))+COUNTIFS($G$2:G550,"SUV",$D$2:D550,D550)-1)</f>
        <v/>
      </c>
      <c r="O550" s="62" t="str">
        <f>IF(OR(D550="",NOT(AND(F550=1,G550="轿车"))),"",1+SUMPRODUCT(($F$2:$F$1001=1)*($G$2:$G$1001="轿车")*($D$2:$D$1001&gt;D550))+COUNTIFS($F$2:F550,1,$G$2:G550,"轿车",$D$2:D550,D550)-1)</f>
        <v/>
      </c>
      <c r="P550" s="62" t="str">
        <f>IF(OR(D550="",NOT(AND(F550=1,G550="MPV"))),"",1+SUMPRODUCT(($F$2:$F$1001=1)*($G$2:$G$1001="MPV")*($D$2:$D$1001&gt;D550))+COUNTIFS($F$2:F550,1,$G$2:G550,"MPV",$D$2:D550,D550)-1)</f>
        <v/>
      </c>
      <c r="Q550" s="62" t="str">
        <f>IF(OR(D550="",NOT(AND(F550=1,G550="SUV"))),"",1+SUMPRODUCT(($F$2:$F$1001=1)*($G$2:$G$1001="SUV")*($D$2:$D$1001&gt;D550))+COUNTIFS($F$2:F550,1,$G$2:G550,"SUV",$D$2:D550,D550)-1)</f>
        <v/>
      </c>
    </row>
    <row r="551" spans="1:17">
      <c r="A551" s="62" t="str">
        <f>IFERROR(INDEX($H$2:$H$3000,MATCH(0,INDEX(COUNTIF($A$1:A550,$H$2:$H$3000)+($H$2:$H$3000=""),0,0),0)),"")</f>
        <v/>
      </c>
      <c r="B551" s="62" t="str">
        <f t="shared" si="32"/>
        <v/>
      </c>
      <c r="C551" s="62" t="str">
        <f t="shared" si="33"/>
        <v/>
      </c>
      <c r="D551" s="63" t="str">
        <f t="shared" si="34"/>
        <v/>
      </c>
      <c r="E551" s="62" t="str">
        <f>IF(D551="","",_xlfn.RANK.EQ(D551,$D$2:$D$1001,0)+COUNTIF($D$2:D551,D551)-1)</f>
        <v/>
      </c>
      <c r="F551" s="62" t="str">
        <f>IF(B551="","",--(COUNTIF(CN_Brands!$A$2:$A$300,UPPER(B551))&gt;0))</f>
        <v/>
      </c>
      <c r="G551" s="62" t="str">
        <f t="shared" si="35"/>
        <v/>
      </c>
      <c r="H551" s="62" t="str">
        <f>IF(AND('Data Export'!A551=前十整体车型排名!$B$2,'Data Export'!B551=前十整体车型排名!$B$3,'Data Export'!D551&lt;&gt;""),UPPER('Data Export'!C551)&amp;"♦"&amp;'Data Export'!D551,"")</f>
        <v>MG♦IM6</v>
      </c>
      <c r="I551" s="63">
        <f>IF(H551="","",IFERROR(INDEX('Data Export'!G551:CZ551,1,MATCH(前十整体车型排名!$B$4,'Data Export'!$G$1:$CZ$1,0)),0))</f>
        <v>127</v>
      </c>
      <c r="J551" s="62" t="str">
        <f>IF(H551="","",IF(OR('Data Export'!F551="三厢轿车",'Data Export'!F551="掀背轿车",'Data Export'!F551="旅行车",'Data Export'!F551="微型车",'Data Export'!F551="硬顶跑车",'Data Export'!F551="敞蓬车",'Data Export'!F551="Targa"),"轿车",IF(OR('Data Export'!F551="小型MPV",'Data Export'!F551="客车"),"MPV",IF('Data Export'!F551="运动型多功能车","SUV","其他"))))</f>
        <v>SUV</v>
      </c>
      <c r="K551" s="62" t="str">
        <f>IF(OR(D551="",NOT(F551=1)),"",1+SUMPRODUCT(($F$2:$F$1001=1)*($D$2:$D$1001&gt;D551))+COUNTIFS($F$2:F551,1,$D$2:D551,D551)-1)</f>
        <v/>
      </c>
      <c r="L551" s="62" t="str">
        <f>IF(OR(D551="",NOT(G551="轿车")),"",1+SUMPRODUCT(($G$2:$G$1001="轿车")*($D$2:$D$1001&gt;D551))+COUNTIFS($G$2:G551,"轿车",$D$2:D551,D551)-1)</f>
        <v/>
      </c>
      <c r="M551" s="62" t="str">
        <f>IF(OR(D551="",NOT(G551="MPV")),"",1+SUMPRODUCT(($G$2:$G$1001="MPV")*($D$2:$D$1001&gt;D551))+COUNTIFS($G$2:G551,"MPV",$D$2:D551,D551)-1)</f>
        <v/>
      </c>
      <c r="N551" s="62" t="str">
        <f>IF(OR(D551="",NOT(G551="SUV")),"",1+SUMPRODUCT(($G$2:$G$1001="SUV")*($D$2:$D$1001&gt;D551))+COUNTIFS($G$2:G551,"SUV",$D$2:D551,D551)-1)</f>
        <v/>
      </c>
      <c r="O551" s="62" t="str">
        <f>IF(OR(D551="",NOT(AND(F551=1,G551="轿车"))),"",1+SUMPRODUCT(($F$2:$F$1001=1)*($G$2:$G$1001="轿车")*($D$2:$D$1001&gt;D551))+COUNTIFS($F$2:F551,1,$G$2:G551,"轿车",$D$2:D551,D551)-1)</f>
        <v/>
      </c>
      <c r="P551" s="62" t="str">
        <f>IF(OR(D551="",NOT(AND(F551=1,G551="MPV"))),"",1+SUMPRODUCT(($F$2:$F$1001=1)*($G$2:$G$1001="MPV")*($D$2:$D$1001&gt;D551))+COUNTIFS($F$2:F551,1,$G$2:G551,"MPV",$D$2:D551,D551)-1)</f>
        <v/>
      </c>
      <c r="Q551" s="62" t="str">
        <f>IF(OR(D551="",NOT(AND(F551=1,G551="SUV"))),"",1+SUMPRODUCT(($F$2:$F$1001=1)*($G$2:$G$1001="SUV")*($D$2:$D$1001&gt;D551))+COUNTIFS($F$2:F551,1,$G$2:G551,"SUV",$D$2:D551,D551)-1)</f>
        <v/>
      </c>
    </row>
    <row r="552" spans="1:17">
      <c r="A552" s="62" t="str">
        <f>IFERROR(INDEX($H$2:$H$3000,MATCH(0,INDEX(COUNTIF($A$1:A551,$H$2:$H$3000)+($H$2:$H$3000=""),0,0),0)),"")</f>
        <v/>
      </c>
      <c r="B552" s="62" t="str">
        <f t="shared" si="32"/>
        <v/>
      </c>
      <c r="C552" s="62" t="str">
        <f t="shared" si="33"/>
        <v/>
      </c>
      <c r="D552" s="63" t="str">
        <f t="shared" si="34"/>
        <v/>
      </c>
      <c r="E552" s="62" t="str">
        <f>IF(D552="","",_xlfn.RANK.EQ(D552,$D$2:$D$1001,0)+COUNTIF($D$2:D552,D552)-1)</f>
        <v/>
      </c>
      <c r="F552" s="62" t="str">
        <f>IF(B552="","",--(COUNTIF(CN_Brands!$A$2:$A$300,UPPER(B552))&gt;0))</f>
        <v/>
      </c>
      <c r="G552" s="62" t="str">
        <f t="shared" si="35"/>
        <v/>
      </c>
      <c r="H552" s="62" t="str">
        <f>IF(AND('Data Export'!A552=前十整体车型排名!$B$2,'Data Export'!B552=前十整体车型排名!$B$3,'Data Export'!D552&lt;&gt;""),UPPER('Data Export'!C552)&amp;"♦"&amp;'Data Export'!D552,"")</f>
        <v>MG♦MAXUS 7</v>
      </c>
      <c r="I552" s="63">
        <f>IF(H552="","",IFERROR(INDEX('Data Export'!G552:CZ552,1,MATCH(前十整体车型排名!$B$4,'Data Export'!$G$1:$CZ$1,0)),0))</f>
        <v>74</v>
      </c>
      <c r="J552" s="62" t="str">
        <f>IF(H552="","",IF(OR('Data Export'!F552="三厢轿车",'Data Export'!F552="掀背轿车",'Data Export'!F552="旅行车",'Data Export'!F552="微型车",'Data Export'!F552="硬顶跑车",'Data Export'!F552="敞蓬车",'Data Export'!F552="Targa"),"轿车",IF(OR('Data Export'!F552="小型MPV",'Data Export'!F552="客车"),"MPV",IF('Data Export'!F552="运动型多功能车","SUV","其他"))))</f>
        <v>其他</v>
      </c>
      <c r="K552" s="62" t="str">
        <f>IF(OR(D552="",NOT(F552=1)),"",1+SUMPRODUCT(($F$2:$F$1001=1)*($D$2:$D$1001&gt;D552))+COUNTIFS($F$2:F552,1,$D$2:D552,D552)-1)</f>
        <v/>
      </c>
      <c r="L552" s="62" t="str">
        <f>IF(OR(D552="",NOT(G552="轿车")),"",1+SUMPRODUCT(($G$2:$G$1001="轿车")*($D$2:$D$1001&gt;D552))+COUNTIFS($G$2:G552,"轿车",$D$2:D552,D552)-1)</f>
        <v/>
      </c>
      <c r="M552" s="62" t="str">
        <f>IF(OR(D552="",NOT(G552="MPV")),"",1+SUMPRODUCT(($G$2:$G$1001="MPV")*($D$2:$D$1001&gt;D552))+COUNTIFS($G$2:G552,"MPV",$D$2:D552,D552)-1)</f>
        <v/>
      </c>
      <c r="N552" s="62" t="str">
        <f>IF(OR(D552="",NOT(G552="SUV")),"",1+SUMPRODUCT(($G$2:$G$1001="SUV")*($D$2:$D$1001&gt;D552))+COUNTIFS($G$2:G552,"SUV",$D$2:D552,D552)-1)</f>
        <v/>
      </c>
      <c r="O552" s="62" t="str">
        <f>IF(OR(D552="",NOT(AND(F552=1,G552="轿车"))),"",1+SUMPRODUCT(($F$2:$F$1001=1)*($G$2:$G$1001="轿车")*($D$2:$D$1001&gt;D552))+COUNTIFS($F$2:F552,1,$G$2:G552,"轿车",$D$2:D552,D552)-1)</f>
        <v/>
      </c>
      <c r="P552" s="62" t="str">
        <f>IF(OR(D552="",NOT(AND(F552=1,G552="MPV"))),"",1+SUMPRODUCT(($F$2:$F$1001=1)*($G$2:$G$1001="MPV")*($D$2:$D$1001&gt;D552))+COUNTIFS($F$2:F552,1,$G$2:G552,"MPV",$D$2:D552,D552)-1)</f>
        <v/>
      </c>
      <c r="Q552" s="62" t="str">
        <f>IF(OR(D552="",NOT(AND(F552=1,G552="SUV"))),"",1+SUMPRODUCT(($F$2:$F$1001=1)*($G$2:$G$1001="SUV")*($D$2:$D$1001&gt;D552))+COUNTIFS($F$2:F552,1,$G$2:G552,"SUV",$D$2:D552,D552)-1)</f>
        <v/>
      </c>
    </row>
    <row r="553" spans="1:17">
      <c r="A553" s="62" t="str">
        <f>IFERROR(INDEX($H$2:$H$3000,MATCH(0,INDEX(COUNTIF($A$1:A552,$H$2:$H$3000)+($H$2:$H$3000=""),0,0),0)),"")</f>
        <v/>
      </c>
      <c r="B553" s="62" t="str">
        <f t="shared" si="32"/>
        <v/>
      </c>
      <c r="C553" s="62" t="str">
        <f t="shared" si="33"/>
        <v/>
      </c>
      <c r="D553" s="63" t="str">
        <f t="shared" si="34"/>
        <v/>
      </c>
      <c r="E553" s="62" t="str">
        <f>IF(D553="","",_xlfn.RANK.EQ(D553,$D$2:$D$1001,0)+COUNTIF($D$2:D553,D553)-1)</f>
        <v/>
      </c>
      <c r="F553" s="62" t="str">
        <f>IF(B553="","",--(COUNTIF(CN_Brands!$A$2:$A$300,UPPER(B553))&gt;0))</f>
        <v/>
      </c>
      <c r="G553" s="62" t="str">
        <f t="shared" si="35"/>
        <v/>
      </c>
      <c r="H553" s="62" t="str">
        <f>IF(AND('Data Export'!A553=前十整体车型排名!$B$2,'Data Export'!B553=前十整体车型排名!$B$3,'Data Export'!D553&lt;&gt;""),UPPER('Data Export'!C553)&amp;"♦"&amp;'Data Export'!D553,"")</f>
        <v>MG♦MAXUS 9</v>
      </c>
      <c r="I553" s="63">
        <f>IF(H553="","",IFERROR(INDEX('Data Export'!G553:CZ553,1,MATCH(前十整体车型排名!$B$4,'Data Export'!$G$1:$CZ$1,0)),0))</f>
        <v>63</v>
      </c>
      <c r="J553" s="62" t="str">
        <f>IF(H553="","",IF(OR('Data Export'!F553="三厢轿车",'Data Export'!F553="掀背轿车",'Data Export'!F553="旅行车",'Data Export'!F553="微型车",'Data Export'!F553="硬顶跑车",'Data Export'!F553="敞蓬车",'Data Export'!F553="Targa"),"轿车",IF(OR('Data Export'!F553="小型MPV",'Data Export'!F553="客车"),"MPV",IF('Data Export'!F553="运动型多功能车","SUV","其他"))))</f>
        <v>其他</v>
      </c>
      <c r="K553" s="62" t="str">
        <f>IF(OR(D553="",NOT(F553=1)),"",1+SUMPRODUCT(($F$2:$F$1001=1)*($D$2:$D$1001&gt;D553))+COUNTIFS($F$2:F553,1,$D$2:D553,D553)-1)</f>
        <v/>
      </c>
      <c r="L553" s="62" t="str">
        <f>IF(OR(D553="",NOT(G553="轿车")),"",1+SUMPRODUCT(($G$2:$G$1001="轿车")*($D$2:$D$1001&gt;D553))+COUNTIFS($G$2:G553,"轿车",$D$2:D553,D553)-1)</f>
        <v/>
      </c>
      <c r="M553" s="62" t="str">
        <f>IF(OR(D553="",NOT(G553="MPV")),"",1+SUMPRODUCT(($G$2:$G$1001="MPV")*($D$2:$D$1001&gt;D553))+COUNTIFS($G$2:G553,"MPV",$D$2:D553,D553)-1)</f>
        <v/>
      </c>
      <c r="N553" s="62" t="str">
        <f>IF(OR(D553="",NOT(G553="SUV")),"",1+SUMPRODUCT(($G$2:$G$1001="SUV")*($D$2:$D$1001&gt;D553))+COUNTIFS($G$2:G553,"SUV",$D$2:D553,D553)-1)</f>
        <v/>
      </c>
      <c r="O553" s="62" t="str">
        <f>IF(OR(D553="",NOT(AND(F553=1,G553="轿车"))),"",1+SUMPRODUCT(($F$2:$F$1001=1)*($G$2:$G$1001="轿车")*($D$2:$D$1001&gt;D553))+COUNTIFS($F$2:F553,1,$G$2:G553,"轿车",$D$2:D553,D553)-1)</f>
        <v/>
      </c>
      <c r="P553" s="62" t="str">
        <f>IF(OR(D553="",NOT(AND(F553=1,G553="MPV"))),"",1+SUMPRODUCT(($F$2:$F$1001=1)*($G$2:$G$1001="MPV")*($D$2:$D$1001&gt;D553))+COUNTIFS($F$2:F553,1,$G$2:G553,"MPV",$D$2:D553,D553)-1)</f>
        <v/>
      </c>
      <c r="Q553" s="62" t="str">
        <f>IF(OR(D553="",NOT(AND(F553=1,G553="SUV"))),"",1+SUMPRODUCT(($F$2:$F$1001=1)*($G$2:$G$1001="SUV")*($D$2:$D$1001&gt;D553))+COUNTIFS($F$2:F553,1,$G$2:G553,"SUV",$D$2:D553,D553)-1)</f>
        <v/>
      </c>
    </row>
    <row r="554" spans="1:17">
      <c r="A554" s="62" t="str">
        <f>IFERROR(INDEX($H$2:$H$3000,MATCH(0,INDEX(COUNTIF($A$1:A553,$H$2:$H$3000)+($H$2:$H$3000=""),0,0),0)),"")</f>
        <v/>
      </c>
      <c r="B554" s="62" t="str">
        <f t="shared" si="32"/>
        <v/>
      </c>
      <c r="C554" s="62" t="str">
        <f t="shared" si="33"/>
        <v/>
      </c>
      <c r="D554" s="63" t="str">
        <f t="shared" si="34"/>
        <v/>
      </c>
      <c r="E554" s="62" t="str">
        <f>IF(D554="","",_xlfn.RANK.EQ(D554,$D$2:$D$1001,0)+COUNTIF($D$2:D554,D554)-1)</f>
        <v/>
      </c>
      <c r="F554" s="62" t="str">
        <f>IF(B554="","",--(COUNTIF(CN_Brands!$A$2:$A$300,UPPER(B554))&gt;0))</f>
        <v/>
      </c>
      <c r="G554" s="62" t="str">
        <f t="shared" si="35"/>
        <v/>
      </c>
      <c r="H554" s="62" t="str">
        <f>IF(AND('Data Export'!A554=前十整体车型排名!$B$2,'Data Export'!B554=前十整体车型排名!$B$3,'Data Export'!D554&lt;&gt;""),UPPER('Data Export'!C554)&amp;"♦"&amp;'Data Export'!D554,"")</f>
        <v>MG♦MG3</v>
      </c>
      <c r="I554" s="63">
        <f>IF(H554="","",IFERROR(INDEX('Data Export'!G554:CZ554,1,MATCH(前十整体车型排名!$B$4,'Data Export'!$G$1:$CZ$1,0)),0))</f>
        <v>87</v>
      </c>
      <c r="J554" s="62" t="str">
        <f>IF(H554="","",IF(OR('Data Export'!F554="三厢轿车",'Data Export'!F554="掀背轿车",'Data Export'!F554="旅行车",'Data Export'!F554="微型车",'Data Export'!F554="硬顶跑车",'Data Export'!F554="敞蓬车",'Data Export'!F554="Targa"),"轿车",IF(OR('Data Export'!F554="小型MPV",'Data Export'!F554="客车"),"MPV",IF('Data Export'!F554="运动型多功能车","SUV","其他"))))</f>
        <v>轿车</v>
      </c>
      <c r="K554" s="62" t="str">
        <f>IF(OR(D554="",NOT(F554=1)),"",1+SUMPRODUCT(($F$2:$F$1001=1)*($D$2:$D$1001&gt;D554))+COUNTIFS($F$2:F554,1,$D$2:D554,D554)-1)</f>
        <v/>
      </c>
      <c r="L554" s="62" t="str">
        <f>IF(OR(D554="",NOT(G554="轿车")),"",1+SUMPRODUCT(($G$2:$G$1001="轿车")*($D$2:$D$1001&gt;D554))+COUNTIFS($G$2:G554,"轿车",$D$2:D554,D554)-1)</f>
        <v/>
      </c>
      <c r="M554" s="62" t="str">
        <f>IF(OR(D554="",NOT(G554="MPV")),"",1+SUMPRODUCT(($G$2:$G$1001="MPV")*($D$2:$D$1001&gt;D554))+COUNTIFS($G$2:G554,"MPV",$D$2:D554,D554)-1)</f>
        <v/>
      </c>
      <c r="N554" s="62" t="str">
        <f>IF(OR(D554="",NOT(G554="SUV")),"",1+SUMPRODUCT(($G$2:$G$1001="SUV")*($D$2:$D$1001&gt;D554))+COUNTIFS($G$2:G554,"SUV",$D$2:D554,D554)-1)</f>
        <v/>
      </c>
      <c r="O554" s="62" t="str">
        <f>IF(OR(D554="",NOT(AND(F554=1,G554="轿车"))),"",1+SUMPRODUCT(($F$2:$F$1001=1)*($G$2:$G$1001="轿车")*($D$2:$D$1001&gt;D554))+COUNTIFS($F$2:F554,1,$G$2:G554,"轿车",$D$2:D554,D554)-1)</f>
        <v/>
      </c>
      <c r="P554" s="62" t="str">
        <f>IF(OR(D554="",NOT(AND(F554=1,G554="MPV"))),"",1+SUMPRODUCT(($F$2:$F$1001=1)*($G$2:$G$1001="MPV")*($D$2:$D$1001&gt;D554))+COUNTIFS($F$2:F554,1,$G$2:G554,"MPV",$D$2:D554,D554)-1)</f>
        <v/>
      </c>
      <c r="Q554" s="62" t="str">
        <f>IF(OR(D554="",NOT(AND(F554=1,G554="SUV"))),"",1+SUMPRODUCT(($F$2:$F$1001=1)*($G$2:$G$1001="SUV")*($D$2:$D$1001&gt;D554))+COUNTIFS($F$2:F554,1,$G$2:G554,"SUV",$D$2:D554,D554)-1)</f>
        <v/>
      </c>
    </row>
    <row r="555" spans="1:17">
      <c r="A555" s="62" t="str">
        <f>IFERROR(INDEX($H$2:$H$3000,MATCH(0,INDEX(COUNTIF($A$1:A554,$H$2:$H$3000)+($H$2:$H$3000=""),0,0),0)),"")</f>
        <v/>
      </c>
      <c r="B555" s="62" t="str">
        <f t="shared" si="32"/>
        <v/>
      </c>
      <c r="C555" s="62" t="str">
        <f t="shared" si="33"/>
        <v/>
      </c>
      <c r="D555" s="63" t="str">
        <f t="shared" si="34"/>
        <v/>
      </c>
      <c r="E555" s="62" t="str">
        <f>IF(D555="","",_xlfn.RANK.EQ(D555,$D$2:$D$1001,0)+COUNTIF($D$2:D555,D555)-1)</f>
        <v/>
      </c>
      <c r="F555" s="62" t="str">
        <f>IF(B555="","",--(COUNTIF(CN_Brands!$A$2:$A$300,UPPER(B555))&gt;0))</f>
        <v/>
      </c>
      <c r="G555" s="62" t="str">
        <f t="shared" si="35"/>
        <v/>
      </c>
      <c r="H555" s="62" t="str">
        <f>IF(AND('Data Export'!A555=前十整体车型排名!$B$2,'Data Export'!B555=前十整体车型排名!$B$3,'Data Export'!D555&lt;&gt;""),UPPER('Data Export'!C555)&amp;"♦"&amp;'Data Export'!D555,"")</f>
        <v>MG♦MG4</v>
      </c>
      <c r="I555" s="63">
        <f>IF(H555="","",IFERROR(INDEX('Data Export'!G555:CZ555,1,MATCH(前十整体车型排名!$B$4,'Data Export'!$G$1:$CZ$1,0)),0))</f>
        <v>875</v>
      </c>
      <c r="J555" s="62" t="str">
        <f>IF(H555="","",IF(OR('Data Export'!F555="三厢轿车",'Data Export'!F555="掀背轿车",'Data Export'!F555="旅行车",'Data Export'!F555="微型车",'Data Export'!F555="硬顶跑车",'Data Export'!F555="敞蓬车",'Data Export'!F555="Targa"),"轿车",IF(OR('Data Export'!F555="小型MPV",'Data Export'!F555="客车"),"MPV",IF('Data Export'!F555="运动型多功能车","SUV","其他"))))</f>
        <v>轿车</v>
      </c>
      <c r="K555" s="62" t="str">
        <f>IF(OR(D555="",NOT(F555=1)),"",1+SUMPRODUCT(($F$2:$F$1001=1)*($D$2:$D$1001&gt;D555))+COUNTIFS($F$2:F555,1,$D$2:D555,D555)-1)</f>
        <v/>
      </c>
      <c r="L555" s="62" t="str">
        <f>IF(OR(D555="",NOT(G555="轿车")),"",1+SUMPRODUCT(($G$2:$G$1001="轿车")*($D$2:$D$1001&gt;D555))+COUNTIFS($G$2:G555,"轿车",$D$2:D555,D555)-1)</f>
        <v/>
      </c>
      <c r="M555" s="62" t="str">
        <f>IF(OR(D555="",NOT(G555="MPV")),"",1+SUMPRODUCT(($G$2:$G$1001="MPV")*($D$2:$D$1001&gt;D555))+COUNTIFS($G$2:G555,"MPV",$D$2:D555,D555)-1)</f>
        <v/>
      </c>
      <c r="N555" s="62" t="str">
        <f>IF(OR(D555="",NOT(G555="SUV")),"",1+SUMPRODUCT(($G$2:$G$1001="SUV")*($D$2:$D$1001&gt;D555))+COUNTIFS($G$2:G555,"SUV",$D$2:D555,D555)-1)</f>
        <v/>
      </c>
      <c r="O555" s="62" t="str">
        <f>IF(OR(D555="",NOT(AND(F555=1,G555="轿车"))),"",1+SUMPRODUCT(($F$2:$F$1001=1)*($G$2:$G$1001="轿车")*($D$2:$D$1001&gt;D555))+COUNTIFS($F$2:F555,1,$G$2:G555,"轿车",$D$2:D555,D555)-1)</f>
        <v/>
      </c>
      <c r="P555" s="62" t="str">
        <f>IF(OR(D555="",NOT(AND(F555=1,G555="MPV"))),"",1+SUMPRODUCT(($F$2:$F$1001=1)*($G$2:$G$1001="MPV")*($D$2:$D$1001&gt;D555))+COUNTIFS($F$2:F555,1,$G$2:G555,"MPV",$D$2:D555,D555)-1)</f>
        <v/>
      </c>
      <c r="Q555" s="62" t="str">
        <f>IF(OR(D555="",NOT(AND(F555=1,G555="SUV"))),"",1+SUMPRODUCT(($F$2:$F$1001=1)*($G$2:$G$1001="SUV")*($D$2:$D$1001&gt;D555))+COUNTIFS($F$2:F555,1,$G$2:G555,"SUV",$D$2:D555,D555)-1)</f>
        <v/>
      </c>
    </row>
    <row r="556" spans="1:17">
      <c r="A556" s="62" t="str">
        <f>IFERROR(INDEX($H$2:$H$3000,MATCH(0,INDEX(COUNTIF($A$1:A555,$H$2:$H$3000)+($H$2:$H$3000=""),0,0),0)),"")</f>
        <v/>
      </c>
      <c r="B556" s="62" t="str">
        <f t="shared" si="32"/>
        <v/>
      </c>
      <c r="C556" s="62" t="str">
        <f t="shared" si="33"/>
        <v/>
      </c>
      <c r="D556" s="63" t="str">
        <f t="shared" si="34"/>
        <v/>
      </c>
      <c r="E556" s="62" t="str">
        <f>IF(D556="","",_xlfn.RANK.EQ(D556,$D$2:$D$1001,0)+COUNTIF($D$2:D556,D556)-1)</f>
        <v/>
      </c>
      <c r="F556" s="62" t="str">
        <f>IF(B556="","",--(COUNTIF(CN_Brands!$A$2:$A$300,UPPER(B556))&gt;0))</f>
        <v/>
      </c>
      <c r="G556" s="62" t="str">
        <f t="shared" si="35"/>
        <v/>
      </c>
      <c r="H556" s="62" t="str">
        <f>IF(AND('Data Export'!A556=前十整体车型排名!$B$2,'Data Export'!B556=前十整体车型排名!$B$3,'Data Export'!D556&lt;&gt;""),UPPER('Data Export'!C556)&amp;"♦"&amp;'Data Export'!D556,"")</f>
        <v>MG♦MG4 URBAN</v>
      </c>
      <c r="I556" s="63">
        <f>IF(H556="","",IFERROR(INDEX('Data Export'!G556:CZ556,1,MATCH(前十整体车型排名!$B$4,'Data Export'!$G$1:$CZ$1,0)),0))</f>
        <v>3</v>
      </c>
      <c r="J556" s="62" t="str">
        <f>IF(H556="","",IF(OR('Data Export'!F556="三厢轿车",'Data Export'!F556="掀背轿车",'Data Export'!F556="旅行车",'Data Export'!F556="微型车",'Data Export'!F556="硬顶跑车",'Data Export'!F556="敞蓬车",'Data Export'!F556="Targa"),"轿车",IF(OR('Data Export'!F556="小型MPV",'Data Export'!F556="客车"),"MPV",IF('Data Export'!F556="运动型多功能车","SUV","其他"))))</f>
        <v>轿车</v>
      </c>
      <c r="K556" s="62" t="str">
        <f>IF(OR(D556="",NOT(F556=1)),"",1+SUMPRODUCT(($F$2:$F$1001=1)*($D$2:$D$1001&gt;D556))+COUNTIFS($F$2:F556,1,$D$2:D556,D556)-1)</f>
        <v/>
      </c>
      <c r="L556" s="62" t="str">
        <f>IF(OR(D556="",NOT(G556="轿车")),"",1+SUMPRODUCT(($G$2:$G$1001="轿车")*($D$2:$D$1001&gt;D556))+COUNTIFS($G$2:G556,"轿车",$D$2:D556,D556)-1)</f>
        <v/>
      </c>
      <c r="M556" s="62" t="str">
        <f>IF(OR(D556="",NOT(G556="MPV")),"",1+SUMPRODUCT(($G$2:$G$1001="MPV")*($D$2:$D$1001&gt;D556))+COUNTIFS($G$2:G556,"MPV",$D$2:D556,D556)-1)</f>
        <v/>
      </c>
      <c r="N556" s="62" t="str">
        <f>IF(OR(D556="",NOT(G556="SUV")),"",1+SUMPRODUCT(($G$2:$G$1001="SUV")*($D$2:$D$1001&gt;D556))+COUNTIFS($G$2:G556,"SUV",$D$2:D556,D556)-1)</f>
        <v/>
      </c>
      <c r="O556" s="62" t="str">
        <f>IF(OR(D556="",NOT(AND(F556=1,G556="轿车"))),"",1+SUMPRODUCT(($F$2:$F$1001=1)*($G$2:$G$1001="轿车")*($D$2:$D$1001&gt;D556))+COUNTIFS($F$2:F556,1,$G$2:G556,"轿车",$D$2:D556,D556)-1)</f>
        <v/>
      </c>
      <c r="P556" s="62" t="str">
        <f>IF(OR(D556="",NOT(AND(F556=1,G556="MPV"))),"",1+SUMPRODUCT(($F$2:$F$1001=1)*($G$2:$G$1001="MPV")*($D$2:$D$1001&gt;D556))+COUNTIFS($F$2:F556,1,$G$2:G556,"MPV",$D$2:D556,D556)-1)</f>
        <v/>
      </c>
      <c r="Q556" s="62" t="str">
        <f>IF(OR(D556="",NOT(AND(F556=1,G556="SUV"))),"",1+SUMPRODUCT(($F$2:$F$1001=1)*($G$2:$G$1001="SUV")*($D$2:$D$1001&gt;D556))+COUNTIFS($F$2:F556,1,$G$2:G556,"SUV",$D$2:D556,D556)-1)</f>
        <v/>
      </c>
    </row>
    <row r="557" spans="1:17">
      <c r="A557" s="62" t="str">
        <f>IFERROR(INDEX($H$2:$H$3000,MATCH(0,INDEX(COUNTIF($A$1:A556,$H$2:$H$3000)+($H$2:$H$3000=""),0,0),0)),"")</f>
        <v/>
      </c>
      <c r="B557" s="62" t="str">
        <f t="shared" si="32"/>
        <v/>
      </c>
      <c r="C557" s="62" t="str">
        <f t="shared" si="33"/>
        <v/>
      </c>
      <c r="D557" s="63" t="str">
        <f t="shared" si="34"/>
        <v/>
      </c>
      <c r="E557" s="62" t="str">
        <f>IF(D557="","",_xlfn.RANK.EQ(D557,$D$2:$D$1001,0)+COUNTIF($D$2:D557,D557)-1)</f>
        <v/>
      </c>
      <c r="F557" s="62" t="str">
        <f>IF(B557="","",--(COUNTIF(CN_Brands!$A$2:$A$300,UPPER(B557))&gt;0))</f>
        <v/>
      </c>
      <c r="G557" s="62" t="str">
        <f t="shared" si="35"/>
        <v/>
      </c>
      <c r="H557" s="62" t="str">
        <f>IF(AND('Data Export'!A557=前十整体车型排名!$B$2,'Data Export'!B557=前十整体车型排名!$B$3,'Data Export'!D557&lt;&gt;""),UPPER('Data Export'!C557)&amp;"♦"&amp;'Data Export'!D557,"")</f>
        <v>MG♦MG5</v>
      </c>
      <c r="I557" s="63">
        <f>IF(H557="","",IFERROR(INDEX('Data Export'!G557:CZ557,1,MATCH(前十整体车型排名!$B$4,'Data Export'!$G$1:$CZ$1,0)),0))</f>
        <v>81</v>
      </c>
      <c r="J557" s="62" t="str">
        <f>IF(H557="","",IF(OR('Data Export'!F557="三厢轿车",'Data Export'!F557="掀背轿车",'Data Export'!F557="旅行车",'Data Export'!F557="微型车",'Data Export'!F557="硬顶跑车",'Data Export'!F557="敞蓬车",'Data Export'!F557="Targa"),"轿车",IF(OR('Data Export'!F557="小型MPV",'Data Export'!F557="客车"),"MPV",IF('Data Export'!F557="运动型多功能车","SUV","其他"))))</f>
        <v>轿车</v>
      </c>
      <c r="K557" s="62" t="str">
        <f>IF(OR(D557="",NOT(F557=1)),"",1+SUMPRODUCT(($F$2:$F$1001=1)*($D$2:$D$1001&gt;D557))+COUNTIFS($F$2:F557,1,$D$2:D557,D557)-1)</f>
        <v/>
      </c>
      <c r="L557" s="62" t="str">
        <f>IF(OR(D557="",NOT(G557="轿车")),"",1+SUMPRODUCT(($G$2:$G$1001="轿车")*($D$2:$D$1001&gt;D557))+COUNTIFS($G$2:G557,"轿车",$D$2:D557,D557)-1)</f>
        <v/>
      </c>
      <c r="M557" s="62" t="str">
        <f>IF(OR(D557="",NOT(G557="MPV")),"",1+SUMPRODUCT(($G$2:$G$1001="MPV")*($D$2:$D$1001&gt;D557))+COUNTIFS($G$2:G557,"MPV",$D$2:D557,D557)-1)</f>
        <v/>
      </c>
      <c r="N557" s="62" t="str">
        <f>IF(OR(D557="",NOT(G557="SUV")),"",1+SUMPRODUCT(($G$2:$G$1001="SUV")*($D$2:$D$1001&gt;D557))+COUNTIFS($G$2:G557,"SUV",$D$2:D557,D557)-1)</f>
        <v/>
      </c>
      <c r="O557" s="62" t="str">
        <f>IF(OR(D557="",NOT(AND(F557=1,G557="轿车"))),"",1+SUMPRODUCT(($F$2:$F$1001=1)*($G$2:$G$1001="轿车")*($D$2:$D$1001&gt;D557))+COUNTIFS($F$2:F557,1,$G$2:G557,"轿车",$D$2:D557,D557)-1)</f>
        <v/>
      </c>
      <c r="P557" s="62" t="str">
        <f>IF(OR(D557="",NOT(AND(F557=1,G557="MPV"))),"",1+SUMPRODUCT(($F$2:$F$1001=1)*($G$2:$G$1001="MPV")*($D$2:$D$1001&gt;D557))+COUNTIFS($F$2:F557,1,$G$2:G557,"MPV",$D$2:D557,D557)-1)</f>
        <v/>
      </c>
      <c r="Q557" s="62" t="str">
        <f>IF(OR(D557="",NOT(AND(F557=1,G557="SUV"))),"",1+SUMPRODUCT(($F$2:$F$1001=1)*($G$2:$G$1001="SUV")*($D$2:$D$1001&gt;D557))+COUNTIFS($F$2:F557,1,$G$2:G557,"SUV",$D$2:D557,D557)-1)</f>
        <v/>
      </c>
    </row>
    <row r="558" spans="1:17">
      <c r="A558" s="62" t="str">
        <f>IFERROR(INDEX($H$2:$H$3000,MATCH(0,INDEX(COUNTIF($A$1:A557,$H$2:$H$3000)+($H$2:$H$3000=""),0,0),0)),"")</f>
        <v/>
      </c>
      <c r="B558" s="62" t="str">
        <f t="shared" si="32"/>
        <v/>
      </c>
      <c r="C558" s="62" t="str">
        <f t="shared" si="33"/>
        <v/>
      </c>
      <c r="D558" s="63" t="str">
        <f t="shared" si="34"/>
        <v/>
      </c>
      <c r="E558" s="62" t="str">
        <f>IF(D558="","",_xlfn.RANK.EQ(D558,$D$2:$D$1001,0)+COUNTIF($D$2:D558,D558)-1)</f>
        <v/>
      </c>
      <c r="F558" s="62" t="str">
        <f>IF(B558="","",--(COUNTIF(CN_Brands!$A$2:$A$300,UPPER(B558))&gt;0))</f>
        <v/>
      </c>
      <c r="G558" s="62" t="str">
        <f t="shared" si="35"/>
        <v/>
      </c>
      <c r="H558" s="62" t="str">
        <f>IF(AND('Data Export'!A558=前十整体车型排名!$B$2,'Data Export'!B558=前十整体车型排名!$B$3,'Data Export'!D558&lt;&gt;""),UPPER('Data Export'!C558)&amp;"♦"&amp;'Data Export'!D558,"")</f>
        <v>MG♦S5</v>
      </c>
      <c r="I558" s="63">
        <f>IF(H558="","",IFERROR(INDEX('Data Export'!G558:CZ558,1,MATCH(前十整体车型排名!$B$4,'Data Export'!$G$1:$CZ$1,0)),0))</f>
        <v>0</v>
      </c>
      <c r="J558" s="62" t="str">
        <f>IF(H558="","",IF(OR('Data Export'!F558="三厢轿车",'Data Export'!F558="掀背轿车",'Data Export'!F558="旅行车",'Data Export'!F558="微型车",'Data Export'!F558="硬顶跑车",'Data Export'!F558="敞蓬车",'Data Export'!F558="Targa"),"轿车",IF(OR('Data Export'!F558="小型MPV",'Data Export'!F558="客车"),"MPV",IF('Data Export'!F558="运动型多功能车","SUV","其他"))))</f>
        <v>SUV</v>
      </c>
      <c r="K558" s="62" t="str">
        <f>IF(OR(D558="",NOT(F558=1)),"",1+SUMPRODUCT(($F$2:$F$1001=1)*($D$2:$D$1001&gt;D558))+COUNTIFS($F$2:F558,1,$D$2:D558,D558)-1)</f>
        <v/>
      </c>
      <c r="L558" s="62" t="str">
        <f>IF(OR(D558="",NOT(G558="轿车")),"",1+SUMPRODUCT(($G$2:$G$1001="轿车")*($D$2:$D$1001&gt;D558))+COUNTIFS($G$2:G558,"轿车",$D$2:D558,D558)-1)</f>
        <v/>
      </c>
      <c r="M558" s="62" t="str">
        <f>IF(OR(D558="",NOT(G558="MPV")),"",1+SUMPRODUCT(($G$2:$G$1001="MPV")*($D$2:$D$1001&gt;D558))+COUNTIFS($G$2:G558,"MPV",$D$2:D558,D558)-1)</f>
        <v/>
      </c>
      <c r="N558" s="62" t="str">
        <f>IF(OR(D558="",NOT(G558="SUV")),"",1+SUMPRODUCT(($G$2:$G$1001="SUV")*($D$2:$D$1001&gt;D558))+COUNTIFS($G$2:G558,"SUV",$D$2:D558,D558)-1)</f>
        <v/>
      </c>
      <c r="O558" s="62" t="str">
        <f>IF(OR(D558="",NOT(AND(F558=1,G558="轿车"))),"",1+SUMPRODUCT(($F$2:$F$1001=1)*($G$2:$G$1001="轿车")*($D$2:$D$1001&gt;D558))+COUNTIFS($F$2:F558,1,$G$2:G558,"轿车",$D$2:D558,D558)-1)</f>
        <v/>
      </c>
      <c r="P558" s="62" t="str">
        <f>IF(OR(D558="",NOT(AND(F558=1,G558="MPV"))),"",1+SUMPRODUCT(($F$2:$F$1001=1)*($G$2:$G$1001="MPV")*($D$2:$D$1001&gt;D558))+COUNTIFS($F$2:F558,1,$G$2:G558,"MPV",$D$2:D558,D558)-1)</f>
        <v/>
      </c>
      <c r="Q558" s="62" t="str">
        <f>IF(OR(D558="",NOT(AND(F558=1,G558="SUV"))),"",1+SUMPRODUCT(($F$2:$F$1001=1)*($G$2:$G$1001="SUV")*($D$2:$D$1001&gt;D558))+COUNTIFS($F$2:F558,1,$G$2:G558,"SUV",$D$2:D558,D558)-1)</f>
        <v/>
      </c>
    </row>
    <row r="559" spans="1:17">
      <c r="A559" s="62" t="str">
        <f>IFERROR(INDEX($H$2:$H$3000,MATCH(0,INDEX(COUNTIF($A$1:A558,$H$2:$H$3000)+($H$2:$H$3000=""),0,0),0)),"")</f>
        <v/>
      </c>
      <c r="B559" s="62" t="str">
        <f t="shared" si="32"/>
        <v/>
      </c>
      <c r="C559" s="62" t="str">
        <f t="shared" si="33"/>
        <v/>
      </c>
      <c r="D559" s="63" t="str">
        <f t="shared" si="34"/>
        <v/>
      </c>
      <c r="E559" s="62" t="str">
        <f>IF(D559="","",_xlfn.RANK.EQ(D559,$D$2:$D$1001,0)+COUNTIF($D$2:D559,D559)-1)</f>
        <v/>
      </c>
      <c r="F559" s="62" t="str">
        <f>IF(B559="","",--(COUNTIF(CN_Brands!$A$2:$A$300,UPPER(B559))&gt;0))</f>
        <v/>
      </c>
      <c r="G559" s="62" t="str">
        <f t="shared" si="35"/>
        <v/>
      </c>
      <c r="H559" s="62" t="str">
        <f>IF(AND('Data Export'!A559=前十整体车型排名!$B$2,'Data Export'!B559=前十整体车型排名!$B$3,'Data Export'!D559&lt;&gt;""),UPPER('Data Export'!C559)&amp;"♦"&amp;'Data Export'!D559,"")</f>
        <v>MG♦S5</v>
      </c>
      <c r="I559" s="63">
        <f>IF(H559="","",IFERROR(INDEX('Data Export'!G559:CZ559,1,MATCH(前十整体车型排名!$B$4,'Data Export'!$G$1:$CZ$1,0)),0))</f>
        <v>1295</v>
      </c>
      <c r="J559" s="62" t="str">
        <f>IF(H559="","",IF(OR('Data Export'!F559="三厢轿车",'Data Export'!F559="掀背轿车",'Data Export'!F559="旅行车",'Data Export'!F559="微型车",'Data Export'!F559="硬顶跑车",'Data Export'!F559="敞蓬车",'Data Export'!F559="Targa"),"轿车",IF(OR('Data Export'!F559="小型MPV",'Data Export'!F559="客车"),"MPV",IF('Data Export'!F559="运动型多功能车","SUV","其他"))))</f>
        <v>SUV</v>
      </c>
      <c r="K559" s="62" t="str">
        <f>IF(OR(D559="",NOT(F559=1)),"",1+SUMPRODUCT(($F$2:$F$1001=1)*($D$2:$D$1001&gt;D559))+COUNTIFS($F$2:F559,1,$D$2:D559,D559)-1)</f>
        <v/>
      </c>
      <c r="L559" s="62" t="str">
        <f>IF(OR(D559="",NOT(G559="轿车")),"",1+SUMPRODUCT(($G$2:$G$1001="轿车")*($D$2:$D$1001&gt;D559))+COUNTIFS($G$2:G559,"轿车",$D$2:D559,D559)-1)</f>
        <v/>
      </c>
      <c r="M559" s="62" t="str">
        <f>IF(OR(D559="",NOT(G559="MPV")),"",1+SUMPRODUCT(($G$2:$G$1001="MPV")*($D$2:$D$1001&gt;D559))+COUNTIFS($G$2:G559,"MPV",$D$2:D559,D559)-1)</f>
        <v/>
      </c>
      <c r="N559" s="62" t="str">
        <f>IF(OR(D559="",NOT(G559="SUV")),"",1+SUMPRODUCT(($G$2:$G$1001="SUV")*($D$2:$D$1001&gt;D559))+COUNTIFS($G$2:G559,"SUV",$D$2:D559,D559)-1)</f>
        <v/>
      </c>
      <c r="O559" s="62" t="str">
        <f>IF(OR(D559="",NOT(AND(F559=1,G559="轿车"))),"",1+SUMPRODUCT(($F$2:$F$1001=1)*($G$2:$G$1001="轿车")*($D$2:$D$1001&gt;D559))+COUNTIFS($F$2:F559,1,$G$2:G559,"轿车",$D$2:D559,D559)-1)</f>
        <v/>
      </c>
      <c r="P559" s="62" t="str">
        <f>IF(OR(D559="",NOT(AND(F559=1,G559="MPV"))),"",1+SUMPRODUCT(($F$2:$F$1001=1)*($G$2:$G$1001="MPV")*($D$2:$D$1001&gt;D559))+COUNTIFS($F$2:F559,1,$G$2:G559,"MPV",$D$2:D559,D559)-1)</f>
        <v/>
      </c>
      <c r="Q559" s="62" t="str">
        <f>IF(OR(D559="",NOT(AND(F559=1,G559="SUV"))),"",1+SUMPRODUCT(($F$2:$F$1001=1)*($G$2:$G$1001="SUV")*($D$2:$D$1001&gt;D559))+COUNTIFS($F$2:F559,1,$G$2:G559,"SUV",$D$2:D559,D559)-1)</f>
        <v/>
      </c>
    </row>
    <row r="560" spans="1:17">
      <c r="A560" s="62" t="str">
        <f>IFERROR(INDEX($H$2:$H$3000,MATCH(0,INDEX(COUNTIF($A$1:A559,$H$2:$H$3000)+($H$2:$H$3000=""),0,0),0)),"")</f>
        <v/>
      </c>
      <c r="B560" s="62" t="str">
        <f t="shared" si="32"/>
        <v/>
      </c>
      <c r="C560" s="62" t="str">
        <f t="shared" si="33"/>
        <v/>
      </c>
      <c r="D560" s="63" t="str">
        <f t="shared" si="34"/>
        <v/>
      </c>
      <c r="E560" s="62" t="str">
        <f>IF(D560="","",_xlfn.RANK.EQ(D560,$D$2:$D$1001,0)+COUNTIF($D$2:D560,D560)-1)</f>
        <v/>
      </c>
      <c r="F560" s="62" t="str">
        <f>IF(B560="","",--(COUNTIF(CN_Brands!$A$2:$A$300,UPPER(B560))&gt;0))</f>
        <v/>
      </c>
      <c r="G560" s="62" t="str">
        <f t="shared" si="35"/>
        <v/>
      </c>
      <c r="H560" s="62" t="str">
        <f>IF(AND('Data Export'!A560=前十整体车型排名!$B$2,'Data Export'!B560=前十整体车型排名!$B$3,'Data Export'!D560&lt;&gt;""),UPPER('Data Export'!C560)&amp;"♦"&amp;'Data Export'!D560,"")</f>
        <v>MG♦VS</v>
      </c>
      <c r="I560" s="63">
        <f>IF(H560="","",IFERROR(INDEX('Data Export'!G560:CZ560,1,MATCH(前十整体车型排名!$B$4,'Data Export'!$G$1:$CZ$1,0)),0))</f>
        <v>2</v>
      </c>
      <c r="J560" s="62" t="str">
        <f>IF(H560="","",IF(OR('Data Export'!F560="三厢轿车",'Data Export'!F560="掀背轿车",'Data Export'!F560="旅行车",'Data Export'!F560="微型车",'Data Export'!F560="硬顶跑车",'Data Export'!F560="敞蓬车",'Data Export'!F560="Targa"),"轿车",IF(OR('Data Export'!F560="小型MPV",'Data Export'!F560="客车"),"MPV",IF('Data Export'!F560="运动型多功能车","SUV","其他"))))</f>
        <v>SUV</v>
      </c>
      <c r="K560" s="62" t="str">
        <f>IF(OR(D560="",NOT(F560=1)),"",1+SUMPRODUCT(($F$2:$F$1001=1)*($D$2:$D$1001&gt;D560))+COUNTIFS($F$2:F560,1,$D$2:D560,D560)-1)</f>
        <v/>
      </c>
      <c r="L560" s="62" t="str">
        <f>IF(OR(D560="",NOT(G560="轿车")),"",1+SUMPRODUCT(($G$2:$G$1001="轿车")*($D$2:$D$1001&gt;D560))+COUNTIFS($G$2:G560,"轿车",$D$2:D560,D560)-1)</f>
        <v/>
      </c>
      <c r="M560" s="62" t="str">
        <f>IF(OR(D560="",NOT(G560="MPV")),"",1+SUMPRODUCT(($G$2:$G$1001="MPV")*($D$2:$D$1001&gt;D560))+COUNTIFS($G$2:G560,"MPV",$D$2:D560,D560)-1)</f>
        <v/>
      </c>
      <c r="N560" s="62" t="str">
        <f>IF(OR(D560="",NOT(G560="SUV")),"",1+SUMPRODUCT(($G$2:$G$1001="SUV")*($D$2:$D$1001&gt;D560))+COUNTIFS($G$2:G560,"SUV",$D$2:D560,D560)-1)</f>
        <v/>
      </c>
      <c r="O560" s="62" t="str">
        <f>IF(OR(D560="",NOT(AND(F560=1,G560="轿车"))),"",1+SUMPRODUCT(($F$2:$F$1001=1)*($G$2:$G$1001="轿车")*($D$2:$D$1001&gt;D560))+COUNTIFS($F$2:F560,1,$G$2:G560,"轿车",$D$2:D560,D560)-1)</f>
        <v/>
      </c>
      <c r="P560" s="62" t="str">
        <f>IF(OR(D560="",NOT(AND(F560=1,G560="MPV"))),"",1+SUMPRODUCT(($F$2:$F$1001=1)*($G$2:$G$1001="MPV")*($D$2:$D$1001&gt;D560))+COUNTIFS($F$2:F560,1,$G$2:G560,"MPV",$D$2:D560,D560)-1)</f>
        <v/>
      </c>
      <c r="Q560" s="62" t="str">
        <f>IF(OR(D560="",NOT(AND(F560=1,G560="SUV"))),"",1+SUMPRODUCT(($F$2:$F$1001=1)*($G$2:$G$1001="SUV")*($D$2:$D$1001&gt;D560))+COUNTIFS($F$2:F560,1,$G$2:G560,"SUV",$D$2:D560,D560)-1)</f>
        <v/>
      </c>
    </row>
    <row r="561" spans="1:17">
      <c r="A561" s="62" t="str">
        <f>IFERROR(INDEX($H$2:$H$3000,MATCH(0,INDEX(COUNTIF($A$1:A560,$H$2:$H$3000)+($H$2:$H$3000=""),0,0),0)),"")</f>
        <v/>
      </c>
      <c r="B561" s="62" t="str">
        <f t="shared" si="32"/>
        <v/>
      </c>
      <c r="C561" s="62" t="str">
        <f t="shared" si="33"/>
        <v/>
      </c>
      <c r="D561" s="63" t="str">
        <f t="shared" si="34"/>
        <v/>
      </c>
      <c r="E561" s="62" t="str">
        <f>IF(D561="","",_xlfn.RANK.EQ(D561,$D$2:$D$1001,0)+COUNTIF($D$2:D561,D561)-1)</f>
        <v/>
      </c>
      <c r="F561" s="62" t="str">
        <f>IF(B561="","",--(COUNTIF(CN_Brands!$A$2:$A$300,UPPER(B561))&gt;0))</f>
        <v/>
      </c>
      <c r="G561" s="62" t="str">
        <f t="shared" si="35"/>
        <v/>
      </c>
      <c r="H561" s="62" t="str">
        <f>IF(AND('Data Export'!A561=前十整体车型排名!$B$2,'Data Export'!B561=前十整体车型排名!$B$3,'Data Export'!D561&lt;&gt;""),UPPER('Data Export'!C561)&amp;"♦"&amp;'Data Export'!D561,"")</f>
        <v>MG♦ZS</v>
      </c>
      <c r="I561" s="63">
        <f>IF(H561="","",IFERROR(INDEX('Data Export'!G561:CZ561,1,MATCH(前十整体车型排名!$B$4,'Data Export'!$G$1:$CZ$1,0)),0))</f>
        <v>44</v>
      </c>
      <c r="J561" s="62" t="str">
        <f>IF(H561="","",IF(OR('Data Export'!F561="三厢轿车",'Data Export'!F561="掀背轿车",'Data Export'!F561="旅行车",'Data Export'!F561="微型车",'Data Export'!F561="硬顶跑车",'Data Export'!F561="敞蓬车",'Data Export'!F561="Targa"),"轿车",IF(OR('Data Export'!F561="小型MPV",'Data Export'!F561="客车"),"MPV",IF('Data Export'!F561="运动型多功能车","SUV","其他"))))</f>
        <v>SUV</v>
      </c>
      <c r="K561" s="62" t="str">
        <f>IF(OR(D561="",NOT(F561=1)),"",1+SUMPRODUCT(($F$2:$F$1001=1)*($D$2:$D$1001&gt;D561))+COUNTIFS($F$2:F561,1,$D$2:D561,D561)-1)</f>
        <v/>
      </c>
      <c r="L561" s="62" t="str">
        <f>IF(OR(D561="",NOT(G561="轿车")),"",1+SUMPRODUCT(($G$2:$G$1001="轿车")*($D$2:$D$1001&gt;D561))+COUNTIFS($G$2:G561,"轿车",$D$2:D561,D561)-1)</f>
        <v/>
      </c>
      <c r="M561" s="62" t="str">
        <f>IF(OR(D561="",NOT(G561="MPV")),"",1+SUMPRODUCT(($G$2:$G$1001="MPV")*($D$2:$D$1001&gt;D561))+COUNTIFS($G$2:G561,"MPV",$D$2:D561,D561)-1)</f>
        <v/>
      </c>
      <c r="N561" s="62" t="str">
        <f>IF(OR(D561="",NOT(G561="SUV")),"",1+SUMPRODUCT(($G$2:$G$1001="SUV")*($D$2:$D$1001&gt;D561))+COUNTIFS($G$2:G561,"SUV",$D$2:D561,D561)-1)</f>
        <v/>
      </c>
      <c r="O561" s="62" t="str">
        <f>IF(OR(D561="",NOT(AND(F561=1,G561="轿车"))),"",1+SUMPRODUCT(($F$2:$F$1001=1)*($G$2:$G$1001="轿车")*($D$2:$D$1001&gt;D561))+COUNTIFS($F$2:F561,1,$G$2:G561,"轿车",$D$2:D561,D561)-1)</f>
        <v/>
      </c>
      <c r="P561" s="62" t="str">
        <f>IF(OR(D561="",NOT(AND(F561=1,G561="MPV"))),"",1+SUMPRODUCT(($F$2:$F$1001=1)*($G$2:$G$1001="MPV")*($D$2:$D$1001&gt;D561))+COUNTIFS($F$2:F561,1,$G$2:G561,"MPV",$D$2:D561,D561)-1)</f>
        <v/>
      </c>
      <c r="Q561" s="62" t="str">
        <f>IF(OR(D561="",NOT(AND(F561=1,G561="SUV"))),"",1+SUMPRODUCT(($F$2:$F$1001=1)*($G$2:$G$1001="SUV")*($D$2:$D$1001&gt;D561))+COUNTIFS($F$2:F561,1,$G$2:G561,"SUV",$D$2:D561,D561)-1)</f>
        <v/>
      </c>
    </row>
    <row r="562" spans="1:17">
      <c r="A562" s="62" t="str">
        <f>IFERROR(INDEX($H$2:$H$3000,MATCH(0,INDEX(COUNTIF($A$1:A561,$H$2:$H$3000)+($H$2:$H$3000=""),0,0),0)),"")</f>
        <v/>
      </c>
      <c r="B562" s="62" t="str">
        <f t="shared" si="32"/>
        <v/>
      </c>
      <c r="C562" s="62" t="str">
        <f t="shared" si="33"/>
        <v/>
      </c>
      <c r="D562" s="63" t="str">
        <f t="shared" si="34"/>
        <v/>
      </c>
      <c r="E562" s="62" t="str">
        <f>IF(D562="","",_xlfn.RANK.EQ(D562,$D$2:$D$1001,0)+COUNTIF($D$2:D562,D562)-1)</f>
        <v/>
      </c>
      <c r="F562" s="62" t="str">
        <f>IF(B562="","",--(COUNTIF(CN_Brands!$A$2:$A$300,UPPER(B562))&gt;0))</f>
        <v/>
      </c>
      <c r="G562" s="62" t="str">
        <f t="shared" si="35"/>
        <v/>
      </c>
      <c r="H562" s="62" t="str">
        <f>IF(AND('Data Export'!A562=前十整体车型排名!$B$2,'Data Export'!B562=前十整体车型排名!$B$3,'Data Export'!D562&lt;&gt;""),UPPER('Data Export'!C562)&amp;"♦"&amp;'Data Export'!D562,"")</f>
        <v>MG♦ZS</v>
      </c>
      <c r="I562" s="63">
        <f>IF(H562="","",IFERROR(INDEX('Data Export'!G562:CZ562,1,MATCH(前十整体车型排名!$B$4,'Data Export'!$G$1:$CZ$1,0)),0))</f>
        <v>0</v>
      </c>
      <c r="J562" s="62" t="str">
        <f>IF(H562="","",IF(OR('Data Export'!F562="三厢轿车",'Data Export'!F562="掀背轿车",'Data Export'!F562="旅行车",'Data Export'!F562="微型车",'Data Export'!F562="硬顶跑车",'Data Export'!F562="敞蓬车",'Data Export'!F562="Targa"),"轿车",IF(OR('Data Export'!F562="小型MPV",'Data Export'!F562="客车"),"MPV",IF('Data Export'!F562="运动型多功能车","SUV","其他"))))</f>
        <v>SUV</v>
      </c>
      <c r="K562" s="62" t="str">
        <f>IF(OR(D562="",NOT(F562=1)),"",1+SUMPRODUCT(($F$2:$F$1001=1)*($D$2:$D$1001&gt;D562))+COUNTIFS($F$2:F562,1,$D$2:D562,D562)-1)</f>
        <v/>
      </c>
      <c r="L562" s="62" t="str">
        <f>IF(OR(D562="",NOT(G562="轿车")),"",1+SUMPRODUCT(($G$2:$G$1001="轿车")*($D$2:$D$1001&gt;D562))+COUNTIFS($G$2:G562,"轿车",$D$2:D562,D562)-1)</f>
        <v/>
      </c>
      <c r="M562" s="62" t="str">
        <f>IF(OR(D562="",NOT(G562="MPV")),"",1+SUMPRODUCT(($G$2:$G$1001="MPV")*($D$2:$D$1001&gt;D562))+COUNTIFS($G$2:G562,"MPV",$D$2:D562,D562)-1)</f>
        <v/>
      </c>
      <c r="N562" s="62" t="str">
        <f>IF(OR(D562="",NOT(G562="SUV")),"",1+SUMPRODUCT(($G$2:$G$1001="SUV")*($D$2:$D$1001&gt;D562))+COUNTIFS($G$2:G562,"SUV",$D$2:D562,D562)-1)</f>
        <v/>
      </c>
      <c r="O562" s="62" t="str">
        <f>IF(OR(D562="",NOT(AND(F562=1,G562="轿车"))),"",1+SUMPRODUCT(($F$2:$F$1001=1)*($G$2:$G$1001="轿车")*($D$2:$D$1001&gt;D562))+COUNTIFS($F$2:F562,1,$G$2:G562,"轿车",$D$2:D562,D562)-1)</f>
        <v/>
      </c>
      <c r="P562" s="62" t="str">
        <f>IF(OR(D562="",NOT(AND(F562=1,G562="MPV"))),"",1+SUMPRODUCT(($F$2:$F$1001=1)*($G$2:$G$1001="MPV")*($D$2:$D$1001&gt;D562))+COUNTIFS($F$2:F562,1,$G$2:G562,"MPV",$D$2:D562,D562)-1)</f>
        <v/>
      </c>
      <c r="Q562" s="62" t="str">
        <f>IF(OR(D562="",NOT(AND(F562=1,G562="SUV"))),"",1+SUMPRODUCT(($F$2:$F$1001=1)*($G$2:$G$1001="SUV")*($D$2:$D$1001&gt;D562))+COUNTIFS($F$2:F562,1,$G$2:G562,"SUV",$D$2:D562,D562)-1)</f>
        <v/>
      </c>
    </row>
    <row r="563" spans="1:17">
      <c r="A563" s="62" t="str">
        <f>IFERROR(INDEX($H$2:$H$3000,MATCH(0,INDEX(COUNTIF($A$1:A562,$H$2:$H$3000)+($H$2:$H$3000=""),0,0),0)),"")</f>
        <v/>
      </c>
      <c r="B563" s="62" t="str">
        <f t="shared" si="32"/>
        <v/>
      </c>
      <c r="C563" s="62" t="str">
        <f t="shared" si="33"/>
        <v/>
      </c>
      <c r="D563" s="63" t="str">
        <f t="shared" si="34"/>
        <v/>
      </c>
      <c r="E563" s="62" t="str">
        <f>IF(D563="","",_xlfn.RANK.EQ(D563,$D$2:$D$1001,0)+COUNTIF($D$2:D563,D563)-1)</f>
        <v/>
      </c>
      <c r="F563" s="62" t="str">
        <f>IF(B563="","",--(COUNTIF(CN_Brands!$A$2:$A$300,UPPER(B563))&gt;0))</f>
        <v/>
      </c>
      <c r="G563" s="62" t="str">
        <f t="shared" si="35"/>
        <v/>
      </c>
      <c r="H563" s="62" t="str">
        <f>IF(AND('Data Export'!A563=前十整体车型排名!$B$2,'Data Export'!B563=前十整体车型排名!$B$3,'Data Export'!D563&lt;&gt;""),UPPER('Data Export'!C563)&amp;"♦"&amp;'Data Export'!D563,"")</f>
        <v>MINI♦ACEMAN</v>
      </c>
      <c r="I563" s="63">
        <f>IF(H563="","",IFERROR(INDEX('Data Export'!G563:CZ563,1,MATCH(前十整体车型排名!$B$4,'Data Export'!$G$1:$CZ$1,0)),0))</f>
        <v>11</v>
      </c>
      <c r="J563" s="62" t="str">
        <f>IF(H563="","",IF(OR('Data Export'!F563="三厢轿车",'Data Export'!F563="掀背轿车",'Data Export'!F563="旅行车",'Data Export'!F563="微型车",'Data Export'!F563="硬顶跑车",'Data Export'!F563="敞蓬车",'Data Export'!F563="Targa"),"轿车",IF(OR('Data Export'!F563="小型MPV",'Data Export'!F563="客车"),"MPV",IF('Data Export'!F563="运动型多功能车","SUV","其他"))))</f>
        <v>SUV</v>
      </c>
      <c r="K563" s="62" t="str">
        <f>IF(OR(D563="",NOT(F563=1)),"",1+SUMPRODUCT(($F$2:$F$1001=1)*($D$2:$D$1001&gt;D563))+COUNTIFS($F$2:F563,1,$D$2:D563,D563)-1)</f>
        <v/>
      </c>
      <c r="L563" s="62" t="str">
        <f>IF(OR(D563="",NOT(G563="轿车")),"",1+SUMPRODUCT(($G$2:$G$1001="轿车")*($D$2:$D$1001&gt;D563))+COUNTIFS($G$2:G563,"轿车",$D$2:D563,D563)-1)</f>
        <v/>
      </c>
      <c r="M563" s="62" t="str">
        <f>IF(OR(D563="",NOT(G563="MPV")),"",1+SUMPRODUCT(($G$2:$G$1001="MPV")*($D$2:$D$1001&gt;D563))+COUNTIFS($G$2:G563,"MPV",$D$2:D563,D563)-1)</f>
        <v/>
      </c>
      <c r="N563" s="62" t="str">
        <f>IF(OR(D563="",NOT(G563="SUV")),"",1+SUMPRODUCT(($G$2:$G$1001="SUV")*($D$2:$D$1001&gt;D563))+COUNTIFS($G$2:G563,"SUV",$D$2:D563,D563)-1)</f>
        <v/>
      </c>
      <c r="O563" s="62" t="str">
        <f>IF(OR(D563="",NOT(AND(F563=1,G563="轿车"))),"",1+SUMPRODUCT(($F$2:$F$1001=1)*($G$2:$G$1001="轿车")*($D$2:$D$1001&gt;D563))+COUNTIFS($F$2:F563,1,$G$2:G563,"轿车",$D$2:D563,D563)-1)</f>
        <v/>
      </c>
      <c r="P563" s="62" t="str">
        <f>IF(OR(D563="",NOT(AND(F563=1,G563="MPV"))),"",1+SUMPRODUCT(($F$2:$F$1001=1)*($G$2:$G$1001="MPV")*($D$2:$D$1001&gt;D563))+COUNTIFS($F$2:F563,1,$G$2:G563,"MPV",$D$2:D563,D563)-1)</f>
        <v/>
      </c>
      <c r="Q563" s="62" t="str">
        <f>IF(OR(D563="",NOT(AND(F563=1,G563="SUV"))),"",1+SUMPRODUCT(($F$2:$F$1001=1)*($G$2:$G$1001="SUV")*($D$2:$D$1001&gt;D563))+COUNTIFS($F$2:F563,1,$G$2:G563,"SUV",$D$2:D563,D563)-1)</f>
        <v/>
      </c>
    </row>
    <row r="564" spans="1:17">
      <c r="A564" s="62" t="str">
        <f>IFERROR(INDEX($H$2:$H$3000,MATCH(0,INDEX(COUNTIF($A$1:A563,$H$2:$H$3000)+($H$2:$H$3000=""),0,0),0)),"")</f>
        <v/>
      </c>
      <c r="B564" s="62" t="str">
        <f t="shared" si="32"/>
        <v/>
      </c>
      <c r="C564" s="62" t="str">
        <f t="shared" si="33"/>
        <v/>
      </c>
      <c r="D564" s="63" t="str">
        <f t="shared" si="34"/>
        <v/>
      </c>
      <c r="E564" s="62" t="str">
        <f>IF(D564="","",_xlfn.RANK.EQ(D564,$D$2:$D$1001,0)+COUNTIF($D$2:D564,D564)-1)</f>
        <v/>
      </c>
      <c r="F564" s="62" t="str">
        <f>IF(B564="","",--(COUNTIF(CN_Brands!$A$2:$A$300,UPPER(B564))&gt;0))</f>
        <v/>
      </c>
      <c r="G564" s="62" t="str">
        <f t="shared" si="35"/>
        <v/>
      </c>
      <c r="H564" s="62" t="str">
        <f>IF(AND('Data Export'!A564=前十整体车型排名!$B$2,'Data Export'!B564=前十整体车型排名!$B$3,'Data Export'!D564&lt;&gt;""),UPPER('Data Export'!C564)&amp;"♦"&amp;'Data Export'!D564,"")</f>
        <v>MINI♦ACEMAN</v>
      </c>
      <c r="I564" s="63">
        <f>IF(H564="","",IFERROR(INDEX('Data Export'!G564:CZ564,1,MATCH(前十整体车型排名!$B$4,'Data Export'!$G$1:$CZ$1,0)),0))</f>
        <v>57</v>
      </c>
      <c r="J564" s="62" t="str">
        <f>IF(H564="","",IF(OR('Data Export'!F564="三厢轿车",'Data Export'!F564="掀背轿车",'Data Export'!F564="旅行车",'Data Export'!F564="微型车",'Data Export'!F564="硬顶跑车",'Data Export'!F564="敞蓬车",'Data Export'!F564="Targa"),"轿车",IF(OR('Data Export'!F564="小型MPV",'Data Export'!F564="客车"),"MPV",IF('Data Export'!F564="运动型多功能车","SUV","其他"))))</f>
        <v>SUV</v>
      </c>
      <c r="K564" s="62" t="str">
        <f>IF(OR(D564="",NOT(F564=1)),"",1+SUMPRODUCT(($F$2:$F$1001=1)*($D$2:$D$1001&gt;D564))+COUNTIFS($F$2:F564,1,$D$2:D564,D564)-1)</f>
        <v/>
      </c>
      <c r="L564" s="62" t="str">
        <f>IF(OR(D564="",NOT(G564="轿车")),"",1+SUMPRODUCT(($G$2:$G$1001="轿车")*($D$2:$D$1001&gt;D564))+COUNTIFS($G$2:G564,"轿车",$D$2:D564,D564)-1)</f>
        <v/>
      </c>
      <c r="M564" s="62" t="str">
        <f>IF(OR(D564="",NOT(G564="MPV")),"",1+SUMPRODUCT(($G$2:$G$1001="MPV")*($D$2:$D$1001&gt;D564))+COUNTIFS($G$2:G564,"MPV",$D$2:D564,D564)-1)</f>
        <v/>
      </c>
      <c r="N564" s="62" t="str">
        <f>IF(OR(D564="",NOT(G564="SUV")),"",1+SUMPRODUCT(($G$2:$G$1001="SUV")*($D$2:$D$1001&gt;D564))+COUNTIFS($G$2:G564,"SUV",$D$2:D564,D564)-1)</f>
        <v/>
      </c>
      <c r="O564" s="62" t="str">
        <f>IF(OR(D564="",NOT(AND(F564=1,G564="轿车"))),"",1+SUMPRODUCT(($F$2:$F$1001=1)*($G$2:$G$1001="轿车")*($D$2:$D$1001&gt;D564))+COUNTIFS($F$2:F564,1,$G$2:G564,"轿车",$D$2:D564,D564)-1)</f>
        <v/>
      </c>
      <c r="P564" s="62" t="str">
        <f>IF(OR(D564="",NOT(AND(F564=1,G564="MPV"))),"",1+SUMPRODUCT(($F$2:$F$1001=1)*($G$2:$G$1001="MPV")*($D$2:$D$1001&gt;D564))+COUNTIFS($F$2:F564,1,$G$2:G564,"MPV",$D$2:D564,D564)-1)</f>
        <v/>
      </c>
      <c r="Q564" s="62" t="str">
        <f>IF(OR(D564="",NOT(AND(F564=1,G564="SUV"))),"",1+SUMPRODUCT(($F$2:$F$1001=1)*($G$2:$G$1001="SUV")*($D$2:$D$1001&gt;D564))+COUNTIFS($F$2:F564,1,$G$2:G564,"SUV",$D$2:D564,D564)-1)</f>
        <v/>
      </c>
    </row>
    <row r="565" spans="1:17">
      <c r="A565" s="62" t="str">
        <f>IFERROR(INDEX($H$2:$H$3000,MATCH(0,INDEX(COUNTIF($A$1:A564,$H$2:$H$3000)+($H$2:$H$3000=""),0,0),0)),"")</f>
        <v/>
      </c>
      <c r="B565" s="62" t="str">
        <f t="shared" si="32"/>
        <v/>
      </c>
      <c r="C565" s="62" t="str">
        <f t="shared" si="33"/>
        <v/>
      </c>
      <c r="D565" s="63" t="str">
        <f t="shared" si="34"/>
        <v/>
      </c>
      <c r="E565" s="62" t="str">
        <f>IF(D565="","",_xlfn.RANK.EQ(D565,$D$2:$D$1001,0)+COUNTIF($D$2:D565,D565)-1)</f>
        <v/>
      </c>
      <c r="F565" s="62" t="str">
        <f>IF(B565="","",--(COUNTIF(CN_Brands!$A$2:$A$300,UPPER(B565))&gt;0))</f>
        <v/>
      </c>
      <c r="G565" s="62" t="str">
        <f t="shared" si="35"/>
        <v/>
      </c>
      <c r="H565" s="62" t="str">
        <f>IF(AND('Data Export'!A565=前十整体车型排名!$B$2,'Data Export'!B565=前十整体车型排名!$B$3,'Data Export'!D565&lt;&gt;""),UPPER('Data Export'!C565)&amp;"♦"&amp;'Data Export'!D565,"")</f>
        <v>MINI♦CLUBMAN</v>
      </c>
      <c r="I565" s="63">
        <f>IF(H565="","",IFERROR(INDEX('Data Export'!G565:CZ565,1,MATCH(前十整体车型排名!$B$4,'Data Export'!$G$1:$CZ$1,0)),0))</f>
        <v>0</v>
      </c>
      <c r="J565" s="62" t="str">
        <f>IF(H565="","",IF(OR('Data Export'!F565="三厢轿车",'Data Export'!F565="掀背轿车",'Data Export'!F565="旅行车",'Data Export'!F565="微型车",'Data Export'!F565="硬顶跑车",'Data Export'!F565="敞蓬车",'Data Export'!F565="Targa"),"轿车",IF(OR('Data Export'!F565="小型MPV",'Data Export'!F565="客车"),"MPV",IF('Data Export'!F565="运动型多功能车","SUV","其他"))))</f>
        <v>轿车</v>
      </c>
      <c r="K565" s="62" t="str">
        <f>IF(OR(D565="",NOT(F565=1)),"",1+SUMPRODUCT(($F$2:$F$1001=1)*($D$2:$D$1001&gt;D565))+COUNTIFS($F$2:F565,1,$D$2:D565,D565)-1)</f>
        <v/>
      </c>
      <c r="L565" s="62" t="str">
        <f>IF(OR(D565="",NOT(G565="轿车")),"",1+SUMPRODUCT(($G$2:$G$1001="轿车")*($D$2:$D$1001&gt;D565))+COUNTIFS($G$2:G565,"轿车",$D$2:D565,D565)-1)</f>
        <v/>
      </c>
      <c r="M565" s="62" t="str">
        <f>IF(OR(D565="",NOT(G565="MPV")),"",1+SUMPRODUCT(($G$2:$G$1001="MPV")*($D$2:$D$1001&gt;D565))+COUNTIFS($G$2:G565,"MPV",$D$2:D565,D565)-1)</f>
        <v/>
      </c>
      <c r="N565" s="62" t="str">
        <f>IF(OR(D565="",NOT(G565="SUV")),"",1+SUMPRODUCT(($G$2:$G$1001="SUV")*($D$2:$D$1001&gt;D565))+COUNTIFS($G$2:G565,"SUV",$D$2:D565,D565)-1)</f>
        <v/>
      </c>
      <c r="O565" s="62" t="str">
        <f>IF(OR(D565="",NOT(AND(F565=1,G565="轿车"))),"",1+SUMPRODUCT(($F$2:$F$1001=1)*($G$2:$G$1001="轿车")*($D$2:$D$1001&gt;D565))+COUNTIFS($F$2:F565,1,$G$2:G565,"轿车",$D$2:D565,D565)-1)</f>
        <v/>
      </c>
      <c r="P565" s="62" t="str">
        <f>IF(OR(D565="",NOT(AND(F565=1,G565="MPV"))),"",1+SUMPRODUCT(($F$2:$F$1001=1)*($G$2:$G$1001="MPV")*($D$2:$D$1001&gt;D565))+COUNTIFS($F$2:F565,1,$G$2:G565,"MPV",$D$2:D565,D565)-1)</f>
        <v/>
      </c>
      <c r="Q565" s="62" t="str">
        <f>IF(OR(D565="",NOT(AND(F565=1,G565="SUV"))),"",1+SUMPRODUCT(($F$2:$F$1001=1)*($G$2:$G$1001="SUV")*($D$2:$D$1001&gt;D565))+COUNTIFS($F$2:F565,1,$G$2:G565,"SUV",$D$2:D565,D565)-1)</f>
        <v/>
      </c>
    </row>
    <row r="566" spans="1:17">
      <c r="A566" s="62" t="str">
        <f>IFERROR(INDEX($H$2:$H$3000,MATCH(0,INDEX(COUNTIF($A$1:A565,$H$2:$H$3000)+($H$2:$H$3000=""),0,0),0)),"")</f>
        <v/>
      </c>
      <c r="B566" s="62" t="str">
        <f t="shared" si="32"/>
        <v/>
      </c>
      <c r="C566" s="62" t="str">
        <f t="shared" si="33"/>
        <v/>
      </c>
      <c r="D566" s="63" t="str">
        <f t="shared" si="34"/>
        <v/>
      </c>
      <c r="E566" s="62" t="str">
        <f>IF(D566="","",_xlfn.RANK.EQ(D566,$D$2:$D$1001,0)+COUNTIF($D$2:D566,D566)-1)</f>
        <v/>
      </c>
      <c r="F566" s="62" t="str">
        <f>IF(B566="","",--(COUNTIF(CN_Brands!$A$2:$A$300,UPPER(B566))&gt;0))</f>
        <v/>
      </c>
      <c r="G566" s="62" t="str">
        <f t="shared" si="35"/>
        <v/>
      </c>
      <c r="H566" s="62" t="str">
        <f>IF(AND('Data Export'!A566=前十整体车型排名!$B$2,'Data Export'!B566=前十整体车型排名!$B$3,'Data Export'!D566&lt;&gt;""),UPPER('Data Export'!C566)&amp;"♦"&amp;'Data Export'!D566,"")</f>
        <v>MINI♦COOPER</v>
      </c>
      <c r="I566" s="63">
        <f>IF(H566="","",IFERROR(INDEX('Data Export'!G566:CZ566,1,MATCH(前十整体车型排名!$B$4,'Data Export'!$G$1:$CZ$1,0)),0))</f>
        <v>0</v>
      </c>
      <c r="J566" s="62" t="str">
        <f>IF(H566="","",IF(OR('Data Export'!F566="三厢轿车",'Data Export'!F566="掀背轿车",'Data Export'!F566="旅行车",'Data Export'!F566="微型车",'Data Export'!F566="硬顶跑车",'Data Export'!F566="敞蓬车",'Data Export'!F566="Targa"),"轿车",IF(OR('Data Export'!F566="小型MPV",'Data Export'!F566="客车"),"MPV",IF('Data Export'!F566="运动型多功能车","SUV","其他"))))</f>
        <v>轿车</v>
      </c>
      <c r="K566" s="62" t="str">
        <f>IF(OR(D566="",NOT(F566=1)),"",1+SUMPRODUCT(($F$2:$F$1001=1)*($D$2:$D$1001&gt;D566))+COUNTIFS($F$2:F566,1,$D$2:D566,D566)-1)</f>
        <v/>
      </c>
      <c r="L566" s="62" t="str">
        <f>IF(OR(D566="",NOT(G566="轿车")),"",1+SUMPRODUCT(($G$2:$G$1001="轿车")*($D$2:$D$1001&gt;D566))+COUNTIFS($G$2:G566,"轿车",$D$2:D566,D566)-1)</f>
        <v/>
      </c>
      <c r="M566" s="62" t="str">
        <f>IF(OR(D566="",NOT(G566="MPV")),"",1+SUMPRODUCT(($G$2:$G$1001="MPV")*($D$2:$D$1001&gt;D566))+COUNTIFS($G$2:G566,"MPV",$D$2:D566,D566)-1)</f>
        <v/>
      </c>
      <c r="N566" s="62" t="str">
        <f>IF(OR(D566="",NOT(G566="SUV")),"",1+SUMPRODUCT(($G$2:$G$1001="SUV")*($D$2:$D$1001&gt;D566))+COUNTIFS($G$2:G566,"SUV",$D$2:D566,D566)-1)</f>
        <v/>
      </c>
      <c r="O566" s="62" t="str">
        <f>IF(OR(D566="",NOT(AND(F566=1,G566="轿车"))),"",1+SUMPRODUCT(($F$2:$F$1001=1)*($G$2:$G$1001="轿车")*($D$2:$D$1001&gt;D566))+COUNTIFS($F$2:F566,1,$G$2:G566,"轿车",$D$2:D566,D566)-1)</f>
        <v/>
      </c>
      <c r="P566" s="62" t="str">
        <f>IF(OR(D566="",NOT(AND(F566=1,G566="MPV"))),"",1+SUMPRODUCT(($F$2:$F$1001=1)*($G$2:$G$1001="MPV")*($D$2:$D$1001&gt;D566))+COUNTIFS($F$2:F566,1,$G$2:G566,"MPV",$D$2:D566,D566)-1)</f>
        <v/>
      </c>
      <c r="Q566" s="62" t="str">
        <f>IF(OR(D566="",NOT(AND(F566=1,G566="SUV"))),"",1+SUMPRODUCT(($F$2:$F$1001=1)*($G$2:$G$1001="SUV")*($D$2:$D$1001&gt;D566))+COUNTIFS($F$2:F566,1,$G$2:G566,"SUV",$D$2:D566,D566)-1)</f>
        <v/>
      </c>
    </row>
    <row r="567" spans="1:17">
      <c r="A567" s="62" t="str">
        <f>IFERROR(INDEX($H$2:$H$3000,MATCH(0,INDEX(COUNTIF($A$1:A566,$H$2:$H$3000)+($H$2:$H$3000=""),0,0),0)),"")</f>
        <v/>
      </c>
      <c r="B567" s="62" t="str">
        <f t="shared" si="32"/>
        <v/>
      </c>
      <c r="C567" s="62" t="str">
        <f t="shared" si="33"/>
        <v/>
      </c>
      <c r="D567" s="63" t="str">
        <f t="shared" si="34"/>
        <v/>
      </c>
      <c r="E567" s="62" t="str">
        <f>IF(D567="","",_xlfn.RANK.EQ(D567,$D$2:$D$1001,0)+COUNTIF($D$2:D567,D567)-1)</f>
        <v/>
      </c>
      <c r="F567" s="62" t="str">
        <f>IF(B567="","",--(COUNTIF(CN_Brands!$A$2:$A$300,UPPER(B567))&gt;0))</f>
        <v/>
      </c>
      <c r="G567" s="62" t="str">
        <f t="shared" si="35"/>
        <v/>
      </c>
      <c r="H567" s="62" t="str">
        <f>IF(AND('Data Export'!A567=前十整体车型排名!$B$2,'Data Export'!B567=前十整体车型排名!$B$3,'Data Export'!D567&lt;&gt;""),UPPER('Data Export'!C567)&amp;"♦"&amp;'Data Export'!D567,"")</f>
        <v>MINI♦COOPER</v>
      </c>
      <c r="I567" s="63">
        <f>IF(H567="","",IFERROR(INDEX('Data Export'!G567:CZ567,1,MATCH(前十整体车型排名!$B$4,'Data Export'!$G$1:$CZ$1,0)),0))</f>
        <v>0</v>
      </c>
      <c r="J567" s="62" t="str">
        <f>IF(H567="","",IF(OR('Data Export'!F567="三厢轿车",'Data Export'!F567="掀背轿车",'Data Export'!F567="旅行车",'Data Export'!F567="微型车",'Data Export'!F567="硬顶跑车",'Data Export'!F567="敞蓬车",'Data Export'!F567="Targa"),"轿车",IF(OR('Data Export'!F567="小型MPV",'Data Export'!F567="客车"),"MPV",IF('Data Export'!F567="运动型多功能车","SUV","其他"))))</f>
        <v>轿车</v>
      </c>
      <c r="K567" s="62" t="str">
        <f>IF(OR(D567="",NOT(F567=1)),"",1+SUMPRODUCT(($F$2:$F$1001=1)*($D$2:$D$1001&gt;D567))+COUNTIFS($F$2:F567,1,$D$2:D567,D567)-1)</f>
        <v/>
      </c>
      <c r="L567" s="62" t="str">
        <f>IF(OR(D567="",NOT(G567="轿车")),"",1+SUMPRODUCT(($G$2:$G$1001="轿车")*($D$2:$D$1001&gt;D567))+COUNTIFS($G$2:G567,"轿车",$D$2:D567,D567)-1)</f>
        <v/>
      </c>
      <c r="M567" s="62" t="str">
        <f>IF(OR(D567="",NOT(G567="MPV")),"",1+SUMPRODUCT(($G$2:$G$1001="MPV")*($D$2:$D$1001&gt;D567))+COUNTIFS($G$2:G567,"MPV",$D$2:D567,D567)-1)</f>
        <v/>
      </c>
      <c r="N567" s="62" t="str">
        <f>IF(OR(D567="",NOT(G567="SUV")),"",1+SUMPRODUCT(($G$2:$G$1001="SUV")*($D$2:$D$1001&gt;D567))+COUNTIFS($G$2:G567,"SUV",$D$2:D567,D567)-1)</f>
        <v/>
      </c>
      <c r="O567" s="62" t="str">
        <f>IF(OR(D567="",NOT(AND(F567=1,G567="轿车"))),"",1+SUMPRODUCT(($F$2:$F$1001=1)*($G$2:$G$1001="轿车")*($D$2:$D$1001&gt;D567))+COUNTIFS($F$2:F567,1,$G$2:G567,"轿车",$D$2:D567,D567)-1)</f>
        <v/>
      </c>
      <c r="P567" s="62" t="str">
        <f>IF(OR(D567="",NOT(AND(F567=1,G567="MPV"))),"",1+SUMPRODUCT(($F$2:$F$1001=1)*($G$2:$G$1001="MPV")*($D$2:$D$1001&gt;D567))+COUNTIFS($F$2:F567,1,$G$2:G567,"MPV",$D$2:D567,D567)-1)</f>
        <v/>
      </c>
      <c r="Q567" s="62" t="str">
        <f>IF(OR(D567="",NOT(AND(F567=1,G567="SUV"))),"",1+SUMPRODUCT(($F$2:$F$1001=1)*($G$2:$G$1001="SUV")*($D$2:$D$1001&gt;D567))+COUNTIFS($F$2:F567,1,$G$2:G567,"SUV",$D$2:D567,D567)-1)</f>
        <v/>
      </c>
    </row>
    <row r="568" spans="1:17">
      <c r="A568" s="62" t="str">
        <f>IFERROR(INDEX($H$2:$H$3000,MATCH(0,INDEX(COUNTIF($A$1:A567,$H$2:$H$3000)+($H$2:$H$3000=""),0,0),0)),"")</f>
        <v/>
      </c>
      <c r="B568" s="62" t="str">
        <f t="shared" si="32"/>
        <v/>
      </c>
      <c r="C568" s="62" t="str">
        <f t="shared" si="33"/>
        <v/>
      </c>
      <c r="D568" s="63" t="str">
        <f t="shared" si="34"/>
        <v/>
      </c>
      <c r="E568" s="62" t="str">
        <f>IF(D568="","",_xlfn.RANK.EQ(D568,$D$2:$D$1001,0)+COUNTIF($D$2:D568,D568)-1)</f>
        <v/>
      </c>
      <c r="F568" s="62" t="str">
        <f>IF(B568="","",--(COUNTIF(CN_Brands!$A$2:$A$300,UPPER(B568))&gt;0))</f>
        <v/>
      </c>
      <c r="G568" s="62" t="str">
        <f t="shared" si="35"/>
        <v/>
      </c>
      <c r="H568" s="62" t="str">
        <f>IF(AND('Data Export'!A568=前十整体车型排名!$B$2,'Data Export'!B568=前十整体车型排名!$B$3,'Data Export'!D568&lt;&gt;""),UPPER('Data Export'!C568)&amp;"♦"&amp;'Data Export'!D568,"")</f>
        <v>MINI♦COOPER</v>
      </c>
      <c r="I568" s="63">
        <f>IF(H568="","",IFERROR(INDEX('Data Export'!G568:CZ568,1,MATCH(前十整体车型排名!$B$4,'Data Export'!$G$1:$CZ$1,0)),0))</f>
        <v>0</v>
      </c>
      <c r="J568" s="62" t="str">
        <f>IF(H568="","",IF(OR('Data Export'!F568="三厢轿车",'Data Export'!F568="掀背轿车",'Data Export'!F568="旅行车",'Data Export'!F568="微型车",'Data Export'!F568="硬顶跑车",'Data Export'!F568="敞蓬车",'Data Export'!F568="Targa"),"轿车",IF(OR('Data Export'!F568="小型MPV",'Data Export'!F568="客车"),"MPV",IF('Data Export'!F568="运动型多功能车","SUV","其他"))))</f>
        <v>轿车</v>
      </c>
      <c r="K568" s="62" t="str">
        <f>IF(OR(D568="",NOT(F568=1)),"",1+SUMPRODUCT(($F$2:$F$1001=1)*($D$2:$D$1001&gt;D568))+COUNTIFS($F$2:F568,1,$D$2:D568,D568)-1)</f>
        <v/>
      </c>
      <c r="L568" s="62" t="str">
        <f>IF(OR(D568="",NOT(G568="轿车")),"",1+SUMPRODUCT(($G$2:$G$1001="轿车")*($D$2:$D$1001&gt;D568))+COUNTIFS($G$2:G568,"轿车",$D$2:D568,D568)-1)</f>
        <v/>
      </c>
      <c r="M568" s="62" t="str">
        <f>IF(OR(D568="",NOT(G568="MPV")),"",1+SUMPRODUCT(($G$2:$G$1001="MPV")*($D$2:$D$1001&gt;D568))+COUNTIFS($G$2:G568,"MPV",$D$2:D568,D568)-1)</f>
        <v/>
      </c>
      <c r="N568" s="62" t="str">
        <f>IF(OR(D568="",NOT(G568="SUV")),"",1+SUMPRODUCT(($G$2:$G$1001="SUV")*($D$2:$D$1001&gt;D568))+COUNTIFS($G$2:G568,"SUV",$D$2:D568,D568)-1)</f>
        <v/>
      </c>
      <c r="O568" s="62" t="str">
        <f>IF(OR(D568="",NOT(AND(F568=1,G568="轿车"))),"",1+SUMPRODUCT(($F$2:$F$1001=1)*($G$2:$G$1001="轿车")*($D$2:$D$1001&gt;D568))+COUNTIFS($F$2:F568,1,$G$2:G568,"轿车",$D$2:D568,D568)-1)</f>
        <v/>
      </c>
      <c r="P568" s="62" t="str">
        <f>IF(OR(D568="",NOT(AND(F568=1,G568="MPV"))),"",1+SUMPRODUCT(($F$2:$F$1001=1)*($G$2:$G$1001="MPV")*($D$2:$D$1001&gt;D568))+COUNTIFS($F$2:F568,1,$G$2:G568,"MPV",$D$2:D568,D568)-1)</f>
        <v/>
      </c>
      <c r="Q568" s="62" t="str">
        <f>IF(OR(D568="",NOT(AND(F568=1,G568="SUV"))),"",1+SUMPRODUCT(($F$2:$F$1001=1)*($G$2:$G$1001="SUV")*($D$2:$D$1001&gt;D568))+COUNTIFS($F$2:F568,1,$G$2:G568,"SUV",$D$2:D568,D568)-1)</f>
        <v/>
      </c>
    </row>
    <row r="569" spans="1:17">
      <c r="A569" s="62" t="str">
        <f>IFERROR(INDEX($H$2:$H$3000,MATCH(0,INDEX(COUNTIF($A$1:A568,$H$2:$H$3000)+($H$2:$H$3000=""),0,0),0)),"")</f>
        <v/>
      </c>
      <c r="B569" s="62" t="str">
        <f t="shared" si="32"/>
        <v/>
      </c>
      <c r="C569" s="62" t="str">
        <f t="shared" si="33"/>
        <v/>
      </c>
      <c r="D569" s="63" t="str">
        <f t="shared" si="34"/>
        <v/>
      </c>
      <c r="E569" s="62" t="str">
        <f>IF(D569="","",_xlfn.RANK.EQ(D569,$D$2:$D$1001,0)+COUNTIF($D$2:D569,D569)-1)</f>
        <v/>
      </c>
      <c r="F569" s="62" t="str">
        <f>IF(B569="","",--(COUNTIF(CN_Brands!$A$2:$A$300,UPPER(B569))&gt;0))</f>
        <v/>
      </c>
      <c r="G569" s="62" t="str">
        <f t="shared" si="35"/>
        <v/>
      </c>
      <c r="H569" s="62" t="str">
        <f>IF(AND('Data Export'!A569=前十整体车型排名!$B$2,'Data Export'!B569=前十整体车型排名!$B$3,'Data Export'!D569&lt;&gt;""),UPPER('Data Export'!C569)&amp;"♦"&amp;'Data Export'!D569,"")</f>
        <v>MINI♦COOPER</v>
      </c>
      <c r="I569" s="63">
        <f>IF(H569="","",IFERROR(INDEX('Data Export'!G569:CZ569,1,MATCH(前十整体车型排名!$B$4,'Data Export'!$G$1:$CZ$1,0)),0))</f>
        <v>2</v>
      </c>
      <c r="J569" s="62" t="str">
        <f>IF(H569="","",IF(OR('Data Export'!F569="三厢轿车",'Data Export'!F569="掀背轿车",'Data Export'!F569="旅行车",'Data Export'!F569="微型车",'Data Export'!F569="硬顶跑车",'Data Export'!F569="敞蓬车",'Data Export'!F569="Targa"),"轿车",IF(OR('Data Export'!F569="小型MPV",'Data Export'!F569="客车"),"MPV",IF('Data Export'!F569="运动型多功能车","SUV","其他"))))</f>
        <v>轿车</v>
      </c>
      <c r="K569" s="62" t="str">
        <f>IF(OR(D569="",NOT(F569=1)),"",1+SUMPRODUCT(($F$2:$F$1001=1)*($D$2:$D$1001&gt;D569))+COUNTIFS($F$2:F569,1,$D$2:D569,D569)-1)</f>
        <v/>
      </c>
      <c r="L569" s="62" t="str">
        <f>IF(OR(D569="",NOT(G569="轿车")),"",1+SUMPRODUCT(($G$2:$G$1001="轿车")*($D$2:$D$1001&gt;D569))+COUNTIFS($G$2:G569,"轿车",$D$2:D569,D569)-1)</f>
        <v/>
      </c>
      <c r="M569" s="62" t="str">
        <f>IF(OR(D569="",NOT(G569="MPV")),"",1+SUMPRODUCT(($G$2:$G$1001="MPV")*($D$2:$D$1001&gt;D569))+COUNTIFS($G$2:G569,"MPV",$D$2:D569,D569)-1)</f>
        <v/>
      </c>
      <c r="N569" s="62" t="str">
        <f>IF(OR(D569="",NOT(G569="SUV")),"",1+SUMPRODUCT(($G$2:$G$1001="SUV")*($D$2:$D$1001&gt;D569))+COUNTIFS($G$2:G569,"SUV",$D$2:D569,D569)-1)</f>
        <v/>
      </c>
      <c r="O569" s="62" t="str">
        <f>IF(OR(D569="",NOT(AND(F569=1,G569="轿车"))),"",1+SUMPRODUCT(($F$2:$F$1001=1)*($G$2:$G$1001="轿车")*($D$2:$D$1001&gt;D569))+COUNTIFS($F$2:F569,1,$G$2:G569,"轿车",$D$2:D569,D569)-1)</f>
        <v/>
      </c>
      <c r="P569" s="62" t="str">
        <f>IF(OR(D569="",NOT(AND(F569=1,G569="MPV"))),"",1+SUMPRODUCT(($F$2:$F$1001=1)*($G$2:$G$1001="MPV")*($D$2:$D$1001&gt;D569))+COUNTIFS($F$2:F569,1,$G$2:G569,"MPV",$D$2:D569,D569)-1)</f>
        <v/>
      </c>
      <c r="Q569" s="62" t="str">
        <f>IF(OR(D569="",NOT(AND(F569=1,G569="SUV"))),"",1+SUMPRODUCT(($F$2:$F$1001=1)*($G$2:$G$1001="SUV")*($D$2:$D$1001&gt;D569))+COUNTIFS($F$2:F569,1,$G$2:G569,"SUV",$D$2:D569,D569)-1)</f>
        <v/>
      </c>
    </row>
    <row r="570" spans="1:17">
      <c r="A570" s="62" t="str">
        <f>IFERROR(INDEX($H$2:$H$3000,MATCH(0,INDEX(COUNTIF($A$1:A569,$H$2:$H$3000)+($H$2:$H$3000=""),0,0),0)),"")</f>
        <v/>
      </c>
      <c r="B570" s="62" t="str">
        <f t="shared" si="32"/>
        <v/>
      </c>
      <c r="C570" s="62" t="str">
        <f t="shared" si="33"/>
        <v/>
      </c>
      <c r="D570" s="63" t="str">
        <f t="shared" si="34"/>
        <v/>
      </c>
      <c r="E570" s="62" t="str">
        <f>IF(D570="","",_xlfn.RANK.EQ(D570,$D$2:$D$1001,0)+COUNTIF($D$2:D570,D570)-1)</f>
        <v/>
      </c>
      <c r="F570" s="62" t="str">
        <f>IF(B570="","",--(COUNTIF(CN_Brands!$A$2:$A$300,UPPER(B570))&gt;0))</f>
        <v/>
      </c>
      <c r="G570" s="62" t="str">
        <f t="shared" si="35"/>
        <v/>
      </c>
      <c r="H570" s="62" t="str">
        <f>IF(AND('Data Export'!A570=前十整体车型排名!$B$2,'Data Export'!B570=前十整体车型排名!$B$3,'Data Export'!D570&lt;&gt;""),UPPER('Data Export'!C570)&amp;"♦"&amp;'Data Export'!D570,"")</f>
        <v>MINI♦COOPER</v>
      </c>
      <c r="I570" s="63">
        <f>IF(H570="","",IFERROR(INDEX('Data Export'!G570:CZ570,1,MATCH(前十整体车型排名!$B$4,'Data Export'!$G$1:$CZ$1,0)),0))</f>
        <v>2</v>
      </c>
      <c r="J570" s="62" t="str">
        <f>IF(H570="","",IF(OR('Data Export'!F570="三厢轿车",'Data Export'!F570="掀背轿车",'Data Export'!F570="旅行车",'Data Export'!F570="微型车",'Data Export'!F570="硬顶跑车",'Data Export'!F570="敞蓬车",'Data Export'!F570="Targa"),"轿车",IF(OR('Data Export'!F570="小型MPV",'Data Export'!F570="客车"),"MPV",IF('Data Export'!F570="运动型多功能车","SUV","其他"))))</f>
        <v>轿车</v>
      </c>
      <c r="K570" s="62" t="str">
        <f>IF(OR(D570="",NOT(F570=1)),"",1+SUMPRODUCT(($F$2:$F$1001=1)*($D$2:$D$1001&gt;D570))+COUNTIFS($F$2:F570,1,$D$2:D570,D570)-1)</f>
        <v/>
      </c>
      <c r="L570" s="62" t="str">
        <f>IF(OR(D570="",NOT(G570="轿车")),"",1+SUMPRODUCT(($G$2:$G$1001="轿车")*($D$2:$D$1001&gt;D570))+COUNTIFS($G$2:G570,"轿车",$D$2:D570,D570)-1)</f>
        <v/>
      </c>
      <c r="M570" s="62" t="str">
        <f>IF(OR(D570="",NOT(G570="MPV")),"",1+SUMPRODUCT(($G$2:$G$1001="MPV")*($D$2:$D$1001&gt;D570))+COUNTIFS($G$2:G570,"MPV",$D$2:D570,D570)-1)</f>
        <v/>
      </c>
      <c r="N570" s="62" t="str">
        <f>IF(OR(D570="",NOT(G570="SUV")),"",1+SUMPRODUCT(($G$2:$G$1001="SUV")*($D$2:$D$1001&gt;D570))+COUNTIFS($G$2:G570,"SUV",$D$2:D570,D570)-1)</f>
        <v/>
      </c>
      <c r="O570" s="62" t="str">
        <f>IF(OR(D570="",NOT(AND(F570=1,G570="轿车"))),"",1+SUMPRODUCT(($F$2:$F$1001=1)*($G$2:$G$1001="轿车")*($D$2:$D$1001&gt;D570))+COUNTIFS($F$2:F570,1,$G$2:G570,"轿车",$D$2:D570,D570)-1)</f>
        <v/>
      </c>
      <c r="P570" s="62" t="str">
        <f>IF(OR(D570="",NOT(AND(F570=1,G570="MPV"))),"",1+SUMPRODUCT(($F$2:$F$1001=1)*($G$2:$G$1001="MPV")*($D$2:$D$1001&gt;D570))+COUNTIFS($F$2:F570,1,$G$2:G570,"MPV",$D$2:D570,D570)-1)</f>
        <v/>
      </c>
      <c r="Q570" s="62" t="str">
        <f>IF(OR(D570="",NOT(AND(F570=1,G570="SUV"))),"",1+SUMPRODUCT(($F$2:$F$1001=1)*($G$2:$G$1001="SUV")*($D$2:$D$1001&gt;D570))+COUNTIFS($F$2:F570,1,$G$2:G570,"SUV",$D$2:D570,D570)-1)</f>
        <v/>
      </c>
    </row>
    <row r="571" spans="1:17">
      <c r="A571" s="62" t="str">
        <f>IFERROR(INDEX($H$2:$H$3000,MATCH(0,INDEX(COUNTIF($A$1:A570,$H$2:$H$3000)+($H$2:$H$3000=""),0,0),0)),"")</f>
        <v/>
      </c>
      <c r="B571" s="62" t="str">
        <f t="shared" si="32"/>
        <v/>
      </c>
      <c r="C571" s="62" t="str">
        <f t="shared" si="33"/>
        <v/>
      </c>
      <c r="D571" s="63" t="str">
        <f t="shared" si="34"/>
        <v/>
      </c>
      <c r="E571" s="62" t="str">
        <f>IF(D571="","",_xlfn.RANK.EQ(D571,$D$2:$D$1001,0)+COUNTIF($D$2:D571,D571)-1)</f>
        <v/>
      </c>
      <c r="F571" s="62" t="str">
        <f>IF(B571="","",--(COUNTIF(CN_Brands!$A$2:$A$300,UPPER(B571))&gt;0))</f>
        <v/>
      </c>
      <c r="G571" s="62" t="str">
        <f t="shared" si="35"/>
        <v/>
      </c>
      <c r="H571" s="62" t="str">
        <f>IF(AND('Data Export'!A571=前十整体车型排名!$B$2,'Data Export'!B571=前十整体车型排名!$B$3,'Data Export'!D571&lt;&gt;""),UPPER('Data Export'!C571)&amp;"♦"&amp;'Data Export'!D571,"")</f>
        <v>MINI♦COOPER</v>
      </c>
      <c r="I571" s="63">
        <f>IF(H571="","",IFERROR(INDEX('Data Export'!G571:CZ571,1,MATCH(前十整体车型排名!$B$4,'Data Export'!$G$1:$CZ$1,0)),0))</f>
        <v>64</v>
      </c>
      <c r="J571" s="62" t="str">
        <f>IF(H571="","",IF(OR('Data Export'!F571="三厢轿车",'Data Export'!F571="掀背轿车",'Data Export'!F571="旅行车",'Data Export'!F571="微型车",'Data Export'!F571="硬顶跑车",'Data Export'!F571="敞蓬车",'Data Export'!F571="Targa"),"轿车",IF(OR('Data Export'!F571="小型MPV",'Data Export'!F571="客车"),"MPV",IF('Data Export'!F571="运动型多功能车","SUV","其他"))))</f>
        <v>其他</v>
      </c>
      <c r="K571" s="62" t="str">
        <f>IF(OR(D571="",NOT(F571=1)),"",1+SUMPRODUCT(($F$2:$F$1001=1)*($D$2:$D$1001&gt;D571))+COUNTIFS($F$2:F571,1,$D$2:D571,D571)-1)</f>
        <v/>
      </c>
      <c r="L571" s="62" t="str">
        <f>IF(OR(D571="",NOT(G571="轿车")),"",1+SUMPRODUCT(($G$2:$G$1001="轿车")*($D$2:$D$1001&gt;D571))+COUNTIFS($G$2:G571,"轿车",$D$2:D571,D571)-1)</f>
        <v/>
      </c>
      <c r="M571" s="62" t="str">
        <f>IF(OR(D571="",NOT(G571="MPV")),"",1+SUMPRODUCT(($G$2:$G$1001="MPV")*($D$2:$D$1001&gt;D571))+COUNTIFS($G$2:G571,"MPV",$D$2:D571,D571)-1)</f>
        <v/>
      </c>
      <c r="N571" s="62" t="str">
        <f>IF(OR(D571="",NOT(G571="SUV")),"",1+SUMPRODUCT(($G$2:$G$1001="SUV")*($D$2:$D$1001&gt;D571))+COUNTIFS($G$2:G571,"SUV",$D$2:D571,D571)-1)</f>
        <v/>
      </c>
      <c r="O571" s="62" t="str">
        <f>IF(OR(D571="",NOT(AND(F571=1,G571="轿车"))),"",1+SUMPRODUCT(($F$2:$F$1001=1)*($G$2:$G$1001="轿车")*($D$2:$D$1001&gt;D571))+COUNTIFS($F$2:F571,1,$G$2:G571,"轿车",$D$2:D571,D571)-1)</f>
        <v/>
      </c>
      <c r="P571" s="62" t="str">
        <f>IF(OR(D571="",NOT(AND(F571=1,G571="MPV"))),"",1+SUMPRODUCT(($F$2:$F$1001=1)*($G$2:$G$1001="MPV")*($D$2:$D$1001&gt;D571))+COUNTIFS($F$2:F571,1,$G$2:G571,"MPV",$D$2:D571,D571)-1)</f>
        <v/>
      </c>
      <c r="Q571" s="62" t="str">
        <f>IF(OR(D571="",NOT(AND(F571=1,G571="SUV"))),"",1+SUMPRODUCT(($F$2:$F$1001=1)*($G$2:$G$1001="SUV")*($D$2:$D$1001&gt;D571))+COUNTIFS($F$2:F571,1,$G$2:G571,"SUV",$D$2:D571,D571)-1)</f>
        <v/>
      </c>
    </row>
    <row r="572" spans="1:17">
      <c r="A572" s="62" t="str">
        <f>IFERROR(INDEX($H$2:$H$3000,MATCH(0,INDEX(COUNTIF($A$1:A571,$H$2:$H$3000)+($H$2:$H$3000=""),0,0),0)),"")</f>
        <v/>
      </c>
      <c r="B572" s="62" t="str">
        <f t="shared" si="32"/>
        <v/>
      </c>
      <c r="C572" s="62" t="str">
        <f t="shared" si="33"/>
        <v/>
      </c>
      <c r="D572" s="63" t="str">
        <f t="shared" si="34"/>
        <v/>
      </c>
      <c r="E572" s="62" t="str">
        <f>IF(D572="","",_xlfn.RANK.EQ(D572,$D$2:$D$1001,0)+COUNTIF($D$2:D572,D572)-1)</f>
        <v/>
      </c>
      <c r="F572" s="62" t="str">
        <f>IF(B572="","",--(COUNTIF(CN_Brands!$A$2:$A$300,UPPER(B572))&gt;0))</f>
        <v/>
      </c>
      <c r="G572" s="62" t="str">
        <f t="shared" si="35"/>
        <v/>
      </c>
      <c r="H572" s="62" t="str">
        <f>IF(AND('Data Export'!A572=前十整体车型排名!$B$2,'Data Export'!B572=前十整体车型排名!$B$3,'Data Export'!D572&lt;&gt;""),UPPER('Data Export'!C572)&amp;"♦"&amp;'Data Export'!D572,"")</f>
        <v>MINI♦COOPER</v>
      </c>
      <c r="I572" s="63">
        <f>IF(H572="","",IFERROR(INDEX('Data Export'!G572:CZ572,1,MATCH(前十整体车型排名!$B$4,'Data Export'!$G$1:$CZ$1,0)),0))</f>
        <v>1</v>
      </c>
      <c r="J572" s="62" t="str">
        <f>IF(H572="","",IF(OR('Data Export'!F572="三厢轿车",'Data Export'!F572="掀背轿车",'Data Export'!F572="旅行车",'Data Export'!F572="微型车",'Data Export'!F572="硬顶跑车",'Data Export'!F572="敞蓬车",'Data Export'!F572="Targa"),"轿车",IF(OR('Data Export'!F572="小型MPV",'Data Export'!F572="客车"),"MPV",IF('Data Export'!F572="运动型多功能车","SUV","其他"))))</f>
        <v>轿车</v>
      </c>
      <c r="K572" s="62" t="str">
        <f>IF(OR(D572="",NOT(F572=1)),"",1+SUMPRODUCT(($F$2:$F$1001=1)*($D$2:$D$1001&gt;D572))+COUNTIFS($F$2:F572,1,$D$2:D572,D572)-1)</f>
        <v/>
      </c>
      <c r="L572" s="62" t="str">
        <f>IF(OR(D572="",NOT(G572="轿车")),"",1+SUMPRODUCT(($G$2:$G$1001="轿车")*($D$2:$D$1001&gt;D572))+COUNTIFS($G$2:G572,"轿车",$D$2:D572,D572)-1)</f>
        <v/>
      </c>
      <c r="M572" s="62" t="str">
        <f>IF(OR(D572="",NOT(G572="MPV")),"",1+SUMPRODUCT(($G$2:$G$1001="MPV")*($D$2:$D$1001&gt;D572))+COUNTIFS($G$2:G572,"MPV",$D$2:D572,D572)-1)</f>
        <v/>
      </c>
      <c r="N572" s="62" t="str">
        <f>IF(OR(D572="",NOT(G572="SUV")),"",1+SUMPRODUCT(($G$2:$G$1001="SUV")*($D$2:$D$1001&gt;D572))+COUNTIFS($G$2:G572,"SUV",$D$2:D572,D572)-1)</f>
        <v/>
      </c>
      <c r="O572" s="62" t="str">
        <f>IF(OR(D572="",NOT(AND(F572=1,G572="轿车"))),"",1+SUMPRODUCT(($F$2:$F$1001=1)*($G$2:$G$1001="轿车")*($D$2:$D$1001&gt;D572))+COUNTIFS($F$2:F572,1,$G$2:G572,"轿车",$D$2:D572,D572)-1)</f>
        <v/>
      </c>
      <c r="P572" s="62" t="str">
        <f>IF(OR(D572="",NOT(AND(F572=1,G572="MPV"))),"",1+SUMPRODUCT(($F$2:$F$1001=1)*($G$2:$G$1001="MPV")*($D$2:$D$1001&gt;D572))+COUNTIFS($F$2:F572,1,$G$2:G572,"MPV",$D$2:D572,D572)-1)</f>
        <v/>
      </c>
      <c r="Q572" s="62" t="str">
        <f>IF(OR(D572="",NOT(AND(F572=1,G572="SUV"))),"",1+SUMPRODUCT(($F$2:$F$1001=1)*($G$2:$G$1001="SUV")*($D$2:$D$1001&gt;D572))+COUNTIFS($F$2:F572,1,$G$2:G572,"SUV",$D$2:D572,D572)-1)</f>
        <v/>
      </c>
    </row>
    <row r="573" spans="1:17">
      <c r="A573" s="62" t="str">
        <f>IFERROR(INDEX($H$2:$H$3000,MATCH(0,INDEX(COUNTIF($A$1:A572,$H$2:$H$3000)+($H$2:$H$3000=""),0,0),0)),"")</f>
        <v/>
      </c>
      <c r="B573" s="62" t="str">
        <f t="shared" si="32"/>
        <v/>
      </c>
      <c r="C573" s="62" t="str">
        <f t="shared" si="33"/>
        <v/>
      </c>
      <c r="D573" s="63" t="str">
        <f t="shared" si="34"/>
        <v/>
      </c>
      <c r="E573" s="62" t="str">
        <f>IF(D573="","",_xlfn.RANK.EQ(D573,$D$2:$D$1001,0)+COUNTIF($D$2:D573,D573)-1)</f>
        <v/>
      </c>
      <c r="F573" s="62" t="str">
        <f>IF(B573="","",--(COUNTIF(CN_Brands!$A$2:$A$300,UPPER(B573))&gt;0))</f>
        <v/>
      </c>
      <c r="G573" s="62" t="str">
        <f t="shared" si="35"/>
        <v/>
      </c>
      <c r="H573" s="62" t="str">
        <f>IF(AND('Data Export'!A573=前十整体车型排名!$B$2,'Data Export'!B573=前十整体车型排名!$B$3,'Data Export'!D573&lt;&gt;""),UPPER('Data Export'!C573)&amp;"♦"&amp;'Data Export'!D573,"")</f>
        <v>MINI♦COUNTRYMAN</v>
      </c>
      <c r="I573" s="63">
        <f>IF(H573="","",IFERROR(INDEX('Data Export'!G573:CZ573,1,MATCH(前十整体车型排名!$B$4,'Data Export'!$G$1:$CZ$1,0)),0))</f>
        <v>1</v>
      </c>
      <c r="J573" s="62" t="str">
        <f>IF(H573="","",IF(OR('Data Export'!F573="三厢轿车",'Data Export'!F573="掀背轿车",'Data Export'!F573="旅行车",'Data Export'!F573="微型车",'Data Export'!F573="硬顶跑车",'Data Export'!F573="敞蓬车",'Data Export'!F573="Targa"),"轿车",IF(OR('Data Export'!F573="小型MPV",'Data Export'!F573="客车"),"MPV",IF('Data Export'!F573="运动型多功能车","SUV","其他"))))</f>
        <v>SUV</v>
      </c>
      <c r="K573" s="62" t="str">
        <f>IF(OR(D573="",NOT(F573=1)),"",1+SUMPRODUCT(($F$2:$F$1001=1)*($D$2:$D$1001&gt;D573))+COUNTIFS($F$2:F573,1,$D$2:D573,D573)-1)</f>
        <v/>
      </c>
      <c r="L573" s="62" t="str">
        <f>IF(OR(D573="",NOT(G573="轿车")),"",1+SUMPRODUCT(($G$2:$G$1001="轿车")*($D$2:$D$1001&gt;D573))+COUNTIFS($G$2:G573,"轿车",$D$2:D573,D573)-1)</f>
        <v/>
      </c>
      <c r="M573" s="62" t="str">
        <f>IF(OR(D573="",NOT(G573="MPV")),"",1+SUMPRODUCT(($G$2:$G$1001="MPV")*($D$2:$D$1001&gt;D573))+COUNTIFS($G$2:G573,"MPV",$D$2:D573,D573)-1)</f>
        <v/>
      </c>
      <c r="N573" s="62" t="str">
        <f>IF(OR(D573="",NOT(G573="SUV")),"",1+SUMPRODUCT(($G$2:$G$1001="SUV")*($D$2:$D$1001&gt;D573))+COUNTIFS($G$2:G573,"SUV",$D$2:D573,D573)-1)</f>
        <v/>
      </c>
      <c r="O573" s="62" t="str">
        <f>IF(OR(D573="",NOT(AND(F573=1,G573="轿车"))),"",1+SUMPRODUCT(($F$2:$F$1001=1)*($G$2:$G$1001="轿车")*($D$2:$D$1001&gt;D573))+COUNTIFS($F$2:F573,1,$G$2:G573,"轿车",$D$2:D573,D573)-1)</f>
        <v/>
      </c>
      <c r="P573" s="62" t="str">
        <f>IF(OR(D573="",NOT(AND(F573=1,G573="MPV"))),"",1+SUMPRODUCT(($F$2:$F$1001=1)*($G$2:$G$1001="MPV")*($D$2:$D$1001&gt;D573))+COUNTIFS($F$2:F573,1,$G$2:G573,"MPV",$D$2:D573,D573)-1)</f>
        <v/>
      </c>
      <c r="Q573" s="62" t="str">
        <f>IF(OR(D573="",NOT(AND(F573=1,G573="SUV"))),"",1+SUMPRODUCT(($F$2:$F$1001=1)*($G$2:$G$1001="SUV")*($D$2:$D$1001&gt;D573))+COUNTIFS($F$2:F573,1,$G$2:G573,"SUV",$D$2:D573,D573)-1)</f>
        <v/>
      </c>
    </row>
    <row r="574" spans="1:17">
      <c r="A574" s="62" t="str">
        <f>IFERROR(INDEX($H$2:$H$3000,MATCH(0,INDEX(COUNTIF($A$1:A573,$H$2:$H$3000)+($H$2:$H$3000=""),0,0),0)),"")</f>
        <v/>
      </c>
      <c r="B574" s="62" t="str">
        <f t="shared" si="32"/>
        <v/>
      </c>
      <c r="C574" s="62" t="str">
        <f t="shared" si="33"/>
        <v/>
      </c>
      <c r="D574" s="63" t="str">
        <f t="shared" si="34"/>
        <v/>
      </c>
      <c r="E574" s="62" t="str">
        <f>IF(D574="","",_xlfn.RANK.EQ(D574,$D$2:$D$1001,0)+COUNTIF($D$2:D574,D574)-1)</f>
        <v/>
      </c>
      <c r="F574" s="62" t="str">
        <f>IF(B574="","",--(COUNTIF(CN_Brands!$A$2:$A$300,UPPER(B574))&gt;0))</f>
        <v/>
      </c>
      <c r="G574" s="62" t="str">
        <f t="shared" si="35"/>
        <v/>
      </c>
      <c r="H574" s="62" t="str">
        <f>IF(AND('Data Export'!A574=前十整体车型排名!$B$2,'Data Export'!B574=前十整体车型排名!$B$3,'Data Export'!D574&lt;&gt;""),UPPER('Data Export'!C574)&amp;"♦"&amp;'Data Export'!D574,"")</f>
        <v>MINI♦COUNTRYMAN</v>
      </c>
      <c r="I574" s="63">
        <f>IF(H574="","",IFERROR(INDEX('Data Export'!G574:CZ574,1,MATCH(前十整体车型排名!$B$4,'Data Export'!$G$1:$CZ$1,0)),0))</f>
        <v>18</v>
      </c>
      <c r="J574" s="62" t="str">
        <f>IF(H574="","",IF(OR('Data Export'!F574="三厢轿车",'Data Export'!F574="掀背轿车",'Data Export'!F574="旅行车",'Data Export'!F574="微型车",'Data Export'!F574="硬顶跑车",'Data Export'!F574="敞蓬车",'Data Export'!F574="Targa"),"轿车",IF(OR('Data Export'!F574="小型MPV",'Data Export'!F574="客车"),"MPV",IF('Data Export'!F574="运动型多功能车","SUV","其他"))))</f>
        <v>SUV</v>
      </c>
      <c r="K574" s="62" t="str">
        <f>IF(OR(D574="",NOT(F574=1)),"",1+SUMPRODUCT(($F$2:$F$1001=1)*($D$2:$D$1001&gt;D574))+COUNTIFS($F$2:F574,1,$D$2:D574,D574)-1)</f>
        <v/>
      </c>
      <c r="L574" s="62" t="str">
        <f>IF(OR(D574="",NOT(G574="轿车")),"",1+SUMPRODUCT(($G$2:$G$1001="轿车")*($D$2:$D$1001&gt;D574))+COUNTIFS($G$2:G574,"轿车",$D$2:D574,D574)-1)</f>
        <v/>
      </c>
      <c r="M574" s="62" t="str">
        <f>IF(OR(D574="",NOT(G574="MPV")),"",1+SUMPRODUCT(($G$2:$G$1001="MPV")*($D$2:$D$1001&gt;D574))+COUNTIFS($G$2:G574,"MPV",$D$2:D574,D574)-1)</f>
        <v/>
      </c>
      <c r="N574" s="62" t="str">
        <f>IF(OR(D574="",NOT(G574="SUV")),"",1+SUMPRODUCT(($G$2:$G$1001="SUV")*($D$2:$D$1001&gt;D574))+COUNTIFS($G$2:G574,"SUV",$D$2:D574,D574)-1)</f>
        <v/>
      </c>
      <c r="O574" s="62" t="str">
        <f>IF(OR(D574="",NOT(AND(F574=1,G574="轿车"))),"",1+SUMPRODUCT(($F$2:$F$1001=1)*($G$2:$G$1001="轿车")*($D$2:$D$1001&gt;D574))+COUNTIFS($F$2:F574,1,$G$2:G574,"轿车",$D$2:D574,D574)-1)</f>
        <v/>
      </c>
      <c r="P574" s="62" t="str">
        <f>IF(OR(D574="",NOT(AND(F574=1,G574="MPV"))),"",1+SUMPRODUCT(($F$2:$F$1001=1)*($G$2:$G$1001="MPV")*($D$2:$D$1001&gt;D574))+COUNTIFS($F$2:F574,1,$G$2:G574,"MPV",$D$2:D574,D574)-1)</f>
        <v/>
      </c>
      <c r="Q574" s="62" t="str">
        <f>IF(OR(D574="",NOT(AND(F574=1,G574="SUV"))),"",1+SUMPRODUCT(($F$2:$F$1001=1)*($G$2:$G$1001="SUV")*($D$2:$D$1001&gt;D574))+COUNTIFS($F$2:F574,1,$G$2:G574,"SUV",$D$2:D574,D574)-1)</f>
        <v/>
      </c>
    </row>
    <row r="575" spans="1:17">
      <c r="A575" s="62" t="str">
        <f>IFERROR(INDEX($H$2:$H$3000,MATCH(0,INDEX(COUNTIF($A$1:A574,$H$2:$H$3000)+($H$2:$H$3000=""),0,0),0)),"")</f>
        <v/>
      </c>
      <c r="B575" s="62" t="str">
        <f t="shared" si="32"/>
        <v/>
      </c>
      <c r="C575" s="62" t="str">
        <f t="shared" si="33"/>
        <v/>
      </c>
      <c r="D575" s="63" t="str">
        <f t="shared" si="34"/>
        <v/>
      </c>
      <c r="E575" s="62" t="str">
        <f>IF(D575="","",_xlfn.RANK.EQ(D575,$D$2:$D$1001,0)+COUNTIF($D$2:D575,D575)-1)</f>
        <v/>
      </c>
      <c r="F575" s="62" t="str">
        <f>IF(B575="","",--(COUNTIF(CN_Brands!$A$2:$A$300,UPPER(B575))&gt;0))</f>
        <v/>
      </c>
      <c r="G575" s="62" t="str">
        <f t="shared" si="35"/>
        <v/>
      </c>
      <c r="H575" s="62" t="str">
        <f>IF(AND('Data Export'!A575=前十整体车型排名!$B$2,'Data Export'!B575=前十整体车型排名!$B$3,'Data Export'!D575&lt;&gt;""),UPPER('Data Export'!C575)&amp;"♦"&amp;'Data Export'!D575,"")</f>
        <v>MINI♦COUNTRYMAN</v>
      </c>
      <c r="I575" s="63">
        <f>IF(H575="","",IFERROR(INDEX('Data Export'!G575:CZ575,1,MATCH(前十整体车型排名!$B$4,'Data Export'!$G$1:$CZ$1,0)),0))</f>
        <v>0</v>
      </c>
      <c r="J575" s="62" t="str">
        <f>IF(H575="","",IF(OR('Data Export'!F575="三厢轿车",'Data Export'!F575="掀背轿车",'Data Export'!F575="旅行车",'Data Export'!F575="微型车",'Data Export'!F575="硬顶跑车",'Data Export'!F575="敞蓬车",'Data Export'!F575="Targa"),"轿车",IF(OR('Data Export'!F575="小型MPV",'Data Export'!F575="客车"),"MPV",IF('Data Export'!F575="运动型多功能车","SUV","其他"))))</f>
        <v>SUV</v>
      </c>
      <c r="K575" s="62" t="str">
        <f>IF(OR(D575="",NOT(F575=1)),"",1+SUMPRODUCT(($F$2:$F$1001=1)*($D$2:$D$1001&gt;D575))+COUNTIFS($F$2:F575,1,$D$2:D575,D575)-1)</f>
        <v/>
      </c>
      <c r="L575" s="62" t="str">
        <f>IF(OR(D575="",NOT(G575="轿车")),"",1+SUMPRODUCT(($G$2:$G$1001="轿车")*($D$2:$D$1001&gt;D575))+COUNTIFS($G$2:G575,"轿车",$D$2:D575,D575)-1)</f>
        <v/>
      </c>
      <c r="M575" s="62" t="str">
        <f>IF(OR(D575="",NOT(G575="MPV")),"",1+SUMPRODUCT(($G$2:$G$1001="MPV")*($D$2:$D$1001&gt;D575))+COUNTIFS($G$2:G575,"MPV",$D$2:D575,D575)-1)</f>
        <v/>
      </c>
      <c r="N575" s="62" t="str">
        <f>IF(OR(D575="",NOT(G575="SUV")),"",1+SUMPRODUCT(($G$2:$G$1001="SUV")*($D$2:$D$1001&gt;D575))+COUNTIFS($G$2:G575,"SUV",$D$2:D575,D575)-1)</f>
        <v/>
      </c>
      <c r="O575" s="62" t="str">
        <f>IF(OR(D575="",NOT(AND(F575=1,G575="轿车"))),"",1+SUMPRODUCT(($F$2:$F$1001=1)*($G$2:$G$1001="轿车")*($D$2:$D$1001&gt;D575))+COUNTIFS($F$2:F575,1,$G$2:G575,"轿车",$D$2:D575,D575)-1)</f>
        <v/>
      </c>
      <c r="P575" s="62" t="str">
        <f>IF(OR(D575="",NOT(AND(F575=1,G575="MPV"))),"",1+SUMPRODUCT(($F$2:$F$1001=1)*($G$2:$G$1001="MPV")*($D$2:$D$1001&gt;D575))+COUNTIFS($F$2:F575,1,$G$2:G575,"MPV",$D$2:D575,D575)-1)</f>
        <v/>
      </c>
      <c r="Q575" s="62" t="str">
        <f>IF(OR(D575="",NOT(AND(F575=1,G575="SUV"))),"",1+SUMPRODUCT(($F$2:$F$1001=1)*($G$2:$G$1001="SUV")*($D$2:$D$1001&gt;D575))+COUNTIFS($F$2:F575,1,$G$2:G575,"SUV",$D$2:D575,D575)-1)</f>
        <v/>
      </c>
    </row>
    <row r="576" spans="1:17">
      <c r="A576" s="62" t="str">
        <f>IFERROR(INDEX($H$2:$H$3000,MATCH(0,INDEX(COUNTIF($A$1:A575,$H$2:$H$3000)+($H$2:$H$3000=""),0,0),0)),"")</f>
        <v/>
      </c>
      <c r="B576" s="62" t="str">
        <f t="shared" si="32"/>
        <v/>
      </c>
      <c r="C576" s="62" t="str">
        <f t="shared" si="33"/>
        <v/>
      </c>
      <c r="D576" s="63" t="str">
        <f t="shared" si="34"/>
        <v/>
      </c>
      <c r="E576" s="62" t="str">
        <f>IF(D576="","",_xlfn.RANK.EQ(D576,$D$2:$D$1001,0)+COUNTIF($D$2:D576,D576)-1)</f>
        <v/>
      </c>
      <c r="F576" s="62" t="str">
        <f>IF(B576="","",--(COUNTIF(CN_Brands!$A$2:$A$300,UPPER(B576))&gt;0))</f>
        <v/>
      </c>
      <c r="G576" s="62" t="str">
        <f t="shared" si="35"/>
        <v/>
      </c>
      <c r="H576" s="62" t="str">
        <f>IF(AND('Data Export'!A576=前十整体车型排名!$B$2,'Data Export'!B576=前十整体车型排名!$B$3,'Data Export'!D576&lt;&gt;""),UPPER('Data Export'!C576)&amp;"♦"&amp;'Data Export'!D576,"")</f>
        <v>MINI♦MINI</v>
      </c>
      <c r="I576" s="63">
        <f>IF(H576="","",IFERROR(INDEX('Data Export'!G576:CZ576,1,MATCH(前十整体车型排名!$B$4,'Data Export'!$G$1:$CZ$1,0)),0))</f>
        <v>0</v>
      </c>
      <c r="J576" s="62" t="str">
        <f>IF(H576="","",IF(OR('Data Export'!F576="三厢轿车",'Data Export'!F576="掀背轿车",'Data Export'!F576="旅行车",'Data Export'!F576="微型车",'Data Export'!F576="硬顶跑车",'Data Export'!F576="敞蓬车",'Data Export'!F576="Targa"),"轿车",IF(OR('Data Export'!F576="小型MPV",'Data Export'!F576="客车"),"MPV",IF('Data Export'!F576="运动型多功能车","SUV","其他"))))</f>
        <v>轿车</v>
      </c>
      <c r="K576" s="62" t="str">
        <f>IF(OR(D576="",NOT(F576=1)),"",1+SUMPRODUCT(($F$2:$F$1001=1)*($D$2:$D$1001&gt;D576))+COUNTIFS($F$2:F576,1,$D$2:D576,D576)-1)</f>
        <v/>
      </c>
      <c r="L576" s="62" t="str">
        <f>IF(OR(D576="",NOT(G576="轿车")),"",1+SUMPRODUCT(($G$2:$G$1001="轿车")*($D$2:$D$1001&gt;D576))+COUNTIFS($G$2:G576,"轿车",$D$2:D576,D576)-1)</f>
        <v/>
      </c>
      <c r="M576" s="62" t="str">
        <f>IF(OR(D576="",NOT(G576="MPV")),"",1+SUMPRODUCT(($G$2:$G$1001="MPV")*($D$2:$D$1001&gt;D576))+COUNTIFS($G$2:G576,"MPV",$D$2:D576,D576)-1)</f>
        <v/>
      </c>
      <c r="N576" s="62" t="str">
        <f>IF(OR(D576="",NOT(G576="SUV")),"",1+SUMPRODUCT(($G$2:$G$1001="SUV")*($D$2:$D$1001&gt;D576))+COUNTIFS($G$2:G576,"SUV",$D$2:D576,D576)-1)</f>
        <v/>
      </c>
      <c r="O576" s="62" t="str">
        <f>IF(OR(D576="",NOT(AND(F576=1,G576="轿车"))),"",1+SUMPRODUCT(($F$2:$F$1001=1)*($G$2:$G$1001="轿车")*($D$2:$D$1001&gt;D576))+COUNTIFS($F$2:F576,1,$G$2:G576,"轿车",$D$2:D576,D576)-1)</f>
        <v/>
      </c>
      <c r="P576" s="62" t="str">
        <f>IF(OR(D576="",NOT(AND(F576=1,G576="MPV"))),"",1+SUMPRODUCT(($F$2:$F$1001=1)*($G$2:$G$1001="MPV")*($D$2:$D$1001&gt;D576))+COUNTIFS($F$2:F576,1,$G$2:G576,"MPV",$D$2:D576,D576)-1)</f>
        <v/>
      </c>
      <c r="Q576" s="62" t="str">
        <f>IF(OR(D576="",NOT(AND(F576=1,G576="SUV"))),"",1+SUMPRODUCT(($F$2:$F$1001=1)*($G$2:$G$1001="SUV")*($D$2:$D$1001&gt;D576))+COUNTIFS($F$2:F576,1,$G$2:G576,"SUV",$D$2:D576,D576)-1)</f>
        <v/>
      </c>
    </row>
    <row r="577" spans="1:17">
      <c r="A577" s="62" t="str">
        <f>IFERROR(INDEX($H$2:$H$3000,MATCH(0,INDEX(COUNTIF($A$1:A576,$H$2:$H$3000)+($H$2:$H$3000=""),0,0),0)),"")</f>
        <v/>
      </c>
      <c r="B577" s="62" t="str">
        <f t="shared" si="32"/>
        <v/>
      </c>
      <c r="C577" s="62" t="str">
        <f t="shared" si="33"/>
        <v/>
      </c>
      <c r="D577" s="63" t="str">
        <f t="shared" si="34"/>
        <v/>
      </c>
      <c r="E577" s="62" t="str">
        <f>IF(D577="","",_xlfn.RANK.EQ(D577,$D$2:$D$1001,0)+COUNTIF($D$2:D577,D577)-1)</f>
        <v/>
      </c>
      <c r="F577" s="62" t="str">
        <f>IF(B577="","",--(COUNTIF(CN_Brands!$A$2:$A$300,UPPER(B577))&gt;0))</f>
        <v/>
      </c>
      <c r="G577" s="62" t="str">
        <f t="shared" si="35"/>
        <v/>
      </c>
      <c r="H577" s="62" t="str">
        <f>IF(AND('Data Export'!A577=前十整体车型排名!$B$2,'Data Export'!B577=前十整体车型排名!$B$3,'Data Export'!D577&lt;&gt;""),UPPER('Data Export'!C577)&amp;"♦"&amp;'Data Export'!D577,"")</f>
        <v>MINI♦MINI</v>
      </c>
      <c r="I577" s="63">
        <f>IF(H577="","",IFERROR(INDEX('Data Export'!G577:CZ577,1,MATCH(前十整体车型排名!$B$4,'Data Export'!$G$1:$CZ$1,0)),0))</f>
        <v>0</v>
      </c>
      <c r="J577" s="62" t="str">
        <f>IF(H577="","",IF(OR('Data Export'!F577="三厢轿车",'Data Export'!F577="掀背轿车",'Data Export'!F577="旅行车",'Data Export'!F577="微型车",'Data Export'!F577="硬顶跑车",'Data Export'!F577="敞蓬车",'Data Export'!F577="Targa"),"轿车",IF(OR('Data Export'!F577="小型MPV",'Data Export'!F577="客车"),"MPV",IF('Data Export'!F577="运动型多功能车","SUV","其他"))))</f>
        <v>其他</v>
      </c>
      <c r="K577" s="62" t="str">
        <f>IF(OR(D577="",NOT(F577=1)),"",1+SUMPRODUCT(($F$2:$F$1001=1)*($D$2:$D$1001&gt;D577))+COUNTIFS($F$2:F577,1,$D$2:D577,D577)-1)</f>
        <v/>
      </c>
      <c r="L577" s="62" t="str">
        <f>IF(OR(D577="",NOT(G577="轿车")),"",1+SUMPRODUCT(($G$2:$G$1001="轿车")*($D$2:$D$1001&gt;D577))+COUNTIFS($G$2:G577,"轿车",$D$2:D577,D577)-1)</f>
        <v/>
      </c>
      <c r="M577" s="62" t="str">
        <f>IF(OR(D577="",NOT(G577="MPV")),"",1+SUMPRODUCT(($G$2:$G$1001="MPV")*($D$2:$D$1001&gt;D577))+COUNTIFS($G$2:G577,"MPV",$D$2:D577,D577)-1)</f>
        <v/>
      </c>
      <c r="N577" s="62" t="str">
        <f>IF(OR(D577="",NOT(G577="SUV")),"",1+SUMPRODUCT(($G$2:$G$1001="SUV")*($D$2:$D$1001&gt;D577))+COUNTIFS($G$2:G577,"SUV",$D$2:D577,D577)-1)</f>
        <v/>
      </c>
      <c r="O577" s="62" t="str">
        <f>IF(OR(D577="",NOT(AND(F577=1,G577="轿车"))),"",1+SUMPRODUCT(($F$2:$F$1001=1)*($G$2:$G$1001="轿车")*($D$2:$D$1001&gt;D577))+COUNTIFS($F$2:F577,1,$G$2:G577,"轿车",$D$2:D577,D577)-1)</f>
        <v/>
      </c>
      <c r="P577" s="62" t="str">
        <f>IF(OR(D577="",NOT(AND(F577=1,G577="MPV"))),"",1+SUMPRODUCT(($F$2:$F$1001=1)*($G$2:$G$1001="MPV")*($D$2:$D$1001&gt;D577))+COUNTIFS($F$2:F577,1,$G$2:G577,"MPV",$D$2:D577,D577)-1)</f>
        <v/>
      </c>
      <c r="Q577" s="62" t="str">
        <f>IF(OR(D577="",NOT(AND(F577=1,G577="SUV"))),"",1+SUMPRODUCT(($F$2:$F$1001=1)*($G$2:$G$1001="SUV")*($D$2:$D$1001&gt;D577))+COUNTIFS($F$2:F577,1,$G$2:G577,"SUV",$D$2:D577,D577)-1)</f>
        <v/>
      </c>
    </row>
    <row r="578" spans="1:17">
      <c r="A578" s="62" t="str">
        <f>IFERROR(INDEX($H$2:$H$3000,MATCH(0,INDEX(COUNTIF($A$1:A577,$H$2:$H$3000)+($H$2:$H$3000=""),0,0),0)),"")</f>
        <v/>
      </c>
      <c r="B578" s="62" t="str">
        <f t="shared" ref="B578:B641" si="36">IF(A578="","",LEFT(A578,FIND("♦",A578)-1))</f>
        <v/>
      </c>
      <c r="C578" s="62" t="str">
        <f t="shared" ref="C578:C641" si="37">IF(A578="","",MID(A578,FIND("♦",A578)+1,999))</f>
        <v/>
      </c>
      <c r="D578" s="63" t="str">
        <f t="shared" ref="D578:D641" si="38">IF(A578="","",SUMIF($H$2:$H$3000,A578,$I$2:$I$3000))</f>
        <v/>
      </c>
      <c r="E578" s="62" t="str">
        <f>IF(D578="","",_xlfn.RANK.EQ(D578,$D$2:$D$1001,0)+COUNTIF($D$2:D578,D578)-1)</f>
        <v/>
      </c>
      <c r="F578" s="62" t="str">
        <f>IF(B578="","",--(COUNTIF(CN_Brands!$A$2:$A$300,UPPER(B578))&gt;0))</f>
        <v/>
      </c>
      <c r="G578" s="62" t="str">
        <f t="shared" ref="G578:G641" si="39">IF(A578="","",IFERROR(INDEX($J$2:$J$3000,MATCH(A578,$H$2:$H$3000,0)),"其他"))</f>
        <v/>
      </c>
      <c r="H578" s="62" t="str">
        <f>IF(AND('Data Export'!A578=前十整体车型排名!$B$2,'Data Export'!B578=前十整体车型排名!$B$3,'Data Export'!D578&lt;&gt;""),UPPER('Data Export'!C578)&amp;"♦"&amp;'Data Export'!D578,"")</f>
        <v>MINI♦OTHER</v>
      </c>
      <c r="I578" s="63">
        <f>IF(H578="","",IFERROR(INDEX('Data Export'!G578:CZ578,1,MATCH(前十整体车型排名!$B$4,'Data Export'!$G$1:$CZ$1,0)),0))</f>
        <v>15</v>
      </c>
      <c r="J578" s="62" t="str">
        <f>IF(H578="","",IF(OR('Data Export'!F578="三厢轿车",'Data Export'!F578="掀背轿车",'Data Export'!F578="旅行车",'Data Export'!F578="微型车",'Data Export'!F578="硬顶跑车",'Data Export'!F578="敞蓬车",'Data Export'!F578="Targa"),"轿车",IF(OR('Data Export'!F578="小型MPV",'Data Export'!F578="客车"),"MPV",IF('Data Export'!F578="运动型多功能车","SUV","其他"))))</f>
        <v>其他</v>
      </c>
      <c r="K578" s="62" t="str">
        <f>IF(OR(D578="",NOT(F578=1)),"",1+SUMPRODUCT(($F$2:$F$1001=1)*($D$2:$D$1001&gt;D578))+COUNTIFS($F$2:F578,1,$D$2:D578,D578)-1)</f>
        <v/>
      </c>
      <c r="L578" s="62" t="str">
        <f>IF(OR(D578="",NOT(G578="轿车")),"",1+SUMPRODUCT(($G$2:$G$1001="轿车")*($D$2:$D$1001&gt;D578))+COUNTIFS($G$2:G578,"轿车",$D$2:D578,D578)-1)</f>
        <v/>
      </c>
      <c r="M578" s="62" t="str">
        <f>IF(OR(D578="",NOT(G578="MPV")),"",1+SUMPRODUCT(($G$2:$G$1001="MPV")*($D$2:$D$1001&gt;D578))+COUNTIFS($G$2:G578,"MPV",$D$2:D578,D578)-1)</f>
        <v/>
      </c>
      <c r="N578" s="62" t="str">
        <f>IF(OR(D578="",NOT(G578="SUV")),"",1+SUMPRODUCT(($G$2:$G$1001="SUV")*($D$2:$D$1001&gt;D578))+COUNTIFS($G$2:G578,"SUV",$D$2:D578,D578)-1)</f>
        <v/>
      </c>
      <c r="O578" s="62" t="str">
        <f>IF(OR(D578="",NOT(AND(F578=1,G578="轿车"))),"",1+SUMPRODUCT(($F$2:$F$1001=1)*($G$2:$G$1001="轿车")*($D$2:$D$1001&gt;D578))+COUNTIFS($F$2:F578,1,$G$2:G578,"轿车",$D$2:D578,D578)-1)</f>
        <v/>
      </c>
      <c r="P578" s="62" t="str">
        <f>IF(OR(D578="",NOT(AND(F578=1,G578="MPV"))),"",1+SUMPRODUCT(($F$2:$F$1001=1)*($G$2:$G$1001="MPV")*($D$2:$D$1001&gt;D578))+COUNTIFS($F$2:F578,1,$G$2:G578,"MPV",$D$2:D578,D578)-1)</f>
        <v/>
      </c>
      <c r="Q578" s="62" t="str">
        <f>IF(OR(D578="",NOT(AND(F578=1,G578="SUV"))),"",1+SUMPRODUCT(($F$2:$F$1001=1)*($G$2:$G$1001="SUV")*($D$2:$D$1001&gt;D578))+COUNTIFS($F$2:F578,1,$G$2:G578,"SUV",$D$2:D578,D578)-1)</f>
        <v/>
      </c>
    </row>
    <row r="579" spans="1:17">
      <c r="A579" s="62" t="str">
        <f>IFERROR(INDEX($H$2:$H$3000,MATCH(0,INDEX(COUNTIF($A$1:A578,$H$2:$H$3000)+($H$2:$H$3000=""),0,0),0)),"")</f>
        <v/>
      </c>
      <c r="B579" s="62" t="str">
        <f t="shared" si="36"/>
        <v/>
      </c>
      <c r="C579" s="62" t="str">
        <f t="shared" si="37"/>
        <v/>
      </c>
      <c r="D579" s="63" t="str">
        <f t="shared" si="38"/>
        <v/>
      </c>
      <c r="E579" s="62" t="str">
        <f>IF(D579="","",_xlfn.RANK.EQ(D579,$D$2:$D$1001,0)+COUNTIF($D$2:D579,D579)-1)</f>
        <v/>
      </c>
      <c r="F579" s="62" t="str">
        <f>IF(B579="","",--(COUNTIF(CN_Brands!$A$2:$A$300,UPPER(B579))&gt;0))</f>
        <v/>
      </c>
      <c r="G579" s="62" t="str">
        <f t="shared" si="39"/>
        <v/>
      </c>
      <c r="H579" s="62" t="str">
        <f>IF(AND('Data Export'!A579=前十整体车型排名!$B$2,'Data Export'!B579=前十整体车型排名!$B$3,'Data Export'!D579&lt;&gt;""),UPPER('Data Export'!C579)&amp;"♦"&amp;'Data Export'!D579,"")</f>
        <v>MINI♦OTHER</v>
      </c>
      <c r="I579" s="63">
        <f>IF(H579="","",IFERROR(INDEX('Data Export'!G579:CZ579,1,MATCH(前十整体车型排名!$B$4,'Data Export'!$G$1:$CZ$1,0)),0))</f>
        <v>0</v>
      </c>
      <c r="J579" s="62" t="str">
        <f>IF(H579="","",IF(OR('Data Export'!F579="三厢轿车",'Data Export'!F579="掀背轿车",'Data Export'!F579="旅行车",'Data Export'!F579="微型车",'Data Export'!F579="硬顶跑车",'Data Export'!F579="敞蓬车",'Data Export'!F579="Targa"),"轿车",IF(OR('Data Export'!F579="小型MPV",'Data Export'!F579="客车"),"MPV",IF('Data Export'!F579="运动型多功能车","SUV","其他"))))</f>
        <v>其他</v>
      </c>
      <c r="K579" s="62" t="str">
        <f>IF(OR(D579="",NOT(F579=1)),"",1+SUMPRODUCT(($F$2:$F$1001=1)*($D$2:$D$1001&gt;D579))+COUNTIFS($F$2:F579,1,$D$2:D579,D579)-1)</f>
        <v/>
      </c>
      <c r="L579" s="62" t="str">
        <f>IF(OR(D579="",NOT(G579="轿车")),"",1+SUMPRODUCT(($G$2:$G$1001="轿车")*($D$2:$D$1001&gt;D579))+COUNTIFS($G$2:G579,"轿车",$D$2:D579,D579)-1)</f>
        <v/>
      </c>
      <c r="M579" s="62" t="str">
        <f>IF(OR(D579="",NOT(G579="MPV")),"",1+SUMPRODUCT(($G$2:$G$1001="MPV")*($D$2:$D$1001&gt;D579))+COUNTIFS($G$2:G579,"MPV",$D$2:D579,D579)-1)</f>
        <v/>
      </c>
      <c r="N579" s="62" t="str">
        <f>IF(OR(D579="",NOT(G579="SUV")),"",1+SUMPRODUCT(($G$2:$G$1001="SUV")*($D$2:$D$1001&gt;D579))+COUNTIFS($G$2:G579,"SUV",$D$2:D579,D579)-1)</f>
        <v/>
      </c>
      <c r="O579" s="62" t="str">
        <f>IF(OR(D579="",NOT(AND(F579=1,G579="轿车"))),"",1+SUMPRODUCT(($F$2:$F$1001=1)*($G$2:$G$1001="轿车")*($D$2:$D$1001&gt;D579))+COUNTIFS($F$2:F579,1,$G$2:G579,"轿车",$D$2:D579,D579)-1)</f>
        <v/>
      </c>
      <c r="P579" s="62" t="str">
        <f>IF(OR(D579="",NOT(AND(F579=1,G579="MPV"))),"",1+SUMPRODUCT(($F$2:$F$1001=1)*($G$2:$G$1001="MPV")*($D$2:$D$1001&gt;D579))+COUNTIFS($F$2:F579,1,$G$2:G579,"MPV",$D$2:D579,D579)-1)</f>
        <v/>
      </c>
      <c r="Q579" s="62" t="str">
        <f>IF(OR(D579="",NOT(AND(F579=1,G579="SUV"))),"",1+SUMPRODUCT(($F$2:$F$1001=1)*($G$2:$G$1001="SUV")*($D$2:$D$1001&gt;D579))+COUNTIFS($F$2:F579,1,$G$2:G579,"SUV",$D$2:D579,D579)-1)</f>
        <v/>
      </c>
    </row>
    <row r="580" spans="1:17">
      <c r="A580" s="62" t="str">
        <f>IFERROR(INDEX($H$2:$H$3000,MATCH(0,INDEX(COUNTIF($A$1:A579,$H$2:$H$3000)+($H$2:$H$3000=""),0,0),0)),"")</f>
        <v/>
      </c>
      <c r="B580" s="62" t="str">
        <f t="shared" si="36"/>
        <v/>
      </c>
      <c r="C580" s="62" t="str">
        <f t="shared" si="37"/>
        <v/>
      </c>
      <c r="D580" s="63" t="str">
        <f t="shared" si="38"/>
        <v/>
      </c>
      <c r="E580" s="62" t="str">
        <f>IF(D580="","",_xlfn.RANK.EQ(D580,$D$2:$D$1001,0)+COUNTIF($D$2:D580,D580)-1)</f>
        <v/>
      </c>
      <c r="F580" s="62" t="str">
        <f>IF(B580="","",--(COUNTIF(CN_Brands!$A$2:$A$300,UPPER(B580))&gt;0))</f>
        <v/>
      </c>
      <c r="G580" s="62" t="str">
        <f t="shared" si="39"/>
        <v/>
      </c>
      <c r="H580" s="62" t="str">
        <f>IF(AND('Data Export'!A580=前十整体车型排名!$B$2,'Data Export'!B580=前十整体车型排名!$B$3,'Data Export'!D580&lt;&gt;""),UPPER('Data Export'!C580)&amp;"♦"&amp;'Data Export'!D580,"")</f>
        <v>MINI♦PACEMAN</v>
      </c>
      <c r="I580" s="63">
        <f>IF(H580="","",IFERROR(INDEX('Data Export'!G580:CZ580,1,MATCH(前十整体车型排名!$B$4,'Data Export'!$G$1:$CZ$1,0)),0))</f>
        <v>0</v>
      </c>
      <c r="J580" s="62" t="str">
        <f>IF(H580="","",IF(OR('Data Export'!F580="三厢轿车",'Data Export'!F580="掀背轿车",'Data Export'!F580="旅行车",'Data Export'!F580="微型车",'Data Export'!F580="硬顶跑车",'Data Export'!F580="敞蓬车",'Data Export'!F580="Targa"),"轿车",IF(OR('Data Export'!F580="小型MPV",'Data Export'!F580="客车"),"MPV",IF('Data Export'!F580="运动型多功能车","SUV","其他"))))</f>
        <v>轿车</v>
      </c>
      <c r="K580" s="62" t="str">
        <f>IF(OR(D580="",NOT(F580=1)),"",1+SUMPRODUCT(($F$2:$F$1001=1)*($D$2:$D$1001&gt;D580))+COUNTIFS($F$2:F580,1,$D$2:D580,D580)-1)</f>
        <v/>
      </c>
      <c r="L580" s="62" t="str">
        <f>IF(OR(D580="",NOT(G580="轿车")),"",1+SUMPRODUCT(($G$2:$G$1001="轿车")*($D$2:$D$1001&gt;D580))+COUNTIFS($G$2:G580,"轿车",$D$2:D580,D580)-1)</f>
        <v/>
      </c>
      <c r="M580" s="62" t="str">
        <f>IF(OR(D580="",NOT(G580="MPV")),"",1+SUMPRODUCT(($G$2:$G$1001="MPV")*($D$2:$D$1001&gt;D580))+COUNTIFS($G$2:G580,"MPV",$D$2:D580,D580)-1)</f>
        <v/>
      </c>
      <c r="N580" s="62" t="str">
        <f>IF(OR(D580="",NOT(G580="SUV")),"",1+SUMPRODUCT(($G$2:$G$1001="SUV")*($D$2:$D$1001&gt;D580))+COUNTIFS($G$2:G580,"SUV",$D$2:D580,D580)-1)</f>
        <v/>
      </c>
      <c r="O580" s="62" t="str">
        <f>IF(OR(D580="",NOT(AND(F580=1,G580="轿车"))),"",1+SUMPRODUCT(($F$2:$F$1001=1)*($G$2:$G$1001="轿车")*($D$2:$D$1001&gt;D580))+COUNTIFS($F$2:F580,1,$G$2:G580,"轿车",$D$2:D580,D580)-1)</f>
        <v/>
      </c>
      <c r="P580" s="62" t="str">
        <f>IF(OR(D580="",NOT(AND(F580=1,G580="MPV"))),"",1+SUMPRODUCT(($F$2:$F$1001=1)*($G$2:$G$1001="MPV")*($D$2:$D$1001&gt;D580))+COUNTIFS($F$2:F580,1,$G$2:G580,"MPV",$D$2:D580,D580)-1)</f>
        <v/>
      </c>
      <c r="Q580" s="62" t="str">
        <f>IF(OR(D580="",NOT(AND(F580=1,G580="SUV"))),"",1+SUMPRODUCT(($F$2:$F$1001=1)*($G$2:$G$1001="SUV")*($D$2:$D$1001&gt;D580))+COUNTIFS($F$2:F580,1,$G$2:G580,"SUV",$D$2:D580,D580)-1)</f>
        <v/>
      </c>
    </row>
    <row r="581" spans="1:17">
      <c r="A581" s="62" t="str">
        <f>IFERROR(INDEX($H$2:$H$3000,MATCH(0,INDEX(COUNTIF($A$1:A580,$H$2:$H$3000)+($H$2:$H$3000=""),0,0),0)),"")</f>
        <v/>
      </c>
      <c r="B581" s="62" t="str">
        <f t="shared" si="36"/>
        <v/>
      </c>
      <c r="C581" s="62" t="str">
        <f t="shared" si="37"/>
        <v/>
      </c>
      <c r="D581" s="63" t="str">
        <f t="shared" si="38"/>
        <v/>
      </c>
      <c r="E581" s="62" t="str">
        <f>IF(D581="","",_xlfn.RANK.EQ(D581,$D$2:$D$1001,0)+COUNTIF($D$2:D581,D581)-1)</f>
        <v/>
      </c>
      <c r="F581" s="62" t="str">
        <f>IF(B581="","",--(COUNTIF(CN_Brands!$A$2:$A$300,UPPER(B581))&gt;0))</f>
        <v/>
      </c>
      <c r="G581" s="62" t="str">
        <f t="shared" si="39"/>
        <v/>
      </c>
      <c r="H581" s="62" t="str">
        <f>IF(AND('Data Export'!A581=前十整体车型排名!$B$2,'Data Export'!B581=前十整体车型排名!$B$3,'Data Export'!D581&lt;&gt;""),UPPER('Data Export'!C581)&amp;"♦"&amp;'Data Export'!D581,"")</f>
        <v>MITSUBISHI♦ATTRAGE</v>
      </c>
      <c r="I581" s="63">
        <f>IF(H581="","",IFERROR(INDEX('Data Export'!G581:CZ581,1,MATCH(前十整体车型排名!$B$4,'Data Export'!$G$1:$CZ$1,0)),0))</f>
        <v>183</v>
      </c>
      <c r="J581" s="62" t="str">
        <f>IF(H581="","",IF(OR('Data Export'!F581="三厢轿车",'Data Export'!F581="掀背轿车",'Data Export'!F581="旅行车",'Data Export'!F581="微型车",'Data Export'!F581="硬顶跑车",'Data Export'!F581="敞蓬车",'Data Export'!F581="Targa"),"轿车",IF(OR('Data Export'!F581="小型MPV",'Data Export'!F581="客车"),"MPV",IF('Data Export'!F581="运动型多功能车","SUV","其他"))))</f>
        <v>轿车</v>
      </c>
      <c r="K581" s="62" t="str">
        <f>IF(OR(D581="",NOT(F581=1)),"",1+SUMPRODUCT(($F$2:$F$1001=1)*($D$2:$D$1001&gt;D581))+COUNTIFS($F$2:F581,1,$D$2:D581,D581)-1)</f>
        <v/>
      </c>
      <c r="L581" s="62" t="str">
        <f>IF(OR(D581="",NOT(G581="轿车")),"",1+SUMPRODUCT(($G$2:$G$1001="轿车")*($D$2:$D$1001&gt;D581))+COUNTIFS($G$2:G581,"轿车",$D$2:D581,D581)-1)</f>
        <v/>
      </c>
      <c r="M581" s="62" t="str">
        <f>IF(OR(D581="",NOT(G581="MPV")),"",1+SUMPRODUCT(($G$2:$G$1001="MPV")*($D$2:$D$1001&gt;D581))+COUNTIFS($G$2:G581,"MPV",$D$2:D581,D581)-1)</f>
        <v/>
      </c>
      <c r="N581" s="62" t="str">
        <f>IF(OR(D581="",NOT(G581="SUV")),"",1+SUMPRODUCT(($G$2:$G$1001="SUV")*($D$2:$D$1001&gt;D581))+COUNTIFS($G$2:G581,"SUV",$D$2:D581,D581)-1)</f>
        <v/>
      </c>
      <c r="O581" s="62" t="str">
        <f>IF(OR(D581="",NOT(AND(F581=1,G581="轿车"))),"",1+SUMPRODUCT(($F$2:$F$1001=1)*($G$2:$G$1001="轿车")*($D$2:$D$1001&gt;D581))+COUNTIFS($F$2:F581,1,$G$2:G581,"轿车",$D$2:D581,D581)-1)</f>
        <v/>
      </c>
      <c r="P581" s="62" t="str">
        <f>IF(OR(D581="",NOT(AND(F581=1,G581="MPV"))),"",1+SUMPRODUCT(($F$2:$F$1001=1)*($G$2:$G$1001="MPV")*($D$2:$D$1001&gt;D581))+COUNTIFS($F$2:F581,1,$G$2:G581,"MPV",$D$2:D581,D581)-1)</f>
        <v/>
      </c>
      <c r="Q581" s="62" t="str">
        <f>IF(OR(D581="",NOT(AND(F581=1,G581="SUV"))),"",1+SUMPRODUCT(($F$2:$F$1001=1)*($G$2:$G$1001="SUV")*($D$2:$D$1001&gt;D581))+COUNTIFS($F$2:F581,1,$G$2:G581,"SUV",$D$2:D581,D581)-1)</f>
        <v/>
      </c>
    </row>
    <row r="582" spans="1:17">
      <c r="A582" s="62" t="str">
        <f>IFERROR(INDEX($H$2:$H$3000,MATCH(0,INDEX(COUNTIF($A$1:A581,$H$2:$H$3000)+($H$2:$H$3000=""),0,0),0)),"")</f>
        <v/>
      </c>
      <c r="B582" s="62" t="str">
        <f t="shared" si="36"/>
        <v/>
      </c>
      <c r="C582" s="62" t="str">
        <f t="shared" si="37"/>
        <v/>
      </c>
      <c r="D582" s="63" t="str">
        <f t="shared" si="38"/>
        <v/>
      </c>
      <c r="E582" s="62" t="str">
        <f>IF(D582="","",_xlfn.RANK.EQ(D582,$D$2:$D$1001,0)+COUNTIF($D$2:D582,D582)-1)</f>
        <v/>
      </c>
      <c r="F582" s="62" t="str">
        <f>IF(B582="","",--(COUNTIF(CN_Brands!$A$2:$A$300,UPPER(B582))&gt;0))</f>
        <v/>
      </c>
      <c r="G582" s="62" t="str">
        <f t="shared" si="39"/>
        <v/>
      </c>
      <c r="H582" s="62" t="str">
        <f>IF(AND('Data Export'!A582=前十整体车型排名!$B$2,'Data Export'!B582=前十整体车型排名!$B$3,'Data Export'!D582&lt;&gt;""),UPPER('Data Export'!C582)&amp;"♦"&amp;'Data Export'!D582,"")</f>
        <v>MITSUBISHI♦LANCER EX</v>
      </c>
      <c r="I582" s="63">
        <f>IF(H582="","",IFERROR(INDEX('Data Export'!G582:CZ582,1,MATCH(前十整体车型排名!$B$4,'Data Export'!$G$1:$CZ$1,0)),0))</f>
        <v>0</v>
      </c>
      <c r="J582" s="62" t="str">
        <f>IF(H582="","",IF(OR('Data Export'!F582="三厢轿车",'Data Export'!F582="掀背轿车",'Data Export'!F582="旅行车",'Data Export'!F582="微型车",'Data Export'!F582="硬顶跑车",'Data Export'!F582="敞蓬车",'Data Export'!F582="Targa"),"轿车",IF(OR('Data Export'!F582="小型MPV",'Data Export'!F582="客车"),"MPV",IF('Data Export'!F582="运动型多功能车","SUV","其他"))))</f>
        <v>轿车</v>
      </c>
      <c r="K582" s="62" t="str">
        <f>IF(OR(D582="",NOT(F582=1)),"",1+SUMPRODUCT(($F$2:$F$1001=1)*($D$2:$D$1001&gt;D582))+COUNTIFS($F$2:F582,1,$D$2:D582,D582)-1)</f>
        <v/>
      </c>
      <c r="L582" s="62" t="str">
        <f>IF(OR(D582="",NOT(G582="轿车")),"",1+SUMPRODUCT(($G$2:$G$1001="轿车")*($D$2:$D$1001&gt;D582))+COUNTIFS($G$2:G582,"轿车",$D$2:D582,D582)-1)</f>
        <v/>
      </c>
      <c r="M582" s="62" t="str">
        <f>IF(OR(D582="",NOT(G582="MPV")),"",1+SUMPRODUCT(($G$2:$G$1001="MPV")*($D$2:$D$1001&gt;D582))+COUNTIFS($G$2:G582,"MPV",$D$2:D582,D582)-1)</f>
        <v/>
      </c>
      <c r="N582" s="62" t="str">
        <f>IF(OR(D582="",NOT(G582="SUV")),"",1+SUMPRODUCT(($G$2:$G$1001="SUV")*($D$2:$D$1001&gt;D582))+COUNTIFS($G$2:G582,"SUV",$D$2:D582,D582)-1)</f>
        <v/>
      </c>
      <c r="O582" s="62" t="str">
        <f>IF(OR(D582="",NOT(AND(F582=1,G582="轿车"))),"",1+SUMPRODUCT(($F$2:$F$1001=1)*($G$2:$G$1001="轿车")*($D$2:$D$1001&gt;D582))+COUNTIFS($F$2:F582,1,$G$2:G582,"轿车",$D$2:D582,D582)-1)</f>
        <v/>
      </c>
      <c r="P582" s="62" t="str">
        <f>IF(OR(D582="",NOT(AND(F582=1,G582="MPV"))),"",1+SUMPRODUCT(($F$2:$F$1001=1)*($G$2:$G$1001="MPV")*($D$2:$D$1001&gt;D582))+COUNTIFS($F$2:F582,1,$G$2:G582,"MPV",$D$2:D582,D582)-1)</f>
        <v/>
      </c>
      <c r="Q582" s="62" t="str">
        <f>IF(OR(D582="",NOT(AND(F582=1,G582="SUV"))),"",1+SUMPRODUCT(($F$2:$F$1001=1)*($G$2:$G$1001="SUV")*($D$2:$D$1001&gt;D582))+COUNTIFS($F$2:F582,1,$G$2:G582,"SUV",$D$2:D582,D582)-1)</f>
        <v/>
      </c>
    </row>
    <row r="583" spans="1:17">
      <c r="A583" s="62" t="str">
        <f>IFERROR(INDEX($H$2:$H$3000,MATCH(0,INDEX(COUNTIF($A$1:A582,$H$2:$H$3000)+($H$2:$H$3000=""),0,0),0)),"")</f>
        <v/>
      </c>
      <c r="B583" s="62" t="str">
        <f t="shared" si="36"/>
        <v/>
      </c>
      <c r="C583" s="62" t="str">
        <f t="shared" si="37"/>
        <v/>
      </c>
      <c r="D583" s="63" t="str">
        <f t="shared" si="38"/>
        <v/>
      </c>
      <c r="E583" s="62" t="str">
        <f>IF(D583="","",_xlfn.RANK.EQ(D583,$D$2:$D$1001,0)+COUNTIF($D$2:D583,D583)-1)</f>
        <v/>
      </c>
      <c r="F583" s="62" t="str">
        <f>IF(B583="","",--(COUNTIF(CN_Brands!$A$2:$A$300,UPPER(B583))&gt;0))</f>
        <v/>
      </c>
      <c r="G583" s="62" t="str">
        <f t="shared" si="39"/>
        <v/>
      </c>
      <c r="H583" s="62" t="str">
        <f>IF(AND('Data Export'!A583=前十整体车型排名!$B$2,'Data Export'!B583=前十整体车型排名!$B$3,'Data Export'!D583&lt;&gt;""),UPPER('Data Export'!C583)&amp;"♦"&amp;'Data Export'!D583,"")</f>
        <v>MITSUBISHI♦MIRAGE</v>
      </c>
      <c r="I583" s="63">
        <f>IF(H583="","",IFERROR(INDEX('Data Export'!G583:CZ583,1,MATCH(前十整体车型排名!$B$4,'Data Export'!$G$1:$CZ$1,0)),0))</f>
        <v>155</v>
      </c>
      <c r="J583" s="62" t="str">
        <f>IF(H583="","",IF(OR('Data Export'!F583="三厢轿车",'Data Export'!F583="掀背轿车",'Data Export'!F583="旅行车",'Data Export'!F583="微型车",'Data Export'!F583="硬顶跑车",'Data Export'!F583="敞蓬车",'Data Export'!F583="Targa"),"轿车",IF(OR('Data Export'!F583="小型MPV",'Data Export'!F583="客车"),"MPV",IF('Data Export'!F583="运动型多功能车","SUV","其他"))))</f>
        <v>轿车</v>
      </c>
      <c r="K583" s="62" t="str">
        <f>IF(OR(D583="",NOT(F583=1)),"",1+SUMPRODUCT(($F$2:$F$1001=1)*($D$2:$D$1001&gt;D583))+COUNTIFS($F$2:F583,1,$D$2:D583,D583)-1)</f>
        <v/>
      </c>
      <c r="L583" s="62" t="str">
        <f>IF(OR(D583="",NOT(G583="轿车")),"",1+SUMPRODUCT(($G$2:$G$1001="轿车")*($D$2:$D$1001&gt;D583))+COUNTIFS($G$2:G583,"轿车",$D$2:D583,D583)-1)</f>
        <v/>
      </c>
      <c r="M583" s="62" t="str">
        <f>IF(OR(D583="",NOT(G583="MPV")),"",1+SUMPRODUCT(($G$2:$G$1001="MPV")*($D$2:$D$1001&gt;D583))+COUNTIFS($G$2:G583,"MPV",$D$2:D583,D583)-1)</f>
        <v/>
      </c>
      <c r="N583" s="62" t="str">
        <f>IF(OR(D583="",NOT(G583="SUV")),"",1+SUMPRODUCT(($G$2:$G$1001="SUV")*($D$2:$D$1001&gt;D583))+COUNTIFS($G$2:G583,"SUV",$D$2:D583,D583)-1)</f>
        <v/>
      </c>
      <c r="O583" s="62" t="str">
        <f>IF(OR(D583="",NOT(AND(F583=1,G583="轿车"))),"",1+SUMPRODUCT(($F$2:$F$1001=1)*($G$2:$G$1001="轿车")*($D$2:$D$1001&gt;D583))+COUNTIFS($F$2:F583,1,$G$2:G583,"轿车",$D$2:D583,D583)-1)</f>
        <v/>
      </c>
      <c r="P583" s="62" t="str">
        <f>IF(OR(D583="",NOT(AND(F583=1,G583="MPV"))),"",1+SUMPRODUCT(($F$2:$F$1001=1)*($G$2:$G$1001="MPV")*($D$2:$D$1001&gt;D583))+COUNTIFS($F$2:F583,1,$G$2:G583,"MPV",$D$2:D583,D583)-1)</f>
        <v/>
      </c>
      <c r="Q583" s="62" t="str">
        <f>IF(OR(D583="",NOT(AND(F583=1,G583="SUV"))),"",1+SUMPRODUCT(($F$2:$F$1001=1)*($G$2:$G$1001="SUV")*($D$2:$D$1001&gt;D583))+COUNTIFS($F$2:F583,1,$G$2:G583,"SUV",$D$2:D583,D583)-1)</f>
        <v/>
      </c>
    </row>
    <row r="584" spans="1:17">
      <c r="A584" s="62" t="str">
        <f>IFERROR(INDEX($H$2:$H$3000,MATCH(0,INDEX(COUNTIF($A$1:A583,$H$2:$H$3000)+($H$2:$H$3000=""),0,0),0)),"")</f>
        <v/>
      </c>
      <c r="B584" s="62" t="str">
        <f t="shared" si="36"/>
        <v/>
      </c>
      <c r="C584" s="62" t="str">
        <f t="shared" si="37"/>
        <v/>
      </c>
      <c r="D584" s="63" t="str">
        <f t="shared" si="38"/>
        <v/>
      </c>
      <c r="E584" s="62" t="str">
        <f>IF(D584="","",_xlfn.RANK.EQ(D584,$D$2:$D$1001,0)+COUNTIF($D$2:D584,D584)-1)</f>
        <v/>
      </c>
      <c r="F584" s="62" t="str">
        <f>IF(B584="","",--(COUNTIF(CN_Brands!$A$2:$A$300,UPPER(B584))&gt;0))</f>
        <v/>
      </c>
      <c r="G584" s="62" t="str">
        <f t="shared" si="39"/>
        <v/>
      </c>
      <c r="H584" s="62" t="str">
        <f>IF(AND('Data Export'!A584=前十整体车型排名!$B$2,'Data Export'!B584=前十整体车型排名!$B$3,'Data Export'!D584&lt;&gt;""),UPPER('Data Export'!C584)&amp;"♦"&amp;'Data Export'!D584,"")</f>
        <v>MITSUBISHI♦OTHER</v>
      </c>
      <c r="I584" s="63">
        <f>IF(H584="","",IFERROR(INDEX('Data Export'!G584:CZ584,1,MATCH(前十整体车型排名!$B$4,'Data Export'!$G$1:$CZ$1,0)),0))</f>
        <v>0</v>
      </c>
      <c r="J584" s="62" t="str">
        <f>IF(H584="","",IF(OR('Data Export'!F584="三厢轿车",'Data Export'!F584="掀背轿车",'Data Export'!F584="旅行车",'Data Export'!F584="微型车",'Data Export'!F584="硬顶跑车",'Data Export'!F584="敞蓬车",'Data Export'!F584="Targa"),"轿车",IF(OR('Data Export'!F584="小型MPV",'Data Export'!F584="客车"),"MPV",IF('Data Export'!F584="运动型多功能车","SUV","其他"))))</f>
        <v>其他</v>
      </c>
      <c r="K584" s="62" t="str">
        <f>IF(OR(D584="",NOT(F584=1)),"",1+SUMPRODUCT(($F$2:$F$1001=1)*($D$2:$D$1001&gt;D584))+COUNTIFS($F$2:F584,1,$D$2:D584,D584)-1)</f>
        <v/>
      </c>
      <c r="L584" s="62" t="str">
        <f>IF(OR(D584="",NOT(G584="轿车")),"",1+SUMPRODUCT(($G$2:$G$1001="轿车")*($D$2:$D$1001&gt;D584))+COUNTIFS($G$2:G584,"轿车",$D$2:D584,D584)-1)</f>
        <v/>
      </c>
      <c r="M584" s="62" t="str">
        <f>IF(OR(D584="",NOT(G584="MPV")),"",1+SUMPRODUCT(($G$2:$G$1001="MPV")*($D$2:$D$1001&gt;D584))+COUNTIFS($G$2:G584,"MPV",$D$2:D584,D584)-1)</f>
        <v/>
      </c>
      <c r="N584" s="62" t="str">
        <f>IF(OR(D584="",NOT(G584="SUV")),"",1+SUMPRODUCT(($G$2:$G$1001="SUV")*($D$2:$D$1001&gt;D584))+COUNTIFS($G$2:G584,"SUV",$D$2:D584,D584)-1)</f>
        <v/>
      </c>
      <c r="O584" s="62" t="str">
        <f>IF(OR(D584="",NOT(AND(F584=1,G584="轿车"))),"",1+SUMPRODUCT(($F$2:$F$1001=1)*($G$2:$G$1001="轿车")*($D$2:$D$1001&gt;D584))+COUNTIFS($F$2:F584,1,$G$2:G584,"轿车",$D$2:D584,D584)-1)</f>
        <v/>
      </c>
      <c r="P584" s="62" t="str">
        <f>IF(OR(D584="",NOT(AND(F584=1,G584="MPV"))),"",1+SUMPRODUCT(($F$2:$F$1001=1)*($G$2:$G$1001="MPV")*($D$2:$D$1001&gt;D584))+COUNTIFS($F$2:F584,1,$G$2:G584,"MPV",$D$2:D584,D584)-1)</f>
        <v/>
      </c>
      <c r="Q584" s="62" t="str">
        <f>IF(OR(D584="",NOT(AND(F584=1,G584="SUV"))),"",1+SUMPRODUCT(($F$2:$F$1001=1)*($G$2:$G$1001="SUV")*($D$2:$D$1001&gt;D584))+COUNTIFS($F$2:F584,1,$G$2:G584,"SUV",$D$2:D584,D584)-1)</f>
        <v/>
      </c>
    </row>
    <row r="585" spans="1:17">
      <c r="A585" s="62" t="str">
        <f>IFERROR(INDEX($H$2:$H$3000,MATCH(0,INDEX(COUNTIF($A$1:A584,$H$2:$H$3000)+($H$2:$H$3000=""),0,0),0)),"")</f>
        <v/>
      </c>
      <c r="B585" s="62" t="str">
        <f t="shared" si="36"/>
        <v/>
      </c>
      <c r="C585" s="62" t="str">
        <f t="shared" si="37"/>
        <v/>
      </c>
      <c r="D585" s="63" t="str">
        <f t="shared" si="38"/>
        <v/>
      </c>
      <c r="E585" s="62" t="str">
        <f>IF(D585="","",_xlfn.RANK.EQ(D585,$D$2:$D$1001,0)+COUNTIF($D$2:D585,D585)-1)</f>
        <v/>
      </c>
      <c r="F585" s="62" t="str">
        <f>IF(B585="","",--(COUNTIF(CN_Brands!$A$2:$A$300,UPPER(B585))&gt;0))</f>
        <v/>
      </c>
      <c r="G585" s="62" t="str">
        <f t="shared" si="39"/>
        <v/>
      </c>
      <c r="H585" s="62" t="str">
        <f>IF(AND('Data Export'!A585=前十整体车型排名!$B$2,'Data Export'!B585=前十整体车型排名!$B$3,'Data Export'!D585&lt;&gt;""),UPPER('Data Export'!C585)&amp;"♦"&amp;'Data Export'!D585,"")</f>
        <v>MITSUBISHI♦OTHER</v>
      </c>
      <c r="I585" s="63">
        <f>IF(H585="","",IFERROR(INDEX('Data Export'!G585:CZ585,1,MATCH(前十整体车型排名!$B$4,'Data Export'!$G$1:$CZ$1,0)),0))</f>
        <v>0</v>
      </c>
      <c r="J585" s="62" t="str">
        <f>IF(H585="","",IF(OR('Data Export'!F585="三厢轿车",'Data Export'!F585="掀背轿车",'Data Export'!F585="旅行车",'Data Export'!F585="微型车",'Data Export'!F585="硬顶跑车",'Data Export'!F585="敞蓬车",'Data Export'!F585="Targa"),"轿车",IF(OR('Data Export'!F585="小型MPV",'Data Export'!F585="客车"),"MPV",IF('Data Export'!F585="运动型多功能车","SUV","其他"))))</f>
        <v>其他</v>
      </c>
      <c r="K585" s="62" t="str">
        <f>IF(OR(D585="",NOT(F585=1)),"",1+SUMPRODUCT(($F$2:$F$1001=1)*($D$2:$D$1001&gt;D585))+COUNTIFS($F$2:F585,1,$D$2:D585,D585)-1)</f>
        <v/>
      </c>
      <c r="L585" s="62" t="str">
        <f>IF(OR(D585="",NOT(G585="轿车")),"",1+SUMPRODUCT(($G$2:$G$1001="轿车")*($D$2:$D$1001&gt;D585))+COUNTIFS($G$2:G585,"轿车",$D$2:D585,D585)-1)</f>
        <v/>
      </c>
      <c r="M585" s="62" t="str">
        <f>IF(OR(D585="",NOT(G585="MPV")),"",1+SUMPRODUCT(($G$2:$G$1001="MPV")*($D$2:$D$1001&gt;D585))+COUNTIFS($G$2:G585,"MPV",$D$2:D585,D585)-1)</f>
        <v/>
      </c>
      <c r="N585" s="62" t="str">
        <f>IF(OR(D585="",NOT(G585="SUV")),"",1+SUMPRODUCT(($G$2:$G$1001="SUV")*($D$2:$D$1001&gt;D585))+COUNTIFS($G$2:G585,"SUV",$D$2:D585,D585)-1)</f>
        <v/>
      </c>
      <c r="O585" s="62" t="str">
        <f>IF(OR(D585="",NOT(AND(F585=1,G585="轿车"))),"",1+SUMPRODUCT(($F$2:$F$1001=1)*($G$2:$G$1001="轿车")*($D$2:$D$1001&gt;D585))+COUNTIFS($F$2:F585,1,$G$2:G585,"轿车",$D$2:D585,D585)-1)</f>
        <v/>
      </c>
      <c r="P585" s="62" t="str">
        <f>IF(OR(D585="",NOT(AND(F585=1,G585="MPV"))),"",1+SUMPRODUCT(($F$2:$F$1001=1)*($G$2:$G$1001="MPV")*($D$2:$D$1001&gt;D585))+COUNTIFS($F$2:F585,1,$G$2:G585,"MPV",$D$2:D585,D585)-1)</f>
        <v/>
      </c>
      <c r="Q585" s="62" t="str">
        <f>IF(OR(D585="",NOT(AND(F585=1,G585="SUV"))),"",1+SUMPRODUCT(($F$2:$F$1001=1)*($G$2:$G$1001="SUV")*($D$2:$D$1001&gt;D585))+COUNTIFS($F$2:F585,1,$G$2:G585,"SUV",$D$2:D585,D585)-1)</f>
        <v/>
      </c>
    </row>
    <row r="586" spans="1:17">
      <c r="A586" s="62" t="str">
        <f>IFERROR(INDEX($H$2:$H$3000,MATCH(0,INDEX(COUNTIF($A$1:A585,$H$2:$H$3000)+($H$2:$H$3000=""),0,0),0)),"")</f>
        <v/>
      </c>
      <c r="B586" s="62" t="str">
        <f t="shared" si="36"/>
        <v/>
      </c>
      <c r="C586" s="62" t="str">
        <f t="shared" si="37"/>
        <v/>
      </c>
      <c r="D586" s="63" t="str">
        <f t="shared" si="38"/>
        <v/>
      </c>
      <c r="E586" s="62" t="str">
        <f>IF(D586="","",_xlfn.RANK.EQ(D586,$D$2:$D$1001,0)+COUNTIF($D$2:D586,D586)-1)</f>
        <v/>
      </c>
      <c r="F586" s="62" t="str">
        <f>IF(B586="","",--(COUNTIF(CN_Brands!$A$2:$A$300,UPPER(B586))&gt;0))</f>
        <v/>
      </c>
      <c r="G586" s="62" t="str">
        <f t="shared" si="39"/>
        <v/>
      </c>
      <c r="H586" s="62" t="str">
        <f>IF(AND('Data Export'!A586=前十整体车型排名!$B$2,'Data Export'!B586=前十整体车型排名!$B$3,'Data Export'!D586&lt;&gt;""),UPPER('Data Export'!C586)&amp;"♦"&amp;'Data Export'!D586,"")</f>
        <v>MITSUBISHI♦OUTLANDER</v>
      </c>
      <c r="I586" s="63">
        <f>IF(H586="","",IFERROR(INDEX('Data Export'!G586:CZ586,1,MATCH(前十整体车型排名!$B$4,'Data Export'!$G$1:$CZ$1,0)),0))</f>
        <v>2</v>
      </c>
      <c r="J586" s="62" t="str">
        <f>IF(H586="","",IF(OR('Data Export'!F586="三厢轿车",'Data Export'!F586="掀背轿车",'Data Export'!F586="旅行车",'Data Export'!F586="微型车",'Data Export'!F586="硬顶跑车",'Data Export'!F586="敞蓬车",'Data Export'!F586="Targa"),"轿车",IF(OR('Data Export'!F586="小型MPV",'Data Export'!F586="客车"),"MPV",IF('Data Export'!F586="运动型多功能车","SUV","其他"))))</f>
        <v>SUV</v>
      </c>
      <c r="K586" s="62" t="str">
        <f>IF(OR(D586="",NOT(F586=1)),"",1+SUMPRODUCT(($F$2:$F$1001=1)*($D$2:$D$1001&gt;D586))+COUNTIFS($F$2:F586,1,$D$2:D586,D586)-1)</f>
        <v/>
      </c>
      <c r="L586" s="62" t="str">
        <f>IF(OR(D586="",NOT(G586="轿车")),"",1+SUMPRODUCT(($G$2:$G$1001="轿车")*($D$2:$D$1001&gt;D586))+COUNTIFS($G$2:G586,"轿车",$D$2:D586,D586)-1)</f>
        <v/>
      </c>
      <c r="M586" s="62" t="str">
        <f>IF(OR(D586="",NOT(G586="MPV")),"",1+SUMPRODUCT(($G$2:$G$1001="MPV")*($D$2:$D$1001&gt;D586))+COUNTIFS($G$2:G586,"MPV",$D$2:D586,D586)-1)</f>
        <v/>
      </c>
      <c r="N586" s="62" t="str">
        <f>IF(OR(D586="",NOT(G586="SUV")),"",1+SUMPRODUCT(($G$2:$G$1001="SUV")*($D$2:$D$1001&gt;D586))+COUNTIFS($G$2:G586,"SUV",$D$2:D586,D586)-1)</f>
        <v/>
      </c>
      <c r="O586" s="62" t="str">
        <f>IF(OR(D586="",NOT(AND(F586=1,G586="轿车"))),"",1+SUMPRODUCT(($F$2:$F$1001=1)*($G$2:$G$1001="轿车")*($D$2:$D$1001&gt;D586))+COUNTIFS($F$2:F586,1,$G$2:G586,"轿车",$D$2:D586,D586)-1)</f>
        <v/>
      </c>
      <c r="P586" s="62" t="str">
        <f>IF(OR(D586="",NOT(AND(F586=1,G586="MPV"))),"",1+SUMPRODUCT(($F$2:$F$1001=1)*($G$2:$G$1001="MPV")*($D$2:$D$1001&gt;D586))+COUNTIFS($F$2:F586,1,$G$2:G586,"MPV",$D$2:D586,D586)-1)</f>
        <v/>
      </c>
      <c r="Q586" s="62" t="str">
        <f>IF(OR(D586="",NOT(AND(F586=1,G586="SUV"))),"",1+SUMPRODUCT(($F$2:$F$1001=1)*($G$2:$G$1001="SUV")*($D$2:$D$1001&gt;D586))+COUNTIFS($F$2:F586,1,$G$2:G586,"SUV",$D$2:D586,D586)-1)</f>
        <v/>
      </c>
    </row>
    <row r="587" spans="1:17">
      <c r="A587" s="62" t="str">
        <f>IFERROR(INDEX($H$2:$H$3000,MATCH(0,INDEX(COUNTIF($A$1:A586,$H$2:$H$3000)+($H$2:$H$3000=""),0,0),0)),"")</f>
        <v/>
      </c>
      <c r="B587" s="62" t="str">
        <f t="shared" si="36"/>
        <v/>
      </c>
      <c r="C587" s="62" t="str">
        <f t="shared" si="37"/>
        <v/>
      </c>
      <c r="D587" s="63" t="str">
        <f t="shared" si="38"/>
        <v/>
      </c>
      <c r="E587" s="62" t="str">
        <f>IF(D587="","",_xlfn.RANK.EQ(D587,$D$2:$D$1001,0)+COUNTIF($D$2:D587,D587)-1)</f>
        <v/>
      </c>
      <c r="F587" s="62" t="str">
        <f>IF(B587="","",--(COUNTIF(CN_Brands!$A$2:$A$300,UPPER(B587))&gt;0))</f>
        <v/>
      </c>
      <c r="G587" s="62" t="str">
        <f t="shared" si="39"/>
        <v/>
      </c>
      <c r="H587" s="62" t="str">
        <f>IF(AND('Data Export'!A587=前十整体车型排名!$B$2,'Data Export'!B587=前十整体车型排名!$B$3,'Data Export'!D587&lt;&gt;""),UPPER('Data Export'!C587)&amp;"♦"&amp;'Data Export'!D587,"")</f>
        <v>MITSUBISHI♦PAJERO SPORT</v>
      </c>
      <c r="I587" s="63">
        <f>IF(H587="","",IFERROR(INDEX('Data Export'!G587:CZ587,1,MATCH(前十整体车型排名!$B$4,'Data Export'!$G$1:$CZ$1,0)),0))</f>
        <v>89</v>
      </c>
      <c r="J587" s="62" t="str">
        <f>IF(H587="","",IF(OR('Data Export'!F587="三厢轿车",'Data Export'!F587="掀背轿车",'Data Export'!F587="旅行车",'Data Export'!F587="微型车",'Data Export'!F587="硬顶跑车",'Data Export'!F587="敞蓬车",'Data Export'!F587="Targa"),"轿车",IF(OR('Data Export'!F587="小型MPV",'Data Export'!F587="客车"),"MPV",IF('Data Export'!F587="运动型多功能车","SUV","其他"))))</f>
        <v>SUV</v>
      </c>
      <c r="K587" s="62" t="str">
        <f>IF(OR(D587="",NOT(F587=1)),"",1+SUMPRODUCT(($F$2:$F$1001=1)*($D$2:$D$1001&gt;D587))+COUNTIFS($F$2:F587,1,$D$2:D587,D587)-1)</f>
        <v/>
      </c>
      <c r="L587" s="62" t="str">
        <f>IF(OR(D587="",NOT(G587="轿车")),"",1+SUMPRODUCT(($G$2:$G$1001="轿车")*($D$2:$D$1001&gt;D587))+COUNTIFS($G$2:G587,"轿车",$D$2:D587,D587)-1)</f>
        <v/>
      </c>
      <c r="M587" s="62" t="str">
        <f>IF(OR(D587="",NOT(G587="MPV")),"",1+SUMPRODUCT(($G$2:$G$1001="MPV")*($D$2:$D$1001&gt;D587))+COUNTIFS($G$2:G587,"MPV",$D$2:D587,D587)-1)</f>
        <v/>
      </c>
      <c r="N587" s="62" t="str">
        <f>IF(OR(D587="",NOT(G587="SUV")),"",1+SUMPRODUCT(($G$2:$G$1001="SUV")*($D$2:$D$1001&gt;D587))+COUNTIFS($G$2:G587,"SUV",$D$2:D587,D587)-1)</f>
        <v/>
      </c>
      <c r="O587" s="62" t="str">
        <f>IF(OR(D587="",NOT(AND(F587=1,G587="轿车"))),"",1+SUMPRODUCT(($F$2:$F$1001=1)*($G$2:$G$1001="轿车")*($D$2:$D$1001&gt;D587))+COUNTIFS($F$2:F587,1,$G$2:G587,"轿车",$D$2:D587,D587)-1)</f>
        <v/>
      </c>
      <c r="P587" s="62" t="str">
        <f>IF(OR(D587="",NOT(AND(F587=1,G587="MPV"))),"",1+SUMPRODUCT(($F$2:$F$1001=1)*($G$2:$G$1001="MPV")*($D$2:$D$1001&gt;D587))+COUNTIFS($F$2:F587,1,$G$2:G587,"MPV",$D$2:D587,D587)-1)</f>
        <v/>
      </c>
      <c r="Q587" s="62" t="str">
        <f>IF(OR(D587="",NOT(AND(F587=1,G587="SUV"))),"",1+SUMPRODUCT(($F$2:$F$1001=1)*($G$2:$G$1001="SUV")*($D$2:$D$1001&gt;D587))+COUNTIFS($F$2:F587,1,$G$2:G587,"SUV",$D$2:D587,D587)-1)</f>
        <v/>
      </c>
    </row>
    <row r="588" spans="1:17">
      <c r="A588" s="62" t="str">
        <f>IFERROR(INDEX($H$2:$H$3000,MATCH(0,INDEX(COUNTIF($A$1:A587,$H$2:$H$3000)+($H$2:$H$3000=""),0,0),0)),"")</f>
        <v/>
      </c>
      <c r="B588" s="62" t="str">
        <f t="shared" si="36"/>
        <v/>
      </c>
      <c r="C588" s="62" t="str">
        <f t="shared" si="37"/>
        <v/>
      </c>
      <c r="D588" s="63" t="str">
        <f t="shared" si="38"/>
        <v/>
      </c>
      <c r="E588" s="62" t="str">
        <f>IF(D588="","",_xlfn.RANK.EQ(D588,$D$2:$D$1001,0)+COUNTIF($D$2:D588,D588)-1)</f>
        <v/>
      </c>
      <c r="F588" s="62" t="str">
        <f>IF(B588="","",--(COUNTIF(CN_Brands!$A$2:$A$300,UPPER(B588))&gt;0))</f>
        <v/>
      </c>
      <c r="G588" s="62" t="str">
        <f t="shared" si="39"/>
        <v/>
      </c>
      <c r="H588" s="62" t="str">
        <f>IF(AND('Data Export'!A588=前十整体车型排名!$B$2,'Data Export'!B588=前十整体车型排名!$B$3,'Data Export'!D588&lt;&gt;""),UPPER('Data Export'!C588)&amp;"♦"&amp;'Data Export'!D588,"")</f>
        <v>MITSUBISHI♦XFORCE</v>
      </c>
      <c r="I588" s="63">
        <f>IF(H588="","",IFERROR(INDEX('Data Export'!G588:CZ588,1,MATCH(前十整体车型排名!$B$4,'Data Export'!$G$1:$CZ$1,0)),0))</f>
        <v>718</v>
      </c>
      <c r="J588" s="62" t="str">
        <f>IF(H588="","",IF(OR('Data Export'!F588="三厢轿车",'Data Export'!F588="掀背轿车",'Data Export'!F588="旅行车",'Data Export'!F588="微型车",'Data Export'!F588="硬顶跑车",'Data Export'!F588="敞蓬车",'Data Export'!F588="Targa"),"轿车",IF(OR('Data Export'!F588="小型MPV",'Data Export'!F588="客车"),"MPV",IF('Data Export'!F588="运动型多功能车","SUV","其他"))))</f>
        <v>SUV</v>
      </c>
      <c r="K588" s="62" t="str">
        <f>IF(OR(D588="",NOT(F588=1)),"",1+SUMPRODUCT(($F$2:$F$1001=1)*($D$2:$D$1001&gt;D588))+COUNTIFS($F$2:F588,1,$D$2:D588,D588)-1)</f>
        <v/>
      </c>
      <c r="L588" s="62" t="str">
        <f>IF(OR(D588="",NOT(G588="轿车")),"",1+SUMPRODUCT(($G$2:$G$1001="轿车")*($D$2:$D$1001&gt;D588))+COUNTIFS($G$2:G588,"轿车",$D$2:D588,D588)-1)</f>
        <v/>
      </c>
      <c r="M588" s="62" t="str">
        <f>IF(OR(D588="",NOT(G588="MPV")),"",1+SUMPRODUCT(($G$2:$G$1001="MPV")*($D$2:$D$1001&gt;D588))+COUNTIFS($G$2:G588,"MPV",$D$2:D588,D588)-1)</f>
        <v/>
      </c>
      <c r="N588" s="62" t="str">
        <f>IF(OR(D588="",NOT(G588="SUV")),"",1+SUMPRODUCT(($G$2:$G$1001="SUV")*($D$2:$D$1001&gt;D588))+COUNTIFS($G$2:G588,"SUV",$D$2:D588,D588)-1)</f>
        <v/>
      </c>
      <c r="O588" s="62" t="str">
        <f>IF(OR(D588="",NOT(AND(F588=1,G588="轿车"))),"",1+SUMPRODUCT(($F$2:$F$1001=1)*($G$2:$G$1001="轿车")*($D$2:$D$1001&gt;D588))+COUNTIFS($F$2:F588,1,$G$2:G588,"轿车",$D$2:D588,D588)-1)</f>
        <v/>
      </c>
      <c r="P588" s="62" t="str">
        <f>IF(OR(D588="",NOT(AND(F588=1,G588="MPV"))),"",1+SUMPRODUCT(($F$2:$F$1001=1)*($G$2:$G$1001="MPV")*($D$2:$D$1001&gt;D588))+COUNTIFS($F$2:F588,1,$G$2:G588,"MPV",$D$2:D588,D588)-1)</f>
        <v/>
      </c>
      <c r="Q588" s="62" t="str">
        <f>IF(OR(D588="",NOT(AND(F588=1,G588="SUV"))),"",1+SUMPRODUCT(($F$2:$F$1001=1)*($G$2:$G$1001="SUV")*($D$2:$D$1001&gt;D588))+COUNTIFS($F$2:F588,1,$G$2:G588,"SUV",$D$2:D588,D588)-1)</f>
        <v/>
      </c>
    </row>
    <row r="589" spans="1:17">
      <c r="A589" s="62" t="str">
        <f>IFERROR(INDEX($H$2:$H$3000,MATCH(0,INDEX(COUNTIF($A$1:A588,$H$2:$H$3000)+($H$2:$H$3000=""),0,0),0)),"")</f>
        <v/>
      </c>
      <c r="B589" s="62" t="str">
        <f t="shared" si="36"/>
        <v/>
      </c>
      <c r="C589" s="62" t="str">
        <f t="shared" si="37"/>
        <v/>
      </c>
      <c r="D589" s="63" t="str">
        <f t="shared" si="38"/>
        <v/>
      </c>
      <c r="E589" s="62" t="str">
        <f>IF(D589="","",_xlfn.RANK.EQ(D589,$D$2:$D$1001,0)+COUNTIF($D$2:D589,D589)-1)</f>
        <v/>
      </c>
      <c r="F589" s="62" t="str">
        <f>IF(B589="","",--(COUNTIF(CN_Brands!$A$2:$A$300,UPPER(B589))&gt;0))</f>
        <v/>
      </c>
      <c r="G589" s="62" t="str">
        <f t="shared" si="39"/>
        <v/>
      </c>
      <c r="H589" s="62" t="str">
        <f>IF(AND('Data Export'!A589=前十整体车型排名!$B$2,'Data Export'!B589=前十整体车型排名!$B$3,'Data Export'!D589&lt;&gt;""),UPPER('Data Export'!C589)&amp;"♦"&amp;'Data Export'!D589,"")</f>
        <v>MITSUBISHI♦XFORCE</v>
      </c>
      <c r="I589" s="63">
        <f>IF(H589="","",IFERROR(INDEX('Data Export'!G589:CZ589,1,MATCH(前十整体车型排名!$B$4,'Data Export'!$G$1:$CZ$1,0)),0))</f>
        <v>0</v>
      </c>
      <c r="J589" s="62" t="str">
        <f>IF(H589="","",IF(OR('Data Export'!F589="三厢轿车",'Data Export'!F589="掀背轿车",'Data Export'!F589="旅行车",'Data Export'!F589="微型车",'Data Export'!F589="硬顶跑车",'Data Export'!F589="敞蓬车",'Data Export'!F589="Targa"),"轿车",IF(OR('Data Export'!F589="小型MPV",'Data Export'!F589="客车"),"MPV",IF('Data Export'!F589="运动型多功能车","SUV","其他"))))</f>
        <v>SUV</v>
      </c>
      <c r="K589" s="62" t="str">
        <f>IF(OR(D589="",NOT(F589=1)),"",1+SUMPRODUCT(($F$2:$F$1001=1)*($D$2:$D$1001&gt;D589))+COUNTIFS($F$2:F589,1,$D$2:D589,D589)-1)</f>
        <v/>
      </c>
      <c r="L589" s="62" t="str">
        <f>IF(OR(D589="",NOT(G589="轿车")),"",1+SUMPRODUCT(($G$2:$G$1001="轿车")*($D$2:$D$1001&gt;D589))+COUNTIFS($G$2:G589,"轿车",$D$2:D589,D589)-1)</f>
        <v/>
      </c>
      <c r="M589" s="62" t="str">
        <f>IF(OR(D589="",NOT(G589="MPV")),"",1+SUMPRODUCT(($G$2:$G$1001="MPV")*($D$2:$D$1001&gt;D589))+COUNTIFS($G$2:G589,"MPV",$D$2:D589,D589)-1)</f>
        <v/>
      </c>
      <c r="N589" s="62" t="str">
        <f>IF(OR(D589="",NOT(G589="SUV")),"",1+SUMPRODUCT(($G$2:$G$1001="SUV")*($D$2:$D$1001&gt;D589))+COUNTIFS($G$2:G589,"SUV",$D$2:D589,D589)-1)</f>
        <v/>
      </c>
      <c r="O589" s="62" t="str">
        <f>IF(OR(D589="",NOT(AND(F589=1,G589="轿车"))),"",1+SUMPRODUCT(($F$2:$F$1001=1)*($G$2:$G$1001="轿车")*($D$2:$D$1001&gt;D589))+COUNTIFS($F$2:F589,1,$G$2:G589,"轿车",$D$2:D589,D589)-1)</f>
        <v/>
      </c>
      <c r="P589" s="62" t="str">
        <f>IF(OR(D589="",NOT(AND(F589=1,G589="MPV"))),"",1+SUMPRODUCT(($F$2:$F$1001=1)*($G$2:$G$1001="MPV")*($D$2:$D$1001&gt;D589))+COUNTIFS($F$2:F589,1,$G$2:G589,"MPV",$D$2:D589,D589)-1)</f>
        <v/>
      </c>
      <c r="Q589" s="62" t="str">
        <f>IF(OR(D589="",NOT(AND(F589=1,G589="SUV"))),"",1+SUMPRODUCT(($F$2:$F$1001=1)*($G$2:$G$1001="SUV")*($D$2:$D$1001&gt;D589))+COUNTIFS($F$2:F589,1,$G$2:G589,"SUV",$D$2:D589,D589)-1)</f>
        <v/>
      </c>
    </row>
    <row r="590" spans="1:17">
      <c r="A590" s="62" t="str">
        <f>IFERROR(INDEX($H$2:$H$3000,MATCH(0,INDEX(COUNTIF($A$1:A589,$H$2:$H$3000)+($H$2:$H$3000=""),0,0),0)),"")</f>
        <v/>
      </c>
      <c r="B590" s="62" t="str">
        <f t="shared" si="36"/>
        <v/>
      </c>
      <c r="C590" s="62" t="str">
        <f t="shared" si="37"/>
        <v/>
      </c>
      <c r="D590" s="63" t="str">
        <f t="shared" si="38"/>
        <v/>
      </c>
      <c r="E590" s="62" t="str">
        <f>IF(D590="","",_xlfn.RANK.EQ(D590,$D$2:$D$1001,0)+COUNTIF($D$2:D590,D590)-1)</f>
        <v/>
      </c>
      <c r="F590" s="62" t="str">
        <f>IF(B590="","",--(COUNTIF(CN_Brands!$A$2:$A$300,UPPER(B590))&gt;0))</f>
        <v/>
      </c>
      <c r="G590" s="62" t="str">
        <f t="shared" si="39"/>
        <v/>
      </c>
      <c r="H590" s="62" t="str">
        <f>IF(AND('Data Export'!A590=前十整体车型排名!$B$2,'Data Export'!B590=前十整体车型排名!$B$3,'Data Export'!D590&lt;&gt;""),UPPER('Data Export'!C590)&amp;"♦"&amp;'Data Export'!D590,"")</f>
        <v>MITSUBISHI♦XPANDER</v>
      </c>
      <c r="I590" s="63">
        <f>IF(H590="","",IFERROR(INDEX('Data Export'!G590:CZ590,1,MATCH(前十整体车型排名!$B$4,'Data Export'!$G$1:$CZ$1,0)),0))</f>
        <v>64</v>
      </c>
      <c r="J590" s="62" t="str">
        <f>IF(H590="","",IF(OR('Data Export'!F590="三厢轿车",'Data Export'!F590="掀背轿车",'Data Export'!F590="旅行车",'Data Export'!F590="微型车",'Data Export'!F590="硬顶跑车",'Data Export'!F590="敞蓬车",'Data Export'!F590="Targa"),"轿车",IF(OR('Data Export'!F590="小型MPV",'Data Export'!F590="客车"),"MPV",IF('Data Export'!F590="运动型多功能车","SUV","其他"))))</f>
        <v>其他</v>
      </c>
      <c r="K590" s="62" t="str">
        <f>IF(OR(D590="",NOT(F590=1)),"",1+SUMPRODUCT(($F$2:$F$1001=1)*($D$2:$D$1001&gt;D590))+COUNTIFS($F$2:F590,1,$D$2:D590,D590)-1)</f>
        <v/>
      </c>
      <c r="L590" s="62" t="str">
        <f>IF(OR(D590="",NOT(G590="轿车")),"",1+SUMPRODUCT(($G$2:$G$1001="轿车")*($D$2:$D$1001&gt;D590))+COUNTIFS($G$2:G590,"轿车",$D$2:D590,D590)-1)</f>
        <v/>
      </c>
      <c r="M590" s="62" t="str">
        <f>IF(OR(D590="",NOT(G590="MPV")),"",1+SUMPRODUCT(($G$2:$G$1001="MPV")*($D$2:$D$1001&gt;D590))+COUNTIFS($G$2:G590,"MPV",$D$2:D590,D590)-1)</f>
        <v/>
      </c>
      <c r="N590" s="62" t="str">
        <f>IF(OR(D590="",NOT(G590="SUV")),"",1+SUMPRODUCT(($G$2:$G$1001="SUV")*($D$2:$D$1001&gt;D590))+COUNTIFS($G$2:G590,"SUV",$D$2:D590,D590)-1)</f>
        <v/>
      </c>
      <c r="O590" s="62" t="str">
        <f>IF(OR(D590="",NOT(AND(F590=1,G590="轿车"))),"",1+SUMPRODUCT(($F$2:$F$1001=1)*($G$2:$G$1001="轿车")*($D$2:$D$1001&gt;D590))+COUNTIFS($F$2:F590,1,$G$2:G590,"轿车",$D$2:D590,D590)-1)</f>
        <v/>
      </c>
      <c r="P590" s="62" t="str">
        <f>IF(OR(D590="",NOT(AND(F590=1,G590="MPV"))),"",1+SUMPRODUCT(($F$2:$F$1001=1)*($G$2:$G$1001="MPV")*($D$2:$D$1001&gt;D590))+COUNTIFS($F$2:F590,1,$G$2:G590,"MPV",$D$2:D590,D590)-1)</f>
        <v/>
      </c>
      <c r="Q590" s="62" t="str">
        <f>IF(OR(D590="",NOT(AND(F590=1,G590="SUV"))),"",1+SUMPRODUCT(($F$2:$F$1001=1)*($G$2:$G$1001="SUV")*($D$2:$D$1001&gt;D590))+COUNTIFS($F$2:F590,1,$G$2:G590,"SUV",$D$2:D590,D590)-1)</f>
        <v/>
      </c>
    </row>
    <row r="591" spans="1:17">
      <c r="A591" s="62" t="str">
        <f>IFERROR(INDEX($H$2:$H$3000,MATCH(0,INDEX(COUNTIF($A$1:A590,$H$2:$H$3000)+($H$2:$H$3000=""),0,0),0)),"")</f>
        <v/>
      </c>
      <c r="B591" s="62" t="str">
        <f t="shared" si="36"/>
        <v/>
      </c>
      <c r="C591" s="62" t="str">
        <f t="shared" si="37"/>
        <v/>
      </c>
      <c r="D591" s="63" t="str">
        <f t="shared" si="38"/>
        <v/>
      </c>
      <c r="E591" s="62" t="str">
        <f>IF(D591="","",_xlfn.RANK.EQ(D591,$D$2:$D$1001,0)+COUNTIF($D$2:D591,D591)-1)</f>
        <v/>
      </c>
      <c r="F591" s="62" t="str">
        <f>IF(B591="","",--(COUNTIF(CN_Brands!$A$2:$A$300,UPPER(B591))&gt;0))</f>
        <v/>
      </c>
      <c r="G591" s="62" t="str">
        <f t="shared" si="39"/>
        <v/>
      </c>
      <c r="H591" s="62" t="str">
        <f>IF(AND('Data Export'!A591=前十整体车型排名!$B$2,'Data Export'!B591=前十整体车型排名!$B$3,'Data Export'!D591&lt;&gt;""),UPPER('Data Export'!C591)&amp;"♦"&amp;'Data Export'!D591,"")</f>
        <v>MITSUBISHI♦XPANDER</v>
      </c>
      <c r="I591" s="63">
        <f>IF(H591="","",IFERROR(INDEX('Data Export'!G591:CZ591,1,MATCH(前十整体车型排名!$B$4,'Data Export'!$G$1:$CZ$1,0)),0))</f>
        <v>308</v>
      </c>
      <c r="J591" s="62" t="str">
        <f>IF(H591="","",IF(OR('Data Export'!F591="三厢轿车",'Data Export'!F591="掀背轿车",'Data Export'!F591="旅行车",'Data Export'!F591="微型车",'Data Export'!F591="硬顶跑车",'Data Export'!F591="敞蓬车",'Data Export'!F591="Targa"),"轿车",IF(OR('Data Export'!F591="小型MPV",'Data Export'!F591="客车"),"MPV",IF('Data Export'!F591="运动型多功能车","SUV","其他"))))</f>
        <v>其他</v>
      </c>
      <c r="K591" s="62" t="str">
        <f>IF(OR(D591="",NOT(F591=1)),"",1+SUMPRODUCT(($F$2:$F$1001=1)*($D$2:$D$1001&gt;D591))+COUNTIFS($F$2:F591,1,$D$2:D591,D591)-1)</f>
        <v/>
      </c>
      <c r="L591" s="62" t="str">
        <f>IF(OR(D591="",NOT(G591="轿车")),"",1+SUMPRODUCT(($G$2:$G$1001="轿车")*($D$2:$D$1001&gt;D591))+COUNTIFS($G$2:G591,"轿车",$D$2:D591,D591)-1)</f>
        <v/>
      </c>
      <c r="M591" s="62" t="str">
        <f>IF(OR(D591="",NOT(G591="MPV")),"",1+SUMPRODUCT(($G$2:$G$1001="MPV")*($D$2:$D$1001&gt;D591))+COUNTIFS($G$2:G591,"MPV",$D$2:D591,D591)-1)</f>
        <v/>
      </c>
      <c r="N591" s="62" t="str">
        <f>IF(OR(D591="",NOT(G591="SUV")),"",1+SUMPRODUCT(($G$2:$G$1001="SUV")*($D$2:$D$1001&gt;D591))+COUNTIFS($G$2:G591,"SUV",$D$2:D591,D591)-1)</f>
        <v/>
      </c>
      <c r="O591" s="62" t="str">
        <f>IF(OR(D591="",NOT(AND(F591=1,G591="轿车"))),"",1+SUMPRODUCT(($F$2:$F$1001=1)*($G$2:$G$1001="轿车")*($D$2:$D$1001&gt;D591))+COUNTIFS($F$2:F591,1,$G$2:G591,"轿车",$D$2:D591,D591)-1)</f>
        <v/>
      </c>
      <c r="P591" s="62" t="str">
        <f>IF(OR(D591="",NOT(AND(F591=1,G591="MPV"))),"",1+SUMPRODUCT(($F$2:$F$1001=1)*($G$2:$G$1001="MPV")*($D$2:$D$1001&gt;D591))+COUNTIFS($F$2:F591,1,$G$2:G591,"MPV",$D$2:D591,D591)-1)</f>
        <v/>
      </c>
      <c r="Q591" s="62" t="str">
        <f>IF(OR(D591="",NOT(AND(F591=1,G591="SUV"))),"",1+SUMPRODUCT(($F$2:$F$1001=1)*($G$2:$G$1001="SUV")*($D$2:$D$1001&gt;D591))+COUNTIFS($F$2:F591,1,$G$2:G591,"SUV",$D$2:D591,D591)-1)</f>
        <v/>
      </c>
    </row>
    <row r="592" spans="1:17">
      <c r="A592" s="62" t="str">
        <f>IFERROR(INDEX($H$2:$H$3000,MATCH(0,INDEX(COUNTIF($A$1:A591,$H$2:$H$3000)+($H$2:$H$3000=""),0,0),0)),"")</f>
        <v/>
      </c>
      <c r="B592" s="62" t="str">
        <f t="shared" si="36"/>
        <v/>
      </c>
      <c r="C592" s="62" t="str">
        <f t="shared" si="37"/>
        <v/>
      </c>
      <c r="D592" s="63" t="str">
        <f t="shared" si="38"/>
        <v/>
      </c>
      <c r="E592" s="62" t="str">
        <f>IF(D592="","",_xlfn.RANK.EQ(D592,$D$2:$D$1001,0)+COUNTIF($D$2:D592,D592)-1)</f>
        <v/>
      </c>
      <c r="F592" s="62" t="str">
        <f>IF(B592="","",--(COUNTIF(CN_Brands!$A$2:$A$300,UPPER(B592))&gt;0))</f>
        <v/>
      </c>
      <c r="G592" s="62" t="str">
        <f t="shared" si="39"/>
        <v/>
      </c>
      <c r="H592" s="62" t="str">
        <f>IF(AND('Data Export'!A592=前十整体车型排名!$B$2,'Data Export'!B592=前十整体车型排名!$B$3,'Data Export'!D592&lt;&gt;""),UPPER('Data Export'!C592)&amp;"♦"&amp;'Data Export'!D592,"")</f>
        <v>MITSUBISHI♦XPANDER</v>
      </c>
      <c r="I592" s="63">
        <f>IF(H592="","",IFERROR(INDEX('Data Export'!G592:CZ592,1,MATCH(前十整体车型排名!$B$4,'Data Export'!$G$1:$CZ$1,0)),0))</f>
        <v>0</v>
      </c>
      <c r="J592" s="62" t="str">
        <f>IF(H592="","",IF(OR('Data Export'!F592="三厢轿车",'Data Export'!F592="掀背轿车",'Data Export'!F592="旅行车",'Data Export'!F592="微型车",'Data Export'!F592="硬顶跑车",'Data Export'!F592="敞蓬车",'Data Export'!F592="Targa"),"轿车",IF(OR('Data Export'!F592="小型MPV",'Data Export'!F592="客车"),"MPV",IF('Data Export'!F592="运动型多功能车","SUV","其他"))))</f>
        <v>其他</v>
      </c>
      <c r="K592" s="62" t="str">
        <f>IF(OR(D592="",NOT(F592=1)),"",1+SUMPRODUCT(($F$2:$F$1001=1)*($D$2:$D$1001&gt;D592))+COUNTIFS($F$2:F592,1,$D$2:D592,D592)-1)</f>
        <v/>
      </c>
      <c r="L592" s="62" t="str">
        <f>IF(OR(D592="",NOT(G592="轿车")),"",1+SUMPRODUCT(($G$2:$G$1001="轿车")*($D$2:$D$1001&gt;D592))+COUNTIFS($G$2:G592,"轿车",$D$2:D592,D592)-1)</f>
        <v/>
      </c>
      <c r="M592" s="62" t="str">
        <f>IF(OR(D592="",NOT(G592="MPV")),"",1+SUMPRODUCT(($G$2:$G$1001="MPV")*($D$2:$D$1001&gt;D592))+COUNTIFS($G$2:G592,"MPV",$D$2:D592,D592)-1)</f>
        <v/>
      </c>
      <c r="N592" s="62" t="str">
        <f>IF(OR(D592="",NOT(G592="SUV")),"",1+SUMPRODUCT(($G$2:$G$1001="SUV")*($D$2:$D$1001&gt;D592))+COUNTIFS($G$2:G592,"SUV",$D$2:D592,D592)-1)</f>
        <v/>
      </c>
      <c r="O592" s="62" t="str">
        <f>IF(OR(D592="",NOT(AND(F592=1,G592="轿车"))),"",1+SUMPRODUCT(($F$2:$F$1001=1)*($G$2:$G$1001="轿车")*($D$2:$D$1001&gt;D592))+COUNTIFS($F$2:F592,1,$G$2:G592,"轿车",$D$2:D592,D592)-1)</f>
        <v/>
      </c>
      <c r="P592" s="62" t="str">
        <f>IF(OR(D592="",NOT(AND(F592=1,G592="MPV"))),"",1+SUMPRODUCT(($F$2:$F$1001=1)*($G$2:$G$1001="MPV")*($D$2:$D$1001&gt;D592))+COUNTIFS($F$2:F592,1,$G$2:G592,"MPV",$D$2:D592,D592)-1)</f>
        <v/>
      </c>
      <c r="Q592" s="62" t="str">
        <f>IF(OR(D592="",NOT(AND(F592=1,G592="SUV"))),"",1+SUMPRODUCT(($F$2:$F$1001=1)*($G$2:$G$1001="SUV")*($D$2:$D$1001&gt;D592))+COUNTIFS($F$2:F592,1,$G$2:G592,"SUV",$D$2:D592,D592)-1)</f>
        <v/>
      </c>
    </row>
    <row r="593" spans="1:17">
      <c r="A593" s="62" t="str">
        <f>IFERROR(INDEX($H$2:$H$3000,MATCH(0,INDEX(COUNTIF($A$1:A592,$H$2:$H$3000)+($H$2:$H$3000=""),0,0),0)),"")</f>
        <v/>
      </c>
      <c r="B593" s="62" t="str">
        <f t="shared" si="36"/>
        <v/>
      </c>
      <c r="C593" s="62" t="str">
        <f t="shared" si="37"/>
        <v/>
      </c>
      <c r="D593" s="63" t="str">
        <f t="shared" si="38"/>
        <v/>
      </c>
      <c r="E593" s="62" t="str">
        <f>IF(D593="","",_xlfn.RANK.EQ(D593,$D$2:$D$1001,0)+COUNTIF($D$2:D593,D593)-1)</f>
        <v/>
      </c>
      <c r="F593" s="62" t="str">
        <f>IF(B593="","",--(COUNTIF(CN_Brands!$A$2:$A$300,UPPER(B593))&gt;0))</f>
        <v/>
      </c>
      <c r="G593" s="62" t="str">
        <f t="shared" si="39"/>
        <v/>
      </c>
      <c r="H593" s="62" t="str">
        <f>IF(AND('Data Export'!A593=前十整体车型排名!$B$2,'Data Export'!B593=前十整体车型排名!$B$3,'Data Export'!D593&lt;&gt;""),UPPER('Data Export'!C593)&amp;"♦"&amp;'Data Export'!D593,"")</f>
        <v>MORGAN♦OTHER</v>
      </c>
      <c r="I593" s="63">
        <f>IF(H593="","",IFERROR(INDEX('Data Export'!G593:CZ593,1,MATCH(前十整体车型排名!$B$4,'Data Export'!$G$1:$CZ$1,0)),0))</f>
        <v>0</v>
      </c>
      <c r="J593" s="62" t="str">
        <f>IF(H593="","",IF(OR('Data Export'!F593="三厢轿车",'Data Export'!F593="掀背轿车",'Data Export'!F593="旅行车",'Data Export'!F593="微型车",'Data Export'!F593="硬顶跑车",'Data Export'!F593="敞蓬车",'Data Export'!F593="Targa"),"轿车",IF(OR('Data Export'!F593="小型MPV",'Data Export'!F593="客车"),"MPV",IF('Data Export'!F593="运动型多功能车","SUV","其他"))))</f>
        <v>其他</v>
      </c>
      <c r="K593" s="62" t="str">
        <f>IF(OR(D593="",NOT(F593=1)),"",1+SUMPRODUCT(($F$2:$F$1001=1)*($D$2:$D$1001&gt;D593))+COUNTIFS($F$2:F593,1,$D$2:D593,D593)-1)</f>
        <v/>
      </c>
      <c r="L593" s="62" t="str">
        <f>IF(OR(D593="",NOT(G593="轿车")),"",1+SUMPRODUCT(($G$2:$G$1001="轿车")*($D$2:$D$1001&gt;D593))+COUNTIFS($G$2:G593,"轿车",$D$2:D593,D593)-1)</f>
        <v/>
      </c>
      <c r="M593" s="62" t="str">
        <f>IF(OR(D593="",NOT(G593="MPV")),"",1+SUMPRODUCT(($G$2:$G$1001="MPV")*($D$2:$D$1001&gt;D593))+COUNTIFS($G$2:G593,"MPV",$D$2:D593,D593)-1)</f>
        <v/>
      </c>
      <c r="N593" s="62" t="str">
        <f>IF(OR(D593="",NOT(G593="SUV")),"",1+SUMPRODUCT(($G$2:$G$1001="SUV")*($D$2:$D$1001&gt;D593))+COUNTIFS($G$2:G593,"SUV",$D$2:D593,D593)-1)</f>
        <v/>
      </c>
      <c r="O593" s="62" t="str">
        <f>IF(OR(D593="",NOT(AND(F593=1,G593="轿车"))),"",1+SUMPRODUCT(($F$2:$F$1001=1)*($G$2:$G$1001="轿车")*($D$2:$D$1001&gt;D593))+COUNTIFS($F$2:F593,1,$G$2:G593,"轿车",$D$2:D593,D593)-1)</f>
        <v/>
      </c>
      <c r="P593" s="62" t="str">
        <f>IF(OR(D593="",NOT(AND(F593=1,G593="MPV"))),"",1+SUMPRODUCT(($F$2:$F$1001=1)*($G$2:$G$1001="MPV")*($D$2:$D$1001&gt;D593))+COUNTIFS($F$2:F593,1,$G$2:G593,"MPV",$D$2:D593,D593)-1)</f>
        <v/>
      </c>
      <c r="Q593" s="62" t="str">
        <f>IF(OR(D593="",NOT(AND(F593=1,G593="SUV"))),"",1+SUMPRODUCT(($F$2:$F$1001=1)*($G$2:$G$1001="SUV")*($D$2:$D$1001&gt;D593))+COUNTIFS($F$2:F593,1,$G$2:G593,"SUV",$D$2:D593,D593)-1)</f>
        <v/>
      </c>
    </row>
    <row r="594" spans="1:17">
      <c r="A594" s="62" t="str">
        <f>IFERROR(INDEX($H$2:$H$3000,MATCH(0,INDEX(COUNTIF($A$1:A593,$H$2:$H$3000)+($H$2:$H$3000=""),0,0),0)),"")</f>
        <v/>
      </c>
      <c r="B594" s="62" t="str">
        <f t="shared" si="36"/>
        <v/>
      </c>
      <c r="C594" s="62" t="str">
        <f t="shared" si="37"/>
        <v/>
      </c>
      <c r="D594" s="63" t="str">
        <f t="shared" si="38"/>
        <v/>
      </c>
      <c r="E594" s="62" t="str">
        <f>IF(D594="","",_xlfn.RANK.EQ(D594,$D$2:$D$1001,0)+COUNTIF($D$2:D594,D594)-1)</f>
        <v/>
      </c>
      <c r="F594" s="62" t="str">
        <f>IF(B594="","",--(COUNTIF(CN_Brands!$A$2:$A$300,UPPER(B594))&gt;0))</f>
        <v/>
      </c>
      <c r="G594" s="62" t="str">
        <f t="shared" si="39"/>
        <v/>
      </c>
      <c r="H594" s="62" t="str">
        <f>IF(AND('Data Export'!A594=前十整体车型排名!$B$2,'Data Export'!B594=前十整体车型排名!$B$3,'Data Export'!D594&lt;&gt;""),UPPER('Data Export'!C594)&amp;"♦"&amp;'Data Export'!D594,"")</f>
        <v>NETA♦V-II</v>
      </c>
      <c r="I594" s="63">
        <f>IF(H594="","",IFERROR(INDEX('Data Export'!G594:CZ594,1,MATCH(前十整体车型排名!$B$4,'Data Export'!$G$1:$CZ$1,0)),0))</f>
        <v>10</v>
      </c>
      <c r="J594" s="62" t="str">
        <f>IF(H594="","",IF(OR('Data Export'!F594="三厢轿车",'Data Export'!F594="掀背轿车",'Data Export'!F594="旅行车",'Data Export'!F594="微型车",'Data Export'!F594="硬顶跑车",'Data Export'!F594="敞蓬车",'Data Export'!F594="Targa"),"轿车",IF(OR('Data Export'!F594="小型MPV",'Data Export'!F594="客车"),"MPV",IF('Data Export'!F594="运动型多功能车","SUV","其他"))))</f>
        <v>SUV</v>
      </c>
      <c r="K594" s="62" t="str">
        <f>IF(OR(D594="",NOT(F594=1)),"",1+SUMPRODUCT(($F$2:$F$1001=1)*($D$2:$D$1001&gt;D594))+COUNTIFS($F$2:F594,1,$D$2:D594,D594)-1)</f>
        <v/>
      </c>
      <c r="L594" s="62" t="str">
        <f>IF(OR(D594="",NOT(G594="轿车")),"",1+SUMPRODUCT(($G$2:$G$1001="轿车")*($D$2:$D$1001&gt;D594))+COUNTIFS($G$2:G594,"轿车",$D$2:D594,D594)-1)</f>
        <v/>
      </c>
      <c r="M594" s="62" t="str">
        <f>IF(OR(D594="",NOT(G594="MPV")),"",1+SUMPRODUCT(($G$2:$G$1001="MPV")*($D$2:$D$1001&gt;D594))+COUNTIFS($G$2:G594,"MPV",$D$2:D594,D594)-1)</f>
        <v/>
      </c>
      <c r="N594" s="62" t="str">
        <f>IF(OR(D594="",NOT(G594="SUV")),"",1+SUMPRODUCT(($G$2:$G$1001="SUV")*($D$2:$D$1001&gt;D594))+COUNTIFS($G$2:G594,"SUV",$D$2:D594,D594)-1)</f>
        <v/>
      </c>
      <c r="O594" s="62" t="str">
        <f>IF(OR(D594="",NOT(AND(F594=1,G594="轿车"))),"",1+SUMPRODUCT(($F$2:$F$1001=1)*($G$2:$G$1001="轿车")*($D$2:$D$1001&gt;D594))+COUNTIFS($F$2:F594,1,$G$2:G594,"轿车",$D$2:D594,D594)-1)</f>
        <v/>
      </c>
      <c r="P594" s="62" t="str">
        <f>IF(OR(D594="",NOT(AND(F594=1,G594="MPV"))),"",1+SUMPRODUCT(($F$2:$F$1001=1)*($G$2:$G$1001="MPV")*($D$2:$D$1001&gt;D594))+COUNTIFS($F$2:F594,1,$G$2:G594,"MPV",$D$2:D594,D594)-1)</f>
        <v/>
      </c>
      <c r="Q594" s="62" t="str">
        <f>IF(OR(D594="",NOT(AND(F594=1,G594="SUV"))),"",1+SUMPRODUCT(($F$2:$F$1001=1)*($G$2:$G$1001="SUV")*($D$2:$D$1001&gt;D594))+COUNTIFS($F$2:F594,1,$G$2:G594,"SUV",$D$2:D594,D594)-1)</f>
        <v/>
      </c>
    </row>
    <row r="595" spans="1:17">
      <c r="A595" s="62" t="str">
        <f>IFERROR(INDEX($H$2:$H$3000,MATCH(0,INDEX(COUNTIF($A$1:A594,$H$2:$H$3000)+($H$2:$H$3000=""),0,0),0)),"")</f>
        <v/>
      </c>
      <c r="B595" s="62" t="str">
        <f t="shared" si="36"/>
        <v/>
      </c>
      <c r="C595" s="62" t="str">
        <f t="shared" si="37"/>
        <v/>
      </c>
      <c r="D595" s="63" t="str">
        <f t="shared" si="38"/>
        <v/>
      </c>
      <c r="E595" s="62" t="str">
        <f>IF(D595="","",_xlfn.RANK.EQ(D595,$D$2:$D$1001,0)+COUNTIF($D$2:D595,D595)-1)</f>
        <v/>
      </c>
      <c r="F595" s="62" t="str">
        <f>IF(B595="","",--(COUNTIF(CN_Brands!$A$2:$A$300,UPPER(B595))&gt;0))</f>
        <v/>
      </c>
      <c r="G595" s="62" t="str">
        <f t="shared" si="39"/>
        <v/>
      </c>
      <c r="H595" s="62" t="str">
        <f>IF(AND('Data Export'!A595=前十整体车型排名!$B$2,'Data Export'!B595=前十整体车型排名!$B$3,'Data Export'!D595&lt;&gt;""),UPPER('Data Export'!C595)&amp;"♦"&amp;'Data Export'!D595,"")</f>
        <v>NETA♦X</v>
      </c>
      <c r="I595" s="63">
        <f>IF(H595="","",IFERROR(INDEX('Data Export'!G595:CZ595,1,MATCH(前十整体车型排名!$B$4,'Data Export'!$G$1:$CZ$1,0)),0))</f>
        <v>1</v>
      </c>
      <c r="J595" s="62" t="str">
        <f>IF(H595="","",IF(OR('Data Export'!F595="三厢轿车",'Data Export'!F595="掀背轿车",'Data Export'!F595="旅行车",'Data Export'!F595="微型车",'Data Export'!F595="硬顶跑车",'Data Export'!F595="敞蓬车",'Data Export'!F595="Targa"),"轿车",IF(OR('Data Export'!F595="小型MPV",'Data Export'!F595="客车"),"MPV",IF('Data Export'!F595="运动型多功能车","SUV","其他"))))</f>
        <v>SUV</v>
      </c>
      <c r="K595" s="62" t="str">
        <f>IF(OR(D595="",NOT(F595=1)),"",1+SUMPRODUCT(($F$2:$F$1001=1)*($D$2:$D$1001&gt;D595))+COUNTIFS($F$2:F595,1,$D$2:D595,D595)-1)</f>
        <v/>
      </c>
      <c r="L595" s="62" t="str">
        <f>IF(OR(D595="",NOT(G595="轿车")),"",1+SUMPRODUCT(($G$2:$G$1001="轿车")*($D$2:$D$1001&gt;D595))+COUNTIFS($G$2:G595,"轿车",$D$2:D595,D595)-1)</f>
        <v/>
      </c>
      <c r="M595" s="62" t="str">
        <f>IF(OR(D595="",NOT(G595="MPV")),"",1+SUMPRODUCT(($G$2:$G$1001="MPV")*($D$2:$D$1001&gt;D595))+COUNTIFS($G$2:G595,"MPV",$D$2:D595,D595)-1)</f>
        <v/>
      </c>
      <c r="N595" s="62" t="str">
        <f>IF(OR(D595="",NOT(G595="SUV")),"",1+SUMPRODUCT(($G$2:$G$1001="SUV")*($D$2:$D$1001&gt;D595))+COUNTIFS($G$2:G595,"SUV",$D$2:D595,D595)-1)</f>
        <v/>
      </c>
      <c r="O595" s="62" t="str">
        <f>IF(OR(D595="",NOT(AND(F595=1,G595="轿车"))),"",1+SUMPRODUCT(($F$2:$F$1001=1)*($G$2:$G$1001="轿车")*($D$2:$D$1001&gt;D595))+COUNTIFS($F$2:F595,1,$G$2:G595,"轿车",$D$2:D595,D595)-1)</f>
        <v/>
      </c>
      <c r="P595" s="62" t="str">
        <f>IF(OR(D595="",NOT(AND(F595=1,G595="MPV"))),"",1+SUMPRODUCT(($F$2:$F$1001=1)*($G$2:$G$1001="MPV")*($D$2:$D$1001&gt;D595))+COUNTIFS($F$2:F595,1,$G$2:G595,"MPV",$D$2:D595,D595)-1)</f>
        <v/>
      </c>
      <c r="Q595" s="62" t="str">
        <f>IF(OR(D595="",NOT(AND(F595=1,G595="SUV"))),"",1+SUMPRODUCT(($F$2:$F$1001=1)*($G$2:$G$1001="SUV")*($D$2:$D$1001&gt;D595))+COUNTIFS($F$2:F595,1,$G$2:G595,"SUV",$D$2:D595,D595)-1)</f>
        <v/>
      </c>
    </row>
    <row r="596" spans="1:17">
      <c r="A596" s="62" t="str">
        <f>IFERROR(INDEX($H$2:$H$3000,MATCH(0,INDEX(COUNTIF($A$1:A595,$H$2:$H$3000)+($H$2:$H$3000=""),0,0),0)),"")</f>
        <v/>
      </c>
      <c r="B596" s="62" t="str">
        <f t="shared" si="36"/>
        <v/>
      </c>
      <c r="C596" s="62" t="str">
        <f t="shared" si="37"/>
        <v/>
      </c>
      <c r="D596" s="63" t="str">
        <f t="shared" si="38"/>
        <v/>
      </c>
      <c r="E596" s="62" t="str">
        <f>IF(D596="","",_xlfn.RANK.EQ(D596,$D$2:$D$1001,0)+COUNTIF($D$2:D596,D596)-1)</f>
        <v/>
      </c>
      <c r="F596" s="62" t="str">
        <f>IF(B596="","",--(COUNTIF(CN_Brands!$A$2:$A$300,UPPER(B596))&gt;0))</f>
        <v/>
      </c>
      <c r="G596" s="62" t="str">
        <f t="shared" si="39"/>
        <v/>
      </c>
      <c r="H596" s="62" t="str">
        <f>IF(AND('Data Export'!A596=前十整体车型排名!$B$2,'Data Export'!B596=前十整体车型排名!$B$3,'Data Export'!D596&lt;&gt;""),UPPER('Data Export'!C596)&amp;"♦"&amp;'Data Export'!D596,"")</f>
        <v>NISSAN♦ALMERA</v>
      </c>
      <c r="I596" s="63">
        <f>IF(H596="","",IFERROR(INDEX('Data Export'!G596:CZ596,1,MATCH(前十整体车型排名!$B$4,'Data Export'!$G$1:$CZ$1,0)),0))</f>
        <v>149</v>
      </c>
      <c r="J596" s="62" t="str">
        <f>IF(H596="","",IF(OR('Data Export'!F596="三厢轿车",'Data Export'!F596="掀背轿车",'Data Export'!F596="旅行车",'Data Export'!F596="微型车",'Data Export'!F596="硬顶跑车",'Data Export'!F596="敞蓬车",'Data Export'!F596="Targa"),"轿车",IF(OR('Data Export'!F596="小型MPV",'Data Export'!F596="客车"),"MPV",IF('Data Export'!F596="运动型多功能车","SUV","其他"))))</f>
        <v>轿车</v>
      </c>
      <c r="K596" s="62" t="str">
        <f>IF(OR(D596="",NOT(F596=1)),"",1+SUMPRODUCT(($F$2:$F$1001=1)*($D$2:$D$1001&gt;D596))+COUNTIFS($F$2:F596,1,$D$2:D596,D596)-1)</f>
        <v/>
      </c>
      <c r="L596" s="62" t="str">
        <f>IF(OR(D596="",NOT(G596="轿车")),"",1+SUMPRODUCT(($G$2:$G$1001="轿车")*($D$2:$D$1001&gt;D596))+COUNTIFS($G$2:G596,"轿车",$D$2:D596,D596)-1)</f>
        <v/>
      </c>
      <c r="M596" s="62" t="str">
        <f>IF(OR(D596="",NOT(G596="MPV")),"",1+SUMPRODUCT(($G$2:$G$1001="MPV")*($D$2:$D$1001&gt;D596))+COUNTIFS($G$2:G596,"MPV",$D$2:D596,D596)-1)</f>
        <v/>
      </c>
      <c r="N596" s="62" t="str">
        <f>IF(OR(D596="",NOT(G596="SUV")),"",1+SUMPRODUCT(($G$2:$G$1001="SUV")*($D$2:$D$1001&gt;D596))+COUNTIFS($G$2:G596,"SUV",$D$2:D596,D596)-1)</f>
        <v/>
      </c>
      <c r="O596" s="62" t="str">
        <f>IF(OR(D596="",NOT(AND(F596=1,G596="轿车"))),"",1+SUMPRODUCT(($F$2:$F$1001=1)*($G$2:$G$1001="轿车")*($D$2:$D$1001&gt;D596))+COUNTIFS($F$2:F596,1,$G$2:G596,"轿车",$D$2:D596,D596)-1)</f>
        <v/>
      </c>
      <c r="P596" s="62" t="str">
        <f>IF(OR(D596="",NOT(AND(F596=1,G596="MPV"))),"",1+SUMPRODUCT(($F$2:$F$1001=1)*($G$2:$G$1001="MPV")*($D$2:$D$1001&gt;D596))+COUNTIFS($F$2:F596,1,$G$2:G596,"MPV",$D$2:D596,D596)-1)</f>
        <v/>
      </c>
      <c r="Q596" s="62" t="str">
        <f>IF(OR(D596="",NOT(AND(F596=1,G596="SUV"))),"",1+SUMPRODUCT(($F$2:$F$1001=1)*($G$2:$G$1001="SUV")*($D$2:$D$1001&gt;D596))+COUNTIFS($F$2:F596,1,$G$2:G596,"SUV",$D$2:D596,D596)-1)</f>
        <v/>
      </c>
    </row>
    <row r="597" spans="1:17">
      <c r="A597" s="62" t="str">
        <f>IFERROR(INDEX($H$2:$H$3000,MATCH(0,INDEX(COUNTIF($A$1:A596,$H$2:$H$3000)+($H$2:$H$3000=""),0,0),0)),"")</f>
        <v/>
      </c>
      <c r="B597" s="62" t="str">
        <f t="shared" si="36"/>
        <v/>
      </c>
      <c r="C597" s="62" t="str">
        <f t="shared" si="37"/>
        <v/>
      </c>
      <c r="D597" s="63" t="str">
        <f t="shared" si="38"/>
        <v/>
      </c>
      <c r="E597" s="62" t="str">
        <f>IF(D597="","",_xlfn.RANK.EQ(D597,$D$2:$D$1001,0)+COUNTIF($D$2:D597,D597)-1)</f>
        <v/>
      </c>
      <c r="F597" s="62" t="str">
        <f>IF(B597="","",--(COUNTIF(CN_Brands!$A$2:$A$300,UPPER(B597))&gt;0))</f>
        <v/>
      </c>
      <c r="G597" s="62" t="str">
        <f t="shared" si="39"/>
        <v/>
      </c>
      <c r="H597" s="62" t="str">
        <f>IF(AND('Data Export'!A597=前十整体车型排名!$B$2,'Data Export'!B597=前十整体车型排名!$B$3,'Data Export'!D597&lt;&gt;""),UPPER('Data Export'!C597)&amp;"♦"&amp;'Data Export'!D597,"")</f>
        <v>NISSAN♦ELGRAND</v>
      </c>
      <c r="I597" s="63">
        <f>IF(H597="","",IFERROR(INDEX('Data Export'!G597:CZ597,1,MATCH(前十整体车型排名!$B$4,'Data Export'!$G$1:$CZ$1,0)),0))</f>
        <v>0</v>
      </c>
      <c r="J597" s="62" t="str">
        <f>IF(H597="","",IF(OR('Data Export'!F597="三厢轿车",'Data Export'!F597="掀背轿车",'Data Export'!F597="旅行车",'Data Export'!F597="微型车",'Data Export'!F597="硬顶跑车",'Data Export'!F597="敞蓬车",'Data Export'!F597="Targa"),"轿车",IF(OR('Data Export'!F597="小型MPV",'Data Export'!F597="客车"),"MPV",IF('Data Export'!F597="运动型多功能车","SUV","其他"))))</f>
        <v>其他</v>
      </c>
      <c r="K597" s="62" t="str">
        <f>IF(OR(D597="",NOT(F597=1)),"",1+SUMPRODUCT(($F$2:$F$1001=1)*($D$2:$D$1001&gt;D597))+COUNTIFS($F$2:F597,1,$D$2:D597,D597)-1)</f>
        <v/>
      </c>
      <c r="L597" s="62" t="str">
        <f>IF(OR(D597="",NOT(G597="轿车")),"",1+SUMPRODUCT(($G$2:$G$1001="轿车")*($D$2:$D$1001&gt;D597))+COUNTIFS($G$2:G597,"轿车",$D$2:D597,D597)-1)</f>
        <v/>
      </c>
      <c r="M597" s="62" t="str">
        <f>IF(OR(D597="",NOT(G597="MPV")),"",1+SUMPRODUCT(($G$2:$G$1001="MPV")*($D$2:$D$1001&gt;D597))+COUNTIFS($G$2:G597,"MPV",$D$2:D597,D597)-1)</f>
        <v/>
      </c>
      <c r="N597" s="62" t="str">
        <f>IF(OR(D597="",NOT(G597="SUV")),"",1+SUMPRODUCT(($G$2:$G$1001="SUV")*($D$2:$D$1001&gt;D597))+COUNTIFS($G$2:G597,"SUV",$D$2:D597,D597)-1)</f>
        <v/>
      </c>
      <c r="O597" s="62" t="str">
        <f>IF(OR(D597="",NOT(AND(F597=1,G597="轿车"))),"",1+SUMPRODUCT(($F$2:$F$1001=1)*($G$2:$G$1001="轿车")*($D$2:$D$1001&gt;D597))+COUNTIFS($F$2:F597,1,$G$2:G597,"轿车",$D$2:D597,D597)-1)</f>
        <v/>
      </c>
      <c r="P597" s="62" t="str">
        <f>IF(OR(D597="",NOT(AND(F597=1,G597="MPV"))),"",1+SUMPRODUCT(($F$2:$F$1001=1)*($G$2:$G$1001="MPV")*($D$2:$D$1001&gt;D597))+COUNTIFS($F$2:F597,1,$G$2:G597,"MPV",$D$2:D597,D597)-1)</f>
        <v/>
      </c>
      <c r="Q597" s="62" t="str">
        <f>IF(OR(D597="",NOT(AND(F597=1,G597="SUV"))),"",1+SUMPRODUCT(($F$2:$F$1001=1)*($G$2:$G$1001="SUV")*($D$2:$D$1001&gt;D597))+COUNTIFS($F$2:F597,1,$G$2:G597,"SUV",$D$2:D597,D597)-1)</f>
        <v/>
      </c>
    </row>
    <row r="598" spans="1:17">
      <c r="A598" s="62" t="str">
        <f>IFERROR(INDEX($H$2:$H$3000,MATCH(0,INDEX(COUNTIF($A$1:A597,$H$2:$H$3000)+($H$2:$H$3000=""),0,0),0)),"")</f>
        <v/>
      </c>
      <c r="B598" s="62" t="str">
        <f t="shared" si="36"/>
        <v/>
      </c>
      <c r="C598" s="62" t="str">
        <f t="shared" si="37"/>
        <v/>
      </c>
      <c r="D598" s="63" t="str">
        <f t="shared" si="38"/>
        <v/>
      </c>
      <c r="E598" s="62" t="str">
        <f>IF(D598="","",_xlfn.RANK.EQ(D598,$D$2:$D$1001,0)+COUNTIF($D$2:D598,D598)-1)</f>
        <v/>
      </c>
      <c r="F598" s="62" t="str">
        <f>IF(B598="","",--(COUNTIF(CN_Brands!$A$2:$A$300,UPPER(B598))&gt;0))</f>
        <v/>
      </c>
      <c r="G598" s="62" t="str">
        <f t="shared" si="39"/>
        <v/>
      </c>
      <c r="H598" s="62" t="str">
        <f>IF(AND('Data Export'!A598=前十整体车型排名!$B$2,'Data Export'!B598=前十整体车型排名!$B$3,'Data Export'!D598&lt;&gt;""),UPPER('Data Export'!C598)&amp;"♦"&amp;'Data Export'!D598,"")</f>
        <v>NISSAN♦FAIRLADY Z</v>
      </c>
      <c r="I598" s="63">
        <f>IF(H598="","",IFERROR(INDEX('Data Export'!G598:CZ598,1,MATCH(前十整体车型排名!$B$4,'Data Export'!$G$1:$CZ$1,0)),0))</f>
        <v>1</v>
      </c>
      <c r="J598" s="62" t="str">
        <f>IF(H598="","",IF(OR('Data Export'!F598="三厢轿车",'Data Export'!F598="掀背轿车",'Data Export'!F598="旅行车",'Data Export'!F598="微型车",'Data Export'!F598="硬顶跑车",'Data Export'!F598="敞蓬车",'Data Export'!F598="Targa"),"轿车",IF(OR('Data Export'!F598="小型MPV",'Data Export'!F598="客车"),"MPV",IF('Data Export'!F598="运动型多功能车","SUV","其他"))))</f>
        <v>其他</v>
      </c>
      <c r="K598" s="62" t="str">
        <f>IF(OR(D598="",NOT(F598=1)),"",1+SUMPRODUCT(($F$2:$F$1001=1)*($D$2:$D$1001&gt;D598))+COUNTIFS($F$2:F598,1,$D$2:D598,D598)-1)</f>
        <v/>
      </c>
      <c r="L598" s="62" t="str">
        <f>IF(OR(D598="",NOT(G598="轿车")),"",1+SUMPRODUCT(($G$2:$G$1001="轿车")*($D$2:$D$1001&gt;D598))+COUNTIFS($G$2:G598,"轿车",$D$2:D598,D598)-1)</f>
        <v/>
      </c>
      <c r="M598" s="62" t="str">
        <f>IF(OR(D598="",NOT(G598="MPV")),"",1+SUMPRODUCT(($G$2:$G$1001="MPV")*($D$2:$D$1001&gt;D598))+COUNTIFS($G$2:G598,"MPV",$D$2:D598,D598)-1)</f>
        <v/>
      </c>
      <c r="N598" s="62" t="str">
        <f>IF(OR(D598="",NOT(G598="SUV")),"",1+SUMPRODUCT(($G$2:$G$1001="SUV")*($D$2:$D$1001&gt;D598))+COUNTIFS($G$2:G598,"SUV",$D$2:D598,D598)-1)</f>
        <v/>
      </c>
      <c r="O598" s="62" t="str">
        <f>IF(OR(D598="",NOT(AND(F598=1,G598="轿车"))),"",1+SUMPRODUCT(($F$2:$F$1001=1)*($G$2:$G$1001="轿车")*($D$2:$D$1001&gt;D598))+COUNTIFS($F$2:F598,1,$G$2:G598,"轿车",$D$2:D598,D598)-1)</f>
        <v/>
      </c>
      <c r="P598" s="62" t="str">
        <f>IF(OR(D598="",NOT(AND(F598=1,G598="MPV"))),"",1+SUMPRODUCT(($F$2:$F$1001=1)*($G$2:$G$1001="MPV")*($D$2:$D$1001&gt;D598))+COUNTIFS($F$2:F598,1,$G$2:G598,"MPV",$D$2:D598,D598)-1)</f>
        <v/>
      </c>
      <c r="Q598" s="62" t="str">
        <f>IF(OR(D598="",NOT(AND(F598=1,G598="SUV"))),"",1+SUMPRODUCT(($F$2:$F$1001=1)*($G$2:$G$1001="SUV")*($D$2:$D$1001&gt;D598))+COUNTIFS($F$2:F598,1,$G$2:G598,"SUV",$D$2:D598,D598)-1)</f>
        <v/>
      </c>
    </row>
    <row r="599" spans="1:17">
      <c r="A599" s="62" t="str">
        <f>IFERROR(INDEX($H$2:$H$3000,MATCH(0,INDEX(COUNTIF($A$1:A598,$H$2:$H$3000)+($H$2:$H$3000=""),0,0),0)),"")</f>
        <v/>
      </c>
      <c r="B599" s="62" t="str">
        <f t="shared" si="36"/>
        <v/>
      </c>
      <c r="C599" s="62" t="str">
        <f t="shared" si="37"/>
        <v/>
      </c>
      <c r="D599" s="63" t="str">
        <f t="shared" si="38"/>
        <v/>
      </c>
      <c r="E599" s="62" t="str">
        <f>IF(D599="","",_xlfn.RANK.EQ(D599,$D$2:$D$1001,0)+COUNTIF($D$2:D599,D599)-1)</f>
        <v/>
      </c>
      <c r="F599" s="62" t="str">
        <f>IF(B599="","",--(COUNTIF(CN_Brands!$A$2:$A$300,UPPER(B599))&gt;0))</f>
        <v/>
      </c>
      <c r="G599" s="62" t="str">
        <f t="shared" si="39"/>
        <v/>
      </c>
      <c r="H599" s="62" t="str">
        <f>IF(AND('Data Export'!A599=前十整体车型排名!$B$2,'Data Export'!B599=前十整体车型排名!$B$3,'Data Export'!D599&lt;&gt;""),UPPER('Data Export'!C599)&amp;"♦"&amp;'Data Export'!D599,"")</f>
        <v>NISSAN♦FAIRLADY Z</v>
      </c>
      <c r="I599" s="63">
        <f>IF(H599="","",IFERROR(INDEX('Data Export'!G599:CZ599,1,MATCH(前十整体车型排名!$B$4,'Data Export'!$G$1:$CZ$1,0)),0))</f>
        <v>0</v>
      </c>
      <c r="J599" s="62" t="str">
        <f>IF(H599="","",IF(OR('Data Export'!F599="三厢轿车",'Data Export'!F599="掀背轿车",'Data Export'!F599="旅行车",'Data Export'!F599="微型车",'Data Export'!F599="硬顶跑车",'Data Export'!F599="敞蓬车",'Data Export'!F599="Targa"),"轿车",IF(OR('Data Export'!F599="小型MPV",'Data Export'!F599="客车"),"MPV",IF('Data Export'!F599="运动型多功能车","SUV","其他"))))</f>
        <v>其他</v>
      </c>
      <c r="K599" s="62" t="str">
        <f>IF(OR(D599="",NOT(F599=1)),"",1+SUMPRODUCT(($F$2:$F$1001=1)*($D$2:$D$1001&gt;D599))+COUNTIFS($F$2:F599,1,$D$2:D599,D599)-1)</f>
        <v/>
      </c>
      <c r="L599" s="62" t="str">
        <f>IF(OR(D599="",NOT(G599="轿车")),"",1+SUMPRODUCT(($G$2:$G$1001="轿车")*($D$2:$D$1001&gt;D599))+COUNTIFS($G$2:G599,"轿车",$D$2:D599,D599)-1)</f>
        <v/>
      </c>
      <c r="M599" s="62" t="str">
        <f>IF(OR(D599="",NOT(G599="MPV")),"",1+SUMPRODUCT(($G$2:$G$1001="MPV")*($D$2:$D$1001&gt;D599))+COUNTIFS($G$2:G599,"MPV",$D$2:D599,D599)-1)</f>
        <v/>
      </c>
      <c r="N599" s="62" t="str">
        <f>IF(OR(D599="",NOT(G599="SUV")),"",1+SUMPRODUCT(($G$2:$G$1001="SUV")*($D$2:$D$1001&gt;D599))+COUNTIFS($G$2:G599,"SUV",$D$2:D599,D599)-1)</f>
        <v/>
      </c>
      <c r="O599" s="62" t="str">
        <f>IF(OR(D599="",NOT(AND(F599=1,G599="轿车"))),"",1+SUMPRODUCT(($F$2:$F$1001=1)*($G$2:$G$1001="轿车")*($D$2:$D$1001&gt;D599))+COUNTIFS($F$2:F599,1,$G$2:G599,"轿车",$D$2:D599,D599)-1)</f>
        <v/>
      </c>
      <c r="P599" s="62" t="str">
        <f>IF(OR(D599="",NOT(AND(F599=1,G599="MPV"))),"",1+SUMPRODUCT(($F$2:$F$1001=1)*($G$2:$G$1001="MPV")*($D$2:$D$1001&gt;D599))+COUNTIFS($F$2:F599,1,$G$2:G599,"MPV",$D$2:D599,D599)-1)</f>
        <v/>
      </c>
      <c r="Q599" s="62" t="str">
        <f>IF(OR(D599="",NOT(AND(F599=1,G599="SUV"))),"",1+SUMPRODUCT(($F$2:$F$1001=1)*($G$2:$G$1001="SUV")*($D$2:$D$1001&gt;D599))+COUNTIFS($F$2:F599,1,$G$2:G599,"SUV",$D$2:D599,D599)-1)</f>
        <v/>
      </c>
    </row>
    <row r="600" spans="1:17">
      <c r="A600" s="62" t="str">
        <f>IFERROR(INDEX($H$2:$H$3000,MATCH(0,INDEX(COUNTIF($A$1:A599,$H$2:$H$3000)+($H$2:$H$3000=""),0,0),0)),"")</f>
        <v/>
      </c>
      <c r="B600" s="62" t="str">
        <f t="shared" si="36"/>
        <v/>
      </c>
      <c r="C600" s="62" t="str">
        <f t="shared" si="37"/>
        <v/>
      </c>
      <c r="D600" s="63" t="str">
        <f t="shared" si="38"/>
        <v/>
      </c>
      <c r="E600" s="62" t="str">
        <f>IF(D600="","",_xlfn.RANK.EQ(D600,$D$2:$D$1001,0)+COUNTIF($D$2:D600,D600)-1)</f>
        <v/>
      </c>
      <c r="F600" s="62" t="str">
        <f>IF(B600="","",--(COUNTIF(CN_Brands!$A$2:$A$300,UPPER(B600))&gt;0))</f>
        <v/>
      </c>
      <c r="G600" s="62" t="str">
        <f t="shared" si="39"/>
        <v/>
      </c>
      <c r="H600" s="62" t="str">
        <f>IF(AND('Data Export'!A600=前十整体车型排名!$B$2,'Data Export'!B600=前十整体车型排名!$B$3,'Data Export'!D600&lt;&gt;""),UPPER('Data Export'!C600)&amp;"♦"&amp;'Data Export'!D600,"")</f>
        <v>NISSAN♦FAIRLADY Z</v>
      </c>
      <c r="I600" s="63">
        <f>IF(H600="","",IFERROR(INDEX('Data Export'!G600:CZ600,1,MATCH(前十整体车型排名!$B$4,'Data Export'!$G$1:$CZ$1,0)),0))</f>
        <v>0</v>
      </c>
      <c r="J600" s="62" t="str">
        <f>IF(H600="","",IF(OR('Data Export'!F600="三厢轿车",'Data Export'!F600="掀背轿车",'Data Export'!F600="旅行车",'Data Export'!F600="微型车",'Data Export'!F600="硬顶跑车",'Data Export'!F600="敞蓬车",'Data Export'!F600="Targa"),"轿车",IF(OR('Data Export'!F600="小型MPV",'Data Export'!F600="客车"),"MPV",IF('Data Export'!F600="运动型多功能车","SUV","其他"))))</f>
        <v>其他</v>
      </c>
      <c r="K600" s="62" t="str">
        <f>IF(OR(D600="",NOT(F600=1)),"",1+SUMPRODUCT(($F$2:$F$1001=1)*($D$2:$D$1001&gt;D600))+COUNTIFS($F$2:F600,1,$D$2:D600,D600)-1)</f>
        <v/>
      </c>
      <c r="L600" s="62" t="str">
        <f>IF(OR(D600="",NOT(G600="轿车")),"",1+SUMPRODUCT(($G$2:$G$1001="轿车")*($D$2:$D$1001&gt;D600))+COUNTIFS($G$2:G600,"轿车",$D$2:D600,D600)-1)</f>
        <v/>
      </c>
      <c r="M600" s="62" t="str">
        <f>IF(OR(D600="",NOT(G600="MPV")),"",1+SUMPRODUCT(($G$2:$G$1001="MPV")*($D$2:$D$1001&gt;D600))+COUNTIFS($G$2:G600,"MPV",$D$2:D600,D600)-1)</f>
        <v/>
      </c>
      <c r="N600" s="62" t="str">
        <f>IF(OR(D600="",NOT(G600="SUV")),"",1+SUMPRODUCT(($G$2:$G$1001="SUV")*($D$2:$D$1001&gt;D600))+COUNTIFS($G$2:G600,"SUV",$D$2:D600,D600)-1)</f>
        <v/>
      </c>
      <c r="O600" s="62" t="str">
        <f>IF(OR(D600="",NOT(AND(F600=1,G600="轿车"))),"",1+SUMPRODUCT(($F$2:$F$1001=1)*($G$2:$G$1001="轿车")*($D$2:$D$1001&gt;D600))+COUNTIFS($F$2:F600,1,$G$2:G600,"轿车",$D$2:D600,D600)-1)</f>
        <v/>
      </c>
      <c r="P600" s="62" t="str">
        <f>IF(OR(D600="",NOT(AND(F600=1,G600="MPV"))),"",1+SUMPRODUCT(($F$2:$F$1001=1)*($G$2:$G$1001="MPV")*($D$2:$D$1001&gt;D600))+COUNTIFS($F$2:F600,1,$G$2:G600,"MPV",$D$2:D600,D600)-1)</f>
        <v/>
      </c>
      <c r="Q600" s="62" t="str">
        <f>IF(OR(D600="",NOT(AND(F600=1,G600="SUV"))),"",1+SUMPRODUCT(($F$2:$F$1001=1)*($G$2:$G$1001="SUV")*($D$2:$D$1001&gt;D600))+COUNTIFS($F$2:F600,1,$G$2:G600,"SUV",$D$2:D600,D600)-1)</f>
        <v/>
      </c>
    </row>
    <row r="601" spans="1:17">
      <c r="A601" s="62" t="str">
        <f>IFERROR(INDEX($H$2:$H$3000,MATCH(0,INDEX(COUNTIF($A$1:A600,$H$2:$H$3000)+($H$2:$H$3000=""),0,0),0)),"")</f>
        <v/>
      </c>
      <c r="B601" s="62" t="str">
        <f t="shared" si="36"/>
        <v/>
      </c>
      <c r="C601" s="62" t="str">
        <f t="shared" si="37"/>
        <v/>
      </c>
      <c r="D601" s="63" t="str">
        <f t="shared" si="38"/>
        <v/>
      </c>
      <c r="E601" s="62" t="str">
        <f>IF(D601="","",_xlfn.RANK.EQ(D601,$D$2:$D$1001,0)+COUNTIF($D$2:D601,D601)-1)</f>
        <v/>
      </c>
      <c r="F601" s="62" t="str">
        <f>IF(B601="","",--(COUNTIF(CN_Brands!$A$2:$A$300,UPPER(B601))&gt;0))</f>
        <v/>
      </c>
      <c r="G601" s="62" t="str">
        <f t="shared" si="39"/>
        <v/>
      </c>
      <c r="H601" s="62" t="str">
        <f>IF(AND('Data Export'!A601=前十整体车型排名!$B$2,'Data Export'!B601=前十整体车型排名!$B$3,'Data Export'!D601&lt;&gt;""),UPPER('Data Export'!C601)&amp;"♦"&amp;'Data Export'!D601,"")</f>
        <v>NISSAN♦FAIRLADY Z</v>
      </c>
      <c r="I601" s="63">
        <f>IF(H601="","",IFERROR(INDEX('Data Export'!G601:CZ601,1,MATCH(前十整体车型排名!$B$4,'Data Export'!$G$1:$CZ$1,0)),0))</f>
        <v>0</v>
      </c>
      <c r="J601" s="62" t="str">
        <f>IF(H601="","",IF(OR('Data Export'!F601="三厢轿车",'Data Export'!F601="掀背轿车",'Data Export'!F601="旅行车",'Data Export'!F601="微型车",'Data Export'!F601="硬顶跑车",'Data Export'!F601="敞蓬车",'Data Export'!F601="Targa"),"轿车",IF(OR('Data Export'!F601="小型MPV",'Data Export'!F601="客车"),"MPV",IF('Data Export'!F601="运动型多功能车","SUV","其他"))))</f>
        <v>其他</v>
      </c>
      <c r="K601" s="62" t="str">
        <f>IF(OR(D601="",NOT(F601=1)),"",1+SUMPRODUCT(($F$2:$F$1001=1)*($D$2:$D$1001&gt;D601))+COUNTIFS($F$2:F601,1,$D$2:D601,D601)-1)</f>
        <v/>
      </c>
      <c r="L601" s="62" t="str">
        <f>IF(OR(D601="",NOT(G601="轿车")),"",1+SUMPRODUCT(($G$2:$G$1001="轿车")*($D$2:$D$1001&gt;D601))+COUNTIFS($G$2:G601,"轿车",$D$2:D601,D601)-1)</f>
        <v/>
      </c>
      <c r="M601" s="62" t="str">
        <f>IF(OR(D601="",NOT(G601="MPV")),"",1+SUMPRODUCT(($G$2:$G$1001="MPV")*($D$2:$D$1001&gt;D601))+COUNTIFS($G$2:G601,"MPV",$D$2:D601,D601)-1)</f>
        <v/>
      </c>
      <c r="N601" s="62" t="str">
        <f>IF(OR(D601="",NOT(G601="SUV")),"",1+SUMPRODUCT(($G$2:$G$1001="SUV")*($D$2:$D$1001&gt;D601))+COUNTIFS($G$2:G601,"SUV",$D$2:D601,D601)-1)</f>
        <v/>
      </c>
      <c r="O601" s="62" t="str">
        <f>IF(OR(D601="",NOT(AND(F601=1,G601="轿车"))),"",1+SUMPRODUCT(($F$2:$F$1001=1)*($G$2:$G$1001="轿车")*($D$2:$D$1001&gt;D601))+COUNTIFS($F$2:F601,1,$G$2:G601,"轿车",$D$2:D601,D601)-1)</f>
        <v/>
      </c>
      <c r="P601" s="62" t="str">
        <f>IF(OR(D601="",NOT(AND(F601=1,G601="MPV"))),"",1+SUMPRODUCT(($F$2:$F$1001=1)*($G$2:$G$1001="MPV")*($D$2:$D$1001&gt;D601))+COUNTIFS($F$2:F601,1,$G$2:G601,"MPV",$D$2:D601,D601)-1)</f>
        <v/>
      </c>
      <c r="Q601" s="62" t="str">
        <f>IF(OR(D601="",NOT(AND(F601=1,G601="SUV"))),"",1+SUMPRODUCT(($F$2:$F$1001=1)*($G$2:$G$1001="SUV")*($D$2:$D$1001&gt;D601))+COUNTIFS($F$2:F601,1,$G$2:G601,"SUV",$D$2:D601,D601)-1)</f>
        <v/>
      </c>
    </row>
    <row r="602" spans="1:17">
      <c r="A602" s="62" t="str">
        <f>IFERROR(INDEX($H$2:$H$3000,MATCH(0,INDEX(COUNTIF($A$1:A601,$H$2:$H$3000)+($H$2:$H$3000=""),0,0),0)),"")</f>
        <v/>
      </c>
      <c r="B602" s="62" t="str">
        <f t="shared" si="36"/>
        <v/>
      </c>
      <c r="C602" s="62" t="str">
        <f t="shared" si="37"/>
        <v/>
      </c>
      <c r="D602" s="63" t="str">
        <f t="shared" si="38"/>
        <v/>
      </c>
      <c r="E602" s="62" t="str">
        <f>IF(D602="","",_xlfn.RANK.EQ(D602,$D$2:$D$1001,0)+COUNTIF($D$2:D602,D602)-1)</f>
        <v/>
      </c>
      <c r="F602" s="62" t="str">
        <f>IF(B602="","",--(COUNTIF(CN_Brands!$A$2:$A$300,UPPER(B602))&gt;0))</f>
        <v/>
      </c>
      <c r="G602" s="62" t="str">
        <f t="shared" si="39"/>
        <v/>
      </c>
      <c r="H602" s="62" t="str">
        <f>IF(AND('Data Export'!A602=前十整体车型排名!$B$2,'Data Export'!B602=前十整体车型排名!$B$3,'Data Export'!D602&lt;&gt;""),UPPER('Data Export'!C602)&amp;"♦"&amp;'Data Export'!D602,"")</f>
        <v>NISSAN♦GT-R</v>
      </c>
      <c r="I602" s="63">
        <f>IF(H602="","",IFERROR(INDEX('Data Export'!G602:CZ602,1,MATCH(前十整体车型排名!$B$4,'Data Export'!$G$1:$CZ$1,0)),0))</f>
        <v>0</v>
      </c>
      <c r="J602" s="62" t="str">
        <f>IF(H602="","",IF(OR('Data Export'!F602="三厢轿车",'Data Export'!F602="掀背轿车",'Data Export'!F602="旅行车",'Data Export'!F602="微型车",'Data Export'!F602="硬顶跑车",'Data Export'!F602="敞蓬车",'Data Export'!F602="Targa"),"轿车",IF(OR('Data Export'!F602="小型MPV",'Data Export'!F602="客车"),"MPV",IF('Data Export'!F602="运动型多功能车","SUV","其他"))))</f>
        <v>轿车</v>
      </c>
      <c r="K602" s="62" t="str">
        <f>IF(OR(D602="",NOT(F602=1)),"",1+SUMPRODUCT(($F$2:$F$1001=1)*($D$2:$D$1001&gt;D602))+COUNTIFS($F$2:F602,1,$D$2:D602,D602)-1)</f>
        <v/>
      </c>
      <c r="L602" s="62" t="str">
        <f>IF(OR(D602="",NOT(G602="轿车")),"",1+SUMPRODUCT(($G$2:$G$1001="轿车")*($D$2:$D$1001&gt;D602))+COUNTIFS($G$2:G602,"轿车",$D$2:D602,D602)-1)</f>
        <v/>
      </c>
      <c r="M602" s="62" t="str">
        <f>IF(OR(D602="",NOT(G602="MPV")),"",1+SUMPRODUCT(($G$2:$G$1001="MPV")*($D$2:$D$1001&gt;D602))+COUNTIFS($G$2:G602,"MPV",$D$2:D602,D602)-1)</f>
        <v/>
      </c>
      <c r="N602" s="62" t="str">
        <f>IF(OR(D602="",NOT(G602="SUV")),"",1+SUMPRODUCT(($G$2:$G$1001="SUV")*($D$2:$D$1001&gt;D602))+COUNTIFS($G$2:G602,"SUV",$D$2:D602,D602)-1)</f>
        <v/>
      </c>
      <c r="O602" s="62" t="str">
        <f>IF(OR(D602="",NOT(AND(F602=1,G602="轿车"))),"",1+SUMPRODUCT(($F$2:$F$1001=1)*($G$2:$G$1001="轿车")*($D$2:$D$1001&gt;D602))+COUNTIFS($F$2:F602,1,$G$2:G602,"轿车",$D$2:D602,D602)-1)</f>
        <v/>
      </c>
      <c r="P602" s="62" t="str">
        <f>IF(OR(D602="",NOT(AND(F602=1,G602="MPV"))),"",1+SUMPRODUCT(($F$2:$F$1001=1)*($G$2:$G$1001="MPV")*($D$2:$D$1001&gt;D602))+COUNTIFS($F$2:F602,1,$G$2:G602,"MPV",$D$2:D602,D602)-1)</f>
        <v/>
      </c>
      <c r="Q602" s="62" t="str">
        <f>IF(OR(D602="",NOT(AND(F602=1,G602="SUV"))),"",1+SUMPRODUCT(($F$2:$F$1001=1)*($G$2:$G$1001="SUV")*($D$2:$D$1001&gt;D602))+COUNTIFS($F$2:F602,1,$G$2:G602,"SUV",$D$2:D602,D602)-1)</f>
        <v/>
      </c>
    </row>
    <row r="603" spans="1:17">
      <c r="A603" s="62" t="str">
        <f>IFERROR(INDEX($H$2:$H$3000,MATCH(0,INDEX(COUNTIF($A$1:A602,$H$2:$H$3000)+($H$2:$H$3000=""),0,0),0)),"")</f>
        <v/>
      </c>
      <c r="B603" s="62" t="str">
        <f t="shared" si="36"/>
        <v/>
      </c>
      <c r="C603" s="62" t="str">
        <f t="shared" si="37"/>
        <v/>
      </c>
      <c r="D603" s="63" t="str">
        <f t="shared" si="38"/>
        <v/>
      </c>
      <c r="E603" s="62" t="str">
        <f>IF(D603="","",_xlfn.RANK.EQ(D603,$D$2:$D$1001,0)+COUNTIF($D$2:D603,D603)-1)</f>
        <v/>
      </c>
      <c r="F603" s="62" t="str">
        <f>IF(B603="","",--(COUNTIF(CN_Brands!$A$2:$A$300,UPPER(B603))&gt;0))</f>
        <v/>
      </c>
      <c r="G603" s="62" t="str">
        <f t="shared" si="39"/>
        <v/>
      </c>
      <c r="H603" s="62" t="str">
        <f>IF(AND('Data Export'!A603=前十整体车型排名!$B$2,'Data Export'!B603=前十整体车型排名!$B$3,'Data Export'!D603&lt;&gt;""),UPPER('Data Export'!C603)&amp;"♦"&amp;'Data Export'!D603,"")</f>
        <v>NISSAN♦GT-R</v>
      </c>
      <c r="I603" s="63">
        <f>IF(H603="","",IFERROR(INDEX('Data Export'!G603:CZ603,1,MATCH(前十整体车型排名!$B$4,'Data Export'!$G$1:$CZ$1,0)),0))</f>
        <v>1</v>
      </c>
      <c r="J603" s="62" t="str">
        <f>IF(H603="","",IF(OR('Data Export'!F603="三厢轿车",'Data Export'!F603="掀背轿车",'Data Export'!F603="旅行车",'Data Export'!F603="微型车",'Data Export'!F603="硬顶跑车",'Data Export'!F603="敞蓬车",'Data Export'!F603="Targa"),"轿车",IF(OR('Data Export'!F603="小型MPV",'Data Export'!F603="客车"),"MPV",IF('Data Export'!F603="运动型多功能车","SUV","其他"))))</f>
        <v>轿车</v>
      </c>
      <c r="K603" s="62" t="str">
        <f>IF(OR(D603="",NOT(F603=1)),"",1+SUMPRODUCT(($F$2:$F$1001=1)*($D$2:$D$1001&gt;D603))+COUNTIFS($F$2:F603,1,$D$2:D603,D603)-1)</f>
        <v/>
      </c>
      <c r="L603" s="62" t="str">
        <f>IF(OR(D603="",NOT(G603="轿车")),"",1+SUMPRODUCT(($G$2:$G$1001="轿车")*($D$2:$D$1001&gt;D603))+COUNTIFS($G$2:G603,"轿车",$D$2:D603,D603)-1)</f>
        <v/>
      </c>
      <c r="M603" s="62" t="str">
        <f>IF(OR(D603="",NOT(G603="MPV")),"",1+SUMPRODUCT(($G$2:$G$1001="MPV")*($D$2:$D$1001&gt;D603))+COUNTIFS($G$2:G603,"MPV",$D$2:D603,D603)-1)</f>
        <v/>
      </c>
      <c r="N603" s="62" t="str">
        <f>IF(OR(D603="",NOT(G603="SUV")),"",1+SUMPRODUCT(($G$2:$G$1001="SUV")*($D$2:$D$1001&gt;D603))+COUNTIFS($G$2:G603,"SUV",$D$2:D603,D603)-1)</f>
        <v/>
      </c>
      <c r="O603" s="62" t="str">
        <f>IF(OR(D603="",NOT(AND(F603=1,G603="轿车"))),"",1+SUMPRODUCT(($F$2:$F$1001=1)*($G$2:$G$1001="轿车")*($D$2:$D$1001&gt;D603))+COUNTIFS($F$2:F603,1,$G$2:G603,"轿车",$D$2:D603,D603)-1)</f>
        <v/>
      </c>
      <c r="P603" s="62" t="str">
        <f>IF(OR(D603="",NOT(AND(F603=1,G603="MPV"))),"",1+SUMPRODUCT(($F$2:$F$1001=1)*($G$2:$G$1001="MPV")*($D$2:$D$1001&gt;D603))+COUNTIFS($F$2:F603,1,$G$2:G603,"MPV",$D$2:D603,D603)-1)</f>
        <v/>
      </c>
      <c r="Q603" s="62" t="str">
        <f>IF(OR(D603="",NOT(AND(F603=1,G603="SUV"))),"",1+SUMPRODUCT(($F$2:$F$1001=1)*($G$2:$G$1001="SUV")*($D$2:$D$1001&gt;D603))+COUNTIFS($F$2:F603,1,$G$2:G603,"SUV",$D$2:D603,D603)-1)</f>
        <v/>
      </c>
    </row>
    <row r="604" spans="1:17">
      <c r="A604" s="62" t="str">
        <f>IFERROR(INDEX($H$2:$H$3000,MATCH(0,INDEX(COUNTIF($A$1:A603,$H$2:$H$3000)+($H$2:$H$3000=""),0,0),0)),"")</f>
        <v/>
      </c>
      <c r="B604" s="62" t="str">
        <f t="shared" si="36"/>
        <v/>
      </c>
      <c r="C604" s="62" t="str">
        <f t="shared" si="37"/>
        <v/>
      </c>
      <c r="D604" s="63" t="str">
        <f t="shared" si="38"/>
        <v/>
      </c>
      <c r="E604" s="62" t="str">
        <f>IF(D604="","",_xlfn.RANK.EQ(D604,$D$2:$D$1001,0)+COUNTIF($D$2:D604,D604)-1)</f>
        <v/>
      </c>
      <c r="F604" s="62" t="str">
        <f>IF(B604="","",--(COUNTIF(CN_Brands!$A$2:$A$300,UPPER(B604))&gt;0))</f>
        <v/>
      </c>
      <c r="G604" s="62" t="str">
        <f t="shared" si="39"/>
        <v/>
      </c>
      <c r="H604" s="62" t="str">
        <f>IF(AND('Data Export'!A604=前十整体车型排名!$B$2,'Data Export'!B604=前十整体车型排名!$B$3,'Data Export'!D604&lt;&gt;""),UPPER('Data Export'!C604)&amp;"♦"&amp;'Data Export'!D604,"")</f>
        <v>NISSAN♦GT-R</v>
      </c>
      <c r="I604" s="63">
        <f>IF(H604="","",IFERROR(INDEX('Data Export'!G604:CZ604,1,MATCH(前十整体车型排名!$B$4,'Data Export'!$G$1:$CZ$1,0)),0))</f>
        <v>1</v>
      </c>
      <c r="J604" s="62" t="str">
        <f>IF(H604="","",IF(OR('Data Export'!F604="三厢轿车",'Data Export'!F604="掀背轿车",'Data Export'!F604="旅行车",'Data Export'!F604="微型车",'Data Export'!F604="硬顶跑车",'Data Export'!F604="敞蓬车",'Data Export'!F604="Targa"),"轿车",IF(OR('Data Export'!F604="小型MPV",'Data Export'!F604="客车"),"MPV",IF('Data Export'!F604="运动型多功能车","SUV","其他"))))</f>
        <v>轿车</v>
      </c>
      <c r="K604" s="62" t="str">
        <f>IF(OR(D604="",NOT(F604=1)),"",1+SUMPRODUCT(($F$2:$F$1001=1)*($D$2:$D$1001&gt;D604))+COUNTIFS($F$2:F604,1,$D$2:D604,D604)-1)</f>
        <v/>
      </c>
      <c r="L604" s="62" t="str">
        <f>IF(OR(D604="",NOT(G604="轿车")),"",1+SUMPRODUCT(($G$2:$G$1001="轿车")*($D$2:$D$1001&gt;D604))+COUNTIFS($G$2:G604,"轿车",$D$2:D604,D604)-1)</f>
        <v/>
      </c>
      <c r="M604" s="62" t="str">
        <f>IF(OR(D604="",NOT(G604="MPV")),"",1+SUMPRODUCT(($G$2:$G$1001="MPV")*($D$2:$D$1001&gt;D604))+COUNTIFS($G$2:G604,"MPV",$D$2:D604,D604)-1)</f>
        <v/>
      </c>
      <c r="N604" s="62" t="str">
        <f>IF(OR(D604="",NOT(G604="SUV")),"",1+SUMPRODUCT(($G$2:$G$1001="SUV")*($D$2:$D$1001&gt;D604))+COUNTIFS($G$2:G604,"SUV",$D$2:D604,D604)-1)</f>
        <v/>
      </c>
      <c r="O604" s="62" t="str">
        <f>IF(OR(D604="",NOT(AND(F604=1,G604="轿车"))),"",1+SUMPRODUCT(($F$2:$F$1001=1)*($G$2:$G$1001="轿车")*($D$2:$D$1001&gt;D604))+COUNTIFS($F$2:F604,1,$G$2:G604,"轿车",$D$2:D604,D604)-1)</f>
        <v/>
      </c>
      <c r="P604" s="62" t="str">
        <f>IF(OR(D604="",NOT(AND(F604=1,G604="MPV"))),"",1+SUMPRODUCT(($F$2:$F$1001=1)*($G$2:$G$1001="MPV")*($D$2:$D$1001&gt;D604))+COUNTIFS($F$2:F604,1,$G$2:G604,"MPV",$D$2:D604,D604)-1)</f>
        <v/>
      </c>
      <c r="Q604" s="62" t="str">
        <f>IF(OR(D604="",NOT(AND(F604=1,G604="SUV"))),"",1+SUMPRODUCT(($F$2:$F$1001=1)*($G$2:$G$1001="SUV")*($D$2:$D$1001&gt;D604))+COUNTIFS($F$2:F604,1,$G$2:G604,"SUV",$D$2:D604,D604)-1)</f>
        <v/>
      </c>
    </row>
    <row r="605" spans="1:17">
      <c r="A605" s="62" t="str">
        <f>IFERROR(INDEX($H$2:$H$3000,MATCH(0,INDEX(COUNTIF($A$1:A604,$H$2:$H$3000)+($H$2:$H$3000=""),0,0),0)),"")</f>
        <v/>
      </c>
      <c r="B605" s="62" t="str">
        <f t="shared" si="36"/>
        <v/>
      </c>
      <c r="C605" s="62" t="str">
        <f t="shared" si="37"/>
        <v/>
      </c>
      <c r="D605" s="63" t="str">
        <f t="shared" si="38"/>
        <v/>
      </c>
      <c r="E605" s="62" t="str">
        <f>IF(D605="","",_xlfn.RANK.EQ(D605,$D$2:$D$1001,0)+COUNTIF($D$2:D605,D605)-1)</f>
        <v/>
      </c>
      <c r="F605" s="62" t="str">
        <f>IF(B605="","",--(COUNTIF(CN_Brands!$A$2:$A$300,UPPER(B605))&gt;0))</f>
        <v/>
      </c>
      <c r="G605" s="62" t="str">
        <f t="shared" si="39"/>
        <v/>
      </c>
      <c r="H605" s="62" t="str">
        <f>IF(AND('Data Export'!A605=前十整体车型排名!$B$2,'Data Export'!B605=前十整体车型排名!$B$3,'Data Export'!D605&lt;&gt;""),UPPER('Data Export'!C605)&amp;"♦"&amp;'Data Export'!D605,"")</f>
        <v>NISSAN♦GT-R</v>
      </c>
      <c r="I605" s="63">
        <f>IF(H605="","",IFERROR(INDEX('Data Export'!G605:CZ605,1,MATCH(前十整体车型排名!$B$4,'Data Export'!$G$1:$CZ$1,0)),0))</f>
        <v>0</v>
      </c>
      <c r="J605" s="62" t="str">
        <f>IF(H605="","",IF(OR('Data Export'!F605="三厢轿车",'Data Export'!F605="掀背轿车",'Data Export'!F605="旅行车",'Data Export'!F605="微型车",'Data Export'!F605="硬顶跑车",'Data Export'!F605="敞蓬车",'Data Export'!F605="Targa"),"轿车",IF(OR('Data Export'!F605="小型MPV",'Data Export'!F605="客车"),"MPV",IF('Data Export'!F605="运动型多功能车","SUV","其他"))))</f>
        <v>轿车</v>
      </c>
      <c r="K605" s="62" t="str">
        <f>IF(OR(D605="",NOT(F605=1)),"",1+SUMPRODUCT(($F$2:$F$1001=1)*($D$2:$D$1001&gt;D605))+COUNTIFS($F$2:F605,1,$D$2:D605,D605)-1)</f>
        <v/>
      </c>
      <c r="L605" s="62" t="str">
        <f>IF(OR(D605="",NOT(G605="轿车")),"",1+SUMPRODUCT(($G$2:$G$1001="轿车")*($D$2:$D$1001&gt;D605))+COUNTIFS($G$2:G605,"轿车",$D$2:D605,D605)-1)</f>
        <v/>
      </c>
      <c r="M605" s="62" t="str">
        <f>IF(OR(D605="",NOT(G605="MPV")),"",1+SUMPRODUCT(($G$2:$G$1001="MPV")*($D$2:$D$1001&gt;D605))+COUNTIFS($G$2:G605,"MPV",$D$2:D605,D605)-1)</f>
        <v/>
      </c>
      <c r="N605" s="62" t="str">
        <f>IF(OR(D605="",NOT(G605="SUV")),"",1+SUMPRODUCT(($G$2:$G$1001="SUV")*($D$2:$D$1001&gt;D605))+COUNTIFS($G$2:G605,"SUV",$D$2:D605,D605)-1)</f>
        <v/>
      </c>
      <c r="O605" s="62" t="str">
        <f>IF(OR(D605="",NOT(AND(F605=1,G605="轿车"))),"",1+SUMPRODUCT(($F$2:$F$1001=1)*($G$2:$G$1001="轿车")*($D$2:$D$1001&gt;D605))+COUNTIFS($F$2:F605,1,$G$2:G605,"轿车",$D$2:D605,D605)-1)</f>
        <v/>
      </c>
      <c r="P605" s="62" t="str">
        <f>IF(OR(D605="",NOT(AND(F605=1,G605="MPV"))),"",1+SUMPRODUCT(($F$2:$F$1001=1)*($G$2:$G$1001="MPV")*($D$2:$D$1001&gt;D605))+COUNTIFS($F$2:F605,1,$G$2:G605,"MPV",$D$2:D605,D605)-1)</f>
        <v/>
      </c>
      <c r="Q605" s="62" t="str">
        <f>IF(OR(D605="",NOT(AND(F605=1,G605="SUV"))),"",1+SUMPRODUCT(($F$2:$F$1001=1)*($G$2:$G$1001="SUV")*($D$2:$D$1001&gt;D605))+COUNTIFS($F$2:F605,1,$G$2:G605,"SUV",$D$2:D605,D605)-1)</f>
        <v/>
      </c>
    </row>
    <row r="606" spans="1:17">
      <c r="A606" s="62" t="str">
        <f>IFERROR(INDEX($H$2:$H$3000,MATCH(0,INDEX(COUNTIF($A$1:A605,$H$2:$H$3000)+($H$2:$H$3000=""),0,0),0)),"")</f>
        <v/>
      </c>
      <c r="B606" s="62" t="str">
        <f t="shared" si="36"/>
        <v/>
      </c>
      <c r="C606" s="62" t="str">
        <f t="shared" si="37"/>
        <v/>
      </c>
      <c r="D606" s="63" t="str">
        <f t="shared" si="38"/>
        <v/>
      </c>
      <c r="E606" s="62" t="str">
        <f>IF(D606="","",_xlfn.RANK.EQ(D606,$D$2:$D$1001,0)+COUNTIF($D$2:D606,D606)-1)</f>
        <v/>
      </c>
      <c r="F606" s="62" t="str">
        <f>IF(B606="","",--(COUNTIF(CN_Brands!$A$2:$A$300,UPPER(B606))&gt;0))</f>
        <v/>
      </c>
      <c r="G606" s="62" t="str">
        <f t="shared" si="39"/>
        <v/>
      </c>
      <c r="H606" s="62" t="str">
        <f>IF(AND('Data Export'!A606=前十整体车型排名!$B$2,'Data Export'!B606=前十整体车型排名!$B$3,'Data Export'!D606&lt;&gt;""),UPPER('Data Export'!C606)&amp;"♦"&amp;'Data Export'!D606,"")</f>
        <v>NISSAN♦GT-R</v>
      </c>
      <c r="I606" s="63">
        <f>IF(H606="","",IFERROR(INDEX('Data Export'!G606:CZ606,1,MATCH(前十整体车型排名!$B$4,'Data Export'!$G$1:$CZ$1,0)),0))</f>
        <v>0</v>
      </c>
      <c r="J606" s="62" t="str">
        <f>IF(H606="","",IF(OR('Data Export'!F606="三厢轿车",'Data Export'!F606="掀背轿车",'Data Export'!F606="旅行车",'Data Export'!F606="微型车",'Data Export'!F606="硬顶跑车",'Data Export'!F606="敞蓬车",'Data Export'!F606="Targa"),"轿车",IF(OR('Data Export'!F606="小型MPV",'Data Export'!F606="客车"),"MPV",IF('Data Export'!F606="运动型多功能车","SUV","其他"))))</f>
        <v>轿车</v>
      </c>
      <c r="K606" s="62" t="str">
        <f>IF(OR(D606="",NOT(F606=1)),"",1+SUMPRODUCT(($F$2:$F$1001=1)*($D$2:$D$1001&gt;D606))+COUNTIFS($F$2:F606,1,$D$2:D606,D606)-1)</f>
        <v/>
      </c>
      <c r="L606" s="62" t="str">
        <f>IF(OR(D606="",NOT(G606="轿车")),"",1+SUMPRODUCT(($G$2:$G$1001="轿车")*($D$2:$D$1001&gt;D606))+COUNTIFS($G$2:G606,"轿车",$D$2:D606,D606)-1)</f>
        <v/>
      </c>
      <c r="M606" s="62" t="str">
        <f>IF(OR(D606="",NOT(G606="MPV")),"",1+SUMPRODUCT(($G$2:$G$1001="MPV")*($D$2:$D$1001&gt;D606))+COUNTIFS($G$2:G606,"MPV",$D$2:D606,D606)-1)</f>
        <v/>
      </c>
      <c r="N606" s="62" t="str">
        <f>IF(OR(D606="",NOT(G606="SUV")),"",1+SUMPRODUCT(($G$2:$G$1001="SUV")*($D$2:$D$1001&gt;D606))+COUNTIFS($G$2:G606,"SUV",$D$2:D606,D606)-1)</f>
        <v/>
      </c>
      <c r="O606" s="62" t="str">
        <f>IF(OR(D606="",NOT(AND(F606=1,G606="轿车"))),"",1+SUMPRODUCT(($F$2:$F$1001=1)*($G$2:$G$1001="轿车")*($D$2:$D$1001&gt;D606))+COUNTIFS($F$2:F606,1,$G$2:G606,"轿车",$D$2:D606,D606)-1)</f>
        <v/>
      </c>
      <c r="P606" s="62" t="str">
        <f>IF(OR(D606="",NOT(AND(F606=1,G606="MPV"))),"",1+SUMPRODUCT(($F$2:$F$1001=1)*($G$2:$G$1001="MPV")*($D$2:$D$1001&gt;D606))+COUNTIFS($F$2:F606,1,$G$2:G606,"MPV",$D$2:D606,D606)-1)</f>
        <v/>
      </c>
      <c r="Q606" s="62" t="str">
        <f>IF(OR(D606="",NOT(AND(F606=1,G606="SUV"))),"",1+SUMPRODUCT(($F$2:$F$1001=1)*($G$2:$G$1001="SUV")*($D$2:$D$1001&gt;D606))+COUNTIFS($F$2:F606,1,$G$2:G606,"SUV",$D$2:D606,D606)-1)</f>
        <v/>
      </c>
    </row>
    <row r="607" spans="1:17">
      <c r="A607" s="62" t="str">
        <f>IFERROR(INDEX($H$2:$H$3000,MATCH(0,INDEX(COUNTIF($A$1:A606,$H$2:$H$3000)+($H$2:$H$3000=""),0,0),0)),"")</f>
        <v/>
      </c>
      <c r="B607" s="62" t="str">
        <f t="shared" si="36"/>
        <v/>
      </c>
      <c r="C607" s="62" t="str">
        <f t="shared" si="37"/>
        <v/>
      </c>
      <c r="D607" s="63" t="str">
        <f t="shared" si="38"/>
        <v/>
      </c>
      <c r="E607" s="62" t="str">
        <f>IF(D607="","",_xlfn.RANK.EQ(D607,$D$2:$D$1001,0)+COUNTIF($D$2:D607,D607)-1)</f>
        <v/>
      </c>
      <c r="F607" s="62" t="str">
        <f>IF(B607="","",--(COUNTIF(CN_Brands!$A$2:$A$300,UPPER(B607))&gt;0))</f>
        <v/>
      </c>
      <c r="G607" s="62" t="str">
        <f t="shared" si="39"/>
        <v/>
      </c>
      <c r="H607" s="62" t="str">
        <f>IF(AND('Data Export'!A607=前十整体车型排名!$B$2,'Data Export'!B607=前十整体车型排名!$B$3,'Data Export'!D607&lt;&gt;""),UPPER('Data Export'!C607)&amp;"♦"&amp;'Data Export'!D607,"")</f>
        <v>NISSAN♦GT-R</v>
      </c>
      <c r="I607" s="63">
        <f>IF(H607="","",IFERROR(INDEX('Data Export'!G607:CZ607,1,MATCH(前十整体车型排名!$B$4,'Data Export'!$G$1:$CZ$1,0)),0))</f>
        <v>0</v>
      </c>
      <c r="J607" s="62" t="str">
        <f>IF(H607="","",IF(OR('Data Export'!F607="三厢轿车",'Data Export'!F607="掀背轿车",'Data Export'!F607="旅行车",'Data Export'!F607="微型车",'Data Export'!F607="硬顶跑车",'Data Export'!F607="敞蓬车",'Data Export'!F607="Targa"),"轿车",IF(OR('Data Export'!F607="小型MPV",'Data Export'!F607="客车"),"MPV",IF('Data Export'!F607="运动型多功能车","SUV","其他"))))</f>
        <v>轿车</v>
      </c>
      <c r="K607" s="62" t="str">
        <f>IF(OR(D607="",NOT(F607=1)),"",1+SUMPRODUCT(($F$2:$F$1001=1)*($D$2:$D$1001&gt;D607))+COUNTIFS($F$2:F607,1,$D$2:D607,D607)-1)</f>
        <v/>
      </c>
      <c r="L607" s="62" t="str">
        <f>IF(OR(D607="",NOT(G607="轿车")),"",1+SUMPRODUCT(($G$2:$G$1001="轿车")*($D$2:$D$1001&gt;D607))+COUNTIFS($G$2:G607,"轿车",$D$2:D607,D607)-1)</f>
        <v/>
      </c>
      <c r="M607" s="62" t="str">
        <f>IF(OR(D607="",NOT(G607="MPV")),"",1+SUMPRODUCT(($G$2:$G$1001="MPV")*($D$2:$D$1001&gt;D607))+COUNTIFS($G$2:G607,"MPV",$D$2:D607,D607)-1)</f>
        <v/>
      </c>
      <c r="N607" s="62" t="str">
        <f>IF(OR(D607="",NOT(G607="SUV")),"",1+SUMPRODUCT(($G$2:$G$1001="SUV")*($D$2:$D$1001&gt;D607))+COUNTIFS($G$2:G607,"SUV",$D$2:D607,D607)-1)</f>
        <v/>
      </c>
      <c r="O607" s="62" t="str">
        <f>IF(OR(D607="",NOT(AND(F607=1,G607="轿车"))),"",1+SUMPRODUCT(($F$2:$F$1001=1)*($G$2:$G$1001="轿车")*($D$2:$D$1001&gt;D607))+COUNTIFS($F$2:F607,1,$G$2:G607,"轿车",$D$2:D607,D607)-1)</f>
        <v/>
      </c>
      <c r="P607" s="62" t="str">
        <f>IF(OR(D607="",NOT(AND(F607=1,G607="MPV"))),"",1+SUMPRODUCT(($F$2:$F$1001=1)*($G$2:$G$1001="MPV")*($D$2:$D$1001&gt;D607))+COUNTIFS($F$2:F607,1,$G$2:G607,"MPV",$D$2:D607,D607)-1)</f>
        <v/>
      </c>
      <c r="Q607" s="62" t="str">
        <f>IF(OR(D607="",NOT(AND(F607=1,G607="SUV"))),"",1+SUMPRODUCT(($F$2:$F$1001=1)*($G$2:$G$1001="SUV")*($D$2:$D$1001&gt;D607))+COUNTIFS($F$2:F607,1,$G$2:G607,"SUV",$D$2:D607,D607)-1)</f>
        <v/>
      </c>
    </row>
    <row r="608" spans="1:17">
      <c r="A608" s="62" t="str">
        <f>IFERROR(INDEX($H$2:$H$3000,MATCH(0,INDEX(COUNTIF($A$1:A607,$H$2:$H$3000)+($H$2:$H$3000=""),0,0),0)),"")</f>
        <v/>
      </c>
      <c r="B608" s="62" t="str">
        <f t="shared" si="36"/>
        <v/>
      </c>
      <c r="C608" s="62" t="str">
        <f t="shared" si="37"/>
        <v/>
      </c>
      <c r="D608" s="63" t="str">
        <f t="shared" si="38"/>
        <v/>
      </c>
      <c r="E608" s="62" t="str">
        <f>IF(D608="","",_xlfn.RANK.EQ(D608,$D$2:$D$1001,0)+COUNTIF($D$2:D608,D608)-1)</f>
        <v/>
      </c>
      <c r="F608" s="62" t="str">
        <f>IF(B608="","",--(COUNTIF(CN_Brands!$A$2:$A$300,UPPER(B608))&gt;0))</f>
        <v/>
      </c>
      <c r="G608" s="62" t="str">
        <f t="shared" si="39"/>
        <v/>
      </c>
      <c r="H608" s="62" t="str">
        <f>IF(AND('Data Export'!A608=前十整体车型排名!$B$2,'Data Export'!B608=前十整体车型排名!$B$3,'Data Export'!D608&lt;&gt;""),UPPER('Data Export'!C608)&amp;"♦"&amp;'Data Export'!D608,"")</f>
        <v>NISSAN♦GT-R</v>
      </c>
      <c r="I608" s="63">
        <f>IF(H608="","",IFERROR(INDEX('Data Export'!G608:CZ608,1,MATCH(前十整体车型排名!$B$4,'Data Export'!$G$1:$CZ$1,0)),0))</f>
        <v>1</v>
      </c>
      <c r="J608" s="62" t="str">
        <f>IF(H608="","",IF(OR('Data Export'!F608="三厢轿车",'Data Export'!F608="掀背轿车",'Data Export'!F608="旅行车",'Data Export'!F608="微型车",'Data Export'!F608="硬顶跑车",'Data Export'!F608="敞蓬车",'Data Export'!F608="Targa"),"轿车",IF(OR('Data Export'!F608="小型MPV",'Data Export'!F608="客车"),"MPV",IF('Data Export'!F608="运动型多功能车","SUV","其他"))))</f>
        <v>轿车</v>
      </c>
      <c r="K608" s="62" t="str">
        <f>IF(OR(D608="",NOT(F608=1)),"",1+SUMPRODUCT(($F$2:$F$1001=1)*($D$2:$D$1001&gt;D608))+COUNTIFS($F$2:F608,1,$D$2:D608,D608)-1)</f>
        <v/>
      </c>
      <c r="L608" s="62" t="str">
        <f>IF(OR(D608="",NOT(G608="轿车")),"",1+SUMPRODUCT(($G$2:$G$1001="轿车")*($D$2:$D$1001&gt;D608))+COUNTIFS($G$2:G608,"轿车",$D$2:D608,D608)-1)</f>
        <v/>
      </c>
      <c r="M608" s="62" t="str">
        <f>IF(OR(D608="",NOT(G608="MPV")),"",1+SUMPRODUCT(($G$2:$G$1001="MPV")*($D$2:$D$1001&gt;D608))+COUNTIFS($G$2:G608,"MPV",$D$2:D608,D608)-1)</f>
        <v/>
      </c>
      <c r="N608" s="62" t="str">
        <f>IF(OR(D608="",NOT(G608="SUV")),"",1+SUMPRODUCT(($G$2:$G$1001="SUV")*($D$2:$D$1001&gt;D608))+COUNTIFS($G$2:G608,"SUV",$D$2:D608,D608)-1)</f>
        <v/>
      </c>
      <c r="O608" s="62" t="str">
        <f>IF(OR(D608="",NOT(AND(F608=1,G608="轿车"))),"",1+SUMPRODUCT(($F$2:$F$1001=1)*($G$2:$G$1001="轿车")*($D$2:$D$1001&gt;D608))+COUNTIFS($F$2:F608,1,$G$2:G608,"轿车",$D$2:D608,D608)-1)</f>
        <v/>
      </c>
      <c r="P608" s="62" t="str">
        <f>IF(OR(D608="",NOT(AND(F608=1,G608="MPV"))),"",1+SUMPRODUCT(($F$2:$F$1001=1)*($G$2:$G$1001="MPV")*($D$2:$D$1001&gt;D608))+COUNTIFS($F$2:F608,1,$G$2:G608,"MPV",$D$2:D608,D608)-1)</f>
        <v/>
      </c>
      <c r="Q608" s="62" t="str">
        <f>IF(OR(D608="",NOT(AND(F608=1,G608="SUV"))),"",1+SUMPRODUCT(($F$2:$F$1001=1)*($G$2:$G$1001="SUV")*($D$2:$D$1001&gt;D608))+COUNTIFS($F$2:F608,1,$G$2:G608,"SUV",$D$2:D608,D608)-1)</f>
        <v/>
      </c>
    </row>
    <row r="609" spans="1:17">
      <c r="A609" s="62" t="str">
        <f>IFERROR(INDEX($H$2:$H$3000,MATCH(0,INDEX(COUNTIF($A$1:A608,$H$2:$H$3000)+($H$2:$H$3000=""),0,0),0)),"")</f>
        <v/>
      </c>
      <c r="B609" s="62" t="str">
        <f t="shared" si="36"/>
        <v/>
      </c>
      <c r="C609" s="62" t="str">
        <f t="shared" si="37"/>
        <v/>
      </c>
      <c r="D609" s="63" t="str">
        <f t="shared" si="38"/>
        <v/>
      </c>
      <c r="E609" s="62" t="str">
        <f>IF(D609="","",_xlfn.RANK.EQ(D609,$D$2:$D$1001,0)+COUNTIF($D$2:D609,D609)-1)</f>
        <v/>
      </c>
      <c r="F609" s="62" t="str">
        <f>IF(B609="","",--(COUNTIF(CN_Brands!$A$2:$A$300,UPPER(B609))&gt;0))</f>
        <v/>
      </c>
      <c r="G609" s="62" t="str">
        <f t="shared" si="39"/>
        <v/>
      </c>
      <c r="H609" s="62" t="str">
        <f>IF(AND('Data Export'!A609=前十整体车型排名!$B$2,'Data Export'!B609=前十整体车型排名!$B$3,'Data Export'!D609&lt;&gt;""),UPPER('Data Export'!C609)&amp;"♦"&amp;'Data Export'!D609,"")</f>
        <v>NISSAN♦KICKS</v>
      </c>
      <c r="I609" s="63">
        <f>IF(H609="","",IFERROR(INDEX('Data Export'!G609:CZ609,1,MATCH(前十整体车型排名!$B$4,'Data Export'!$G$1:$CZ$1,0)),0))</f>
        <v>227</v>
      </c>
      <c r="J609" s="62" t="str">
        <f>IF(H609="","",IF(OR('Data Export'!F609="三厢轿车",'Data Export'!F609="掀背轿车",'Data Export'!F609="旅行车",'Data Export'!F609="微型车",'Data Export'!F609="硬顶跑车",'Data Export'!F609="敞蓬车",'Data Export'!F609="Targa"),"轿车",IF(OR('Data Export'!F609="小型MPV",'Data Export'!F609="客车"),"MPV",IF('Data Export'!F609="运动型多功能车","SUV","其他"))))</f>
        <v>SUV</v>
      </c>
      <c r="K609" s="62" t="str">
        <f>IF(OR(D609="",NOT(F609=1)),"",1+SUMPRODUCT(($F$2:$F$1001=1)*($D$2:$D$1001&gt;D609))+COUNTIFS($F$2:F609,1,$D$2:D609,D609)-1)</f>
        <v/>
      </c>
      <c r="L609" s="62" t="str">
        <f>IF(OR(D609="",NOT(G609="轿车")),"",1+SUMPRODUCT(($G$2:$G$1001="轿车")*($D$2:$D$1001&gt;D609))+COUNTIFS($G$2:G609,"轿车",$D$2:D609,D609)-1)</f>
        <v/>
      </c>
      <c r="M609" s="62" t="str">
        <f>IF(OR(D609="",NOT(G609="MPV")),"",1+SUMPRODUCT(($G$2:$G$1001="MPV")*($D$2:$D$1001&gt;D609))+COUNTIFS($G$2:G609,"MPV",$D$2:D609,D609)-1)</f>
        <v/>
      </c>
      <c r="N609" s="62" t="str">
        <f>IF(OR(D609="",NOT(G609="SUV")),"",1+SUMPRODUCT(($G$2:$G$1001="SUV")*($D$2:$D$1001&gt;D609))+COUNTIFS($G$2:G609,"SUV",$D$2:D609,D609)-1)</f>
        <v/>
      </c>
      <c r="O609" s="62" t="str">
        <f>IF(OR(D609="",NOT(AND(F609=1,G609="轿车"))),"",1+SUMPRODUCT(($F$2:$F$1001=1)*($G$2:$G$1001="轿车")*($D$2:$D$1001&gt;D609))+COUNTIFS($F$2:F609,1,$G$2:G609,"轿车",$D$2:D609,D609)-1)</f>
        <v/>
      </c>
      <c r="P609" s="62" t="str">
        <f>IF(OR(D609="",NOT(AND(F609=1,G609="MPV"))),"",1+SUMPRODUCT(($F$2:$F$1001=1)*($G$2:$G$1001="MPV")*($D$2:$D$1001&gt;D609))+COUNTIFS($F$2:F609,1,$G$2:G609,"MPV",$D$2:D609,D609)-1)</f>
        <v/>
      </c>
      <c r="Q609" s="62" t="str">
        <f>IF(OR(D609="",NOT(AND(F609=1,G609="SUV"))),"",1+SUMPRODUCT(($F$2:$F$1001=1)*($G$2:$G$1001="SUV")*($D$2:$D$1001&gt;D609))+COUNTIFS($F$2:F609,1,$G$2:G609,"SUV",$D$2:D609,D609)-1)</f>
        <v/>
      </c>
    </row>
    <row r="610" spans="1:17">
      <c r="A610" s="62" t="str">
        <f>IFERROR(INDEX($H$2:$H$3000,MATCH(0,INDEX(COUNTIF($A$1:A609,$H$2:$H$3000)+($H$2:$H$3000=""),0,0),0)),"")</f>
        <v/>
      </c>
      <c r="B610" s="62" t="str">
        <f t="shared" si="36"/>
        <v/>
      </c>
      <c r="C610" s="62" t="str">
        <f t="shared" si="37"/>
        <v/>
      </c>
      <c r="D610" s="63" t="str">
        <f t="shared" si="38"/>
        <v/>
      </c>
      <c r="E610" s="62" t="str">
        <f>IF(D610="","",_xlfn.RANK.EQ(D610,$D$2:$D$1001,0)+COUNTIF($D$2:D610,D610)-1)</f>
        <v/>
      </c>
      <c r="F610" s="62" t="str">
        <f>IF(B610="","",--(COUNTIF(CN_Brands!$A$2:$A$300,UPPER(B610))&gt;0))</f>
        <v/>
      </c>
      <c r="G610" s="62" t="str">
        <f t="shared" si="39"/>
        <v/>
      </c>
      <c r="H610" s="62" t="str">
        <f>IF(AND('Data Export'!A610=前十整体车型排名!$B$2,'Data Export'!B610=前十整体车型排名!$B$3,'Data Export'!D610&lt;&gt;""),UPPER('Data Export'!C610)&amp;"♦"&amp;'Data Export'!D610,"")</f>
        <v>NISSAN♦LEAF</v>
      </c>
      <c r="I610" s="63">
        <f>IF(H610="","",IFERROR(INDEX('Data Export'!G610:CZ610,1,MATCH(前十整体车型排名!$B$4,'Data Export'!$G$1:$CZ$1,0)),0))</f>
        <v>0</v>
      </c>
      <c r="J610" s="62" t="str">
        <f>IF(H610="","",IF(OR('Data Export'!F610="三厢轿车",'Data Export'!F610="掀背轿车",'Data Export'!F610="旅行车",'Data Export'!F610="微型车",'Data Export'!F610="硬顶跑车",'Data Export'!F610="敞蓬车",'Data Export'!F610="Targa"),"轿车",IF(OR('Data Export'!F610="小型MPV",'Data Export'!F610="客车"),"MPV",IF('Data Export'!F610="运动型多功能车","SUV","其他"))))</f>
        <v>轿车</v>
      </c>
      <c r="K610" s="62" t="str">
        <f>IF(OR(D610="",NOT(F610=1)),"",1+SUMPRODUCT(($F$2:$F$1001=1)*($D$2:$D$1001&gt;D610))+COUNTIFS($F$2:F610,1,$D$2:D610,D610)-1)</f>
        <v/>
      </c>
      <c r="L610" s="62" t="str">
        <f>IF(OR(D610="",NOT(G610="轿车")),"",1+SUMPRODUCT(($G$2:$G$1001="轿车")*($D$2:$D$1001&gt;D610))+COUNTIFS($G$2:G610,"轿车",$D$2:D610,D610)-1)</f>
        <v/>
      </c>
      <c r="M610" s="62" t="str">
        <f>IF(OR(D610="",NOT(G610="MPV")),"",1+SUMPRODUCT(($G$2:$G$1001="MPV")*($D$2:$D$1001&gt;D610))+COUNTIFS($G$2:G610,"MPV",$D$2:D610,D610)-1)</f>
        <v/>
      </c>
      <c r="N610" s="62" t="str">
        <f>IF(OR(D610="",NOT(G610="SUV")),"",1+SUMPRODUCT(($G$2:$G$1001="SUV")*($D$2:$D$1001&gt;D610))+COUNTIFS($G$2:G610,"SUV",$D$2:D610,D610)-1)</f>
        <v/>
      </c>
      <c r="O610" s="62" t="str">
        <f>IF(OR(D610="",NOT(AND(F610=1,G610="轿车"))),"",1+SUMPRODUCT(($F$2:$F$1001=1)*($G$2:$G$1001="轿车")*($D$2:$D$1001&gt;D610))+COUNTIFS($F$2:F610,1,$G$2:G610,"轿车",$D$2:D610,D610)-1)</f>
        <v/>
      </c>
      <c r="P610" s="62" t="str">
        <f>IF(OR(D610="",NOT(AND(F610=1,G610="MPV"))),"",1+SUMPRODUCT(($F$2:$F$1001=1)*($G$2:$G$1001="MPV")*($D$2:$D$1001&gt;D610))+COUNTIFS($F$2:F610,1,$G$2:G610,"MPV",$D$2:D610,D610)-1)</f>
        <v/>
      </c>
      <c r="Q610" s="62" t="str">
        <f>IF(OR(D610="",NOT(AND(F610=1,G610="SUV"))),"",1+SUMPRODUCT(($F$2:$F$1001=1)*($G$2:$G$1001="SUV")*($D$2:$D$1001&gt;D610))+COUNTIFS($F$2:F610,1,$G$2:G610,"SUV",$D$2:D610,D610)-1)</f>
        <v/>
      </c>
    </row>
    <row r="611" spans="1:17">
      <c r="A611" s="62" t="str">
        <f>IFERROR(INDEX($H$2:$H$3000,MATCH(0,INDEX(COUNTIF($A$1:A610,$H$2:$H$3000)+($H$2:$H$3000=""),0,0),0)),"")</f>
        <v/>
      </c>
      <c r="B611" s="62" t="str">
        <f t="shared" si="36"/>
        <v/>
      </c>
      <c r="C611" s="62" t="str">
        <f t="shared" si="37"/>
        <v/>
      </c>
      <c r="D611" s="63" t="str">
        <f t="shared" si="38"/>
        <v/>
      </c>
      <c r="E611" s="62" t="str">
        <f>IF(D611="","",_xlfn.RANK.EQ(D611,$D$2:$D$1001,0)+COUNTIF($D$2:D611,D611)-1)</f>
        <v/>
      </c>
      <c r="F611" s="62" t="str">
        <f>IF(B611="","",--(COUNTIF(CN_Brands!$A$2:$A$300,UPPER(B611))&gt;0))</f>
        <v/>
      </c>
      <c r="G611" s="62" t="str">
        <f t="shared" si="39"/>
        <v/>
      </c>
      <c r="H611" s="62" t="str">
        <f>IF(AND('Data Export'!A611=前十整体车型排名!$B$2,'Data Export'!B611=前十整体车型排名!$B$3,'Data Export'!D611&lt;&gt;""),UPPER('Data Export'!C611)&amp;"♦"&amp;'Data Export'!D611,"")</f>
        <v>NISSAN♦MARCH</v>
      </c>
      <c r="I611" s="63">
        <f>IF(H611="","",IFERROR(INDEX('Data Export'!G611:CZ611,1,MATCH(前十整体车型排名!$B$4,'Data Export'!$G$1:$CZ$1,0)),0))</f>
        <v>0</v>
      </c>
      <c r="J611" s="62" t="str">
        <f>IF(H611="","",IF(OR('Data Export'!F611="三厢轿车",'Data Export'!F611="掀背轿车",'Data Export'!F611="旅行车",'Data Export'!F611="微型车",'Data Export'!F611="硬顶跑车",'Data Export'!F611="敞蓬车",'Data Export'!F611="Targa"),"轿车",IF(OR('Data Export'!F611="小型MPV",'Data Export'!F611="客车"),"MPV",IF('Data Export'!F611="运动型多功能车","SUV","其他"))))</f>
        <v>轿车</v>
      </c>
      <c r="K611" s="62" t="str">
        <f>IF(OR(D611="",NOT(F611=1)),"",1+SUMPRODUCT(($F$2:$F$1001=1)*($D$2:$D$1001&gt;D611))+COUNTIFS($F$2:F611,1,$D$2:D611,D611)-1)</f>
        <v/>
      </c>
      <c r="L611" s="62" t="str">
        <f>IF(OR(D611="",NOT(G611="轿车")),"",1+SUMPRODUCT(($G$2:$G$1001="轿车")*($D$2:$D$1001&gt;D611))+COUNTIFS($G$2:G611,"轿车",$D$2:D611,D611)-1)</f>
        <v/>
      </c>
      <c r="M611" s="62" t="str">
        <f>IF(OR(D611="",NOT(G611="MPV")),"",1+SUMPRODUCT(($G$2:$G$1001="MPV")*($D$2:$D$1001&gt;D611))+COUNTIFS($G$2:G611,"MPV",$D$2:D611,D611)-1)</f>
        <v/>
      </c>
      <c r="N611" s="62" t="str">
        <f>IF(OR(D611="",NOT(G611="SUV")),"",1+SUMPRODUCT(($G$2:$G$1001="SUV")*($D$2:$D$1001&gt;D611))+COUNTIFS($G$2:G611,"SUV",$D$2:D611,D611)-1)</f>
        <v/>
      </c>
      <c r="O611" s="62" t="str">
        <f>IF(OR(D611="",NOT(AND(F611=1,G611="轿车"))),"",1+SUMPRODUCT(($F$2:$F$1001=1)*($G$2:$G$1001="轿车")*($D$2:$D$1001&gt;D611))+COUNTIFS($F$2:F611,1,$G$2:G611,"轿车",$D$2:D611,D611)-1)</f>
        <v/>
      </c>
      <c r="P611" s="62" t="str">
        <f>IF(OR(D611="",NOT(AND(F611=1,G611="MPV"))),"",1+SUMPRODUCT(($F$2:$F$1001=1)*($G$2:$G$1001="MPV")*($D$2:$D$1001&gt;D611))+COUNTIFS($F$2:F611,1,$G$2:G611,"MPV",$D$2:D611,D611)-1)</f>
        <v/>
      </c>
      <c r="Q611" s="62" t="str">
        <f>IF(OR(D611="",NOT(AND(F611=1,G611="SUV"))),"",1+SUMPRODUCT(($F$2:$F$1001=1)*($G$2:$G$1001="SUV")*($D$2:$D$1001&gt;D611))+COUNTIFS($F$2:F611,1,$G$2:G611,"SUV",$D$2:D611,D611)-1)</f>
        <v/>
      </c>
    </row>
    <row r="612" spans="1:17">
      <c r="A612" s="62" t="str">
        <f>IFERROR(INDEX($H$2:$H$3000,MATCH(0,INDEX(COUNTIF($A$1:A611,$H$2:$H$3000)+($H$2:$H$3000=""),0,0),0)),"")</f>
        <v/>
      </c>
      <c r="B612" s="62" t="str">
        <f t="shared" si="36"/>
        <v/>
      </c>
      <c r="C612" s="62" t="str">
        <f t="shared" si="37"/>
        <v/>
      </c>
      <c r="D612" s="63" t="str">
        <f t="shared" si="38"/>
        <v/>
      </c>
      <c r="E612" s="62" t="str">
        <f>IF(D612="","",_xlfn.RANK.EQ(D612,$D$2:$D$1001,0)+COUNTIF($D$2:D612,D612)-1)</f>
        <v/>
      </c>
      <c r="F612" s="62" t="str">
        <f>IF(B612="","",--(COUNTIF(CN_Brands!$A$2:$A$300,UPPER(B612))&gt;0))</f>
        <v/>
      </c>
      <c r="G612" s="62" t="str">
        <f t="shared" si="39"/>
        <v/>
      </c>
      <c r="H612" s="62" t="str">
        <f>IF(AND('Data Export'!A612=前十整体车型排名!$B$2,'Data Export'!B612=前十整体车型排名!$B$3,'Data Export'!D612&lt;&gt;""),UPPER('Data Export'!C612)&amp;"♦"&amp;'Data Export'!D612,"")</f>
        <v>NISSAN♦NOTE</v>
      </c>
      <c r="I612" s="63">
        <f>IF(H612="","",IFERROR(INDEX('Data Export'!G612:CZ612,1,MATCH(前十整体车型排名!$B$4,'Data Export'!$G$1:$CZ$1,0)),0))</f>
        <v>0</v>
      </c>
      <c r="J612" s="62" t="str">
        <f>IF(H612="","",IF(OR('Data Export'!F612="三厢轿车",'Data Export'!F612="掀背轿车",'Data Export'!F612="旅行车",'Data Export'!F612="微型车",'Data Export'!F612="硬顶跑车",'Data Export'!F612="敞蓬车",'Data Export'!F612="Targa"),"轿车",IF(OR('Data Export'!F612="小型MPV",'Data Export'!F612="客车"),"MPV",IF('Data Export'!F612="运动型多功能车","SUV","其他"))))</f>
        <v>轿车</v>
      </c>
      <c r="K612" s="62" t="str">
        <f>IF(OR(D612="",NOT(F612=1)),"",1+SUMPRODUCT(($F$2:$F$1001=1)*($D$2:$D$1001&gt;D612))+COUNTIFS($F$2:F612,1,$D$2:D612,D612)-1)</f>
        <v/>
      </c>
      <c r="L612" s="62" t="str">
        <f>IF(OR(D612="",NOT(G612="轿车")),"",1+SUMPRODUCT(($G$2:$G$1001="轿车")*($D$2:$D$1001&gt;D612))+COUNTIFS($G$2:G612,"轿车",$D$2:D612,D612)-1)</f>
        <v/>
      </c>
      <c r="M612" s="62" t="str">
        <f>IF(OR(D612="",NOT(G612="MPV")),"",1+SUMPRODUCT(($G$2:$G$1001="MPV")*($D$2:$D$1001&gt;D612))+COUNTIFS($G$2:G612,"MPV",$D$2:D612,D612)-1)</f>
        <v/>
      </c>
      <c r="N612" s="62" t="str">
        <f>IF(OR(D612="",NOT(G612="SUV")),"",1+SUMPRODUCT(($G$2:$G$1001="SUV")*($D$2:$D$1001&gt;D612))+COUNTIFS($G$2:G612,"SUV",$D$2:D612,D612)-1)</f>
        <v/>
      </c>
      <c r="O612" s="62" t="str">
        <f>IF(OR(D612="",NOT(AND(F612=1,G612="轿车"))),"",1+SUMPRODUCT(($F$2:$F$1001=1)*($G$2:$G$1001="轿车")*($D$2:$D$1001&gt;D612))+COUNTIFS($F$2:F612,1,$G$2:G612,"轿车",$D$2:D612,D612)-1)</f>
        <v/>
      </c>
      <c r="P612" s="62" t="str">
        <f>IF(OR(D612="",NOT(AND(F612=1,G612="MPV"))),"",1+SUMPRODUCT(($F$2:$F$1001=1)*($G$2:$G$1001="MPV")*($D$2:$D$1001&gt;D612))+COUNTIFS($F$2:F612,1,$G$2:G612,"MPV",$D$2:D612,D612)-1)</f>
        <v/>
      </c>
      <c r="Q612" s="62" t="str">
        <f>IF(OR(D612="",NOT(AND(F612=1,G612="SUV"))),"",1+SUMPRODUCT(($F$2:$F$1001=1)*($G$2:$G$1001="SUV")*($D$2:$D$1001&gt;D612))+COUNTIFS($F$2:F612,1,$G$2:G612,"SUV",$D$2:D612,D612)-1)</f>
        <v/>
      </c>
    </row>
    <row r="613" spans="1:17">
      <c r="A613" s="62" t="str">
        <f>IFERROR(INDEX($H$2:$H$3000,MATCH(0,INDEX(COUNTIF($A$1:A612,$H$2:$H$3000)+($H$2:$H$3000=""),0,0),0)),"")</f>
        <v/>
      </c>
      <c r="B613" s="62" t="str">
        <f t="shared" si="36"/>
        <v/>
      </c>
      <c r="C613" s="62" t="str">
        <f t="shared" si="37"/>
        <v/>
      </c>
      <c r="D613" s="63" t="str">
        <f t="shared" si="38"/>
        <v/>
      </c>
      <c r="E613" s="62" t="str">
        <f>IF(D613="","",_xlfn.RANK.EQ(D613,$D$2:$D$1001,0)+COUNTIF($D$2:D613,D613)-1)</f>
        <v/>
      </c>
      <c r="F613" s="62" t="str">
        <f>IF(B613="","",--(COUNTIF(CN_Brands!$A$2:$A$300,UPPER(B613))&gt;0))</f>
        <v/>
      </c>
      <c r="G613" s="62" t="str">
        <f t="shared" si="39"/>
        <v/>
      </c>
      <c r="H613" s="62" t="str">
        <f>IF(AND('Data Export'!A613=前十整体车型排名!$B$2,'Data Export'!B613=前十整体车型排名!$B$3,'Data Export'!D613&lt;&gt;""),UPPER('Data Export'!C613)&amp;"♦"&amp;'Data Export'!D613,"")</f>
        <v>NISSAN♦OTHER</v>
      </c>
      <c r="I613" s="63">
        <f>IF(H613="","",IFERROR(INDEX('Data Export'!G613:CZ613,1,MATCH(前十整体车型排名!$B$4,'Data Export'!$G$1:$CZ$1,0)),0))</f>
        <v>1</v>
      </c>
      <c r="J613" s="62" t="str">
        <f>IF(H613="","",IF(OR('Data Export'!F613="三厢轿车",'Data Export'!F613="掀背轿车",'Data Export'!F613="旅行车",'Data Export'!F613="微型车",'Data Export'!F613="硬顶跑车",'Data Export'!F613="敞蓬车",'Data Export'!F613="Targa"),"轿车",IF(OR('Data Export'!F613="小型MPV",'Data Export'!F613="客车"),"MPV",IF('Data Export'!F613="运动型多功能车","SUV","其他"))))</f>
        <v>其他</v>
      </c>
      <c r="K613" s="62" t="str">
        <f>IF(OR(D613="",NOT(F613=1)),"",1+SUMPRODUCT(($F$2:$F$1001=1)*($D$2:$D$1001&gt;D613))+COUNTIFS($F$2:F613,1,$D$2:D613,D613)-1)</f>
        <v/>
      </c>
      <c r="L613" s="62" t="str">
        <f>IF(OR(D613="",NOT(G613="轿车")),"",1+SUMPRODUCT(($G$2:$G$1001="轿车")*($D$2:$D$1001&gt;D613))+COUNTIFS($G$2:G613,"轿车",$D$2:D613,D613)-1)</f>
        <v/>
      </c>
      <c r="M613" s="62" t="str">
        <f>IF(OR(D613="",NOT(G613="MPV")),"",1+SUMPRODUCT(($G$2:$G$1001="MPV")*($D$2:$D$1001&gt;D613))+COUNTIFS($G$2:G613,"MPV",$D$2:D613,D613)-1)</f>
        <v/>
      </c>
      <c r="N613" s="62" t="str">
        <f>IF(OR(D613="",NOT(G613="SUV")),"",1+SUMPRODUCT(($G$2:$G$1001="SUV")*($D$2:$D$1001&gt;D613))+COUNTIFS($G$2:G613,"SUV",$D$2:D613,D613)-1)</f>
        <v/>
      </c>
      <c r="O613" s="62" t="str">
        <f>IF(OR(D613="",NOT(AND(F613=1,G613="轿车"))),"",1+SUMPRODUCT(($F$2:$F$1001=1)*($G$2:$G$1001="轿车")*($D$2:$D$1001&gt;D613))+COUNTIFS($F$2:F613,1,$G$2:G613,"轿车",$D$2:D613,D613)-1)</f>
        <v/>
      </c>
      <c r="P613" s="62" t="str">
        <f>IF(OR(D613="",NOT(AND(F613=1,G613="MPV"))),"",1+SUMPRODUCT(($F$2:$F$1001=1)*($G$2:$G$1001="MPV")*($D$2:$D$1001&gt;D613))+COUNTIFS($F$2:F613,1,$G$2:G613,"MPV",$D$2:D613,D613)-1)</f>
        <v/>
      </c>
      <c r="Q613" s="62" t="str">
        <f>IF(OR(D613="",NOT(AND(F613=1,G613="SUV"))),"",1+SUMPRODUCT(($F$2:$F$1001=1)*($G$2:$G$1001="SUV")*($D$2:$D$1001&gt;D613))+COUNTIFS($F$2:F613,1,$G$2:G613,"SUV",$D$2:D613,D613)-1)</f>
        <v/>
      </c>
    </row>
    <row r="614" spans="1:17">
      <c r="A614" s="62" t="str">
        <f>IFERROR(INDEX($H$2:$H$3000,MATCH(0,INDEX(COUNTIF($A$1:A613,$H$2:$H$3000)+($H$2:$H$3000=""),0,0),0)),"")</f>
        <v/>
      </c>
      <c r="B614" s="62" t="str">
        <f t="shared" si="36"/>
        <v/>
      </c>
      <c r="C614" s="62" t="str">
        <f t="shared" si="37"/>
        <v/>
      </c>
      <c r="D614" s="63" t="str">
        <f t="shared" si="38"/>
        <v/>
      </c>
      <c r="E614" s="62" t="str">
        <f>IF(D614="","",_xlfn.RANK.EQ(D614,$D$2:$D$1001,0)+COUNTIF($D$2:D614,D614)-1)</f>
        <v/>
      </c>
      <c r="F614" s="62" t="str">
        <f>IF(B614="","",--(COUNTIF(CN_Brands!$A$2:$A$300,UPPER(B614))&gt;0))</f>
        <v/>
      </c>
      <c r="G614" s="62" t="str">
        <f t="shared" si="39"/>
        <v/>
      </c>
      <c r="H614" s="62" t="str">
        <f>IF(AND('Data Export'!A614=前十整体车型排名!$B$2,'Data Export'!B614=前十整体车型排名!$B$3,'Data Export'!D614&lt;&gt;""),UPPER('Data Export'!C614)&amp;"♦"&amp;'Data Export'!D614,"")</f>
        <v>NISSAN♦OTHER</v>
      </c>
      <c r="I614" s="63">
        <f>IF(H614="","",IFERROR(INDEX('Data Export'!G614:CZ614,1,MATCH(前十整体车型排名!$B$4,'Data Export'!$G$1:$CZ$1,0)),0))</f>
        <v>0</v>
      </c>
      <c r="J614" s="62" t="str">
        <f>IF(H614="","",IF(OR('Data Export'!F614="三厢轿车",'Data Export'!F614="掀背轿车",'Data Export'!F614="旅行车",'Data Export'!F614="微型车",'Data Export'!F614="硬顶跑车",'Data Export'!F614="敞蓬车",'Data Export'!F614="Targa"),"轿车",IF(OR('Data Export'!F614="小型MPV",'Data Export'!F614="客车"),"MPV",IF('Data Export'!F614="运动型多功能车","SUV","其他"))))</f>
        <v>其他</v>
      </c>
      <c r="K614" s="62" t="str">
        <f>IF(OR(D614="",NOT(F614=1)),"",1+SUMPRODUCT(($F$2:$F$1001=1)*($D$2:$D$1001&gt;D614))+COUNTIFS($F$2:F614,1,$D$2:D614,D614)-1)</f>
        <v/>
      </c>
      <c r="L614" s="62" t="str">
        <f>IF(OR(D614="",NOT(G614="轿车")),"",1+SUMPRODUCT(($G$2:$G$1001="轿车")*($D$2:$D$1001&gt;D614))+COUNTIFS($G$2:G614,"轿车",$D$2:D614,D614)-1)</f>
        <v/>
      </c>
      <c r="M614" s="62" t="str">
        <f>IF(OR(D614="",NOT(G614="MPV")),"",1+SUMPRODUCT(($G$2:$G$1001="MPV")*($D$2:$D$1001&gt;D614))+COUNTIFS($G$2:G614,"MPV",$D$2:D614,D614)-1)</f>
        <v/>
      </c>
      <c r="N614" s="62" t="str">
        <f>IF(OR(D614="",NOT(G614="SUV")),"",1+SUMPRODUCT(($G$2:$G$1001="SUV")*($D$2:$D$1001&gt;D614))+COUNTIFS($G$2:G614,"SUV",$D$2:D614,D614)-1)</f>
        <v/>
      </c>
      <c r="O614" s="62" t="str">
        <f>IF(OR(D614="",NOT(AND(F614=1,G614="轿车"))),"",1+SUMPRODUCT(($F$2:$F$1001=1)*($G$2:$G$1001="轿车")*($D$2:$D$1001&gt;D614))+COUNTIFS($F$2:F614,1,$G$2:G614,"轿车",$D$2:D614,D614)-1)</f>
        <v/>
      </c>
      <c r="P614" s="62" t="str">
        <f>IF(OR(D614="",NOT(AND(F614=1,G614="MPV"))),"",1+SUMPRODUCT(($F$2:$F$1001=1)*($G$2:$G$1001="MPV")*($D$2:$D$1001&gt;D614))+COUNTIFS($F$2:F614,1,$G$2:G614,"MPV",$D$2:D614,D614)-1)</f>
        <v/>
      </c>
      <c r="Q614" s="62" t="str">
        <f>IF(OR(D614="",NOT(AND(F614=1,G614="SUV"))),"",1+SUMPRODUCT(($F$2:$F$1001=1)*($G$2:$G$1001="SUV")*($D$2:$D$1001&gt;D614))+COUNTIFS($F$2:F614,1,$G$2:G614,"SUV",$D$2:D614,D614)-1)</f>
        <v/>
      </c>
    </row>
    <row r="615" spans="1:17">
      <c r="A615" s="62" t="str">
        <f>IFERROR(INDEX($H$2:$H$3000,MATCH(0,INDEX(COUNTIF($A$1:A614,$H$2:$H$3000)+($H$2:$H$3000=""),0,0),0)),"")</f>
        <v/>
      </c>
      <c r="B615" s="62" t="str">
        <f t="shared" si="36"/>
        <v/>
      </c>
      <c r="C615" s="62" t="str">
        <f t="shared" si="37"/>
        <v/>
      </c>
      <c r="D615" s="63" t="str">
        <f t="shared" si="38"/>
        <v/>
      </c>
      <c r="E615" s="62" t="str">
        <f>IF(D615="","",_xlfn.RANK.EQ(D615,$D$2:$D$1001,0)+COUNTIF($D$2:D615,D615)-1)</f>
        <v/>
      </c>
      <c r="F615" s="62" t="str">
        <f>IF(B615="","",--(COUNTIF(CN_Brands!$A$2:$A$300,UPPER(B615))&gt;0))</f>
        <v/>
      </c>
      <c r="G615" s="62" t="str">
        <f t="shared" si="39"/>
        <v/>
      </c>
      <c r="H615" s="62" t="str">
        <f>IF(AND('Data Export'!A615=前十整体车型排名!$B$2,'Data Export'!B615=前十整体车型排名!$B$3,'Data Export'!D615&lt;&gt;""),UPPER('Data Export'!C615)&amp;"♦"&amp;'Data Export'!D615,"")</f>
        <v>NISSAN♦OTHER</v>
      </c>
      <c r="I615" s="63">
        <f>IF(H615="","",IFERROR(INDEX('Data Export'!G615:CZ615,1,MATCH(前十整体车型排名!$B$4,'Data Export'!$G$1:$CZ$1,0)),0))</f>
        <v>0</v>
      </c>
      <c r="J615" s="62" t="str">
        <f>IF(H615="","",IF(OR('Data Export'!F615="三厢轿车",'Data Export'!F615="掀背轿车",'Data Export'!F615="旅行车",'Data Export'!F615="微型车",'Data Export'!F615="硬顶跑车",'Data Export'!F615="敞蓬车",'Data Export'!F615="Targa"),"轿车",IF(OR('Data Export'!F615="小型MPV",'Data Export'!F615="客车"),"MPV",IF('Data Export'!F615="运动型多功能车","SUV","其他"))))</f>
        <v>其他</v>
      </c>
      <c r="K615" s="62" t="str">
        <f>IF(OR(D615="",NOT(F615=1)),"",1+SUMPRODUCT(($F$2:$F$1001=1)*($D$2:$D$1001&gt;D615))+COUNTIFS($F$2:F615,1,$D$2:D615,D615)-1)</f>
        <v/>
      </c>
      <c r="L615" s="62" t="str">
        <f>IF(OR(D615="",NOT(G615="轿车")),"",1+SUMPRODUCT(($G$2:$G$1001="轿车")*($D$2:$D$1001&gt;D615))+COUNTIFS($G$2:G615,"轿车",$D$2:D615,D615)-1)</f>
        <v/>
      </c>
      <c r="M615" s="62" t="str">
        <f>IF(OR(D615="",NOT(G615="MPV")),"",1+SUMPRODUCT(($G$2:$G$1001="MPV")*($D$2:$D$1001&gt;D615))+COUNTIFS($G$2:G615,"MPV",$D$2:D615,D615)-1)</f>
        <v/>
      </c>
      <c r="N615" s="62" t="str">
        <f>IF(OR(D615="",NOT(G615="SUV")),"",1+SUMPRODUCT(($G$2:$G$1001="SUV")*($D$2:$D$1001&gt;D615))+COUNTIFS($G$2:G615,"SUV",$D$2:D615,D615)-1)</f>
        <v/>
      </c>
      <c r="O615" s="62" t="str">
        <f>IF(OR(D615="",NOT(AND(F615=1,G615="轿车"))),"",1+SUMPRODUCT(($F$2:$F$1001=1)*($G$2:$G$1001="轿车")*($D$2:$D$1001&gt;D615))+COUNTIFS($F$2:F615,1,$G$2:G615,"轿车",$D$2:D615,D615)-1)</f>
        <v/>
      </c>
      <c r="P615" s="62" t="str">
        <f>IF(OR(D615="",NOT(AND(F615=1,G615="MPV"))),"",1+SUMPRODUCT(($F$2:$F$1001=1)*($G$2:$G$1001="MPV")*($D$2:$D$1001&gt;D615))+COUNTIFS($F$2:F615,1,$G$2:G615,"MPV",$D$2:D615,D615)-1)</f>
        <v/>
      </c>
      <c r="Q615" s="62" t="str">
        <f>IF(OR(D615="",NOT(AND(F615=1,G615="SUV"))),"",1+SUMPRODUCT(($F$2:$F$1001=1)*($G$2:$G$1001="SUV")*($D$2:$D$1001&gt;D615))+COUNTIFS($F$2:F615,1,$G$2:G615,"SUV",$D$2:D615,D615)-1)</f>
        <v/>
      </c>
    </row>
    <row r="616" spans="1:17">
      <c r="A616" s="62" t="str">
        <f>IFERROR(INDEX($H$2:$H$3000,MATCH(0,INDEX(COUNTIF($A$1:A615,$H$2:$H$3000)+($H$2:$H$3000=""),0,0),0)),"")</f>
        <v/>
      </c>
      <c r="B616" s="62" t="str">
        <f t="shared" si="36"/>
        <v/>
      </c>
      <c r="C616" s="62" t="str">
        <f t="shared" si="37"/>
        <v/>
      </c>
      <c r="D616" s="63" t="str">
        <f t="shared" si="38"/>
        <v/>
      </c>
      <c r="E616" s="62" t="str">
        <f>IF(D616="","",_xlfn.RANK.EQ(D616,$D$2:$D$1001,0)+COUNTIF($D$2:D616,D616)-1)</f>
        <v/>
      </c>
      <c r="F616" s="62" t="str">
        <f>IF(B616="","",--(COUNTIF(CN_Brands!$A$2:$A$300,UPPER(B616))&gt;0))</f>
        <v/>
      </c>
      <c r="G616" s="62" t="str">
        <f t="shared" si="39"/>
        <v/>
      </c>
      <c r="H616" s="62" t="str">
        <f>IF(AND('Data Export'!A616=前十整体车型排名!$B$2,'Data Export'!B616=前十整体车型排名!$B$3,'Data Export'!D616&lt;&gt;""),UPPER('Data Export'!C616)&amp;"♦"&amp;'Data Export'!D616,"")</f>
        <v>NISSAN♦SERENA</v>
      </c>
      <c r="I616" s="63">
        <f>IF(H616="","",IFERROR(INDEX('Data Export'!G616:CZ616,1,MATCH(前十整体车型排名!$B$4,'Data Export'!$G$1:$CZ$1,0)),0))</f>
        <v>30</v>
      </c>
      <c r="J616" s="62" t="str">
        <f>IF(H616="","",IF(OR('Data Export'!F616="三厢轿车",'Data Export'!F616="掀背轿车",'Data Export'!F616="旅行车",'Data Export'!F616="微型车",'Data Export'!F616="硬顶跑车",'Data Export'!F616="敞蓬车",'Data Export'!F616="Targa"),"轿车",IF(OR('Data Export'!F616="小型MPV",'Data Export'!F616="客车"),"MPV",IF('Data Export'!F616="运动型多功能车","SUV","其他"))))</f>
        <v>其他</v>
      </c>
      <c r="K616" s="62" t="str">
        <f>IF(OR(D616="",NOT(F616=1)),"",1+SUMPRODUCT(($F$2:$F$1001=1)*($D$2:$D$1001&gt;D616))+COUNTIFS($F$2:F616,1,$D$2:D616,D616)-1)</f>
        <v/>
      </c>
      <c r="L616" s="62" t="str">
        <f>IF(OR(D616="",NOT(G616="轿车")),"",1+SUMPRODUCT(($G$2:$G$1001="轿车")*($D$2:$D$1001&gt;D616))+COUNTIFS($G$2:G616,"轿车",$D$2:D616,D616)-1)</f>
        <v/>
      </c>
      <c r="M616" s="62" t="str">
        <f>IF(OR(D616="",NOT(G616="MPV")),"",1+SUMPRODUCT(($G$2:$G$1001="MPV")*($D$2:$D$1001&gt;D616))+COUNTIFS($G$2:G616,"MPV",$D$2:D616,D616)-1)</f>
        <v/>
      </c>
      <c r="N616" s="62" t="str">
        <f>IF(OR(D616="",NOT(G616="SUV")),"",1+SUMPRODUCT(($G$2:$G$1001="SUV")*($D$2:$D$1001&gt;D616))+COUNTIFS($G$2:G616,"SUV",$D$2:D616,D616)-1)</f>
        <v/>
      </c>
      <c r="O616" s="62" t="str">
        <f>IF(OR(D616="",NOT(AND(F616=1,G616="轿车"))),"",1+SUMPRODUCT(($F$2:$F$1001=1)*($G$2:$G$1001="轿车")*($D$2:$D$1001&gt;D616))+COUNTIFS($F$2:F616,1,$G$2:G616,"轿车",$D$2:D616,D616)-1)</f>
        <v/>
      </c>
      <c r="P616" s="62" t="str">
        <f>IF(OR(D616="",NOT(AND(F616=1,G616="MPV"))),"",1+SUMPRODUCT(($F$2:$F$1001=1)*($G$2:$G$1001="MPV")*($D$2:$D$1001&gt;D616))+COUNTIFS($F$2:F616,1,$G$2:G616,"MPV",$D$2:D616,D616)-1)</f>
        <v/>
      </c>
      <c r="Q616" s="62" t="str">
        <f>IF(OR(D616="",NOT(AND(F616=1,G616="SUV"))),"",1+SUMPRODUCT(($F$2:$F$1001=1)*($G$2:$G$1001="SUV")*($D$2:$D$1001&gt;D616))+COUNTIFS($F$2:F616,1,$G$2:G616,"SUV",$D$2:D616,D616)-1)</f>
        <v/>
      </c>
    </row>
    <row r="617" spans="1:17">
      <c r="A617" s="62" t="str">
        <f>IFERROR(INDEX($H$2:$H$3000,MATCH(0,INDEX(COUNTIF($A$1:A616,$H$2:$H$3000)+($H$2:$H$3000=""),0,0),0)),"")</f>
        <v/>
      </c>
      <c r="B617" s="62" t="str">
        <f t="shared" si="36"/>
        <v/>
      </c>
      <c r="C617" s="62" t="str">
        <f t="shared" si="37"/>
        <v/>
      </c>
      <c r="D617" s="63" t="str">
        <f t="shared" si="38"/>
        <v/>
      </c>
      <c r="E617" s="62" t="str">
        <f>IF(D617="","",_xlfn.RANK.EQ(D617,$D$2:$D$1001,0)+COUNTIF($D$2:D617,D617)-1)</f>
        <v/>
      </c>
      <c r="F617" s="62" t="str">
        <f>IF(B617="","",--(COUNTIF(CN_Brands!$A$2:$A$300,UPPER(B617))&gt;0))</f>
        <v/>
      </c>
      <c r="G617" s="62" t="str">
        <f t="shared" si="39"/>
        <v/>
      </c>
      <c r="H617" s="62" t="str">
        <f>IF(AND('Data Export'!A617=前十整体车型排名!$B$2,'Data Export'!B617=前十整体车型排名!$B$3,'Data Export'!D617&lt;&gt;""),UPPER('Data Export'!C617)&amp;"♦"&amp;'Data Export'!D617,"")</f>
        <v>NISSAN♦SERENA</v>
      </c>
      <c r="I617" s="63">
        <f>IF(H617="","",IFERROR(INDEX('Data Export'!G617:CZ617,1,MATCH(前十整体车型排名!$B$4,'Data Export'!$G$1:$CZ$1,0)),0))</f>
        <v>113</v>
      </c>
      <c r="J617" s="62" t="str">
        <f>IF(H617="","",IF(OR('Data Export'!F617="三厢轿车",'Data Export'!F617="掀背轿车",'Data Export'!F617="旅行车",'Data Export'!F617="微型车",'Data Export'!F617="硬顶跑车",'Data Export'!F617="敞蓬车",'Data Export'!F617="Targa"),"轿车",IF(OR('Data Export'!F617="小型MPV",'Data Export'!F617="客车"),"MPV",IF('Data Export'!F617="运动型多功能车","SUV","其他"))))</f>
        <v>其他</v>
      </c>
      <c r="K617" s="62" t="str">
        <f>IF(OR(D617="",NOT(F617=1)),"",1+SUMPRODUCT(($F$2:$F$1001=1)*($D$2:$D$1001&gt;D617))+COUNTIFS($F$2:F617,1,$D$2:D617,D617)-1)</f>
        <v/>
      </c>
      <c r="L617" s="62" t="str">
        <f>IF(OR(D617="",NOT(G617="轿车")),"",1+SUMPRODUCT(($G$2:$G$1001="轿车")*($D$2:$D$1001&gt;D617))+COUNTIFS($G$2:G617,"轿车",$D$2:D617,D617)-1)</f>
        <v/>
      </c>
      <c r="M617" s="62" t="str">
        <f>IF(OR(D617="",NOT(G617="MPV")),"",1+SUMPRODUCT(($G$2:$G$1001="MPV")*($D$2:$D$1001&gt;D617))+COUNTIFS($G$2:G617,"MPV",$D$2:D617,D617)-1)</f>
        <v/>
      </c>
      <c r="N617" s="62" t="str">
        <f>IF(OR(D617="",NOT(G617="SUV")),"",1+SUMPRODUCT(($G$2:$G$1001="SUV")*($D$2:$D$1001&gt;D617))+COUNTIFS($G$2:G617,"SUV",$D$2:D617,D617)-1)</f>
        <v/>
      </c>
      <c r="O617" s="62" t="str">
        <f>IF(OR(D617="",NOT(AND(F617=1,G617="轿车"))),"",1+SUMPRODUCT(($F$2:$F$1001=1)*($G$2:$G$1001="轿车")*($D$2:$D$1001&gt;D617))+COUNTIFS($F$2:F617,1,$G$2:G617,"轿车",$D$2:D617,D617)-1)</f>
        <v/>
      </c>
      <c r="P617" s="62" t="str">
        <f>IF(OR(D617="",NOT(AND(F617=1,G617="MPV"))),"",1+SUMPRODUCT(($F$2:$F$1001=1)*($G$2:$G$1001="MPV")*($D$2:$D$1001&gt;D617))+COUNTIFS($F$2:F617,1,$G$2:G617,"MPV",$D$2:D617,D617)-1)</f>
        <v/>
      </c>
      <c r="Q617" s="62" t="str">
        <f>IF(OR(D617="",NOT(AND(F617=1,G617="SUV"))),"",1+SUMPRODUCT(($F$2:$F$1001=1)*($G$2:$G$1001="SUV")*($D$2:$D$1001&gt;D617))+COUNTIFS($F$2:F617,1,$G$2:G617,"SUV",$D$2:D617,D617)-1)</f>
        <v/>
      </c>
    </row>
    <row r="618" spans="1:17">
      <c r="A618" s="62" t="str">
        <f>IFERROR(INDEX($H$2:$H$3000,MATCH(0,INDEX(COUNTIF($A$1:A617,$H$2:$H$3000)+($H$2:$H$3000=""),0,0),0)),"")</f>
        <v/>
      </c>
      <c r="B618" s="62" t="str">
        <f t="shared" si="36"/>
        <v/>
      </c>
      <c r="C618" s="62" t="str">
        <f t="shared" si="37"/>
        <v/>
      </c>
      <c r="D618" s="63" t="str">
        <f t="shared" si="38"/>
        <v/>
      </c>
      <c r="E618" s="62" t="str">
        <f>IF(D618="","",_xlfn.RANK.EQ(D618,$D$2:$D$1001,0)+COUNTIF($D$2:D618,D618)-1)</f>
        <v/>
      </c>
      <c r="F618" s="62" t="str">
        <f>IF(B618="","",--(COUNTIF(CN_Brands!$A$2:$A$300,UPPER(B618))&gt;0))</f>
        <v/>
      </c>
      <c r="G618" s="62" t="str">
        <f t="shared" si="39"/>
        <v/>
      </c>
      <c r="H618" s="62" t="str">
        <f>IF(AND('Data Export'!A618=前十整体车型排名!$B$2,'Data Export'!B618=前十整体车型排名!$B$3,'Data Export'!D618&lt;&gt;""),UPPER('Data Export'!C618)&amp;"♦"&amp;'Data Export'!D618,"")</f>
        <v>NISSAN♦SYLPHY</v>
      </c>
      <c r="I618" s="63">
        <f>IF(H618="","",IFERROR(INDEX('Data Export'!G618:CZ618,1,MATCH(前十整体车型排名!$B$4,'Data Export'!$G$1:$CZ$1,0)),0))</f>
        <v>4</v>
      </c>
      <c r="J618" s="62" t="str">
        <f>IF(H618="","",IF(OR('Data Export'!F618="三厢轿车",'Data Export'!F618="掀背轿车",'Data Export'!F618="旅行车",'Data Export'!F618="微型车",'Data Export'!F618="硬顶跑车",'Data Export'!F618="敞蓬车",'Data Export'!F618="Targa"),"轿车",IF(OR('Data Export'!F618="小型MPV",'Data Export'!F618="客车"),"MPV",IF('Data Export'!F618="运动型多功能车","SUV","其他"))))</f>
        <v>轿车</v>
      </c>
      <c r="K618" s="62" t="str">
        <f>IF(OR(D618="",NOT(F618=1)),"",1+SUMPRODUCT(($F$2:$F$1001=1)*($D$2:$D$1001&gt;D618))+COUNTIFS($F$2:F618,1,$D$2:D618,D618)-1)</f>
        <v/>
      </c>
      <c r="L618" s="62" t="str">
        <f>IF(OR(D618="",NOT(G618="轿车")),"",1+SUMPRODUCT(($G$2:$G$1001="轿车")*($D$2:$D$1001&gt;D618))+COUNTIFS($G$2:G618,"轿车",$D$2:D618,D618)-1)</f>
        <v/>
      </c>
      <c r="M618" s="62" t="str">
        <f>IF(OR(D618="",NOT(G618="MPV")),"",1+SUMPRODUCT(($G$2:$G$1001="MPV")*($D$2:$D$1001&gt;D618))+COUNTIFS($G$2:G618,"MPV",$D$2:D618,D618)-1)</f>
        <v/>
      </c>
      <c r="N618" s="62" t="str">
        <f>IF(OR(D618="",NOT(G618="SUV")),"",1+SUMPRODUCT(($G$2:$G$1001="SUV")*($D$2:$D$1001&gt;D618))+COUNTIFS($G$2:G618,"SUV",$D$2:D618,D618)-1)</f>
        <v/>
      </c>
      <c r="O618" s="62" t="str">
        <f>IF(OR(D618="",NOT(AND(F618=1,G618="轿车"))),"",1+SUMPRODUCT(($F$2:$F$1001=1)*($G$2:$G$1001="轿车")*($D$2:$D$1001&gt;D618))+COUNTIFS($F$2:F618,1,$G$2:G618,"轿车",$D$2:D618,D618)-1)</f>
        <v/>
      </c>
      <c r="P618" s="62" t="str">
        <f>IF(OR(D618="",NOT(AND(F618=1,G618="MPV"))),"",1+SUMPRODUCT(($F$2:$F$1001=1)*($G$2:$G$1001="MPV")*($D$2:$D$1001&gt;D618))+COUNTIFS($F$2:F618,1,$G$2:G618,"MPV",$D$2:D618,D618)-1)</f>
        <v/>
      </c>
      <c r="Q618" s="62" t="str">
        <f>IF(OR(D618="",NOT(AND(F618=1,G618="SUV"))),"",1+SUMPRODUCT(($F$2:$F$1001=1)*($G$2:$G$1001="SUV")*($D$2:$D$1001&gt;D618))+COUNTIFS($F$2:F618,1,$G$2:G618,"SUV",$D$2:D618,D618)-1)</f>
        <v/>
      </c>
    </row>
    <row r="619" spans="1:17">
      <c r="A619" s="62" t="str">
        <f>IFERROR(INDEX($H$2:$H$3000,MATCH(0,INDEX(COUNTIF($A$1:A618,$H$2:$H$3000)+($H$2:$H$3000=""),0,0),0)),"")</f>
        <v/>
      </c>
      <c r="B619" s="62" t="str">
        <f t="shared" si="36"/>
        <v/>
      </c>
      <c r="C619" s="62" t="str">
        <f t="shared" si="37"/>
        <v/>
      </c>
      <c r="D619" s="63" t="str">
        <f t="shared" si="38"/>
        <v/>
      </c>
      <c r="E619" s="62" t="str">
        <f>IF(D619="","",_xlfn.RANK.EQ(D619,$D$2:$D$1001,0)+COUNTIF($D$2:D619,D619)-1)</f>
        <v/>
      </c>
      <c r="F619" s="62" t="str">
        <f>IF(B619="","",--(COUNTIF(CN_Brands!$A$2:$A$300,UPPER(B619))&gt;0))</f>
        <v/>
      </c>
      <c r="G619" s="62" t="str">
        <f t="shared" si="39"/>
        <v/>
      </c>
      <c r="H619" s="62" t="str">
        <f>IF(AND('Data Export'!A619=前十整体车型排名!$B$2,'Data Export'!B619=前十整体车型排名!$B$3,'Data Export'!D619&lt;&gt;""),UPPER('Data Export'!C619)&amp;"♦"&amp;'Data Export'!D619,"")</f>
        <v>NISSAN♦SYLPHY</v>
      </c>
      <c r="I619" s="63">
        <f>IF(H619="","",IFERROR(INDEX('Data Export'!G619:CZ619,1,MATCH(前十整体车型排名!$B$4,'Data Export'!$G$1:$CZ$1,0)),0))</f>
        <v>0</v>
      </c>
      <c r="J619" s="62" t="str">
        <f>IF(H619="","",IF(OR('Data Export'!F619="三厢轿车",'Data Export'!F619="掀背轿车",'Data Export'!F619="旅行车",'Data Export'!F619="微型车",'Data Export'!F619="硬顶跑车",'Data Export'!F619="敞蓬车",'Data Export'!F619="Targa"),"轿车",IF(OR('Data Export'!F619="小型MPV",'Data Export'!F619="客车"),"MPV",IF('Data Export'!F619="运动型多功能车","SUV","其他"))))</f>
        <v>轿车</v>
      </c>
      <c r="K619" s="62" t="str">
        <f>IF(OR(D619="",NOT(F619=1)),"",1+SUMPRODUCT(($F$2:$F$1001=1)*($D$2:$D$1001&gt;D619))+COUNTIFS($F$2:F619,1,$D$2:D619,D619)-1)</f>
        <v/>
      </c>
      <c r="L619" s="62" t="str">
        <f>IF(OR(D619="",NOT(G619="轿车")),"",1+SUMPRODUCT(($G$2:$G$1001="轿车")*($D$2:$D$1001&gt;D619))+COUNTIFS($G$2:G619,"轿车",$D$2:D619,D619)-1)</f>
        <v/>
      </c>
      <c r="M619" s="62" t="str">
        <f>IF(OR(D619="",NOT(G619="MPV")),"",1+SUMPRODUCT(($G$2:$G$1001="MPV")*($D$2:$D$1001&gt;D619))+COUNTIFS($G$2:G619,"MPV",$D$2:D619,D619)-1)</f>
        <v/>
      </c>
      <c r="N619" s="62" t="str">
        <f>IF(OR(D619="",NOT(G619="SUV")),"",1+SUMPRODUCT(($G$2:$G$1001="SUV")*($D$2:$D$1001&gt;D619))+COUNTIFS($G$2:G619,"SUV",$D$2:D619,D619)-1)</f>
        <v/>
      </c>
      <c r="O619" s="62" t="str">
        <f>IF(OR(D619="",NOT(AND(F619=1,G619="轿车"))),"",1+SUMPRODUCT(($F$2:$F$1001=1)*($G$2:$G$1001="轿车")*($D$2:$D$1001&gt;D619))+COUNTIFS($F$2:F619,1,$G$2:G619,"轿车",$D$2:D619,D619)-1)</f>
        <v/>
      </c>
      <c r="P619" s="62" t="str">
        <f>IF(OR(D619="",NOT(AND(F619=1,G619="MPV"))),"",1+SUMPRODUCT(($F$2:$F$1001=1)*($G$2:$G$1001="MPV")*($D$2:$D$1001&gt;D619))+COUNTIFS($F$2:F619,1,$G$2:G619,"MPV",$D$2:D619,D619)-1)</f>
        <v/>
      </c>
      <c r="Q619" s="62" t="str">
        <f>IF(OR(D619="",NOT(AND(F619=1,G619="SUV"))),"",1+SUMPRODUCT(($F$2:$F$1001=1)*($G$2:$G$1001="SUV")*($D$2:$D$1001&gt;D619))+COUNTIFS($F$2:F619,1,$G$2:G619,"SUV",$D$2:D619,D619)-1)</f>
        <v/>
      </c>
    </row>
    <row r="620" spans="1:17">
      <c r="A620" s="62" t="str">
        <f>IFERROR(INDEX($H$2:$H$3000,MATCH(0,INDEX(COUNTIF($A$1:A619,$H$2:$H$3000)+($H$2:$H$3000=""),0,0),0)),"")</f>
        <v/>
      </c>
      <c r="B620" s="62" t="str">
        <f t="shared" si="36"/>
        <v/>
      </c>
      <c r="C620" s="62" t="str">
        <f t="shared" si="37"/>
        <v/>
      </c>
      <c r="D620" s="63" t="str">
        <f t="shared" si="38"/>
        <v/>
      </c>
      <c r="E620" s="62" t="str">
        <f>IF(D620="","",_xlfn.RANK.EQ(D620,$D$2:$D$1001,0)+COUNTIF($D$2:D620,D620)-1)</f>
        <v/>
      </c>
      <c r="F620" s="62" t="str">
        <f>IF(B620="","",--(COUNTIF(CN_Brands!$A$2:$A$300,UPPER(B620))&gt;0))</f>
        <v/>
      </c>
      <c r="G620" s="62" t="str">
        <f t="shared" si="39"/>
        <v/>
      </c>
      <c r="H620" s="62" t="str">
        <f>IF(AND('Data Export'!A620=前十整体车型排名!$B$2,'Data Export'!B620=前十整体车型排名!$B$3,'Data Export'!D620&lt;&gt;""),UPPER('Data Export'!C620)&amp;"♦"&amp;'Data Export'!D620,"")</f>
        <v>NISSAN♦TEANA</v>
      </c>
      <c r="I620" s="63">
        <f>IF(H620="","",IFERROR(INDEX('Data Export'!G620:CZ620,1,MATCH(前十整体车型排名!$B$4,'Data Export'!$G$1:$CZ$1,0)),0))</f>
        <v>0</v>
      </c>
      <c r="J620" s="62" t="str">
        <f>IF(H620="","",IF(OR('Data Export'!F620="三厢轿车",'Data Export'!F620="掀背轿车",'Data Export'!F620="旅行车",'Data Export'!F620="微型车",'Data Export'!F620="硬顶跑车",'Data Export'!F620="敞蓬车",'Data Export'!F620="Targa"),"轿车",IF(OR('Data Export'!F620="小型MPV",'Data Export'!F620="客车"),"MPV",IF('Data Export'!F620="运动型多功能车","SUV","其他"))))</f>
        <v>轿车</v>
      </c>
      <c r="K620" s="62" t="str">
        <f>IF(OR(D620="",NOT(F620=1)),"",1+SUMPRODUCT(($F$2:$F$1001=1)*($D$2:$D$1001&gt;D620))+COUNTIFS($F$2:F620,1,$D$2:D620,D620)-1)</f>
        <v/>
      </c>
      <c r="L620" s="62" t="str">
        <f>IF(OR(D620="",NOT(G620="轿车")),"",1+SUMPRODUCT(($G$2:$G$1001="轿车")*($D$2:$D$1001&gt;D620))+COUNTIFS($G$2:G620,"轿车",$D$2:D620,D620)-1)</f>
        <v/>
      </c>
      <c r="M620" s="62" t="str">
        <f>IF(OR(D620="",NOT(G620="MPV")),"",1+SUMPRODUCT(($G$2:$G$1001="MPV")*($D$2:$D$1001&gt;D620))+COUNTIFS($G$2:G620,"MPV",$D$2:D620,D620)-1)</f>
        <v/>
      </c>
      <c r="N620" s="62" t="str">
        <f>IF(OR(D620="",NOT(G620="SUV")),"",1+SUMPRODUCT(($G$2:$G$1001="SUV")*($D$2:$D$1001&gt;D620))+COUNTIFS($G$2:G620,"SUV",$D$2:D620,D620)-1)</f>
        <v/>
      </c>
      <c r="O620" s="62" t="str">
        <f>IF(OR(D620="",NOT(AND(F620=1,G620="轿车"))),"",1+SUMPRODUCT(($F$2:$F$1001=1)*($G$2:$G$1001="轿车")*($D$2:$D$1001&gt;D620))+COUNTIFS($F$2:F620,1,$G$2:G620,"轿车",$D$2:D620,D620)-1)</f>
        <v/>
      </c>
      <c r="P620" s="62" t="str">
        <f>IF(OR(D620="",NOT(AND(F620=1,G620="MPV"))),"",1+SUMPRODUCT(($F$2:$F$1001=1)*($G$2:$G$1001="MPV")*($D$2:$D$1001&gt;D620))+COUNTIFS($F$2:F620,1,$G$2:G620,"MPV",$D$2:D620,D620)-1)</f>
        <v/>
      </c>
      <c r="Q620" s="62" t="str">
        <f>IF(OR(D620="",NOT(AND(F620=1,G620="SUV"))),"",1+SUMPRODUCT(($F$2:$F$1001=1)*($G$2:$G$1001="SUV")*($D$2:$D$1001&gt;D620))+COUNTIFS($F$2:F620,1,$G$2:G620,"SUV",$D$2:D620,D620)-1)</f>
        <v/>
      </c>
    </row>
    <row r="621" spans="1:17">
      <c r="A621" s="62" t="str">
        <f>IFERROR(INDEX($H$2:$H$3000,MATCH(0,INDEX(COUNTIF($A$1:A620,$H$2:$H$3000)+($H$2:$H$3000=""),0,0),0)),"")</f>
        <v/>
      </c>
      <c r="B621" s="62" t="str">
        <f t="shared" si="36"/>
        <v/>
      </c>
      <c r="C621" s="62" t="str">
        <f t="shared" si="37"/>
        <v/>
      </c>
      <c r="D621" s="63" t="str">
        <f t="shared" si="38"/>
        <v/>
      </c>
      <c r="E621" s="62" t="str">
        <f>IF(D621="","",_xlfn.RANK.EQ(D621,$D$2:$D$1001,0)+COUNTIF($D$2:D621,D621)-1)</f>
        <v/>
      </c>
      <c r="F621" s="62" t="str">
        <f>IF(B621="","",--(COUNTIF(CN_Brands!$A$2:$A$300,UPPER(B621))&gt;0))</f>
        <v/>
      </c>
      <c r="G621" s="62" t="str">
        <f t="shared" si="39"/>
        <v/>
      </c>
      <c r="H621" s="62" t="str">
        <f>IF(AND('Data Export'!A621=前十整体车型排名!$B$2,'Data Export'!B621=前十整体车型排名!$B$3,'Data Export'!D621&lt;&gt;""),UPPER('Data Export'!C621)&amp;"♦"&amp;'Data Export'!D621,"")</f>
        <v>NISSAN♦TERRA</v>
      </c>
      <c r="I621" s="63">
        <f>IF(H621="","",IFERROR(INDEX('Data Export'!G621:CZ621,1,MATCH(前十整体车型排名!$B$4,'Data Export'!$G$1:$CZ$1,0)),0))</f>
        <v>1</v>
      </c>
      <c r="J621" s="62" t="str">
        <f>IF(H621="","",IF(OR('Data Export'!F621="三厢轿车",'Data Export'!F621="掀背轿车",'Data Export'!F621="旅行车",'Data Export'!F621="微型车",'Data Export'!F621="硬顶跑车",'Data Export'!F621="敞蓬车",'Data Export'!F621="Targa"),"轿车",IF(OR('Data Export'!F621="小型MPV",'Data Export'!F621="客车"),"MPV",IF('Data Export'!F621="运动型多功能车","SUV","其他"))))</f>
        <v>SUV</v>
      </c>
      <c r="K621" s="62" t="str">
        <f>IF(OR(D621="",NOT(F621=1)),"",1+SUMPRODUCT(($F$2:$F$1001=1)*($D$2:$D$1001&gt;D621))+COUNTIFS($F$2:F621,1,$D$2:D621,D621)-1)</f>
        <v/>
      </c>
      <c r="L621" s="62" t="str">
        <f>IF(OR(D621="",NOT(G621="轿车")),"",1+SUMPRODUCT(($G$2:$G$1001="轿车")*($D$2:$D$1001&gt;D621))+COUNTIFS($G$2:G621,"轿车",$D$2:D621,D621)-1)</f>
        <v/>
      </c>
      <c r="M621" s="62" t="str">
        <f>IF(OR(D621="",NOT(G621="MPV")),"",1+SUMPRODUCT(($G$2:$G$1001="MPV")*($D$2:$D$1001&gt;D621))+COUNTIFS($G$2:G621,"MPV",$D$2:D621,D621)-1)</f>
        <v/>
      </c>
      <c r="N621" s="62" t="str">
        <f>IF(OR(D621="",NOT(G621="SUV")),"",1+SUMPRODUCT(($G$2:$G$1001="SUV")*($D$2:$D$1001&gt;D621))+COUNTIFS($G$2:G621,"SUV",$D$2:D621,D621)-1)</f>
        <v/>
      </c>
      <c r="O621" s="62" t="str">
        <f>IF(OR(D621="",NOT(AND(F621=1,G621="轿车"))),"",1+SUMPRODUCT(($F$2:$F$1001=1)*($G$2:$G$1001="轿车")*($D$2:$D$1001&gt;D621))+COUNTIFS($F$2:F621,1,$G$2:G621,"轿车",$D$2:D621,D621)-1)</f>
        <v/>
      </c>
      <c r="P621" s="62" t="str">
        <f>IF(OR(D621="",NOT(AND(F621=1,G621="MPV"))),"",1+SUMPRODUCT(($F$2:$F$1001=1)*($G$2:$G$1001="MPV")*($D$2:$D$1001&gt;D621))+COUNTIFS($F$2:F621,1,$G$2:G621,"MPV",$D$2:D621,D621)-1)</f>
        <v/>
      </c>
      <c r="Q621" s="62" t="str">
        <f>IF(OR(D621="",NOT(AND(F621=1,G621="SUV"))),"",1+SUMPRODUCT(($F$2:$F$1001=1)*($G$2:$G$1001="SUV")*($D$2:$D$1001&gt;D621))+COUNTIFS($F$2:F621,1,$G$2:G621,"SUV",$D$2:D621,D621)-1)</f>
        <v/>
      </c>
    </row>
    <row r="622" spans="1:17">
      <c r="A622" s="62" t="str">
        <f>IFERROR(INDEX($H$2:$H$3000,MATCH(0,INDEX(COUNTIF($A$1:A621,$H$2:$H$3000)+($H$2:$H$3000=""),0,0),0)),"")</f>
        <v/>
      </c>
      <c r="B622" s="62" t="str">
        <f t="shared" si="36"/>
        <v/>
      </c>
      <c r="C622" s="62" t="str">
        <f t="shared" si="37"/>
        <v/>
      </c>
      <c r="D622" s="63" t="str">
        <f t="shared" si="38"/>
        <v/>
      </c>
      <c r="E622" s="62" t="str">
        <f>IF(D622="","",_xlfn.RANK.EQ(D622,$D$2:$D$1001,0)+COUNTIF($D$2:D622,D622)-1)</f>
        <v/>
      </c>
      <c r="F622" s="62" t="str">
        <f>IF(B622="","",--(COUNTIF(CN_Brands!$A$2:$A$300,UPPER(B622))&gt;0))</f>
        <v/>
      </c>
      <c r="G622" s="62" t="str">
        <f t="shared" si="39"/>
        <v/>
      </c>
      <c r="H622" s="62" t="str">
        <f>IF(AND('Data Export'!A622=前十整体车型排名!$B$2,'Data Export'!B622=前十整体车型排名!$B$3,'Data Export'!D622&lt;&gt;""),UPPER('Data Export'!C622)&amp;"♦"&amp;'Data Export'!D622,"")</f>
        <v>NISSAN♦X-TRAIL</v>
      </c>
      <c r="I622" s="63">
        <f>IF(H622="","",IFERROR(INDEX('Data Export'!G622:CZ622,1,MATCH(前十整体车型排名!$B$4,'Data Export'!$G$1:$CZ$1,0)),0))</f>
        <v>23</v>
      </c>
      <c r="J622" s="62" t="str">
        <f>IF(H622="","",IF(OR('Data Export'!F622="三厢轿车",'Data Export'!F622="掀背轿车",'Data Export'!F622="旅行车",'Data Export'!F622="微型车",'Data Export'!F622="硬顶跑车",'Data Export'!F622="敞蓬车",'Data Export'!F622="Targa"),"轿车",IF(OR('Data Export'!F622="小型MPV",'Data Export'!F622="客车"),"MPV",IF('Data Export'!F622="运动型多功能车","SUV","其他"))))</f>
        <v>SUV</v>
      </c>
      <c r="K622" s="62" t="str">
        <f>IF(OR(D622="",NOT(F622=1)),"",1+SUMPRODUCT(($F$2:$F$1001=1)*($D$2:$D$1001&gt;D622))+COUNTIFS($F$2:F622,1,$D$2:D622,D622)-1)</f>
        <v/>
      </c>
      <c r="L622" s="62" t="str">
        <f>IF(OR(D622="",NOT(G622="轿车")),"",1+SUMPRODUCT(($G$2:$G$1001="轿车")*($D$2:$D$1001&gt;D622))+COUNTIFS($G$2:G622,"轿车",$D$2:D622,D622)-1)</f>
        <v/>
      </c>
      <c r="M622" s="62" t="str">
        <f>IF(OR(D622="",NOT(G622="MPV")),"",1+SUMPRODUCT(($G$2:$G$1001="MPV")*($D$2:$D$1001&gt;D622))+COUNTIFS($G$2:G622,"MPV",$D$2:D622,D622)-1)</f>
        <v/>
      </c>
      <c r="N622" s="62" t="str">
        <f>IF(OR(D622="",NOT(G622="SUV")),"",1+SUMPRODUCT(($G$2:$G$1001="SUV")*($D$2:$D$1001&gt;D622))+COUNTIFS($G$2:G622,"SUV",$D$2:D622,D622)-1)</f>
        <v/>
      </c>
      <c r="O622" s="62" t="str">
        <f>IF(OR(D622="",NOT(AND(F622=1,G622="轿车"))),"",1+SUMPRODUCT(($F$2:$F$1001=1)*($G$2:$G$1001="轿车")*($D$2:$D$1001&gt;D622))+COUNTIFS($F$2:F622,1,$G$2:G622,"轿车",$D$2:D622,D622)-1)</f>
        <v/>
      </c>
      <c r="P622" s="62" t="str">
        <f>IF(OR(D622="",NOT(AND(F622=1,G622="MPV"))),"",1+SUMPRODUCT(($F$2:$F$1001=1)*($G$2:$G$1001="MPV")*($D$2:$D$1001&gt;D622))+COUNTIFS($F$2:F622,1,$G$2:G622,"MPV",$D$2:D622,D622)-1)</f>
        <v/>
      </c>
      <c r="Q622" s="62" t="str">
        <f>IF(OR(D622="",NOT(AND(F622=1,G622="SUV"))),"",1+SUMPRODUCT(($F$2:$F$1001=1)*($G$2:$G$1001="SUV")*($D$2:$D$1001&gt;D622))+COUNTIFS($F$2:F622,1,$G$2:G622,"SUV",$D$2:D622,D622)-1)</f>
        <v/>
      </c>
    </row>
    <row r="623" spans="1:17">
      <c r="A623" s="62" t="str">
        <f>IFERROR(INDEX($H$2:$H$3000,MATCH(0,INDEX(COUNTIF($A$1:A622,$H$2:$H$3000)+($H$2:$H$3000=""),0,0),0)),"")</f>
        <v/>
      </c>
      <c r="B623" s="62" t="str">
        <f t="shared" si="36"/>
        <v/>
      </c>
      <c r="C623" s="62" t="str">
        <f t="shared" si="37"/>
        <v/>
      </c>
      <c r="D623" s="63" t="str">
        <f t="shared" si="38"/>
        <v/>
      </c>
      <c r="E623" s="62" t="str">
        <f>IF(D623="","",_xlfn.RANK.EQ(D623,$D$2:$D$1001,0)+COUNTIF($D$2:D623,D623)-1)</f>
        <v/>
      </c>
      <c r="F623" s="62" t="str">
        <f>IF(B623="","",--(COUNTIF(CN_Brands!$A$2:$A$300,UPPER(B623))&gt;0))</f>
        <v/>
      </c>
      <c r="G623" s="62" t="str">
        <f t="shared" si="39"/>
        <v/>
      </c>
      <c r="H623" s="62" t="str">
        <f>IF(AND('Data Export'!A623=前十整体车型排名!$B$2,'Data Export'!B623=前十整体车型排名!$B$3,'Data Export'!D623&lt;&gt;""),UPPER('Data Export'!C623)&amp;"♦"&amp;'Data Export'!D623,"")</f>
        <v>OMODA♦C5</v>
      </c>
      <c r="I623" s="63">
        <f>IF(H623="","",IFERROR(INDEX('Data Export'!G623:CZ623,1,MATCH(前十整体车型排名!$B$4,'Data Export'!$G$1:$CZ$1,0)),0))</f>
        <v>0</v>
      </c>
      <c r="J623" s="62" t="str">
        <f>IF(H623="","",IF(OR('Data Export'!F623="三厢轿车",'Data Export'!F623="掀背轿车",'Data Export'!F623="旅行车",'Data Export'!F623="微型车",'Data Export'!F623="硬顶跑车",'Data Export'!F623="敞蓬车",'Data Export'!F623="Targa"),"轿车",IF(OR('Data Export'!F623="小型MPV",'Data Export'!F623="客车"),"MPV",IF('Data Export'!F623="运动型多功能车","SUV","其他"))))</f>
        <v>SUV</v>
      </c>
      <c r="K623" s="62" t="str">
        <f>IF(OR(D623="",NOT(F623=1)),"",1+SUMPRODUCT(($F$2:$F$1001=1)*($D$2:$D$1001&gt;D623))+COUNTIFS($F$2:F623,1,$D$2:D623,D623)-1)</f>
        <v/>
      </c>
      <c r="L623" s="62" t="str">
        <f>IF(OR(D623="",NOT(G623="轿车")),"",1+SUMPRODUCT(($G$2:$G$1001="轿车")*($D$2:$D$1001&gt;D623))+COUNTIFS($G$2:G623,"轿车",$D$2:D623,D623)-1)</f>
        <v/>
      </c>
      <c r="M623" s="62" t="str">
        <f>IF(OR(D623="",NOT(G623="MPV")),"",1+SUMPRODUCT(($G$2:$G$1001="MPV")*($D$2:$D$1001&gt;D623))+COUNTIFS($G$2:G623,"MPV",$D$2:D623,D623)-1)</f>
        <v/>
      </c>
      <c r="N623" s="62" t="str">
        <f>IF(OR(D623="",NOT(G623="SUV")),"",1+SUMPRODUCT(($G$2:$G$1001="SUV")*($D$2:$D$1001&gt;D623))+COUNTIFS($G$2:G623,"SUV",$D$2:D623,D623)-1)</f>
        <v/>
      </c>
      <c r="O623" s="62" t="str">
        <f>IF(OR(D623="",NOT(AND(F623=1,G623="轿车"))),"",1+SUMPRODUCT(($F$2:$F$1001=1)*($G$2:$G$1001="轿车")*($D$2:$D$1001&gt;D623))+COUNTIFS($F$2:F623,1,$G$2:G623,"轿车",$D$2:D623,D623)-1)</f>
        <v/>
      </c>
      <c r="P623" s="62" t="str">
        <f>IF(OR(D623="",NOT(AND(F623=1,G623="MPV"))),"",1+SUMPRODUCT(($F$2:$F$1001=1)*($G$2:$G$1001="MPV")*($D$2:$D$1001&gt;D623))+COUNTIFS($F$2:F623,1,$G$2:G623,"MPV",$D$2:D623,D623)-1)</f>
        <v/>
      </c>
      <c r="Q623" s="62" t="str">
        <f>IF(OR(D623="",NOT(AND(F623=1,G623="SUV"))),"",1+SUMPRODUCT(($F$2:$F$1001=1)*($G$2:$G$1001="SUV")*($D$2:$D$1001&gt;D623))+COUNTIFS($F$2:F623,1,$G$2:G623,"SUV",$D$2:D623,D623)-1)</f>
        <v/>
      </c>
    </row>
    <row r="624" spans="1:17">
      <c r="A624" s="62" t="str">
        <f>IFERROR(INDEX($H$2:$H$3000,MATCH(0,INDEX(COUNTIF($A$1:A623,$H$2:$H$3000)+($H$2:$H$3000=""),0,0),0)),"")</f>
        <v/>
      </c>
      <c r="B624" s="62" t="str">
        <f t="shared" si="36"/>
        <v/>
      </c>
      <c r="C624" s="62" t="str">
        <f t="shared" si="37"/>
        <v/>
      </c>
      <c r="D624" s="63" t="str">
        <f t="shared" si="38"/>
        <v/>
      </c>
      <c r="E624" s="62" t="str">
        <f>IF(D624="","",_xlfn.RANK.EQ(D624,$D$2:$D$1001,0)+COUNTIF($D$2:D624,D624)-1)</f>
        <v/>
      </c>
      <c r="F624" s="62" t="str">
        <f>IF(B624="","",--(COUNTIF(CN_Brands!$A$2:$A$300,UPPER(B624))&gt;0))</f>
        <v/>
      </c>
      <c r="G624" s="62" t="str">
        <f t="shared" si="39"/>
        <v/>
      </c>
      <c r="H624" s="62" t="str">
        <f>IF(AND('Data Export'!A624=前十整体车型排名!$B$2,'Data Export'!B624=前十整体车型排名!$B$3,'Data Export'!D624&lt;&gt;""),UPPER('Data Export'!C624)&amp;"♦"&amp;'Data Export'!D624,"")</f>
        <v>OMODA♦C5</v>
      </c>
      <c r="I624" s="63">
        <f>IF(H624="","",IFERROR(INDEX('Data Export'!G624:CZ624,1,MATCH(前十整体车型排名!$B$4,'Data Export'!$G$1:$CZ$1,0)),0))</f>
        <v>484</v>
      </c>
      <c r="J624" s="62" t="str">
        <f>IF(H624="","",IF(OR('Data Export'!F624="三厢轿车",'Data Export'!F624="掀背轿车",'Data Export'!F624="旅行车",'Data Export'!F624="微型车",'Data Export'!F624="硬顶跑车",'Data Export'!F624="敞蓬车",'Data Export'!F624="Targa"),"轿车",IF(OR('Data Export'!F624="小型MPV",'Data Export'!F624="客车"),"MPV",IF('Data Export'!F624="运动型多功能车","SUV","其他"))))</f>
        <v>SUV</v>
      </c>
      <c r="K624" s="62" t="str">
        <f>IF(OR(D624="",NOT(F624=1)),"",1+SUMPRODUCT(($F$2:$F$1001=1)*($D$2:$D$1001&gt;D624))+COUNTIFS($F$2:F624,1,$D$2:D624,D624)-1)</f>
        <v/>
      </c>
      <c r="L624" s="62" t="str">
        <f>IF(OR(D624="",NOT(G624="轿车")),"",1+SUMPRODUCT(($G$2:$G$1001="轿车")*($D$2:$D$1001&gt;D624))+COUNTIFS($G$2:G624,"轿车",$D$2:D624,D624)-1)</f>
        <v/>
      </c>
      <c r="M624" s="62" t="str">
        <f>IF(OR(D624="",NOT(G624="MPV")),"",1+SUMPRODUCT(($G$2:$G$1001="MPV")*($D$2:$D$1001&gt;D624))+COUNTIFS($G$2:G624,"MPV",$D$2:D624,D624)-1)</f>
        <v/>
      </c>
      <c r="N624" s="62" t="str">
        <f>IF(OR(D624="",NOT(G624="SUV")),"",1+SUMPRODUCT(($G$2:$G$1001="SUV")*($D$2:$D$1001&gt;D624))+COUNTIFS($G$2:G624,"SUV",$D$2:D624,D624)-1)</f>
        <v/>
      </c>
      <c r="O624" s="62" t="str">
        <f>IF(OR(D624="",NOT(AND(F624=1,G624="轿车"))),"",1+SUMPRODUCT(($F$2:$F$1001=1)*($G$2:$G$1001="轿车")*($D$2:$D$1001&gt;D624))+COUNTIFS($F$2:F624,1,$G$2:G624,"轿车",$D$2:D624,D624)-1)</f>
        <v/>
      </c>
      <c r="P624" s="62" t="str">
        <f>IF(OR(D624="",NOT(AND(F624=1,G624="MPV"))),"",1+SUMPRODUCT(($F$2:$F$1001=1)*($G$2:$G$1001="MPV")*($D$2:$D$1001&gt;D624))+COUNTIFS($F$2:F624,1,$G$2:G624,"MPV",$D$2:D624,D624)-1)</f>
        <v/>
      </c>
      <c r="Q624" s="62" t="str">
        <f>IF(OR(D624="",NOT(AND(F624=1,G624="SUV"))),"",1+SUMPRODUCT(($F$2:$F$1001=1)*($G$2:$G$1001="SUV")*($D$2:$D$1001&gt;D624))+COUNTIFS($F$2:F624,1,$G$2:G624,"SUV",$D$2:D624,D624)-1)</f>
        <v/>
      </c>
    </row>
    <row r="625" spans="1:17">
      <c r="A625" s="62" t="str">
        <f>IFERROR(INDEX($H$2:$H$3000,MATCH(0,INDEX(COUNTIF($A$1:A624,$H$2:$H$3000)+($H$2:$H$3000=""),0,0),0)),"")</f>
        <v/>
      </c>
      <c r="B625" s="62" t="str">
        <f t="shared" si="36"/>
        <v/>
      </c>
      <c r="C625" s="62" t="str">
        <f t="shared" si="37"/>
        <v/>
      </c>
      <c r="D625" s="63" t="str">
        <f t="shared" si="38"/>
        <v/>
      </c>
      <c r="E625" s="62" t="str">
        <f>IF(D625="","",_xlfn.RANK.EQ(D625,$D$2:$D$1001,0)+COUNTIF($D$2:D625,D625)-1)</f>
        <v/>
      </c>
      <c r="F625" s="62" t="str">
        <f>IF(B625="","",--(COUNTIF(CN_Brands!$A$2:$A$300,UPPER(B625))&gt;0))</f>
        <v/>
      </c>
      <c r="G625" s="62" t="str">
        <f t="shared" si="39"/>
        <v/>
      </c>
      <c r="H625" s="62" t="str">
        <f>IF(AND('Data Export'!A625=前十整体车型排名!$B$2,'Data Export'!B625=前十整体车型排名!$B$3,'Data Export'!D625&lt;&gt;""),UPPER('Data Export'!C625)&amp;"♦"&amp;'Data Export'!D625,"")</f>
        <v>OMODA♦C5</v>
      </c>
      <c r="I625" s="63">
        <f>IF(H625="","",IFERROR(INDEX('Data Export'!G625:CZ625,1,MATCH(前十整体车型排名!$B$4,'Data Export'!$G$1:$CZ$1,0)),0))</f>
        <v>0</v>
      </c>
      <c r="J625" s="62" t="str">
        <f>IF(H625="","",IF(OR('Data Export'!F625="三厢轿车",'Data Export'!F625="掀背轿车",'Data Export'!F625="旅行车",'Data Export'!F625="微型车",'Data Export'!F625="硬顶跑车",'Data Export'!F625="敞蓬车",'Data Export'!F625="Targa"),"轿车",IF(OR('Data Export'!F625="小型MPV",'Data Export'!F625="客车"),"MPV",IF('Data Export'!F625="运动型多功能车","SUV","其他"))))</f>
        <v>SUV</v>
      </c>
      <c r="K625" s="62" t="str">
        <f>IF(OR(D625="",NOT(F625=1)),"",1+SUMPRODUCT(($F$2:$F$1001=1)*($D$2:$D$1001&gt;D625))+COUNTIFS($F$2:F625,1,$D$2:D625,D625)-1)</f>
        <v/>
      </c>
      <c r="L625" s="62" t="str">
        <f>IF(OR(D625="",NOT(G625="轿车")),"",1+SUMPRODUCT(($G$2:$G$1001="轿车")*($D$2:$D$1001&gt;D625))+COUNTIFS($G$2:G625,"轿车",$D$2:D625,D625)-1)</f>
        <v/>
      </c>
      <c r="M625" s="62" t="str">
        <f>IF(OR(D625="",NOT(G625="MPV")),"",1+SUMPRODUCT(($G$2:$G$1001="MPV")*($D$2:$D$1001&gt;D625))+COUNTIFS($G$2:G625,"MPV",$D$2:D625,D625)-1)</f>
        <v/>
      </c>
      <c r="N625" s="62" t="str">
        <f>IF(OR(D625="",NOT(G625="SUV")),"",1+SUMPRODUCT(($G$2:$G$1001="SUV")*($D$2:$D$1001&gt;D625))+COUNTIFS($G$2:G625,"SUV",$D$2:D625,D625)-1)</f>
        <v/>
      </c>
      <c r="O625" s="62" t="str">
        <f>IF(OR(D625="",NOT(AND(F625=1,G625="轿车"))),"",1+SUMPRODUCT(($F$2:$F$1001=1)*($G$2:$G$1001="轿车")*($D$2:$D$1001&gt;D625))+COUNTIFS($F$2:F625,1,$G$2:G625,"轿车",$D$2:D625,D625)-1)</f>
        <v/>
      </c>
      <c r="P625" s="62" t="str">
        <f>IF(OR(D625="",NOT(AND(F625=1,G625="MPV"))),"",1+SUMPRODUCT(($F$2:$F$1001=1)*($G$2:$G$1001="MPV")*($D$2:$D$1001&gt;D625))+COUNTIFS($F$2:F625,1,$G$2:G625,"MPV",$D$2:D625,D625)-1)</f>
        <v/>
      </c>
      <c r="Q625" s="62" t="str">
        <f>IF(OR(D625="",NOT(AND(F625=1,G625="SUV"))),"",1+SUMPRODUCT(($F$2:$F$1001=1)*($G$2:$G$1001="SUV")*($D$2:$D$1001&gt;D625))+COUNTIFS($F$2:F625,1,$G$2:G625,"SUV",$D$2:D625,D625)-1)</f>
        <v/>
      </c>
    </row>
    <row r="626" spans="1:17">
      <c r="A626" s="62" t="str">
        <f>IFERROR(INDEX($H$2:$H$3000,MATCH(0,INDEX(COUNTIF($A$1:A625,$H$2:$H$3000)+($H$2:$H$3000=""),0,0),0)),"")</f>
        <v/>
      </c>
      <c r="B626" s="62" t="str">
        <f t="shared" si="36"/>
        <v/>
      </c>
      <c r="C626" s="62" t="str">
        <f t="shared" si="37"/>
        <v/>
      </c>
      <c r="D626" s="63" t="str">
        <f t="shared" si="38"/>
        <v/>
      </c>
      <c r="E626" s="62" t="str">
        <f>IF(D626="","",_xlfn.RANK.EQ(D626,$D$2:$D$1001,0)+COUNTIF($D$2:D626,D626)-1)</f>
        <v/>
      </c>
      <c r="F626" s="62" t="str">
        <f>IF(B626="","",--(COUNTIF(CN_Brands!$A$2:$A$300,UPPER(B626))&gt;0))</f>
        <v/>
      </c>
      <c r="G626" s="62" t="str">
        <f t="shared" si="39"/>
        <v/>
      </c>
      <c r="H626" s="62" t="str">
        <f>IF(AND('Data Export'!A626=前十整体车型排名!$B$2,'Data Export'!B626=前十整体车型排名!$B$3,'Data Export'!D626&lt;&gt;""),UPPER('Data Export'!C626)&amp;"♦"&amp;'Data Export'!D626,"")</f>
        <v>OMODA♦C5</v>
      </c>
      <c r="I626" s="63">
        <f>IF(H626="","",IFERROR(INDEX('Data Export'!G626:CZ626,1,MATCH(前十整体车型排名!$B$4,'Data Export'!$G$1:$CZ$1,0)),0))</f>
        <v>2</v>
      </c>
      <c r="J626" s="62" t="str">
        <f>IF(H626="","",IF(OR('Data Export'!F626="三厢轿车",'Data Export'!F626="掀背轿车",'Data Export'!F626="旅行车",'Data Export'!F626="微型车",'Data Export'!F626="硬顶跑车",'Data Export'!F626="敞蓬车",'Data Export'!F626="Targa"),"轿车",IF(OR('Data Export'!F626="小型MPV",'Data Export'!F626="客车"),"MPV",IF('Data Export'!F626="运动型多功能车","SUV","其他"))))</f>
        <v>SUV</v>
      </c>
      <c r="K626" s="62" t="str">
        <f>IF(OR(D626="",NOT(F626=1)),"",1+SUMPRODUCT(($F$2:$F$1001=1)*($D$2:$D$1001&gt;D626))+COUNTIFS($F$2:F626,1,$D$2:D626,D626)-1)</f>
        <v/>
      </c>
      <c r="L626" s="62" t="str">
        <f>IF(OR(D626="",NOT(G626="轿车")),"",1+SUMPRODUCT(($G$2:$G$1001="轿车")*($D$2:$D$1001&gt;D626))+COUNTIFS($G$2:G626,"轿车",$D$2:D626,D626)-1)</f>
        <v/>
      </c>
      <c r="M626" s="62" t="str">
        <f>IF(OR(D626="",NOT(G626="MPV")),"",1+SUMPRODUCT(($G$2:$G$1001="MPV")*($D$2:$D$1001&gt;D626))+COUNTIFS($G$2:G626,"MPV",$D$2:D626,D626)-1)</f>
        <v/>
      </c>
      <c r="N626" s="62" t="str">
        <f>IF(OR(D626="",NOT(G626="SUV")),"",1+SUMPRODUCT(($G$2:$G$1001="SUV")*($D$2:$D$1001&gt;D626))+COUNTIFS($G$2:G626,"SUV",$D$2:D626,D626)-1)</f>
        <v/>
      </c>
      <c r="O626" s="62" t="str">
        <f>IF(OR(D626="",NOT(AND(F626=1,G626="轿车"))),"",1+SUMPRODUCT(($F$2:$F$1001=1)*($G$2:$G$1001="轿车")*($D$2:$D$1001&gt;D626))+COUNTIFS($F$2:F626,1,$G$2:G626,"轿车",$D$2:D626,D626)-1)</f>
        <v/>
      </c>
      <c r="P626" s="62" t="str">
        <f>IF(OR(D626="",NOT(AND(F626=1,G626="MPV"))),"",1+SUMPRODUCT(($F$2:$F$1001=1)*($G$2:$G$1001="MPV")*($D$2:$D$1001&gt;D626))+COUNTIFS($F$2:F626,1,$G$2:G626,"MPV",$D$2:D626,D626)-1)</f>
        <v/>
      </c>
      <c r="Q626" s="62" t="str">
        <f>IF(OR(D626="",NOT(AND(F626=1,G626="SUV"))),"",1+SUMPRODUCT(($F$2:$F$1001=1)*($G$2:$G$1001="SUV")*($D$2:$D$1001&gt;D626))+COUNTIFS($F$2:F626,1,$G$2:G626,"SUV",$D$2:D626,D626)-1)</f>
        <v/>
      </c>
    </row>
    <row r="627" spans="1:17">
      <c r="A627" s="62" t="str">
        <f>IFERROR(INDEX($H$2:$H$3000,MATCH(0,INDEX(COUNTIF($A$1:A626,$H$2:$H$3000)+($H$2:$H$3000=""),0,0),0)),"")</f>
        <v/>
      </c>
      <c r="B627" s="62" t="str">
        <f t="shared" si="36"/>
        <v/>
      </c>
      <c r="C627" s="62" t="str">
        <f t="shared" si="37"/>
        <v/>
      </c>
      <c r="D627" s="63" t="str">
        <f t="shared" si="38"/>
        <v/>
      </c>
      <c r="E627" s="62" t="str">
        <f>IF(D627="","",_xlfn.RANK.EQ(D627,$D$2:$D$1001,0)+COUNTIF($D$2:D627,D627)-1)</f>
        <v/>
      </c>
      <c r="F627" s="62" t="str">
        <f>IF(B627="","",--(COUNTIF(CN_Brands!$A$2:$A$300,UPPER(B627))&gt;0))</f>
        <v/>
      </c>
      <c r="G627" s="62" t="str">
        <f t="shared" si="39"/>
        <v/>
      </c>
      <c r="H627" s="62" t="str">
        <f>IF(AND('Data Export'!A627=前十整体车型排名!$B$2,'Data Export'!B627=前十整体车型排名!$B$3,'Data Export'!D627&lt;&gt;""),UPPER('Data Export'!C627)&amp;"♦"&amp;'Data Export'!D627,"")</f>
        <v>OMODA♦C5</v>
      </c>
      <c r="I627" s="63">
        <f>IF(H627="","",IFERROR(INDEX('Data Export'!G627:CZ627,1,MATCH(前十整体车型排名!$B$4,'Data Export'!$G$1:$CZ$1,0)),0))</f>
        <v>0</v>
      </c>
      <c r="J627" s="62" t="str">
        <f>IF(H627="","",IF(OR('Data Export'!F627="三厢轿车",'Data Export'!F627="掀背轿车",'Data Export'!F627="旅行车",'Data Export'!F627="微型车",'Data Export'!F627="硬顶跑车",'Data Export'!F627="敞蓬车",'Data Export'!F627="Targa"),"轿车",IF(OR('Data Export'!F627="小型MPV",'Data Export'!F627="客车"),"MPV",IF('Data Export'!F627="运动型多功能车","SUV","其他"))))</f>
        <v>SUV</v>
      </c>
      <c r="K627" s="62" t="str">
        <f>IF(OR(D627="",NOT(F627=1)),"",1+SUMPRODUCT(($F$2:$F$1001=1)*($D$2:$D$1001&gt;D627))+COUNTIFS($F$2:F627,1,$D$2:D627,D627)-1)</f>
        <v/>
      </c>
      <c r="L627" s="62" t="str">
        <f>IF(OR(D627="",NOT(G627="轿车")),"",1+SUMPRODUCT(($G$2:$G$1001="轿车")*($D$2:$D$1001&gt;D627))+COUNTIFS($G$2:G627,"轿车",$D$2:D627,D627)-1)</f>
        <v/>
      </c>
      <c r="M627" s="62" t="str">
        <f>IF(OR(D627="",NOT(G627="MPV")),"",1+SUMPRODUCT(($G$2:$G$1001="MPV")*($D$2:$D$1001&gt;D627))+COUNTIFS($G$2:G627,"MPV",$D$2:D627,D627)-1)</f>
        <v/>
      </c>
      <c r="N627" s="62" t="str">
        <f>IF(OR(D627="",NOT(G627="SUV")),"",1+SUMPRODUCT(($G$2:$G$1001="SUV")*($D$2:$D$1001&gt;D627))+COUNTIFS($G$2:G627,"SUV",$D$2:D627,D627)-1)</f>
        <v/>
      </c>
      <c r="O627" s="62" t="str">
        <f>IF(OR(D627="",NOT(AND(F627=1,G627="轿车"))),"",1+SUMPRODUCT(($F$2:$F$1001=1)*($G$2:$G$1001="轿车")*($D$2:$D$1001&gt;D627))+COUNTIFS($F$2:F627,1,$G$2:G627,"轿车",$D$2:D627,D627)-1)</f>
        <v/>
      </c>
      <c r="P627" s="62" t="str">
        <f>IF(OR(D627="",NOT(AND(F627=1,G627="MPV"))),"",1+SUMPRODUCT(($F$2:$F$1001=1)*($G$2:$G$1001="MPV")*($D$2:$D$1001&gt;D627))+COUNTIFS($F$2:F627,1,$G$2:G627,"MPV",$D$2:D627,D627)-1)</f>
        <v/>
      </c>
      <c r="Q627" s="62" t="str">
        <f>IF(OR(D627="",NOT(AND(F627=1,G627="SUV"))),"",1+SUMPRODUCT(($F$2:$F$1001=1)*($G$2:$G$1001="SUV")*($D$2:$D$1001&gt;D627))+COUNTIFS($F$2:F627,1,$G$2:G627,"SUV",$D$2:D627,D627)-1)</f>
        <v/>
      </c>
    </row>
    <row r="628" spans="1:17">
      <c r="A628" s="62" t="str">
        <f>IFERROR(INDEX($H$2:$H$3000,MATCH(0,INDEX(COUNTIF($A$1:A627,$H$2:$H$3000)+($H$2:$H$3000=""),0,0),0)),"")</f>
        <v/>
      </c>
      <c r="B628" s="62" t="str">
        <f t="shared" si="36"/>
        <v/>
      </c>
      <c r="C628" s="62" t="str">
        <f t="shared" si="37"/>
        <v/>
      </c>
      <c r="D628" s="63" t="str">
        <f t="shared" si="38"/>
        <v/>
      </c>
      <c r="E628" s="62" t="str">
        <f>IF(D628="","",_xlfn.RANK.EQ(D628,$D$2:$D$1001,0)+COUNTIF($D$2:D628,D628)-1)</f>
        <v/>
      </c>
      <c r="F628" s="62" t="str">
        <f>IF(B628="","",--(COUNTIF(CN_Brands!$A$2:$A$300,UPPER(B628))&gt;0))</f>
        <v/>
      </c>
      <c r="G628" s="62" t="str">
        <f t="shared" si="39"/>
        <v/>
      </c>
      <c r="H628" s="62" t="str">
        <f>IF(AND('Data Export'!A628=前十整体车型排名!$B$2,'Data Export'!B628=前十整体车型排名!$B$3,'Data Export'!D628&lt;&gt;""),UPPER('Data Export'!C628)&amp;"♦"&amp;'Data Export'!D628,"")</f>
        <v>OMODA♦C5</v>
      </c>
      <c r="I628" s="63">
        <f>IF(H628="","",IFERROR(INDEX('Data Export'!G628:CZ628,1,MATCH(前十整体车型排名!$B$4,'Data Export'!$G$1:$CZ$1,0)),0))</f>
        <v>0</v>
      </c>
      <c r="J628" s="62" t="str">
        <f>IF(H628="","",IF(OR('Data Export'!F628="三厢轿车",'Data Export'!F628="掀背轿车",'Data Export'!F628="旅行车",'Data Export'!F628="微型车",'Data Export'!F628="硬顶跑车",'Data Export'!F628="敞蓬车",'Data Export'!F628="Targa"),"轿车",IF(OR('Data Export'!F628="小型MPV",'Data Export'!F628="客车"),"MPV",IF('Data Export'!F628="运动型多功能车","SUV","其他"))))</f>
        <v>SUV</v>
      </c>
      <c r="K628" s="62" t="str">
        <f>IF(OR(D628="",NOT(F628=1)),"",1+SUMPRODUCT(($F$2:$F$1001=1)*($D$2:$D$1001&gt;D628))+COUNTIFS($F$2:F628,1,$D$2:D628,D628)-1)</f>
        <v/>
      </c>
      <c r="L628" s="62" t="str">
        <f>IF(OR(D628="",NOT(G628="轿车")),"",1+SUMPRODUCT(($G$2:$G$1001="轿车")*($D$2:$D$1001&gt;D628))+COUNTIFS($G$2:G628,"轿车",$D$2:D628,D628)-1)</f>
        <v/>
      </c>
      <c r="M628" s="62" t="str">
        <f>IF(OR(D628="",NOT(G628="MPV")),"",1+SUMPRODUCT(($G$2:$G$1001="MPV")*($D$2:$D$1001&gt;D628))+COUNTIFS($G$2:G628,"MPV",$D$2:D628,D628)-1)</f>
        <v/>
      </c>
      <c r="N628" s="62" t="str">
        <f>IF(OR(D628="",NOT(G628="SUV")),"",1+SUMPRODUCT(($G$2:$G$1001="SUV")*($D$2:$D$1001&gt;D628))+COUNTIFS($G$2:G628,"SUV",$D$2:D628,D628)-1)</f>
        <v/>
      </c>
      <c r="O628" s="62" t="str">
        <f>IF(OR(D628="",NOT(AND(F628=1,G628="轿车"))),"",1+SUMPRODUCT(($F$2:$F$1001=1)*($G$2:$G$1001="轿车")*($D$2:$D$1001&gt;D628))+COUNTIFS($F$2:F628,1,$G$2:G628,"轿车",$D$2:D628,D628)-1)</f>
        <v/>
      </c>
      <c r="P628" s="62" t="str">
        <f>IF(OR(D628="",NOT(AND(F628=1,G628="MPV"))),"",1+SUMPRODUCT(($F$2:$F$1001=1)*($G$2:$G$1001="MPV")*($D$2:$D$1001&gt;D628))+COUNTIFS($F$2:F628,1,$G$2:G628,"MPV",$D$2:D628,D628)-1)</f>
        <v/>
      </c>
      <c r="Q628" s="62" t="str">
        <f>IF(OR(D628="",NOT(AND(F628=1,G628="SUV"))),"",1+SUMPRODUCT(($F$2:$F$1001=1)*($G$2:$G$1001="SUV")*($D$2:$D$1001&gt;D628))+COUNTIFS($F$2:F628,1,$G$2:G628,"SUV",$D$2:D628,D628)-1)</f>
        <v/>
      </c>
    </row>
    <row r="629" spans="1:17">
      <c r="A629" s="62" t="str">
        <f>IFERROR(INDEX($H$2:$H$3000,MATCH(0,INDEX(COUNTIF($A$1:A628,$H$2:$H$3000)+($H$2:$H$3000=""),0,0),0)),"")</f>
        <v/>
      </c>
      <c r="B629" s="62" t="str">
        <f t="shared" si="36"/>
        <v/>
      </c>
      <c r="C629" s="62" t="str">
        <f t="shared" si="37"/>
        <v/>
      </c>
      <c r="D629" s="63" t="str">
        <f t="shared" si="38"/>
        <v/>
      </c>
      <c r="E629" s="62" t="str">
        <f>IF(D629="","",_xlfn.RANK.EQ(D629,$D$2:$D$1001,0)+COUNTIF($D$2:D629,D629)-1)</f>
        <v/>
      </c>
      <c r="F629" s="62" t="str">
        <f>IF(B629="","",--(COUNTIF(CN_Brands!$A$2:$A$300,UPPER(B629))&gt;0))</f>
        <v/>
      </c>
      <c r="G629" s="62" t="str">
        <f t="shared" si="39"/>
        <v/>
      </c>
      <c r="H629" s="62" t="str">
        <f>IF(AND('Data Export'!A629=前十整体车型排名!$B$2,'Data Export'!B629=前十整体车型排名!$B$3,'Data Export'!D629&lt;&gt;""),UPPER('Data Export'!C629)&amp;"♦"&amp;'Data Export'!D629,"")</f>
        <v>OMODA♦C5</v>
      </c>
      <c r="I629" s="63">
        <f>IF(H629="","",IFERROR(INDEX('Data Export'!G629:CZ629,1,MATCH(前十整体车型排名!$B$4,'Data Export'!$G$1:$CZ$1,0)),0))</f>
        <v>1</v>
      </c>
      <c r="J629" s="62" t="str">
        <f>IF(H629="","",IF(OR('Data Export'!F629="三厢轿车",'Data Export'!F629="掀背轿车",'Data Export'!F629="旅行车",'Data Export'!F629="微型车",'Data Export'!F629="硬顶跑车",'Data Export'!F629="敞蓬车",'Data Export'!F629="Targa"),"轿车",IF(OR('Data Export'!F629="小型MPV",'Data Export'!F629="客车"),"MPV",IF('Data Export'!F629="运动型多功能车","SUV","其他"))))</f>
        <v>SUV</v>
      </c>
      <c r="K629" s="62" t="str">
        <f>IF(OR(D629="",NOT(F629=1)),"",1+SUMPRODUCT(($F$2:$F$1001=1)*($D$2:$D$1001&gt;D629))+COUNTIFS($F$2:F629,1,$D$2:D629,D629)-1)</f>
        <v/>
      </c>
      <c r="L629" s="62" t="str">
        <f>IF(OR(D629="",NOT(G629="轿车")),"",1+SUMPRODUCT(($G$2:$G$1001="轿车")*($D$2:$D$1001&gt;D629))+COUNTIFS($G$2:G629,"轿车",$D$2:D629,D629)-1)</f>
        <v/>
      </c>
      <c r="M629" s="62" t="str">
        <f>IF(OR(D629="",NOT(G629="MPV")),"",1+SUMPRODUCT(($G$2:$G$1001="MPV")*($D$2:$D$1001&gt;D629))+COUNTIFS($G$2:G629,"MPV",$D$2:D629,D629)-1)</f>
        <v/>
      </c>
      <c r="N629" s="62" t="str">
        <f>IF(OR(D629="",NOT(G629="SUV")),"",1+SUMPRODUCT(($G$2:$G$1001="SUV")*($D$2:$D$1001&gt;D629))+COUNTIFS($G$2:G629,"SUV",$D$2:D629,D629)-1)</f>
        <v/>
      </c>
      <c r="O629" s="62" t="str">
        <f>IF(OR(D629="",NOT(AND(F629=1,G629="轿车"))),"",1+SUMPRODUCT(($F$2:$F$1001=1)*($G$2:$G$1001="轿车")*($D$2:$D$1001&gt;D629))+COUNTIFS($F$2:F629,1,$G$2:G629,"轿车",$D$2:D629,D629)-1)</f>
        <v/>
      </c>
      <c r="P629" s="62" t="str">
        <f>IF(OR(D629="",NOT(AND(F629=1,G629="MPV"))),"",1+SUMPRODUCT(($F$2:$F$1001=1)*($G$2:$G$1001="MPV")*($D$2:$D$1001&gt;D629))+COUNTIFS($F$2:F629,1,$G$2:G629,"MPV",$D$2:D629,D629)-1)</f>
        <v/>
      </c>
      <c r="Q629" s="62" t="str">
        <f>IF(OR(D629="",NOT(AND(F629=1,G629="SUV"))),"",1+SUMPRODUCT(($F$2:$F$1001=1)*($G$2:$G$1001="SUV")*($D$2:$D$1001&gt;D629))+COUNTIFS($F$2:F629,1,$G$2:G629,"SUV",$D$2:D629,D629)-1)</f>
        <v/>
      </c>
    </row>
    <row r="630" spans="1:17">
      <c r="A630" s="62" t="str">
        <f>IFERROR(INDEX($H$2:$H$3000,MATCH(0,INDEX(COUNTIF($A$1:A629,$H$2:$H$3000)+($H$2:$H$3000=""),0,0),0)),"")</f>
        <v/>
      </c>
      <c r="B630" s="62" t="str">
        <f t="shared" si="36"/>
        <v/>
      </c>
      <c r="C630" s="62" t="str">
        <f t="shared" si="37"/>
        <v/>
      </c>
      <c r="D630" s="63" t="str">
        <f t="shared" si="38"/>
        <v/>
      </c>
      <c r="E630" s="62" t="str">
        <f>IF(D630="","",_xlfn.RANK.EQ(D630,$D$2:$D$1001,0)+COUNTIF($D$2:D630,D630)-1)</f>
        <v/>
      </c>
      <c r="F630" s="62" t="str">
        <f>IF(B630="","",--(COUNTIF(CN_Brands!$A$2:$A$300,UPPER(B630))&gt;0))</f>
        <v/>
      </c>
      <c r="G630" s="62" t="str">
        <f t="shared" si="39"/>
        <v/>
      </c>
      <c r="H630" s="62" t="str">
        <f>IF(AND('Data Export'!A630=前十整体车型排名!$B$2,'Data Export'!B630=前十整体车型排名!$B$3,'Data Export'!D630&lt;&gt;""),UPPER('Data Export'!C630)&amp;"♦"&amp;'Data Export'!D630,"")</f>
        <v>OMODA♦C5</v>
      </c>
      <c r="I630" s="63">
        <f>IF(H630="","",IFERROR(INDEX('Data Export'!G630:CZ630,1,MATCH(前十整体车型排名!$B$4,'Data Export'!$G$1:$CZ$1,0)),0))</f>
        <v>0</v>
      </c>
      <c r="J630" s="62" t="str">
        <f>IF(H630="","",IF(OR('Data Export'!F630="三厢轿车",'Data Export'!F630="掀背轿车",'Data Export'!F630="旅行车",'Data Export'!F630="微型车",'Data Export'!F630="硬顶跑车",'Data Export'!F630="敞蓬车",'Data Export'!F630="Targa"),"轿车",IF(OR('Data Export'!F630="小型MPV",'Data Export'!F630="客车"),"MPV",IF('Data Export'!F630="运动型多功能车","SUV","其他"))))</f>
        <v>SUV</v>
      </c>
      <c r="K630" s="62" t="str">
        <f>IF(OR(D630="",NOT(F630=1)),"",1+SUMPRODUCT(($F$2:$F$1001=1)*($D$2:$D$1001&gt;D630))+COUNTIFS($F$2:F630,1,$D$2:D630,D630)-1)</f>
        <v/>
      </c>
      <c r="L630" s="62" t="str">
        <f>IF(OR(D630="",NOT(G630="轿车")),"",1+SUMPRODUCT(($G$2:$G$1001="轿车")*($D$2:$D$1001&gt;D630))+COUNTIFS($G$2:G630,"轿车",$D$2:D630,D630)-1)</f>
        <v/>
      </c>
      <c r="M630" s="62" t="str">
        <f>IF(OR(D630="",NOT(G630="MPV")),"",1+SUMPRODUCT(($G$2:$G$1001="MPV")*($D$2:$D$1001&gt;D630))+COUNTIFS($G$2:G630,"MPV",$D$2:D630,D630)-1)</f>
        <v/>
      </c>
      <c r="N630" s="62" t="str">
        <f>IF(OR(D630="",NOT(G630="SUV")),"",1+SUMPRODUCT(($G$2:$G$1001="SUV")*($D$2:$D$1001&gt;D630))+COUNTIFS($G$2:G630,"SUV",$D$2:D630,D630)-1)</f>
        <v/>
      </c>
      <c r="O630" s="62" t="str">
        <f>IF(OR(D630="",NOT(AND(F630=1,G630="轿车"))),"",1+SUMPRODUCT(($F$2:$F$1001=1)*($G$2:$G$1001="轿车")*($D$2:$D$1001&gt;D630))+COUNTIFS($F$2:F630,1,$G$2:G630,"轿车",$D$2:D630,D630)-1)</f>
        <v/>
      </c>
      <c r="P630" s="62" t="str">
        <f>IF(OR(D630="",NOT(AND(F630=1,G630="MPV"))),"",1+SUMPRODUCT(($F$2:$F$1001=1)*($G$2:$G$1001="MPV")*($D$2:$D$1001&gt;D630))+COUNTIFS($F$2:F630,1,$G$2:G630,"MPV",$D$2:D630,D630)-1)</f>
        <v/>
      </c>
      <c r="Q630" s="62" t="str">
        <f>IF(OR(D630="",NOT(AND(F630=1,G630="SUV"))),"",1+SUMPRODUCT(($F$2:$F$1001=1)*($G$2:$G$1001="SUV")*($D$2:$D$1001&gt;D630))+COUNTIFS($F$2:F630,1,$G$2:G630,"SUV",$D$2:D630,D630)-1)</f>
        <v/>
      </c>
    </row>
    <row r="631" spans="1:17">
      <c r="A631" s="62" t="str">
        <f>IFERROR(INDEX($H$2:$H$3000,MATCH(0,INDEX(COUNTIF($A$1:A630,$H$2:$H$3000)+($H$2:$H$3000=""),0,0),0)),"")</f>
        <v/>
      </c>
      <c r="B631" s="62" t="str">
        <f t="shared" si="36"/>
        <v/>
      </c>
      <c r="C631" s="62" t="str">
        <f t="shared" si="37"/>
        <v/>
      </c>
      <c r="D631" s="63" t="str">
        <f t="shared" si="38"/>
        <v/>
      </c>
      <c r="E631" s="62" t="str">
        <f>IF(D631="","",_xlfn.RANK.EQ(D631,$D$2:$D$1001,0)+COUNTIF($D$2:D631,D631)-1)</f>
        <v/>
      </c>
      <c r="F631" s="62" t="str">
        <f>IF(B631="","",--(COUNTIF(CN_Brands!$A$2:$A$300,UPPER(B631))&gt;0))</f>
        <v/>
      </c>
      <c r="G631" s="62" t="str">
        <f t="shared" si="39"/>
        <v/>
      </c>
      <c r="H631" s="62" t="str">
        <f>IF(AND('Data Export'!A631=前十整体车型排名!$B$2,'Data Export'!B631=前十整体车型排名!$B$3,'Data Export'!D631&lt;&gt;""),UPPER('Data Export'!C631)&amp;"♦"&amp;'Data Export'!D631,"")</f>
        <v>OMODA♦C5</v>
      </c>
      <c r="I631" s="63">
        <f>IF(H631="","",IFERROR(INDEX('Data Export'!G631:CZ631,1,MATCH(前十整体车型排名!$B$4,'Data Export'!$G$1:$CZ$1,0)),0))</f>
        <v>0</v>
      </c>
      <c r="J631" s="62" t="str">
        <f>IF(H631="","",IF(OR('Data Export'!F631="三厢轿车",'Data Export'!F631="掀背轿车",'Data Export'!F631="旅行车",'Data Export'!F631="微型车",'Data Export'!F631="硬顶跑车",'Data Export'!F631="敞蓬车",'Data Export'!F631="Targa"),"轿车",IF(OR('Data Export'!F631="小型MPV",'Data Export'!F631="客车"),"MPV",IF('Data Export'!F631="运动型多功能车","SUV","其他"))))</f>
        <v>SUV</v>
      </c>
      <c r="K631" s="62" t="str">
        <f>IF(OR(D631="",NOT(F631=1)),"",1+SUMPRODUCT(($F$2:$F$1001=1)*($D$2:$D$1001&gt;D631))+COUNTIFS($F$2:F631,1,$D$2:D631,D631)-1)</f>
        <v/>
      </c>
      <c r="L631" s="62" t="str">
        <f>IF(OR(D631="",NOT(G631="轿车")),"",1+SUMPRODUCT(($G$2:$G$1001="轿车")*($D$2:$D$1001&gt;D631))+COUNTIFS($G$2:G631,"轿车",$D$2:D631,D631)-1)</f>
        <v/>
      </c>
      <c r="M631" s="62" t="str">
        <f>IF(OR(D631="",NOT(G631="MPV")),"",1+SUMPRODUCT(($G$2:$G$1001="MPV")*($D$2:$D$1001&gt;D631))+COUNTIFS($G$2:G631,"MPV",$D$2:D631,D631)-1)</f>
        <v/>
      </c>
      <c r="N631" s="62" t="str">
        <f>IF(OR(D631="",NOT(G631="SUV")),"",1+SUMPRODUCT(($G$2:$G$1001="SUV")*($D$2:$D$1001&gt;D631))+COUNTIFS($G$2:G631,"SUV",$D$2:D631,D631)-1)</f>
        <v/>
      </c>
      <c r="O631" s="62" t="str">
        <f>IF(OR(D631="",NOT(AND(F631=1,G631="轿车"))),"",1+SUMPRODUCT(($F$2:$F$1001=1)*($G$2:$G$1001="轿车")*($D$2:$D$1001&gt;D631))+COUNTIFS($F$2:F631,1,$G$2:G631,"轿车",$D$2:D631,D631)-1)</f>
        <v/>
      </c>
      <c r="P631" s="62" t="str">
        <f>IF(OR(D631="",NOT(AND(F631=1,G631="MPV"))),"",1+SUMPRODUCT(($F$2:$F$1001=1)*($G$2:$G$1001="MPV")*($D$2:$D$1001&gt;D631))+COUNTIFS($F$2:F631,1,$G$2:G631,"MPV",$D$2:D631,D631)-1)</f>
        <v/>
      </c>
      <c r="Q631" s="62" t="str">
        <f>IF(OR(D631="",NOT(AND(F631=1,G631="SUV"))),"",1+SUMPRODUCT(($F$2:$F$1001=1)*($G$2:$G$1001="SUV")*($D$2:$D$1001&gt;D631))+COUNTIFS($F$2:F631,1,$G$2:G631,"SUV",$D$2:D631,D631)-1)</f>
        <v/>
      </c>
    </row>
    <row r="632" spans="1:17">
      <c r="A632" s="62" t="str">
        <f>IFERROR(INDEX($H$2:$H$3000,MATCH(0,INDEX(COUNTIF($A$1:A631,$H$2:$H$3000)+($H$2:$H$3000=""),0,0),0)),"")</f>
        <v/>
      </c>
      <c r="B632" s="62" t="str">
        <f t="shared" si="36"/>
        <v/>
      </c>
      <c r="C632" s="62" t="str">
        <f t="shared" si="37"/>
        <v/>
      </c>
      <c r="D632" s="63" t="str">
        <f t="shared" si="38"/>
        <v/>
      </c>
      <c r="E632" s="62" t="str">
        <f>IF(D632="","",_xlfn.RANK.EQ(D632,$D$2:$D$1001,0)+COUNTIF($D$2:D632,D632)-1)</f>
        <v/>
      </c>
      <c r="F632" s="62" t="str">
        <f>IF(B632="","",--(COUNTIF(CN_Brands!$A$2:$A$300,UPPER(B632))&gt;0))</f>
        <v/>
      </c>
      <c r="G632" s="62" t="str">
        <f t="shared" si="39"/>
        <v/>
      </c>
      <c r="H632" s="62" t="str">
        <f>IF(AND('Data Export'!A632=前十整体车型排名!$B$2,'Data Export'!B632=前十整体车型排名!$B$3,'Data Export'!D632&lt;&gt;""),UPPER('Data Export'!C632)&amp;"♦"&amp;'Data Export'!D632,"")</f>
        <v>ORA♦07</v>
      </c>
      <c r="I632" s="63">
        <f>IF(H632="","",IFERROR(INDEX('Data Export'!G632:CZ632,1,MATCH(前十整体车型排名!$B$4,'Data Export'!$G$1:$CZ$1,0)),0))</f>
        <v>0</v>
      </c>
      <c r="J632" s="62" t="str">
        <f>IF(H632="","",IF(OR('Data Export'!F632="三厢轿车",'Data Export'!F632="掀背轿车",'Data Export'!F632="旅行车",'Data Export'!F632="微型车",'Data Export'!F632="硬顶跑车",'Data Export'!F632="敞蓬车",'Data Export'!F632="Targa"),"轿车",IF(OR('Data Export'!F632="小型MPV",'Data Export'!F632="客车"),"MPV",IF('Data Export'!F632="运动型多功能车","SUV","其他"))))</f>
        <v>轿车</v>
      </c>
      <c r="K632" s="62" t="str">
        <f>IF(OR(D632="",NOT(F632=1)),"",1+SUMPRODUCT(($F$2:$F$1001=1)*($D$2:$D$1001&gt;D632))+COUNTIFS($F$2:F632,1,$D$2:D632,D632)-1)</f>
        <v/>
      </c>
      <c r="L632" s="62" t="str">
        <f>IF(OR(D632="",NOT(G632="轿车")),"",1+SUMPRODUCT(($G$2:$G$1001="轿车")*($D$2:$D$1001&gt;D632))+COUNTIFS($G$2:G632,"轿车",$D$2:D632,D632)-1)</f>
        <v/>
      </c>
      <c r="M632" s="62" t="str">
        <f>IF(OR(D632="",NOT(G632="MPV")),"",1+SUMPRODUCT(($G$2:$G$1001="MPV")*($D$2:$D$1001&gt;D632))+COUNTIFS($G$2:G632,"MPV",$D$2:D632,D632)-1)</f>
        <v/>
      </c>
      <c r="N632" s="62" t="str">
        <f>IF(OR(D632="",NOT(G632="SUV")),"",1+SUMPRODUCT(($G$2:$G$1001="SUV")*($D$2:$D$1001&gt;D632))+COUNTIFS($G$2:G632,"SUV",$D$2:D632,D632)-1)</f>
        <v/>
      </c>
      <c r="O632" s="62" t="str">
        <f>IF(OR(D632="",NOT(AND(F632=1,G632="轿车"))),"",1+SUMPRODUCT(($F$2:$F$1001=1)*($G$2:$G$1001="轿车")*($D$2:$D$1001&gt;D632))+COUNTIFS($F$2:F632,1,$G$2:G632,"轿车",$D$2:D632,D632)-1)</f>
        <v/>
      </c>
      <c r="P632" s="62" t="str">
        <f>IF(OR(D632="",NOT(AND(F632=1,G632="MPV"))),"",1+SUMPRODUCT(($F$2:$F$1001=1)*($G$2:$G$1001="MPV")*($D$2:$D$1001&gt;D632))+COUNTIFS($F$2:F632,1,$G$2:G632,"MPV",$D$2:D632,D632)-1)</f>
        <v/>
      </c>
      <c r="Q632" s="62" t="str">
        <f>IF(OR(D632="",NOT(AND(F632=1,G632="SUV"))),"",1+SUMPRODUCT(($F$2:$F$1001=1)*($G$2:$G$1001="SUV")*($D$2:$D$1001&gt;D632))+COUNTIFS($F$2:F632,1,$G$2:G632,"SUV",$D$2:D632,D632)-1)</f>
        <v/>
      </c>
    </row>
    <row r="633" spans="1:17">
      <c r="A633" s="62" t="str">
        <f>IFERROR(INDEX($H$2:$H$3000,MATCH(0,INDEX(COUNTIF($A$1:A632,$H$2:$H$3000)+($H$2:$H$3000=""),0,0),0)),"")</f>
        <v/>
      </c>
      <c r="B633" s="62" t="str">
        <f t="shared" si="36"/>
        <v/>
      </c>
      <c r="C633" s="62" t="str">
        <f t="shared" si="37"/>
        <v/>
      </c>
      <c r="D633" s="63" t="str">
        <f t="shared" si="38"/>
        <v/>
      </c>
      <c r="E633" s="62" t="str">
        <f>IF(D633="","",_xlfn.RANK.EQ(D633,$D$2:$D$1001,0)+COUNTIF($D$2:D633,D633)-1)</f>
        <v/>
      </c>
      <c r="F633" s="62" t="str">
        <f>IF(B633="","",--(COUNTIF(CN_Brands!$A$2:$A$300,UPPER(B633))&gt;0))</f>
        <v/>
      </c>
      <c r="G633" s="62" t="str">
        <f t="shared" si="39"/>
        <v/>
      </c>
      <c r="H633" s="62" t="str">
        <f>IF(AND('Data Export'!A633=前十整体车型排名!$B$2,'Data Export'!B633=前十整体车型排名!$B$3,'Data Export'!D633&lt;&gt;""),UPPER('Data Export'!C633)&amp;"♦"&amp;'Data Export'!D633,"")</f>
        <v>ORA♦GOOD CAT</v>
      </c>
      <c r="I633" s="63">
        <f>IF(H633="","",IFERROR(INDEX('Data Export'!G633:CZ633,1,MATCH(前十整体车型排名!$B$4,'Data Export'!$G$1:$CZ$1,0)),0))</f>
        <v>0</v>
      </c>
      <c r="J633" s="62" t="str">
        <f>IF(H633="","",IF(OR('Data Export'!F633="三厢轿车",'Data Export'!F633="掀背轿车",'Data Export'!F633="旅行车",'Data Export'!F633="微型车",'Data Export'!F633="硬顶跑车",'Data Export'!F633="敞蓬车",'Data Export'!F633="Targa"),"轿车",IF(OR('Data Export'!F633="小型MPV",'Data Export'!F633="客车"),"MPV",IF('Data Export'!F633="运动型多功能车","SUV","其他"))))</f>
        <v>轿车</v>
      </c>
      <c r="K633" s="62" t="str">
        <f>IF(OR(D633="",NOT(F633=1)),"",1+SUMPRODUCT(($F$2:$F$1001=1)*($D$2:$D$1001&gt;D633))+COUNTIFS($F$2:F633,1,$D$2:D633,D633)-1)</f>
        <v/>
      </c>
      <c r="L633" s="62" t="str">
        <f>IF(OR(D633="",NOT(G633="轿车")),"",1+SUMPRODUCT(($G$2:$G$1001="轿车")*($D$2:$D$1001&gt;D633))+COUNTIFS($G$2:G633,"轿车",$D$2:D633,D633)-1)</f>
        <v/>
      </c>
      <c r="M633" s="62" t="str">
        <f>IF(OR(D633="",NOT(G633="MPV")),"",1+SUMPRODUCT(($G$2:$G$1001="MPV")*($D$2:$D$1001&gt;D633))+COUNTIFS($G$2:G633,"MPV",$D$2:D633,D633)-1)</f>
        <v/>
      </c>
      <c r="N633" s="62" t="str">
        <f>IF(OR(D633="",NOT(G633="SUV")),"",1+SUMPRODUCT(($G$2:$G$1001="SUV")*($D$2:$D$1001&gt;D633))+COUNTIFS($G$2:G633,"SUV",$D$2:D633,D633)-1)</f>
        <v/>
      </c>
      <c r="O633" s="62" t="str">
        <f>IF(OR(D633="",NOT(AND(F633=1,G633="轿车"))),"",1+SUMPRODUCT(($F$2:$F$1001=1)*($G$2:$G$1001="轿车")*($D$2:$D$1001&gt;D633))+COUNTIFS($F$2:F633,1,$G$2:G633,"轿车",$D$2:D633,D633)-1)</f>
        <v/>
      </c>
      <c r="P633" s="62" t="str">
        <f>IF(OR(D633="",NOT(AND(F633=1,G633="MPV"))),"",1+SUMPRODUCT(($F$2:$F$1001=1)*($G$2:$G$1001="MPV")*($D$2:$D$1001&gt;D633))+COUNTIFS($F$2:F633,1,$G$2:G633,"MPV",$D$2:D633,D633)-1)</f>
        <v/>
      </c>
      <c r="Q633" s="62" t="str">
        <f>IF(OR(D633="",NOT(AND(F633=1,G633="SUV"))),"",1+SUMPRODUCT(($F$2:$F$1001=1)*($G$2:$G$1001="SUV")*($D$2:$D$1001&gt;D633))+COUNTIFS($F$2:F633,1,$G$2:G633,"SUV",$D$2:D633,D633)-1)</f>
        <v/>
      </c>
    </row>
    <row r="634" spans="1:17">
      <c r="A634" s="62" t="str">
        <f>IFERROR(INDEX($H$2:$H$3000,MATCH(0,INDEX(COUNTIF($A$1:A633,$H$2:$H$3000)+($H$2:$H$3000=""),0,0),0)),"")</f>
        <v/>
      </c>
      <c r="B634" s="62" t="str">
        <f t="shared" si="36"/>
        <v/>
      </c>
      <c r="C634" s="62" t="str">
        <f t="shared" si="37"/>
        <v/>
      </c>
      <c r="D634" s="63" t="str">
        <f t="shared" si="38"/>
        <v/>
      </c>
      <c r="E634" s="62" t="str">
        <f>IF(D634="","",_xlfn.RANK.EQ(D634,$D$2:$D$1001,0)+COUNTIF($D$2:D634,D634)-1)</f>
        <v/>
      </c>
      <c r="F634" s="62" t="str">
        <f>IF(B634="","",--(COUNTIF(CN_Brands!$A$2:$A$300,UPPER(B634))&gt;0))</f>
        <v/>
      </c>
      <c r="G634" s="62" t="str">
        <f t="shared" si="39"/>
        <v/>
      </c>
      <c r="H634" s="62" t="str">
        <f>IF(AND('Data Export'!A634=前十整体车型排名!$B$2,'Data Export'!B634=前十整体车型排名!$B$3,'Data Export'!D634&lt;&gt;""),UPPER('Data Export'!C634)&amp;"♦"&amp;'Data Export'!D634,"")</f>
        <v>OTHER♦OTHER</v>
      </c>
      <c r="I634" s="63">
        <f>IF(H634="","",IFERROR(INDEX('Data Export'!G634:CZ634,1,MATCH(前十整体车型排名!$B$4,'Data Export'!$G$1:$CZ$1,0)),0))</f>
        <v>0</v>
      </c>
      <c r="J634" s="62" t="str">
        <f>IF(H634="","",IF(OR('Data Export'!F634="三厢轿车",'Data Export'!F634="掀背轿车",'Data Export'!F634="旅行车",'Data Export'!F634="微型车",'Data Export'!F634="硬顶跑车",'Data Export'!F634="敞蓬车",'Data Export'!F634="Targa"),"轿车",IF(OR('Data Export'!F634="小型MPV",'Data Export'!F634="客车"),"MPV",IF('Data Export'!F634="运动型多功能车","SUV","其他"))))</f>
        <v>其他</v>
      </c>
      <c r="K634" s="62" t="str">
        <f>IF(OR(D634="",NOT(F634=1)),"",1+SUMPRODUCT(($F$2:$F$1001=1)*($D$2:$D$1001&gt;D634))+COUNTIFS($F$2:F634,1,$D$2:D634,D634)-1)</f>
        <v/>
      </c>
      <c r="L634" s="62" t="str">
        <f>IF(OR(D634="",NOT(G634="轿车")),"",1+SUMPRODUCT(($G$2:$G$1001="轿车")*($D$2:$D$1001&gt;D634))+COUNTIFS($G$2:G634,"轿车",$D$2:D634,D634)-1)</f>
        <v/>
      </c>
      <c r="M634" s="62" t="str">
        <f>IF(OR(D634="",NOT(G634="MPV")),"",1+SUMPRODUCT(($G$2:$G$1001="MPV")*($D$2:$D$1001&gt;D634))+COUNTIFS($G$2:G634,"MPV",$D$2:D634,D634)-1)</f>
        <v/>
      </c>
      <c r="N634" s="62" t="str">
        <f>IF(OR(D634="",NOT(G634="SUV")),"",1+SUMPRODUCT(($G$2:$G$1001="SUV")*($D$2:$D$1001&gt;D634))+COUNTIFS($G$2:G634,"SUV",$D$2:D634,D634)-1)</f>
        <v/>
      </c>
      <c r="O634" s="62" t="str">
        <f>IF(OR(D634="",NOT(AND(F634=1,G634="轿车"))),"",1+SUMPRODUCT(($F$2:$F$1001=1)*($G$2:$G$1001="轿车")*($D$2:$D$1001&gt;D634))+COUNTIFS($F$2:F634,1,$G$2:G634,"轿车",$D$2:D634,D634)-1)</f>
        <v/>
      </c>
      <c r="P634" s="62" t="str">
        <f>IF(OR(D634="",NOT(AND(F634=1,G634="MPV"))),"",1+SUMPRODUCT(($F$2:$F$1001=1)*($G$2:$G$1001="MPV")*($D$2:$D$1001&gt;D634))+COUNTIFS($F$2:F634,1,$G$2:G634,"MPV",$D$2:D634,D634)-1)</f>
        <v/>
      </c>
      <c r="Q634" s="62" t="str">
        <f>IF(OR(D634="",NOT(AND(F634=1,G634="SUV"))),"",1+SUMPRODUCT(($F$2:$F$1001=1)*($G$2:$G$1001="SUV")*($D$2:$D$1001&gt;D634))+COUNTIFS($F$2:F634,1,$G$2:G634,"SUV",$D$2:D634,D634)-1)</f>
        <v/>
      </c>
    </row>
    <row r="635" spans="1:17">
      <c r="A635" s="62" t="str">
        <f>IFERROR(INDEX($H$2:$H$3000,MATCH(0,INDEX(COUNTIF($A$1:A634,$H$2:$H$3000)+($H$2:$H$3000=""),0,0),0)),"")</f>
        <v/>
      </c>
      <c r="B635" s="62" t="str">
        <f t="shared" si="36"/>
        <v/>
      </c>
      <c r="C635" s="62" t="str">
        <f t="shared" si="37"/>
        <v/>
      </c>
      <c r="D635" s="63" t="str">
        <f t="shared" si="38"/>
        <v/>
      </c>
      <c r="E635" s="62" t="str">
        <f>IF(D635="","",_xlfn.RANK.EQ(D635,$D$2:$D$1001,0)+COUNTIF($D$2:D635,D635)-1)</f>
        <v/>
      </c>
      <c r="F635" s="62" t="str">
        <f>IF(B635="","",--(COUNTIF(CN_Brands!$A$2:$A$300,UPPER(B635))&gt;0))</f>
        <v/>
      </c>
      <c r="G635" s="62" t="str">
        <f t="shared" si="39"/>
        <v/>
      </c>
      <c r="H635" s="62" t="str">
        <f>IF(AND('Data Export'!A635=前十整体车型排名!$B$2,'Data Export'!B635=前十整体车型排名!$B$3,'Data Export'!D635&lt;&gt;""),UPPER('Data Export'!C635)&amp;"♦"&amp;'Data Export'!D635,"")</f>
        <v>OTHER♦OTHER</v>
      </c>
      <c r="I635" s="63">
        <f>IF(H635="","",IFERROR(INDEX('Data Export'!G635:CZ635,1,MATCH(前十整体车型排名!$B$4,'Data Export'!$G$1:$CZ$1,0)),0))</f>
        <v>0</v>
      </c>
      <c r="J635" s="62" t="str">
        <f>IF(H635="","",IF(OR('Data Export'!F635="三厢轿车",'Data Export'!F635="掀背轿车",'Data Export'!F635="旅行车",'Data Export'!F635="微型车",'Data Export'!F635="硬顶跑车",'Data Export'!F635="敞蓬车",'Data Export'!F635="Targa"),"轿车",IF(OR('Data Export'!F635="小型MPV",'Data Export'!F635="客车"),"MPV",IF('Data Export'!F635="运动型多功能车","SUV","其他"))))</f>
        <v>其他</v>
      </c>
      <c r="K635" s="62" t="str">
        <f>IF(OR(D635="",NOT(F635=1)),"",1+SUMPRODUCT(($F$2:$F$1001=1)*($D$2:$D$1001&gt;D635))+COUNTIFS($F$2:F635,1,$D$2:D635,D635)-1)</f>
        <v/>
      </c>
      <c r="L635" s="62" t="str">
        <f>IF(OR(D635="",NOT(G635="轿车")),"",1+SUMPRODUCT(($G$2:$G$1001="轿车")*($D$2:$D$1001&gt;D635))+COUNTIFS($G$2:G635,"轿车",$D$2:D635,D635)-1)</f>
        <v/>
      </c>
      <c r="M635" s="62" t="str">
        <f>IF(OR(D635="",NOT(G635="MPV")),"",1+SUMPRODUCT(($G$2:$G$1001="MPV")*($D$2:$D$1001&gt;D635))+COUNTIFS($G$2:G635,"MPV",$D$2:D635,D635)-1)</f>
        <v/>
      </c>
      <c r="N635" s="62" t="str">
        <f>IF(OR(D635="",NOT(G635="SUV")),"",1+SUMPRODUCT(($G$2:$G$1001="SUV")*($D$2:$D$1001&gt;D635))+COUNTIFS($G$2:G635,"SUV",$D$2:D635,D635)-1)</f>
        <v/>
      </c>
      <c r="O635" s="62" t="str">
        <f>IF(OR(D635="",NOT(AND(F635=1,G635="轿车"))),"",1+SUMPRODUCT(($F$2:$F$1001=1)*($G$2:$G$1001="轿车")*($D$2:$D$1001&gt;D635))+COUNTIFS($F$2:F635,1,$G$2:G635,"轿车",$D$2:D635,D635)-1)</f>
        <v/>
      </c>
      <c r="P635" s="62" t="str">
        <f>IF(OR(D635="",NOT(AND(F635=1,G635="MPV"))),"",1+SUMPRODUCT(($F$2:$F$1001=1)*($G$2:$G$1001="MPV")*($D$2:$D$1001&gt;D635))+COUNTIFS($F$2:F635,1,$G$2:G635,"MPV",$D$2:D635,D635)-1)</f>
        <v/>
      </c>
      <c r="Q635" s="62" t="str">
        <f>IF(OR(D635="",NOT(AND(F635=1,G635="SUV"))),"",1+SUMPRODUCT(($F$2:$F$1001=1)*($G$2:$G$1001="SUV")*($D$2:$D$1001&gt;D635))+COUNTIFS($F$2:F635,1,$G$2:G635,"SUV",$D$2:D635,D635)-1)</f>
        <v/>
      </c>
    </row>
    <row r="636" spans="1:17">
      <c r="A636" s="62" t="str">
        <f>IFERROR(INDEX($H$2:$H$3000,MATCH(0,INDEX(COUNTIF($A$1:A635,$H$2:$H$3000)+($H$2:$H$3000=""),0,0),0)),"")</f>
        <v/>
      </c>
      <c r="B636" s="62" t="str">
        <f t="shared" si="36"/>
        <v/>
      </c>
      <c r="C636" s="62" t="str">
        <f t="shared" si="37"/>
        <v/>
      </c>
      <c r="D636" s="63" t="str">
        <f t="shared" si="38"/>
        <v/>
      </c>
      <c r="E636" s="62" t="str">
        <f>IF(D636="","",_xlfn.RANK.EQ(D636,$D$2:$D$1001,0)+COUNTIF($D$2:D636,D636)-1)</f>
        <v/>
      </c>
      <c r="F636" s="62" t="str">
        <f>IF(B636="","",--(COUNTIF(CN_Brands!$A$2:$A$300,UPPER(B636))&gt;0))</f>
        <v/>
      </c>
      <c r="G636" s="62" t="str">
        <f t="shared" si="39"/>
        <v/>
      </c>
      <c r="H636" s="62" t="str">
        <f>IF(AND('Data Export'!A636=前十整体车型排名!$B$2,'Data Export'!B636=前十整体车型排名!$B$3,'Data Export'!D636&lt;&gt;""),UPPER('Data Export'!C636)&amp;"♦"&amp;'Data Export'!D636,"")</f>
        <v>OTHER♦OTHER</v>
      </c>
      <c r="I636" s="63">
        <f>IF(H636="","",IFERROR(INDEX('Data Export'!G636:CZ636,1,MATCH(前十整体车型排名!$B$4,'Data Export'!$G$1:$CZ$1,0)),0))</f>
        <v>0</v>
      </c>
      <c r="J636" s="62" t="str">
        <f>IF(H636="","",IF(OR('Data Export'!F636="三厢轿车",'Data Export'!F636="掀背轿车",'Data Export'!F636="旅行车",'Data Export'!F636="微型车",'Data Export'!F636="硬顶跑车",'Data Export'!F636="敞蓬车",'Data Export'!F636="Targa"),"轿车",IF(OR('Data Export'!F636="小型MPV",'Data Export'!F636="客车"),"MPV",IF('Data Export'!F636="运动型多功能车","SUV","其他"))))</f>
        <v>其他</v>
      </c>
      <c r="K636" s="62" t="str">
        <f>IF(OR(D636="",NOT(F636=1)),"",1+SUMPRODUCT(($F$2:$F$1001=1)*($D$2:$D$1001&gt;D636))+COUNTIFS($F$2:F636,1,$D$2:D636,D636)-1)</f>
        <v/>
      </c>
      <c r="L636" s="62" t="str">
        <f>IF(OR(D636="",NOT(G636="轿车")),"",1+SUMPRODUCT(($G$2:$G$1001="轿车")*($D$2:$D$1001&gt;D636))+COUNTIFS($G$2:G636,"轿车",$D$2:D636,D636)-1)</f>
        <v/>
      </c>
      <c r="M636" s="62" t="str">
        <f>IF(OR(D636="",NOT(G636="MPV")),"",1+SUMPRODUCT(($G$2:$G$1001="MPV")*($D$2:$D$1001&gt;D636))+COUNTIFS($G$2:G636,"MPV",$D$2:D636,D636)-1)</f>
        <v/>
      </c>
      <c r="N636" s="62" t="str">
        <f>IF(OR(D636="",NOT(G636="SUV")),"",1+SUMPRODUCT(($G$2:$G$1001="SUV")*($D$2:$D$1001&gt;D636))+COUNTIFS($G$2:G636,"SUV",$D$2:D636,D636)-1)</f>
        <v/>
      </c>
      <c r="O636" s="62" t="str">
        <f>IF(OR(D636="",NOT(AND(F636=1,G636="轿车"))),"",1+SUMPRODUCT(($F$2:$F$1001=1)*($G$2:$G$1001="轿车")*($D$2:$D$1001&gt;D636))+COUNTIFS($F$2:F636,1,$G$2:G636,"轿车",$D$2:D636,D636)-1)</f>
        <v/>
      </c>
      <c r="P636" s="62" t="str">
        <f>IF(OR(D636="",NOT(AND(F636=1,G636="MPV"))),"",1+SUMPRODUCT(($F$2:$F$1001=1)*($G$2:$G$1001="MPV")*($D$2:$D$1001&gt;D636))+COUNTIFS($F$2:F636,1,$G$2:G636,"MPV",$D$2:D636,D636)-1)</f>
        <v/>
      </c>
      <c r="Q636" s="62" t="str">
        <f>IF(OR(D636="",NOT(AND(F636=1,G636="SUV"))),"",1+SUMPRODUCT(($F$2:$F$1001=1)*($G$2:$G$1001="SUV")*($D$2:$D$1001&gt;D636))+COUNTIFS($F$2:F636,1,$G$2:G636,"SUV",$D$2:D636,D636)-1)</f>
        <v/>
      </c>
    </row>
    <row r="637" spans="1:17">
      <c r="A637" s="62" t="str">
        <f>IFERROR(INDEX($H$2:$H$3000,MATCH(0,INDEX(COUNTIF($A$1:A636,$H$2:$H$3000)+($H$2:$H$3000=""),0,0),0)),"")</f>
        <v/>
      </c>
      <c r="B637" s="62" t="str">
        <f t="shared" si="36"/>
        <v/>
      </c>
      <c r="C637" s="62" t="str">
        <f t="shared" si="37"/>
        <v/>
      </c>
      <c r="D637" s="63" t="str">
        <f t="shared" si="38"/>
        <v/>
      </c>
      <c r="E637" s="62" t="str">
        <f>IF(D637="","",_xlfn.RANK.EQ(D637,$D$2:$D$1001,0)+COUNTIF($D$2:D637,D637)-1)</f>
        <v/>
      </c>
      <c r="F637" s="62" t="str">
        <f>IF(B637="","",--(COUNTIF(CN_Brands!$A$2:$A$300,UPPER(B637))&gt;0))</f>
        <v/>
      </c>
      <c r="G637" s="62" t="str">
        <f t="shared" si="39"/>
        <v/>
      </c>
      <c r="H637" s="62" t="str">
        <f>IF(AND('Data Export'!A637=前十整体车型排名!$B$2,'Data Export'!B637=前十整体车型排名!$B$3,'Data Export'!D637&lt;&gt;""),UPPER('Data Export'!C637)&amp;"♦"&amp;'Data Export'!D637,"")</f>
        <v>OTHER♦OTHER</v>
      </c>
      <c r="I637" s="63">
        <f>IF(H637="","",IFERROR(INDEX('Data Export'!G637:CZ637,1,MATCH(前十整体车型排名!$B$4,'Data Export'!$G$1:$CZ$1,0)),0))</f>
        <v>0</v>
      </c>
      <c r="J637" s="62" t="str">
        <f>IF(H637="","",IF(OR('Data Export'!F637="三厢轿车",'Data Export'!F637="掀背轿车",'Data Export'!F637="旅行车",'Data Export'!F637="微型车",'Data Export'!F637="硬顶跑车",'Data Export'!F637="敞蓬车",'Data Export'!F637="Targa"),"轿车",IF(OR('Data Export'!F637="小型MPV",'Data Export'!F637="客车"),"MPV",IF('Data Export'!F637="运动型多功能车","SUV","其他"))))</f>
        <v>其他</v>
      </c>
      <c r="K637" s="62" t="str">
        <f>IF(OR(D637="",NOT(F637=1)),"",1+SUMPRODUCT(($F$2:$F$1001=1)*($D$2:$D$1001&gt;D637))+COUNTIFS($F$2:F637,1,$D$2:D637,D637)-1)</f>
        <v/>
      </c>
      <c r="L637" s="62" t="str">
        <f>IF(OR(D637="",NOT(G637="轿车")),"",1+SUMPRODUCT(($G$2:$G$1001="轿车")*($D$2:$D$1001&gt;D637))+COUNTIFS($G$2:G637,"轿车",$D$2:D637,D637)-1)</f>
        <v/>
      </c>
      <c r="M637" s="62" t="str">
        <f>IF(OR(D637="",NOT(G637="MPV")),"",1+SUMPRODUCT(($G$2:$G$1001="MPV")*($D$2:$D$1001&gt;D637))+COUNTIFS($G$2:G637,"MPV",$D$2:D637,D637)-1)</f>
        <v/>
      </c>
      <c r="N637" s="62" t="str">
        <f>IF(OR(D637="",NOT(G637="SUV")),"",1+SUMPRODUCT(($G$2:$G$1001="SUV")*($D$2:$D$1001&gt;D637))+COUNTIFS($G$2:G637,"SUV",$D$2:D637,D637)-1)</f>
        <v/>
      </c>
      <c r="O637" s="62" t="str">
        <f>IF(OR(D637="",NOT(AND(F637=1,G637="轿车"))),"",1+SUMPRODUCT(($F$2:$F$1001=1)*($G$2:$G$1001="轿车")*($D$2:$D$1001&gt;D637))+COUNTIFS($F$2:F637,1,$G$2:G637,"轿车",$D$2:D637,D637)-1)</f>
        <v/>
      </c>
      <c r="P637" s="62" t="str">
        <f>IF(OR(D637="",NOT(AND(F637=1,G637="MPV"))),"",1+SUMPRODUCT(($F$2:$F$1001=1)*($G$2:$G$1001="MPV")*($D$2:$D$1001&gt;D637))+COUNTIFS($F$2:F637,1,$G$2:G637,"MPV",$D$2:D637,D637)-1)</f>
        <v/>
      </c>
      <c r="Q637" s="62" t="str">
        <f>IF(OR(D637="",NOT(AND(F637=1,G637="SUV"))),"",1+SUMPRODUCT(($F$2:$F$1001=1)*($G$2:$G$1001="SUV")*($D$2:$D$1001&gt;D637))+COUNTIFS($F$2:F637,1,$G$2:G637,"SUV",$D$2:D637,D637)-1)</f>
        <v/>
      </c>
    </row>
    <row r="638" spans="1:17">
      <c r="A638" s="62" t="str">
        <f>IFERROR(INDEX($H$2:$H$3000,MATCH(0,INDEX(COUNTIF($A$1:A637,$H$2:$H$3000)+($H$2:$H$3000=""),0,0),0)),"")</f>
        <v/>
      </c>
      <c r="B638" s="62" t="str">
        <f t="shared" si="36"/>
        <v/>
      </c>
      <c r="C638" s="62" t="str">
        <f t="shared" si="37"/>
        <v/>
      </c>
      <c r="D638" s="63" t="str">
        <f t="shared" si="38"/>
        <v/>
      </c>
      <c r="E638" s="62" t="str">
        <f>IF(D638="","",_xlfn.RANK.EQ(D638,$D$2:$D$1001,0)+COUNTIF($D$2:D638,D638)-1)</f>
        <v/>
      </c>
      <c r="F638" s="62" t="str">
        <f>IF(B638="","",--(COUNTIF(CN_Brands!$A$2:$A$300,UPPER(B638))&gt;0))</f>
        <v/>
      </c>
      <c r="G638" s="62" t="str">
        <f t="shared" si="39"/>
        <v/>
      </c>
      <c r="H638" s="62" t="str">
        <f>IF(AND('Data Export'!A638=前十整体车型排名!$B$2,'Data Export'!B638=前十整体车型排名!$B$3,'Data Export'!D638&lt;&gt;""),UPPER('Data Export'!C638)&amp;"♦"&amp;'Data Export'!D638,"")</f>
        <v>OTHER♦OTHER</v>
      </c>
      <c r="I638" s="63">
        <f>IF(H638="","",IFERROR(INDEX('Data Export'!G638:CZ638,1,MATCH(前十整体车型排名!$B$4,'Data Export'!$G$1:$CZ$1,0)),0))</f>
        <v>0</v>
      </c>
      <c r="J638" s="62" t="str">
        <f>IF(H638="","",IF(OR('Data Export'!F638="三厢轿车",'Data Export'!F638="掀背轿车",'Data Export'!F638="旅行车",'Data Export'!F638="微型车",'Data Export'!F638="硬顶跑车",'Data Export'!F638="敞蓬车",'Data Export'!F638="Targa"),"轿车",IF(OR('Data Export'!F638="小型MPV",'Data Export'!F638="客车"),"MPV",IF('Data Export'!F638="运动型多功能车","SUV","其他"))))</f>
        <v>其他</v>
      </c>
      <c r="K638" s="62" t="str">
        <f>IF(OR(D638="",NOT(F638=1)),"",1+SUMPRODUCT(($F$2:$F$1001=1)*($D$2:$D$1001&gt;D638))+COUNTIFS($F$2:F638,1,$D$2:D638,D638)-1)</f>
        <v/>
      </c>
      <c r="L638" s="62" t="str">
        <f>IF(OR(D638="",NOT(G638="轿车")),"",1+SUMPRODUCT(($G$2:$G$1001="轿车")*($D$2:$D$1001&gt;D638))+COUNTIFS($G$2:G638,"轿车",$D$2:D638,D638)-1)</f>
        <v/>
      </c>
      <c r="M638" s="62" t="str">
        <f>IF(OR(D638="",NOT(G638="MPV")),"",1+SUMPRODUCT(($G$2:$G$1001="MPV")*($D$2:$D$1001&gt;D638))+COUNTIFS($G$2:G638,"MPV",$D$2:D638,D638)-1)</f>
        <v/>
      </c>
      <c r="N638" s="62" t="str">
        <f>IF(OR(D638="",NOT(G638="SUV")),"",1+SUMPRODUCT(($G$2:$G$1001="SUV")*($D$2:$D$1001&gt;D638))+COUNTIFS($G$2:G638,"SUV",$D$2:D638,D638)-1)</f>
        <v/>
      </c>
      <c r="O638" s="62" t="str">
        <f>IF(OR(D638="",NOT(AND(F638=1,G638="轿车"))),"",1+SUMPRODUCT(($F$2:$F$1001=1)*($G$2:$G$1001="轿车")*($D$2:$D$1001&gt;D638))+COUNTIFS($F$2:F638,1,$G$2:G638,"轿车",$D$2:D638,D638)-1)</f>
        <v/>
      </c>
      <c r="P638" s="62" t="str">
        <f>IF(OR(D638="",NOT(AND(F638=1,G638="MPV"))),"",1+SUMPRODUCT(($F$2:$F$1001=1)*($G$2:$G$1001="MPV")*($D$2:$D$1001&gt;D638))+COUNTIFS($F$2:F638,1,$G$2:G638,"MPV",$D$2:D638,D638)-1)</f>
        <v/>
      </c>
      <c r="Q638" s="62" t="str">
        <f>IF(OR(D638="",NOT(AND(F638=1,G638="SUV"))),"",1+SUMPRODUCT(($F$2:$F$1001=1)*($G$2:$G$1001="SUV")*($D$2:$D$1001&gt;D638))+COUNTIFS($F$2:F638,1,$G$2:G638,"SUV",$D$2:D638,D638)-1)</f>
        <v/>
      </c>
    </row>
    <row r="639" spans="1:17">
      <c r="A639" s="62" t="str">
        <f>IFERROR(INDEX($H$2:$H$3000,MATCH(0,INDEX(COUNTIF($A$1:A638,$H$2:$H$3000)+($H$2:$H$3000=""),0,0),0)),"")</f>
        <v/>
      </c>
      <c r="B639" s="62" t="str">
        <f t="shared" si="36"/>
        <v/>
      </c>
      <c r="C639" s="62" t="str">
        <f t="shared" si="37"/>
        <v/>
      </c>
      <c r="D639" s="63" t="str">
        <f t="shared" si="38"/>
        <v/>
      </c>
      <c r="E639" s="62" t="str">
        <f>IF(D639="","",_xlfn.RANK.EQ(D639,$D$2:$D$1001,0)+COUNTIF($D$2:D639,D639)-1)</f>
        <v/>
      </c>
      <c r="F639" s="62" t="str">
        <f>IF(B639="","",--(COUNTIF(CN_Brands!$A$2:$A$300,UPPER(B639))&gt;0))</f>
        <v/>
      </c>
      <c r="G639" s="62" t="str">
        <f t="shared" si="39"/>
        <v/>
      </c>
      <c r="H639" s="62" t="str">
        <f>IF(AND('Data Export'!A639=前十整体车型排名!$B$2,'Data Export'!B639=前十整体车型排名!$B$3,'Data Export'!D639&lt;&gt;""),UPPER('Data Export'!C639)&amp;"♦"&amp;'Data Export'!D639,"")</f>
        <v>PEUGEOT♦2008</v>
      </c>
      <c r="I639" s="63">
        <f>IF(H639="","",IFERROR(INDEX('Data Export'!G639:CZ639,1,MATCH(前十整体车型排名!$B$4,'Data Export'!$G$1:$CZ$1,0)),0))</f>
        <v>5</v>
      </c>
      <c r="J639" s="62" t="str">
        <f>IF(H639="","",IF(OR('Data Export'!F639="三厢轿车",'Data Export'!F639="掀背轿车",'Data Export'!F639="旅行车",'Data Export'!F639="微型车",'Data Export'!F639="硬顶跑车",'Data Export'!F639="敞蓬车",'Data Export'!F639="Targa"),"轿车",IF(OR('Data Export'!F639="小型MPV",'Data Export'!F639="客车"),"MPV",IF('Data Export'!F639="运动型多功能车","SUV","其他"))))</f>
        <v>SUV</v>
      </c>
      <c r="K639" s="62" t="str">
        <f>IF(OR(D639="",NOT(F639=1)),"",1+SUMPRODUCT(($F$2:$F$1001=1)*($D$2:$D$1001&gt;D639))+COUNTIFS($F$2:F639,1,$D$2:D639,D639)-1)</f>
        <v/>
      </c>
      <c r="L639" s="62" t="str">
        <f>IF(OR(D639="",NOT(G639="轿车")),"",1+SUMPRODUCT(($G$2:$G$1001="轿车")*($D$2:$D$1001&gt;D639))+COUNTIFS($G$2:G639,"轿车",$D$2:D639,D639)-1)</f>
        <v/>
      </c>
      <c r="M639" s="62" t="str">
        <f>IF(OR(D639="",NOT(G639="MPV")),"",1+SUMPRODUCT(($G$2:$G$1001="MPV")*($D$2:$D$1001&gt;D639))+COUNTIFS($G$2:G639,"MPV",$D$2:D639,D639)-1)</f>
        <v/>
      </c>
      <c r="N639" s="62" t="str">
        <f>IF(OR(D639="",NOT(G639="SUV")),"",1+SUMPRODUCT(($G$2:$G$1001="SUV")*($D$2:$D$1001&gt;D639))+COUNTIFS($G$2:G639,"SUV",$D$2:D639,D639)-1)</f>
        <v/>
      </c>
      <c r="O639" s="62" t="str">
        <f>IF(OR(D639="",NOT(AND(F639=1,G639="轿车"))),"",1+SUMPRODUCT(($F$2:$F$1001=1)*($G$2:$G$1001="轿车")*($D$2:$D$1001&gt;D639))+COUNTIFS($F$2:F639,1,$G$2:G639,"轿车",$D$2:D639,D639)-1)</f>
        <v/>
      </c>
      <c r="P639" s="62" t="str">
        <f>IF(OR(D639="",NOT(AND(F639=1,G639="MPV"))),"",1+SUMPRODUCT(($F$2:$F$1001=1)*($G$2:$G$1001="MPV")*($D$2:$D$1001&gt;D639))+COUNTIFS($F$2:F639,1,$G$2:G639,"MPV",$D$2:D639,D639)-1)</f>
        <v/>
      </c>
      <c r="Q639" s="62" t="str">
        <f>IF(OR(D639="",NOT(AND(F639=1,G639="SUV"))),"",1+SUMPRODUCT(($F$2:$F$1001=1)*($G$2:$G$1001="SUV")*($D$2:$D$1001&gt;D639))+COUNTIFS($F$2:F639,1,$G$2:G639,"SUV",$D$2:D639,D639)-1)</f>
        <v/>
      </c>
    </row>
    <row r="640" spans="1:17">
      <c r="A640" s="62" t="str">
        <f>IFERROR(INDEX($H$2:$H$3000,MATCH(0,INDEX(COUNTIF($A$1:A639,$H$2:$H$3000)+($H$2:$H$3000=""),0,0),0)),"")</f>
        <v/>
      </c>
      <c r="B640" s="62" t="str">
        <f t="shared" si="36"/>
        <v/>
      </c>
      <c r="C640" s="62" t="str">
        <f t="shared" si="37"/>
        <v/>
      </c>
      <c r="D640" s="63" t="str">
        <f t="shared" si="38"/>
        <v/>
      </c>
      <c r="E640" s="62" t="str">
        <f>IF(D640="","",_xlfn.RANK.EQ(D640,$D$2:$D$1001,0)+COUNTIF($D$2:D640,D640)-1)</f>
        <v/>
      </c>
      <c r="F640" s="62" t="str">
        <f>IF(B640="","",--(COUNTIF(CN_Brands!$A$2:$A$300,UPPER(B640))&gt;0))</f>
        <v/>
      </c>
      <c r="G640" s="62" t="str">
        <f t="shared" si="39"/>
        <v/>
      </c>
      <c r="H640" s="62" t="str">
        <f>IF(AND('Data Export'!A640=前十整体车型排名!$B$2,'Data Export'!B640=前十整体车型排名!$B$3,'Data Export'!D640&lt;&gt;""),UPPER('Data Export'!C640)&amp;"♦"&amp;'Data Export'!D640,"")</f>
        <v>PEUGEOT♦3008</v>
      </c>
      <c r="I640" s="63">
        <f>IF(H640="","",IFERROR(INDEX('Data Export'!G640:CZ640,1,MATCH(前十整体车型排名!$B$4,'Data Export'!$G$1:$CZ$1,0)),0))</f>
        <v>5</v>
      </c>
      <c r="J640" s="62" t="str">
        <f>IF(H640="","",IF(OR('Data Export'!F640="三厢轿车",'Data Export'!F640="掀背轿车",'Data Export'!F640="旅行车",'Data Export'!F640="微型车",'Data Export'!F640="硬顶跑车",'Data Export'!F640="敞蓬车",'Data Export'!F640="Targa"),"轿车",IF(OR('Data Export'!F640="小型MPV",'Data Export'!F640="客车"),"MPV",IF('Data Export'!F640="运动型多功能车","SUV","其他"))))</f>
        <v>SUV</v>
      </c>
      <c r="K640" s="62" t="str">
        <f>IF(OR(D640="",NOT(F640=1)),"",1+SUMPRODUCT(($F$2:$F$1001=1)*($D$2:$D$1001&gt;D640))+COUNTIFS($F$2:F640,1,$D$2:D640,D640)-1)</f>
        <v/>
      </c>
      <c r="L640" s="62" t="str">
        <f>IF(OR(D640="",NOT(G640="轿车")),"",1+SUMPRODUCT(($G$2:$G$1001="轿车")*($D$2:$D$1001&gt;D640))+COUNTIFS($G$2:G640,"轿车",$D$2:D640,D640)-1)</f>
        <v/>
      </c>
      <c r="M640" s="62" t="str">
        <f>IF(OR(D640="",NOT(G640="MPV")),"",1+SUMPRODUCT(($G$2:$G$1001="MPV")*($D$2:$D$1001&gt;D640))+COUNTIFS($G$2:G640,"MPV",$D$2:D640,D640)-1)</f>
        <v/>
      </c>
      <c r="N640" s="62" t="str">
        <f>IF(OR(D640="",NOT(G640="SUV")),"",1+SUMPRODUCT(($G$2:$G$1001="SUV")*($D$2:$D$1001&gt;D640))+COUNTIFS($G$2:G640,"SUV",$D$2:D640,D640)-1)</f>
        <v/>
      </c>
      <c r="O640" s="62" t="str">
        <f>IF(OR(D640="",NOT(AND(F640=1,G640="轿车"))),"",1+SUMPRODUCT(($F$2:$F$1001=1)*($G$2:$G$1001="轿车")*($D$2:$D$1001&gt;D640))+COUNTIFS($F$2:F640,1,$G$2:G640,"轿车",$D$2:D640,D640)-1)</f>
        <v/>
      </c>
      <c r="P640" s="62" t="str">
        <f>IF(OR(D640="",NOT(AND(F640=1,G640="MPV"))),"",1+SUMPRODUCT(($F$2:$F$1001=1)*($G$2:$G$1001="MPV")*($D$2:$D$1001&gt;D640))+COUNTIFS($F$2:F640,1,$G$2:G640,"MPV",$D$2:D640,D640)-1)</f>
        <v/>
      </c>
      <c r="Q640" s="62" t="str">
        <f>IF(OR(D640="",NOT(AND(F640=1,G640="SUV"))),"",1+SUMPRODUCT(($F$2:$F$1001=1)*($G$2:$G$1001="SUV")*($D$2:$D$1001&gt;D640))+COUNTIFS($F$2:F640,1,$G$2:G640,"SUV",$D$2:D640,D640)-1)</f>
        <v/>
      </c>
    </row>
    <row r="641" spans="1:17">
      <c r="A641" s="62" t="str">
        <f>IFERROR(INDEX($H$2:$H$3000,MATCH(0,INDEX(COUNTIF($A$1:A640,$H$2:$H$3000)+($H$2:$H$3000=""),0,0),0)),"")</f>
        <v/>
      </c>
      <c r="B641" s="62" t="str">
        <f t="shared" si="36"/>
        <v/>
      </c>
      <c r="C641" s="62" t="str">
        <f t="shared" si="37"/>
        <v/>
      </c>
      <c r="D641" s="63" t="str">
        <f t="shared" si="38"/>
        <v/>
      </c>
      <c r="E641" s="62" t="str">
        <f>IF(D641="","",_xlfn.RANK.EQ(D641,$D$2:$D$1001,0)+COUNTIF($D$2:D641,D641)-1)</f>
        <v/>
      </c>
      <c r="F641" s="62" t="str">
        <f>IF(B641="","",--(COUNTIF(CN_Brands!$A$2:$A$300,UPPER(B641))&gt;0))</f>
        <v/>
      </c>
      <c r="G641" s="62" t="str">
        <f t="shared" si="39"/>
        <v/>
      </c>
      <c r="H641" s="62" t="str">
        <f>IF(AND('Data Export'!A641=前十整体车型排名!$B$2,'Data Export'!B641=前十整体车型排名!$B$3,'Data Export'!D641&lt;&gt;""),UPPER('Data Export'!C641)&amp;"♦"&amp;'Data Export'!D641,"")</f>
        <v>PEUGEOT♦408</v>
      </c>
      <c r="I641" s="63">
        <f>IF(H641="","",IFERROR(INDEX('Data Export'!G641:CZ641,1,MATCH(前十整体车型排名!$B$4,'Data Export'!$G$1:$CZ$1,0)),0))</f>
        <v>0</v>
      </c>
      <c r="J641" s="62" t="str">
        <f>IF(H641="","",IF(OR('Data Export'!F641="三厢轿车",'Data Export'!F641="掀背轿车",'Data Export'!F641="旅行车",'Data Export'!F641="微型车",'Data Export'!F641="硬顶跑车",'Data Export'!F641="敞蓬车",'Data Export'!F641="Targa"),"轿车",IF(OR('Data Export'!F641="小型MPV",'Data Export'!F641="客车"),"MPV",IF('Data Export'!F641="运动型多功能车","SUV","其他"))))</f>
        <v>轿车</v>
      </c>
      <c r="K641" s="62" t="str">
        <f>IF(OR(D641="",NOT(F641=1)),"",1+SUMPRODUCT(($F$2:$F$1001=1)*($D$2:$D$1001&gt;D641))+COUNTIFS($F$2:F641,1,$D$2:D641,D641)-1)</f>
        <v/>
      </c>
      <c r="L641" s="62" t="str">
        <f>IF(OR(D641="",NOT(G641="轿车")),"",1+SUMPRODUCT(($G$2:$G$1001="轿车")*($D$2:$D$1001&gt;D641))+COUNTIFS($G$2:G641,"轿车",$D$2:D641,D641)-1)</f>
        <v/>
      </c>
      <c r="M641" s="62" t="str">
        <f>IF(OR(D641="",NOT(G641="MPV")),"",1+SUMPRODUCT(($G$2:$G$1001="MPV")*($D$2:$D$1001&gt;D641))+COUNTIFS($G$2:G641,"MPV",$D$2:D641,D641)-1)</f>
        <v/>
      </c>
      <c r="N641" s="62" t="str">
        <f>IF(OR(D641="",NOT(G641="SUV")),"",1+SUMPRODUCT(($G$2:$G$1001="SUV")*($D$2:$D$1001&gt;D641))+COUNTIFS($G$2:G641,"SUV",$D$2:D641,D641)-1)</f>
        <v/>
      </c>
      <c r="O641" s="62" t="str">
        <f>IF(OR(D641="",NOT(AND(F641=1,G641="轿车"))),"",1+SUMPRODUCT(($F$2:$F$1001=1)*($G$2:$G$1001="轿车")*($D$2:$D$1001&gt;D641))+COUNTIFS($F$2:F641,1,$G$2:G641,"轿车",$D$2:D641,D641)-1)</f>
        <v/>
      </c>
      <c r="P641" s="62" t="str">
        <f>IF(OR(D641="",NOT(AND(F641=1,G641="MPV"))),"",1+SUMPRODUCT(($F$2:$F$1001=1)*($G$2:$G$1001="MPV")*($D$2:$D$1001&gt;D641))+COUNTIFS($F$2:F641,1,$G$2:G641,"MPV",$D$2:D641,D641)-1)</f>
        <v/>
      </c>
      <c r="Q641" s="62" t="str">
        <f>IF(OR(D641="",NOT(AND(F641=1,G641="SUV"))),"",1+SUMPRODUCT(($F$2:$F$1001=1)*($G$2:$G$1001="SUV")*($D$2:$D$1001&gt;D641))+COUNTIFS($F$2:F641,1,$G$2:G641,"SUV",$D$2:D641,D641)-1)</f>
        <v/>
      </c>
    </row>
    <row r="642" spans="1:17">
      <c r="A642" s="62" t="str">
        <f>IFERROR(INDEX($H$2:$H$3000,MATCH(0,INDEX(COUNTIF($A$1:A641,$H$2:$H$3000)+($H$2:$H$3000=""),0,0),0)),"")</f>
        <v/>
      </c>
      <c r="B642" s="62" t="str">
        <f t="shared" ref="B642:B705" si="40">IF(A642="","",LEFT(A642,FIND("♦",A642)-1))</f>
        <v/>
      </c>
      <c r="C642" s="62" t="str">
        <f t="shared" ref="C642:C705" si="41">IF(A642="","",MID(A642,FIND("♦",A642)+1,999))</f>
        <v/>
      </c>
      <c r="D642" s="63" t="str">
        <f t="shared" ref="D642:D705" si="42">IF(A642="","",SUMIF($H$2:$H$3000,A642,$I$2:$I$3000))</f>
        <v/>
      </c>
      <c r="E642" s="62" t="str">
        <f>IF(D642="","",_xlfn.RANK.EQ(D642,$D$2:$D$1001,0)+COUNTIF($D$2:D642,D642)-1)</f>
        <v/>
      </c>
      <c r="F642" s="62" t="str">
        <f>IF(B642="","",--(COUNTIF(CN_Brands!$A$2:$A$300,UPPER(B642))&gt;0))</f>
        <v/>
      </c>
      <c r="G642" s="62" t="str">
        <f t="shared" ref="G642:G705" si="43">IF(A642="","",IFERROR(INDEX($J$2:$J$3000,MATCH(A642,$H$2:$H$3000,0)),"其他"))</f>
        <v/>
      </c>
      <c r="H642" s="62" t="str">
        <f>IF(AND('Data Export'!A642=前十整体车型排名!$B$2,'Data Export'!B642=前十整体车型排名!$B$3,'Data Export'!D642&lt;&gt;""),UPPER('Data Export'!C642)&amp;"♦"&amp;'Data Export'!D642,"")</f>
        <v>PEUGEOT♦5008</v>
      </c>
      <c r="I642" s="63">
        <f>IF(H642="","",IFERROR(INDEX('Data Export'!G642:CZ642,1,MATCH(前十整体车型排名!$B$4,'Data Export'!$G$1:$CZ$1,0)),0))</f>
        <v>1</v>
      </c>
      <c r="J642" s="62" t="str">
        <f>IF(H642="","",IF(OR('Data Export'!F642="三厢轿车",'Data Export'!F642="掀背轿车",'Data Export'!F642="旅行车",'Data Export'!F642="微型车",'Data Export'!F642="硬顶跑车",'Data Export'!F642="敞蓬车",'Data Export'!F642="Targa"),"轿车",IF(OR('Data Export'!F642="小型MPV",'Data Export'!F642="客车"),"MPV",IF('Data Export'!F642="运动型多功能车","SUV","其他"))))</f>
        <v>SUV</v>
      </c>
      <c r="K642" s="62" t="str">
        <f>IF(OR(D642="",NOT(F642=1)),"",1+SUMPRODUCT(($F$2:$F$1001=1)*($D$2:$D$1001&gt;D642))+COUNTIFS($F$2:F642,1,$D$2:D642,D642)-1)</f>
        <v/>
      </c>
      <c r="L642" s="62" t="str">
        <f>IF(OR(D642="",NOT(G642="轿车")),"",1+SUMPRODUCT(($G$2:$G$1001="轿车")*($D$2:$D$1001&gt;D642))+COUNTIFS($G$2:G642,"轿车",$D$2:D642,D642)-1)</f>
        <v/>
      </c>
      <c r="M642" s="62" t="str">
        <f>IF(OR(D642="",NOT(G642="MPV")),"",1+SUMPRODUCT(($G$2:$G$1001="MPV")*($D$2:$D$1001&gt;D642))+COUNTIFS($G$2:G642,"MPV",$D$2:D642,D642)-1)</f>
        <v/>
      </c>
      <c r="N642" s="62" t="str">
        <f>IF(OR(D642="",NOT(G642="SUV")),"",1+SUMPRODUCT(($G$2:$G$1001="SUV")*($D$2:$D$1001&gt;D642))+COUNTIFS($G$2:G642,"SUV",$D$2:D642,D642)-1)</f>
        <v/>
      </c>
      <c r="O642" s="62" t="str">
        <f>IF(OR(D642="",NOT(AND(F642=1,G642="轿车"))),"",1+SUMPRODUCT(($F$2:$F$1001=1)*($G$2:$G$1001="轿车")*($D$2:$D$1001&gt;D642))+COUNTIFS($F$2:F642,1,$G$2:G642,"轿车",$D$2:D642,D642)-1)</f>
        <v/>
      </c>
      <c r="P642" s="62" t="str">
        <f>IF(OR(D642="",NOT(AND(F642=1,G642="MPV"))),"",1+SUMPRODUCT(($F$2:$F$1001=1)*($G$2:$G$1001="MPV")*($D$2:$D$1001&gt;D642))+COUNTIFS($F$2:F642,1,$G$2:G642,"MPV",$D$2:D642,D642)-1)</f>
        <v/>
      </c>
      <c r="Q642" s="62" t="str">
        <f>IF(OR(D642="",NOT(AND(F642=1,G642="SUV"))),"",1+SUMPRODUCT(($F$2:$F$1001=1)*($G$2:$G$1001="SUV")*($D$2:$D$1001&gt;D642))+COUNTIFS($F$2:F642,1,$G$2:G642,"SUV",$D$2:D642,D642)-1)</f>
        <v/>
      </c>
    </row>
    <row r="643" spans="1:17">
      <c r="A643" s="62" t="str">
        <f>IFERROR(INDEX($H$2:$H$3000,MATCH(0,INDEX(COUNTIF($A$1:A642,$H$2:$H$3000)+($H$2:$H$3000=""),0,0),0)),"")</f>
        <v/>
      </c>
      <c r="B643" s="62" t="str">
        <f t="shared" si="40"/>
        <v/>
      </c>
      <c r="C643" s="62" t="str">
        <f t="shared" si="41"/>
        <v/>
      </c>
      <c r="D643" s="63" t="str">
        <f t="shared" si="42"/>
        <v/>
      </c>
      <c r="E643" s="62" t="str">
        <f>IF(D643="","",_xlfn.RANK.EQ(D643,$D$2:$D$1001,0)+COUNTIF($D$2:D643,D643)-1)</f>
        <v/>
      </c>
      <c r="F643" s="62" t="str">
        <f>IF(B643="","",--(COUNTIF(CN_Brands!$A$2:$A$300,UPPER(B643))&gt;0))</f>
        <v/>
      </c>
      <c r="G643" s="62" t="str">
        <f t="shared" si="43"/>
        <v/>
      </c>
      <c r="H643" s="62" t="str">
        <f>IF(AND('Data Export'!A643=前十整体车型排名!$B$2,'Data Export'!B643=前十整体车型排名!$B$3,'Data Export'!D643&lt;&gt;""),UPPER('Data Export'!C643)&amp;"♦"&amp;'Data Export'!D643,"")</f>
        <v>POCCO♦DUODUO</v>
      </c>
      <c r="I643" s="63">
        <f>IF(H643="","",IFERROR(INDEX('Data Export'!G643:CZ643,1,MATCH(前十整体车型排名!$B$4,'Data Export'!$G$1:$CZ$1,0)),0))</f>
        <v>0</v>
      </c>
      <c r="J643" s="62" t="str">
        <f>IF(H643="","",IF(OR('Data Export'!F643="三厢轿车",'Data Export'!F643="掀背轿车",'Data Export'!F643="旅行车",'Data Export'!F643="微型车",'Data Export'!F643="硬顶跑车",'Data Export'!F643="敞蓬车",'Data Export'!F643="Targa"),"轿车",IF(OR('Data Export'!F643="小型MPV",'Data Export'!F643="客车"),"MPV",IF('Data Export'!F643="运动型多功能车","SUV","其他"))))</f>
        <v>其他</v>
      </c>
      <c r="K643" s="62" t="str">
        <f>IF(OR(D643="",NOT(F643=1)),"",1+SUMPRODUCT(($F$2:$F$1001=1)*($D$2:$D$1001&gt;D643))+COUNTIFS($F$2:F643,1,$D$2:D643,D643)-1)</f>
        <v/>
      </c>
      <c r="L643" s="62" t="str">
        <f>IF(OR(D643="",NOT(G643="轿车")),"",1+SUMPRODUCT(($G$2:$G$1001="轿车")*($D$2:$D$1001&gt;D643))+COUNTIFS($G$2:G643,"轿车",$D$2:D643,D643)-1)</f>
        <v/>
      </c>
      <c r="M643" s="62" t="str">
        <f>IF(OR(D643="",NOT(G643="MPV")),"",1+SUMPRODUCT(($G$2:$G$1001="MPV")*($D$2:$D$1001&gt;D643))+COUNTIFS($G$2:G643,"MPV",$D$2:D643,D643)-1)</f>
        <v/>
      </c>
      <c r="N643" s="62" t="str">
        <f>IF(OR(D643="",NOT(G643="SUV")),"",1+SUMPRODUCT(($G$2:$G$1001="SUV")*($D$2:$D$1001&gt;D643))+COUNTIFS($G$2:G643,"SUV",$D$2:D643,D643)-1)</f>
        <v/>
      </c>
      <c r="O643" s="62" t="str">
        <f>IF(OR(D643="",NOT(AND(F643=1,G643="轿车"))),"",1+SUMPRODUCT(($F$2:$F$1001=1)*($G$2:$G$1001="轿车")*($D$2:$D$1001&gt;D643))+COUNTIFS($F$2:F643,1,$G$2:G643,"轿车",$D$2:D643,D643)-1)</f>
        <v/>
      </c>
      <c r="P643" s="62" t="str">
        <f>IF(OR(D643="",NOT(AND(F643=1,G643="MPV"))),"",1+SUMPRODUCT(($F$2:$F$1001=1)*($G$2:$G$1001="MPV")*($D$2:$D$1001&gt;D643))+COUNTIFS($F$2:F643,1,$G$2:G643,"MPV",$D$2:D643,D643)-1)</f>
        <v/>
      </c>
      <c r="Q643" s="62" t="str">
        <f>IF(OR(D643="",NOT(AND(F643=1,G643="SUV"))),"",1+SUMPRODUCT(($F$2:$F$1001=1)*($G$2:$G$1001="SUV")*($D$2:$D$1001&gt;D643))+COUNTIFS($F$2:F643,1,$G$2:G643,"SUV",$D$2:D643,D643)-1)</f>
        <v/>
      </c>
    </row>
    <row r="644" spans="1:17">
      <c r="A644" s="62" t="str">
        <f>IFERROR(INDEX($H$2:$H$3000,MATCH(0,INDEX(COUNTIF($A$1:A643,$H$2:$H$3000)+($H$2:$H$3000=""),0,0),0)),"")</f>
        <v/>
      </c>
      <c r="B644" s="62" t="str">
        <f t="shared" si="40"/>
        <v/>
      </c>
      <c r="C644" s="62" t="str">
        <f t="shared" si="41"/>
        <v/>
      </c>
      <c r="D644" s="63" t="str">
        <f t="shared" si="42"/>
        <v/>
      </c>
      <c r="E644" s="62" t="str">
        <f>IF(D644="","",_xlfn.RANK.EQ(D644,$D$2:$D$1001,0)+COUNTIF($D$2:D644,D644)-1)</f>
        <v/>
      </c>
      <c r="F644" s="62" t="str">
        <f>IF(B644="","",--(COUNTIF(CN_Brands!$A$2:$A$300,UPPER(B644))&gt;0))</f>
        <v/>
      </c>
      <c r="G644" s="62" t="str">
        <f t="shared" si="43"/>
        <v/>
      </c>
      <c r="H644" s="62" t="str">
        <f>IF(AND('Data Export'!A644=前十整体车型排名!$B$2,'Data Export'!B644=前十整体车型排名!$B$3,'Data Export'!D644&lt;&gt;""),UPPER('Data Export'!C644)&amp;"♦"&amp;'Data Export'!D644,"")</f>
        <v>POCCO♦MEIMEI</v>
      </c>
      <c r="I644" s="63">
        <f>IF(H644="","",IFERROR(INDEX('Data Export'!G644:CZ644,1,MATCH(前十整体车型排名!$B$4,'Data Export'!$G$1:$CZ$1,0)),0))</f>
        <v>0</v>
      </c>
      <c r="J644" s="62" t="str">
        <f>IF(H644="","",IF(OR('Data Export'!F644="三厢轿车",'Data Export'!F644="掀背轿车",'Data Export'!F644="旅行车",'Data Export'!F644="微型车",'Data Export'!F644="硬顶跑车",'Data Export'!F644="敞蓬车",'Data Export'!F644="Targa"),"轿车",IF(OR('Data Export'!F644="小型MPV",'Data Export'!F644="客车"),"MPV",IF('Data Export'!F644="运动型多功能车","SUV","其他"))))</f>
        <v>其他</v>
      </c>
      <c r="K644" s="62" t="str">
        <f>IF(OR(D644="",NOT(F644=1)),"",1+SUMPRODUCT(($F$2:$F$1001=1)*($D$2:$D$1001&gt;D644))+COUNTIFS($F$2:F644,1,$D$2:D644,D644)-1)</f>
        <v/>
      </c>
      <c r="L644" s="62" t="str">
        <f>IF(OR(D644="",NOT(G644="轿车")),"",1+SUMPRODUCT(($G$2:$G$1001="轿车")*($D$2:$D$1001&gt;D644))+COUNTIFS($G$2:G644,"轿车",$D$2:D644,D644)-1)</f>
        <v/>
      </c>
      <c r="M644" s="62" t="str">
        <f>IF(OR(D644="",NOT(G644="MPV")),"",1+SUMPRODUCT(($G$2:$G$1001="MPV")*($D$2:$D$1001&gt;D644))+COUNTIFS($G$2:G644,"MPV",$D$2:D644,D644)-1)</f>
        <v/>
      </c>
      <c r="N644" s="62" t="str">
        <f>IF(OR(D644="",NOT(G644="SUV")),"",1+SUMPRODUCT(($G$2:$G$1001="SUV")*($D$2:$D$1001&gt;D644))+COUNTIFS($G$2:G644,"SUV",$D$2:D644,D644)-1)</f>
        <v/>
      </c>
      <c r="O644" s="62" t="str">
        <f>IF(OR(D644="",NOT(AND(F644=1,G644="轿车"))),"",1+SUMPRODUCT(($F$2:$F$1001=1)*($G$2:$G$1001="轿车")*($D$2:$D$1001&gt;D644))+COUNTIFS($F$2:F644,1,$G$2:G644,"轿车",$D$2:D644,D644)-1)</f>
        <v/>
      </c>
      <c r="P644" s="62" t="str">
        <f>IF(OR(D644="",NOT(AND(F644=1,G644="MPV"))),"",1+SUMPRODUCT(($F$2:$F$1001=1)*($G$2:$G$1001="MPV")*($D$2:$D$1001&gt;D644))+COUNTIFS($F$2:F644,1,$G$2:G644,"MPV",$D$2:D644,D644)-1)</f>
        <v/>
      </c>
      <c r="Q644" s="62" t="str">
        <f>IF(OR(D644="",NOT(AND(F644=1,G644="SUV"))),"",1+SUMPRODUCT(($F$2:$F$1001=1)*($G$2:$G$1001="SUV")*($D$2:$D$1001&gt;D644))+COUNTIFS($F$2:F644,1,$G$2:G644,"SUV",$D$2:D644,D644)-1)</f>
        <v/>
      </c>
    </row>
    <row r="645" spans="1:17">
      <c r="A645" s="62" t="str">
        <f>IFERROR(INDEX($H$2:$H$3000,MATCH(0,INDEX(COUNTIF($A$1:A644,$H$2:$H$3000)+($H$2:$H$3000=""),0,0),0)),"")</f>
        <v/>
      </c>
      <c r="B645" s="62" t="str">
        <f t="shared" si="40"/>
        <v/>
      </c>
      <c r="C645" s="62" t="str">
        <f t="shared" si="41"/>
        <v/>
      </c>
      <c r="D645" s="63" t="str">
        <f t="shared" si="42"/>
        <v/>
      </c>
      <c r="E645" s="62" t="str">
        <f>IF(D645="","",_xlfn.RANK.EQ(D645,$D$2:$D$1001,0)+COUNTIF($D$2:D645,D645)-1)</f>
        <v/>
      </c>
      <c r="F645" s="62" t="str">
        <f>IF(B645="","",--(COUNTIF(CN_Brands!$A$2:$A$300,UPPER(B645))&gt;0))</f>
        <v/>
      </c>
      <c r="G645" s="62" t="str">
        <f t="shared" si="43"/>
        <v/>
      </c>
      <c r="H645" s="62" t="str">
        <f>IF(AND('Data Export'!A645=前十整体车型排名!$B$2,'Data Export'!B645=前十整体车型排名!$B$3,'Data Export'!D645&lt;&gt;""),UPPER('Data Export'!C645)&amp;"♦"&amp;'Data Export'!D645,"")</f>
        <v>PORSCHE♦718</v>
      </c>
      <c r="I645" s="63">
        <f>IF(H645="","",IFERROR(INDEX('Data Export'!G645:CZ645,1,MATCH(前十整体车型排名!$B$4,'Data Export'!$G$1:$CZ$1,0)),0))</f>
        <v>1</v>
      </c>
      <c r="J645" s="62" t="str">
        <f>IF(H645="","",IF(OR('Data Export'!F645="三厢轿车",'Data Export'!F645="掀背轿车",'Data Export'!F645="旅行车",'Data Export'!F645="微型车",'Data Export'!F645="硬顶跑车",'Data Export'!F645="敞蓬车",'Data Export'!F645="Targa"),"轿车",IF(OR('Data Export'!F645="小型MPV",'Data Export'!F645="客车"),"MPV",IF('Data Export'!F645="运动型多功能车","SUV","其他"))))</f>
        <v>轿车</v>
      </c>
      <c r="K645" s="62" t="str">
        <f>IF(OR(D645="",NOT(F645=1)),"",1+SUMPRODUCT(($F$2:$F$1001=1)*($D$2:$D$1001&gt;D645))+COUNTIFS($F$2:F645,1,$D$2:D645,D645)-1)</f>
        <v/>
      </c>
      <c r="L645" s="62" t="str">
        <f>IF(OR(D645="",NOT(G645="轿车")),"",1+SUMPRODUCT(($G$2:$G$1001="轿车")*($D$2:$D$1001&gt;D645))+COUNTIFS($G$2:G645,"轿车",$D$2:D645,D645)-1)</f>
        <v/>
      </c>
      <c r="M645" s="62" t="str">
        <f>IF(OR(D645="",NOT(G645="MPV")),"",1+SUMPRODUCT(($G$2:$G$1001="MPV")*($D$2:$D$1001&gt;D645))+COUNTIFS($G$2:G645,"MPV",$D$2:D645,D645)-1)</f>
        <v/>
      </c>
      <c r="N645" s="62" t="str">
        <f>IF(OR(D645="",NOT(G645="SUV")),"",1+SUMPRODUCT(($G$2:$G$1001="SUV")*($D$2:$D$1001&gt;D645))+COUNTIFS($G$2:G645,"SUV",$D$2:D645,D645)-1)</f>
        <v/>
      </c>
      <c r="O645" s="62" t="str">
        <f>IF(OR(D645="",NOT(AND(F645=1,G645="轿车"))),"",1+SUMPRODUCT(($F$2:$F$1001=1)*($G$2:$G$1001="轿车")*($D$2:$D$1001&gt;D645))+COUNTIFS($F$2:F645,1,$G$2:G645,"轿车",$D$2:D645,D645)-1)</f>
        <v/>
      </c>
      <c r="P645" s="62" t="str">
        <f>IF(OR(D645="",NOT(AND(F645=1,G645="MPV"))),"",1+SUMPRODUCT(($F$2:$F$1001=1)*($G$2:$G$1001="MPV")*($D$2:$D$1001&gt;D645))+COUNTIFS($F$2:F645,1,$G$2:G645,"MPV",$D$2:D645,D645)-1)</f>
        <v/>
      </c>
      <c r="Q645" s="62" t="str">
        <f>IF(OR(D645="",NOT(AND(F645=1,G645="SUV"))),"",1+SUMPRODUCT(($F$2:$F$1001=1)*($G$2:$G$1001="SUV")*($D$2:$D$1001&gt;D645))+COUNTIFS($F$2:F645,1,$G$2:G645,"SUV",$D$2:D645,D645)-1)</f>
        <v/>
      </c>
    </row>
    <row r="646" spans="1:17">
      <c r="A646" s="62" t="str">
        <f>IFERROR(INDEX($H$2:$H$3000,MATCH(0,INDEX(COUNTIF($A$1:A645,$H$2:$H$3000)+($H$2:$H$3000=""),0,0),0)),"")</f>
        <v/>
      </c>
      <c r="B646" s="62" t="str">
        <f t="shared" si="40"/>
        <v/>
      </c>
      <c r="C646" s="62" t="str">
        <f t="shared" si="41"/>
        <v/>
      </c>
      <c r="D646" s="63" t="str">
        <f t="shared" si="42"/>
        <v/>
      </c>
      <c r="E646" s="62" t="str">
        <f>IF(D646="","",_xlfn.RANK.EQ(D646,$D$2:$D$1001,0)+COUNTIF($D$2:D646,D646)-1)</f>
        <v/>
      </c>
      <c r="F646" s="62" t="str">
        <f>IF(B646="","",--(COUNTIF(CN_Brands!$A$2:$A$300,UPPER(B646))&gt;0))</f>
        <v/>
      </c>
      <c r="G646" s="62" t="str">
        <f t="shared" si="43"/>
        <v/>
      </c>
      <c r="H646" s="62" t="str">
        <f>IF(AND('Data Export'!A646=前十整体车型排名!$B$2,'Data Export'!B646=前十整体车型排名!$B$3,'Data Export'!D646&lt;&gt;""),UPPER('Data Export'!C646)&amp;"♦"&amp;'Data Export'!D646,"")</f>
        <v>PORSCHE♦718</v>
      </c>
      <c r="I646" s="63">
        <f>IF(H646="","",IFERROR(INDEX('Data Export'!G646:CZ646,1,MATCH(前十整体车型排名!$B$4,'Data Export'!$G$1:$CZ$1,0)),0))</f>
        <v>1</v>
      </c>
      <c r="J646" s="62" t="str">
        <f>IF(H646="","",IF(OR('Data Export'!F646="三厢轿车",'Data Export'!F646="掀背轿车",'Data Export'!F646="旅行车",'Data Export'!F646="微型车",'Data Export'!F646="硬顶跑车",'Data Export'!F646="敞蓬车",'Data Export'!F646="Targa"),"轿车",IF(OR('Data Export'!F646="小型MPV",'Data Export'!F646="客车"),"MPV",IF('Data Export'!F646="运动型多功能车","SUV","其他"))))</f>
        <v>轿车</v>
      </c>
      <c r="K646" s="62" t="str">
        <f>IF(OR(D646="",NOT(F646=1)),"",1+SUMPRODUCT(($F$2:$F$1001=1)*($D$2:$D$1001&gt;D646))+COUNTIFS($F$2:F646,1,$D$2:D646,D646)-1)</f>
        <v/>
      </c>
      <c r="L646" s="62" t="str">
        <f>IF(OR(D646="",NOT(G646="轿车")),"",1+SUMPRODUCT(($G$2:$G$1001="轿车")*($D$2:$D$1001&gt;D646))+COUNTIFS($G$2:G646,"轿车",$D$2:D646,D646)-1)</f>
        <v/>
      </c>
      <c r="M646" s="62" t="str">
        <f>IF(OR(D646="",NOT(G646="MPV")),"",1+SUMPRODUCT(($G$2:$G$1001="MPV")*($D$2:$D$1001&gt;D646))+COUNTIFS($G$2:G646,"MPV",$D$2:D646,D646)-1)</f>
        <v/>
      </c>
      <c r="N646" s="62" t="str">
        <f>IF(OR(D646="",NOT(G646="SUV")),"",1+SUMPRODUCT(($G$2:$G$1001="SUV")*($D$2:$D$1001&gt;D646))+COUNTIFS($G$2:G646,"SUV",$D$2:D646,D646)-1)</f>
        <v/>
      </c>
      <c r="O646" s="62" t="str">
        <f>IF(OR(D646="",NOT(AND(F646=1,G646="轿车"))),"",1+SUMPRODUCT(($F$2:$F$1001=1)*($G$2:$G$1001="轿车")*($D$2:$D$1001&gt;D646))+COUNTIFS($F$2:F646,1,$G$2:G646,"轿车",$D$2:D646,D646)-1)</f>
        <v/>
      </c>
      <c r="P646" s="62" t="str">
        <f>IF(OR(D646="",NOT(AND(F646=1,G646="MPV"))),"",1+SUMPRODUCT(($F$2:$F$1001=1)*($G$2:$G$1001="MPV")*($D$2:$D$1001&gt;D646))+COUNTIFS($F$2:F646,1,$G$2:G646,"MPV",$D$2:D646,D646)-1)</f>
        <v/>
      </c>
      <c r="Q646" s="62" t="str">
        <f>IF(OR(D646="",NOT(AND(F646=1,G646="SUV"))),"",1+SUMPRODUCT(($F$2:$F$1001=1)*($G$2:$G$1001="SUV")*($D$2:$D$1001&gt;D646))+COUNTIFS($F$2:F646,1,$G$2:G646,"SUV",$D$2:D646,D646)-1)</f>
        <v/>
      </c>
    </row>
    <row r="647" spans="1:17">
      <c r="A647" s="62" t="str">
        <f>IFERROR(INDEX($H$2:$H$3000,MATCH(0,INDEX(COUNTIF($A$1:A646,$H$2:$H$3000)+($H$2:$H$3000=""),0,0),0)),"")</f>
        <v/>
      </c>
      <c r="B647" s="62" t="str">
        <f t="shared" si="40"/>
        <v/>
      </c>
      <c r="C647" s="62" t="str">
        <f t="shared" si="41"/>
        <v/>
      </c>
      <c r="D647" s="63" t="str">
        <f t="shared" si="42"/>
        <v/>
      </c>
      <c r="E647" s="62" t="str">
        <f>IF(D647="","",_xlfn.RANK.EQ(D647,$D$2:$D$1001,0)+COUNTIF($D$2:D647,D647)-1)</f>
        <v/>
      </c>
      <c r="F647" s="62" t="str">
        <f>IF(B647="","",--(COUNTIF(CN_Brands!$A$2:$A$300,UPPER(B647))&gt;0))</f>
        <v/>
      </c>
      <c r="G647" s="62" t="str">
        <f t="shared" si="43"/>
        <v/>
      </c>
      <c r="H647" s="62" t="str">
        <f>IF(AND('Data Export'!A647=前十整体车型排名!$B$2,'Data Export'!B647=前十整体车型排名!$B$3,'Data Export'!D647&lt;&gt;""),UPPER('Data Export'!C647)&amp;"♦"&amp;'Data Export'!D647,"")</f>
        <v>PORSCHE♦718</v>
      </c>
      <c r="I647" s="63">
        <f>IF(H647="","",IFERROR(INDEX('Data Export'!G647:CZ647,1,MATCH(前十整体车型排名!$B$4,'Data Export'!$G$1:$CZ$1,0)),0))</f>
        <v>1</v>
      </c>
      <c r="J647" s="62" t="str">
        <f>IF(H647="","",IF(OR('Data Export'!F647="三厢轿车",'Data Export'!F647="掀背轿车",'Data Export'!F647="旅行车",'Data Export'!F647="微型车",'Data Export'!F647="硬顶跑车",'Data Export'!F647="敞蓬车",'Data Export'!F647="Targa"),"轿车",IF(OR('Data Export'!F647="小型MPV",'Data Export'!F647="客车"),"MPV",IF('Data Export'!F647="运动型多功能车","SUV","其他"))))</f>
        <v>轿车</v>
      </c>
      <c r="K647" s="62" t="str">
        <f>IF(OR(D647="",NOT(F647=1)),"",1+SUMPRODUCT(($F$2:$F$1001=1)*($D$2:$D$1001&gt;D647))+COUNTIFS($F$2:F647,1,$D$2:D647,D647)-1)</f>
        <v/>
      </c>
      <c r="L647" s="62" t="str">
        <f>IF(OR(D647="",NOT(G647="轿车")),"",1+SUMPRODUCT(($G$2:$G$1001="轿车")*($D$2:$D$1001&gt;D647))+COUNTIFS($G$2:G647,"轿车",$D$2:D647,D647)-1)</f>
        <v/>
      </c>
      <c r="M647" s="62" t="str">
        <f>IF(OR(D647="",NOT(G647="MPV")),"",1+SUMPRODUCT(($G$2:$G$1001="MPV")*($D$2:$D$1001&gt;D647))+COUNTIFS($G$2:G647,"MPV",$D$2:D647,D647)-1)</f>
        <v/>
      </c>
      <c r="N647" s="62" t="str">
        <f>IF(OR(D647="",NOT(G647="SUV")),"",1+SUMPRODUCT(($G$2:$G$1001="SUV")*($D$2:$D$1001&gt;D647))+COUNTIFS($G$2:G647,"SUV",$D$2:D647,D647)-1)</f>
        <v/>
      </c>
      <c r="O647" s="62" t="str">
        <f>IF(OR(D647="",NOT(AND(F647=1,G647="轿车"))),"",1+SUMPRODUCT(($F$2:$F$1001=1)*($G$2:$G$1001="轿车")*($D$2:$D$1001&gt;D647))+COUNTIFS($F$2:F647,1,$G$2:G647,"轿车",$D$2:D647,D647)-1)</f>
        <v/>
      </c>
      <c r="P647" s="62" t="str">
        <f>IF(OR(D647="",NOT(AND(F647=1,G647="MPV"))),"",1+SUMPRODUCT(($F$2:$F$1001=1)*($G$2:$G$1001="MPV")*($D$2:$D$1001&gt;D647))+COUNTIFS($F$2:F647,1,$G$2:G647,"MPV",$D$2:D647,D647)-1)</f>
        <v/>
      </c>
      <c r="Q647" s="62" t="str">
        <f>IF(OR(D647="",NOT(AND(F647=1,G647="SUV"))),"",1+SUMPRODUCT(($F$2:$F$1001=1)*($G$2:$G$1001="SUV")*($D$2:$D$1001&gt;D647))+COUNTIFS($F$2:F647,1,$G$2:G647,"SUV",$D$2:D647,D647)-1)</f>
        <v/>
      </c>
    </row>
    <row r="648" spans="1:17">
      <c r="A648" s="62" t="str">
        <f>IFERROR(INDEX($H$2:$H$3000,MATCH(0,INDEX(COUNTIF($A$1:A647,$H$2:$H$3000)+($H$2:$H$3000=""),0,0),0)),"")</f>
        <v/>
      </c>
      <c r="B648" s="62" t="str">
        <f t="shared" si="40"/>
        <v/>
      </c>
      <c r="C648" s="62" t="str">
        <f t="shared" si="41"/>
        <v/>
      </c>
      <c r="D648" s="63" t="str">
        <f t="shared" si="42"/>
        <v/>
      </c>
      <c r="E648" s="62" t="str">
        <f>IF(D648="","",_xlfn.RANK.EQ(D648,$D$2:$D$1001,0)+COUNTIF($D$2:D648,D648)-1)</f>
        <v/>
      </c>
      <c r="F648" s="62" t="str">
        <f>IF(B648="","",--(COUNTIF(CN_Brands!$A$2:$A$300,UPPER(B648))&gt;0))</f>
        <v/>
      </c>
      <c r="G648" s="62" t="str">
        <f t="shared" si="43"/>
        <v/>
      </c>
      <c r="H648" s="62" t="str">
        <f>IF(AND('Data Export'!A648=前十整体车型排名!$B$2,'Data Export'!B648=前十整体车型排名!$B$3,'Data Export'!D648&lt;&gt;""),UPPER('Data Export'!C648)&amp;"♦"&amp;'Data Export'!D648,"")</f>
        <v>PORSCHE♦718</v>
      </c>
      <c r="I648" s="63">
        <f>IF(H648="","",IFERROR(INDEX('Data Export'!G648:CZ648,1,MATCH(前十整体车型排名!$B$4,'Data Export'!$G$1:$CZ$1,0)),0))</f>
        <v>2</v>
      </c>
      <c r="J648" s="62" t="str">
        <f>IF(H648="","",IF(OR('Data Export'!F648="三厢轿车",'Data Export'!F648="掀背轿车",'Data Export'!F648="旅行车",'Data Export'!F648="微型车",'Data Export'!F648="硬顶跑车",'Data Export'!F648="敞蓬车",'Data Export'!F648="Targa"),"轿车",IF(OR('Data Export'!F648="小型MPV",'Data Export'!F648="客车"),"MPV",IF('Data Export'!F648="运动型多功能车","SUV","其他"))))</f>
        <v>轿车</v>
      </c>
      <c r="K648" s="62" t="str">
        <f>IF(OR(D648="",NOT(F648=1)),"",1+SUMPRODUCT(($F$2:$F$1001=1)*($D$2:$D$1001&gt;D648))+COUNTIFS($F$2:F648,1,$D$2:D648,D648)-1)</f>
        <v/>
      </c>
      <c r="L648" s="62" t="str">
        <f>IF(OR(D648="",NOT(G648="轿车")),"",1+SUMPRODUCT(($G$2:$G$1001="轿车")*($D$2:$D$1001&gt;D648))+COUNTIFS($G$2:G648,"轿车",$D$2:D648,D648)-1)</f>
        <v/>
      </c>
      <c r="M648" s="62" t="str">
        <f>IF(OR(D648="",NOT(G648="MPV")),"",1+SUMPRODUCT(($G$2:$G$1001="MPV")*($D$2:$D$1001&gt;D648))+COUNTIFS($G$2:G648,"MPV",$D$2:D648,D648)-1)</f>
        <v/>
      </c>
      <c r="N648" s="62" t="str">
        <f>IF(OR(D648="",NOT(G648="SUV")),"",1+SUMPRODUCT(($G$2:$G$1001="SUV")*($D$2:$D$1001&gt;D648))+COUNTIFS($G$2:G648,"SUV",$D$2:D648,D648)-1)</f>
        <v/>
      </c>
      <c r="O648" s="62" t="str">
        <f>IF(OR(D648="",NOT(AND(F648=1,G648="轿车"))),"",1+SUMPRODUCT(($F$2:$F$1001=1)*($G$2:$G$1001="轿车")*($D$2:$D$1001&gt;D648))+COUNTIFS($F$2:F648,1,$G$2:G648,"轿车",$D$2:D648,D648)-1)</f>
        <v/>
      </c>
      <c r="P648" s="62" t="str">
        <f>IF(OR(D648="",NOT(AND(F648=1,G648="MPV"))),"",1+SUMPRODUCT(($F$2:$F$1001=1)*($G$2:$G$1001="MPV")*($D$2:$D$1001&gt;D648))+COUNTIFS($F$2:F648,1,$G$2:G648,"MPV",$D$2:D648,D648)-1)</f>
        <v/>
      </c>
      <c r="Q648" s="62" t="str">
        <f>IF(OR(D648="",NOT(AND(F648=1,G648="SUV"))),"",1+SUMPRODUCT(($F$2:$F$1001=1)*($G$2:$G$1001="SUV")*($D$2:$D$1001&gt;D648))+COUNTIFS($F$2:F648,1,$G$2:G648,"SUV",$D$2:D648,D648)-1)</f>
        <v/>
      </c>
    </row>
    <row r="649" spans="1:17">
      <c r="A649" s="62" t="str">
        <f>IFERROR(INDEX($H$2:$H$3000,MATCH(0,INDEX(COUNTIF($A$1:A648,$H$2:$H$3000)+($H$2:$H$3000=""),0,0),0)),"")</f>
        <v/>
      </c>
      <c r="B649" s="62" t="str">
        <f t="shared" si="40"/>
        <v/>
      </c>
      <c r="C649" s="62" t="str">
        <f t="shared" si="41"/>
        <v/>
      </c>
      <c r="D649" s="63" t="str">
        <f t="shared" si="42"/>
        <v/>
      </c>
      <c r="E649" s="62" t="str">
        <f>IF(D649="","",_xlfn.RANK.EQ(D649,$D$2:$D$1001,0)+COUNTIF($D$2:D649,D649)-1)</f>
        <v/>
      </c>
      <c r="F649" s="62" t="str">
        <f>IF(B649="","",--(COUNTIF(CN_Brands!$A$2:$A$300,UPPER(B649))&gt;0))</f>
        <v/>
      </c>
      <c r="G649" s="62" t="str">
        <f t="shared" si="43"/>
        <v/>
      </c>
      <c r="H649" s="62" t="str">
        <f>IF(AND('Data Export'!A649=前十整体车型排名!$B$2,'Data Export'!B649=前十整体车型排名!$B$3,'Data Export'!D649&lt;&gt;""),UPPER('Data Export'!C649)&amp;"♦"&amp;'Data Export'!D649,"")</f>
        <v>PORSCHE♦718</v>
      </c>
      <c r="I649" s="63">
        <f>IF(H649="","",IFERROR(INDEX('Data Export'!G649:CZ649,1,MATCH(前十整体车型排名!$B$4,'Data Export'!$G$1:$CZ$1,0)),0))</f>
        <v>0</v>
      </c>
      <c r="J649" s="62" t="str">
        <f>IF(H649="","",IF(OR('Data Export'!F649="三厢轿车",'Data Export'!F649="掀背轿车",'Data Export'!F649="旅行车",'Data Export'!F649="微型车",'Data Export'!F649="硬顶跑车",'Data Export'!F649="敞蓬车",'Data Export'!F649="Targa"),"轿车",IF(OR('Data Export'!F649="小型MPV",'Data Export'!F649="客车"),"MPV",IF('Data Export'!F649="运动型多功能车","SUV","其他"))))</f>
        <v>轿车</v>
      </c>
      <c r="K649" s="62" t="str">
        <f>IF(OR(D649="",NOT(F649=1)),"",1+SUMPRODUCT(($F$2:$F$1001=1)*($D$2:$D$1001&gt;D649))+COUNTIFS($F$2:F649,1,$D$2:D649,D649)-1)</f>
        <v/>
      </c>
      <c r="L649" s="62" t="str">
        <f>IF(OR(D649="",NOT(G649="轿车")),"",1+SUMPRODUCT(($G$2:$G$1001="轿车")*($D$2:$D$1001&gt;D649))+COUNTIFS($G$2:G649,"轿车",$D$2:D649,D649)-1)</f>
        <v/>
      </c>
      <c r="M649" s="62" t="str">
        <f>IF(OR(D649="",NOT(G649="MPV")),"",1+SUMPRODUCT(($G$2:$G$1001="MPV")*($D$2:$D$1001&gt;D649))+COUNTIFS($G$2:G649,"MPV",$D$2:D649,D649)-1)</f>
        <v/>
      </c>
      <c r="N649" s="62" t="str">
        <f>IF(OR(D649="",NOT(G649="SUV")),"",1+SUMPRODUCT(($G$2:$G$1001="SUV")*($D$2:$D$1001&gt;D649))+COUNTIFS($G$2:G649,"SUV",$D$2:D649,D649)-1)</f>
        <v/>
      </c>
      <c r="O649" s="62" t="str">
        <f>IF(OR(D649="",NOT(AND(F649=1,G649="轿车"))),"",1+SUMPRODUCT(($F$2:$F$1001=1)*($G$2:$G$1001="轿车")*($D$2:$D$1001&gt;D649))+COUNTIFS($F$2:F649,1,$G$2:G649,"轿车",$D$2:D649,D649)-1)</f>
        <v/>
      </c>
      <c r="P649" s="62" t="str">
        <f>IF(OR(D649="",NOT(AND(F649=1,G649="MPV"))),"",1+SUMPRODUCT(($F$2:$F$1001=1)*($G$2:$G$1001="MPV")*($D$2:$D$1001&gt;D649))+COUNTIFS($F$2:F649,1,$G$2:G649,"MPV",$D$2:D649,D649)-1)</f>
        <v/>
      </c>
      <c r="Q649" s="62" t="str">
        <f>IF(OR(D649="",NOT(AND(F649=1,G649="SUV"))),"",1+SUMPRODUCT(($F$2:$F$1001=1)*($G$2:$G$1001="SUV")*($D$2:$D$1001&gt;D649))+COUNTIFS($F$2:F649,1,$G$2:G649,"SUV",$D$2:D649,D649)-1)</f>
        <v/>
      </c>
    </row>
    <row r="650" spans="1:17">
      <c r="A650" s="62" t="str">
        <f>IFERROR(INDEX($H$2:$H$3000,MATCH(0,INDEX(COUNTIF($A$1:A649,$H$2:$H$3000)+($H$2:$H$3000=""),0,0),0)),"")</f>
        <v/>
      </c>
      <c r="B650" s="62" t="str">
        <f t="shared" si="40"/>
        <v/>
      </c>
      <c r="C650" s="62" t="str">
        <f t="shared" si="41"/>
        <v/>
      </c>
      <c r="D650" s="63" t="str">
        <f t="shared" si="42"/>
        <v/>
      </c>
      <c r="E650" s="62" t="str">
        <f>IF(D650="","",_xlfn.RANK.EQ(D650,$D$2:$D$1001,0)+COUNTIF($D$2:D650,D650)-1)</f>
        <v/>
      </c>
      <c r="F650" s="62" t="str">
        <f>IF(B650="","",--(COUNTIF(CN_Brands!$A$2:$A$300,UPPER(B650))&gt;0))</f>
        <v/>
      </c>
      <c r="G650" s="62" t="str">
        <f t="shared" si="43"/>
        <v/>
      </c>
      <c r="H650" s="62" t="str">
        <f>IF(AND('Data Export'!A650=前十整体车型排名!$B$2,'Data Export'!B650=前十整体车型排名!$B$3,'Data Export'!D650&lt;&gt;""),UPPER('Data Export'!C650)&amp;"♦"&amp;'Data Export'!D650,"")</f>
        <v>PORSCHE♦718</v>
      </c>
      <c r="I650" s="63">
        <f>IF(H650="","",IFERROR(INDEX('Data Export'!G650:CZ650,1,MATCH(前十整体车型排名!$B$4,'Data Export'!$G$1:$CZ$1,0)),0))</f>
        <v>0</v>
      </c>
      <c r="J650" s="62" t="str">
        <f>IF(H650="","",IF(OR('Data Export'!F650="三厢轿车",'Data Export'!F650="掀背轿车",'Data Export'!F650="旅行车",'Data Export'!F650="微型车",'Data Export'!F650="硬顶跑车",'Data Export'!F650="敞蓬车",'Data Export'!F650="Targa"),"轿车",IF(OR('Data Export'!F650="小型MPV",'Data Export'!F650="客车"),"MPV",IF('Data Export'!F650="运动型多功能车","SUV","其他"))))</f>
        <v>其他</v>
      </c>
      <c r="K650" s="62" t="str">
        <f>IF(OR(D650="",NOT(F650=1)),"",1+SUMPRODUCT(($F$2:$F$1001=1)*($D$2:$D$1001&gt;D650))+COUNTIFS($F$2:F650,1,$D$2:D650,D650)-1)</f>
        <v/>
      </c>
      <c r="L650" s="62" t="str">
        <f>IF(OR(D650="",NOT(G650="轿车")),"",1+SUMPRODUCT(($G$2:$G$1001="轿车")*($D$2:$D$1001&gt;D650))+COUNTIFS($G$2:G650,"轿车",$D$2:D650,D650)-1)</f>
        <v/>
      </c>
      <c r="M650" s="62" t="str">
        <f>IF(OR(D650="",NOT(G650="MPV")),"",1+SUMPRODUCT(($G$2:$G$1001="MPV")*($D$2:$D$1001&gt;D650))+COUNTIFS($G$2:G650,"MPV",$D$2:D650,D650)-1)</f>
        <v/>
      </c>
      <c r="N650" s="62" t="str">
        <f>IF(OR(D650="",NOT(G650="SUV")),"",1+SUMPRODUCT(($G$2:$G$1001="SUV")*($D$2:$D$1001&gt;D650))+COUNTIFS($G$2:G650,"SUV",$D$2:D650,D650)-1)</f>
        <v/>
      </c>
      <c r="O650" s="62" t="str">
        <f>IF(OR(D650="",NOT(AND(F650=1,G650="轿车"))),"",1+SUMPRODUCT(($F$2:$F$1001=1)*($G$2:$G$1001="轿车")*($D$2:$D$1001&gt;D650))+COUNTIFS($F$2:F650,1,$G$2:G650,"轿车",$D$2:D650,D650)-1)</f>
        <v/>
      </c>
      <c r="P650" s="62" t="str">
        <f>IF(OR(D650="",NOT(AND(F650=1,G650="MPV"))),"",1+SUMPRODUCT(($F$2:$F$1001=1)*($G$2:$G$1001="MPV")*($D$2:$D$1001&gt;D650))+COUNTIFS($F$2:F650,1,$G$2:G650,"MPV",$D$2:D650,D650)-1)</f>
        <v/>
      </c>
      <c r="Q650" s="62" t="str">
        <f>IF(OR(D650="",NOT(AND(F650=1,G650="SUV"))),"",1+SUMPRODUCT(($F$2:$F$1001=1)*($G$2:$G$1001="SUV")*($D$2:$D$1001&gt;D650))+COUNTIFS($F$2:F650,1,$G$2:G650,"SUV",$D$2:D650,D650)-1)</f>
        <v/>
      </c>
    </row>
    <row r="651" spans="1:17">
      <c r="A651" s="62" t="str">
        <f>IFERROR(INDEX($H$2:$H$3000,MATCH(0,INDEX(COUNTIF($A$1:A650,$H$2:$H$3000)+($H$2:$H$3000=""),0,0),0)),"")</f>
        <v/>
      </c>
      <c r="B651" s="62" t="str">
        <f t="shared" si="40"/>
        <v/>
      </c>
      <c r="C651" s="62" t="str">
        <f t="shared" si="41"/>
        <v/>
      </c>
      <c r="D651" s="63" t="str">
        <f t="shared" si="42"/>
        <v/>
      </c>
      <c r="E651" s="62" t="str">
        <f>IF(D651="","",_xlfn.RANK.EQ(D651,$D$2:$D$1001,0)+COUNTIF($D$2:D651,D651)-1)</f>
        <v/>
      </c>
      <c r="F651" s="62" t="str">
        <f>IF(B651="","",--(COUNTIF(CN_Brands!$A$2:$A$300,UPPER(B651))&gt;0))</f>
        <v/>
      </c>
      <c r="G651" s="62" t="str">
        <f t="shared" si="43"/>
        <v/>
      </c>
      <c r="H651" s="62" t="str">
        <f>IF(AND('Data Export'!A651=前十整体车型排名!$B$2,'Data Export'!B651=前十整体车型排名!$B$3,'Data Export'!D651&lt;&gt;""),UPPER('Data Export'!C651)&amp;"♦"&amp;'Data Export'!D651,"")</f>
        <v>PORSCHE♦718</v>
      </c>
      <c r="I651" s="63">
        <f>IF(H651="","",IFERROR(INDEX('Data Export'!G651:CZ651,1,MATCH(前十整体车型排名!$B$4,'Data Export'!$G$1:$CZ$1,0)),0))</f>
        <v>0</v>
      </c>
      <c r="J651" s="62" t="str">
        <f>IF(H651="","",IF(OR('Data Export'!F651="三厢轿车",'Data Export'!F651="掀背轿车",'Data Export'!F651="旅行车",'Data Export'!F651="微型车",'Data Export'!F651="硬顶跑车",'Data Export'!F651="敞蓬车",'Data Export'!F651="Targa"),"轿车",IF(OR('Data Export'!F651="小型MPV",'Data Export'!F651="客车"),"MPV",IF('Data Export'!F651="运动型多功能车","SUV","其他"))))</f>
        <v>轿车</v>
      </c>
      <c r="K651" s="62" t="str">
        <f>IF(OR(D651="",NOT(F651=1)),"",1+SUMPRODUCT(($F$2:$F$1001=1)*($D$2:$D$1001&gt;D651))+COUNTIFS($F$2:F651,1,$D$2:D651,D651)-1)</f>
        <v/>
      </c>
      <c r="L651" s="62" t="str">
        <f>IF(OR(D651="",NOT(G651="轿车")),"",1+SUMPRODUCT(($G$2:$G$1001="轿车")*($D$2:$D$1001&gt;D651))+COUNTIFS($G$2:G651,"轿车",$D$2:D651,D651)-1)</f>
        <v/>
      </c>
      <c r="M651" s="62" t="str">
        <f>IF(OR(D651="",NOT(G651="MPV")),"",1+SUMPRODUCT(($G$2:$G$1001="MPV")*($D$2:$D$1001&gt;D651))+COUNTIFS($G$2:G651,"MPV",$D$2:D651,D651)-1)</f>
        <v/>
      </c>
      <c r="N651" s="62" t="str">
        <f>IF(OR(D651="",NOT(G651="SUV")),"",1+SUMPRODUCT(($G$2:$G$1001="SUV")*($D$2:$D$1001&gt;D651))+COUNTIFS($G$2:G651,"SUV",$D$2:D651,D651)-1)</f>
        <v/>
      </c>
      <c r="O651" s="62" t="str">
        <f>IF(OR(D651="",NOT(AND(F651=1,G651="轿车"))),"",1+SUMPRODUCT(($F$2:$F$1001=1)*($G$2:$G$1001="轿车")*($D$2:$D$1001&gt;D651))+COUNTIFS($F$2:F651,1,$G$2:G651,"轿车",$D$2:D651,D651)-1)</f>
        <v/>
      </c>
      <c r="P651" s="62" t="str">
        <f>IF(OR(D651="",NOT(AND(F651=1,G651="MPV"))),"",1+SUMPRODUCT(($F$2:$F$1001=1)*($G$2:$G$1001="MPV")*($D$2:$D$1001&gt;D651))+COUNTIFS($F$2:F651,1,$G$2:G651,"MPV",$D$2:D651,D651)-1)</f>
        <v/>
      </c>
      <c r="Q651" s="62" t="str">
        <f>IF(OR(D651="",NOT(AND(F651=1,G651="SUV"))),"",1+SUMPRODUCT(($F$2:$F$1001=1)*($G$2:$G$1001="SUV")*($D$2:$D$1001&gt;D651))+COUNTIFS($F$2:F651,1,$G$2:G651,"SUV",$D$2:D651,D651)-1)</f>
        <v/>
      </c>
    </row>
    <row r="652" spans="1:17">
      <c r="A652" s="62" t="str">
        <f>IFERROR(INDEX($H$2:$H$3000,MATCH(0,INDEX(COUNTIF($A$1:A651,$H$2:$H$3000)+($H$2:$H$3000=""),0,0),0)),"")</f>
        <v/>
      </c>
      <c r="B652" s="62" t="str">
        <f t="shared" si="40"/>
        <v/>
      </c>
      <c r="C652" s="62" t="str">
        <f t="shared" si="41"/>
        <v/>
      </c>
      <c r="D652" s="63" t="str">
        <f t="shared" si="42"/>
        <v/>
      </c>
      <c r="E652" s="62" t="str">
        <f>IF(D652="","",_xlfn.RANK.EQ(D652,$D$2:$D$1001,0)+COUNTIF($D$2:D652,D652)-1)</f>
        <v/>
      </c>
      <c r="F652" s="62" t="str">
        <f>IF(B652="","",--(COUNTIF(CN_Brands!$A$2:$A$300,UPPER(B652))&gt;0))</f>
        <v/>
      </c>
      <c r="G652" s="62" t="str">
        <f t="shared" si="43"/>
        <v/>
      </c>
      <c r="H652" s="62" t="str">
        <f>IF(AND('Data Export'!A652=前十整体车型排名!$B$2,'Data Export'!B652=前十整体车型排名!$B$3,'Data Export'!D652&lt;&gt;""),UPPER('Data Export'!C652)&amp;"♦"&amp;'Data Export'!D652,"")</f>
        <v>PORSCHE♦718</v>
      </c>
      <c r="I652" s="63">
        <f>IF(H652="","",IFERROR(INDEX('Data Export'!G652:CZ652,1,MATCH(前十整体车型排名!$B$4,'Data Export'!$G$1:$CZ$1,0)),0))</f>
        <v>0</v>
      </c>
      <c r="J652" s="62" t="str">
        <f>IF(H652="","",IF(OR('Data Export'!F652="三厢轿车",'Data Export'!F652="掀背轿车",'Data Export'!F652="旅行车",'Data Export'!F652="微型车",'Data Export'!F652="硬顶跑车",'Data Export'!F652="敞蓬车",'Data Export'!F652="Targa"),"轿车",IF(OR('Data Export'!F652="小型MPV",'Data Export'!F652="客车"),"MPV",IF('Data Export'!F652="运动型多功能车","SUV","其他"))))</f>
        <v>轿车</v>
      </c>
      <c r="K652" s="62" t="str">
        <f>IF(OR(D652="",NOT(F652=1)),"",1+SUMPRODUCT(($F$2:$F$1001=1)*($D$2:$D$1001&gt;D652))+COUNTIFS($F$2:F652,1,$D$2:D652,D652)-1)</f>
        <v/>
      </c>
      <c r="L652" s="62" t="str">
        <f>IF(OR(D652="",NOT(G652="轿车")),"",1+SUMPRODUCT(($G$2:$G$1001="轿车")*($D$2:$D$1001&gt;D652))+COUNTIFS($G$2:G652,"轿车",$D$2:D652,D652)-1)</f>
        <v/>
      </c>
      <c r="M652" s="62" t="str">
        <f>IF(OR(D652="",NOT(G652="MPV")),"",1+SUMPRODUCT(($G$2:$G$1001="MPV")*($D$2:$D$1001&gt;D652))+COUNTIFS($G$2:G652,"MPV",$D$2:D652,D652)-1)</f>
        <v/>
      </c>
      <c r="N652" s="62" t="str">
        <f>IF(OR(D652="",NOT(G652="SUV")),"",1+SUMPRODUCT(($G$2:$G$1001="SUV")*($D$2:$D$1001&gt;D652))+COUNTIFS($G$2:G652,"SUV",$D$2:D652,D652)-1)</f>
        <v/>
      </c>
      <c r="O652" s="62" t="str">
        <f>IF(OR(D652="",NOT(AND(F652=1,G652="轿车"))),"",1+SUMPRODUCT(($F$2:$F$1001=1)*($G$2:$G$1001="轿车")*($D$2:$D$1001&gt;D652))+COUNTIFS($F$2:F652,1,$G$2:G652,"轿车",$D$2:D652,D652)-1)</f>
        <v/>
      </c>
      <c r="P652" s="62" t="str">
        <f>IF(OR(D652="",NOT(AND(F652=1,G652="MPV"))),"",1+SUMPRODUCT(($F$2:$F$1001=1)*($G$2:$G$1001="MPV")*($D$2:$D$1001&gt;D652))+COUNTIFS($F$2:F652,1,$G$2:G652,"MPV",$D$2:D652,D652)-1)</f>
        <v/>
      </c>
      <c r="Q652" s="62" t="str">
        <f>IF(OR(D652="",NOT(AND(F652=1,G652="SUV"))),"",1+SUMPRODUCT(($F$2:$F$1001=1)*($G$2:$G$1001="SUV")*($D$2:$D$1001&gt;D652))+COUNTIFS($F$2:F652,1,$G$2:G652,"SUV",$D$2:D652,D652)-1)</f>
        <v/>
      </c>
    </row>
    <row r="653" spans="1:17">
      <c r="A653" s="62" t="str">
        <f>IFERROR(INDEX($H$2:$H$3000,MATCH(0,INDEX(COUNTIF($A$1:A652,$H$2:$H$3000)+($H$2:$H$3000=""),0,0),0)),"")</f>
        <v/>
      </c>
      <c r="B653" s="62" t="str">
        <f t="shared" si="40"/>
        <v/>
      </c>
      <c r="C653" s="62" t="str">
        <f t="shared" si="41"/>
        <v/>
      </c>
      <c r="D653" s="63" t="str">
        <f t="shared" si="42"/>
        <v/>
      </c>
      <c r="E653" s="62" t="str">
        <f>IF(D653="","",_xlfn.RANK.EQ(D653,$D$2:$D$1001,0)+COUNTIF($D$2:D653,D653)-1)</f>
        <v/>
      </c>
      <c r="F653" s="62" t="str">
        <f>IF(B653="","",--(COUNTIF(CN_Brands!$A$2:$A$300,UPPER(B653))&gt;0))</f>
        <v/>
      </c>
      <c r="G653" s="62" t="str">
        <f t="shared" si="43"/>
        <v/>
      </c>
      <c r="H653" s="62" t="str">
        <f>IF(AND('Data Export'!A653=前十整体车型排名!$B$2,'Data Export'!B653=前十整体车型排名!$B$3,'Data Export'!D653&lt;&gt;""),UPPER('Data Export'!C653)&amp;"♦"&amp;'Data Export'!D653,"")</f>
        <v>PORSCHE♦718</v>
      </c>
      <c r="I653" s="63">
        <f>IF(H653="","",IFERROR(INDEX('Data Export'!G653:CZ653,1,MATCH(前十整体车型排名!$B$4,'Data Export'!$G$1:$CZ$1,0)),0))</f>
        <v>6</v>
      </c>
      <c r="J653" s="62" t="str">
        <f>IF(H653="","",IF(OR('Data Export'!F653="三厢轿车",'Data Export'!F653="掀背轿车",'Data Export'!F653="旅行车",'Data Export'!F653="微型车",'Data Export'!F653="硬顶跑车",'Data Export'!F653="敞蓬车",'Data Export'!F653="Targa"),"轿车",IF(OR('Data Export'!F653="小型MPV",'Data Export'!F653="客车"),"MPV",IF('Data Export'!F653="运动型多功能车","SUV","其他"))))</f>
        <v>轿车</v>
      </c>
      <c r="K653" s="62" t="str">
        <f>IF(OR(D653="",NOT(F653=1)),"",1+SUMPRODUCT(($F$2:$F$1001=1)*($D$2:$D$1001&gt;D653))+COUNTIFS($F$2:F653,1,$D$2:D653,D653)-1)</f>
        <v/>
      </c>
      <c r="L653" s="62" t="str">
        <f>IF(OR(D653="",NOT(G653="轿车")),"",1+SUMPRODUCT(($G$2:$G$1001="轿车")*($D$2:$D$1001&gt;D653))+COUNTIFS($G$2:G653,"轿车",$D$2:D653,D653)-1)</f>
        <v/>
      </c>
      <c r="M653" s="62" t="str">
        <f>IF(OR(D653="",NOT(G653="MPV")),"",1+SUMPRODUCT(($G$2:$G$1001="MPV")*($D$2:$D$1001&gt;D653))+COUNTIFS($G$2:G653,"MPV",$D$2:D653,D653)-1)</f>
        <v/>
      </c>
      <c r="N653" s="62" t="str">
        <f>IF(OR(D653="",NOT(G653="SUV")),"",1+SUMPRODUCT(($G$2:$G$1001="SUV")*($D$2:$D$1001&gt;D653))+COUNTIFS($G$2:G653,"SUV",$D$2:D653,D653)-1)</f>
        <v/>
      </c>
      <c r="O653" s="62" t="str">
        <f>IF(OR(D653="",NOT(AND(F653=1,G653="轿车"))),"",1+SUMPRODUCT(($F$2:$F$1001=1)*($G$2:$G$1001="轿车")*($D$2:$D$1001&gt;D653))+COUNTIFS($F$2:F653,1,$G$2:G653,"轿车",$D$2:D653,D653)-1)</f>
        <v/>
      </c>
      <c r="P653" s="62" t="str">
        <f>IF(OR(D653="",NOT(AND(F653=1,G653="MPV"))),"",1+SUMPRODUCT(($F$2:$F$1001=1)*($G$2:$G$1001="MPV")*($D$2:$D$1001&gt;D653))+COUNTIFS($F$2:F653,1,$G$2:G653,"MPV",$D$2:D653,D653)-1)</f>
        <v/>
      </c>
      <c r="Q653" s="62" t="str">
        <f>IF(OR(D653="",NOT(AND(F653=1,G653="SUV"))),"",1+SUMPRODUCT(($F$2:$F$1001=1)*($G$2:$G$1001="SUV")*($D$2:$D$1001&gt;D653))+COUNTIFS($F$2:F653,1,$G$2:G653,"SUV",$D$2:D653,D653)-1)</f>
        <v/>
      </c>
    </row>
    <row r="654" spans="1:17">
      <c r="A654" s="62" t="str">
        <f>IFERROR(INDEX($H$2:$H$3000,MATCH(0,INDEX(COUNTIF($A$1:A653,$H$2:$H$3000)+($H$2:$H$3000=""),0,0),0)),"")</f>
        <v/>
      </c>
      <c r="B654" s="62" t="str">
        <f t="shared" si="40"/>
        <v/>
      </c>
      <c r="C654" s="62" t="str">
        <f t="shared" si="41"/>
        <v/>
      </c>
      <c r="D654" s="63" t="str">
        <f t="shared" si="42"/>
        <v/>
      </c>
      <c r="E654" s="62" t="str">
        <f>IF(D654="","",_xlfn.RANK.EQ(D654,$D$2:$D$1001,0)+COUNTIF($D$2:D654,D654)-1)</f>
        <v/>
      </c>
      <c r="F654" s="62" t="str">
        <f>IF(B654="","",--(COUNTIF(CN_Brands!$A$2:$A$300,UPPER(B654))&gt;0))</f>
        <v/>
      </c>
      <c r="G654" s="62" t="str">
        <f t="shared" si="43"/>
        <v/>
      </c>
      <c r="H654" s="62" t="str">
        <f>IF(AND('Data Export'!A654=前十整体车型排名!$B$2,'Data Export'!B654=前十整体车型排名!$B$3,'Data Export'!D654&lt;&gt;""),UPPER('Data Export'!C654)&amp;"♦"&amp;'Data Export'!D654,"")</f>
        <v>PORSCHE♦718</v>
      </c>
      <c r="I654" s="63">
        <f>IF(H654="","",IFERROR(INDEX('Data Export'!G654:CZ654,1,MATCH(前十整体车型排名!$B$4,'Data Export'!$G$1:$CZ$1,0)),0))</f>
        <v>0</v>
      </c>
      <c r="J654" s="62" t="str">
        <f>IF(H654="","",IF(OR('Data Export'!F654="三厢轿车",'Data Export'!F654="掀背轿车",'Data Export'!F654="旅行车",'Data Export'!F654="微型车",'Data Export'!F654="硬顶跑车",'Data Export'!F654="敞蓬车",'Data Export'!F654="Targa"),"轿车",IF(OR('Data Export'!F654="小型MPV",'Data Export'!F654="客车"),"MPV",IF('Data Export'!F654="运动型多功能车","SUV","其他"))))</f>
        <v>其他</v>
      </c>
      <c r="K654" s="62" t="str">
        <f>IF(OR(D654="",NOT(F654=1)),"",1+SUMPRODUCT(($F$2:$F$1001=1)*($D$2:$D$1001&gt;D654))+COUNTIFS($F$2:F654,1,$D$2:D654,D654)-1)</f>
        <v/>
      </c>
      <c r="L654" s="62" t="str">
        <f>IF(OR(D654="",NOT(G654="轿车")),"",1+SUMPRODUCT(($G$2:$G$1001="轿车")*($D$2:$D$1001&gt;D654))+COUNTIFS($G$2:G654,"轿车",$D$2:D654,D654)-1)</f>
        <v/>
      </c>
      <c r="M654" s="62" t="str">
        <f>IF(OR(D654="",NOT(G654="MPV")),"",1+SUMPRODUCT(($G$2:$G$1001="MPV")*($D$2:$D$1001&gt;D654))+COUNTIFS($G$2:G654,"MPV",$D$2:D654,D654)-1)</f>
        <v/>
      </c>
      <c r="N654" s="62" t="str">
        <f>IF(OR(D654="",NOT(G654="SUV")),"",1+SUMPRODUCT(($G$2:$G$1001="SUV")*($D$2:$D$1001&gt;D654))+COUNTIFS($G$2:G654,"SUV",$D$2:D654,D654)-1)</f>
        <v/>
      </c>
      <c r="O654" s="62" t="str">
        <f>IF(OR(D654="",NOT(AND(F654=1,G654="轿车"))),"",1+SUMPRODUCT(($F$2:$F$1001=1)*($G$2:$G$1001="轿车")*($D$2:$D$1001&gt;D654))+COUNTIFS($F$2:F654,1,$G$2:G654,"轿车",$D$2:D654,D654)-1)</f>
        <v/>
      </c>
      <c r="P654" s="62" t="str">
        <f>IF(OR(D654="",NOT(AND(F654=1,G654="MPV"))),"",1+SUMPRODUCT(($F$2:$F$1001=1)*($G$2:$G$1001="MPV")*($D$2:$D$1001&gt;D654))+COUNTIFS($F$2:F654,1,$G$2:G654,"MPV",$D$2:D654,D654)-1)</f>
        <v/>
      </c>
      <c r="Q654" s="62" t="str">
        <f>IF(OR(D654="",NOT(AND(F654=1,G654="SUV"))),"",1+SUMPRODUCT(($F$2:$F$1001=1)*($G$2:$G$1001="SUV")*($D$2:$D$1001&gt;D654))+COUNTIFS($F$2:F654,1,$G$2:G654,"SUV",$D$2:D654,D654)-1)</f>
        <v/>
      </c>
    </row>
    <row r="655" spans="1:17">
      <c r="A655" s="62" t="str">
        <f>IFERROR(INDEX($H$2:$H$3000,MATCH(0,INDEX(COUNTIF($A$1:A654,$H$2:$H$3000)+($H$2:$H$3000=""),0,0),0)),"")</f>
        <v/>
      </c>
      <c r="B655" s="62" t="str">
        <f t="shared" si="40"/>
        <v/>
      </c>
      <c r="C655" s="62" t="str">
        <f t="shared" si="41"/>
        <v/>
      </c>
      <c r="D655" s="63" t="str">
        <f t="shared" si="42"/>
        <v/>
      </c>
      <c r="E655" s="62" t="str">
        <f>IF(D655="","",_xlfn.RANK.EQ(D655,$D$2:$D$1001,0)+COUNTIF($D$2:D655,D655)-1)</f>
        <v/>
      </c>
      <c r="F655" s="62" t="str">
        <f>IF(B655="","",--(COUNTIF(CN_Brands!$A$2:$A$300,UPPER(B655))&gt;0))</f>
        <v/>
      </c>
      <c r="G655" s="62" t="str">
        <f t="shared" si="43"/>
        <v/>
      </c>
      <c r="H655" s="62" t="str">
        <f>IF(AND('Data Export'!A655=前十整体车型排名!$B$2,'Data Export'!B655=前十整体车型排名!$B$3,'Data Export'!D655&lt;&gt;""),UPPER('Data Export'!C655)&amp;"♦"&amp;'Data Export'!D655,"")</f>
        <v>PORSCHE♦718</v>
      </c>
      <c r="I655" s="63">
        <f>IF(H655="","",IFERROR(INDEX('Data Export'!G655:CZ655,1,MATCH(前十整体车型排名!$B$4,'Data Export'!$G$1:$CZ$1,0)),0))</f>
        <v>1</v>
      </c>
      <c r="J655" s="62" t="str">
        <f>IF(H655="","",IF(OR('Data Export'!F655="三厢轿车",'Data Export'!F655="掀背轿车",'Data Export'!F655="旅行车",'Data Export'!F655="微型车",'Data Export'!F655="硬顶跑车",'Data Export'!F655="敞蓬车",'Data Export'!F655="Targa"),"轿车",IF(OR('Data Export'!F655="小型MPV",'Data Export'!F655="客车"),"MPV",IF('Data Export'!F655="运动型多功能车","SUV","其他"))))</f>
        <v>轿车</v>
      </c>
      <c r="K655" s="62" t="str">
        <f>IF(OR(D655="",NOT(F655=1)),"",1+SUMPRODUCT(($F$2:$F$1001=1)*($D$2:$D$1001&gt;D655))+COUNTIFS($F$2:F655,1,$D$2:D655,D655)-1)</f>
        <v/>
      </c>
      <c r="L655" s="62" t="str">
        <f>IF(OR(D655="",NOT(G655="轿车")),"",1+SUMPRODUCT(($G$2:$G$1001="轿车")*($D$2:$D$1001&gt;D655))+COUNTIFS($G$2:G655,"轿车",$D$2:D655,D655)-1)</f>
        <v/>
      </c>
      <c r="M655" s="62" t="str">
        <f>IF(OR(D655="",NOT(G655="MPV")),"",1+SUMPRODUCT(($G$2:$G$1001="MPV")*($D$2:$D$1001&gt;D655))+COUNTIFS($G$2:G655,"MPV",$D$2:D655,D655)-1)</f>
        <v/>
      </c>
      <c r="N655" s="62" t="str">
        <f>IF(OR(D655="",NOT(G655="SUV")),"",1+SUMPRODUCT(($G$2:$G$1001="SUV")*($D$2:$D$1001&gt;D655))+COUNTIFS($G$2:G655,"SUV",$D$2:D655,D655)-1)</f>
        <v/>
      </c>
      <c r="O655" s="62" t="str">
        <f>IF(OR(D655="",NOT(AND(F655=1,G655="轿车"))),"",1+SUMPRODUCT(($F$2:$F$1001=1)*($G$2:$G$1001="轿车")*($D$2:$D$1001&gt;D655))+COUNTIFS($F$2:F655,1,$G$2:G655,"轿车",$D$2:D655,D655)-1)</f>
        <v/>
      </c>
      <c r="P655" s="62" t="str">
        <f>IF(OR(D655="",NOT(AND(F655=1,G655="MPV"))),"",1+SUMPRODUCT(($F$2:$F$1001=1)*($G$2:$G$1001="MPV")*($D$2:$D$1001&gt;D655))+COUNTIFS($F$2:F655,1,$G$2:G655,"MPV",$D$2:D655,D655)-1)</f>
        <v/>
      </c>
      <c r="Q655" s="62" t="str">
        <f>IF(OR(D655="",NOT(AND(F655=1,G655="SUV"))),"",1+SUMPRODUCT(($F$2:$F$1001=1)*($G$2:$G$1001="SUV")*($D$2:$D$1001&gt;D655))+COUNTIFS($F$2:F655,1,$G$2:G655,"SUV",$D$2:D655,D655)-1)</f>
        <v/>
      </c>
    </row>
    <row r="656" spans="1:17">
      <c r="A656" s="62" t="str">
        <f>IFERROR(INDEX($H$2:$H$3000,MATCH(0,INDEX(COUNTIF($A$1:A655,$H$2:$H$3000)+($H$2:$H$3000=""),0,0),0)),"")</f>
        <v/>
      </c>
      <c r="B656" s="62" t="str">
        <f t="shared" si="40"/>
        <v/>
      </c>
      <c r="C656" s="62" t="str">
        <f t="shared" si="41"/>
        <v/>
      </c>
      <c r="D656" s="63" t="str">
        <f t="shared" si="42"/>
        <v/>
      </c>
      <c r="E656" s="62" t="str">
        <f>IF(D656="","",_xlfn.RANK.EQ(D656,$D$2:$D$1001,0)+COUNTIF($D$2:D656,D656)-1)</f>
        <v/>
      </c>
      <c r="F656" s="62" t="str">
        <f>IF(B656="","",--(COUNTIF(CN_Brands!$A$2:$A$300,UPPER(B656))&gt;0))</f>
        <v/>
      </c>
      <c r="G656" s="62" t="str">
        <f t="shared" si="43"/>
        <v/>
      </c>
      <c r="H656" s="62" t="str">
        <f>IF(AND('Data Export'!A656=前十整体车型排名!$B$2,'Data Export'!B656=前十整体车型排名!$B$3,'Data Export'!D656&lt;&gt;""),UPPER('Data Export'!C656)&amp;"♦"&amp;'Data Export'!D656,"")</f>
        <v>PORSCHE♦911</v>
      </c>
      <c r="I656" s="63">
        <f>IF(H656="","",IFERROR(INDEX('Data Export'!G656:CZ656,1,MATCH(前十整体车型排名!$B$4,'Data Export'!$G$1:$CZ$1,0)),0))</f>
        <v>0</v>
      </c>
      <c r="J656" s="62" t="str">
        <f>IF(H656="","",IF(OR('Data Export'!F656="三厢轿车",'Data Export'!F656="掀背轿车",'Data Export'!F656="旅行车",'Data Export'!F656="微型车",'Data Export'!F656="硬顶跑车",'Data Export'!F656="敞蓬车",'Data Export'!F656="Targa"),"轿车",IF(OR('Data Export'!F656="小型MPV",'Data Export'!F656="客车"),"MPV",IF('Data Export'!F656="运动型多功能车","SUV","其他"))))</f>
        <v>其他</v>
      </c>
      <c r="K656" s="62" t="str">
        <f>IF(OR(D656="",NOT(F656=1)),"",1+SUMPRODUCT(($F$2:$F$1001=1)*($D$2:$D$1001&gt;D656))+COUNTIFS($F$2:F656,1,$D$2:D656,D656)-1)</f>
        <v/>
      </c>
      <c r="L656" s="62" t="str">
        <f>IF(OR(D656="",NOT(G656="轿车")),"",1+SUMPRODUCT(($G$2:$G$1001="轿车")*($D$2:$D$1001&gt;D656))+COUNTIFS($G$2:G656,"轿车",$D$2:D656,D656)-1)</f>
        <v/>
      </c>
      <c r="M656" s="62" t="str">
        <f>IF(OR(D656="",NOT(G656="MPV")),"",1+SUMPRODUCT(($G$2:$G$1001="MPV")*($D$2:$D$1001&gt;D656))+COUNTIFS($G$2:G656,"MPV",$D$2:D656,D656)-1)</f>
        <v/>
      </c>
      <c r="N656" s="62" t="str">
        <f>IF(OR(D656="",NOT(G656="SUV")),"",1+SUMPRODUCT(($G$2:$G$1001="SUV")*($D$2:$D$1001&gt;D656))+COUNTIFS($G$2:G656,"SUV",$D$2:D656,D656)-1)</f>
        <v/>
      </c>
      <c r="O656" s="62" t="str">
        <f>IF(OR(D656="",NOT(AND(F656=1,G656="轿车"))),"",1+SUMPRODUCT(($F$2:$F$1001=1)*($G$2:$G$1001="轿车")*($D$2:$D$1001&gt;D656))+COUNTIFS($F$2:F656,1,$G$2:G656,"轿车",$D$2:D656,D656)-1)</f>
        <v/>
      </c>
      <c r="P656" s="62" t="str">
        <f>IF(OR(D656="",NOT(AND(F656=1,G656="MPV"))),"",1+SUMPRODUCT(($F$2:$F$1001=1)*($G$2:$G$1001="MPV")*($D$2:$D$1001&gt;D656))+COUNTIFS($F$2:F656,1,$G$2:G656,"MPV",$D$2:D656,D656)-1)</f>
        <v/>
      </c>
      <c r="Q656" s="62" t="str">
        <f>IF(OR(D656="",NOT(AND(F656=1,G656="SUV"))),"",1+SUMPRODUCT(($F$2:$F$1001=1)*($G$2:$G$1001="SUV")*($D$2:$D$1001&gt;D656))+COUNTIFS($F$2:F656,1,$G$2:G656,"SUV",$D$2:D656,D656)-1)</f>
        <v/>
      </c>
    </row>
    <row r="657" spans="1:17">
      <c r="A657" s="62" t="str">
        <f>IFERROR(INDEX($H$2:$H$3000,MATCH(0,INDEX(COUNTIF($A$1:A656,$H$2:$H$3000)+($H$2:$H$3000=""),0,0),0)),"")</f>
        <v/>
      </c>
      <c r="B657" s="62" t="str">
        <f t="shared" si="40"/>
        <v/>
      </c>
      <c r="C657" s="62" t="str">
        <f t="shared" si="41"/>
        <v/>
      </c>
      <c r="D657" s="63" t="str">
        <f t="shared" si="42"/>
        <v/>
      </c>
      <c r="E657" s="62" t="str">
        <f>IF(D657="","",_xlfn.RANK.EQ(D657,$D$2:$D$1001,0)+COUNTIF($D$2:D657,D657)-1)</f>
        <v/>
      </c>
      <c r="F657" s="62" t="str">
        <f>IF(B657="","",--(COUNTIF(CN_Brands!$A$2:$A$300,UPPER(B657))&gt;0))</f>
        <v/>
      </c>
      <c r="G657" s="62" t="str">
        <f t="shared" si="43"/>
        <v/>
      </c>
      <c r="H657" s="62" t="str">
        <f>IF(AND('Data Export'!A657=前十整体车型排名!$B$2,'Data Export'!B657=前十整体车型排名!$B$3,'Data Export'!D657&lt;&gt;""),UPPER('Data Export'!C657)&amp;"♦"&amp;'Data Export'!D657,"")</f>
        <v>PORSCHE♦911</v>
      </c>
      <c r="I657" s="63">
        <f>IF(H657="","",IFERROR(INDEX('Data Export'!G657:CZ657,1,MATCH(前十整体车型排名!$B$4,'Data Export'!$G$1:$CZ$1,0)),0))</f>
        <v>0</v>
      </c>
      <c r="J657" s="62" t="str">
        <f>IF(H657="","",IF(OR('Data Export'!F657="三厢轿车",'Data Export'!F657="掀背轿车",'Data Export'!F657="旅行车",'Data Export'!F657="微型车",'Data Export'!F657="硬顶跑车",'Data Export'!F657="敞蓬车",'Data Export'!F657="Targa"),"轿车",IF(OR('Data Export'!F657="小型MPV",'Data Export'!F657="客车"),"MPV",IF('Data Export'!F657="运动型多功能车","SUV","其他"))))</f>
        <v>轿车</v>
      </c>
      <c r="K657" s="62" t="str">
        <f>IF(OR(D657="",NOT(F657=1)),"",1+SUMPRODUCT(($F$2:$F$1001=1)*($D$2:$D$1001&gt;D657))+COUNTIFS($F$2:F657,1,$D$2:D657,D657)-1)</f>
        <v/>
      </c>
      <c r="L657" s="62" t="str">
        <f>IF(OR(D657="",NOT(G657="轿车")),"",1+SUMPRODUCT(($G$2:$G$1001="轿车")*($D$2:$D$1001&gt;D657))+COUNTIFS($G$2:G657,"轿车",$D$2:D657,D657)-1)</f>
        <v/>
      </c>
      <c r="M657" s="62" t="str">
        <f>IF(OR(D657="",NOT(G657="MPV")),"",1+SUMPRODUCT(($G$2:$G$1001="MPV")*($D$2:$D$1001&gt;D657))+COUNTIFS($G$2:G657,"MPV",$D$2:D657,D657)-1)</f>
        <v/>
      </c>
      <c r="N657" s="62" t="str">
        <f>IF(OR(D657="",NOT(G657="SUV")),"",1+SUMPRODUCT(($G$2:$G$1001="SUV")*($D$2:$D$1001&gt;D657))+COUNTIFS($G$2:G657,"SUV",$D$2:D657,D657)-1)</f>
        <v/>
      </c>
      <c r="O657" s="62" t="str">
        <f>IF(OR(D657="",NOT(AND(F657=1,G657="轿车"))),"",1+SUMPRODUCT(($F$2:$F$1001=1)*($G$2:$G$1001="轿车")*($D$2:$D$1001&gt;D657))+COUNTIFS($F$2:F657,1,$G$2:G657,"轿车",$D$2:D657,D657)-1)</f>
        <v/>
      </c>
      <c r="P657" s="62" t="str">
        <f>IF(OR(D657="",NOT(AND(F657=1,G657="MPV"))),"",1+SUMPRODUCT(($F$2:$F$1001=1)*($G$2:$G$1001="MPV")*($D$2:$D$1001&gt;D657))+COUNTIFS($F$2:F657,1,$G$2:G657,"MPV",$D$2:D657,D657)-1)</f>
        <v/>
      </c>
      <c r="Q657" s="62" t="str">
        <f>IF(OR(D657="",NOT(AND(F657=1,G657="SUV"))),"",1+SUMPRODUCT(($F$2:$F$1001=1)*($G$2:$G$1001="SUV")*($D$2:$D$1001&gt;D657))+COUNTIFS($F$2:F657,1,$G$2:G657,"SUV",$D$2:D657,D657)-1)</f>
        <v/>
      </c>
    </row>
    <row r="658" spans="1:17">
      <c r="A658" s="62" t="str">
        <f>IFERROR(INDEX($H$2:$H$3000,MATCH(0,INDEX(COUNTIF($A$1:A657,$H$2:$H$3000)+($H$2:$H$3000=""),0,0),0)),"")</f>
        <v/>
      </c>
      <c r="B658" s="62" t="str">
        <f t="shared" si="40"/>
        <v/>
      </c>
      <c r="C658" s="62" t="str">
        <f t="shared" si="41"/>
        <v/>
      </c>
      <c r="D658" s="63" t="str">
        <f t="shared" si="42"/>
        <v/>
      </c>
      <c r="E658" s="62" t="str">
        <f>IF(D658="","",_xlfn.RANK.EQ(D658,$D$2:$D$1001,0)+COUNTIF($D$2:D658,D658)-1)</f>
        <v/>
      </c>
      <c r="F658" s="62" t="str">
        <f>IF(B658="","",--(COUNTIF(CN_Brands!$A$2:$A$300,UPPER(B658))&gt;0))</f>
        <v/>
      </c>
      <c r="G658" s="62" t="str">
        <f t="shared" si="43"/>
        <v/>
      </c>
      <c r="H658" s="62" t="str">
        <f>IF(AND('Data Export'!A658=前十整体车型排名!$B$2,'Data Export'!B658=前十整体车型排名!$B$3,'Data Export'!D658&lt;&gt;""),UPPER('Data Export'!C658)&amp;"♦"&amp;'Data Export'!D658,"")</f>
        <v>PORSCHE♦911</v>
      </c>
      <c r="I658" s="63">
        <f>IF(H658="","",IFERROR(INDEX('Data Export'!G658:CZ658,1,MATCH(前十整体车型排名!$B$4,'Data Export'!$G$1:$CZ$1,0)),0))</f>
        <v>0</v>
      </c>
      <c r="J658" s="62" t="str">
        <f>IF(H658="","",IF(OR('Data Export'!F658="三厢轿车",'Data Export'!F658="掀背轿车",'Data Export'!F658="旅行车",'Data Export'!F658="微型车",'Data Export'!F658="硬顶跑车",'Data Export'!F658="敞蓬车",'Data Export'!F658="Targa"),"轿车",IF(OR('Data Export'!F658="小型MPV",'Data Export'!F658="客车"),"MPV",IF('Data Export'!F658="运动型多功能车","SUV","其他"))))</f>
        <v>轿车</v>
      </c>
      <c r="K658" s="62" t="str">
        <f>IF(OR(D658="",NOT(F658=1)),"",1+SUMPRODUCT(($F$2:$F$1001=1)*($D$2:$D$1001&gt;D658))+COUNTIFS($F$2:F658,1,$D$2:D658,D658)-1)</f>
        <v/>
      </c>
      <c r="L658" s="62" t="str">
        <f>IF(OR(D658="",NOT(G658="轿车")),"",1+SUMPRODUCT(($G$2:$G$1001="轿车")*($D$2:$D$1001&gt;D658))+COUNTIFS($G$2:G658,"轿车",$D$2:D658,D658)-1)</f>
        <v/>
      </c>
      <c r="M658" s="62" t="str">
        <f>IF(OR(D658="",NOT(G658="MPV")),"",1+SUMPRODUCT(($G$2:$G$1001="MPV")*($D$2:$D$1001&gt;D658))+COUNTIFS($G$2:G658,"MPV",$D$2:D658,D658)-1)</f>
        <v/>
      </c>
      <c r="N658" s="62" t="str">
        <f>IF(OR(D658="",NOT(G658="SUV")),"",1+SUMPRODUCT(($G$2:$G$1001="SUV")*($D$2:$D$1001&gt;D658))+COUNTIFS($G$2:G658,"SUV",$D$2:D658,D658)-1)</f>
        <v/>
      </c>
      <c r="O658" s="62" t="str">
        <f>IF(OR(D658="",NOT(AND(F658=1,G658="轿车"))),"",1+SUMPRODUCT(($F$2:$F$1001=1)*($G$2:$G$1001="轿车")*($D$2:$D$1001&gt;D658))+COUNTIFS($F$2:F658,1,$G$2:G658,"轿车",$D$2:D658,D658)-1)</f>
        <v/>
      </c>
      <c r="P658" s="62" t="str">
        <f>IF(OR(D658="",NOT(AND(F658=1,G658="MPV"))),"",1+SUMPRODUCT(($F$2:$F$1001=1)*($G$2:$G$1001="MPV")*($D$2:$D$1001&gt;D658))+COUNTIFS($F$2:F658,1,$G$2:G658,"MPV",$D$2:D658,D658)-1)</f>
        <v/>
      </c>
      <c r="Q658" s="62" t="str">
        <f>IF(OR(D658="",NOT(AND(F658=1,G658="SUV"))),"",1+SUMPRODUCT(($F$2:$F$1001=1)*($G$2:$G$1001="SUV")*($D$2:$D$1001&gt;D658))+COUNTIFS($F$2:F658,1,$G$2:G658,"SUV",$D$2:D658,D658)-1)</f>
        <v/>
      </c>
    </row>
    <row r="659" spans="1:17">
      <c r="A659" s="62" t="str">
        <f>IFERROR(INDEX($H$2:$H$3000,MATCH(0,INDEX(COUNTIF($A$1:A658,$H$2:$H$3000)+($H$2:$H$3000=""),0,0),0)),"")</f>
        <v/>
      </c>
      <c r="B659" s="62" t="str">
        <f t="shared" si="40"/>
        <v/>
      </c>
      <c r="C659" s="62" t="str">
        <f t="shared" si="41"/>
        <v/>
      </c>
      <c r="D659" s="63" t="str">
        <f t="shared" si="42"/>
        <v/>
      </c>
      <c r="E659" s="62" t="str">
        <f>IF(D659="","",_xlfn.RANK.EQ(D659,$D$2:$D$1001,0)+COUNTIF($D$2:D659,D659)-1)</f>
        <v/>
      </c>
      <c r="F659" s="62" t="str">
        <f>IF(B659="","",--(COUNTIF(CN_Brands!$A$2:$A$300,UPPER(B659))&gt;0))</f>
        <v/>
      </c>
      <c r="G659" s="62" t="str">
        <f t="shared" si="43"/>
        <v/>
      </c>
      <c r="H659" s="62" t="str">
        <f>IF(AND('Data Export'!A659=前十整体车型排名!$B$2,'Data Export'!B659=前十整体车型排名!$B$3,'Data Export'!D659&lt;&gt;""),UPPER('Data Export'!C659)&amp;"♦"&amp;'Data Export'!D659,"")</f>
        <v>PORSCHE♦911</v>
      </c>
      <c r="I659" s="63">
        <f>IF(H659="","",IFERROR(INDEX('Data Export'!G659:CZ659,1,MATCH(前十整体车型排名!$B$4,'Data Export'!$G$1:$CZ$1,0)),0))</f>
        <v>0</v>
      </c>
      <c r="J659" s="62" t="str">
        <f>IF(H659="","",IF(OR('Data Export'!F659="三厢轿车",'Data Export'!F659="掀背轿车",'Data Export'!F659="旅行车",'Data Export'!F659="微型车",'Data Export'!F659="硬顶跑车",'Data Export'!F659="敞蓬车",'Data Export'!F659="Targa"),"轿车",IF(OR('Data Export'!F659="小型MPV",'Data Export'!F659="客车"),"MPV",IF('Data Export'!F659="运动型多功能车","SUV","其他"))))</f>
        <v>轿车</v>
      </c>
      <c r="K659" s="62" t="str">
        <f>IF(OR(D659="",NOT(F659=1)),"",1+SUMPRODUCT(($F$2:$F$1001=1)*($D$2:$D$1001&gt;D659))+COUNTIFS($F$2:F659,1,$D$2:D659,D659)-1)</f>
        <v/>
      </c>
      <c r="L659" s="62" t="str">
        <f>IF(OR(D659="",NOT(G659="轿车")),"",1+SUMPRODUCT(($G$2:$G$1001="轿车")*($D$2:$D$1001&gt;D659))+COUNTIFS($G$2:G659,"轿车",$D$2:D659,D659)-1)</f>
        <v/>
      </c>
      <c r="M659" s="62" t="str">
        <f>IF(OR(D659="",NOT(G659="MPV")),"",1+SUMPRODUCT(($G$2:$G$1001="MPV")*($D$2:$D$1001&gt;D659))+COUNTIFS($G$2:G659,"MPV",$D$2:D659,D659)-1)</f>
        <v/>
      </c>
      <c r="N659" s="62" t="str">
        <f>IF(OR(D659="",NOT(G659="SUV")),"",1+SUMPRODUCT(($G$2:$G$1001="SUV")*($D$2:$D$1001&gt;D659))+COUNTIFS($G$2:G659,"SUV",$D$2:D659,D659)-1)</f>
        <v/>
      </c>
      <c r="O659" s="62" t="str">
        <f>IF(OR(D659="",NOT(AND(F659=1,G659="轿车"))),"",1+SUMPRODUCT(($F$2:$F$1001=1)*($G$2:$G$1001="轿车")*($D$2:$D$1001&gt;D659))+COUNTIFS($F$2:F659,1,$G$2:G659,"轿车",$D$2:D659,D659)-1)</f>
        <v/>
      </c>
      <c r="P659" s="62" t="str">
        <f>IF(OR(D659="",NOT(AND(F659=1,G659="MPV"))),"",1+SUMPRODUCT(($F$2:$F$1001=1)*($G$2:$G$1001="MPV")*($D$2:$D$1001&gt;D659))+COUNTIFS($F$2:F659,1,$G$2:G659,"MPV",$D$2:D659,D659)-1)</f>
        <v/>
      </c>
      <c r="Q659" s="62" t="str">
        <f>IF(OR(D659="",NOT(AND(F659=1,G659="SUV"))),"",1+SUMPRODUCT(($F$2:$F$1001=1)*($G$2:$G$1001="SUV")*($D$2:$D$1001&gt;D659))+COUNTIFS($F$2:F659,1,$G$2:G659,"SUV",$D$2:D659,D659)-1)</f>
        <v/>
      </c>
    </row>
    <row r="660" spans="1:17">
      <c r="A660" s="62" t="str">
        <f>IFERROR(INDEX($H$2:$H$3000,MATCH(0,INDEX(COUNTIF($A$1:A659,$H$2:$H$3000)+($H$2:$H$3000=""),0,0),0)),"")</f>
        <v/>
      </c>
      <c r="B660" s="62" t="str">
        <f t="shared" si="40"/>
        <v/>
      </c>
      <c r="C660" s="62" t="str">
        <f t="shared" si="41"/>
        <v/>
      </c>
      <c r="D660" s="63" t="str">
        <f t="shared" si="42"/>
        <v/>
      </c>
      <c r="E660" s="62" t="str">
        <f>IF(D660="","",_xlfn.RANK.EQ(D660,$D$2:$D$1001,0)+COUNTIF($D$2:D660,D660)-1)</f>
        <v/>
      </c>
      <c r="F660" s="62" t="str">
        <f>IF(B660="","",--(COUNTIF(CN_Brands!$A$2:$A$300,UPPER(B660))&gt;0))</f>
        <v/>
      </c>
      <c r="G660" s="62" t="str">
        <f t="shared" si="43"/>
        <v/>
      </c>
      <c r="H660" s="62" t="str">
        <f>IF(AND('Data Export'!A660=前十整体车型排名!$B$2,'Data Export'!B660=前十整体车型排名!$B$3,'Data Export'!D660&lt;&gt;""),UPPER('Data Export'!C660)&amp;"♦"&amp;'Data Export'!D660,"")</f>
        <v>PORSCHE♦911</v>
      </c>
      <c r="I660" s="63">
        <f>IF(H660="","",IFERROR(INDEX('Data Export'!G660:CZ660,1,MATCH(前十整体车型排名!$B$4,'Data Export'!$G$1:$CZ$1,0)),0))</f>
        <v>0</v>
      </c>
      <c r="J660" s="62" t="str">
        <f>IF(H660="","",IF(OR('Data Export'!F660="三厢轿车",'Data Export'!F660="掀背轿车",'Data Export'!F660="旅行车",'Data Export'!F660="微型车",'Data Export'!F660="硬顶跑车",'Data Export'!F660="敞蓬车",'Data Export'!F660="Targa"),"轿车",IF(OR('Data Export'!F660="小型MPV",'Data Export'!F660="客车"),"MPV",IF('Data Export'!F660="运动型多功能车","SUV","其他"))))</f>
        <v>轿车</v>
      </c>
      <c r="K660" s="62" t="str">
        <f>IF(OR(D660="",NOT(F660=1)),"",1+SUMPRODUCT(($F$2:$F$1001=1)*($D$2:$D$1001&gt;D660))+COUNTIFS($F$2:F660,1,$D$2:D660,D660)-1)</f>
        <v/>
      </c>
      <c r="L660" s="62" t="str">
        <f>IF(OR(D660="",NOT(G660="轿车")),"",1+SUMPRODUCT(($G$2:$G$1001="轿车")*($D$2:$D$1001&gt;D660))+COUNTIFS($G$2:G660,"轿车",$D$2:D660,D660)-1)</f>
        <v/>
      </c>
      <c r="M660" s="62" t="str">
        <f>IF(OR(D660="",NOT(G660="MPV")),"",1+SUMPRODUCT(($G$2:$G$1001="MPV")*($D$2:$D$1001&gt;D660))+COUNTIFS($G$2:G660,"MPV",$D$2:D660,D660)-1)</f>
        <v/>
      </c>
      <c r="N660" s="62" t="str">
        <f>IF(OR(D660="",NOT(G660="SUV")),"",1+SUMPRODUCT(($G$2:$G$1001="SUV")*($D$2:$D$1001&gt;D660))+COUNTIFS($G$2:G660,"SUV",$D$2:D660,D660)-1)</f>
        <v/>
      </c>
      <c r="O660" s="62" t="str">
        <f>IF(OR(D660="",NOT(AND(F660=1,G660="轿车"))),"",1+SUMPRODUCT(($F$2:$F$1001=1)*($G$2:$G$1001="轿车")*($D$2:$D$1001&gt;D660))+COUNTIFS($F$2:F660,1,$G$2:G660,"轿车",$D$2:D660,D660)-1)</f>
        <v/>
      </c>
      <c r="P660" s="62" t="str">
        <f>IF(OR(D660="",NOT(AND(F660=1,G660="MPV"))),"",1+SUMPRODUCT(($F$2:$F$1001=1)*($G$2:$G$1001="MPV")*($D$2:$D$1001&gt;D660))+COUNTIFS($F$2:F660,1,$G$2:G660,"MPV",$D$2:D660,D660)-1)</f>
        <v/>
      </c>
      <c r="Q660" s="62" t="str">
        <f>IF(OR(D660="",NOT(AND(F660=1,G660="SUV"))),"",1+SUMPRODUCT(($F$2:$F$1001=1)*($G$2:$G$1001="SUV")*($D$2:$D$1001&gt;D660))+COUNTIFS($F$2:F660,1,$G$2:G660,"SUV",$D$2:D660,D660)-1)</f>
        <v/>
      </c>
    </row>
    <row r="661" spans="1:17">
      <c r="A661" s="62" t="str">
        <f>IFERROR(INDEX($H$2:$H$3000,MATCH(0,INDEX(COUNTIF($A$1:A660,$H$2:$H$3000)+($H$2:$H$3000=""),0,0),0)),"")</f>
        <v/>
      </c>
      <c r="B661" s="62" t="str">
        <f t="shared" si="40"/>
        <v/>
      </c>
      <c r="C661" s="62" t="str">
        <f t="shared" si="41"/>
        <v/>
      </c>
      <c r="D661" s="63" t="str">
        <f t="shared" si="42"/>
        <v/>
      </c>
      <c r="E661" s="62" t="str">
        <f>IF(D661="","",_xlfn.RANK.EQ(D661,$D$2:$D$1001,0)+COUNTIF($D$2:D661,D661)-1)</f>
        <v/>
      </c>
      <c r="F661" s="62" t="str">
        <f>IF(B661="","",--(COUNTIF(CN_Brands!$A$2:$A$300,UPPER(B661))&gt;0))</f>
        <v/>
      </c>
      <c r="G661" s="62" t="str">
        <f t="shared" si="43"/>
        <v/>
      </c>
      <c r="H661" s="62" t="str">
        <f>IF(AND('Data Export'!A661=前十整体车型排名!$B$2,'Data Export'!B661=前十整体车型排名!$B$3,'Data Export'!D661&lt;&gt;""),UPPER('Data Export'!C661)&amp;"♦"&amp;'Data Export'!D661,"")</f>
        <v>PORSCHE♦911</v>
      </c>
      <c r="I661" s="63">
        <f>IF(H661="","",IFERROR(INDEX('Data Export'!G661:CZ661,1,MATCH(前十整体车型排名!$B$4,'Data Export'!$G$1:$CZ$1,0)),0))</f>
        <v>0</v>
      </c>
      <c r="J661" s="62" t="str">
        <f>IF(H661="","",IF(OR('Data Export'!F661="三厢轿车",'Data Export'!F661="掀背轿车",'Data Export'!F661="旅行车",'Data Export'!F661="微型车",'Data Export'!F661="硬顶跑车",'Data Export'!F661="敞蓬车",'Data Export'!F661="Targa"),"轿车",IF(OR('Data Export'!F661="小型MPV",'Data Export'!F661="客车"),"MPV",IF('Data Export'!F661="运动型多功能车","SUV","其他"))))</f>
        <v>轿车</v>
      </c>
      <c r="K661" s="62" t="str">
        <f>IF(OR(D661="",NOT(F661=1)),"",1+SUMPRODUCT(($F$2:$F$1001=1)*($D$2:$D$1001&gt;D661))+COUNTIFS($F$2:F661,1,$D$2:D661,D661)-1)</f>
        <v/>
      </c>
      <c r="L661" s="62" t="str">
        <f>IF(OR(D661="",NOT(G661="轿车")),"",1+SUMPRODUCT(($G$2:$G$1001="轿车")*($D$2:$D$1001&gt;D661))+COUNTIFS($G$2:G661,"轿车",$D$2:D661,D661)-1)</f>
        <v/>
      </c>
      <c r="M661" s="62" t="str">
        <f>IF(OR(D661="",NOT(G661="MPV")),"",1+SUMPRODUCT(($G$2:$G$1001="MPV")*($D$2:$D$1001&gt;D661))+COUNTIFS($G$2:G661,"MPV",$D$2:D661,D661)-1)</f>
        <v/>
      </c>
      <c r="N661" s="62" t="str">
        <f>IF(OR(D661="",NOT(G661="SUV")),"",1+SUMPRODUCT(($G$2:$G$1001="SUV")*($D$2:$D$1001&gt;D661))+COUNTIFS($G$2:G661,"SUV",$D$2:D661,D661)-1)</f>
        <v/>
      </c>
      <c r="O661" s="62" t="str">
        <f>IF(OR(D661="",NOT(AND(F661=1,G661="轿车"))),"",1+SUMPRODUCT(($F$2:$F$1001=1)*($G$2:$G$1001="轿车")*($D$2:$D$1001&gt;D661))+COUNTIFS($F$2:F661,1,$G$2:G661,"轿车",$D$2:D661,D661)-1)</f>
        <v/>
      </c>
      <c r="P661" s="62" t="str">
        <f>IF(OR(D661="",NOT(AND(F661=1,G661="MPV"))),"",1+SUMPRODUCT(($F$2:$F$1001=1)*($G$2:$G$1001="MPV")*($D$2:$D$1001&gt;D661))+COUNTIFS($F$2:F661,1,$G$2:G661,"MPV",$D$2:D661,D661)-1)</f>
        <v/>
      </c>
      <c r="Q661" s="62" t="str">
        <f>IF(OR(D661="",NOT(AND(F661=1,G661="SUV"))),"",1+SUMPRODUCT(($F$2:$F$1001=1)*($G$2:$G$1001="SUV")*($D$2:$D$1001&gt;D661))+COUNTIFS($F$2:F661,1,$G$2:G661,"SUV",$D$2:D661,D661)-1)</f>
        <v/>
      </c>
    </row>
    <row r="662" spans="1:17">
      <c r="A662" s="62" t="str">
        <f>IFERROR(INDEX($H$2:$H$3000,MATCH(0,INDEX(COUNTIF($A$1:A661,$H$2:$H$3000)+($H$2:$H$3000=""),0,0),0)),"")</f>
        <v/>
      </c>
      <c r="B662" s="62" t="str">
        <f t="shared" si="40"/>
        <v/>
      </c>
      <c r="C662" s="62" t="str">
        <f t="shared" si="41"/>
        <v/>
      </c>
      <c r="D662" s="63" t="str">
        <f t="shared" si="42"/>
        <v/>
      </c>
      <c r="E662" s="62" t="str">
        <f>IF(D662="","",_xlfn.RANK.EQ(D662,$D$2:$D$1001,0)+COUNTIF($D$2:D662,D662)-1)</f>
        <v/>
      </c>
      <c r="F662" s="62" t="str">
        <f>IF(B662="","",--(COUNTIF(CN_Brands!$A$2:$A$300,UPPER(B662))&gt;0))</f>
        <v/>
      </c>
      <c r="G662" s="62" t="str">
        <f t="shared" si="43"/>
        <v/>
      </c>
      <c r="H662" s="62" t="str">
        <f>IF(AND('Data Export'!A662=前十整体车型排名!$B$2,'Data Export'!B662=前十整体车型排名!$B$3,'Data Export'!D662&lt;&gt;""),UPPER('Data Export'!C662)&amp;"♦"&amp;'Data Export'!D662,"")</f>
        <v>PORSCHE♦911</v>
      </c>
      <c r="I662" s="63">
        <f>IF(H662="","",IFERROR(INDEX('Data Export'!G662:CZ662,1,MATCH(前十整体车型排名!$B$4,'Data Export'!$G$1:$CZ$1,0)),0))</f>
        <v>0</v>
      </c>
      <c r="J662" s="62" t="str">
        <f>IF(H662="","",IF(OR('Data Export'!F662="三厢轿车",'Data Export'!F662="掀背轿车",'Data Export'!F662="旅行车",'Data Export'!F662="微型车",'Data Export'!F662="硬顶跑车",'Data Export'!F662="敞蓬车",'Data Export'!F662="Targa"),"轿车",IF(OR('Data Export'!F662="小型MPV",'Data Export'!F662="客车"),"MPV",IF('Data Export'!F662="运动型多功能车","SUV","其他"))))</f>
        <v>轿车</v>
      </c>
      <c r="K662" s="62" t="str">
        <f>IF(OR(D662="",NOT(F662=1)),"",1+SUMPRODUCT(($F$2:$F$1001=1)*($D$2:$D$1001&gt;D662))+COUNTIFS($F$2:F662,1,$D$2:D662,D662)-1)</f>
        <v/>
      </c>
      <c r="L662" s="62" t="str">
        <f>IF(OR(D662="",NOT(G662="轿车")),"",1+SUMPRODUCT(($G$2:$G$1001="轿车")*($D$2:$D$1001&gt;D662))+COUNTIFS($G$2:G662,"轿车",$D$2:D662,D662)-1)</f>
        <v/>
      </c>
      <c r="M662" s="62" t="str">
        <f>IF(OR(D662="",NOT(G662="MPV")),"",1+SUMPRODUCT(($G$2:$G$1001="MPV")*($D$2:$D$1001&gt;D662))+COUNTIFS($G$2:G662,"MPV",$D$2:D662,D662)-1)</f>
        <v/>
      </c>
      <c r="N662" s="62" t="str">
        <f>IF(OR(D662="",NOT(G662="SUV")),"",1+SUMPRODUCT(($G$2:$G$1001="SUV")*($D$2:$D$1001&gt;D662))+COUNTIFS($G$2:G662,"SUV",$D$2:D662,D662)-1)</f>
        <v/>
      </c>
      <c r="O662" s="62" t="str">
        <f>IF(OR(D662="",NOT(AND(F662=1,G662="轿车"))),"",1+SUMPRODUCT(($F$2:$F$1001=1)*($G$2:$G$1001="轿车")*($D$2:$D$1001&gt;D662))+COUNTIFS($F$2:F662,1,$G$2:G662,"轿车",$D$2:D662,D662)-1)</f>
        <v/>
      </c>
      <c r="P662" s="62" t="str">
        <f>IF(OR(D662="",NOT(AND(F662=1,G662="MPV"))),"",1+SUMPRODUCT(($F$2:$F$1001=1)*($G$2:$G$1001="MPV")*($D$2:$D$1001&gt;D662))+COUNTIFS($F$2:F662,1,$G$2:G662,"MPV",$D$2:D662,D662)-1)</f>
        <v/>
      </c>
      <c r="Q662" s="62" t="str">
        <f>IF(OR(D662="",NOT(AND(F662=1,G662="SUV"))),"",1+SUMPRODUCT(($F$2:$F$1001=1)*($G$2:$G$1001="SUV")*($D$2:$D$1001&gt;D662))+COUNTIFS($F$2:F662,1,$G$2:G662,"SUV",$D$2:D662,D662)-1)</f>
        <v/>
      </c>
    </row>
    <row r="663" spans="1:17">
      <c r="A663" s="62" t="str">
        <f>IFERROR(INDEX($H$2:$H$3000,MATCH(0,INDEX(COUNTIF($A$1:A662,$H$2:$H$3000)+($H$2:$H$3000=""),0,0),0)),"")</f>
        <v/>
      </c>
      <c r="B663" s="62" t="str">
        <f t="shared" si="40"/>
        <v/>
      </c>
      <c r="C663" s="62" t="str">
        <f t="shared" si="41"/>
        <v/>
      </c>
      <c r="D663" s="63" t="str">
        <f t="shared" si="42"/>
        <v/>
      </c>
      <c r="E663" s="62" t="str">
        <f>IF(D663="","",_xlfn.RANK.EQ(D663,$D$2:$D$1001,0)+COUNTIF($D$2:D663,D663)-1)</f>
        <v/>
      </c>
      <c r="F663" s="62" t="str">
        <f>IF(B663="","",--(COUNTIF(CN_Brands!$A$2:$A$300,UPPER(B663))&gt;0))</f>
        <v/>
      </c>
      <c r="G663" s="62" t="str">
        <f t="shared" si="43"/>
        <v/>
      </c>
      <c r="H663" s="62" t="str">
        <f>IF(AND('Data Export'!A663=前十整体车型排名!$B$2,'Data Export'!B663=前十整体车型排名!$B$3,'Data Export'!D663&lt;&gt;""),UPPER('Data Export'!C663)&amp;"♦"&amp;'Data Export'!D663,"")</f>
        <v>PORSCHE♦911</v>
      </c>
      <c r="I663" s="63">
        <f>IF(H663="","",IFERROR(INDEX('Data Export'!G663:CZ663,1,MATCH(前十整体车型排名!$B$4,'Data Export'!$G$1:$CZ$1,0)),0))</f>
        <v>0</v>
      </c>
      <c r="J663" s="62" t="str">
        <f>IF(H663="","",IF(OR('Data Export'!F663="三厢轿车",'Data Export'!F663="掀背轿车",'Data Export'!F663="旅行车",'Data Export'!F663="微型车",'Data Export'!F663="硬顶跑车",'Data Export'!F663="敞蓬车",'Data Export'!F663="Targa"),"轿车",IF(OR('Data Export'!F663="小型MPV",'Data Export'!F663="客车"),"MPV",IF('Data Export'!F663="运动型多功能车","SUV","其他"))))</f>
        <v>轿车</v>
      </c>
      <c r="K663" s="62" t="str">
        <f>IF(OR(D663="",NOT(F663=1)),"",1+SUMPRODUCT(($F$2:$F$1001=1)*($D$2:$D$1001&gt;D663))+COUNTIFS($F$2:F663,1,$D$2:D663,D663)-1)</f>
        <v/>
      </c>
      <c r="L663" s="62" t="str">
        <f>IF(OR(D663="",NOT(G663="轿车")),"",1+SUMPRODUCT(($G$2:$G$1001="轿车")*($D$2:$D$1001&gt;D663))+COUNTIFS($G$2:G663,"轿车",$D$2:D663,D663)-1)</f>
        <v/>
      </c>
      <c r="M663" s="62" t="str">
        <f>IF(OR(D663="",NOT(G663="MPV")),"",1+SUMPRODUCT(($G$2:$G$1001="MPV")*($D$2:$D$1001&gt;D663))+COUNTIFS($G$2:G663,"MPV",$D$2:D663,D663)-1)</f>
        <v/>
      </c>
      <c r="N663" s="62" t="str">
        <f>IF(OR(D663="",NOT(G663="SUV")),"",1+SUMPRODUCT(($G$2:$G$1001="SUV")*($D$2:$D$1001&gt;D663))+COUNTIFS($G$2:G663,"SUV",$D$2:D663,D663)-1)</f>
        <v/>
      </c>
      <c r="O663" s="62" t="str">
        <f>IF(OR(D663="",NOT(AND(F663=1,G663="轿车"))),"",1+SUMPRODUCT(($F$2:$F$1001=1)*($G$2:$G$1001="轿车")*($D$2:$D$1001&gt;D663))+COUNTIFS($F$2:F663,1,$G$2:G663,"轿车",$D$2:D663,D663)-1)</f>
        <v/>
      </c>
      <c r="P663" s="62" t="str">
        <f>IF(OR(D663="",NOT(AND(F663=1,G663="MPV"))),"",1+SUMPRODUCT(($F$2:$F$1001=1)*($G$2:$G$1001="MPV")*($D$2:$D$1001&gt;D663))+COUNTIFS($F$2:F663,1,$G$2:G663,"MPV",$D$2:D663,D663)-1)</f>
        <v/>
      </c>
      <c r="Q663" s="62" t="str">
        <f>IF(OR(D663="",NOT(AND(F663=1,G663="SUV"))),"",1+SUMPRODUCT(($F$2:$F$1001=1)*($G$2:$G$1001="SUV")*($D$2:$D$1001&gt;D663))+COUNTIFS($F$2:F663,1,$G$2:G663,"SUV",$D$2:D663,D663)-1)</f>
        <v/>
      </c>
    </row>
    <row r="664" spans="1:17">
      <c r="A664" s="62" t="str">
        <f>IFERROR(INDEX($H$2:$H$3000,MATCH(0,INDEX(COUNTIF($A$1:A663,$H$2:$H$3000)+($H$2:$H$3000=""),0,0),0)),"")</f>
        <v/>
      </c>
      <c r="B664" s="62" t="str">
        <f t="shared" si="40"/>
        <v/>
      </c>
      <c r="C664" s="62" t="str">
        <f t="shared" si="41"/>
        <v/>
      </c>
      <c r="D664" s="63" t="str">
        <f t="shared" si="42"/>
        <v/>
      </c>
      <c r="E664" s="62" t="str">
        <f>IF(D664="","",_xlfn.RANK.EQ(D664,$D$2:$D$1001,0)+COUNTIF($D$2:D664,D664)-1)</f>
        <v/>
      </c>
      <c r="F664" s="62" t="str">
        <f>IF(B664="","",--(COUNTIF(CN_Brands!$A$2:$A$300,UPPER(B664))&gt;0))</f>
        <v/>
      </c>
      <c r="G664" s="62" t="str">
        <f t="shared" si="43"/>
        <v/>
      </c>
      <c r="H664" s="62" t="str">
        <f>IF(AND('Data Export'!A664=前十整体车型排名!$B$2,'Data Export'!B664=前十整体车型排名!$B$3,'Data Export'!D664&lt;&gt;""),UPPER('Data Export'!C664)&amp;"♦"&amp;'Data Export'!D664,"")</f>
        <v>PORSCHE♦911</v>
      </c>
      <c r="I664" s="63">
        <f>IF(H664="","",IFERROR(INDEX('Data Export'!G664:CZ664,1,MATCH(前十整体车型排名!$B$4,'Data Export'!$G$1:$CZ$1,0)),0))</f>
        <v>0</v>
      </c>
      <c r="J664" s="62" t="str">
        <f>IF(H664="","",IF(OR('Data Export'!F664="三厢轿车",'Data Export'!F664="掀背轿车",'Data Export'!F664="旅行车",'Data Export'!F664="微型车",'Data Export'!F664="硬顶跑车",'Data Export'!F664="敞蓬车",'Data Export'!F664="Targa"),"轿车",IF(OR('Data Export'!F664="小型MPV",'Data Export'!F664="客车"),"MPV",IF('Data Export'!F664="运动型多功能车","SUV","其他"))))</f>
        <v>轿车</v>
      </c>
      <c r="K664" s="62" t="str">
        <f>IF(OR(D664="",NOT(F664=1)),"",1+SUMPRODUCT(($F$2:$F$1001=1)*($D$2:$D$1001&gt;D664))+COUNTIFS($F$2:F664,1,$D$2:D664,D664)-1)</f>
        <v/>
      </c>
      <c r="L664" s="62" t="str">
        <f>IF(OR(D664="",NOT(G664="轿车")),"",1+SUMPRODUCT(($G$2:$G$1001="轿车")*($D$2:$D$1001&gt;D664))+COUNTIFS($G$2:G664,"轿车",$D$2:D664,D664)-1)</f>
        <v/>
      </c>
      <c r="M664" s="62" t="str">
        <f>IF(OR(D664="",NOT(G664="MPV")),"",1+SUMPRODUCT(($G$2:$G$1001="MPV")*($D$2:$D$1001&gt;D664))+COUNTIFS($G$2:G664,"MPV",$D$2:D664,D664)-1)</f>
        <v/>
      </c>
      <c r="N664" s="62" t="str">
        <f>IF(OR(D664="",NOT(G664="SUV")),"",1+SUMPRODUCT(($G$2:$G$1001="SUV")*($D$2:$D$1001&gt;D664))+COUNTIFS($G$2:G664,"SUV",$D$2:D664,D664)-1)</f>
        <v/>
      </c>
      <c r="O664" s="62" t="str">
        <f>IF(OR(D664="",NOT(AND(F664=1,G664="轿车"))),"",1+SUMPRODUCT(($F$2:$F$1001=1)*($G$2:$G$1001="轿车")*($D$2:$D$1001&gt;D664))+COUNTIFS($F$2:F664,1,$G$2:G664,"轿车",$D$2:D664,D664)-1)</f>
        <v/>
      </c>
      <c r="P664" s="62" t="str">
        <f>IF(OR(D664="",NOT(AND(F664=1,G664="MPV"))),"",1+SUMPRODUCT(($F$2:$F$1001=1)*($G$2:$G$1001="MPV")*($D$2:$D$1001&gt;D664))+COUNTIFS($F$2:F664,1,$G$2:G664,"MPV",$D$2:D664,D664)-1)</f>
        <v/>
      </c>
      <c r="Q664" s="62" t="str">
        <f>IF(OR(D664="",NOT(AND(F664=1,G664="SUV"))),"",1+SUMPRODUCT(($F$2:$F$1001=1)*($G$2:$G$1001="SUV")*($D$2:$D$1001&gt;D664))+COUNTIFS($F$2:F664,1,$G$2:G664,"SUV",$D$2:D664,D664)-1)</f>
        <v/>
      </c>
    </row>
    <row r="665" spans="1:17">
      <c r="A665" s="62" t="str">
        <f>IFERROR(INDEX($H$2:$H$3000,MATCH(0,INDEX(COUNTIF($A$1:A664,$H$2:$H$3000)+($H$2:$H$3000=""),0,0),0)),"")</f>
        <v/>
      </c>
      <c r="B665" s="62" t="str">
        <f t="shared" si="40"/>
        <v/>
      </c>
      <c r="C665" s="62" t="str">
        <f t="shared" si="41"/>
        <v/>
      </c>
      <c r="D665" s="63" t="str">
        <f t="shared" si="42"/>
        <v/>
      </c>
      <c r="E665" s="62" t="str">
        <f>IF(D665="","",_xlfn.RANK.EQ(D665,$D$2:$D$1001,0)+COUNTIF($D$2:D665,D665)-1)</f>
        <v/>
      </c>
      <c r="F665" s="62" t="str">
        <f>IF(B665="","",--(COUNTIF(CN_Brands!$A$2:$A$300,UPPER(B665))&gt;0))</f>
        <v/>
      </c>
      <c r="G665" s="62" t="str">
        <f t="shared" si="43"/>
        <v/>
      </c>
      <c r="H665" s="62" t="str">
        <f>IF(AND('Data Export'!A665=前十整体车型排名!$B$2,'Data Export'!B665=前十整体车型排名!$B$3,'Data Export'!D665&lt;&gt;""),UPPER('Data Export'!C665)&amp;"♦"&amp;'Data Export'!D665,"")</f>
        <v>PORSCHE♦911</v>
      </c>
      <c r="I665" s="63">
        <f>IF(H665="","",IFERROR(INDEX('Data Export'!G665:CZ665,1,MATCH(前十整体车型排名!$B$4,'Data Export'!$G$1:$CZ$1,0)),0))</f>
        <v>0</v>
      </c>
      <c r="J665" s="62" t="str">
        <f>IF(H665="","",IF(OR('Data Export'!F665="三厢轿车",'Data Export'!F665="掀背轿车",'Data Export'!F665="旅行车",'Data Export'!F665="微型车",'Data Export'!F665="硬顶跑车",'Data Export'!F665="敞蓬车",'Data Export'!F665="Targa"),"轿车",IF(OR('Data Export'!F665="小型MPV",'Data Export'!F665="客车"),"MPV",IF('Data Export'!F665="运动型多功能车","SUV","其他"))))</f>
        <v>轿车</v>
      </c>
      <c r="K665" s="62" t="str">
        <f>IF(OR(D665="",NOT(F665=1)),"",1+SUMPRODUCT(($F$2:$F$1001=1)*($D$2:$D$1001&gt;D665))+COUNTIFS($F$2:F665,1,$D$2:D665,D665)-1)</f>
        <v/>
      </c>
      <c r="L665" s="62" t="str">
        <f>IF(OR(D665="",NOT(G665="轿车")),"",1+SUMPRODUCT(($G$2:$G$1001="轿车")*($D$2:$D$1001&gt;D665))+COUNTIFS($G$2:G665,"轿车",$D$2:D665,D665)-1)</f>
        <v/>
      </c>
      <c r="M665" s="62" t="str">
        <f>IF(OR(D665="",NOT(G665="MPV")),"",1+SUMPRODUCT(($G$2:$G$1001="MPV")*($D$2:$D$1001&gt;D665))+COUNTIFS($G$2:G665,"MPV",$D$2:D665,D665)-1)</f>
        <v/>
      </c>
      <c r="N665" s="62" t="str">
        <f>IF(OR(D665="",NOT(G665="SUV")),"",1+SUMPRODUCT(($G$2:$G$1001="SUV")*($D$2:$D$1001&gt;D665))+COUNTIFS($G$2:G665,"SUV",$D$2:D665,D665)-1)</f>
        <v/>
      </c>
      <c r="O665" s="62" t="str">
        <f>IF(OR(D665="",NOT(AND(F665=1,G665="轿车"))),"",1+SUMPRODUCT(($F$2:$F$1001=1)*($G$2:$G$1001="轿车")*($D$2:$D$1001&gt;D665))+COUNTIFS($F$2:F665,1,$G$2:G665,"轿车",$D$2:D665,D665)-1)</f>
        <v/>
      </c>
      <c r="P665" s="62" t="str">
        <f>IF(OR(D665="",NOT(AND(F665=1,G665="MPV"))),"",1+SUMPRODUCT(($F$2:$F$1001=1)*($G$2:$G$1001="MPV")*($D$2:$D$1001&gt;D665))+COUNTIFS($F$2:F665,1,$G$2:G665,"MPV",$D$2:D665,D665)-1)</f>
        <v/>
      </c>
      <c r="Q665" s="62" t="str">
        <f>IF(OR(D665="",NOT(AND(F665=1,G665="SUV"))),"",1+SUMPRODUCT(($F$2:$F$1001=1)*($G$2:$G$1001="SUV")*($D$2:$D$1001&gt;D665))+COUNTIFS($F$2:F665,1,$G$2:G665,"SUV",$D$2:D665,D665)-1)</f>
        <v/>
      </c>
    </row>
    <row r="666" spans="1:17">
      <c r="A666" s="62" t="str">
        <f>IFERROR(INDEX($H$2:$H$3000,MATCH(0,INDEX(COUNTIF($A$1:A665,$H$2:$H$3000)+($H$2:$H$3000=""),0,0),0)),"")</f>
        <v/>
      </c>
      <c r="B666" s="62" t="str">
        <f t="shared" si="40"/>
        <v/>
      </c>
      <c r="C666" s="62" t="str">
        <f t="shared" si="41"/>
        <v/>
      </c>
      <c r="D666" s="63" t="str">
        <f t="shared" si="42"/>
        <v/>
      </c>
      <c r="E666" s="62" t="str">
        <f>IF(D666="","",_xlfn.RANK.EQ(D666,$D$2:$D$1001,0)+COUNTIF($D$2:D666,D666)-1)</f>
        <v/>
      </c>
      <c r="F666" s="62" t="str">
        <f>IF(B666="","",--(COUNTIF(CN_Brands!$A$2:$A$300,UPPER(B666))&gt;0))</f>
        <v/>
      </c>
      <c r="G666" s="62" t="str">
        <f t="shared" si="43"/>
        <v/>
      </c>
      <c r="H666" s="62" t="str">
        <f>IF(AND('Data Export'!A666=前十整体车型排名!$B$2,'Data Export'!B666=前十整体车型排名!$B$3,'Data Export'!D666&lt;&gt;""),UPPER('Data Export'!C666)&amp;"♦"&amp;'Data Export'!D666,"")</f>
        <v>PORSCHE♦911</v>
      </c>
      <c r="I666" s="63">
        <f>IF(H666="","",IFERROR(INDEX('Data Export'!G666:CZ666,1,MATCH(前十整体车型排名!$B$4,'Data Export'!$G$1:$CZ$1,0)),0))</f>
        <v>0</v>
      </c>
      <c r="J666" s="62" t="str">
        <f>IF(H666="","",IF(OR('Data Export'!F666="三厢轿车",'Data Export'!F666="掀背轿车",'Data Export'!F666="旅行车",'Data Export'!F666="微型车",'Data Export'!F666="硬顶跑车",'Data Export'!F666="敞蓬车",'Data Export'!F666="Targa"),"轿车",IF(OR('Data Export'!F666="小型MPV",'Data Export'!F666="客车"),"MPV",IF('Data Export'!F666="运动型多功能车","SUV","其他"))))</f>
        <v>轿车</v>
      </c>
      <c r="K666" s="62" t="str">
        <f>IF(OR(D666="",NOT(F666=1)),"",1+SUMPRODUCT(($F$2:$F$1001=1)*($D$2:$D$1001&gt;D666))+COUNTIFS($F$2:F666,1,$D$2:D666,D666)-1)</f>
        <v/>
      </c>
      <c r="L666" s="62" t="str">
        <f>IF(OR(D666="",NOT(G666="轿车")),"",1+SUMPRODUCT(($G$2:$G$1001="轿车")*($D$2:$D$1001&gt;D666))+COUNTIFS($G$2:G666,"轿车",$D$2:D666,D666)-1)</f>
        <v/>
      </c>
      <c r="M666" s="62" t="str">
        <f>IF(OR(D666="",NOT(G666="MPV")),"",1+SUMPRODUCT(($G$2:$G$1001="MPV")*($D$2:$D$1001&gt;D666))+COUNTIFS($G$2:G666,"MPV",$D$2:D666,D666)-1)</f>
        <v/>
      </c>
      <c r="N666" s="62" t="str">
        <f>IF(OR(D666="",NOT(G666="SUV")),"",1+SUMPRODUCT(($G$2:$G$1001="SUV")*($D$2:$D$1001&gt;D666))+COUNTIFS($G$2:G666,"SUV",$D$2:D666,D666)-1)</f>
        <v/>
      </c>
      <c r="O666" s="62" t="str">
        <f>IF(OR(D666="",NOT(AND(F666=1,G666="轿车"))),"",1+SUMPRODUCT(($F$2:$F$1001=1)*($G$2:$G$1001="轿车")*($D$2:$D$1001&gt;D666))+COUNTIFS($F$2:F666,1,$G$2:G666,"轿车",$D$2:D666,D666)-1)</f>
        <v/>
      </c>
      <c r="P666" s="62" t="str">
        <f>IF(OR(D666="",NOT(AND(F666=1,G666="MPV"))),"",1+SUMPRODUCT(($F$2:$F$1001=1)*($G$2:$G$1001="MPV")*($D$2:$D$1001&gt;D666))+COUNTIFS($F$2:F666,1,$G$2:G666,"MPV",$D$2:D666,D666)-1)</f>
        <v/>
      </c>
      <c r="Q666" s="62" t="str">
        <f>IF(OR(D666="",NOT(AND(F666=1,G666="SUV"))),"",1+SUMPRODUCT(($F$2:$F$1001=1)*($G$2:$G$1001="SUV")*($D$2:$D$1001&gt;D666))+COUNTIFS($F$2:F666,1,$G$2:G666,"SUV",$D$2:D666,D666)-1)</f>
        <v/>
      </c>
    </row>
    <row r="667" spans="1:17">
      <c r="A667" s="62" t="str">
        <f>IFERROR(INDEX($H$2:$H$3000,MATCH(0,INDEX(COUNTIF($A$1:A666,$H$2:$H$3000)+($H$2:$H$3000=""),0,0),0)),"")</f>
        <v/>
      </c>
      <c r="B667" s="62" t="str">
        <f t="shared" si="40"/>
        <v/>
      </c>
      <c r="C667" s="62" t="str">
        <f t="shared" si="41"/>
        <v/>
      </c>
      <c r="D667" s="63" t="str">
        <f t="shared" si="42"/>
        <v/>
      </c>
      <c r="E667" s="62" t="str">
        <f>IF(D667="","",_xlfn.RANK.EQ(D667,$D$2:$D$1001,0)+COUNTIF($D$2:D667,D667)-1)</f>
        <v/>
      </c>
      <c r="F667" s="62" t="str">
        <f>IF(B667="","",--(COUNTIF(CN_Brands!$A$2:$A$300,UPPER(B667))&gt;0))</f>
        <v/>
      </c>
      <c r="G667" s="62" t="str">
        <f t="shared" si="43"/>
        <v/>
      </c>
      <c r="H667" s="62" t="str">
        <f>IF(AND('Data Export'!A667=前十整体车型排名!$B$2,'Data Export'!B667=前十整体车型排名!$B$3,'Data Export'!D667&lt;&gt;""),UPPER('Data Export'!C667)&amp;"♦"&amp;'Data Export'!D667,"")</f>
        <v>PORSCHE♦911</v>
      </c>
      <c r="I667" s="63">
        <f>IF(H667="","",IFERROR(INDEX('Data Export'!G667:CZ667,1,MATCH(前十整体车型排名!$B$4,'Data Export'!$G$1:$CZ$1,0)),0))</f>
        <v>1</v>
      </c>
      <c r="J667" s="62" t="str">
        <f>IF(H667="","",IF(OR('Data Export'!F667="三厢轿车",'Data Export'!F667="掀背轿车",'Data Export'!F667="旅行车",'Data Export'!F667="微型车",'Data Export'!F667="硬顶跑车",'Data Export'!F667="敞蓬车",'Data Export'!F667="Targa"),"轿车",IF(OR('Data Export'!F667="小型MPV",'Data Export'!F667="客车"),"MPV",IF('Data Export'!F667="运动型多功能车","SUV","其他"))))</f>
        <v>轿车</v>
      </c>
      <c r="K667" s="62" t="str">
        <f>IF(OR(D667="",NOT(F667=1)),"",1+SUMPRODUCT(($F$2:$F$1001=1)*($D$2:$D$1001&gt;D667))+COUNTIFS($F$2:F667,1,$D$2:D667,D667)-1)</f>
        <v/>
      </c>
      <c r="L667" s="62" t="str">
        <f>IF(OR(D667="",NOT(G667="轿车")),"",1+SUMPRODUCT(($G$2:$G$1001="轿车")*($D$2:$D$1001&gt;D667))+COUNTIFS($G$2:G667,"轿车",$D$2:D667,D667)-1)</f>
        <v/>
      </c>
      <c r="M667" s="62" t="str">
        <f>IF(OR(D667="",NOT(G667="MPV")),"",1+SUMPRODUCT(($G$2:$G$1001="MPV")*($D$2:$D$1001&gt;D667))+COUNTIFS($G$2:G667,"MPV",$D$2:D667,D667)-1)</f>
        <v/>
      </c>
      <c r="N667" s="62" t="str">
        <f>IF(OR(D667="",NOT(G667="SUV")),"",1+SUMPRODUCT(($G$2:$G$1001="SUV")*($D$2:$D$1001&gt;D667))+COUNTIFS($G$2:G667,"SUV",$D$2:D667,D667)-1)</f>
        <v/>
      </c>
      <c r="O667" s="62" t="str">
        <f>IF(OR(D667="",NOT(AND(F667=1,G667="轿车"))),"",1+SUMPRODUCT(($F$2:$F$1001=1)*($G$2:$G$1001="轿车")*($D$2:$D$1001&gt;D667))+COUNTIFS($F$2:F667,1,$G$2:G667,"轿车",$D$2:D667,D667)-1)</f>
        <v/>
      </c>
      <c r="P667" s="62" t="str">
        <f>IF(OR(D667="",NOT(AND(F667=1,G667="MPV"))),"",1+SUMPRODUCT(($F$2:$F$1001=1)*($G$2:$G$1001="MPV")*($D$2:$D$1001&gt;D667))+COUNTIFS($F$2:F667,1,$G$2:G667,"MPV",$D$2:D667,D667)-1)</f>
        <v/>
      </c>
      <c r="Q667" s="62" t="str">
        <f>IF(OR(D667="",NOT(AND(F667=1,G667="SUV"))),"",1+SUMPRODUCT(($F$2:$F$1001=1)*($G$2:$G$1001="SUV")*($D$2:$D$1001&gt;D667))+COUNTIFS($F$2:F667,1,$G$2:G667,"SUV",$D$2:D667,D667)-1)</f>
        <v/>
      </c>
    </row>
    <row r="668" spans="1:17">
      <c r="A668" s="62" t="str">
        <f>IFERROR(INDEX($H$2:$H$3000,MATCH(0,INDEX(COUNTIF($A$1:A667,$H$2:$H$3000)+($H$2:$H$3000=""),0,0),0)),"")</f>
        <v/>
      </c>
      <c r="B668" s="62" t="str">
        <f t="shared" si="40"/>
        <v/>
      </c>
      <c r="C668" s="62" t="str">
        <f t="shared" si="41"/>
        <v/>
      </c>
      <c r="D668" s="63" t="str">
        <f t="shared" si="42"/>
        <v/>
      </c>
      <c r="E668" s="62" t="str">
        <f>IF(D668="","",_xlfn.RANK.EQ(D668,$D$2:$D$1001,0)+COUNTIF($D$2:D668,D668)-1)</f>
        <v/>
      </c>
      <c r="F668" s="62" t="str">
        <f>IF(B668="","",--(COUNTIF(CN_Brands!$A$2:$A$300,UPPER(B668))&gt;0))</f>
        <v/>
      </c>
      <c r="G668" s="62" t="str">
        <f t="shared" si="43"/>
        <v/>
      </c>
      <c r="H668" s="62" t="str">
        <f>IF(AND('Data Export'!A668=前十整体车型排名!$B$2,'Data Export'!B668=前十整体车型排名!$B$3,'Data Export'!D668&lt;&gt;""),UPPER('Data Export'!C668)&amp;"♦"&amp;'Data Export'!D668,"")</f>
        <v>PORSCHE♦911</v>
      </c>
      <c r="I668" s="63">
        <f>IF(H668="","",IFERROR(INDEX('Data Export'!G668:CZ668,1,MATCH(前十整体车型排名!$B$4,'Data Export'!$G$1:$CZ$1,0)),0))</f>
        <v>1</v>
      </c>
      <c r="J668" s="62" t="str">
        <f>IF(H668="","",IF(OR('Data Export'!F668="三厢轿车",'Data Export'!F668="掀背轿车",'Data Export'!F668="旅行车",'Data Export'!F668="微型车",'Data Export'!F668="硬顶跑车",'Data Export'!F668="敞蓬车",'Data Export'!F668="Targa"),"轿车",IF(OR('Data Export'!F668="小型MPV",'Data Export'!F668="客车"),"MPV",IF('Data Export'!F668="运动型多功能车","SUV","其他"))))</f>
        <v>轿车</v>
      </c>
      <c r="K668" s="62" t="str">
        <f>IF(OR(D668="",NOT(F668=1)),"",1+SUMPRODUCT(($F$2:$F$1001=1)*($D$2:$D$1001&gt;D668))+COUNTIFS($F$2:F668,1,$D$2:D668,D668)-1)</f>
        <v/>
      </c>
      <c r="L668" s="62" t="str">
        <f>IF(OR(D668="",NOT(G668="轿车")),"",1+SUMPRODUCT(($G$2:$G$1001="轿车")*($D$2:$D$1001&gt;D668))+COUNTIFS($G$2:G668,"轿车",$D$2:D668,D668)-1)</f>
        <v/>
      </c>
      <c r="M668" s="62" t="str">
        <f>IF(OR(D668="",NOT(G668="MPV")),"",1+SUMPRODUCT(($G$2:$G$1001="MPV")*($D$2:$D$1001&gt;D668))+COUNTIFS($G$2:G668,"MPV",$D$2:D668,D668)-1)</f>
        <v/>
      </c>
      <c r="N668" s="62" t="str">
        <f>IF(OR(D668="",NOT(G668="SUV")),"",1+SUMPRODUCT(($G$2:$G$1001="SUV")*($D$2:$D$1001&gt;D668))+COUNTIFS($G$2:G668,"SUV",$D$2:D668,D668)-1)</f>
        <v/>
      </c>
      <c r="O668" s="62" t="str">
        <f>IF(OR(D668="",NOT(AND(F668=1,G668="轿车"))),"",1+SUMPRODUCT(($F$2:$F$1001=1)*($G$2:$G$1001="轿车")*($D$2:$D$1001&gt;D668))+COUNTIFS($F$2:F668,1,$G$2:G668,"轿车",$D$2:D668,D668)-1)</f>
        <v/>
      </c>
      <c r="P668" s="62" t="str">
        <f>IF(OR(D668="",NOT(AND(F668=1,G668="MPV"))),"",1+SUMPRODUCT(($F$2:$F$1001=1)*($G$2:$G$1001="MPV")*($D$2:$D$1001&gt;D668))+COUNTIFS($F$2:F668,1,$G$2:G668,"MPV",$D$2:D668,D668)-1)</f>
        <v/>
      </c>
      <c r="Q668" s="62" t="str">
        <f>IF(OR(D668="",NOT(AND(F668=1,G668="SUV"))),"",1+SUMPRODUCT(($F$2:$F$1001=1)*($G$2:$G$1001="SUV")*($D$2:$D$1001&gt;D668))+COUNTIFS($F$2:F668,1,$G$2:G668,"SUV",$D$2:D668,D668)-1)</f>
        <v/>
      </c>
    </row>
    <row r="669" spans="1:17">
      <c r="A669" s="62" t="str">
        <f>IFERROR(INDEX($H$2:$H$3000,MATCH(0,INDEX(COUNTIF($A$1:A668,$H$2:$H$3000)+($H$2:$H$3000=""),0,0),0)),"")</f>
        <v/>
      </c>
      <c r="B669" s="62" t="str">
        <f t="shared" si="40"/>
        <v/>
      </c>
      <c r="C669" s="62" t="str">
        <f t="shared" si="41"/>
        <v/>
      </c>
      <c r="D669" s="63" t="str">
        <f t="shared" si="42"/>
        <v/>
      </c>
      <c r="E669" s="62" t="str">
        <f>IF(D669="","",_xlfn.RANK.EQ(D669,$D$2:$D$1001,0)+COUNTIF($D$2:D669,D669)-1)</f>
        <v/>
      </c>
      <c r="F669" s="62" t="str">
        <f>IF(B669="","",--(COUNTIF(CN_Brands!$A$2:$A$300,UPPER(B669))&gt;0))</f>
        <v/>
      </c>
      <c r="G669" s="62" t="str">
        <f t="shared" si="43"/>
        <v/>
      </c>
      <c r="H669" s="62" t="str">
        <f>IF(AND('Data Export'!A669=前十整体车型排名!$B$2,'Data Export'!B669=前十整体车型排名!$B$3,'Data Export'!D669&lt;&gt;""),UPPER('Data Export'!C669)&amp;"♦"&amp;'Data Export'!D669,"")</f>
        <v>PORSCHE♦911</v>
      </c>
      <c r="I669" s="63">
        <f>IF(H669="","",IFERROR(INDEX('Data Export'!G669:CZ669,1,MATCH(前十整体车型排名!$B$4,'Data Export'!$G$1:$CZ$1,0)),0))</f>
        <v>1</v>
      </c>
      <c r="J669" s="62" t="str">
        <f>IF(H669="","",IF(OR('Data Export'!F669="三厢轿车",'Data Export'!F669="掀背轿车",'Data Export'!F669="旅行车",'Data Export'!F669="微型车",'Data Export'!F669="硬顶跑车",'Data Export'!F669="敞蓬车",'Data Export'!F669="Targa"),"轿车",IF(OR('Data Export'!F669="小型MPV",'Data Export'!F669="客车"),"MPV",IF('Data Export'!F669="运动型多功能车","SUV","其他"))))</f>
        <v>其他</v>
      </c>
      <c r="K669" s="62" t="str">
        <f>IF(OR(D669="",NOT(F669=1)),"",1+SUMPRODUCT(($F$2:$F$1001=1)*($D$2:$D$1001&gt;D669))+COUNTIFS($F$2:F669,1,$D$2:D669,D669)-1)</f>
        <v/>
      </c>
      <c r="L669" s="62" t="str">
        <f>IF(OR(D669="",NOT(G669="轿车")),"",1+SUMPRODUCT(($G$2:$G$1001="轿车")*($D$2:$D$1001&gt;D669))+COUNTIFS($G$2:G669,"轿车",$D$2:D669,D669)-1)</f>
        <v/>
      </c>
      <c r="M669" s="62" t="str">
        <f>IF(OR(D669="",NOT(G669="MPV")),"",1+SUMPRODUCT(($G$2:$G$1001="MPV")*($D$2:$D$1001&gt;D669))+COUNTIFS($G$2:G669,"MPV",$D$2:D669,D669)-1)</f>
        <v/>
      </c>
      <c r="N669" s="62" t="str">
        <f>IF(OR(D669="",NOT(G669="SUV")),"",1+SUMPRODUCT(($G$2:$G$1001="SUV")*($D$2:$D$1001&gt;D669))+COUNTIFS($G$2:G669,"SUV",$D$2:D669,D669)-1)</f>
        <v/>
      </c>
      <c r="O669" s="62" t="str">
        <f>IF(OR(D669="",NOT(AND(F669=1,G669="轿车"))),"",1+SUMPRODUCT(($F$2:$F$1001=1)*($G$2:$G$1001="轿车")*($D$2:$D$1001&gt;D669))+COUNTIFS($F$2:F669,1,$G$2:G669,"轿车",$D$2:D669,D669)-1)</f>
        <v/>
      </c>
      <c r="P669" s="62" t="str">
        <f>IF(OR(D669="",NOT(AND(F669=1,G669="MPV"))),"",1+SUMPRODUCT(($F$2:$F$1001=1)*($G$2:$G$1001="MPV")*($D$2:$D$1001&gt;D669))+COUNTIFS($F$2:F669,1,$G$2:G669,"MPV",$D$2:D669,D669)-1)</f>
        <v/>
      </c>
      <c r="Q669" s="62" t="str">
        <f>IF(OR(D669="",NOT(AND(F669=1,G669="SUV"))),"",1+SUMPRODUCT(($F$2:$F$1001=1)*($G$2:$G$1001="SUV")*($D$2:$D$1001&gt;D669))+COUNTIFS($F$2:F669,1,$G$2:G669,"SUV",$D$2:D669,D669)-1)</f>
        <v/>
      </c>
    </row>
    <row r="670" spans="1:17">
      <c r="A670" s="62" t="str">
        <f>IFERROR(INDEX($H$2:$H$3000,MATCH(0,INDEX(COUNTIF($A$1:A669,$H$2:$H$3000)+($H$2:$H$3000=""),0,0),0)),"")</f>
        <v/>
      </c>
      <c r="B670" s="62" t="str">
        <f t="shared" si="40"/>
        <v/>
      </c>
      <c r="C670" s="62" t="str">
        <f t="shared" si="41"/>
        <v/>
      </c>
      <c r="D670" s="63" t="str">
        <f t="shared" si="42"/>
        <v/>
      </c>
      <c r="E670" s="62" t="str">
        <f>IF(D670="","",_xlfn.RANK.EQ(D670,$D$2:$D$1001,0)+COUNTIF($D$2:D670,D670)-1)</f>
        <v/>
      </c>
      <c r="F670" s="62" t="str">
        <f>IF(B670="","",--(COUNTIF(CN_Brands!$A$2:$A$300,UPPER(B670))&gt;0))</f>
        <v/>
      </c>
      <c r="G670" s="62" t="str">
        <f t="shared" si="43"/>
        <v/>
      </c>
      <c r="H670" s="62" t="str">
        <f>IF(AND('Data Export'!A670=前十整体车型排名!$B$2,'Data Export'!B670=前十整体车型排名!$B$3,'Data Export'!D670&lt;&gt;""),UPPER('Data Export'!C670)&amp;"♦"&amp;'Data Export'!D670,"")</f>
        <v>PORSCHE♦911</v>
      </c>
      <c r="I670" s="63">
        <f>IF(H670="","",IFERROR(INDEX('Data Export'!G670:CZ670,1,MATCH(前十整体车型排名!$B$4,'Data Export'!$G$1:$CZ$1,0)),0))</f>
        <v>0</v>
      </c>
      <c r="J670" s="62" t="str">
        <f>IF(H670="","",IF(OR('Data Export'!F670="三厢轿车",'Data Export'!F670="掀背轿车",'Data Export'!F670="旅行车",'Data Export'!F670="微型车",'Data Export'!F670="硬顶跑车",'Data Export'!F670="敞蓬车",'Data Export'!F670="Targa"),"轿车",IF(OR('Data Export'!F670="小型MPV",'Data Export'!F670="客车"),"MPV",IF('Data Export'!F670="运动型多功能车","SUV","其他"))))</f>
        <v>轿车</v>
      </c>
      <c r="K670" s="62" t="str">
        <f>IF(OR(D670="",NOT(F670=1)),"",1+SUMPRODUCT(($F$2:$F$1001=1)*($D$2:$D$1001&gt;D670))+COUNTIFS($F$2:F670,1,$D$2:D670,D670)-1)</f>
        <v/>
      </c>
      <c r="L670" s="62" t="str">
        <f>IF(OR(D670="",NOT(G670="轿车")),"",1+SUMPRODUCT(($G$2:$G$1001="轿车")*($D$2:$D$1001&gt;D670))+COUNTIFS($G$2:G670,"轿车",$D$2:D670,D670)-1)</f>
        <v/>
      </c>
      <c r="M670" s="62" t="str">
        <f>IF(OR(D670="",NOT(G670="MPV")),"",1+SUMPRODUCT(($G$2:$G$1001="MPV")*($D$2:$D$1001&gt;D670))+COUNTIFS($G$2:G670,"MPV",$D$2:D670,D670)-1)</f>
        <v/>
      </c>
      <c r="N670" s="62" t="str">
        <f>IF(OR(D670="",NOT(G670="SUV")),"",1+SUMPRODUCT(($G$2:$G$1001="SUV")*($D$2:$D$1001&gt;D670))+COUNTIFS($G$2:G670,"SUV",$D$2:D670,D670)-1)</f>
        <v/>
      </c>
      <c r="O670" s="62" t="str">
        <f>IF(OR(D670="",NOT(AND(F670=1,G670="轿车"))),"",1+SUMPRODUCT(($F$2:$F$1001=1)*($G$2:$G$1001="轿车")*($D$2:$D$1001&gt;D670))+COUNTIFS($F$2:F670,1,$G$2:G670,"轿车",$D$2:D670,D670)-1)</f>
        <v/>
      </c>
      <c r="P670" s="62" t="str">
        <f>IF(OR(D670="",NOT(AND(F670=1,G670="MPV"))),"",1+SUMPRODUCT(($F$2:$F$1001=1)*($G$2:$G$1001="MPV")*($D$2:$D$1001&gt;D670))+COUNTIFS($F$2:F670,1,$G$2:G670,"MPV",$D$2:D670,D670)-1)</f>
        <v/>
      </c>
      <c r="Q670" s="62" t="str">
        <f>IF(OR(D670="",NOT(AND(F670=1,G670="SUV"))),"",1+SUMPRODUCT(($F$2:$F$1001=1)*($G$2:$G$1001="SUV")*($D$2:$D$1001&gt;D670))+COUNTIFS($F$2:F670,1,$G$2:G670,"SUV",$D$2:D670,D670)-1)</f>
        <v/>
      </c>
    </row>
    <row r="671" spans="1:17">
      <c r="A671" s="62" t="str">
        <f>IFERROR(INDEX($H$2:$H$3000,MATCH(0,INDEX(COUNTIF($A$1:A670,$H$2:$H$3000)+($H$2:$H$3000=""),0,0),0)),"")</f>
        <v/>
      </c>
      <c r="B671" s="62" t="str">
        <f t="shared" si="40"/>
        <v/>
      </c>
      <c r="C671" s="62" t="str">
        <f t="shared" si="41"/>
        <v/>
      </c>
      <c r="D671" s="63" t="str">
        <f t="shared" si="42"/>
        <v/>
      </c>
      <c r="E671" s="62" t="str">
        <f>IF(D671="","",_xlfn.RANK.EQ(D671,$D$2:$D$1001,0)+COUNTIF($D$2:D671,D671)-1)</f>
        <v/>
      </c>
      <c r="F671" s="62" t="str">
        <f>IF(B671="","",--(COUNTIF(CN_Brands!$A$2:$A$300,UPPER(B671))&gt;0))</f>
        <v/>
      </c>
      <c r="G671" s="62" t="str">
        <f t="shared" si="43"/>
        <v/>
      </c>
      <c r="H671" s="62" t="str">
        <f>IF(AND('Data Export'!A671=前十整体车型排名!$B$2,'Data Export'!B671=前十整体车型排名!$B$3,'Data Export'!D671&lt;&gt;""),UPPER('Data Export'!C671)&amp;"♦"&amp;'Data Export'!D671,"")</f>
        <v>PORSCHE♦911</v>
      </c>
      <c r="I671" s="63">
        <f>IF(H671="","",IFERROR(INDEX('Data Export'!G671:CZ671,1,MATCH(前十整体车型排名!$B$4,'Data Export'!$G$1:$CZ$1,0)),0))</f>
        <v>0</v>
      </c>
      <c r="J671" s="62" t="str">
        <f>IF(H671="","",IF(OR('Data Export'!F671="三厢轿车",'Data Export'!F671="掀背轿车",'Data Export'!F671="旅行车",'Data Export'!F671="微型车",'Data Export'!F671="硬顶跑车",'Data Export'!F671="敞蓬车",'Data Export'!F671="Targa"),"轿车",IF(OR('Data Export'!F671="小型MPV",'Data Export'!F671="客车"),"MPV",IF('Data Export'!F671="运动型多功能车","SUV","其他"))))</f>
        <v>轿车</v>
      </c>
      <c r="K671" s="62" t="str">
        <f>IF(OR(D671="",NOT(F671=1)),"",1+SUMPRODUCT(($F$2:$F$1001=1)*($D$2:$D$1001&gt;D671))+COUNTIFS($F$2:F671,1,$D$2:D671,D671)-1)</f>
        <v/>
      </c>
      <c r="L671" s="62" t="str">
        <f>IF(OR(D671="",NOT(G671="轿车")),"",1+SUMPRODUCT(($G$2:$G$1001="轿车")*($D$2:$D$1001&gt;D671))+COUNTIFS($G$2:G671,"轿车",$D$2:D671,D671)-1)</f>
        <v/>
      </c>
      <c r="M671" s="62" t="str">
        <f>IF(OR(D671="",NOT(G671="MPV")),"",1+SUMPRODUCT(($G$2:$G$1001="MPV")*($D$2:$D$1001&gt;D671))+COUNTIFS($G$2:G671,"MPV",$D$2:D671,D671)-1)</f>
        <v/>
      </c>
      <c r="N671" s="62" t="str">
        <f>IF(OR(D671="",NOT(G671="SUV")),"",1+SUMPRODUCT(($G$2:$G$1001="SUV")*($D$2:$D$1001&gt;D671))+COUNTIFS($G$2:G671,"SUV",$D$2:D671,D671)-1)</f>
        <v/>
      </c>
      <c r="O671" s="62" t="str">
        <f>IF(OR(D671="",NOT(AND(F671=1,G671="轿车"))),"",1+SUMPRODUCT(($F$2:$F$1001=1)*($G$2:$G$1001="轿车")*($D$2:$D$1001&gt;D671))+COUNTIFS($F$2:F671,1,$G$2:G671,"轿车",$D$2:D671,D671)-1)</f>
        <v/>
      </c>
      <c r="P671" s="62" t="str">
        <f>IF(OR(D671="",NOT(AND(F671=1,G671="MPV"))),"",1+SUMPRODUCT(($F$2:$F$1001=1)*($G$2:$G$1001="MPV")*($D$2:$D$1001&gt;D671))+COUNTIFS($F$2:F671,1,$G$2:G671,"MPV",$D$2:D671,D671)-1)</f>
        <v/>
      </c>
      <c r="Q671" s="62" t="str">
        <f>IF(OR(D671="",NOT(AND(F671=1,G671="SUV"))),"",1+SUMPRODUCT(($F$2:$F$1001=1)*($G$2:$G$1001="SUV")*($D$2:$D$1001&gt;D671))+COUNTIFS($F$2:F671,1,$G$2:G671,"SUV",$D$2:D671,D671)-1)</f>
        <v/>
      </c>
    </row>
    <row r="672" spans="1:17">
      <c r="A672" s="62" t="str">
        <f>IFERROR(INDEX($H$2:$H$3000,MATCH(0,INDEX(COUNTIF($A$1:A671,$H$2:$H$3000)+($H$2:$H$3000=""),0,0),0)),"")</f>
        <v/>
      </c>
      <c r="B672" s="62" t="str">
        <f t="shared" si="40"/>
        <v/>
      </c>
      <c r="C672" s="62" t="str">
        <f t="shared" si="41"/>
        <v/>
      </c>
      <c r="D672" s="63" t="str">
        <f t="shared" si="42"/>
        <v/>
      </c>
      <c r="E672" s="62" t="str">
        <f>IF(D672="","",_xlfn.RANK.EQ(D672,$D$2:$D$1001,0)+COUNTIF($D$2:D672,D672)-1)</f>
        <v/>
      </c>
      <c r="F672" s="62" t="str">
        <f>IF(B672="","",--(COUNTIF(CN_Brands!$A$2:$A$300,UPPER(B672))&gt;0))</f>
        <v/>
      </c>
      <c r="G672" s="62" t="str">
        <f t="shared" si="43"/>
        <v/>
      </c>
      <c r="H672" s="62" t="str">
        <f>IF(AND('Data Export'!A672=前十整体车型排名!$B$2,'Data Export'!B672=前十整体车型排名!$B$3,'Data Export'!D672&lt;&gt;""),UPPER('Data Export'!C672)&amp;"♦"&amp;'Data Export'!D672,"")</f>
        <v>PORSCHE♦911</v>
      </c>
      <c r="I672" s="63">
        <f>IF(H672="","",IFERROR(INDEX('Data Export'!G672:CZ672,1,MATCH(前十整体车型排名!$B$4,'Data Export'!$G$1:$CZ$1,0)),0))</f>
        <v>0</v>
      </c>
      <c r="J672" s="62" t="str">
        <f>IF(H672="","",IF(OR('Data Export'!F672="三厢轿车",'Data Export'!F672="掀背轿车",'Data Export'!F672="旅行车",'Data Export'!F672="微型车",'Data Export'!F672="硬顶跑车",'Data Export'!F672="敞蓬车",'Data Export'!F672="Targa"),"轿车",IF(OR('Data Export'!F672="小型MPV",'Data Export'!F672="客车"),"MPV",IF('Data Export'!F672="运动型多功能车","SUV","其他"))))</f>
        <v>其他</v>
      </c>
      <c r="K672" s="62" t="str">
        <f>IF(OR(D672="",NOT(F672=1)),"",1+SUMPRODUCT(($F$2:$F$1001=1)*($D$2:$D$1001&gt;D672))+COUNTIFS($F$2:F672,1,$D$2:D672,D672)-1)</f>
        <v/>
      </c>
      <c r="L672" s="62" t="str">
        <f>IF(OR(D672="",NOT(G672="轿车")),"",1+SUMPRODUCT(($G$2:$G$1001="轿车")*($D$2:$D$1001&gt;D672))+COUNTIFS($G$2:G672,"轿车",$D$2:D672,D672)-1)</f>
        <v/>
      </c>
      <c r="M672" s="62" t="str">
        <f>IF(OR(D672="",NOT(G672="MPV")),"",1+SUMPRODUCT(($G$2:$G$1001="MPV")*($D$2:$D$1001&gt;D672))+COUNTIFS($G$2:G672,"MPV",$D$2:D672,D672)-1)</f>
        <v/>
      </c>
      <c r="N672" s="62" t="str">
        <f>IF(OR(D672="",NOT(G672="SUV")),"",1+SUMPRODUCT(($G$2:$G$1001="SUV")*($D$2:$D$1001&gt;D672))+COUNTIFS($G$2:G672,"SUV",$D$2:D672,D672)-1)</f>
        <v/>
      </c>
      <c r="O672" s="62" t="str">
        <f>IF(OR(D672="",NOT(AND(F672=1,G672="轿车"))),"",1+SUMPRODUCT(($F$2:$F$1001=1)*($G$2:$G$1001="轿车")*($D$2:$D$1001&gt;D672))+COUNTIFS($F$2:F672,1,$G$2:G672,"轿车",$D$2:D672,D672)-1)</f>
        <v/>
      </c>
      <c r="P672" s="62" t="str">
        <f>IF(OR(D672="",NOT(AND(F672=1,G672="MPV"))),"",1+SUMPRODUCT(($F$2:$F$1001=1)*($G$2:$G$1001="MPV")*($D$2:$D$1001&gt;D672))+COUNTIFS($F$2:F672,1,$G$2:G672,"MPV",$D$2:D672,D672)-1)</f>
        <v/>
      </c>
      <c r="Q672" s="62" t="str">
        <f>IF(OR(D672="",NOT(AND(F672=1,G672="SUV"))),"",1+SUMPRODUCT(($F$2:$F$1001=1)*($G$2:$G$1001="SUV")*($D$2:$D$1001&gt;D672))+COUNTIFS($F$2:F672,1,$G$2:G672,"SUV",$D$2:D672,D672)-1)</f>
        <v/>
      </c>
    </row>
    <row r="673" spans="1:17">
      <c r="A673" s="62" t="str">
        <f>IFERROR(INDEX($H$2:$H$3000,MATCH(0,INDEX(COUNTIF($A$1:A672,$H$2:$H$3000)+($H$2:$H$3000=""),0,0),0)),"")</f>
        <v/>
      </c>
      <c r="B673" s="62" t="str">
        <f t="shared" si="40"/>
        <v/>
      </c>
      <c r="C673" s="62" t="str">
        <f t="shared" si="41"/>
        <v/>
      </c>
      <c r="D673" s="63" t="str">
        <f t="shared" si="42"/>
        <v/>
      </c>
      <c r="E673" s="62" t="str">
        <f>IF(D673="","",_xlfn.RANK.EQ(D673,$D$2:$D$1001,0)+COUNTIF($D$2:D673,D673)-1)</f>
        <v/>
      </c>
      <c r="F673" s="62" t="str">
        <f>IF(B673="","",--(COUNTIF(CN_Brands!$A$2:$A$300,UPPER(B673))&gt;0))</f>
        <v/>
      </c>
      <c r="G673" s="62" t="str">
        <f t="shared" si="43"/>
        <v/>
      </c>
      <c r="H673" s="62" t="str">
        <f>IF(AND('Data Export'!A673=前十整体车型排名!$B$2,'Data Export'!B673=前十整体车型排名!$B$3,'Data Export'!D673&lt;&gt;""),UPPER('Data Export'!C673)&amp;"♦"&amp;'Data Export'!D673,"")</f>
        <v>PORSCHE♦911</v>
      </c>
      <c r="I673" s="63">
        <f>IF(H673="","",IFERROR(INDEX('Data Export'!G673:CZ673,1,MATCH(前十整体车型排名!$B$4,'Data Export'!$G$1:$CZ$1,0)),0))</f>
        <v>0</v>
      </c>
      <c r="J673" s="62" t="str">
        <f>IF(H673="","",IF(OR('Data Export'!F673="三厢轿车",'Data Export'!F673="掀背轿车",'Data Export'!F673="旅行车",'Data Export'!F673="微型车",'Data Export'!F673="硬顶跑车",'Data Export'!F673="敞蓬车",'Data Export'!F673="Targa"),"轿车",IF(OR('Data Export'!F673="小型MPV",'Data Export'!F673="客车"),"MPV",IF('Data Export'!F673="运动型多功能车","SUV","其他"))))</f>
        <v>轿车</v>
      </c>
      <c r="K673" s="62" t="str">
        <f>IF(OR(D673="",NOT(F673=1)),"",1+SUMPRODUCT(($F$2:$F$1001=1)*($D$2:$D$1001&gt;D673))+COUNTIFS($F$2:F673,1,$D$2:D673,D673)-1)</f>
        <v/>
      </c>
      <c r="L673" s="62" t="str">
        <f>IF(OR(D673="",NOT(G673="轿车")),"",1+SUMPRODUCT(($G$2:$G$1001="轿车")*($D$2:$D$1001&gt;D673))+COUNTIFS($G$2:G673,"轿车",$D$2:D673,D673)-1)</f>
        <v/>
      </c>
      <c r="M673" s="62" t="str">
        <f>IF(OR(D673="",NOT(G673="MPV")),"",1+SUMPRODUCT(($G$2:$G$1001="MPV")*($D$2:$D$1001&gt;D673))+COUNTIFS($G$2:G673,"MPV",$D$2:D673,D673)-1)</f>
        <v/>
      </c>
      <c r="N673" s="62" t="str">
        <f>IF(OR(D673="",NOT(G673="SUV")),"",1+SUMPRODUCT(($G$2:$G$1001="SUV")*($D$2:$D$1001&gt;D673))+COUNTIFS($G$2:G673,"SUV",$D$2:D673,D673)-1)</f>
        <v/>
      </c>
      <c r="O673" s="62" t="str">
        <f>IF(OR(D673="",NOT(AND(F673=1,G673="轿车"))),"",1+SUMPRODUCT(($F$2:$F$1001=1)*($G$2:$G$1001="轿车")*($D$2:$D$1001&gt;D673))+COUNTIFS($F$2:F673,1,$G$2:G673,"轿车",$D$2:D673,D673)-1)</f>
        <v/>
      </c>
      <c r="P673" s="62" t="str">
        <f>IF(OR(D673="",NOT(AND(F673=1,G673="MPV"))),"",1+SUMPRODUCT(($F$2:$F$1001=1)*($G$2:$G$1001="MPV")*($D$2:$D$1001&gt;D673))+COUNTIFS($F$2:F673,1,$G$2:G673,"MPV",$D$2:D673,D673)-1)</f>
        <v/>
      </c>
      <c r="Q673" s="62" t="str">
        <f>IF(OR(D673="",NOT(AND(F673=1,G673="SUV"))),"",1+SUMPRODUCT(($F$2:$F$1001=1)*($G$2:$G$1001="SUV")*($D$2:$D$1001&gt;D673))+COUNTIFS($F$2:F673,1,$G$2:G673,"SUV",$D$2:D673,D673)-1)</f>
        <v/>
      </c>
    </row>
    <row r="674" spans="1:17">
      <c r="A674" s="62" t="str">
        <f>IFERROR(INDEX($H$2:$H$3000,MATCH(0,INDEX(COUNTIF($A$1:A673,$H$2:$H$3000)+($H$2:$H$3000=""),0,0),0)),"")</f>
        <v/>
      </c>
      <c r="B674" s="62" t="str">
        <f t="shared" si="40"/>
        <v/>
      </c>
      <c r="C674" s="62" t="str">
        <f t="shared" si="41"/>
        <v/>
      </c>
      <c r="D674" s="63" t="str">
        <f t="shared" si="42"/>
        <v/>
      </c>
      <c r="E674" s="62" t="str">
        <f>IF(D674="","",_xlfn.RANK.EQ(D674,$D$2:$D$1001,0)+COUNTIF($D$2:D674,D674)-1)</f>
        <v/>
      </c>
      <c r="F674" s="62" t="str">
        <f>IF(B674="","",--(COUNTIF(CN_Brands!$A$2:$A$300,UPPER(B674))&gt;0))</f>
        <v/>
      </c>
      <c r="G674" s="62" t="str">
        <f t="shared" si="43"/>
        <v/>
      </c>
      <c r="H674" s="62" t="str">
        <f>IF(AND('Data Export'!A674=前十整体车型排名!$B$2,'Data Export'!B674=前十整体车型排名!$B$3,'Data Export'!D674&lt;&gt;""),UPPER('Data Export'!C674)&amp;"♦"&amp;'Data Export'!D674,"")</f>
        <v>PORSCHE♦911</v>
      </c>
      <c r="I674" s="63">
        <f>IF(H674="","",IFERROR(INDEX('Data Export'!G674:CZ674,1,MATCH(前十整体车型排名!$B$4,'Data Export'!$G$1:$CZ$1,0)),0))</f>
        <v>0</v>
      </c>
      <c r="J674" s="62" t="str">
        <f>IF(H674="","",IF(OR('Data Export'!F674="三厢轿车",'Data Export'!F674="掀背轿车",'Data Export'!F674="旅行车",'Data Export'!F674="微型车",'Data Export'!F674="硬顶跑车",'Data Export'!F674="敞蓬车",'Data Export'!F674="Targa"),"轿车",IF(OR('Data Export'!F674="小型MPV",'Data Export'!F674="客车"),"MPV",IF('Data Export'!F674="运动型多功能车","SUV","其他"))))</f>
        <v>其他</v>
      </c>
      <c r="K674" s="62" t="str">
        <f>IF(OR(D674="",NOT(F674=1)),"",1+SUMPRODUCT(($F$2:$F$1001=1)*($D$2:$D$1001&gt;D674))+COUNTIFS($F$2:F674,1,$D$2:D674,D674)-1)</f>
        <v/>
      </c>
      <c r="L674" s="62" t="str">
        <f>IF(OR(D674="",NOT(G674="轿车")),"",1+SUMPRODUCT(($G$2:$G$1001="轿车")*($D$2:$D$1001&gt;D674))+COUNTIFS($G$2:G674,"轿车",$D$2:D674,D674)-1)</f>
        <v/>
      </c>
      <c r="M674" s="62" t="str">
        <f>IF(OR(D674="",NOT(G674="MPV")),"",1+SUMPRODUCT(($G$2:$G$1001="MPV")*($D$2:$D$1001&gt;D674))+COUNTIFS($G$2:G674,"MPV",$D$2:D674,D674)-1)</f>
        <v/>
      </c>
      <c r="N674" s="62" t="str">
        <f>IF(OR(D674="",NOT(G674="SUV")),"",1+SUMPRODUCT(($G$2:$G$1001="SUV")*($D$2:$D$1001&gt;D674))+COUNTIFS($G$2:G674,"SUV",$D$2:D674,D674)-1)</f>
        <v/>
      </c>
      <c r="O674" s="62" t="str">
        <f>IF(OR(D674="",NOT(AND(F674=1,G674="轿车"))),"",1+SUMPRODUCT(($F$2:$F$1001=1)*($G$2:$G$1001="轿车")*($D$2:$D$1001&gt;D674))+COUNTIFS($F$2:F674,1,$G$2:G674,"轿车",$D$2:D674,D674)-1)</f>
        <v/>
      </c>
      <c r="P674" s="62" t="str">
        <f>IF(OR(D674="",NOT(AND(F674=1,G674="MPV"))),"",1+SUMPRODUCT(($F$2:$F$1001=1)*($G$2:$G$1001="MPV")*($D$2:$D$1001&gt;D674))+COUNTIFS($F$2:F674,1,$G$2:G674,"MPV",$D$2:D674,D674)-1)</f>
        <v/>
      </c>
      <c r="Q674" s="62" t="str">
        <f>IF(OR(D674="",NOT(AND(F674=1,G674="SUV"))),"",1+SUMPRODUCT(($F$2:$F$1001=1)*($G$2:$G$1001="SUV")*($D$2:$D$1001&gt;D674))+COUNTIFS($F$2:F674,1,$G$2:G674,"SUV",$D$2:D674,D674)-1)</f>
        <v/>
      </c>
    </row>
    <row r="675" spans="1:17">
      <c r="A675" s="62" t="str">
        <f>IFERROR(INDEX($H$2:$H$3000,MATCH(0,INDEX(COUNTIF($A$1:A674,$H$2:$H$3000)+($H$2:$H$3000=""),0,0),0)),"")</f>
        <v/>
      </c>
      <c r="B675" s="62" t="str">
        <f t="shared" si="40"/>
        <v/>
      </c>
      <c r="C675" s="62" t="str">
        <f t="shared" si="41"/>
        <v/>
      </c>
      <c r="D675" s="63" t="str">
        <f t="shared" si="42"/>
        <v/>
      </c>
      <c r="E675" s="62" t="str">
        <f>IF(D675="","",_xlfn.RANK.EQ(D675,$D$2:$D$1001,0)+COUNTIF($D$2:D675,D675)-1)</f>
        <v/>
      </c>
      <c r="F675" s="62" t="str">
        <f>IF(B675="","",--(COUNTIF(CN_Brands!$A$2:$A$300,UPPER(B675))&gt;0))</f>
        <v/>
      </c>
      <c r="G675" s="62" t="str">
        <f t="shared" si="43"/>
        <v/>
      </c>
      <c r="H675" s="62" t="str">
        <f>IF(AND('Data Export'!A675=前十整体车型排名!$B$2,'Data Export'!B675=前十整体车型排名!$B$3,'Data Export'!D675&lt;&gt;""),UPPER('Data Export'!C675)&amp;"♦"&amp;'Data Export'!D675,"")</f>
        <v>PORSCHE♦911</v>
      </c>
      <c r="I675" s="63">
        <f>IF(H675="","",IFERROR(INDEX('Data Export'!G675:CZ675,1,MATCH(前十整体车型排名!$B$4,'Data Export'!$G$1:$CZ$1,0)),0))</f>
        <v>0</v>
      </c>
      <c r="J675" s="62" t="str">
        <f>IF(H675="","",IF(OR('Data Export'!F675="三厢轿车",'Data Export'!F675="掀背轿车",'Data Export'!F675="旅行车",'Data Export'!F675="微型车",'Data Export'!F675="硬顶跑车",'Data Export'!F675="敞蓬车",'Data Export'!F675="Targa"),"轿车",IF(OR('Data Export'!F675="小型MPV",'Data Export'!F675="客车"),"MPV",IF('Data Export'!F675="运动型多功能车","SUV","其他"))))</f>
        <v>轿车</v>
      </c>
      <c r="K675" s="62" t="str">
        <f>IF(OR(D675="",NOT(F675=1)),"",1+SUMPRODUCT(($F$2:$F$1001=1)*($D$2:$D$1001&gt;D675))+COUNTIFS($F$2:F675,1,$D$2:D675,D675)-1)</f>
        <v/>
      </c>
      <c r="L675" s="62" t="str">
        <f>IF(OR(D675="",NOT(G675="轿车")),"",1+SUMPRODUCT(($G$2:$G$1001="轿车")*($D$2:$D$1001&gt;D675))+COUNTIFS($G$2:G675,"轿车",$D$2:D675,D675)-1)</f>
        <v/>
      </c>
      <c r="M675" s="62" t="str">
        <f>IF(OR(D675="",NOT(G675="MPV")),"",1+SUMPRODUCT(($G$2:$G$1001="MPV")*($D$2:$D$1001&gt;D675))+COUNTIFS($G$2:G675,"MPV",$D$2:D675,D675)-1)</f>
        <v/>
      </c>
      <c r="N675" s="62" t="str">
        <f>IF(OR(D675="",NOT(G675="SUV")),"",1+SUMPRODUCT(($G$2:$G$1001="SUV")*($D$2:$D$1001&gt;D675))+COUNTIFS($G$2:G675,"SUV",$D$2:D675,D675)-1)</f>
        <v/>
      </c>
      <c r="O675" s="62" t="str">
        <f>IF(OR(D675="",NOT(AND(F675=1,G675="轿车"))),"",1+SUMPRODUCT(($F$2:$F$1001=1)*($G$2:$G$1001="轿车")*($D$2:$D$1001&gt;D675))+COUNTIFS($F$2:F675,1,$G$2:G675,"轿车",$D$2:D675,D675)-1)</f>
        <v/>
      </c>
      <c r="P675" s="62" t="str">
        <f>IF(OR(D675="",NOT(AND(F675=1,G675="MPV"))),"",1+SUMPRODUCT(($F$2:$F$1001=1)*($G$2:$G$1001="MPV")*($D$2:$D$1001&gt;D675))+COUNTIFS($F$2:F675,1,$G$2:G675,"MPV",$D$2:D675,D675)-1)</f>
        <v/>
      </c>
      <c r="Q675" s="62" t="str">
        <f>IF(OR(D675="",NOT(AND(F675=1,G675="SUV"))),"",1+SUMPRODUCT(($F$2:$F$1001=1)*($G$2:$G$1001="SUV")*($D$2:$D$1001&gt;D675))+COUNTIFS($F$2:F675,1,$G$2:G675,"SUV",$D$2:D675,D675)-1)</f>
        <v/>
      </c>
    </row>
    <row r="676" spans="1:17">
      <c r="A676" s="62" t="str">
        <f>IFERROR(INDEX($H$2:$H$3000,MATCH(0,INDEX(COUNTIF($A$1:A675,$H$2:$H$3000)+($H$2:$H$3000=""),0,0),0)),"")</f>
        <v/>
      </c>
      <c r="B676" s="62" t="str">
        <f t="shared" si="40"/>
        <v/>
      </c>
      <c r="C676" s="62" t="str">
        <f t="shared" si="41"/>
        <v/>
      </c>
      <c r="D676" s="63" t="str">
        <f t="shared" si="42"/>
        <v/>
      </c>
      <c r="E676" s="62" t="str">
        <f>IF(D676="","",_xlfn.RANK.EQ(D676,$D$2:$D$1001,0)+COUNTIF($D$2:D676,D676)-1)</f>
        <v/>
      </c>
      <c r="F676" s="62" t="str">
        <f>IF(B676="","",--(COUNTIF(CN_Brands!$A$2:$A$300,UPPER(B676))&gt;0))</f>
        <v/>
      </c>
      <c r="G676" s="62" t="str">
        <f t="shared" si="43"/>
        <v/>
      </c>
      <c r="H676" s="62" t="str">
        <f>IF(AND('Data Export'!A676=前十整体车型排名!$B$2,'Data Export'!B676=前十整体车型排名!$B$3,'Data Export'!D676&lt;&gt;""),UPPER('Data Export'!C676)&amp;"♦"&amp;'Data Export'!D676,"")</f>
        <v>PORSCHE♦911</v>
      </c>
      <c r="I676" s="63">
        <f>IF(H676="","",IFERROR(INDEX('Data Export'!G676:CZ676,1,MATCH(前十整体车型排名!$B$4,'Data Export'!$G$1:$CZ$1,0)),0))</f>
        <v>0</v>
      </c>
      <c r="J676" s="62" t="str">
        <f>IF(H676="","",IF(OR('Data Export'!F676="三厢轿车",'Data Export'!F676="掀背轿车",'Data Export'!F676="旅行车",'Data Export'!F676="微型车",'Data Export'!F676="硬顶跑车",'Data Export'!F676="敞蓬车",'Data Export'!F676="Targa"),"轿车",IF(OR('Data Export'!F676="小型MPV",'Data Export'!F676="客车"),"MPV",IF('Data Export'!F676="运动型多功能车","SUV","其他"))))</f>
        <v>轿车</v>
      </c>
      <c r="K676" s="62" t="str">
        <f>IF(OR(D676="",NOT(F676=1)),"",1+SUMPRODUCT(($F$2:$F$1001=1)*($D$2:$D$1001&gt;D676))+COUNTIFS($F$2:F676,1,$D$2:D676,D676)-1)</f>
        <v/>
      </c>
      <c r="L676" s="62" t="str">
        <f>IF(OR(D676="",NOT(G676="轿车")),"",1+SUMPRODUCT(($G$2:$G$1001="轿车")*($D$2:$D$1001&gt;D676))+COUNTIFS($G$2:G676,"轿车",$D$2:D676,D676)-1)</f>
        <v/>
      </c>
      <c r="M676" s="62" t="str">
        <f>IF(OR(D676="",NOT(G676="MPV")),"",1+SUMPRODUCT(($G$2:$G$1001="MPV")*($D$2:$D$1001&gt;D676))+COUNTIFS($G$2:G676,"MPV",$D$2:D676,D676)-1)</f>
        <v/>
      </c>
      <c r="N676" s="62" t="str">
        <f>IF(OR(D676="",NOT(G676="SUV")),"",1+SUMPRODUCT(($G$2:$G$1001="SUV")*($D$2:$D$1001&gt;D676))+COUNTIFS($G$2:G676,"SUV",$D$2:D676,D676)-1)</f>
        <v/>
      </c>
      <c r="O676" s="62" t="str">
        <f>IF(OR(D676="",NOT(AND(F676=1,G676="轿车"))),"",1+SUMPRODUCT(($F$2:$F$1001=1)*($G$2:$G$1001="轿车")*($D$2:$D$1001&gt;D676))+COUNTIFS($F$2:F676,1,$G$2:G676,"轿车",$D$2:D676,D676)-1)</f>
        <v/>
      </c>
      <c r="P676" s="62" t="str">
        <f>IF(OR(D676="",NOT(AND(F676=1,G676="MPV"))),"",1+SUMPRODUCT(($F$2:$F$1001=1)*($G$2:$G$1001="MPV")*($D$2:$D$1001&gt;D676))+COUNTIFS($F$2:F676,1,$G$2:G676,"MPV",$D$2:D676,D676)-1)</f>
        <v/>
      </c>
      <c r="Q676" s="62" t="str">
        <f>IF(OR(D676="",NOT(AND(F676=1,G676="SUV"))),"",1+SUMPRODUCT(($F$2:$F$1001=1)*($G$2:$G$1001="SUV")*($D$2:$D$1001&gt;D676))+COUNTIFS($F$2:F676,1,$G$2:G676,"SUV",$D$2:D676,D676)-1)</f>
        <v/>
      </c>
    </row>
    <row r="677" spans="1:17">
      <c r="A677" s="62" t="str">
        <f>IFERROR(INDEX($H$2:$H$3000,MATCH(0,INDEX(COUNTIF($A$1:A676,$H$2:$H$3000)+($H$2:$H$3000=""),0,0),0)),"")</f>
        <v/>
      </c>
      <c r="B677" s="62" t="str">
        <f t="shared" si="40"/>
        <v/>
      </c>
      <c r="C677" s="62" t="str">
        <f t="shared" si="41"/>
        <v/>
      </c>
      <c r="D677" s="63" t="str">
        <f t="shared" si="42"/>
        <v/>
      </c>
      <c r="E677" s="62" t="str">
        <f>IF(D677="","",_xlfn.RANK.EQ(D677,$D$2:$D$1001,0)+COUNTIF($D$2:D677,D677)-1)</f>
        <v/>
      </c>
      <c r="F677" s="62" t="str">
        <f>IF(B677="","",--(COUNTIF(CN_Brands!$A$2:$A$300,UPPER(B677))&gt;0))</f>
        <v/>
      </c>
      <c r="G677" s="62" t="str">
        <f t="shared" si="43"/>
        <v/>
      </c>
      <c r="H677" s="62" t="str">
        <f>IF(AND('Data Export'!A677=前十整体车型排名!$B$2,'Data Export'!B677=前十整体车型排名!$B$3,'Data Export'!D677&lt;&gt;""),UPPER('Data Export'!C677)&amp;"♦"&amp;'Data Export'!D677,"")</f>
        <v>PORSCHE♦911</v>
      </c>
      <c r="I677" s="63">
        <f>IF(H677="","",IFERROR(INDEX('Data Export'!G677:CZ677,1,MATCH(前十整体车型排名!$B$4,'Data Export'!$G$1:$CZ$1,0)),0))</f>
        <v>1</v>
      </c>
      <c r="J677" s="62" t="str">
        <f>IF(H677="","",IF(OR('Data Export'!F677="三厢轿车",'Data Export'!F677="掀背轿车",'Data Export'!F677="旅行车",'Data Export'!F677="微型车",'Data Export'!F677="硬顶跑车",'Data Export'!F677="敞蓬车",'Data Export'!F677="Targa"),"轿车",IF(OR('Data Export'!F677="小型MPV",'Data Export'!F677="客车"),"MPV",IF('Data Export'!F677="运动型多功能车","SUV","其他"))))</f>
        <v>轿车</v>
      </c>
      <c r="K677" s="62" t="str">
        <f>IF(OR(D677="",NOT(F677=1)),"",1+SUMPRODUCT(($F$2:$F$1001=1)*($D$2:$D$1001&gt;D677))+COUNTIFS($F$2:F677,1,$D$2:D677,D677)-1)</f>
        <v/>
      </c>
      <c r="L677" s="62" t="str">
        <f>IF(OR(D677="",NOT(G677="轿车")),"",1+SUMPRODUCT(($G$2:$G$1001="轿车")*($D$2:$D$1001&gt;D677))+COUNTIFS($G$2:G677,"轿车",$D$2:D677,D677)-1)</f>
        <v/>
      </c>
      <c r="M677" s="62" t="str">
        <f>IF(OR(D677="",NOT(G677="MPV")),"",1+SUMPRODUCT(($G$2:$G$1001="MPV")*($D$2:$D$1001&gt;D677))+COUNTIFS($G$2:G677,"MPV",$D$2:D677,D677)-1)</f>
        <v/>
      </c>
      <c r="N677" s="62" t="str">
        <f>IF(OR(D677="",NOT(G677="SUV")),"",1+SUMPRODUCT(($G$2:$G$1001="SUV")*($D$2:$D$1001&gt;D677))+COUNTIFS($G$2:G677,"SUV",$D$2:D677,D677)-1)</f>
        <v/>
      </c>
      <c r="O677" s="62" t="str">
        <f>IF(OR(D677="",NOT(AND(F677=1,G677="轿车"))),"",1+SUMPRODUCT(($F$2:$F$1001=1)*($G$2:$G$1001="轿车")*($D$2:$D$1001&gt;D677))+COUNTIFS($F$2:F677,1,$G$2:G677,"轿车",$D$2:D677,D677)-1)</f>
        <v/>
      </c>
      <c r="P677" s="62" t="str">
        <f>IF(OR(D677="",NOT(AND(F677=1,G677="MPV"))),"",1+SUMPRODUCT(($F$2:$F$1001=1)*($G$2:$G$1001="MPV")*($D$2:$D$1001&gt;D677))+COUNTIFS($F$2:F677,1,$G$2:G677,"MPV",$D$2:D677,D677)-1)</f>
        <v/>
      </c>
      <c r="Q677" s="62" t="str">
        <f>IF(OR(D677="",NOT(AND(F677=1,G677="SUV"))),"",1+SUMPRODUCT(($F$2:$F$1001=1)*($G$2:$G$1001="SUV")*($D$2:$D$1001&gt;D677))+COUNTIFS($F$2:F677,1,$G$2:G677,"SUV",$D$2:D677,D677)-1)</f>
        <v/>
      </c>
    </row>
    <row r="678" spans="1:17">
      <c r="A678" s="62" t="str">
        <f>IFERROR(INDEX($H$2:$H$3000,MATCH(0,INDEX(COUNTIF($A$1:A677,$H$2:$H$3000)+($H$2:$H$3000=""),0,0),0)),"")</f>
        <v/>
      </c>
      <c r="B678" s="62" t="str">
        <f t="shared" si="40"/>
        <v/>
      </c>
      <c r="C678" s="62" t="str">
        <f t="shared" si="41"/>
        <v/>
      </c>
      <c r="D678" s="63" t="str">
        <f t="shared" si="42"/>
        <v/>
      </c>
      <c r="E678" s="62" t="str">
        <f>IF(D678="","",_xlfn.RANK.EQ(D678,$D$2:$D$1001,0)+COUNTIF($D$2:D678,D678)-1)</f>
        <v/>
      </c>
      <c r="F678" s="62" t="str">
        <f>IF(B678="","",--(COUNTIF(CN_Brands!$A$2:$A$300,UPPER(B678))&gt;0))</f>
        <v/>
      </c>
      <c r="G678" s="62" t="str">
        <f t="shared" si="43"/>
        <v/>
      </c>
      <c r="H678" s="62" t="str">
        <f>IF(AND('Data Export'!A678=前十整体车型排名!$B$2,'Data Export'!B678=前十整体车型排名!$B$3,'Data Export'!D678&lt;&gt;""),UPPER('Data Export'!C678)&amp;"♦"&amp;'Data Export'!D678,"")</f>
        <v>PORSCHE♦911</v>
      </c>
      <c r="I678" s="63">
        <f>IF(H678="","",IFERROR(INDEX('Data Export'!G678:CZ678,1,MATCH(前十整体车型排名!$B$4,'Data Export'!$G$1:$CZ$1,0)),0))</f>
        <v>0</v>
      </c>
      <c r="J678" s="62" t="str">
        <f>IF(H678="","",IF(OR('Data Export'!F678="三厢轿车",'Data Export'!F678="掀背轿车",'Data Export'!F678="旅行车",'Data Export'!F678="微型车",'Data Export'!F678="硬顶跑车",'Data Export'!F678="敞蓬车",'Data Export'!F678="Targa"),"轿车",IF(OR('Data Export'!F678="小型MPV",'Data Export'!F678="客车"),"MPV",IF('Data Export'!F678="运动型多功能车","SUV","其他"))))</f>
        <v>其他</v>
      </c>
      <c r="K678" s="62" t="str">
        <f>IF(OR(D678="",NOT(F678=1)),"",1+SUMPRODUCT(($F$2:$F$1001=1)*($D$2:$D$1001&gt;D678))+COUNTIFS($F$2:F678,1,$D$2:D678,D678)-1)</f>
        <v/>
      </c>
      <c r="L678" s="62" t="str">
        <f>IF(OR(D678="",NOT(G678="轿车")),"",1+SUMPRODUCT(($G$2:$G$1001="轿车")*($D$2:$D$1001&gt;D678))+COUNTIFS($G$2:G678,"轿车",$D$2:D678,D678)-1)</f>
        <v/>
      </c>
      <c r="M678" s="62" t="str">
        <f>IF(OR(D678="",NOT(G678="MPV")),"",1+SUMPRODUCT(($G$2:$G$1001="MPV")*($D$2:$D$1001&gt;D678))+COUNTIFS($G$2:G678,"MPV",$D$2:D678,D678)-1)</f>
        <v/>
      </c>
      <c r="N678" s="62" t="str">
        <f>IF(OR(D678="",NOT(G678="SUV")),"",1+SUMPRODUCT(($G$2:$G$1001="SUV")*($D$2:$D$1001&gt;D678))+COUNTIFS($G$2:G678,"SUV",$D$2:D678,D678)-1)</f>
        <v/>
      </c>
      <c r="O678" s="62" t="str">
        <f>IF(OR(D678="",NOT(AND(F678=1,G678="轿车"))),"",1+SUMPRODUCT(($F$2:$F$1001=1)*($G$2:$G$1001="轿车")*($D$2:$D$1001&gt;D678))+COUNTIFS($F$2:F678,1,$G$2:G678,"轿车",$D$2:D678,D678)-1)</f>
        <v/>
      </c>
      <c r="P678" s="62" t="str">
        <f>IF(OR(D678="",NOT(AND(F678=1,G678="MPV"))),"",1+SUMPRODUCT(($F$2:$F$1001=1)*($G$2:$G$1001="MPV")*($D$2:$D$1001&gt;D678))+COUNTIFS($F$2:F678,1,$G$2:G678,"MPV",$D$2:D678,D678)-1)</f>
        <v/>
      </c>
      <c r="Q678" s="62" t="str">
        <f>IF(OR(D678="",NOT(AND(F678=1,G678="SUV"))),"",1+SUMPRODUCT(($F$2:$F$1001=1)*($G$2:$G$1001="SUV")*($D$2:$D$1001&gt;D678))+COUNTIFS($F$2:F678,1,$G$2:G678,"SUV",$D$2:D678,D678)-1)</f>
        <v/>
      </c>
    </row>
    <row r="679" spans="1:17">
      <c r="A679" s="62" t="str">
        <f>IFERROR(INDEX($H$2:$H$3000,MATCH(0,INDEX(COUNTIF($A$1:A678,$H$2:$H$3000)+($H$2:$H$3000=""),0,0),0)),"")</f>
        <v/>
      </c>
      <c r="B679" s="62" t="str">
        <f t="shared" si="40"/>
        <v/>
      </c>
      <c r="C679" s="62" t="str">
        <f t="shared" si="41"/>
        <v/>
      </c>
      <c r="D679" s="63" t="str">
        <f t="shared" si="42"/>
        <v/>
      </c>
      <c r="E679" s="62" t="str">
        <f>IF(D679="","",_xlfn.RANK.EQ(D679,$D$2:$D$1001,0)+COUNTIF($D$2:D679,D679)-1)</f>
        <v/>
      </c>
      <c r="F679" s="62" t="str">
        <f>IF(B679="","",--(COUNTIF(CN_Brands!$A$2:$A$300,UPPER(B679))&gt;0))</f>
        <v/>
      </c>
      <c r="G679" s="62" t="str">
        <f t="shared" si="43"/>
        <v/>
      </c>
      <c r="H679" s="62" t="str">
        <f>IF(AND('Data Export'!A679=前十整体车型排名!$B$2,'Data Export'!B679=前十整体车型排名!$B$3,'Data Export'!D679&lt;&gt;""),UPPER('Data Export'!C679)&amp;"♦"&amp;'Data Export'!D679,"")</f>
        <v>PORSCHE♦911</v>
      </c>
      <c r="I679" s="63">
        <f>IF(H679="","",IFERROR(INDEX('Data Export'!G679:CZ679,1,MATCH(前十整体车型排名!$B$4,'Data Export'!$G$1:$CZ$1,0)),0))</f>
        <v>2</v>
      </c>
      <c r="J679" s="62" t="str">
        <f>IF(H679="","",IF(OR('Data Export'!F679="三厢轿车",'Data Export'!F679="掀背轿车",'Data Export'!F679="旅行车",'Data Export'!F679="微型车",'Data Export'!F679="硬顶跑车",'Data Export'!F679="敞蓬车",'Data Export'!F679="Targa"),"轿车",IF(OR('Data Export'!F679="小型MPV",'Data Export'!F679="客车"),"MPV",IF('Data Export'!F679="运动型多功能车","SUV","其他"))))</f>
        <v>轿车</v>
      </c>
      <c r="K679" s="62" t="str">
        <f>IF(OR(D679="",NOT(F679=1)),"",1+SUMPRODUCT(($F$2:$F$1001=1)*($D$2:$D$1001&gt;D679))+COUNTIFS($F$2:F679,1,$D$2:D679,D679)-1)</f>
        <v/>
      </c>
      <c r="L679" s="62" t="str">
        <f>IF(OR(D679="",NOT(G679="轿车")),"",1+SUMPRODUCT(($G$2:$G$1001="轿车")*($D$2:$D$1001&gt;D679))+COUNTIFS($G$2:G679,"轿车",$D$2:D679,D679)-1)</f>
        <v/>
      </c>
      <c r="M679" s="62" t="str">
        <f>IF(OR(D679="",NOT(G679="MPV")),"",1+SUMPRODUCT(($G$2:$G$1001="MPV")*($D$2:$D$1001&gt;D679))+COUNTIFS($G$2:G679,"MPV",$D$2:D679,D679)-1)</f>
        <v/>
      </c>
      <c r="N679" s="62" t="str">
        <f>IF(OR(D679="",NOT(G679="SUV")),"",1+SUMPRODUCT(($G$2:$G$1001="SUV")*($D$2:$D$1001&gt;D679))+COUNTIFS($G$2:G679,"SUV",$D$2:D679,D679)-1)</f>
        <v/>
      </c>
      <c r="O679" s="62" t="str">
        <f>IF(OR(D679="",NOT(AND(F679=1,G679="轿车"))),"",1+SUMPRODUCT(($F$2:$F$1001=1)*($G$2:$G$1001="轿车")*($D$2:$D$1001&gt;D679))+COUNTIFS($F$2:F679,1,$G$2:G679,"轿车",$D$2:D679,D679)-1)</f>
        <v/>
      </c>
      <c r="P679" s="62" t="str">
        <f>IF(OR(D679="",NOT(AND(F679=1,G679="MPV"))),"",1+SUMPRODUCT(($F$2:$F$1001=1)*($G$2:$G$1001="MPV")*($D$2:$D$1001&gt;D679))+COUNTIFS($F$2:F679,1,$G$2:G679,"MPV",$D$2:D679,D679)-1)</f>
        <v/>
      </c>
      <c r="Q679" s="62" t="str">
        <f>IF(OR(D679="",NOT(AND(F679=1,G679="SUV"))),"",1+SUMPRODUCT(($F$2:$F$1001=1)*($G$2:$G$1001="SUV")*($D$2:$D$1001&gt;D679))+COUNTIFS($F$2:F679,1,$G$2:G679,"SUV",$D$2:D679,D679)-1)</f>
        <v/>
      </c>
    </row>
    <row r="680" spans="1:17">
      <c r="A680" s="62" t="str">
        <f>IFERROR(INDEX($H$2:$H$3000,MATCH(0,INDEX(COUNTIF($A$1:A679,$H$2:$H$3000)+($H$2:$H$3000=""),0,0),0)),"")</f>
        <v/>
      </c>
      <c r="B680" s="62" t="str">
        <f t="shared" si="40"/>
        <v/>
      </c>
      <c r="C680" s="62" t="str">
        <f t="shared" si="41"/>
        <v/>
      </c>
      <c r="D680" s="63" t="str">
        <f t="shared" si="42"/>
        <v/>
      </c>
      <c r="E680" s="62" t="str">
        <f>IF(D680="","",_xlfn.RANK.EQ(D680,$D$2:$D$1001,0)+COUNTIF($D$2:D680,D680)-1)</f>
        <v/>
      </c>
      <c r="F680" s="62" t="str">
        <f>IF(B680="","",--(COUNTIF(CN_Brands!$A$2:$A$300,UPPER(B680))&gt;0))</f>
        <v/>
      </c>
      <c r="G680" s="62" t="str">
        <f t="shared" si="43"/>
        <v/>
      </c>
      <c r="H680" s="62" t="str">
        <f>IF(AND('Data Export'!A680=前十整体车型排名!$B$2,'Data Export'!B680=前十整体车型排名!$B$3,'Data Export'!D680&lt;&gt;""),UPPER('Data Export'!C680)&amp;"♦"&amp;'Data Export'!D680,"")</f>
        <v>PORSCHE♦911</v>
      </c>
      <c r="I680" s="63">
        <f>IF(H680="","",IFERROR(INDEX('Data Export'!G680:CZ680,1,MATCH(前十整体车型排名!$B$4,'Data Export'!$G$1:$CZ$1,0)),0))</f>
        <v>2</v>
      </c>
      <c r="J680" s="62" t="str">
        <f>IF(H680="","",IF(OR('Data Export'!F680="三厢轿车",'Data Export'!F680="掀背轿车",'Data Export'!F680="旅行车",'Data Export'!F680="微型车",'Data Export'!F680="硬顶跑车",'Data Export'!F680="敞蓬车",'Data Export'!F680="Targa"),"轿车",IF(OR('Data Export'!F680="小型MPV",'Data Export'!F680="客车"),"MPV",IF('Data Export'!F680="运动型多功能车","SUV","其他"))))</f>
        <v>轿车</v>
      </c>
      <c r="K680" s="62" t="str">
        <f>IF(OR(D680="",NOT(F680=1)),"",1+SUMPRODUCT(($F$2:$F$1001=1)*($D$2:$D$1001&gt;D680))+COUNTIFS($F$2:F680,1,$D$2:D680,D680)-1)</f>
        <v/>
      </c>
      <c r="L680" s="62" t="str">
        <f>IF(OR(D680="",NOT(G680="轿车")),"",1+SUMPRODUCT(($G$2:$G$1001="轿车")*($D$2:$D$1001&gt;D680))+COUNTIFS($G$2:G680,"轿车",$D$2:D680,D680)-1)</f>
        <v/>
      </c>
      <c r="M680" s="62" t="str">
        <f>IF(OR(D680="",NOT(G680="MPV")),"",1+SUMPRODUCT(($G$2:$G$1001="MPV")*($D$2:$D$1001&gt;D680))+COUNTIFS($G$2:G680,"MPV",$D$2:D680,D680)-1)</f>
        <v/>
      </c>
      <c r="N680" s="62" t="str">
        <f>IF(OR(D680="",NOT(G680="SUV")),"",1+SUMPRODUCT(($G$2:$G$1001="SUV")*($D$2:$D$1001&gt;D680))+COUNTIFS($G$2:G680,"SUV",$D$2:D680,D680)-1)</f>
        <v/>
      </c>
      <c r="O680" s="62" t="str">
        <f>IF(OR(D680="",NOT(AND(F680=1,G680="轿车"))),"",1+SUMPRODUCT(($F$2:$F$1001=1)*($G$2:$G$1001="轿车")*($D$2:$D$1001&gt;D680))+COUNTIFS($F$2:F680,1,$G$2:G680,"轿车",$D$2:D680,D680)-1)</f>
        <v/>
      </c>
      <c r="P680" s="62" t="str">
        <f>IF(OR(D680="",NOT(AND(F680=1,G680="MPV"))),"",1+SUMPRODUCT(($F$2:$F$1001=1)*($G$2:$G$1001="MPV")*($D$2:$D$1001&gt;D680))+COUNTIFS($F$2:F680,1,$G$2:G680,"MPV",$D$2:D680,D680)-1)</f>
        <v/>
      </c>
      <c r="Q680" s="62" t="str">
        <f>IF(OR(D680="",NOT(AND(F680=1,G680="SUV"))),"",1+SUMPRODUCT(($F$2:$F$1001=1)*($G$2:$G$1001="SUV")*($D$2:$D$1001&gt;D680))+COUNTIFS($F$2:F680,1,$G$2:G680,"SUV",$D$2:D680,D680)-1)</f>
        <v/>
      </c>
    </row>
    <row r="681" spans="1:17">
      <c r="A681" s="62" t="str">
        <f>IFERROR(INDEX($H$2:$H$3000,MATCH(0,INDEX(COUNTIF($A$1:A680,$H$2:$H$3000)+($H$2:$H$3000=""),0,0),0)),"")</f>
        <v/>
      </c>
      <c r="B681" s="62" t="str">
        <f t="shared" si="40"/>
        <v/>
      </c>
      <c r="C681" s="62" t="str">
        <f t="shared" si="41"/>
        <v/>
      </c>
      <c r="D681" s="63" t="str">
        <f t="shared" si="42"/>
        <v/>
      </c>
      <c r="E681" s="62" t="str">
        <f>IF(D681="","",_xlfn.RANK.EQ(D681,$D$2:$D$1001,0)+COUNTIF($D$2:D681,D681)-1)</f>
        <v/>
      </c>
      <c r="F681" s="62" t="str">
        <f>IF(B681="","",--(COUNTIF(CN_Brands!$A$2:$A$300,UPPER(B681))&gt;0))</f>
        <v/>
      </c>
      <c r="G681" s="62" t="str">
        <f t="shared" si="43"/>
        <v/>
      </c>
      <c r="H681" s="62" t="str">
        <f>IF(AND('Data Export'!A681=前十整体车型排名!$B$2,'Data Export'!B681=前十整体车型排名!$B$3,'Data Export'!D681&lt;&gt;""),UPPER('Data Export'!C681)&amp;"♦"&amp;'Data Export'!D681,"")</f>
        <v>PORSCHE♦911</v>
      </c>
      <c r="I681" s="63">
        <f>IF(H681="","",IFERROR(INDEX('Data Export'!G681:CZ681,1,MATCH(前十整体车型排名!$B$4,'Data Export'!$G$1:$CZ$1,0)),0))</f>
        <v>0</v>
      </c>
      <c r="J681" s="62" t="str">
        <f>IF(H681="","",IF(OR('Data Export'!F681="三厢轿车",'Data Export'!F681="掀背轿车",'Data Export'!F681="旅行车",'Data Export'!F681="微型车",'Data Export'!F681="硬顶跑车",'Data Export'!F681="敞蓬车",'Data Export'!F681="Targa"),"轿车",IF(OR('Data Export'!F681="小型MPV",'Data Export'!F681="客车"),"MPV",IF('Data Export'!F681="运动型多功能车","SUV","其他"))))</f>
        <v>轿车</v>
      </c>
      <c r="K681" s="62" t="str">
        <f>IF(OR(D681="",NOT(F681=1)),"",1+SUMPRODUCT(($F$2:$F$1001=1)*($D$2:$D$1001&gt;D681))+COUNTIFS($F$2:F681,1,$D$2:D681,D681)-1)</f>
        <v/>
      </c>
      <c r="L681" s="62" t="str">
        <f>IF(OR(D681="",NOT(G681="轿车")),"",1+SUMPRODUCT(($G$2:$G$1001="轿车")*($D$2:$D$1001&gt;D681))+COUNTIFS($G$2:G681,"轿车",$D$2:D681,D681)-1)</f>
        <v/>
      </c>
      <c r="M681" s="62" t="str">
        <f>IF(OR(D681="",NOT(G681="MPV")),"",1+SUMPRODUCT(($G$2:$G$1001="MPV")*($D$2:$D$1001&gt;D681))+COUNTIFS($G$2:G681,"MPV",$D$2:D681,D681)-1)</f>
        <v/>
      </c>
      <c r="N681" s="62" t="str">
        <f>IF(OR(D681="",NOT(G681="SUV")),"",1+SUMPRODUCT(($G$2:$G$1001="SUV")*($D$2:$D$1001&gt;D681))+COUNTIFS($G$2:G681,"SUV",$D$2:D681,D681)-1)</f>
        <v/>
      </c>
      <c r="O681" s="62" t="str">
        <f>IF(OR(D681="",NOT(AND(F681=1,G681="轿车"))),"",1+SUMPRODUCT(($F$2:$F$1001=1)*($G$2:$G$1001="轿车")*($D$2:$D$1001&gt;D681))+COUNTIFS($F$2:F681,1,$G$2:G681,"轿车",$D$2:D681,D681)-1)</f>
        <v/>
      </c>
      <c r="P681" s="62" t="str">
        <f>IF(OR(D681="",NOT(AND(F681=1,G681="MPV"))),"",1+SUMPRODUCT(($F$2:$F$1001=1)*($G$2:$G$1001="MPV")*($D$2:$D$1001&gt;D681))+COUNTIFS($F$2:F681,1,$G$2:G681,"MPV",$D$2:D681,D681)-1)</f>
        <v/>
      </c>
      <c r="Q681" s="62" t="str">
        <f>IF(OR(D681="",NOT(AND(F681=1,G681="SUV"))),"",1+SUMPRODUCT(($F$2:$F$1001=1)*($G$2:$G$1001="SUV")*($D$2:$D$1001&gt;D681))+COUNTIFS($F$2:F681,1,$G$2:G681,"SUV",$D$2:D681,D681)-1)</f>
        <v/>
      </c>
    </row>
    <row r="682" spans="1:17">
      <c r="A682" s="62" t="str">
        <f>IFERROR(INDEX($H$2:$H$3000,MATCH(0,INDEX(COUNTIF($A$1:A681,$H$2:$H$3000)+($H$2:$H$3000=""),0,0),0)),"")</f>
        <v/>
      </c>
      <c r="B682" s="62" t="str">
        <f t="shared" si="40"/>
        <v/>
      </c>
      <c r="C682" s="62" t="str">
        <f t="shared" si="41"/>
        <v/>
      </c>
      <c r="D682" s="63" t="str">
        <f t="shared" si="42"/>
        <v/>
      </c>
      <c r="E682" s="62" t="str">
        <f>IF(D682="","",_xlfn.RANK.EQ(D682,$D$2:$D$1001,0)+COUNTIF($D$2:D682,D682)-1)</f>
        <v/>
      </c>
      <c r="F682" s="62" t="str">
        <f>IF(B682="","",--(COUNTIF(CN_Brands!$A$2:$A$300,UPPER(B682))&gt;0))</f>
        <v/>
      </c>
      <c r="G682" s="62" t="str">
        <f t="shared" si="43"/>
        <v/>
      </c>
      <c r="H682" s="62" t="str">
        <f>IF(AND('Data Export'!A682=前十整体车型排名!$B$2,'Data Export'!B682=前十整体车型排名!$B$3,'Data Export'!D682&lt;&gt;""),UPPER('Data Export'!C682)&amp;"♦"&amp;'Data Export'!D682,"")</f>
        <v>PORSCHE♦911</v>
      </c>
      <c r="I682" s="63">
        <f>IF(H682="","",IFERROR(INDEX('Data Export'!G682:CZ682,1,MATCH(前十整体车型排名!$B$4,'Data Export'!$G$1:$CZ$1,0)),0))</f>
        <v>0</v>
      </c>
      <c r="J682" s="62" t="str">
        <f>IF(H682="","",IF(OR('Data Export'!F682="三厢轿车",'Data Export'!F682="掀背轿车",'Data Export'!F682="旅行车",'Data Export'!F682="微型车",'Data Export'!F682="硬顶跑车",'Data Export'!F682="敞蓬车",'Data Export'!F682="Targa"),"轿车",IF(OR('Data Export'!F682="小型MPV",'Data Export'!F682="客车"),"MPV",IF('Data Export'!F682="运动型多功能车","SUV","其他"))))</f>
        <v>轿车</v>
      </c>
      <c r="K682" s="62" t="str">
        <f>IF(OR(D682="",NOT(F682=1)),"",1+SUMPRODUCT(($F$2:$F$1001=1)*($D$2:$D$1001&gt;D682))+COUNTIFS($F$2:F682,1,$D$2:D682,D682)-1)</f>
        <v/>
      </c>
      <c r="L682" s="62" t="str">
        <f>IF(OR(D682="",NOT(G682="轿车")),"",1+SUMPRODUCT(($G$2:$G$1001="轿车")*($D$2:$D$1001&gt;D682))+COUNTIFS($G$2:G682,"轿车",$D$2:D682,D682)-1)</f>
        <v/>
      </c>
      <c r="M682" s="62" t="str">
        <f>IF(OR(D682="",NOT(G682="MPV")),"",1+SUMPRODUCT(($G$2:$G$1001="MPV")*($D$2:$D$1001&gt;D682))+COUNTIFS($G$2:G682,"MPV",$D$2:D682,D682)-1)</f>
        <v/>
      </c>
      <c r="N682" s="62" t="str">
        <f>IF(OR(D682="",NOT(G682="SUV")),"",1+SUMPRODUCT(($G$2:$G$1001="SUV")*($D$2:$D$1001&gt;D682))+COUNTIFS($G$2:G682,"SUV",$D$2:D682,D682)-1)</f>
        <v/>
      </c>
      <c r="O682" s="62" t="str">
        <f>IF(OR(D682="",NOT(AND(F682=1,G682="轿车"))),"",1+SUMPRODUCT(($F$2:$F$1001=1)*($G$2:$G$1001="轿车")*($D$2:$D$1001&gt;D682))+COUNTIFS($F$2:F682,1,$G$2:G682,"轿车",$D$2:D682,D682)-1)</f>
        <v/>
      </c>
      <c r="P682" s="62" t="str">
        <f>IF(OR(D682="",NOT(AND(F682=1,G682="MPV"))),"",1+SUMPRODUCT(($F$2:$F$1001=1)*($G$2:$G$1001="MPV")*($D$2:$D$1001&gt;D682))+COUNTIFS($F$2:F682,1,$G$2:G682,"MPV",$D$2:D682,D682)-1)</f>
        <v/>
      </c>
      <c r="Q682" s="62" t="str">
        <f>IF(OR(D682="",NOT(AND(F682=1,G682="SUV"))),"",1+SUMPRODUCT(($F$2:$F$1001=1)*($G$2:$G$1001="SUV")*($D$2:$D$1001&gt;D682))+COUNTIFS($F$2:F682,1,$G$2:G682,"SUV",$D$2:D682,D682)-1)</f>
        <v/>
      </c>
    </row>
    <row r="683" spans="1:17">
      <c r="A683" s="62" t="str">
        <f>IFERROR(INDEX($H$2:$H$3000,MATCH(0,INDEX(COUNTIF($A$1:A682,$H$2:$H$3000)+($H$2:$H$3000=""),0,0),0)),"")</f>
        <v/>
      </c>
      <c r="B683" s="62" t="str">
        <f t="shared" si="40"/>
        <v/>
      </c>
      <c r="C683" s="62" t="str">
        <f t="shared" si="41"/>
        <v/>
      </c>
      <c r="D683" s="63" t="str">
        <f t="shared" si="42"/>
        <v/>
      </c>
      <c r="E683" s="62" t="str">
        <f>IF(D683="","",_xlfn.RANK.EQ(D683,$D$2:$D$1001,0)+COUNTIF($D$2:D683,D683)-1)</f>
        <v/>
      </c>
      <c r="F683" s="62" t="str">
        <f>IF(B683="","",--(COUNTIF(CN_Brands!$A$2:$A$300,UPPER(B683))&gt;0))</f>
        <v/>
      </c>
      <c r="G683" s="62" t="str">
        <f t="shared" si="43"/>
        <v/>
      </c>
      <c r="H683" s="62" t="str">
        <f>IF(AND('Data Export'!A683=前十整体车型排名!$B$2,'Data Export'!B683=前十整体车型排名!$B$3,'Data Export'!D683&lt;&gt;""),UPPER('Data Export'!C683)&amp;"♦"&amp;'Data Export'!D683,"")</f>
        <v>PORSCHE♦911</v>
      </c>
      <c r="I683" s="63">
        <f>IF(H683="","",IFERROR(INDEX('Data Export'!G683:CZ683,1,MATCH(前十整体车型排名!$B$4,'Data Export'!$G$1:$CZ$1,0)),0))</f>
        <v>0</v>
      </c>
      <c r="J683" s="62" t="str">
        <f>IF(H683="","",IF(OR('Data Export'!F683="三厢轿车",'Data Export'!F683="掀背轿车",'Data Export'!F683="旅行车",'Data Export'!F683="微型车",'Data Export'!F683="硬顶跑车",'Data Export'!F683="敞蓬车",'Data Export'!F683="Targa"),"轿车",IF(OR('Data Export'!F683="小型MPV",'Data Export'!F683="客车"),"MPV",IF('Data Export'!F683="运动型多功能车","SUV","其他"))))</f>
        <v>其他</v>
      </c>
      <c r="K683" s="62" t="str">
        <f>IF(OR(D683="",NOT(F683=1)),"",1+SUMPRODUCT(($F$2:$F$1001=1)*($D$2:$D$1001&gt;D683))+COUNTIFS($F$2:F683,1,$D$2:D683,D683)-1)</f>
        <v/>
      </c>
      <c r="L683" s="62" t="str">
        <f>IF(OR(D683="",NOT(G683="轿车")),"",1+SUMPRODUCT(($G$2:$G$1001="轿车")*($D$2:$D$1001&gt;D683))+COUNTIFS($G$2:G683,"轿车",$D$2:D683,D683)-1)</f>
        <v/>
      </c>
      <c r="M683" s="62" t="str">
        <f>IF(OR(D683="",NOT(G683="MPV")),"",1+SUMPRODUCT(($G$2:$G$1001="MPV")*($D$2:$D$1001&gt;D683))+COUNTIFS($G$2:G683,"MPV",$D$2:D683,D683)-1)</f>
        <v/>
      </c>
      <c r="N683" s="62" t="str">
        <f>IF(OR(D683="",NOT(G683="SUV")),"",1+SUMPRODUCT(($G$2:$G$1001="SUV")*($D$2:$D$1001&gt;D683))+COUNTIFS($G$2:G683,"SUV",$D$2:D683,D683)-1)</f>
        <v/>
      </c>
      <c r="O683" s="62" t="str">
        <f>IF(OR(D683="",NOT(AND(F683=1,G683="轿车"))),"",1+SUMPRODUCT(($F$2:$F$1001=1)*($G$2:$G$1001="轿车")*($D$2:$D$1001&gt;D683))+COUNTIFS($F$2:F683,1,$G$2:G683,"轿车",$D$2:D683,D683)-1)</f>
        <v/>
      </c>
      <c r="P683" s="62" t="str">
        <f>IF(OR(D683="",NOT(AND(F683=1,G683="MPV"))),"",1+SUMPRODUCT(($F$2:$F$1001=1)*($G$2:$G$1001="MPV")*($D$2:$D$1001&gt;D683))+COUNTIFS($F$2:F683,1,$G$2:G683,"MPV",$D$2:D683,D683)-1)</f>
        <v/>
      </c>
      <c r="Q683" s="62" t="str">
        <f>IF(OR(D683="",NOT(AND(F683=1,G683="SUV"))),"",1+SUMPRODUCT(($F$2:$F$1001=1)*($G$2:$G$1001="SUV")*($D$2:$D$1001&gt;D683))+COUNTIFS($F$2:F683,1,$G$2:G683,"SUV",$D$2:D683,D683)-1)</f>
        <v/>
      </c>
    </row>
    <row r="684" spans="1:17">
      <c r="A684" s="62" t="str">
        <f>IFERROR(INDEX($H$2:$H$3000,MATCH(0,INDEX(COUNTIF($A$1:A683,$H$2:$H$3000)+($H$2:$H$3000=""),0,0),0)),"")</f>
        <v/>
      </c>
      <c r="B684" s="62" t="str">
        <f t="shared" si="40"/>
        <v/>
      </c>
      <c r="C684" s="62" t="str">
        <f t="shared" si="41"/>
        <v/>
      </c>
      <c r="D684" s="63" t="str">
        <f t="shared" si="42"/>
        <v/>
      </c>
      <c r="E684" s="62" t="str">
        <f>IF(D684="","",_xlfn.RANK.EQ(D684,$D$2:$D$1001,0)+COUNTIF($D$2:D684,D684)-1)</f>
        <v/>
      </c>
      <c r="F684" s="62" t="str">
        <f>IF(B684="","",--(COUNTIF(CN_Brands!$A$2:$A$300,UPPER(B684))&gt;0))</f>
        <v/>
      </c>
      <c r="G684" s="62" t="str">
        <f t="shared" si="43"/>
        <v/>
      </c>
      <c r="H684" s="62" t="str">
        <f>IF(AND('Data Export'!A684=前十整体车型排名!$B$2,'Data Export'!B684=前十整体车型排名!$B$3,'Data Export'!D684&lt;&gt;""),UPPER('Data Export'!C684)&amp;"♦"&amp;'Data Export'!D684,"")</f>
        <v>PORSCHE♦911</v>
      </c>
      <c r="I684" s="63">
        <f>IF(H684="","",IFERROR(INDEX('Data Export'!G684:CZ684,1,MATCH(前十整体车型排名!$B$4,'Data Export'!$G$1:$CZ$1,0)),0))</f>
        <v>0</v>
      </c>
      <c r="J684" s="62" t="str">
        <f>IF(H684="","",IF(OR('Data Export'!F684="三厢轿车",'Data Export'!F684="掀背轿车",'Data Export'!F684="旅行车",'Data Export'!F684="微型车",'Data Export'!F684="硬顶跑车",'Data Export'!F684="敞蓬车",'Data Export'!F684="Targa"),"轿车",IF(OR('Data Export'!F684="小型MPV",'Data Export'!F684="客车"),"MPV",IF('Data Export'!F684="运动型多功能车","SUV","其他"))))</f>
        <v>轿车</v>
      </c>
      <c r="K684" s="62" t="str">
        <f>IF(OR(D684="",NOT(F684=1)),"",1+SUMPRODUCT(($F$2:$F$1001=1)*($D$2:$D$1001&gt;D684))+COUNTIFS($F$2:F684,1,$D$2:D684,D684)-1)</f>
        <v/>
      </c>
      <c r="L684" s="62" t="str">
        <f>IF(OR(D684="",NOT(G684="轿车")),"",1+SUMPRODUCT(($G$2:$G$1001="轿车")*($D$2:$D$1001&gt;D684))+COUNTIFS($G$2:G684,"轿车",$D$2:D684,D684)-1)</f>
        <v/>
      </c>
      <c r="M684" s="62" t="str">
        <f>IF(OR(D684="",NOT(G684="MPV")),"",1+SUMPRODUCT(($G$2:$G$1001="MPV")*($D$2:$D$1001&gt;D684))+COUNTIFS($G$2:G684,"MPV",$D$2:D684,D684)-1)</f>
        <v/>
      </c>
      <c r="N684" s="62" t="str">
        <f>IF(OR(D684="",NOT(G684="SUV")),"",1+SUMPRODUCT(($G$2:$G$1001="SUV")*($D$2:$D$1001&gt;D684))+COUNTIFS($G$2:G684,"SUV",$D$2:D684,D684)-1)</f>
        <v/>
      </c>
      <c r="O684" s="62" t="str">
        <f>IF(OR(D684="",NOT(AND(F684=1,G684="轿车"))),"",1+SUMPRODUCT(($F$2:$F$1001=1)*($G$2:$G$1001="轿车")*($D$2:$D$1001&gt;D684))+COUNTIFS($F$2:F684,1,$G$2:G684,"轿车",$D$2:D684,D684)-1)</f>
        <v/>
      </c>
      <c r="P684" s="62" t="str">
        <f>IF(OR(D684="",NOT(AND(F684=1,G684="MPV"))),"",1+SUMPRODUCT(($F$2:$F$1001=1)*($G$2:$G$1001="MPV")*($D$2:$D$1001&gt;D684))+COUNTIFS($F$2:F684,1,$G$2:G684,"MPV",$D$2:D684,D684)-1)</f>
        <v/>
      </c>
      <c r="Q684" s="62" t="str">
        <f>IF(OR(D684="",NOT(AND(F684=1,G684="SUV"))),"",1+SUMPRODUCT(($F$2:$F$1001=1)*($G$2:$G$1001="SUV")*($D$2:$D$1001&gt;D684))+COUNTIFS($F$2:F684,1,$G$2:G684,"SUV",$D$2:D684,D684)-1)</f>
        <v/>
      </c>
    </row>
    <row r="685" spans="1:17">
      <c r="A685" s="62" t="str">
        <f>IFERROR(INDEX($H$2:$H$3000,MATCH(0,INDEX(COUNTIF($A$1:A684,$H$2:$H$3000)+($H$2:$H$3000=""),0,0),0)),"")</f>
        <v/>
      </c>
      <c r="B685" s="62" t="str">
        <f t="shared" si="40"/>
        <v/>
      </c>
      <c r="C685" s="62" t="str">
        <f t="shared" si="41"/>
        <v/>
      </c>
      <c r="D685" s="63" t="str">
        <f t="shared" si="42"/>
        <v/>
      </c>
      <c r="E685" s="62" t="str">
        <f>IF(D685="","",_xlfn.RANK.EQ(D685,$D$2:$D$1001,0)+COUNTIF($D$2:D685,D685)-1)</f>
        <v/>
      </c>
      <c r="F685" s="62" t="str">
        <f>IF(B685="","",--(COUNTIF(CN_Brands!$A$2:$A$300,UPPER(B685))&gt;0))</f>
        <v/>
      </c>
      <c r="G685" s="62" t="str">
        <f t="shared" si="43"/>
        <v/>
      </c>
      <c r="H685" s="62" t="str">
        <f>IF(AND('Data Export'!A685=前十整体车型排名!$B$2,'Data Export'!B685=前十整体车型排名!$B$3,'Data Export'!D685&lt;&gt;""),UPPER('Data Export'!C685)&amp;"♦"&amp;'Data Export'!D685,"")</f>
        <v>PORSCHE♦911</v>
      </c>
      <c r="I685" s="63">
        <f>IF(H685="","",IFERROR(INDEX('Data Export'!G685:CZ685,1,MATCH(前十整体车型排名!$B$4,'Data Export'!$G$1:$CZ$1,0)),0))</f>
        <v>0</v>
      </c>
      <c r="J685" s="62" t="str">
        <f>IF(H685="","",IF(OR('Data Export'!F685="三厢轿车",'Data Export'!F685="掀背轿车",'Data Export'!F685="旅行车",'Data Export'!F685="微型车",'Data Export'!F685="硬顶跑车",'Data Export'!F685="敞蓬车",'Data Export'!F685="Targa"),"轿车",IF(OR('Data Export'!F685="小型MPV",'Data Export'!F685="客车"),"MPV",IF('Data Export'!F685="运动型多功能车","SUV","其他"))))</f>
        <v>其他</v>
      </c>
      <c r="K685" s="62" t="str">
        <f>IF(OR(D685="",NOT(F685=1)),"",1+SUMPRODUCT(($F$2:$F$1001=1)*($D$2:$D$1001&gt;D685))+COUNTIFS($F$2:F685,1,$D$2:D685,D685)-1)</f>
        <v/>
      </c>
      <c r="L685" s="62" t="str">
        <f>IF(OR(D685="",NOT(G685="轿车")),"",1+SUMPRODUCT(($G$2:$G$1001="轿车")*($D$2:$D$1001&gt;D685))+COUNTIFS($G$2:G685,"轿车",$D$2:D685,D685)-1)</f>
        <v/>
      </c>
      <c r="M685" s="62" t="str">
        <f>IF(OR(D685="",NOT(G685="MPV")),"",1+SUMPRODUCT(($G$2:$G$1001="MPV")*($D$2:$D$1001&gt;D685))+COUNTIFS($G$2:G685,"MPV",$D$2:D685,D685)-1)</f>
        <v/>
      </c>
      <c r="N685" s="62" t="str">
        <f>IF(OR(D685="",NOT(G685="SUV")),"",1+SUMPRODUCT(($G$2:$G$1001="SUV")*($D$2:$D$1001&gt;D685))+COUNTIFS($G$2:G685,"SUV",$D$2:D685,D685)-1)</f>
        <v/>
      </c>
      <c r="O685" s="62" t="str">
        <f>IF(OR(D685="",NOT(AND(F685=1,G685="轿车"))),"",1+SUMPRODUCT(($F$2:$F$1001=1)*($G$2:$G$1001="轿车")*($D$2:$D$1001&gt;D685))+COUNTIFS($F$2:F685,1,$G$2:G685,"轿车",$D$2:D685,D685)-1)</f>
        <v/>
      </c>
      <c r="P685" s="62" t="str">
        <f>IF(OR(D685="",NOT(AND(F685=1,G685="MPV"))),"",1+SUMPRODUCT(($F$2:$F$1001=1)*($G$2:$G$1001="MPV")*($D$2:$D$1001&gt;D685))+COUNTIFS($F$2:F685,1,$G$2:G685,"MPV",$D$2:D685,D685)-1)</f>
        <v/>
      </c>
      <c r="Q685" s="62" t="str">
        <f>IF(OR(D685="",NOT(AND(F685=1,G685="SUV"))),"",1+SUMPRODUCT(($F$2:$F$1001=1)*($G$2:$G$1001="SUV")*($D$2:$D$1001&gt;D685))+COUNTIFS($F$2:F685,1,$G$2:G685,"SUV",$D$2:D685,D685)-1)</f>
        <v/>
      </c>
    </row>
    <row r="686" spans="1:17">
      <c r="A686" s="62" t="str">
        <f>IFERROR(INDEX($H$2:$H$3000,MATCH(0,INDEX(COUNTIF($A$1:A685,$H$2:$H$3000)+($H$2:$H$3000=""),0,0),0)),"")</f>
        <v/>
      </c>
      <c r="B686" s="62" t="str">
        <f t="shared" si="40"/>
        <v/>
      </c>
      <c r="C686" s="62" t="str">
        <f t="shared" si="41"/>
        <v/>
      </c>
      <c r="D686" s="63" t="str">
        <f t="shared" si="42"/>
        <v/>
      </c>
      <c r="E686" s="62" t="str">
        <f>IF(D686="","",_xlfn.RANK.EQ(D686,$D$2:$D$1001,0)+COUNTIF($D$2:D686,D686)-1)</f>
        <v/>
      </c>
      <c r="F686" s="62" t="str">
        <f>IF(B686="","",--(COUNTIF(CN_Brands!$A$2:$A$300,UPPER(B686))&gt;0))</f>
        <v/>
      </c>
      <c r="G686" s="62" t="str">
        <f t="shared" si="43"/>
        <v/>
      </c>
      <c r="H686" s="62" t="str">
        <f>IF(AND('Data Export'!A686=前十整体车型排名!$B$2,'Data Export'!B686=前十整体车型排名!$B$3,'Data Export'!D686&lt;&gt;""),UPPER('Data Export'!C686)&amp;"♦"&amp;'Data Export'!D686,"")</f>
        <v>PORSCHE♦911</v>
      </c>
      <c r="I686" s="63">
        <f>IF(H686="","",IFERROR(INDEX('Data Export'!G686:CZ686,1,MATCH(前十整体车型排名!$B$4,'Data Export'!$G$1:$CZ$1,0)),0))</f>
        <v>0</v>
      </c>
      <c r="J686" s="62" t="str">
        <f>IF(H686="","",IF(OR('Data Export'!F686="三厢轿车",'Data Export'!F686="掀背轿车",'Data Export'!F686="旅行车",'Data Export'!F686="微型车",'Data Export'!F686="硬顶跑车",'Data Export'!F686="敞蓬车",'Data Export'!F686="Targa"),"轿车",IF(OR('Data Export'!F686="小型MPV",'Data Export'!F686="客车"),"MPV",IF('Data Export'!F686="运动型多功能车","SUV","其他"))))</f>
        <v>其他</v>
      </c>
      <c r="K686" s="62" t="str">
        <f>IF(OR(D686="",NOT(F686=1)),"",1+SUMPRODUCT(($F$2:$F$1001=1)*($D$2:$D$1001&gt;D686))+COUNTIFS($F$2:F686,1,$D$2:D686,D686)-1)</f>
        <v/>
      </c>
      <c r="L686" s="62" t="str">
        <f>IF(OR(D686="",NOT(G686="轿车")),"",1+SUMPRODUCT(($G$2:$G$1001="轿车")*($D$2:$D$1001&gt;D686))+COUNTIFS($G$2:G686,"轿车",$D$2:D686,D686)-1)</f>
        <v/>
      </c>
      <c r="M686" s="62" t="str">
        <f>IF(OR(D686="",NOT(G686="MPV")),"",1+SUMPRODUCT(($G$2:$G$1001="MPV")*($D$2:$D$1001&gt;D686))+COUNTIFS($G$2:G686,"MPV",$D$2:D686,D686)-1)</f>
        <v/>
      </c>
      <c r="N686" s="62" t="str">
        <f>IF(OR(D686="",NOT(G686="SUV")),"",1+SUMPRODUCT(($G$2:$G$1001="SUV")*($D$2:$D$1001&gt;D686))+COUNTIFS($G$2:G686,"SUV",$D$2:D686,D686)-1)</f>
        <v/>
      </c>
      <c r="O686" s="62" t="str">
        <f>IF(OR(D686="",NOT(AND(F686=1,G686="轿车"))),"",1+SUMPRODUCT(($F$2:$F$1001=1)*($G$2:$G$1001="轿车")*($D$2:$D$1001&gt;D686))+COUNTIFS($F$2:F686,1,$G$2:G686,"轿车",$D$2:D686,D686)-1)</f>
        <v/>
      </c>
      <c r="P686" s="62" t="str">
        <f>IF(OR(D686="",NOT(AND(F686=1,G686="MPV"))),"",1+SUMPRODUCT(($F$2:$F$1001=1)*($G$2:$G$1001="MPV")*($D$2:$D$1001&gt;D686))+COUNTIFS($F$2:F686,1,$G$2:G686,"MPV",$D$2:D686,D686)-1)</f>
        <v/>
      </c>
      <c r="Q686" s="62" t="str">
        <f>IF(OR(D686="",NOT(AND(F686=1,G686="SUV"))),"",1+SUMPRODUCT(($F$2:$F$1001=1)*($G$2:$G$1001="SUV")*($D$2:$D$1001&gt;D686))+COUNTIFS($F$2:F686,1,$G$2:G686,"SUV",$D$2:D686,D686)-1)</f>
        <v/>
      </c>
    </row>
    <row r="687" spans="1:17">
      <c r="A687" s="62" t="str">
        <f>IFERROR(INDEX($H$2:$H$3000,MATCH(0,INDEX(COUNTIF($A$1:A686,$H$2:$H$3000)+($H$2:$H$3000=""),0,0),0)),"")</f>
        <v/>
      </c>
      <c r="B687" s="62" t="str">
        <f t="shared" si="40"/>
        <v/>
      </c>
      <c r="C687" s="62" t="str">
        <f t="shared" si="41"/>
        <v/>
      </c>
      <c r="D687" s="63" t="str">
        <f t="shared" si="42"/>
        <v/>
      </c>
      <c r="E687" s="62" t="str">
        <f>IF(D687="","",_xlfn.RANK.EQ(D687,$D$2:$D$1001,0)+COUNTIF($D$2:D687,D687)-1)</f>
        <v/>
      </c>
      <c r="F687" s="62" t="str">
        <f>IF(B687="","",--(COUNTIF(CN_Brands!$A$2:$A$300,UPPER(B687))&gt;0))</f>
        <v/>
      </c>
      <c r="G687" s="62" t="str">
        <f t="shared" si="43"/>
        <v/>
      </c>
      <c r="H687" s="62" t="str">
        <f>IF(AND('Data Export'!A687=前十整体车型排名!$B$2,'Data Export'!B687=前十整体车型排名!$B$3,'Data Export'!D687&lt;&gt;""),UPPER('Data Export'!C687)&amp;"♦"&amp;'Data Export'!D687,"")</f>
        <v>PORSCHE♦CAYENNE</v>
      </c>
      <c r="I687" s="63">
        <f>IF(H687="","",IFERROR(INDEX('Data Export'!G687:CZ687,1,MATCH(前十整体车型排名!$B$4,'Data Export'!$G$1:$CZ$1,0)),0))</f>
        <v>3</v>
      </c>
      <c r="J687" s="62" t="str">
        <f>IF(H687="","",IF(OR('Data Export'!F687="三厢轿车",'Data Export'!F687="掀背轿车",'Data Export'!F687="旅行车",'Data Export'!F687="微型车",'Data Export'!F687="硬顶跑车",'Data Export'!F687="敞蓬车",'Data Export'!F687="Targa"),"轿车",IF(OR('Data Export'!F687="小型MPV",'Data Export'!F687="客车"),"MPV",IF('Data Export'!F687="运动型多功能车","SUV","其他"))))</f>
        <v>SUV</v>
      </c>
      <c r="K687" s="62" t="str">
        <f>IF(OR(D687="",NOT(F687=1)),"",1+SUMPRODUCT(($F$2:$F$1001=1)*($D$2:$D$1001&gt;D687))+COUNTIFS($F$2:F687,1,$D$2:D687,D687)-1)</f>
        <v/>
      </c>
      <c r="L687" s="62" t="str">
        <f>IF(OR(D687="",NOT(G687="轿车")),"",1+SUMPRODUCT(($G$2:$G$1001="轿车")*($D$2:$D$1001&gt;D687))+COUNTIFS($G$2:G687,"轿车",$D$2:D687,D687)-1)</f>
        <v/>
      </c>
      <c r="M687" s="62" t="str">
        <f>IF(OR(D687="",NOT(G687="MPV")),"",1+SUMPRODUCT(($G$2:$G$1001="MPV")*($D$2:$D$1001&gt;D687))+COUNTIFS($G$2:G687,"MPV",$D$2:D687,D687)-1)</f>
        <v/>
      </c>
      <c r="N687" s="62" t="str">
        <f>IF(OR(D687="",NOT(G687="SUV")),"",1+SUMPRODUCT(($G$2:$G$1001="SUV")*($D$2:$D$1001&gt;D687))+COUNTIFS($G$2:G687,"SUV",$D$2:D687,D687)-1)</f>
        <v/>
      </c>
      <c r="O687" s="62" t="str">
        <f>IF(OR(D687="",NOT(AND(F687=1,G687="轿车"))),"",1+SUMPRODUCT(($F$2:$F$1001=1)*($G$2:$G$1001="轿车")*($D$2:$D$1001&gt;D687))+COUNTIFS($F$2:F687,1,$G$2:G687,"轿车",$D$2:D687,D687)-1)</f>
        <v/>
      </c>
      <c r="P687" s="62" t="str">
        <f>IF(OR(D687="",NOT(AND(F687=1,G687="MPV"))),"",1+SUMPRODUCT(($F$2:$F$1001=1)*($G$2:$G$1001="MPV")*($D$2:$D$1001&gt;D687))+COUNTIFS($F$2:F687,1,$G$2:G687,"MPV",$D$2:D687,D687)-1)</f>
        <v/>
      </c>
      <c r="Q687" s="62" t="str">
        <f>IF(OR(D687="",NOT(AND(F687=1,G687="SUV"))),"",1+SUMPRODUCT(($F$2:$F$1001=1)*($G$2:$G$1001="SUV")*($D$2:$D$1001&gt;D687))+COUNTIFS($F$2:F687,1,$G$2:G687,"SUV",$D$2:D687,D687)-1)</f>
        <v/>
      </c>
    </row>
    <row r="688" spans="1:17">
      <c r="A688" s="62" t="str">
        <f>IFERROR(INDEX($H$2:$H$3000,MATCH(0,INDEX(COUNTIF($A$1:A687,$H$2:$H$3000)+($H$2:$H$3000=""),0,0),0)),"")</f>
        <v/>
      </c>
      <c r="B688" s="62" t="str">
        <f t="shared" si="40"/>
        <v/>
      </c>
      <c r="C688" s="62" t="str">
        <f t="shared" si="41"/>
        <v/>
      </c>
      <c r="D688" s="63" t="str">
        <f t="shared" si="42"/>
        <v/>
      </c>
      <c r="E688" s="62" t="str">
        <f>IF(D688="","",_xlfn.RANK.EQ(D688,$D$2:$D$1001,0)+COUNTIF($D$2:D688,D688)-1)</f>
        <v/>
      </c>
      <c r="F688" s="62" t="str">
        <f>IF(B688="","",--(COUNTIF(CN_Brands!$A$2:$A$300,UPPER(B688))&gt;0))</f>
        <v/>
      </c>
      <c r="G688" s="62" t="str">
        <f t="shared" si="43"/>
        <v/>
      </c>
      <c r="H688" s="62" t="str">
        <f>IF(AND('Data Export'!A688=前十整体车型排名!$B$2,'Data Export'!B688=前十整体车型排名!$B$3,'Data Export'!D688&lt;&gt;""),UPPER('Data Export'!C688)&amp;"♦"&amp;'Data Export'!D688,"")</f>
        <v>PORSCHE♦CAYENNE</v>
      </c>
      <c r="I688" s="63">
        <f>IF(H688="","",IFERROR(INDEX('Data Export'!G688:CZ688,1,MATCH(前十整体车型排名!$B$4,'Data Export'!$G$1:$CZ$1,0)),0))</f>
        <v>1</v>
      </c>
      <c r="J688" s="62" t="str">
        <f>IF(H688="","",IF(OR('Data Export'!F688="三厢轿车",'Data Export'!F688="掀背轿车",'Data Export'!F688="旅行车",'Data Export'!F688="微型车",'Data Export'!F688="硬顶跑车",'Data Export'!F688="敞蓬车",'Data Export'!F688="Targa"),"轿车",IF(OR('Data Export'!F688="小型MPV",'Data Export'!F688="客车"),"MPV",IF('Data Export'!F688="运动型多功能车","SUV","其他"))))</f>
        <v>SUV</v>
      </c>
      <c r="K688" s="62" t="str">
        <f>IF(OR(D688="",NOT(F688=1)),"",1+SUMPRODUCT(($F$2:$F$1001=1)*($D$2:$D$1001&gt;D688))+COUNTIFS($F$2:F688,1,$D$2:D688,D688)-1)</f>
        <v/>
      </c>
      <c r="L688" s="62" t="str">
        <f>IF(OR(D688="",NOT(G688="轿车")),"",1+SUMPRODUCT(($G$2:$G$1001="轿车")*($D$2:$D$1001&gt;D688))+COUNTIFS($G$2:G688,"轿车",$D$2:D688,D688)-1)</f>
        <v/>
      </c>
      <c r="M688" s="62" t="str">
        <f>IF(OR(D688="",NOT(G688="MPV")),"",1+SUMPRODUCT(($G$2:$G$1001="MPV")*($D$2:$D$1001&gt;D688))+COUNTIFS($G$2:G688,"MPV",$D$2:D688,D688)-1)</f>
        <v/>
      </c>
      <c r="N688" s="62" t="str">
        <f>IF(OR(D688="",NOT(G688="SUV")),"",1+SUMPRODUCT(($G$2:$G$1001="SUV")*($D$2:$D$1001&gt;D688))+COUNTIFS($G$2:G688,"SUV",$D$2:D688,D688)-1)</f>
        <v/>
      </c>
      <c r="O688" s="62" t="str">
        <f>IF(OR(D688="",NOT(AND(F688=1,G688="轿车"))),"",1+SUMPRODUCT(($F$2:$F$1001=1)*($G$2:$G$1001="轿车")*($D$2:$D$1001&gt;D688))+COUNTIFS($F$2:F688,1,$G$2:G688,"轿车",$D$2:D688,D688)-1)</f>
        <v/>
      </c>
      <c r="P688" s="62" t="str">
        <f>IF(OR(D688="",NOT(AND(F688=1,G688="MPV"))),"",1+SUMPRODUCT(($F$2:$F$1001=1)*($G$2:$G$1001="MPV")*($D$2:$D$1001&gt;D688))+COUNTIFS($F$2:F688,1,$G$2:G688,"MPV",$D$2:D688,D688)-1)</f>
        <v/>
      </c>
      <c r="Q688" s="62" t="str">
        <f>IF(OR(D688="",NOT(AND(F688=1,G688="SUV"))),"",1+SUMPRODUCT(($F$2:$F$1001=1)*($G$2:$G$1001="SUV")*($D$2:$D$1001&gt;D688))+COUNTIFS($F$2:F688,1,$G$2:G688,"SUV",$D$2:D688,D688)-1)</f>
        <v/>
      </c>
    </row>
    <row r="689" spans="1:17">
      <c r="A689" s="62" t="str">
        <f>IFERROR(INDEX($H$2:$H$3000,MATCH(0,INDEX(COUNTIF($A$1:A688,$H$2:$H$3000)+($H$2:$H$3000=""),0,0),0)),"")</f>
        <v/>
      </c>
      <c r="B689" s="62" t="str">
        <f t="shared" si="40"/>
        <v/>
      </c>
      <c r="C689" s="62" t="str">
        <f t="shared" si="41"/>
        <v/>
      </c>
      <c r="D689" s="63" t="str">
        <f t="shared" si="42"/>
        <v/>
      </c>
      <c r="E689" s="62" t="str">
        <f>IF(D689="","",_xlfn.RANK.EQ(D689,$D$2:$D$1001,0)+COUNTIF($D$2:D689,D689)-1)</f>
        <v/>
      </c>
      <c r="F689" s="62" t="str">
        <f>IF(B689="","",--(COUNTIF(CN_Brands!$A$2:$A$300,UPPER(B689))&gt;0))</f>
        <v/>
      </c>
      <c r="G689" s="62" t="str">
        <f t="shared" si="43"/>
        <v/>
      </c>
      <c r="H689" s="62" t="str">
        <f>IF(AND('Data Export'!A689=前十整体车型排名!$B$2,'Data Export'!B689=前十整体车型排名!$B$3,'Data Export'!D689&lt;&gt;""),UPPER('Data Export'!C689)&amp;"♦"&amp;'Data Export'!D689,"")</f>
        <v>PORSCHE♦CAYENNE</v>
      </c>
      <c r="I689" s="63">
        <f>IF(H689="","",IFERROR(INDEX('Data Export'!G689:CZ689,1,MATCH(前十整体车型排名!$B$4,'Data Export'!$G$1:$CZ$1,0)),0))</f>
        <v>0</v>
      </c>
      <c r="J689" s="62" t="str">
        <f>IF(H689="","",IF(OR('Data Export'!F689="三厢轿车",'Data Export'!F689="掀背轿车",'Data Export'!F689="旅行车",'Data Export'!F689="微型车",'Data Export'!F689="硬顶跑车",'Data Export'!F689="敞蓬车",'Data Export'!F689="Targa"),"轿车",IF(OR('Data Export'!F689="小型MPV",'Data Export'!F689="客车"),"MPV",IF('Data Export'!F689="运动型多功能车","SUV","其他"))))</f>
        <v>SUV</v>
      </c>
      <c r="K689" s="62" t="str">
        <f>IF(OR(D689="",NOT(F689=1)),"",1+SUMPRODUCT(($F$2:$F$1001=1)*($D$2:$D$1001&gt;D689))+COUNTIFS($F$2:F689,1,$D$2:D689,D689)-1)</f>
        <v/>
      </c>
      <c r="L689" s="62" t="str">
        <f>IF(OR(D689="",NOT(G689="轿车")),"",1+SUMPRODUCT(($G$2:$G$1001="轿车")*($D$2:$D$1001&gt;D689))+COUNTIFS($G$2:G689,"轿车",$D$2:D689,D689)-1)</f>
        <v/>
      </c>
      <c r="M689" s="62" t="str">
        <f>IF(OR(D689="",NOT(G689="MPV")),"",1+SUMPRODUCT(($G$2:$G$1001="MPV")*($D$2:$D$1001&gt;D689))+COUNTIFS($G$2:G689,"MPV",$D$2:D689,D689)-1)</f>
        <v/>
      </c>
      <c r="N689" s="62" t="str">
        <f>IF(OR(D689="",NOT(G689="SUV")),"",1+SUMPRODUCT(($G$2:$G$1001="SUV")*($D$2:$D$1001&gt;D689))+COUNTIFS($G$2:G689,"SUV",$D$2:D689,D689)-1)</f>
        <v/>
      </c>
      <c r="O689" s="62" t="str">
        <f>IF(OR(D689="",NOT(AND(F689=1,G689="轿车"))),"",1+SUMPRODUCT(($F$2:$F$1001=1)*($G$2:$G$1001="轿车")*($D$2:$D$1001&gt;D689))+COUNTIFS($F$2:F689,1,$G$2:G689,"轿车",$D$2:D689,D689)-1)</f>
        <v/>
      </c>
      <c r="P689" s="62" t="str">
        <f>IF(OR(D689="",NOT(AND(F689=1,G689="MPV"))),"",1+SUMPRODUCT(($F$2:$F$1001=1)*($G$2:$G$1001="MPV")*($D$2:$D$1001&gt;D689))+COUNTIFS($F$2:F689,1,$G$2:G689,"MPV",$D$2:D689,D689)-1)</f>
        <v/>
      </c>
      <c r="Q689" s="62" t="str">
        <f>IF(OR(D689="",NOT(AND(F689=1,G689="SUV"))),"",1+SUMPRODUCT(($F$2:$F$1001=1)*($G$2:$G$1001="SUV")*($D$2:$D$1001&gt;D689))+COUNTIFS($F$2:F689,1,$G$2:G689,"SUV",$D$2:D689,D689)-1)</f>
        <v/>
      </c>
    </row>
    <row r="690" spans="1:17">
      <c r="A690" s="62" t="str">
        <f>IFERROR(INDEX($H$2:$H$3000,MATCH(0,INDEX(COUNTIF($A$1:A689,$H$2:$H$3000)+($H$2:$H$3000=""),0,0),0)),"")</f>
        <v/>
      </c>
      <c r="B690" s="62" t="str">
        <f t="shared" si="40"/>
        <v/>
      </c>
      <c r="C690" s="62" t="str">
        <f t="shared" si="41"/>
        <v/>
      </c>
      <c r="D690" s="63" t="str">
        <f t="shared" si="42"/>
        <v/>
      </c>
      <c r="E690" s="62" t="str">
        <f>IF(D690="","",_xlfn.RANK.EQ(D690,$D$2:$D$1001,0)+COUNTIF($D$2:D690,D690)-1)</f>
        <v/>
      </c>
      <c r="F690" s="62" t="str">
        <f>IF(B690="","",--(COUNTIF(CN_Brands!$A$2:$A$300,UPPER(B690))&gt;0))</f>
        <v/>
      </c>
      <c r="G690" s="62" t="str">
        <f t="shared" si="43"/>
        <v/>
      </c>
      <c r="H690" s="62" t="str">
        <f>IF(AND('Data Export'!A690=前十整体车型排名!$B$2,'Data Export'!B690=前十整体车型排名!$B$3,'Data Export'!D690&lt;&gt;""),UPPER('Data Export'!C690)&amp;"♦"&amp;'Data Export'!D690,"")</f>
        <v>PORSCHE♦CAYENNE</v>
      </c>
      <c r="I690" s="63">
        <f>IF(H690="","",IFERROR(INDEX('Data Export'!G690:CZ690,1,MATCH(前十整体车型排名!$B$4,'Data Export'!$G$1:$CZ$1,0)),0))</f>
        <v>0</v>
      </c>
      <c r="J690" s="62" t="str">
        <f>IF(H690="","",IF(OR('Data Export'!F690="三厢轿车",'Data Export'!F690="掀背轿车",'Data Export'!F690="旅行车",'Data Export'!F690="微型车",'Data Export'!F690="硬顶跑车",'Data Export'!F690="敞蓬车",'Data Export'!F690="Targa"),"轿车",IF(OR('Data Export'!F690="小型MPV",'Data Export'!F690="客车"),"MPV",IF('Data Export'!F690="运动型多功能车","SUV","其他"))))</f>
        <v>SUV</v>
      </c>
      <c r="K690" s="62" t="str">
        <f>IF(OR(D690="",NOT(F690=1)),"",1+SUMPRODUCT(($F$2:$F$1001=1)*($D$2:$D$1001&gt;D690))+COUNTIFS($F$2:F690,1,$D$2:D690,D690)-1)</f>
        <v/>
      </c>
      <c r="L690" s="62" t="str">
        <f>IF(OR(D690="",NOT(G690="轿车")),"",1+SUMPRODUCT(($G$2:$G$1001="轿车")*($D$2:$D$1001&gt;D690))+COUNTIFS($G$2:G690,"轿车",$D$2:D690,D690)-1)</f>
        <v/>
      </c>
      <c r="M690" s="62" t="str">
        <f>IF(OR(D690="",NOT(G690="MPV")),"",1+SUMPRODUCT(($G$2:$G$1001="MPV")*($D$2:$D$1001&gt;D690))+COUNTIFS($G$2:G690,"MPV",$D$2:D690,D690)-1)</f>
        <v/>
      </c>
      <c r="N690" s="62" t="str">
        <f>IF(OR(D690="",NOT(G690="SUV")),"",1+SUMPRODUCT(($G$2:$G$1001="SUV")*($D$2:$D$1001&gt;D690))+COUNTIFS($G$2:G690,"SUV",$D$2:D690,D690)-1)</f>
        <v/>
      </c>
      <c r="O690" s="62" t="str">
        <f>IF(OR(D690="",NOT(AND(F690=1,G690="轿车"))),"",1+SUMPRODUCT(($F$2:$F$1001=1)*($G$2:$G$1001="轿车")*($D$2:$D$1001&gt;D690))+COUNTIFS($F$2:F690,1,$G$2:G690,"轿车",$D$2:D690,D690)-1)</f>
        <v/>
      </c>
      <c r="P690" s="62" t="str">
        <f>IF(OR(D690="",NOT(AND(F690=1,G690="MPV"))),"",1+SUMPRODUCT(($F$2:$F$1001=1)*($G$2:$G$1001="MPV")*($D$2:$D$1001&gt;D690))+COUNTIFS($F$2:F690,1,$G$2:G690,"MPV",$D$2:D690,D690)-1)</f>
        <v/>
      </c>
      <c r="Q690" s="62" t="str">
        <f>IF(OR(D690="",NOT(AND(F690=1,G690="SUV"))),"",1+SUMPRODUCT(($F$2:$F$1001=1)*($G$2:$G$1001="SUV")*($D$2:$D$1001&gt;D690))+COUNTIFS($F$2:F690,1,$G$2:G690,"SUV",$D$2:D690,D690)-1)</f>
        <v/>
      </c>
    </row>
    <row r="691" spans="1:17">
      <c r="A691" s="62" t="str">
        <f>IFERROR(INDEX($H$2:$H$3000,MATCH(0,INDEX(COUNTIF($A$1:A690,$H$2:$H$3000)+($H$2:$H$3000=""),0,0),0)),"")</f>
        <v/>
      </c>
      <c r="B691" s="62" t="str">
        <f t="shared" si="40"/>
        <v/>
      </c>
      <c r="C691" s="62" t="str">
        <f t="shared" si="41"/>
        <v/>
      </c>
      <c r="D691" s="63" t="str">
        <f t="shared" si="42"/>
        <v/>
      </c>
      <c r="E691" s="62" t="str">
        <f>IF(D691="","",_xlfn.RANK.EQ(D691,$D$2:$D$1001,0)+COUNTIF($D$2:D691,D691)-1)</f>
        <v/>
      </c>
      <c r="F691" s="62" t="str">
        <f>IF(B691="","",--(COUNTIF(CN_Brands!$A$2:$A$300,UPPER(B691))&gt;0))</f>
        <v/>
      </c>
      <c r="G691" s="62" t="str">
        <f t="shared" si="43"/>
        <v/>
      </c>
      <c r="H691" s="62" t="str">
        <f>IF(AND('Data Export'!A691=前十整体车型排名!$B$2,'Data Export'!B691=前十整体车型排名!$B$3,'Data Export'!D691&lt;&gt;""),UPPER('Data Export'!C691)&amp;"♦"&amp;'Data Export'!D691,"")</f>
        <v>PORSCHE♦CAYENNE COUPE</v>
      </c>
      <c r="I691" s="63">
        <f>IF(H691="","",IFERROR(INDEX('Data Export'!G691:CZ691,1,MATCH(前十整体车型排名!$B$4,'Data Export'!$G$1:$CZ$1,0)),0))</f>
        <v>4</v>
      </c>
      <c r="J691" s="62" t="str">
        <f>IF(H691="","",IF(OR('Data Export'!F691="三厢轿车",'Data Export'!F691="掀背轿车",'Data Export'!F691="旅行车",'Data Export'!F691="微型车",'Data Export'!F691="硬顶跑车",'Data Export'!F691="敞蓬车",'Data Export'!F691="Targa"),"轿车",IF(OR('Data Export'!F691="小型MPV",'Data Export'!F691="客车"),"MPV",IF('Data Export'!F691="运动型多功能车","SUV","其他"))))</f>
        <v>SUV</v>
      </c>
      <c r="K691" s="62" t="str">
        <f>IF(OR(D691="",NOT(F691=1)),"",1+SUMPRODUCT(($F$2:$F$1001=1)*($D$2:$D$1001&gt;D691))+COUNTIFS($F$2:F691,1,$D$2:D691,D691)-1)</f>
        <v/>
      </c>
      <c r="L691" s="62" t="str">
        <f>IF(OR(D691="",NOT(G691="轿车")),"",1+SUMPRODUCT(($G$2:$G$1001="轿车")*($D$2:$D$1001&gt;D691))+COUNTIFS($G$2:G691,"轿车",$D$2:D691,D691)-1)</f>
        <v/>
      </c>
      <c r="M691" s="62" t="str">
        <f>IF(OR(D691="",NOT(G691="MPV")),"",1+SUMPRODUCT(($G$2:$G$1001="MPV")*($D$2:$D$1001&gt;D691))+COUNTIFS($G$2:G691,"MPV",$D$2:D691,D691)-1)</f>
        <v/>
      </c>
      <c r="N691" s="62" t="str">
        <f>IF(OR(D691="",NOT(G691="SUV")),"",1+SUMPRODUCT(($G$2:$G$1001="SUV")*($D$2:$D$1001&gt;D691))+COUNTIFS($G$2:G691,"SUV",$D$2:D691,D691)-1)</f>
        <v/>
      </c>
      <c r="O691" s="62" t="str">
        <f>IF(OR(D691="",NOT(AND(F691=1,G691="轿车"))),"",1+SUMPRODUCT(($F$2:$F$1001=1)*($G$2:$G$1001="轿车")*($D$2:$D$1001&gt;D691))+COUNTIFS($F$2:F691,1,$G$2:G691,"轿车",$D$2:D691,D691)-1)</f>
        <v/>
      </c>
      <c r="P691" s="62" t="str">
        <f>IF(OR(D691="",NOT(AND(F691=1,G691="MPV"))),"",1+SUMPRODUCT(($F$2:$F$1001=1)*($G$2:$G$1001="MPV")*($D$2:$D$1001&gt;D691))+COUNTIFS($F$2:F691,1,$G$2:G691,"MPV",$D$2:D691,D691)-1)</f>
        <v/>
      </c>
      <c r="Q691" s="62" t="str">
        <f>IF(OR(D691="",NOT(AND(F691=1,G691="SUV"))),"",1+SUMPRODUCT(($F$2:$F$1001=1)*($G$2:$G$1001="SUV")*($D$2:$D$1001&gt;D691))+COUNTIFS($F$2:F691,1,$G$2:G691,"SUV",$D$2:D691,D691)-1)</f>
        <v/>
      </c>
    </row>
    <row r="692" spans="1:17">
      <c r="A692" s="62" t="str">
        <f>IFERROR(INDEX($H$2:$H$3000,MATCH(0,INDEX(COUNTIF($A$1:A691,$H$2:$H$3000)+($H$2:$H$3000=""),0,0),0)),"")</f>
        <v/>
      </c>
      <c r="B692" s="62" t="str">
        <f t="shared" si="40"/>
        <v/>
      </c>
      <c r="C692" s="62" t="str">
        <f t="shared" si="41"/>
        <v/>
      </c>
      <c r="D692" s="63" t="str">
        <f t="shared" si="42"/>
        <v/>
      </c>
      <c r="E692" s="62" t="str">
        <f>IF(D692="","",_xlfn.RANK.EQ(D692,$D$2:$D$1001,0)+COUNTIF($D$2:D692,D692)-1)</f>
        <v/>
      </c>
      <c r="F692" s="62" t="str">
        <f>IF(B692="","",--(COUNTIF(CN_Brands!$A$2:$A$300,UPPER(B692))&gt;0))</f>
        <v/>
      </c>
      <c r="G692" s="62" t="str">
        <f t="shared" si="43"/>
        <v/>
      </c>
      <c r="H692" s="62" t="str">
        <f>IF(AND('Data Export'!A692=前十整体车型排名!$B$2,'Data Export'!B692=前十整体车型排名!$B$3,'Data Export'!D692&lt;&gt;""),UPPER('Data Export'!C692)&amp;"♦"&amp;'Data Export'!D692,"")</f>
        <v>PORSCHE♦CAYENNE COUPE</v>
      </c>
      <c r="I692" s="63">
        <f>IF(H692="","",IFERROR(INDEX('Data Export'!G692:CZ692,1,MATCH(前十整体车型排名!$B$4,'Data Export'!$G$1:$CZ$1,0)),0))</f>
        <v>0</v>
      </c>
      <c r="J692" s="62" t="str">
        <f>IF(H692="","",IF(OR('Data Export'!F692="三厢轿车",'Data Export'!F692="掀背轿车",'Data Export'!F692="旅行车",'Data Export'!F692="微型车",'Data Export'!F692="硬顶跑车",'Data Export'!F692="敞蓬车",'Data Export'!F692="Targa"),"轿车",IF(OR('Data Export'!F692="小型MPV",'Data Export'!F692="客车"),"MPV",IF('Data Export'!F692="运动型多功能车","SUV","其他"))))</f>
        <v>SUV</v>
      </c>
      <c r="K692" s="62" t="str">
        <f>IF(OR(D692="",NOT(F692=1)),"",1+SUMPRODUCT(($F$2:$F$1001=1)*($D$2:$D$1001&gt;D692))+COUNTIFS($F$2:F692,1,$D$2:D692,D692)-1)</f>
        <v/>
      </c>
      <c r="L692" s="62" t="str">
        <f>IF(OR(D692="",NOT(G692="轿车")),"",1+SUMPRODUCT(($G$2:$G$1001="轿车")*($D$2:$D$1001&gt;D692))+COUNTIFS($G$2:G692,"轿车",$D$2:D692,D692)-1)</f>
        <v/>
      </c>
      <c r="M692" s="62" t="str">
        <f>IF(OR(D692="",NOT(G692="MPV")),"",1+SUMPRODUCT(($G$2:$G$1001="MPV")*($D$2:$D$1001&gt;D692))+COUNTIFS($G$2:G692,"MPV",$D$2:D692,D692)-1)</f>
        <v/>
      </c>
      <c r="N692" s="62" t="str">
        <f>IF(OR(D692="",NOT(G692="SUV")),"",1+SUMPRODUCT(($G$2:$G$1001="SUV")*($D$2:$D$1001&gt;D692))+COUNTIFS($G$2:G692,"SUV",$D$2:D692,D692)-1)</f>
        <v/>
      </c>
      <c r="O692" s="62" t="str">
        <f>IF(OR(D692="",NOT(AND(F692=1,G692="轿车"))),"",1+SUMPRODUCT(($F$2:$F$1001=1)*($G$2:$G$1001="轿车")*($D$2:$D$1001&gt;D692))+COUNTIFS($F$2:F692,1,$G$2:G692,"轿车",$D$2:D692,D692)-1)</f>
        <v/>
      </c>
      <c r="P692" s="62" t="str">
        <f>IF(OR(D692="",NOT(AND(F692=1,G692="MPV"))),"",1+SUMPRODUCT(($F$2:$F$1001=1)*($G$2:$G$1001="MPV")*($D$2:$D$1001&gt;D692))+COUNTIFS($F$2:F692,1,$G$2:G692,"MPV",$D$2:D692,D692)-1)</f>
        <v/>
      </c>
      <c r="Q692" s="62" t="str">
        <f>IF(OR(D692="",NOT(AND(F692=1,G692="SUV"))),"",1+SUMPRODUCT(($F$2:$F$1001=1)*($G$2:$G$1001="SUV")*($D$2:$D$1001&gt;D692))+COUNTIFS($F$2:F692,1,$G$2:G692,"SUV",$D$2:D692,D692)-1)</f>
        <v/>
      </c>
    </row>
    <row r="693" spans="1:17">
      <c r="A693" s="62" t="str">
        <f>IFERROR(INDEX($H$2:$H$3000,MATCH(0,INDEX(COUNTIF($A$1:A692,$H$2:$H$3000)+($H$2:$H$3000=""),0,0),0)),"")</f>
        <v/>
      </c>
      <c r="B693" s="62" t="str">
        <f t="shared" si="40"/>
        <v/>
      </c>
      <c r="C693" s="62" t="str">
        <f t="shared" si="41"/>
        <v/>
      </c>
      <c r="D693" s="63" t="str">
        <f t="shared" si="42"/>
        <v/>
      </c>
      <c r="E693" s="62" t="str">
        <f>IF(D693="","",_xlfn.RANK.EQ(D693,$D$2:$D$1001,0)+COUNTIF($D$2:D693,D693)-1)</f>
        <v/>
      </c>
      <c r="F693" s="62" t="str">
        <f>IF(B693="","",--(COUNTIF(CN_Brands!$A$2:$A$300,UPPER(B693))&gt;0))</f>
        <v/>
      </c>
      <c r="G693" s="62" t="str">
        <f t="shared" si="43"/>
        <v/>
      </c>
      <c r="H693" s="62" t="str">
        <f>IF(AND('Data Export'!A693=前十整体车型排名!$B$2,'Data Export'!B693=前十整体车型排名!$B$3,'Data Export'!D693&lt;&gt;""),UPPER('Data Export'!C693)&amp;"♦"&amp;'Data Export'!D693,"")</f>
        <v>PORSCHE♦CAYENNE COUPE</v>
      </c>
      <c r="I693" s="63">
        <f>IF(H693="","",IFERROR(INDEX('Data Export'!G693:CZ693,1,MATCH(前十整体车型排名!$B$4,'Data Export'!$G$1:$CZ$1,0)),0))</f>
        <v>0</v>
      </c>
      <c r="J693" s="62" t="str">
        <f>IF(H693="","",IF(OR('Data Export'!F693="三厢轿车",'Data Export'!F693="掀背轿车",'Data Export'!F693="旅行车",'Data Export'!F693="微型车",'Data Export'!F693="硬顶跑车",'Data Export'!F693="敞蓬车",'Data Export'!F693="Targa"),"轿车",IF(OR('Data Export'!F693="小型MPV",'Data Export'!F693="客车"),"MPV",IF('Data Export'!F693="运动型多功能车","SUV","其他"))))</f>
        <v>SUV</v>
      </c>
      <c r="K693" s="62" t="str">
        <f>IF(OR(D693="",NOT(F693=1)),"",1+SUMPRODUCT(($F$2:$F$1001=1)*($D$2:$D$1001&gt;D693))+COUNTIFS($F$2:F693,1,$D$2:D693,D693)-1)</f>
        <v/>
      </c>
      <c r="L693" s="62" t="str">
        <f>IF(OR(D693="",NOT(G693="轿车")),"",1+SUMPRODUCT(($G$2:$G$1001="轿车")*($D$2:$D$1001&gt;D693))+COUNTIFS($G$2:G693,"轿车",$D$2:D693,D693)-1)</f>
        <v/>
      </c>
      <c r="M693" s="62" t="str">
        <f>IF(OR(D693="",NOT(G693="MPV")),"",1+SUMPRODUCT(($G$2:$G$1001="MPV")*($D$2:$D$1001&gt;D693))+COUNTIFS($G$2:G693,"MPV",$D$2:D693,D693)-1)</f>
        <v/>
      </c>
      <c r="N693" s="62" t="str">
        <f>IF(OR(D693="",NOT(G693="SUV")),"",1+SUMPRODUCT(($G$2:$G$1001="SUV")*($D$2:$D$1001&gt;D693))+COUNTIFS($G$2:G693,"SUV",$D$2:D693,D693)-1)</f>
        <v/>
      </c>
      <c r="O693" s="62" t="str">
        <f>IF(OR(D693="",NOT(AND(F693=1,G693="轿车"))),"",1+SUMPRODUCT(($F$2:$F$1001=1)*($G$2:$G$1001="轿车")*($D$2:$D$1001&gt;D693))+COUNTIFS($F$2:F693,1,$G$2:G693,"轿车",$D$2:D693,D693)-1)</f>
        <v/>
      </c>
      <c r="P693" s="62" t="str">
        <f>IF(OR(D693="",NOT(AND(F693=1,G693="MPV"))),"",1+SUMPRODUCT(($F$2:$F$1001=1)*($G$2:$G$1001="MPV")*($D$2:$D$1001&gt;D693))+COUNTIFS($F$2:F693,1,$G$2:G693,"MPV",$D$2:D693,D693)-1)</f>
        <v/>
      </c>
      <c r="Q693" s="62" t="str">
        <f>IF(OR(D693="",NOT(AND(F693=1,G693="SUV"))),"",1+SUMPRODUCT(($F$2:$F$1001=1)*($G$2:$G$1001="SUV")*($D$2:$D$1001&gt;D693))+COUNTIFS($F$2:F693,1,$G$2:G693,"SUV",$D$2:D693,D693)-1)</f>
        <v/>
      </c>
    </row>
    <row r="694" spans="1:17">
      <c r="A694" s="62" t="str">
        <f>IFERROR(INDEX($H$2:$H$3000,MATCH(0,INDEX(COUNTIF($A$1:A693,$H$2:$H$3000)+($H$2:$H$3000=""),0,0),0)),"")</f>
        <v/>
      </c>
      <c r="B694" s="62" t="str">
        <f t="shared" si="40"/>
        <v/>
      </c>
      <c r="C694" s="62" t="str">
        <f t="shared" si="41"/>
        <v/>
      </c>
      <c r="D694" s="63" t="str">
        <f t="shared" si="42"/>
        <v/>
      </c>
      <c r="E694" s="62" t="str">
        <f>IF(D694="","",_xlfn.RANK.EQ(D694,$D$2:$D$1001,0)+COUNTIF($D$2:D694,D694)-1)</f>
        <v/>
      </c>
      <c r="F694" s="62" t="str">
        <f>IF(B694="","",--(COUNTIF(CN_Brands!$A$2:$A$300,UPPER(B694))&gt;0))</f>
        <v/>
      </c>
      <c r="G694" s="62" t="str">
        <f t="shared" si="43"/>
        <v/>
      </c>
      <c r="H694" s="62" t="str">
        <f>IF(AND('Data Export'!A694=前十整体车型排名!$B$2,'Data Export'!B694=前十整体车型排名!$B$3,'Data Export'!D694&lt;&gt;""),UPPER('Data Export'!C694)&amp;"♦"&amp;'Data Export'!D694,"")</f>
        <v>PORSCHE♦CAYENNE COUPE</v>
      </c>
      <c r="I694" s="63">
        <f>IF(H694="","",IFERROR(INDEX('Data Export'!G694:CZ694,1,MATCH(前十整体车型排名!$B$4,'Data Export'!$G$1:$CZ$1,0)),0))</f>
        <v>0</v>
      </c>
      <c r="J694" s="62" t="str">
        <f>IF(H694="","",IF(OR('Data Export'!F694="三厢轿车",'Data Export'!F694="掀背轿车",'Data Export'!F694="旅行车",'Data Export'!F694="微型车",'Data Export'!F694="硬顶跑车",'Data Export'!F694="敞蓬车",'Data Export'!F694="Targa"),"轿车",IF(OR('Data Export'!F694="小型MPV",'Data Export'!F694="客车"),"MPV",IF('Data Export'!F694="运动型多功能车","SUV","其他"))))</f>
        <v>SUV</v>
      </c>
      <c r="K694" s="62" t="str">
        <f>IF(OR(D694="",NOT(F694=1)),"",1+SUMPRODUCT(($F$2:$F$1001=1)*($D$2:$D$1001&gt;D694))+COUNTIFS($F$2:F694,1,$D$2:D694,D694)-1)</f>
        <v/>
      </c>
      <c r="L694" s="62" t="str">
        <f>IF(OR(D694="",NOT(G694="轿车")),"",1+SUMPRODUCT(($G$2:$G$1001="轿车")*($D$2:$D$1001&gt;D694))+COUNTIFS($G$2:G694,"轿车",$D$2:D694,D694)-1)</f>
        <v/>
      </c>
      <c r="M694" s="62" t="str">
        <f>IF(OR(D694="",NOT(G694="MPV")),"",1+SUMPRODUCT(($G$2:$G$1001="MPV")*($D$2:$D$1001&gt;D694))+COUNTIFS($G$2:G694,"MPV",$D$2:D694,D694)-1)</f>
        <v/>
      </c>
      <c r="N694" s="62" t="str">
        <f>IF(OR(D694="",NOT(G694="SUV")),"",1+SUMPRODUCT(($G$2:$G$1001="SUV")*($D$2:$D$1001&gt;D694))+COUNTIFS($G$2:G694,"SUV",$D$2:D694,D694)-1)</f>
        <v/>
      </c>
      <c r="O694" s="62" t="str">
        <f>IF(OR(D694="",NOT(AND(F694=1,G694="轿车"))),"",1+SUMPRODUCT(($F$2:$F$1001=1)*($G$2:$G$1001="轿车")*($D$2:$D$1001&gt;D694))+COUNTIFS($F$2:F694,1,$G$2:G694,"轿车",$D$2:D694,D694)-1)</f>
        <v/>
      </c>
      <c r="P694" s="62" t="str">
        <f>IF(OR(D694="",NOT(AND(F694=1,G694="MPV"))),"",1+SUMPRODUCT(($F$2:$F$1001=1)*($G$2:$G$1001="MPV")*($D$2:$D$1001&gt;D694))+COUNTIFS($F$2:F694,1,$G$2:G694,"MPV",$D$2:D694,D694)-1)</f>
        <v/>
      </c>
      <c r="Q694" s="62" t="str">
        <f>IF(OR(D694="",NOT(AND(F694=1,G694="SUV"))),"",1+SUMPRODUCT(($F$2:$F$1001=1)*($G$2:$G$1001="SUV")*($D$2:$D$1001&gt;D694))+COUNTIFS($F$2:F694,1,$G$2:G694,"SUV",$D$2:D694,D694)-1)</f>
        <v/>
      </c>
    </row>
    <row r="695" spans="1:17">
      <c r="A695" s="62" t="str">
        <f>IFERROR(INDEX($H$2:$H$3000,MATCH(0,INDEX(COUNTIF($A$1:A694,$H$2:$H$3000)+($H$2:$H$3000=""),0,0),0)),"")</f>
        <v/>
      </c>
      <c r="B695" s="62" t="str">
        <f t="shared" si="40"/>
        <v/>
      </c>
      <c r="C695" s="62" t="str">
        <f t="shared" si="41"/>
        <v/>
      </c>
      <c r="D695" s="63" t="str">
        <f t="shared" si="42"/>
        <v/>
      </c>
      <c r="E695" s="62" t="str">
        <f>IF(D695="","",_xlfn.RANK.EQ(D695,$D$2:$D$1001,0)+COUNTIF($D$2:D695,D695)-1)</f>
        <v/>
      </c>
      <c r="F695" s="62" t="str">
        <f>IF(B695="","",--(COUNTIF(CN_Brands!$A$2:$A$300,UPPER(B695))&gt;0))</f>
        <v/>
      </c>
      <c r="G695" s="62" t="str">
        <f t="shared" si="43"/>
        <v/>
      </c>
      <c r="H695" s="62" t="str">
        <f>IF(AND('Data Export'!A695=前十整体车型排名!$B$2,'Data Export'!B695=前十整体车型排名!$B$3,'Data Export'!D695&lt;&gt;""),UPPER('Data Export'!C695)&amp;"♦"&amp;'Data Export'!D695,"")</f>
        <v>PORSCHE♦CAYENNE COUPE</v>
      </c>
      <c r="I695" s="63">
        <f>IF(H695="","",IFERROR(INDEX('Data Export'!G695:CZ695,1,MATCH(前十整体车型排名!$B$4,'Data Export'!$G$1:$CZ$1,0)),0))</f>
        <v>0</v>
      </c>
      <c r="J695" s="62" t="str">
        <f>IF(H695="","",IF(OR('Data Export'!F695="三厢轿车",'Data Export'!F695="掀背轿车",'Data Export'!F695="旅行车",'Data Export'!F695="微型车",'Data Export'!F695="硬顶跑车",'Data Export'!F695="敞蓬车",'Data Export'!F695="Targa"),"轿车",IF(OR('Data Export'!F695="小型MPV",'Data Export'!F695="客车"),"MPV",IF('Data Export'!F695="运动型多功能车","SUV","其他"))))</f>
        <v>SUV</v>
      </c>
      <c r="K695" s="62" t="str">
        <f>IF(OR(D695="",NOT(F695=1)),"",1+SUMPRODUCT(($F$2:$F$1001=1)*($D$2:$D$1001&gt;D695))+COUNTIFS($F$2:F695,1,$D$2:D695,D695)-1)</f>
        <v/>
      </c>
      <c r="L695" s="62" t="str">
        <f>IF(OR(D695="",NOT(G695="轿车")),"",1+SUMPRODUCT(($G$2:$G$1001="轿车")*($D$2:$D$1001&gt;D695))+COUNTIFS($G$2:G695,"轿车",$D$2:D695,D695)-1)</f>
        <v/>
      </c>
      <c r="M695" s="62" t="str">
        <f>IF(OR(D695="",NOT(G695="MPV")),"",1+SUMPRODUCT(($G$2:$G$1001="MPV")*($D$2:$D$1001&gt;D695))+COUNTIFS($G$2:G695,"MPV",$D$2:D695,D695)-1)</f>
        <v/>
      </c>
      <c r="N695" s="62" t="str">
        <f>IF(OR(D695="",NOT(G695="SUV")),"",1+SUMPRODUCT(($G$2:$G$1001="SUV")*($D$2:$D$1001&gt;D695))+COUNTIFS($G$2:G695,"SUV",$D$2:D695,D695)-1)</f>
        <v/>
      </c>
      <c r="O695" s="62" t="str">
        <f>IF(OR(D695="",NOT(AND(F695=1,G695="轿车"))),"",1+SUMPRODUCT(($F$2:$F$1001=1)*($G$2:$G$1001="轿车")*($D$2:$D$1001&gt;D695))+COUNTIFS($F$2:F695,1,$G$2:G695,"轿车",$D$2:D695,D695)-1)</f>
        <v/>
      </c>
      <c r="P695" s="62" t="str">
        <f>IF(OR(D695="",NOT(AND(F695=1,G695="MPV"))),"",1+SUMPRODUCT(($F$2:$F$1001=1)*($G$2:$G$1001="MPV")*($D$2:$D$1001&gt;D695))+COUNTIFS($F$2:F695,1,$G$2:G695,"MPV",$D$2:D695,D695)-1)</f>
        <v/>
      </c>
      <c r="Q695" s="62" t="str">
        <f>IF(OR(D695="",NOT(AND(F695=1,G695="SUV"))),"",1+SUMPRODUCT(($F$2:$F$1001=1)*($G$2:$G$1001="SUV")*($D$2:$D$1001&gt;D695))+COUNTIFS($F$2:F695,1,$G$2:G695,"SUV",$D$2:D695,D695)-1)</f>
        <v/>
      </c>
    </row>
    <row r="696" spans="1:17">
      <c r="A696" s="62" t="str">
        <f>IFERROR(INDEX($H$2:$H$3000,MATCH(0,INDEX(COUNTIF($A$1:A695,$H$2:$H$3000)+($H$2:$H$3000=""),0,0),0)),"")</f>
        <v/>
      </c>
      <c r="B696" s="62" t="str">
        <f t="shared" si="40"/>
        <v/>
      </c>
      <c r="C696" s="62" t="str">
        <f t="shared" si="41"/>
        <v/>
      </c>
      <c r="D696" s="63" t="str">
        <f t="shared" si="42"/>
        <v/>
      </c>
      <c r="E696" s="62" t="str">
        <f>IF(D696="","",_xlfn.RANK.EQ(D696,$D$2:$D$1001,0)+COUNTIF($D$2:D696,D696)-1)</f>
        <v/>
      </c>
      <c r="F696" s="62" t="str">
        <f>IF(B696="","",--(COUNTIF(CN_Brands!$A$2:$A$300,UPPER(B696))&gt;0))</f>
        <v/>
      </c>
      <c r="G696" s="62" t="str">
        <f t="shared" si="43"/>
        <v/>
      </c>
      <c r="H696" s="62" t="str">
        <f>IF(AND('Data Export'!A696=前十整体车型排名!$B$2,'Data Export'!B696=前十整体车型排名!$B$3,'Data Export'!D696&lt;&gt;""),UPPER('Data Export'!C696)&amp;"♦"&amp;'Data Export'!D696,"")</f>
        <v>PORSCHE♦CAYENNE COUPE</v>
      </c>
      <c r="I696" s="63">
        <f>IF(H696="","",IFERROR(INDEX('Data Export'!G696:CZ696,1,MATCH(前十整体车型排名!$B$4,'Data Export'!$G$1:$CZ$1,0)),0))</f>
        <v>2</v>
      </c>
      <c r="J696" s="62" t="str">
        <f>IF(H696="","",IF(OR('Data Export'!F696="三厢轿车",'Data Export'!F696="掀背轿车",'Data Export'!F696="旅行车",'Data Export'!F696="微型车",'Data Export'!F696="硬顶跑车",'Data Export'!F696="敞蓬车",'Data Export'!F696="Targa"),"轿车",IF(OR('Data Export'!F696="小型MPV",'Data Export'!F696="客车"),"MPV",IF('Data Export'!F696="运动型多功能车","SUV","其他"))))</f>
        <v>SUV</v>
      </c>
      <c r="K696" s="62" t="str">
        <f>IF(OR(D696="",NOT(F696=1)),"",1+SUMPRODUCT(($F$2:$F$1001=1)*($D$2:$D$1001&gt;D696))+COUNTIFS($F$2:F696,1,$D$2:D696,D696)-1)</f>
        <v/>
      </c>
      <c r="L696" s="62" t="str">
        <f>IF(OR(D696="",NOT(G696="轿车")),"",1+SUMPRODUCT(($G$2:$G$1001="轿车")*($D$2:$D$1001&gt;D696))+COUNTIFS($G$2:G696,"轿车",$D$2:D696,D696)-1)</f>
        <v/>
      </c>
      <c r="M696" s="62" t="str">
        <f>IF(OR(D696="",NOT(G696="MPV")),"",1+SUMPRODUCT(($G$2:$G$1001="MPV")*($D$2:$D$1001&gt;D696))+COUNTIFS($G$2:G696,"MPV",$D$2:D696,D696)-1)</f>
        <v/>
      </c>
      <c r="N696" s="62" t="str">
        <f>IF(OR(D696="",NOT(G696="SUV")),"",1+SUMPRODUCT(($G$2:$G$1001="SUV")*($D$2:$D$1001&gt;D696))+COUNTIFS($G$2:G696,"SUV",$D$2:D696,D696)-1)</f>
        <v/>
      </c>
      <c r="O696" s="62" t="str">
        <f>IF(OR(D696="",NOT(AND(F696=1,G696="轿车"))),"",1+SUMPRODUCT(($F$2:$F$1001=1)*($G$2:$G$1001="轿车")*($D$2:$D$1001&gt;D696))+COUNTIFS($F$2:F696,1,$G$2:G696,"轿车",$D$2:D696,D696)-1)</f>
        <v/>
      </c>
      <c r="P696" s="62" t="str">
        <f>IF(OR(D696="",NOT(AND(F696=1,G696="MPV"))),"",1+SUMPRODUCT(($F$2:$F$1001=1)*($G$2:$G$1001="MPV")*($D$2:$D$1001&gt;D696))+COUNTIFS($F$2:F696,1,$G$2:G696,"MPV",$D$2:D696,D696)-1)</f>
        <v/>
      </c>
      <c r="Q696" s="62" t="str">
        <f>IF(OR(D696="",NOT(AND(F696=1,G696="SUV"))),"",1+SUMPRODUCT(($F$2:$F$1001=1)*($G$2:$G$1001="SUV")*($D$2:$D$1001&gt;D696))+COUNTIFS($F$2:F696,1,$G$2:G696,"SUV",$D$2:D696,D696)-1)</f>
        <v/>
      </c>
    </row>
    <row r="697" spans="1:17">
      <c r="A697" s="62" t="str">
        <f>IFERROR(INDEX($H$2:$H$3000,MATCH(0,INDEX(COUNTIF($A$1:A696,$H$2:$H$3000)+($H$2:$H$3000=""),0,0),0)),"")</f>
        <v/>
      </c>
      <c r="B697" s="62" t="str">
        <f t="shared" si="40"/>
        <v/>
      </c>
      <c r="C697" s="62" t="str">
        <f t="shared" si="41"/>
        <v/>
      </c>
      <c r="D697" s="63" t="str">
        <f t="shared" si="42"/>
        <v/>
      </c>
      <c r="E697" s="62" t="str">
        <f>IF(D697="","",_xlfn.RANK.EQ(D697,$D$2:$D$1001,0)+COUNTIF($D$2:D697,D697)-1)</f>
        <v/>
      </c>
      <c r="F697" s="62" t="str">
        <f>IF(B697="","",--(COUNTIF(CN_Brands!$A$2:$A$300,UPPER(B697))&gt;0))</f>
        <v/>
      </c>
      <c r="G697" s="62" t="str">
        <f t="shared" si="43"/>
        <v/>
      </c>
      <c r="H697" s="62" t="str">
        <f>IF(AND('Data Export'!A697=前十整体车型排名!$B$2,'Data Export'!B697=前十整体车型排名!$B$3,'Data Export'!D697&lt;&gt;""),UPPER('Data Export'!C697)&amp;"♦"&amp;'Data Export'!D697,"")</f>
        <v>PORSCHE♦CAYENNE COUPE</v>
      </c>
      <c r="I697" s="63">
        <f>IF(H697="","",IFERROR(INDEX('Data Export'!G697:CZ697,1,MATCH(前十整体车型排名!$B$4,'Data Export'!$G$1:$CZ$1,0)),0))</f>
        <v>0</v>
      </c>
      <c r="J697" s="62" t="str">
        <f>IF(H697="","",IF(OR('Data Export'!F697="三厢轿车",'Data Export'!F697="掀背轿车",'Data Export'!F697="旅行车",'Data Export'!F697="微型车",'Data Export'!F697="硬顶跑车",'Data Export'!F697="敞蓬车",'Data Export'!F697="Targa"),"轿车",IF(OR('Data Export'!F697="小型MPV",'Data Export'!F697="客车"),"MPV",IF('Data Export'!F697="运动型多功能车","SUV","其他"))))</f>
        <v>SUV</v>
      </c>
      <c r="K697" s="62" t="str">
        <f>IF(OR(D697="",NOT(F697=1)),"",1+SUMPRODUCT(($F$2:$F$1001=1)*($D$2:$D$1001&gt;D697))+COUNTIFS($F$2:F697,1,$D$2:D697,D697)-1)</f>
        <v/>
      </c>
      <c r="L697" s="62" t="str">
        <f>IF(OR(D697="",NOT(G697="轿车")),"",1+SUMPRODUCT(($G$2:$G$1001="轿车")*($D$2:$D$1001&gt;D697))+COUNTIFS($G$2:G697,"轿车",$D$2:D697,D697)-1)</f>
        <v/>
      </c>
      <c r="M697" s="62" t="str">
        <f>IF(OR(D697="",NOT(G697="MPV")),"",1+SUMPRODUCT(($G$2:$G$1001="MPV")*($D$2:$D$1001&gt;D697))+COUNTIFS($G$2:G697,"MPV",$D$2:D697,D697)-1)</f>
        <v/>
      </c>
      <c r="N697" s="62" t="str">
        <f>IF(OR(D697="",NOT(G697="SUV")),"",1+SUMPRODUCT(($G$2:$G$1001="SUV")*($D$2:$D$1001&gt;D697))+COUNTIFS($G$2:G697,"SUV",$D$2:D697,D697)-1)</f>
        <v/>
      </c>
      <c r="O697" s="62" t="str">
        <f>IF(OR(D697="",NOT(AND(F697=1,G697="轿车"))),"",1+SUMPRODUCT(($F$2:$F$1001=1)*($G$2:$G$1001="轿车")*($D$2:$D$1001&gt;D697))+COUNTIFS($F$2:F697,1,$G$2:G697,"轿车",$D$2:D697,D697)-1)</f>
        <v/>
      </c>
      <c r="P697" s="62" t="str">
        <f>IF(OR(D697="",NOT(AND(F697=1,G697="MPV"))),"",1+SUMPRODUCT(($F$2:$F$1001=1)*($G$2:$G$1001="MPV")*($D$2:$D$1001&gt;D697))+COUNTIFS($F$2:F697,1,$G$2:G697,"MPV",$D$2:D697,D697)-1)</f>
        <v/>
      </c>
      <c r="Q697" s="62" t="str">
        <f>IF(OR(D697="",NOT(AND(F697=1,G697="SUV"))),"",1+SUMPRODUCT(($F$2:$F$1001=1)*($G$2:$G$1001="SUV")*($D$2:$D$1001&gt;D697))+COUNTIFS($F$2:F697,1,$G$2:G697,"SUV",$D$2:D697,D697)-1)</f>
        <v/>
      </c>
    </row>
    <row r="698" spans="1:17">
      <c r="A698" s="62" t="str">
        <f>IFERROR(INDEX($H$2:$H$3000,MATCH(0,INDEX(COUNTIF($A$1:A697,$H$2:$H$3000)+($H$2:$H$3000=""),0,0),0)),"")</f>
        <v/>
      </c>
      <c r="B698" s="62" t="str">
        <f t="shared" si="40"/>
        <v/>
      </c>
      <c r="C698" s="62" t="str">
        <f t="shared" si="41"/>
        <v/>
      </c>
      <c r="D698" s="63" t="str">
        <f t="shared" si="42"/>
        <v/>
      </c>
      <c r="E698" s="62" t="str">
        <f>IF(D698="","",_xlfn.RANK.EQ(D698,$D$2:$D$1001,0)+COUNTIF($D$2:D698,D698)-1)</f>
        <v/>
      </c>
      <c r="F698" s="62" t="str">
        <f>IF(B698="","",--(COUNTIF(CN_Brands!$A$2:$A$300,UPPER(B698))&gt;0))</f>
        <v/>
      </c>
      <c r="G698" s="62" t="str">
        <f t="shared" si="43"/>
        <v/>
      </c>
      <c r="H698" s="62" t="str">
        <f>IF(AND('Data Export'!A698=前十整体车型排名!$B$2,'Data Export'!B698=前十整体车型排名!$B$3,'Data Export'!D698&lt;&gt;""),UPPER('Data Export'!C698)&amp;"♦"&amp;'Data Export'!D698,"")</f>
        <v>PORSCHE♦CAYENNE COUPE</v>
      </c>
      <c r="I698" s="63">
        <f>IF(H698="","",IFERROR(INDEX('Data Export'!G698:CZ698,1,MATCH(前十整体车型排名!$B$4,'Data Export'!$G$1:$CZ$1,0)),0))</f>
        <v>0</v>
      </c>
      <c r="J698" s="62" t="str">
        <f>IF(H698="","",IF(OR('Data Export'!F698="三厢轿车",'Data Export'!F698="掀背轿车",'Data Export'!F698="旅行车",'Data Export'!F698="微型车",'Data Export'!F698="硬顶跑车",'Data Export'!F698="敞蓬车",'Data Export'!F698="Targa"),"轿车",IF(OR('Data Export'!F698="小型MPV",'Data Export'!F698="客车"),"MPV",IF('Data Export'!F698="运动型多功能车","SUV","其他"))))</f>
        <v>SUV</v>
      </c>
      <c r="K698" s="62" t="str">
        <f>IF(OR(D698="",NOT(F698=1)),"",1+SUMPRODUCT(($F$2:$F$1001=1)*($D$2:$D$1001&gt;D698))+COUNTIFS($F$2:F698,1,$D$2:D698,D698)-1)</f>
        <v/>
      </c>
      <c r="L698" s="62" t="str">
        <f>IF(OR(D698="",NOT(G698="轿车")),"",1+SUMPRODUCT(($G$2:$G$1001="轿车")*($D$2:$D$1001&gt;D698))+COUNTIFS($G$2:G698,"轿车",$D$2:D698,D698)-1)</f>
        <v/>
      </c>
      <c r="M698" s="62" t="str">
        <f>IF(OR(D698="",NOT(G698="MPV")),"",1+SUMPRODUCT(($G$2:$G$1001="MPV")*($D$2:$D$1001&gt;D698))+COUNTIFS($G$2:G698,"MPV",$D$2:D698,D698)-1)</f>
        <v/>
      </c>
      <c r="N698" s="62" t="str">
        <f>IF(OR(D698="",NOT(G698="SUV")),"",1+SUMPRODUCT(($G$2:$G$1001="SUV")*($D$2:$D$1001&gt;D698))+COUNTIFS($G$2:G698,"SUV",$D$2:D698,D698)-1)</f>
        <v/>
      </c>
      <c r="O698" s="62" t="str">
        <f>IF(OR(D698="",NOT(AND(F698=1,G698="轿车"))),"",1+SUMPRODUCT(($F$2:$F$1001=1)*($G$2:$G$1001="轿车")*($D$2:$D$1001&gt;D698))+COUNTIFS($F$2:F698,1,$G$2:G698,"轿车",$D$2:D698,D698)-1)</f>
        <v/>
      </c>
      <c r="P698" s="62" t="str">
        <f>IF(OR(D698="",NOT(AND(F698=1,G698="MPV"))),"",1+SUMPRODUCT(($F$2:$F$1001=1)*($G$2:$G$1001="MPV")*($D$2:$D$1001&gt;D698))+COUNTIFS($F$2:F698,1,$G$2:G698,"MPV",$D$2:D698,D698)-1)</f>
        <v/>
      </c>
      <c r="Q698" s="62" t="str">
        <f>IF(OR(D698="",NOT(AND(F698=1,G698="SUV"))),"",1+SUMPRODUCT(($F$2:$F$1001=1)*($G$2:$G$1001="SUV")*($D$2:$D$1001&gt;D698))+COUNTIFS($F$2:F698,1,$G$2:G698,"SUV",$D$2:D698,D698)-1)</f>
        <v/>
      </c>
    </row>
    <row r="699" spans="1:17">
      <c r="A699" s="62" t="str">
        <f>IFERROR(INDEX($H$2:$H$3000,MATCH(0,INDEX(COUNTIF($A$1:A698,$H$2:$H$3000)+($H$2:$H$3000=""),0,0),0)),"")</f>
        <v/>
      </c>
      <c r="B699" s="62" t="str">
        <f t="shared" si="40"/>
        <v/>
      </c>
      <c r="C699" s="62" t="str">
        <f t="shared" si="41"/>
        <v/>
      </c>
      <c r="D699" s="63" t="str">
        <f t="shared" si="42"/>
        <v/>
      </c>
      <c r="E699" s="62" t="str">
        <f>IF(D699="","",_xlfn.RANK.EQ(D699,$D$2:$D$1001,0)+COUNTIF($D$2:D699,D699)-1)</f>
        <v/>
      </c>
      <c r="F699" s="62" t="str">
        <f>IF(B699="","",--(COUNTIF(CN_Brands!$A$2:$A$300,UPPER(B699))&gt;0))</f>
        <v/>
      </c>
      <c r="G699" s="62" t="str">
        <f t="shared" si="43"/>
        <v/>
      </c>
      <c r="H699" s="62" t="str">
        <f>IF(AND('Data Export'!A699=前十整体车型排名!$B$2,'Data Export'!B699=前十整体车型排名!$B$3,'Data Export'!D699&lt;&gt;""),UPPER('Data Export'!C699)&amp;"♦"&amp;'Data Export'!D699,"")</f>
        <v>PORSCHE♦CAYENNE COUPE</v>
      </c>
      <c r="I699" s="63">
        <f>IF(H699="","",IFERROR(INDEX('Data Export'!G699:CZ699,1,MATCH(前十整体车型排名!$B$4,'Data Export'!$G$1:$CZ$1,0)),0))</f>
        <v>46</v>
      </c>
      <c r="J699" s="62" t="str">
        <f>IF(H699="","",IF(OR('Data Export'!F699="三厢轿车",'Data Export'!F699="掀背轿车",'Data Export'!F699="旅行车",'Data Export'!F699="微型车",'Data Export'!F699="硬顶跑车",'Data Export'!F699="敞蓬车",'Data Export'!F699="Targa"),"轿车",IF(OR('Data Export'!F699="小型MPV",'Data Export'!F699="客车"),"MPV",IF('Data Export'!F699="运动型多功能车","SUV","其他"))))</f>
        <v>SUV</v>
      </c>
      <c r="K699" s="62" t="str">
        <f>IF(OR(D699="",NOT(F699=1)),"",1+SUMPRODUCT(($F$2:$F$1001=1)*($D$2:$D$1001&gt;D699))+COUNTIFS($F$2:F699,1,$D$2:D699,D699)-1)</f>
        <v/>
      </c>
      <c r="L699" s="62" t="str">
        <f>IF(OR(D699="",NOT(G699="轿车")),"",1+SUMPRODUCT(($G$2:$G$1001="轿车")*($D$2:$D$1001&gt;D699))+COUNTIFS($G$2:G699,"轿车",$D$2:D699,D699)-1)</f>
        <v/>
      </c>
      <c r="M699" s="62" t="str">
        <f>IF(OR(D699="",NOT(G699="MPV")),"",1+SUMPRODUCT(($G$2:$G$1001="MPV")*($D$2:$D$1001&gt;D699))+COUNTIFS($G$2:G699,"MPV",$D$2:D699,D699)-1)</f>
        <v/>
      </c>
      <c r="N699" s="62" t="str">
        <f>IF(OR(D699="",NOT(G699="SUV")),"",1+SUMPRODUCT(($G$2:$G$1001="SUV")*($D$2:$D$1001&gt;D699))+COUNTIFS($G$2:G699,"SUV",$D$2:D699,D699)-1)</f>
        <v/>
      </c>
      <c r="O699" s="62" t="str">
        <f>IF(OR(D699="",NOT(AND(F699=1,G699="轿车"))),"",1+SUMPRODUCT(($F$2:$F$1001=1)*($G$2:$G$1001="轿车")*($D$2:$D$1001&gt;D699))+COUNTIFS($F$2:F699,1,$G$2:G699,"轿车",$D$2:D699,D699)-1)</f>
        <v/>
      </c>
      <c r="P699" s="62" t="str">
        <f>IF(OR(D699="",NOT(AND(F699=1,G699="MPV"))),"",1+SUMPRODUCT(($F$2:$F$1001=1)*($G$2:$G$1001="MPV")*($D$2:$D$1001&gt;D699))+COUNTIFS($F$2:F699,1,$G$2:G699,"MPV",$D$2:D699,D699)-1)</f>
        <v/>
      </c>
      <c r="Q699" s="62" t="str">
        <f>IF(OR(D699="",NOT(AND(F699=1,G699="SUV"))),"",1+SUMPRODUCT(($F$2:$F$1001=1)*($G$2:$G$1001="SUV")*($D$2:$D$1001&gt;D699))+COUNTIFS($F$2:F699,1,$G$2:G699,"SUV",$D$2:D699,D699)-1)</f>
        <v/>
      </c>
    </row>
    <row r="700" spans="1:17">
      <c r="A700" s="62" t="str">
        <f>IFERROR(INDEX($H$2:$H$3000,MATCH(0,INDEX(COUNTIF($A$1:A699,$H$2:$H$3000)+($H$2:$H$3000=""),0,0),0)),"")</f>
        <v/>
      </c>
      <c r="B700" s="62" t="str">
        <f t="shared" si="40"/>
        <v/>
      </c>
      <c r="C700" s="62" t="str">
        <f t="shared" si="41"/>
        <v/>
      </c>
      <c r="D700" s="63" t="str">
        <f t="shared" si="42"/>
        <v/>
      </c>
      <c r="E700" s="62" t="str">
        <f>IF(D700="","",_xlfn.RANK.EQ(D700,$D$2:$D$1001,0)+COUNTIF($D$2:D700,D700)-1)</f>
        <v/>
      </c>
      <c r="F700" s="62" t="str">
        <f>IF(B700="","",--(COUNTIF(CN_Brands!$A$2:$A$300,UPPER(B700))&gt;0))</f>
        <v/>
      </c>
      <c r="G700" s="62" t="str">
        <f t="shared" si="43"/>
        <v/>
      </c>
      <c r="H700" s="62" t="str">
        <f>IF(AND('Data Export'!A700=前十整体车型排名!$B$2,'Data Export'!B700=前十整体车型排名!$B$3,'Data Export'!D700&lt;&gt;""),UPPER('Data Export'!C700)&amp;"♦"&amp;'Data Export'!D700,"")</f>
        <v>PORSCHE♦CAYENNE/CAYENNE COUPE</v>
      </c>
      <c r="I700" s="63">
        <f>IF(H700="","",IFERROR(INDEX('Data Export'!G700:CZ700,1,MATCH(前十整体车型排名!$B$4,'Data Export'!$G$1:$CZ$1,0)),0))</f>
        <v>0</v>
      </c>
      <c r="J700" s="62" t="str">
        <f>IF(H700="","",IF(OR('Data Export'!F700="三厢轿车",'Data Export'!F700="掀背轿车",'Data Export'!F700="旅行车",'Data Export'!F700="微型车",'Data Export'!F700="硬顶跑车",'Data Export'!F700="敞蓬车",'Data Export'!F700="Targa"),"轿车",IF(OR('Data Export'!F700="小型MPV",'Data Export'!F700="客车"),"MPV",IF('Data Export'!F700="运动型多功能车","SUV","其他"))))</f>
        <v>SUV</v>
      </c>
      <c r="K700" s="62" t="str">
        <f>IF(OR(D700="",NOT(F700=1)),"",1+SUMPRODUCT(($F$2:$F$1001=1)*($D$2:$D$1001&gt;D700))+COUNTIFS($F$2:F700,1,$D$2:D700,D700)-1)</f>
        <v/>
      </c>
      <c r="L700" s="62" t="str">
        <f>IF(OR(D700="",NOT(G700="轿车")),"",1+SUMPRODUCT(($G$2:$G$1001="轿车")*($D$2:$D$1001&gt;D700))+COUNTIFS($G$2:G700,"轿车",$D$2:D700,D700)-1)</f>
        <v/>
      </c>
      <c r="M700" s="62" t="str">
        <f>IF(OR(D700="",NOT(G700="MPV")),"",1+SUMPRODUCT(($G$2:$G$1001="MPV")*($D$2:$D$1001&gt;D700))+COUNTIFS($G$2:G700,"MPV",$D$2:D700,D700)-1)</f>
        <v/>
      </c>
      <c r="N700" s="62" t="str">
        <f>IF(OR(D700="",NOT(G700="SUV")),"",1+SUMPRODUCT(($G$2:$G$1001="SUV")*($D$2:$D$1001&gt;D700))+COUNTIFS($G$2:G700,"SUV",$D$2:D700,D700)-1)</f>
        <v/>
      </c>
      <c r="O700" s="62" t="str">
        <f>IF(OR(D700="",NOT(AND(F700=1,G700="轿车"))),"",1+SUMPRODUCT(($F$2:$F$1001=1)*($G$2:$G$1001="轿车")*($D$2:$D$1001&gt;D700))+COUNTIFS($F$2:F700,1,$G$2:G700,"轿车",$D$2:D700,D700)-1)</f>
        <v/>
      </c>
      <c r="P700" s="62" t="str">
        <f>IF(OR(D700="",NOT(AND(F700=1,G700="MPV"))),"",1+SUMPRODUCT(($F$2:$F$1001=1)*($G$2:$G$1001="MPV")*($D$2:$D$1001&gt;D700))+COUNTIFS($F$2:F700,1,$G$2:G700,"MPV",$D$2:D700,D700)-1)</f>
        <v/>
      </c>
      <c r="Q700" s="62" t="str">
        <f>IF(OR(D700="",NOT(AND(F700=1,G700="SUV"))),"",1+SUMPRODUCT(($F$2:$F$1001=1)*($G$2:$G$1001="SUV")*($D$2:$D$1001&gt;D700))+COUNTIFS($F$2:F700,1,$G$2:G700,"SUV",$D$2:D700,D700)-1)</f>
        <v/>
      </c>
    </row>
    <row r="701" spans="1:17">
      <c r="A701" s="62" t="str">
        <f>IFERROR(INDEX($H$2:$H$3000,MATCH(0,INDEX(COUNTIF($A$1:A700,$H$2:$H$3000)+($H$2:$H$3000=""),0,0),0)),"")</f>
        <v/>
      </c>
      <c r="B701" s="62" t="str">
        <f t="shared" si="40"/>
        <v/>
      </c>
      <c r="C701" s="62" t="str">
        <f t="shared" si="41"/>
        <v/>
      </c>
      <c r="D701" s="63" t="str">
        <f t="shared" si="42"/>
        <v/>
      </c>
      <c r="E701" s="62" t="str">
        <f>IF(D701="","",_xlfn.RANK.EQ(D701,$D$2:$D$1001,0)+COUNTIF($D$2:D701,D701)-1)</f>
        <v/>
      </c>
      <c r="F701" s="62" t="str">
        <f>IF(B701="","",--(COUNTIF(CN_Brands!$A$2:$A$300,UPPER(B701))&gt;0))</f>
        <v/>
      </c>
      <c r="G701" s="62" t="str">
        <f t="shared" si="43"/>
        <v/>
      </c>
      <c r="H701" s="62" t="str">
        <f>IF(AND('Data Export'!A701=前十整体车型排名!$B$2,'Data Export'!B701=前十整体车型排名!$B$3,'Data Export'!D701&lt;&gt;""),UPPER('Data Export'!C701)&amp;"♦"&amp;'Data Export'!D701,"")</f>
        <v>PORSCHE♦MACAN</v>
      </c>
      <c r="I701" s="63">
        <f>IF(H701="","",IFERROR(INDEX('Data Export'!G701:CZ701,1,MATCH(前十整体车型排名!$B$4,'Data Export'!$G$1:$CZ$1,0)),0))</f>
        <v>9</v>
      </c>
      <c r="J701" s="62" t="str">
        <f>IF(H701="","",IF(OR('Data Export'!F701="三厢轿车",'Data Export'!F701="掀背轿车",'Data Export'!F701="旅行车",'Data Export'!F701="微型车",'Data Export'!F701="硬顶跑车",'Data Export'!F701="敞蓬车",'Data Export'!F701="Targa"),"轿车",IF(OR('Data Export'!F701="小型MPV",'Data Export'!F701="客车"),"MPV",IF('Data Export'!F701="运动型多功能车","SUV","其他"))))</f>
        <v>SUV</v>
      </c>
      <c r="K701" s="62" t="str">
        <f>IF(OR(D701="",NOT(F701=1)),"",1+SUMPRODUCT(($F$2:$F$1001=1)*($D$2:$D$1001&gt;D701))+COUNTIFS($F$2:F701,1,$D$2:D701,D701)-1)</f>
        <v/>
      </c>
      <c r="L701" s="62" t="str">
        <f>IF(OR(D701="",NOT(G701="轿车")),"",1+SUMPRODUCT(($G$2:$G$1001="轿车")*($D$2:$D$1001&gt;D701))+COUNTIFS($G$2:G701,"轿车",$D$2:D701,D701)-1)</f>
        <v/>
      </c>
      <c r="M701" s="62" t="str">
        <f>IF(OR(D701="",NOT(G701="MPV")),"",1+SUMPRODUCT(($G$2:$G$1001="MPV")*($D$2:$D$1001&gt;D701))+COUNTIFS($G$2:G701,"MPV",$D$2:D701,D701)-1)</f>
        <v/>
      </c>
      <c r="N701" s="62" t="str">
        <f>IF(OR(D701="",NOT(G701="SUV")),"",1+SUMPRODUCT(($G$2:$G$1001="SUV")*($D$2:$D$1001&gt;D701))+COUNTIFS($G$2:G701,"SUV",$D$2:D701,D701)-1)</f>
        <v/>
      </c>
      <c r="O701" s="62" t="str">
        <f>IF(OR(D701="",NOT(AND(F701=1,G701="轿车"))),"",1+SUMPRODUCT(($F$2:$F$1001=1)*($G$2:$G$1001="轿车")*($D$2:$D$1001&gt;D701))+COUNTIFS($F$2:F701,1,$G$2:G701,"轿车",$D$2:D701,D701)-1)</f>
        <v/>
      </c>
      <c r="P701" s="62" t="str">
        <f>IF(OR(D701="",NOT(AND(F701=1,G701="MPV"))),"",1+SUMPRODUCT(($F$2:$F$1001=1)*($G$2:$G$1001="MPV")*($D$2:$D$1001&gt;D701))+COUNTIFS($F$2:F701,1,$G$2:G701,"MPV",$D$2:D701,D701)-1)</f>
        <v/>
      </c>
      <c r="Q701" s="62" t="str">
        <f>IF(OR(D701="",NOT(AND(F701=1,G701="SUV"))),"",1+SUMPRODUCT(($F$2:$F$1001=1)*($G$2:$G$1001="SUV")*($D$2:$D$1001&gt;D701))+COUNTIFS($F$2:F701,1,$G$2:G701,"SUV",$D$2:D701,D701)-1)</f>
        <v/>
      </c>
    </row>
    <row r="702" spans="1:17">
      <c r="A702" s="62" t="str">
        <f>IFERROR(INDEX($H$2:$H$3000,MATCH(0,INDEX(COUNTIF($A$1:A701,$H$2:$H$3000)+($H$2:$H$3000=""),0,0),0)),"")</f>
        <v/>
      </c>
      <c r="B702" s="62" t="str">
        <f t="shared" si="40"/>
        <v/>
      </c>
      <c r="C702" s="62" t="str">
        <f t="shared" si="41"/>
        <v/>
      </c>
      <c r="D702" s="63" t="str">
        <f t="shared" si="42"/>
        <v/>
      </c>
      <c r="E702" s="62" t="str">
        <f>IF(D702="","",_xlfn.RANK.EQ(D702,$D$2:$D$1001,0)+COUNTIF($D$2:D702,D702)-1)</f>
        <v/>
      </c>
      <c r="F702" s="62" t="str">
        <f>IF(B702="","",--(COUNTIF(CN_Brands!$A$2:$A$300,UPPER(B702))&gt;0))</f>
        <v/>
      </c>
      <c r="G702" s="62" t="str">
        <f t="shared" si="43"/>
        <v/>
      </c>
      <c r="H702" s="62" t="str">
        <f>IF(AND('Data Export'!A702=前十整体车型排名!$B$2,'Data Export'!B702=前十整体车型排名!$B$3,'Data Export'!D702&lt;&gt;""),UPPER('Data Export'!C702)&amp;"♦"&amp;'Data Export'!D702,"")</f>
        <v>PORSCHE♦MACAN</v>
      </c>
      <c r="I702" s="63">
        <f>IF(H702="","",IFERROR(INDEX('Data Export'!G702:CZ702,1,MATCH(前十整体车型排名!$B$4,'Data Export'!$G$1:$CZ$1,0)),0))</f>
        <v>1</v>
      </c>
      <c r="J702" s="62" t="str">
        <f>IF(H702="","",IF(OR('Data Export'!F702="三厢轿车",'Data Export'!F702="掀背轿车",'Data Export'!F702="旅行车",'Data Export'!F702="微型车",'Data Export'!F702="硬顶跑车",'Data Export'!F702="敞蓬车",'Data Export'!F702="Targa"),"轿车",IF(OR('Data Export'!F702="小型MPV",'Data Export'!F702="客车"),"MPV",IF('Data Export'!F702="运动型多功能车","SUV","其他"))))</f>
        <v>SUV</v>
      </c>
      <c r="K702" s="62" t="str">
        <f>IF(OR(D702="",NOT(F702=1)),"",1+SUMPRODUCT(($F$2:$F$1001=1)*($D$2:$D$1001&gt;D702))+COUNTIFS($F$2:F702,1,$D$2:D702,D702)-1)</f>
        <v/>
      </c>
      <c r="L702" s="62" t="str">
        <f>IF(OR(D702="",NOT(G702="轿车")),"",1+SUMPRODUCT(($G$2:$G$1001="轿车")*($D$2:$D$1001&gt;D702))+COUNTIFS($G$2:G702,"轿车",$D$2:D702,D702)-1)</f>
        <v/>
      </c>
      <c r="M702" s="62" t="str">
        <f>IF(OR(D702="",NOT(G702="MPV")),"",1+SUMPRODUCT(($G$2:$G$1001="MPV")*($D$2:$D$1001&gt;D702))+COUNTIFS($G$2:G702,"MPV",$D$2:D702,D702)-1)</f>
        <v/>
      </c>
      <c r="N702" s="62" t="str">
        <f>IF(OR(D702="",NOT(G702="SUV")),"",1+SUMPRODUCT(($G$2:$G$1001="SUV")*($D$2:$D$1001&gt;D702))+COUNTIFS($G$2:G702,"SUV",$D$2:D702,D702)-1)</f>
        <v/>
      </c>
      <c r="O702" s="62" t="str">
        <f>IF(OR(D702="",NOT(AND(F702=1,G702="轿车"))),"",1+SUMPRODUCT(($F$2:$F$1001=1)*($G$2:$G$1001="轿车")*($D$2:$D$1001&gt;D702))+COUNTIFS($F$2:F702,1,$G$2:G702,"轿车",$D$2:D702,D702)-1)</f>
        <v/>
      </c>
      <c r="P702" s="62" t="str">
        <f>IF(OR(D702="",NOT(AND(F702=1,G702="MPV"))),"",1+SUMPRODUCT(($F$2:$F$1001=1)*($G$2:$G$1001="MPV")*($D$2:$D$1001&gt;D702))+COUNTIFS($F$2:F702,1,$G$2:G702,"MPV",$D$2:D702,D702)-1)</f>
        <v/>
      </c>
      <c r="Q702" s="62" t="str">
        <f>IF(OR(D702="",NOT(AND(F702=1,G702="SUV"))),"",1+SUMPRODUCT(($F$2:$F$1001=1)*($G$2:$G$1001="SUV")*($D$2:$D$1001&gt;D702))+COUNTIFS($F$2:F702,1,$G$2:G702,"SUV",$D$2:D702,D702)-1)</f>
        <v/>
      </c>
    </row>
    <row r="703" spans="1:17">
      <c r="A703" s="62" t="str">
        <f>IFERROR(INDEX($H$2:$H$3000,MATCH(0,INDEX(COUNTIF($A$1:A702,$H$2:$H$3000)+($H$2:$H$3000=""),0,0),0)),"")</f>
        <v/>
      </c>
      <c r="B703" s="62" t="str">
        <f t="shared" si="40"/>
        <v/>
      </c>
      <c r="C703" s="62" t="str">
        <f t="shared" si="41"/>
        <v/>
      </c>
      <c r="D703" s="63" t="str">
        <f t="shared" si="42"/>
        <v/>
      </c>
      <c r="E703" s="62" t="str">
        <f>IF(D703="","",_xlfn.RANK.EQ(D703,$D$2:$D$1001,0)+COUNTIF($D$2:D703,D703)-1)</f>
        <v/>
      </c>
      <c r="F703" s="62" t="str">
        <f>IF(B703="","",--(COUNTIF(CN_Brands!$A$2:$A$300,UPPER(B703))&gt;0))</f>
        <v/>
      </c>
      <c r="G703" s="62" t="str">
        <f t="shared" si="43"/>
        <v/>
      </c>
      <c r="H703" s="62" t="str">
        <f>IF(AND('Data Export'!A703=前十整体车型排名!$B$2,'Data Export'!B703=前十整体车型排名!$B$3,'Data Export'!D703&lt;&gt;""),UPPER('Data Export'!C703)&amp;"♦"&amp;'Data Export'!D703,"")</f>
        <v>PORSCHE♦MACAN</v>
      </c>
      <c r="I703" s="63">
        <f>IF(H703="","",IFERROR(INDEX('Data Export'!G703:CZ703,1,MATCH(前十整体车型排名!$B$4,'Data Export'!$G$1:$CZ$1,0)),0))</f>
        <v>0</v>
      </c>
      <c r="J703" s="62" t="str">
        <f>IF(H703="","",IF(OR('Data Export'!F703="三厢轿车",'Data Export'!F703="掀背轿车",'Data Export'!F703="旅行车",'Data Export'!F703="微型车",'Data Export'!F703="硬顶跑车",'Data Export'!F703="敞蓬车",'Data Export'!F703="Targa"),"轿车",IF(OR('Data Export'!F703="小型MPV",'Data Export'!F703="客车"),"MPV",IF('Data Export'!F703="运动型多功能车","SUV","其他"))))</f>
        <v>SUV</v>
      </c>
      <c r="K703" s="62" t="str">
        <f>IF(OR(D703="",NOT(F703=1)),"",1+SUMPRODUCT(($F$2:$F$1001=1)*($D$2:$D$1001&gt;D703))+COUNTIFS($F$2:F703,1,$D$2:D703,D703)-1)</f>
        <v/>
      </c>
      <c r="L703" s="62" t="str">
        <f>IF(OR(D703="",NOT(G703="轿车")),"",1+SUMPRODUCT(($G$2:$G$1001="轿车")*($D$2:$D$1001&gt;D703))+COUNTIFS($G$2:G703,"轿车",$D$2:D703,D703)-1)</f>
        <v/>
      </c>
      <c r="M703" s="62" t="str">
        <f>IF(OR(D703="",NOT(G703="MPV")),"",1+SUMPRODUCT(($G$2:$G$1001="MPV")*($D$2:$D$1001&gt;D703))+COUNTIFS($G$2:G703,"MPV",$D$2:D703,D703)-1)</f>
        <v/>
      </c>
      <c r="N703" s="62" t="str">
        <f>IF(OR(D703="",NOT(G703="SUV")),"",1+SUMPRODUCT(($G$2:$G$1001="SUV")*($D$2:$D$1001&gt;D703))+COUNTIFS($G$2:G703,"SUV",$D$2:D703,D703)-1)</f>
        <v/>
      </c>
      <c r="O703" s="62" t="str">
        <f>IF(OR(D703="",NOT(AND(F703=1,G703="轿车"))),"",1+SUMPRODUCT(($F$2:$F$1001=1)*($G$2:$G$1001="轿车")*($D$2:$D$1001&gt;D703))+COUNTIFS($F$2:F703,1,$G$2:G703,"轿车",$D$2:D703,D703)-1)</f>
        <v/>
      </c>
      <c r="P703" s="62" t="str">
        <f>IF(OR(D703="",NOT(AND(F703=1,G703="MPV"))),"",1+SUMPRODUCT(($F$2:$F$1001=1)*($G$2:$G$1001="MPV")*($D$2:$D$1001&gt;D703))+COUNTIFS($F$2:F703,1,$G$2:G703,"MPV",$D$2:D703,D703)-1)</f>
        <v/>
      </c>
      <c r="Q703" s="62" t="str">
        <f>IF(OR(D703="",NOT(AND(F703=1,G703="SUV"))),"",1+SUMPRODUCT(($F$2:$F$1001=1)*($G$2:$G$1001="SUV")*($D$2:$D$1001&gt;D703))+COUNTIFS($F$2:F703,1,$G$2:G703,"SUV",$D$2:D703,D703)-1)</f>
        <v/>
      </c>
    </row>
    <row r="704" spans="1:17">
      <c r="A704" s="62" t="str">
        <f>IFERROR(INDEX($H$2:$H$3000,MATCH(0,INDEX(COUNTIF($A$1:A703,$H$2:$H$3000)+($H$2:$H$3000=""),0,0),0)),"")</f>
        <v/>
      </c>
      <c r="B704" s="62" t="str">
        <f t="shared" si="40"/>
        <v/>
      </c>
      <c r="C704" s="62" t="str">
        <f t="shared" si="41"/>
        <v/>
      </c>
      <c r="D704" s="63" t="str">
        <f t="shared" si="42"/>
        <v/>
      </c>
      <c r="E704" s="62" t="str">
        <f>IF(D704="","",_xlfn.RANK.EQ(D704,$D$2:$D$1001,0)+COUNTIF($D$2:D704,D704)-1)</f>
        <v/>
      </c>
      <c r="F704" s="62" t="str">
        <f>IF(B704="","",--(COUNTIF(CN_Brands!$A$2:$A$300,UPPER(B704))&gt;0))</f>
        <v/>
      </c>
      <c r="G704" s="62" t="str">
        <f t="shared" si="43"/>
        <v/>
      </c>
      <c r="H704" s="62" t="str">
        <f>IF(AND('Data Export'!A704=前十整体车型排名!$B$2,'Data Export'!B704=前十整体车型排名!$B$3,'Data Export'!D704&lt;&gt;""),UPPER('Data Export'!C704)&amp;"♦"&amp;'Data Export'!D704,"")</f>
        <v>PORSCHE♦MACAN</v>
      </c>
      <c r="I704" s="63">
        <f>IF(H704="","",IFERROR(INDEX('Data Export'!G704:CZ704,1,MATCH(前十整体车型排名!$B$4,'Data Export'!$G$1:$CZ$1,0)),0))</f>
        <v>1</v>
      </c>
      <c r="J704" s="62" t="str">
        <f>IF(H704="","",IF(OR('Data Export'!F704="三厢轿车",'Data Export'!F704="掀背轿车",'Data Export'!F704="旅行车",'Data Export'!F704="微型车",'Data Export'!F704="硬顶跑车",'Data Export'!F704="敞蓬车",'Data Export'!F704="Targa"),"轿车",IF(OR('Data Export'!F704="小型MPV",'Data Export'!F704="客车"),"MPV",IF('Data Export'!F704="运动型多功能车","SUV","其他"))))</f>
        <v>SUV</v>
      </c>
      <c r="K704" s="62" t="str">
        <f>IF(OR(D704="",NOT(F704=1)),"",1+SUMPRODUCT(($F$2:$F$1001=1)*($D$2:$D$1001&gt;D704))+COUNTIFS($F$2:F704,1,$D$2:D704,D704)-1)</f>
        <v/>
      </c>
      <c r="L704" s="62" t="str">
        <f>IF(OR(D704="",NOT(G704="轿车")),"",1+SUMPRODUCT(($G$2:$G$1001="轿车")*($D$2:$D$1001&gt;D704))+COUNTIFS($G$2:G704,"轿车",$D$2:D704,D704)-1)</f>
        <v/>
      </c>
      <c r="M704" s="62" t="str">
        <f>IF(OR(D704="",NOT(G704="MPV")),"",1+SUMPRODUCT(($G$2:$G$1001="MPV")*($D$2:$D$1001&gt;D704))+COUNTIFS($G$2:G704,"MPV",$D$2:D704,D704)-1)</f>
        <v/>
      </c>
      <c r="N704" s="62" t="str">
        <f>IF(OR(D704="",NOT(G704="SUV")),"",1+SUMPRODUCT(($G$2:$G$1001="SUV")*($D$2:$D$1001&gt;D704))+COUNTIFS($G$2:G704,"SUV",$D$2:D704,D704)-1)</f>
        <v/>
      </c>
      <c r="O704" s="62" t="str">
        <f>IF(OR(D704="",NOT(AND(F704=1,G704="轿车"))),"",1+SUMPRODUCT(($F$2:$F$1001=1)*($G$2:$G$1001="轿车")*($D$2:$D$1001&gt;D704))+COUNTIFS($F$2:F704,1,$G$2:G704,"轿车",$D$2:D704,D704)-1)</f>
        <v/>
      </c>
      <c r="P704" s="62" t="str">
        <f>IF(OR(D704="",NOT(AND(F704=1,G704="MPV"))),"",1+SUMPRODUCT(($F$2:$F$1001=1)*($G$2:$G$1001="MPV")*($D$2:$D$1001&gt;D704))+COUNTIFS($F$2:F704,1,$G$2:G704,"MPV",$D$2:D704,D704)-1)</f>
        <v/>
      </c>
      <c r="Q704" s="62" t="str">
        <f>IF(OR(D704="",NOT(AND(F704=1,G704="SUV"))),"",1+SUMPRODUCT(($F$2:$F$1001=1)*($G$2:$G$1001="SUV")*($D$2:$D$1001&gt;D704))+COUNTIFS($F$2:F704,1,$G$2:G704,"SUV",$D$2:D704,D704)-1)</f>
        <v/>
      </c>
    </row>
    <row r="705" spans="1:17">
      <c r="A705" s="62" t="str">
        <f>IFERROR(INDEX($H$2:$H$3000,MATCH(0,INDEX(COUNTIF($A$1:A704,$H$2:$H$3000)+($H$2:$H$3000=""),0,0),0)),"")</f>
        <v/>
      </c>
      <c r="B705" s="62" t="str">
        <f t="shared" si="40"/>
        <v/>
      </c>
      <c r="C705" s="62" t="str">
        <f t="shared" si="41"/>
        <v/>
      </c>
      <c r="D705" s="63" t="str">
        <f t="shared" si="42"/>
        <v/>
      </c>
      <c r="E705" s="62" t="str">
        <f>IF(D705="","",_xlfn.RANK.EQ(D705,$D$2:$D$1001,0)+COUNTIF($D$2:D705,D705)-1)</f>
        <v/>
      </c>
      <c r="F705" s="62" t="str">
        <f>IF(B705="","",--(COUNTIF(CN_Brands!$A$2:$A$300,UPPER(B705))&gt;0))</f>
        <v/>
      </c>
      <c r="G705" s="62" t="str">
        <f t="shared" si="43"/>
        <v/>
      </c>
      <c r="H705" s="62" t="str">
        <f>IF(AND('Data Export'!A705=前十整体车型排名!$B$2,'Data Export'!B705=前十整体车型排名!$B$3,'Data Export'!D705&lt;&gt;""),UPPER('Data Export'!C705)&amp;"♦"&amp;'Data Export'!D705,"")</f>
        <v>PORSCHE♦MACAN</v>
      </c>
      <c r="I705" s="63">
        <f>IF(H705="","",IFERROR(INDEX('Data Export'!G705:CZ705,1,MATCH(前十整体车型排名!$B$4,'Data Export'!$G$1:$CZ$1,0)),0))</f>
        <v>0</v>
      </c>
      <c r="J705" s="62" t="str">
        <f>IF(H705="","",IF(OR('Data Export'!F705="三厢轿车",'Data Export'!F705="掀背轿车",'Data Export'!F705="旅行车",'Data Export'!F705="微型车",'Data Export'!F705="硬顶跑车",'Data Export'!F705="敞蓬车",'Data Export'!F705="Targa"),"轿车",IF(OR('Data Export'!F705="小型MPV",'Data Export'!F705="客车"),"MPV",IF('Data Export'!F705="运动型多功能车","SUV","其他"))))</f>
        <v>SUV</v>
      </c>
      <c r="K705" s="62" t="str">
        <f>IF(OR(D705="",NOT(F705=1)),"",1+SUMPRODUCT(($F$2:$F$1001=1)*($D$2:$D$1001&gt;D705))+COUNTIFS($F$2:F705,1,$D$2:D705,D705)-1)</f>
        <v/>
      </c>
      <c r="L705" s="62" t="str">
        <f>IF(OR(D705="",NOT(G705="轿车")),"",1+SUMPRODUCT(($G$2:$G$1001="轿车")*($D$2:$D$1001&gt;D705))+COUNTIFS($G$2:G705,"轿车",$D$2:D705,D705)-1)</f>
        <v/>
      </c>
      <c r="M705" s="62" t="str">
        <f>IF(OR(D705="",NOT(G705="MPV")),"",1+SUMPRODUCT(($G$2:$G$1001="MPV")*($D$2:$D$1001&gt;D705))+COUNTIFS($G$2:G705,"MPV",$D$2:D705,D705)-1)</f>
        <v/>
      </c>
      <c r="N705" s="62" t="str">
        <f>IF(OR(D705="",NOT(G705="SUV")),"",1+SUMPRODUCT(($G$2:$G$1001="SUV")*($D$2:$D$1001&gt;D705))+COUNTIFS($G$2:G705,"SUV",$D$2:D705,D705)-1)</f>
        <v/>
      </c>
      <c r="O705" s="62" t="str">
        <f>IF(OR(D705="",NOT(AND(F705=1,G705="轿车"))),"",1+SUMPRODUCT(($F$2:$F$1001=1)*($G$2:$G$1001="轿车")*($D$2:$D$1001&gt;D705))+COUNTIFS($F$2:F705,1,$G$2:G705,"轿车",$D$2:D705,D705)-1)</f>
        <v/>
      </c>
      <c r="P705" s="62" t="str">
        <f>IF(OR(D705="",NOT(AND(F705=1,G705="MPV"))),"",1+SUMPRODUCT(($F$2:$F$1001=1)*($G$2:$G$1001="MPV")*($D$2:$D$1001&gt;D705))+COUNTIFS($F$2:F705,1,$G$2:G705,"MPV",$D$2:D705,D705)-1)</f>
        <v/>
      </c>
      <c r="Q705" s="62" t="str">
        <f>IF(OR(D705="",NOT(AND(F705=1,G705="SUV"))),"",1+SUMPRODUCT(($F$2:$F$1001=1)*($G$2:$G$1001="SUV")*($D$2:$D$1001&gt;D705))+COUNTIFS($F$2:F705,1,$G$2:G705,"SUV",$D$2:D705,D705)-1)</f>
        <v/>
      </c>
    </row>
    <row r="706" spans="1:17">
      <c r="A706" s="62" t="str">
        <f>IFERROR(INDEX($H$2:$H$3000,MATCH(0,INDEX(COUNTIF($A$1:A705,$H$2:$H$3000)+($H$2:$H$3000=""),0,0),0)),"")</f>
        <v/>
      </c>
      <c r="B706" s="62" t="str">
        <f t="shared" ref="B706:B769" si="44">IF(A706="","",LEFT(A706,FIND("♦",A706)-1))</f>
        <v/>
      </c>
      <c r="C706" s="62" t="str">
        <f t="shared" ref="C706:C769" si="45">IF(A706="","",MID(A706,FIND("♦",A706)+1,999))</f>
        <v/>
      </c>
      <c r="D706" s="63" t="str">
        <f t="shared" ref="D706:D769" si="46">IF(A706="","",SUMIF($H$2:$H$3000,A706,$I$2:$I$3000))</f>
        <v/>
      </c>
      <c r="E706" s="62" t="str">
        <f>IF(D706="","",_xlfn.RANK.EQ(D706,$D$2:$D$1001,0)+COUNTIF($D$2:D706,D706)-1)</f>
        <v/>
      </c>
      <c r="F706" s="62" t="str">
        <f>IF(B706="","",--(COUNTIF(CN_Brands!$A$2:$A$300,UPPER(B706))&gt;0))</f>
        <v/>
      </c>
      <c r="G706" s="62" t="str">
        <f t="shared" ref="G706:G769" si="47">IF(A706="","",IFERROR(INDEX($J$2:$J$3000,MATCH(A706,$H$2:$H$3000,0)),"其他"))</f>
        <v/>
      </c>
      <c r="H706" s="62" t="str">
        <f>IF(AND('Data Export'!A706=前十整体车型排名!$B$2,'Data Export'!B706=前十整体车型排名!$B$3,'Data Export'!D706&lt;&gt;""),UPPER('Data Export'!C706)&amp;"♦"&amp;'Data Export'!D706,"")</f>
        <v>PORSCHE♦PANAMERA</v>
      </c>
      <c r="I706" s="63">
        <f>IF(H706="","",IFERROR(INDEX('Data Export'!G706:CZ706,1,MATCH(前十整体车型排名!$B$4,'Data Export'!$G$1:$CZ$1,0)),0))</f>
        <v>0</v>
      </c>
      <c r="J706" s="62" t="str">
        <f>IF(H706="","",IF(OR('Data Export'!F706="三厢轿车",'Data Export'!F706="掀背轿车",'Data Export'!F706="旅行车",'Data Export'!F706="微型车",'Data Export'!F706="硬顶跑车",'Data Export'!F706="敞蓬车",'Data Export'!F706="Targa"),"轿车",IF(OR('Data Export'!F706="小型MPV",'Data Export'!F706="客车"),"MPV",IF('Data Export'!F706="运动型多功能车","SUV","其他"))))</f>
        <v>轿车</v>
      </c>
      <c r="K706" s="62" t="str">
        <f>IF(OR(D706="",NOT(F706=1)),"",1+SUMPRODUCT(($F$2:$F$1001=1)*($D$2:$D$1001&gt;D706))+COUNTIFS($F$2:F706,1,$D$2:D706,D706)-1)</f>
        <v/>
      </c>
      <c r="L706" s="62" t="str">
        <f>IF(OR(D706="",NOT(G706="轿车")),"",1+SUMPRODUCT(($G$2:$G$1001="轿车")*($D$2:$D$1001&gt;D706))+COUNTIFS($G$2:G706,"轿车",$D$2:D706,D706)-1)</f>
        <v/>
      </c>
      <c r="M706" s="62" t="str">
        <f>IF(OR(D706="",NOT(G706="MPV")),"",1+SUMPRODUCT(($G$2:$G$1001="MPV")*($D$2:$D$1001&gt;D706))+COUNTIFS($G$2:G706,"MPV",$D$2:D706,D706)-1)</f>
        <v/>
      </c>
      <c r="N706" s="62" t="str">
        <f>IF(OR(D706="",NOT(G706="SUV")),"",1+SUMPRODUCT(($G$2:$G$1001="SUV")*($D$2:$D$1001&gt;D706))+COUNTIFS($G$2:G706,"SUV",$D$2:D706,D706)-1)</f>
        <v/>
      </c>
      <c r="O706" s="62" t="str">
        <f>IF(OR(D706="",NOT(AND(F706=1,G706="轿车"))),"",1+SUMPRODUCT(($F$2:$F$1001=1)*($G$2:$G$1001="轿车")*($D$2:$D$1001&gt;D706))+COUNTIFS($F$2:F706,1,$G$2:G706,"轿车",$D$2:D706,D706)-1)</f>
        <v/>
      </c>
      <c r="P706" s="62" t="str">
        <f>IF(OR(D706="",NOT(AND(F706=1,G706="MPV"))),"",1+SUMPRODUCT(($F$2:$F$1001=1)*($G$2:$G$1001="MPV")*($D$2:$D$1001&gt;D706))+COUNTIFS($F$2:F706,1,$G$2:G706,"MPV",$D$2:D706,D706)-1)</f>
        <v/>
      </c>
      <c r="Q706" s="62" t="str">
        <f>IF(OR(D706="",NOT(AND(F706=1,G706="SUV"))),"",1+SUMPRODUCT(($F$2:$F$1001=1)*($G$2:$G$1001="SUV")*($D$2:$D$1001&gt;D706))+COUNTIFS($F$2:F706,1,$G$2:G706,"SUV",$D$2:D706,D706)-1)</f>
        <v/>
      </c>
    </row>
    <row r="707" spans="1:17">
      <c r="A707" s="62" t="str">
        <f>IFERROR(INDEX($H$2:$H$3000,MATCH(0,INDEX(COUNTIF($A$1:A706,$H$2:$H$3000)+($H$2:$H$3000=""),0,0),0)),"")</f>
        <v/>
      </c>
      <c r="B707" s="62" t="str">
        <f t="shared" si="44"/>
        <v/>
      </c>
      <c r="C707" s="62" t="str">
        <f t="shared" si="45"/>
        <v/>
      </c>
      <c r="D707" s="63" t="str">
        <f t="shared" si="46"/>
        <v/>
      </c>
      <c r="E707" s="62" t="str">
        <f>IF(D707="","",_xlfn.RANK.EQ(D707,$D$2:$D$1001,0)+COUNTIF($D$2:D707,D707)-1)</f>
        <v/>
      </c>
      <c r="F707" s="62" t="str">
        <f>IF(B707="","",--(COUNTIF(CN_Brands!$A$2:$A$300,UPPER(B707))&gt;0))</f>
        <v/>
      </c>
      <c r="G707" s="62" t="str">
        <f t="shared" si="47"/>
        <v/>
      </c>
      <c r="H707" s="62" t="str">
        <f>IF(AND('Data Export'!A707=前十整体车型排名!$B$2,'Data Export'!B707=前十整体车型排名!$B$3,'Data Export'!D707&lt;&gt;""),UPPER('Data Export'!C707)&amp;"♦"&amp;'Data Export'!D707,"")</f>
        <v>PORSCHE♦PANAMERA</v>
      </c>
      <c r="I707" s="63">
        <f>IF(H707="","",IFERROR(INDEX('Data Export'!G707:CZ707,1,MATCH(前十整体车型排名!$B$4,'Data Export'!$G$1:$CZ$1,0)),0))</f>
        <v>0</v>
      </c>
      <c r="J707" s="62" t="str">
        <f>IF(H707="","",IF(OR('Data Export'!F707="三厢轿车",'Data Export'!F707="掀背轿车",'Data Export'!F707="旅行车",'Data Export'!F707="微型车",'Data Export'!F707="硬顶跑车",'Data Export'!F707="敞蓬车",'Data Export'!F707="Targa"),"轿车",IF(OR('Data Export'!F707="小型MPV",'Data Export'!F707="客车"),"MPV",IF('Data Export'!F707="运动型多功能车","SUV","其他"))))</f>
        <v>轿车</v>
      </c>
      <c r="K707" s="62" t="str">
        <f>IF(OR(D707="",NOT(F707=1)),"",1+SUMPRODUCT(($F$2:$F$1001=1)*($D$2:$D$1001&gt;D707))+COUNTIFS($F$2:F707,1,$D$2:D707,D707)-1)</f>
        <v/>
      </c>
      <c r="L707" s="62" t="str">
        <f>IF(OR(D707="",NOT(G707="轿车")),"",1+SUMPRODUCT(($G$2:$G$1001="轿车")*($D$2:$D$1001&gt;D707))+COUNTIFS($G$2:G707,"轿车",$D$2:D707,D707)-1)</f>
        <v/>
      </c>
      <c r="M707" s="62" t="str">
        <f>IF(OR(D707="",NOT(G707="MPV")),"",1+SUMPRODUCT(($G$2:$G$1001="MPV")*($D$2:$D$1001&gt;D707))+COUNTIFS($G$2:G707,"MPV",$D$2:D707,D707)-1)</f>
        <v/>
      </c>
      <c r="N707" s="62" t="str">
        <f>IF(OR(D707="",NOT(G707="SUV")),"",1+SUMPRODUCT(($G$2:$G$1001="SUV")*($D$2:$D$1001&gt;D707))+COUNTIFS($G$2:G707,"SUV",$D$2:D707,D707)-1)</f>
        <v/>
      </c>
      <c r="O707" s="62" t="str">
        <f>IF(OR(D707="",NOT(AND(F707=1,G707="轿车"))),"",1+SUMPRODUCT(($F$2:$F$1001=1)*($G$2:$G$1001="轿车")*($D$2:$D$1001&gt;D707))+COUNTIFS($F$2:F707,1,$G$2:G707,"轿车",$D$2:D707,D707)-1)</f>
        <v/>
      </c>
      <c r="P707" s="62" t="str">
        <f>IF(OR(D707="",NOT(AND(F707=1,G707="MPV"))),"",1+SUMPRODUCT(($F$2:$F$1001=1)*($G$2:$G$1001="MPV")*($D$2:$D$1001&gt;D707))+COUNTIFS($F$2:F707,1,$G$2:G707,"MPV",$D$2:D707,D707)-1)</f>
        <v/>
      </c>
      <c r="Q707" s="62" t="str">
        <f>IF(OR(D707="",NOT(AND(F707=1,G707="SUV"))),"",1+SUMPRODUCT(($F$2:$F$1001=1)*($G$2:$G$1001="SUV")*($D$2:$D$1001&gt;D707))+COUNTIFS($F$2:F707,1,$G$2:G707,"SUV",$D$2:D707,D707)-1)</f>
        <v/>
      </c>
    </row>
    <row r="708" spans="1:17">
      <c r="A708" s="62" t="str">
        <f>IFERROR(INDEX($H$2:$H$3000,MATCH(0,INDEX(COUNTIF($A$1:A707,$H$2:$H$3000)+($H$2:$H$3000=""),0,0),0)),"")</f>
        <v/>
      </c>
      <c r="B708" s="62" t="str">
        <f t="shared" si="44"/>
        <v/>
      </c>
      <c r="C708" s="62" t="str">
        <f t="shared" si="45"/>
        <v/>
      </c>
      <c r="D708" s="63" t="str">
        <f t="shared" si="46"/>
        <v/>
      </c>
      <c r="E708" s="62" t="str">
        <f>IF(D708="","",_xlfn.RANK.EQ(D708,$D$2:$D$1001,0)+COUNTIF($D$2:D708,D708)-1)</f>
        <v/>
      </c>
      <c r="F708" s="62" t="str">
        <f>IF(B708="","",--(COUNTIF(CN_Brands!$A$2:$A$300,UPPER(B708))&gt;0))</f>
        <v/>
      </c>
      <c r="G708" s="62" t="str">
        <f t="shared" si="47"/>
        <v/>
      </c>
      <c r="H708" s="62" t="str">
        <f>IF(AND('Data Export'!A708=前十整体车型排名!$B$2,'Data Export'!B708=前十整体车型排名!$B$3,'Data Export'!D708&lt;&gt;""),UPPER('Data Export'!C708)&amp;"♦"&amp;'Data Export'!D708,"")</f>
        <v>PORSCHE♦PANAMERA</v>
      </c>
      <c r="I708" s="63">
        <f>IF(H708="","",IFERROR(INDEX('Data Export'!G708:CZ708,1,MATCH(前十整体车型排名!$B$4,'Data Export'!$G$1:$CZ$1,0)),0))</f>
        <v>0</v>
      </c>
      <c r="J708" s="62" t="str">
        <f>IF(H708="","",IF(OR('Data Export'!F708="三厢轿车",'Data Export'!F708="掀背轿车",'Data Export'!F708="旅行车",'Data Export'!F708="微型车",'Data Export'!F708="硬顶跑车",'Data Export'!F708="敞蓬车",'Data Export'!F708="Targa"),"轿车",IF(OR('Data Export'!F708="小型MPV",'Data Export'!F708="客车"),"MPV",IF('Data Export'!F708="运动型多功能车","SUV","其他"))))</f>
        <v>轿车</v>
      </c>
      <c r="K708" s="62" t="str">
        <f>IF(OR(D708="",NOT(F708=1)),"",1+SUMPRODUCT(($F$2:$F$1001=1)*($D$2:$D$1001&gt;D708))+COUNTIFS($F$2:F708,1,$D$2:D708,D708)-1)</f>
        <v/>
      </c>
      <c r="L708" s="62" t="str">
        <f>IF(OR(D708="",NOT(G708="轿车")),"",1+SUMPRODUCT(($G$2:$G$1001="轿车")*($D$2:$D$1001&gt;D708))+COUNTIFS($G$2:G708,"轿车",$D$2:D708,D708)-1)</f>
        <v/>
      </c>
      <c r="M708" s="62" t="str">
        <f>IF(OR(D708="",NOT(G708="MPV")),"",1+SUMPRODUCT(($G$2:$G$1001="MPV")*($D$2:$D$1001&gt;D708))+COUNTIFS($G$2:G708,"MPV",$D$2:D708,D708)-1)</f>
        <v/>
      </c>
      <c r="N708" s="62" t="str">
        <f>IF(OR(D708="",NOT(G708="SUV")),"",1+SUMPRODUCT(($G$2:$G$1001="SUV")*($D$2:$D$1001&gt;D708))+COUNTIFS($G$2:G708,"SUV",$D$2:D708,D708)-1)</f>
        <v/>
      </c>
      <c r="O708" s="62" t="str">
        <f>IF(OR(D708="",NOT(AND(F708=1,G708="轿车"))),"",1+SUMPRODUCT(($F$2:$F$1001=1)*($G$2:$G$1001="轿车")*($D$2:$D$1001&gt;D708))+COUNTIFS($F$2:F708,1,$G$2:G708,"轿车",$D$2:D708,D708)-1)</f>
        <v/>
      </c>
      <c r="P708" s="62" t="str">
        <f>IF(OR(D708="",NOT(AND(F708=1,G708="MPV"))),"",1+SUMPRODUCT(($F$2:$F$1001=1)*($G$2:$G$1001="MPV")*($D$2:$D$1001&gt;D708))+COUNTIFS($F$2:F708,1,$G$2:G708,"MPV",$D$2:D708,D708)-1)</f>
        <v/>
      </c>
      <c r="Q708" s="62" t="str">
        <f>IF(OR(D708="",NOT(AND(F708=1,G708="SUV"))),"",1+SUMPRODUCT(($F$2:$F$1001=1)*($G$2:$G$1001="SUV")*($D$2:$D$1001&gt;D708))+COUNTIFS($F$2:F708,1,$G$2:G708,"SUV",$D$2:D708,D708)-1)</f>
        <v/>
      </c>
    </row>
    <row r="709" spans="1:17">
      <c r="A709" s="62" t="str">
        <f>IFERROR(INDEX($H$2:$H$3000,MATCH(0,INDEX(COUNTIF($A$1:A708,$H$2:$H$3000)+($H$2:$H$3000=""),0,0),0)),"")</f>
        <v/>
      </c>
      <c r="B709" s="62" t="str">
        <f t="shared" si="44"/>
        <v/>
      </c>
      <c r="C709" s="62" t="str">
        <f t="shared" si="45"/>
        <v/>
      </c>
      <c r="D709" s="63" t="str">
        <f t="shared" si="46"/>
        <v/>
      </c>
      <c r="E709" s="62" t="str">
        <f>IF(D709="","",_xlfn.RANK.EQ(D709,$D$2:$D$1001,0)+COUNTIF($D$2:D709,D709)-1)</f>
        <v/>
      </c>
      <c r="F709" s="62" t="str">
        <f>IF(B709="","",--(COUNTIF(CN_Brands!$A$2:$A$300,UPPER(B709))&gt;0))</f>
        <v/>
      </c>
      <c r="G709" s="62" t="str">
        <f t="shared" si="47"/>
        <v/>
      </c>
      <c r="H709" s="62" t="str">
        <f>IF(AND('Data Export'!A709=前十整体车型排名!$B$2,'Data Export'!B709=前十整体车型排名!$B$3,'Data Export'!D709&lt;&gt;""),UPPER('Data Export'!C709)&amp;"♦"&amp;'Data Export'!D709,"")</f>
        <v>PORSCHE♦PANAMERA</v>
      </c>
      <c r="I709" s="63">
        <f>IF(H709="","",IFERROR(INDEX('Data Export'!G709:CZ709,1,MATCH(前十整体车型排名!$B$4,'Data Export'!$G$1:$CZ$1,0)),0))</f>
        <v>8</v>
      </c>
      <c r="J709" s="62" t="str">
        <f>IF(H709="","",IF(OR('Data Export'!F709="三厢轿车",'Data Export'!F709="掀背轿车",'Data Export'!F709="旅行车",'Data Export'!F709="微型车",'Data Export'!F709="硬顶跑车",'Data Export'!F709="敞蓬车",'Data Export'!F709="Targa"),"轿车",IF(OR('Data Export'!F709="小型MPV",'Data Export'!F709="客车"),"MPV",IF('Data Export'!F709="运动型多功能车","SUV","其他"))))</f>
        <v>轿车</v>
      </c>
      <c r="K709" s="62" t="str">
        <f>IF(OR(D709="",NOT(F709=1)),"",1+SUMPRODUCT(($F$2:$F$1001=1)*($D$2:$D$1001&gt;D709))+COUNTIFS($F$2:F709,1,$D$2:D709,D709)-1)</f>
        <v/>
      </c>
      <c r="L709" s="62" t="str">
        <f>IF(OR(D709="",NOT(G709="轿车")),"",1+SUMPRODUCT(($G$2:$G$1001="轿车")*($D$2:$D$1001&gt;D709))+COUNTIFS($G$2:G709,"轿车",$D$2:D709,D709)-1)</f>
        <v/>
      </c>
      <c r="M709" s="62" t="str">
        <f>IF(OR(D709="",NOT(G709="MPV")),"",1+SUMPRODUCT(($G$2:$G$1001="MPV")*($D$2:$D$1001&gt;D709))+COUNTIFS($G$2:G709,"MPV",$D$2:D709,D709)-1)</f>
        <v/>
      </c>
      <c r="N709" s="62" t="str">
        <f>IF(OR(D709="",NOT(G709="SUV")),"",1+SUMPRODUCT(($G$2:$G$1001="SUV")*($D$2:$D$1001&gt;D709))+COUNTIFS($G$2:G709,"SUV",$D$2:D709,D709)-1)</f>
        <v/>
      </c>
      <c r="O709" s="62" t="str">
        <f>IF(OR(D709="",NOT(AND(F709=1,G709="轿车"))),"",1+SUMPRODUCT(($F$2:$F$1001=1)*($G$2:$G$1001="轿车")*($D$2:$D$1001&gt;D709))+COUNTIFS($F$2:F709,1,$G$2:G709,"轿车",$D$2:D709,D709)-1)</f>
        <v/>
      </c>
      <c r="P709" s="62" t="str">
        <f>IF(OR(D709="",NOT(AND(F709=1,G709="MPV"))),"",1+SUMPRODUCT(($F$2:$F$1001=1)*($G$2:$G$1001="MPV")*($D$2:$D$1001&gt;D709))+COUNTIFS($F$2:F709,1,$G$2:G709,"MPV",$D$2:D709,D709)-1)</f>
        <v/>
      </c>
      <c r="Q709" s="62" t="str">
        <f>IF(OR(D709="",NOT(AND(F709=1,G709="SUV"))),"",1+SUMPRODUCT(($F$2:$F$1001=1)*($G$2:$G$1001="SUV")*($D$2:$D$1001&gt;D709))+COUNTIFS($F$2:F709,1,$G$2:G709,"SUV",$D$2:D709,D709)-1)</f>
        <v/>
      </c>
    </row>
    <row r="710" spans="1:17">
      <c r="A710" s="62" t="str">
        <f>IFERROR(INDEX($H$2:$H$3000,MATCH(0,INDEX(COUNTIF($A$1:A709,$H$2:$H$3000)+($H$2:$H$3000=""),0,0),0)),"")</f>
        <v/>
      </c>
      <c r="B710" s="62" t="str">
        <f t="shared" si="44"/>
        <v/>
      </c>
      <c r="C710" s="62" t="str">
        <f t="shared" si="45"/>
        <v/>
      </c>
      <c r="D710" s="63" t="str">
        <f t="shared" si="46"/>
        <v/>
      </c>
      <c r="E710" s="62" t="str">
        <f>IF(D710="","",_xlfn.RANK.EQ(D710,$D$2:$D$1001,0)+COUNTIF($D$2:D710,D710)-1)</f>
        <v/>
      </c>
      <c r="F710" s="62" t="str">
        <f>IF(B710="","",--(COUNTIF(CN_Brands!$A$2:$A$300,UPPER(B710))&gt;0))</f>
        <v/>
      </c>
      <c r="G710" s="62" t="str">
        <f t="shared" si="47"/>
        <v/>
      </c>
      <c r="H710" s="62" t="str">
        <f>IF(AND('Data Export'!A710=前十整体车型排名!$B$2,'Data Export'!B710=前十整体车型排名!$B$3,'Data Export'!D710&lt;&gt;""),UPPER('Data Export'!C710)&amp;"♦"&amp;'Data Export'!D710,"")</f>
        <v>PORSCHE♦PANAMERA</v>
      </c>
      <c r="I710" s="63">
        <f>IF(H710="","",IFERROR(INDEX('Data Export'!G710:CZ710,1,MATCH(前十整体车型排名!$B$4,'Data Export'!$G$1:$CZ$1,0)),0))</f>
        <v>2</v>
      </c>
      <c r="J710" s="62" t="str">
        <f>IF(H710="","",IF(OR('Data Export'!F710="三厢轿车",'Data Export'!F710="掀背轿车",'Data Export'!F710="旅行车",'Data Export'!F710="微型车",'Data Export'!F710="硬顶跑车",'Data Export'!F710="敞蓬车",'Data Export'!F710="Targa"),"轿车",IF(OR('Data Export'!F710="小型MPV",'Data Export'!F710="客车"),"MPV",IF('Data Export'!F710="运动型多功能车","SUV","其他"))))</f>
        <v>轿车</v>
      </c>
      <c r="K710" s="62" t="str">
        <f>IF(OR(D710="",NOT(F710=1)),"",1+SUMPRODUCT(($F$2:$F$1001=1)*($D$2:$D$1001&gt;D710))+COUNTIFS($F$2:F710,1,$D$2:D710,D710)-1)</f>
        <v/>
      </c>
      <c r="L710" s="62" t="str">
        <f>IF(OR(D710="",NOT(G710="轿车")),"",1+SUMPRODUCT(($G$2:$G$1001="轿车")*($D$2:$D$1001&gt;D710))+COUNTIFS($G$2:G710,"轿车",$D$2:D710,D710)-1)</f>
        <v/>
      </c>
      <c r="M710" s="62" t="str">
        <f>IF(OR(D710="",NOT(G710="MPV")),"",1+SUMPRODUCT(($G$2:$G$1001="MPV")*($D$2:$D$1001&gt;D710))+COUNTIFS($G$2:G710,"MPV",$D$2:D710,D710)-1)</f>
        <v/>
      </c>
      <c r="N710" s="62" t="str">
        <f>IF(OR(D710="",NOT(G710="SUV")),"",1+SUMPRODUCT(($G$2:$G$1001="SUV")*($D$2:$D$1001&gt;D710))+COUNTIFS($G$2:G710,"SUV",$D$2:D710,D710)-1)</f>
        <v/>
      </c>
      <c r="O710" s="62" t="str">
        <f>IF(OR(D710="",NOT(AND(F710=1,G710="轿车"))),"",1+SUMPRODUCT(($F$2:$F$1001=1)*($G$2:$G$1001="轿车")*($D$2:$D$1001&gt;D710))+COUNTIFS($F$2:F710,1,$G$2:G710,"轿车",$D$2:D710,D710)-1)</f>
        <v/>
      </c>
      <c r="P710" s="62" t="str">
        <f>IF(OR(D710="",NOT(AND(F710=1,G710="MPV"))),"",1+SUMPRODUCT(($F$2:$F$1001=1)*($G$2:$G$1001="MPV")*($D$2:$D$1001&gt;D710))+COUNTIFS($F$2:F710,1,$G$2:G710,"MPV",$D$2:D710,D710)-1)</f>
        <v/>
      </c>
      <c r="Q710" s="62" t="str">
        <f>IF(OR(D710="",NOT(AND(F710=1,G710="SUV"))),"",1+SUMPRODUCT(($F$2:$F$1001=1)*($G$2:$G$1001="SUV")*($D$2:$D$1001&gt;D710))+COUNTIFS($F$2:F710,1,$G$2:G710,"SUV",$D$2:D710,D710)-1)</f>
        <v/>
      </c>
    </row>
    <row r="711" spans="1:17">
      <c r="A711" s="62" t="str">
        <f>IFERROR(INDEX($H$2:$H$3000,MATCH(0,INDEX(COUNTIF($A$1:A710,$H$2:$H$3000)+($H$2:$H$3000=""),0,0),0)),"")</f>
        <v/>
      </c>
      <c r="B711" s="62" t="str">
        <f t="shared" si="44"/>
        <v/>
      </c>
      <c r="C711" s="62" t="str">
        <f t="shared" si="45"/>
        <v/>
      </c>
      <c r="D711" s="63" t="str">
        <f t="shared" si="46"/>
        <v/>
      </c>
      <c r="E711" s="62" t="str">
        <f>IF(D711="","",_xlfn.RANK.EQ(D711,$D$2:$D$1001,0)+COUNTIF($D$2:D711,D711)-1)</f>
        <v/>
      </c>
      <c r="F711" s="62" t="str">
        <f>IF(B711="","",--(COUNTIF(CN_Brands!$A$2:$A$300,UPPER(B711))&gt;0))</f>
        <v/>
      </c>
      <c r="G711" s="62" t="str">
        <f t="shared" si="47"/>
        <v/>
      </c>
      <c r="H711" s="62" t="str">
        <f>IF(AND('Data Export'!A711=前十整体车型排名!$B$2,'Data Export'!B711=前十整体车型排名!$B$3,'Data Export'!D711&lt;&gt;""),UPPER('Data Export'!C711)&amp;"♦"&amp;'Data Export'!D711,"")</f>
        <v>PORSCHE♦PANAMERA</v>
      </c>
      <c r="I711" s="63">
        <f>IF(H711="","",IFERROR(INDEX('Data Export'!G711:CZ711,1,MATCH(前十整体车型排名!$B$4,'Data Export'!$G$1:$CZ$1,0)),0))</f>
        <v>1</v>
      </c>
      <c r="J711" s="62" t="str">
        <f>IF(H711="","",IF(OR('Data Export'!F711="三厢轿车",'Data Export'!F711="掀背轿车",'Data Export'!F711="旅行车",'Data Export'!F711="微型车",'Data Export'!F711="硬顶跑车",'Data Export'!F711="敞蓬车",'Data Export'!F711="Targa"),"轿车",IF(OR('Data Export'!F711="小型MPV",'Data Export'!F711="客车"),"MPV",IF('Data Export'!F711="运动型多功能车","SUV","其他"))))</f>
        <v>轿车</v>
      </c>
      <c r="K711" s="62" t="str">
        <f>IF(OR(D711="",NOT(F711=1)),"",1+SUMPRODUCT(($F$2:$F$1001=1)*($D$2:$D$1001&gt;D711))+COUNTIFS($F$2:F711,1,$D$2:D711,D711)-1)</f>
        <v/>
      </c>
      <c r="L711" s="62" t="str">
        <f>IF(OR(D711="",NOT(G711="轿车")),"",1+SUMPRODUCT(($G$2:$G$1001="轿车")*($D$2:$D$1001&gt;D711))+COUNTIFS($G$2:G711,"轿车",$D$2:D711,D711)-1)</f>
        <v/>
      </c>
      <c r="M711" s="62" t="str">
        <f>IF(OR(D711="",NOT(G711="MPV")),"",1+SUMPRODUCT(($G$2:$G$1001="MPV")*($D$2:$D$1001&gt;D711))+COUNTIFS($G$2:G711,"MPV",$D$2:D711,D711)-1)</f>
        <v/>
      </c>
      <c r="N711" s="62" t="str">
        <f>IF(OR(D711="",NOT(G711="SUV")),"",1+SUMPRODUCT(($G$2:$G$1001="SUV")*($D$2:$D$1001&gt;D711))+COUNTIFS($G$2:G711,"SUV",$D$2:D711,D711)-1)</f>
        <v/>
      </c>
      <c r="O711" s="62" t="str">
        <f>IF(OR(D711="",NOT(AND(F711=1,G711="轿车"))),"",1+SUMPRODUCT(($F$2:$F$1001=1)*($G$2:$G$1001="轿车")*($D$2:$D$1001&gt;D711))+COUNTIFS($F$2:F711,1,$G$2:G711,"轿车",$D$2:D711,D711)-1)</f>
        <v/>
      </c>
      <c r="P711" s="62" t="str">
        <f>IF(OR(D711="",NOT(AND(F711=1,G711="MPV"))),"",1+SUMPRODUCT(($F$2:$F$1001=1)*($G$2:$G$1001="MPV")*($D$2:$D$1001&gt;D711))+COUNTIFS($F$2:F711,1,$G$2:G711,"MPV",$D$2:D711,D711)-1)</f>
        <v/>
      </c>
      <c r="Q711" s="62" t="str">
        <f>IF(OR(D711="",NOT(AND(F711=1,G711="SUV"))),"",1+SUMPRODUCT(($F$2:$F$1001=1)*($G$2:$G$1001="SUV")*($D$2:$D$1001&gt;D711))+COUNTIFS($F$2:F711,1,$G$2:G711,"SUV",$D$2:D711,D711)-1)</f>
        <v/>
      </c>
    </row>
    <row r="712" spans="1:17">
      <c r="A712" s="62" t="str">
        <f>IFERROR(INDEX($H$2:$H$3000,MATCH(0,INDEX(COUNTIF($A$1:A711,$H$2:$H$3000)+($H$2:$H$3000=""),0,0),0)),"")</f>
        <v/>
      </c>
      <c r="B712" s="62" t="str">
        <f t="shared" si="44"/>
        <v/>
      </c>
      <c r="C712" s="62" t="str">
        <f t="shared" si="45"/>
        <v/>
      </c>
      <c r="D712" s="63" t="str">
        <f t="shared" si="46"/>
        <v/>
      </c>
      <c r="E712" s="62" t="str">
        <f>IF(D712="","",_xlfn.RANK.EQ(D712,$D$2:$D$1001,0)+COUNTIF($D$2:D712,D712)-1)</f>
        <v/>
      </c>
      <c r="F712" s="62" t="str">
        <f>IF(B712="","",--(COUNTIF(CN_Brands!$A$2:$A$300,UPPER(B712))&gt;0))</f>
        <v/>
      </c>
      <c r="G712" s="62" t="str">
        <f t="shared" si="47"/>
        <v/>
      </c>
      <c r="H712" s="62" t="str">
        <f>IF(AND('Data Export'!A712=前十整体车型排名!$B$2,'Data Export'!B712=前十整体车型排名!$B$3,'Data Export'!D712&lt;&gt;""),UPPER('Data Export'!C712)&amp;"♦"&amp;'Data Export'!D712,"")</f>
        <v>PORSCHE♦PANAMERA</v>
      </c>
      <c r="I712" s="63">
        <f>IF(H712="","",IFERROR(INDEX('Data Export'!G712:CZ712,1,MATCH(前十整体车型排名!$B$4,'Data Export'!$G$1:$CZ$1,0)),0))</f>
        <v>0</v>
      </c>
      <c r="J712" s="62" t="str">
        <f>IF(H712="","",IF(OR('Data Export'!F712="三厢轿车",'Data Export'!F712="掀背轿车",'Data Export'!F712="旅行车",'Data Export'!F712="微型车",'Data Export'!F712="硬顶跑车",'Data Export'!F712="敞蓬车",'Data Export'!F712="Targa"),"轿车",IF(OR('Data Export'!F712="小型MPV",'Data Export'!F712="客车"),"MPV",IF('Data Export'!F712="运动型多功能车","SUV","其他"))))</f>
        <v>轿车</v>
      </c>
      <c r="K712" s="62" t="str">
        <f>IF(OR(D712="",NOT(F712=1)),"",1+SUMPRODUCT(($F$2:$F$1001=1)*($D$2:$D$1001&gt;D712))+COUNTIFS($F$2:F712,1,$D$2:D712,D712)-1)</f>
        <v/>
      </c>
      <c r="L712" s="62" t="str">
        <f>IF(OR(D712="",NOT(G712="轿车")),"",1+SUMPRODUCT(($G$2:$G$1001="轿车")*($D$2:$D$1001&gt;D712))+COUNTIFS($G$2:G712,"轿车",$D$2:D712,D712)-1)</f>
        <v/>
      </c>
      <c r="M712" s="62" t="str">
        <f>IF(OR(D712="",NOT(G712="MPV")),"",1+SUMPRODUCT(($G$2:$G$1001="MPV")*($D$2:$D$1001&gt;D712))+COUNTIFS($G$2:G712,"MPV",$D$2:D712,D712)-1)</f>
        <v/>
      </c>
      <c r="N712" s="62" t="str">
        <f>IF(OR(D712="",NOT(G712="SUV")),"",1+SUMPRODUCT(($G$2:$G$1001="SUV")*($D$2:$D$1001&gt;D712))+COUNTIFS($G$2:G712,"SUV",$D$2:D712,D712)-1)</f>
        <v/>
      </c>
      <c r="O712" s="62" t="str">
        <f>IF(OR(D712="",NOT(AND(F712=1,G712="轿车"))),"",1+SUMPRODUCT(($F$2:$F$1001=1)*($G$2:$G$1001="轿车")*($D$2:$D$1001&gt;D712))+COUNTIFS($F$2:F712,1,$G$2:G712,"轿车",$D$2:D712,D712)-1)</f>
        <v/>
      </c>
      <c r="P712" s="62" t="str">
        <f>IF(OR(D712="",NOT(AND(F712=1,G712="MPV"))),"",1+SUMPRODUCT(($F$2:$F$1001=1)*($G$2:$G$1001="MPV")*($D$2:$D$1001&gt;D712))+COUNTIFS($F$2:F712,1,$G$2:G712,"MPV",$D$2:D712,D712)-1)</f>
        <v/>
      </c>
      <c r="Q712" s="62" t="str">
        <f>IF(OR(D712="",NOT(AND(F712=1,G712="SUV"))),"",1+SUMPRODUCT(($F$2:$F$1001=1)*($G$2:$G$1001="SUV")*($D$2:$D$1001&gt;D712))+COUNTIFS($F$2:F712,1,$G$2:G712,"SUV",$D$2:D712,D712)-1)</f>
        <v/>
      </c>
    </row>
    <row r="713" spans="1:17">
      <c r="A713" s="62" t="str">
        <f>IFERROR(INDEX($H$2:$H$3000,MATCH(0,INDEX(COUNTIF($A$1:A712,$H$2:$H$3000)+($H$2:$H$3000=""),0,0),0)),"")</f>
        <v/>
      </c>
      <c r="B713" s="62" t="str">
        <f t="shared" si="44"/>
        <v/>
      </c>
      <c r="C713" s="62" t="str">
        <f t="shared" si="45"/>
        <v/>
      </c>
      <c r="D713" s="63" t="str">
        <f t="shared" si="46"/>
        <v/>
      </c>
      <c r="E713" s="62" t="str">
        <f>IF(D713="","",_xlfn.RANK.EQ(D713,$D$2:$D$1001,0)+COUNTIF($D$2:D713,D713)-1)</f>
        <v/>
      </c>
      <c r="F713" s="62" t="str">
        <f>IF(B713="","",--(COUNTIF(CN_Brands!$A$2:$A$300,UPPER(B713))&gt;0))</f>
        <v/>
      </c>
      <c r="G713" s="62" t="str">
        <f t="shared" si="47"/>
        <v/>
      </c>
      <c r="H713" s="62" t="str">
        <f>IF(AND('Data Export'!A713=前十整体车型排名!$B$2,'Data Export'!B713=前十整体车型排名!$B$3,'Data Export'!D713&lt;&gt;""),UPPER('Data Export'!C713)&amp;"♦"&amp;'Data Export'!D713,"")</f>
        <v>PORSCHE♦PANAMERA</v>
      </c>
      <c r="I713" s="63">
        <f>IF(H713="","",IFERROR(INDEX('Data Export'!G713:CZ713,1,MATCH(前十整体车型排名!$B$4,'Data Export'!$G$1:$CZ$1,0)),0))</f>
        <v>1</v>
      </c>
      <c r="J713" s="62" t="str">
        <f>IF(H713="","",IF(OR('Data Export'!F713="三厢轿车",'Data Export'!F713="掀背轿车",'Data Export'!F713="旅行车",'Data Export'!F713="微型车",'Data Export'!F713="硬顶跑车",'Data Export'!F713="敞蓬车",'Data Export'!F713="Targa"),"轿车",IF(OR('Data Export'!F713="小型MPV",'Data Export'!F713="客车"),"MPV",IF('Data Export'!F713="运动型多功能车","SUV","其他"))))</f>
        <v>轿车</v>
      </c>
      <c r="K713" s="62" t="str">
        <f>IF(OR(D713="",NOT(F713=1)),"",1+SUMPRODUCT(($F$2:$F$1001=1)*($D$2:$D$1001&gt;D713))+COUNTIFS($F$2:F713,1,$D$2:D713,D713)-1)</f>
        <v/>
      </c>
      <c r="L713" s="62" t="str">
        <f>IF(OR(D713="",NOT(G713="轿车")),"",1+SUMPRODUCT(($G$2:$G$1001="轿车")*($D$2:$D$1001&gt;D713))+COUNTIFS($G$2:G713,"轿车",$D$2:D713,D713)-1)</f>
        <v/>
      </c>
      <c r="M713" s="62" t="str">
        <f>IF(OR(D713="",NOT(G713="MPV")),"",1+SUMPRODUCT(($G$2:$G$1001="MPV")*($D$2:$D$1001&gt;D713))+COUNTIFS($G$2:G713,"MPV",$D$2:D713,D713)-1)</f>
        <v/>
      </c>
      <c r="N713" s="62" t="str">
        <f>IF(OR(D713="",NOT(G713="SUV")),"",1+SUMPRODUCT(($G$2:$G$1001="SUV")*($D$2:$D$1001&gt;D713))+COUNTIFS($G$2:G713,"SUV",$D$2:D713,D713)-1)</f>
        <v/>
      </c>
      <c r="O713" s="62" t="str">
        <f>IF(OR(D713="",NOT(AND(F713=1,G713="轿车"))),"",1+SUMPRODUCT(($F$2:$F$1001=1)*($G$2:$G$1001="轿车")*($D$2:$D$1001&gt;D713))+COUNTIFS($F$2:F713,1,$G$2:G713,"轿车",$D$2:D713,D713)-1)</f>
        <v/>
      </c>
      <c r="P713" s="62" t="str">
        <f>IF(OR(D713="",NOT(AND(F713=1,G713="MPV"))),"",1+SUMPRODUCT(($F$2:$F$1001=1)*($G$2:$G$1001="MPV")*($D$2:$D$1001&gt;D713))+COUNTIFS($F$2:F713,1,$G$2:G713,"MPV",$D$2:D713,D713)-1)</f>
        <v/>
      </c>
      <c r="Q713" s="62" t="str">
        <f>IF(OR(D713="",NOT(AND(F713=1,G713="SUV"))),"",1+SUMPRODUCT(($F$2:$F$1001=1)*($G$2:$G$1001="SUV")*($D$2:$D$1001&gt;D713))+COUNTIFS($F$2:F713,1,$G$2:G713,"SUV",$D$2:D713,D713)-1)</f>
        <v/>
      </c>
    </row>
    <row r="714" spans="1:17">
      <c r="A714" s="62" t="str">
        <f>IFERROR(INDEX($H$2:$H$3000,MATCH(0,INDEX(COUNTIF($A$1:A713,$H$2:$H$3000)+($H$2:$H$3000=""),0,0),0)),"")</f>
        <v/>
      </c>
      <c r="B714" s="62" t="str">
        <f t="shared" si="44"/>
        <v/>
      </c>
      <c r="C714" s="62" t="str">
        <f t="shared" si="45"/>
        <v/>
      </c>
      <c r="D714" s="63" t="str">
        <f t="shared" si="46"/>
        <v/>
      </c>
      <c r="E714" s="62" t="str">
        <f>IF(D714="","",_xlfn.RANK.EQ(D714,$D$2:$D$1001,0)+COUNTIF($D$2:D714,D714)-1)</f>
        <v/>
      </c>
      <c r="F714" s="62" t="str">
        <f>IF(B714="","",--(COUNTIF(CN_Brands!$A$2:$A$300,UPPER(B714))&gt;0))</f>
        <v/>
      </c>
      <c r="G714" s="62" t="str">
        <f t="shared" si="47"/>
        <v/>
      </c>
      <c r="H714" s="62" t="str">
        <f>IF(AND('Data Export'!A714=前十整体车型排名!$B$2,'Data Export'!B714=前十整体车型排名!$B$3,'Data Export'!D714&lt;&gt;""),UPPER('Data Export'!C714)&amp;"♦"&amp;'Data Export'!D714,"")</f>
        <v>PORSCHE♦PANAMERA</v>
      </c>
      <c r="I714" s="63">
        <f>IF(H714="","",IFERROR(INDEX('Data Export'!G714:CZ714,1,MATCH(前十整体车型排名!$B$4,'Data Export'!$G$1:$CZ$1,0)),0))</f>
        <v>2</v>
      </c>
      <c r="J714" s="62" t="str">
        <f>IF(H714="","",IF(OR('Data Export'!F714="三厢轿车",'Data Export'!F714="掀背轿车",'Data Export'!F714="旅行车",'Data Export'!F714="微型车",'Data Export'!F714="硬顶跑车",'Data Export'!F714="敞蓬车",'Data Export'!F714="Targa"),"轿车",IF(OR('Data Export'!F714="小型MPV",'Data Export'!F714="客车"),"MPV",IF('Data Export'!F714="运动型多功能车","SUV","其他"))))</f>
        <v>其他</v>
      </c>
      <c r="K714" s="62" t="str">
        <f>IF(OR(D714="",NOT(F714=1)),"",1+SUMPRODUCT(($F$2:$F$1001=1)*($D$2:$D$1001&gt;D714))+COUNTIFS($F$2:F714,1,$D$2:D714,D714)-1)</f>
        <v/>
      </c>
      <c r="L714" s="62" t="str">
        <f>IF(OR(D714="",NOT(G714="轿车")),"",1+SUMPRODUCT(($G$2:$G$1001="轿车")*($D$2:$D$1001&gt;D714))+COUNTIFS($G$2:G714,"轿车",$D$2:D714,D714)-1)</f>
        <v/>
      </c>
      <c r="M714" s="62" t="str">
        <f>IF(OR(D714="",NOT(G714="MPV")),"",1+SUMPRODUCT(($G$2:$G$1001="MPV")*($D$2:$D$1001&gt;D714))+COUNTIFS($G$2:G714,"MPV",$D$2:D714,D714)-1)</f>
        <v/>
      </c>
      <c r="N714" s="62" t="str">
        <f>IF(OR(D714="",NOT(G714="SUV")),"",1+SUMPRODUCT(($G$2:$G$1001="SUV")*($D$2:$D$1001&gt;D714))+COUNTIFS($G$2:G714,"SUV",$D$2:D714,D714)-1)</f>
        <v/>
      </c>
      <c r="O714" s="62" t="str">
        <f>IF(OR(D714="",NOT(AND(F714=1,G714="轿车"))),"",1+SUMPRODUCT(($F$2:$F$1001=1)*($G$2:$G$1001="轿车")*($D$2:$D$1001&gt;D714))+COUNTIFS($F$2:F714,1,$G$2:G714,"轿车",$D$2:D714,D714)-1)</f>
        <v/>
      </c>
      <c r="P714" s="62" t="str">
        <f>IF(OR(D714="",NOT(AND(F714=1,G714="MPV"))),"",1+SUMPRODUCT(($F$2:$F$1001=1)*($G$2:$G$1001="MPV")*($D$2:$D$1001&gt;D714))+COUNTIFS($F$2:F714,1,$G$2:G714,"MPV",$D$2:D714,D714)-1)</f>
        <v/>
      </c>
      <c r="Q714" s="62" t="str">
        <f>IF(OR(D714="",NOT(AND(F714=1,G714="SUV"))),"",1+SUMPRODUCT(($F$2:$F$1001=1)*($G$2:$G$1001="SUV")*($D$2:$D$1001&gt;D714))+COUNTIFS($F$2:F714,1,$G$2:G714,"SUV",$D$2:D714,D714)-1)</f>
        <v/>
      </c>
    </row>
    <row r="715" spans="1:17">
      <c r="A715" s="62" t="str">
        <f>IFERROR(INDEX($H$2:$H$3000,MATCH(0,INDEX(COUNTIF($A$1:A714,$H$2:$H$3000)+($H$2:$H$3000=""),0,0),0)),"")</f>
        <v/>
      </c>
      <c r="B715" s="62" t="str">
        <f t="shared" si="44"/>
        <v/>
      </c>
      <c r="C715" s="62" t="str">
        <f t="shared" si="45"/>
        <v/>
      </c>
      <c r="D715" s="63" t="str">
        <f t="shared" si="46"/>
        <v/>
      </c>
      <c r="E715" s="62" t="str">
        <f>IF(D715="","",_xlfn.RANK.EQ(D715,$D$2:$D$1001,0)+COUNTIF($D$2:D715,D715)-1)</f>
        <v/>
      </c>
      <c r="F715" s="62" t="str">
        <f>IF(B715="","",--(COUNTIF(CN_Brands!$A$2:$A$300,UPPER(B715))&gt;0))</f>
        <v/>
      </c>
      <c r="G715" s="62" t="str">
        <f t="shared" si="47"/>
        <v/>
      </c>
      <c r="H715" s="62" t="str">
        <f>IF(AND('Data Export'!A715=前十整体车型排名!$B$2,'Data Export'!B715=前十整体车型排名!$B$3,'Data Export'!D715&lt;&gt;""),UPPER('Data Export'!C715)&amp;"♦"&amp;'Data Export'!D715,"")</f>
        <v>PORSCHE♦TAYCAN</v>
      </c>
      <c r="I715" s="63">
        <f>IF(H715="","",IFERROR(INDEX('Data Export'!G715:CZ715,1,MATCH(前十整体车型排名!$B$4,'Data Export'!$G$1:$CZ$1,0)),0))</f>
        <v>5</v>
      </c>
      <c r="J715" s="62" t="str">
        <f>IF(H715="","",IF(OR('Data Export'!F715="三厢轿车",'Data Export'!F715="掀背轿车",'Data Export'!F715="旅行车",'Data Export'!F715="微型车",'Data Export'!F715="硬顶跑车",'Data Export'!F715="敞蓬车",'Data Export'!F715="Targa"),"轿车",IF(OR('Data Export'!F715="小型MPV",'Data Export'!F715="客车"),"MPV",IF('Data Export'!F715="运动型多功能车","SUV","其他"))))</f>
        <v>其他</v>
      </c>
      <c r="K715" s="62" t="str">
        <f>IF(OR(D715="",NOT(F715=1)),"",1+SUMPRODUCT(($F$2:$F$1001=1)*($D$2:$D$1001&gt;D715))+COUNTIFS($F$2:F715,1,$D$2:D715,D715)-1)</f>
        <v/>
      </c>
      <c r="L715" s="62" t="str">
        <f>IF(OR(D715="",NOT(G715="轿车")),"",1+SUMPRODUCT(($G$2:$G$1001="轿车")*($D$2:$D$1001&gt;D715))+COUNTIFS($G$2:G715,"轿车",$D$2:D715,D715)-1)</f>
        <v/>
      </c>
      <c r="M715" s="62" t="str">
        <f>IF(OR(D715="",NOT(G715="MPV")),"",1+SUMPRODUCT(($G$2:$G$1001="MPV")*($D$2:$D$1001&gt;D715))+COUNTIFS($G$2:G715,"MPV",$D$2:D715,D715)-1)</f>
        <v/>
      </c>
      <c r="N715" s="62" t="str">
        <f>IF(OR(D715="",NOT(G715="SUV")),"",1+SUMPRODUCT(($G$2:$G$1001="SUV")*($D$2:$D$1001&gt;D715))+COUNTIFS($G$2:G715,"SUV",$D$2:D715,D715)-1)</f>
        <v/>
      </c>
      <c r="O715" s="62" t="str">
        <f>IF(OR(D715="",NOT(AND(F715=1,G715="轿车"))),"",1+SUMPRODUCT(($F$2:$F$1001=1)*($G$2:$G$1001="轿车")*($D$2:$D$1001&gt;D715))+COUNTIFS($F$2:F715,1,$G$2:G715,"轿车",$D$2:D715,D715)-1)</f>
        <v/>
      </c>
      <c r="P715" s="62" t="str">
        <f>IF(OR(D715="",NOT(AND(F715=1,G715="MPV"))),"",1+SUMPRODUCT(($F$2:$F$1001=1)*($G$2:$G$1001="MPV")*($D$2:$D$1001&gt;D715))+COUNTIFS($F$2:F715,1,$G$2:G715,"MPV",$D$2:D715,D715)-1)</f>
        <v/>
      </c>
      <c r="Q715" s="62" t="str">
        <f>IF(OR(D715="",NOT(AND(F715=1,G715="SUV"))),"",1+SUMPRODUCT(($F$2:$F$1001=1)*($G$2:$G$1001="SUV")*($D$2:$D$1001&gt;D715))+COUNTIFS($F$2:F715,1,$G$2:G715,"SUV",$D$2:D715,D715)-1)</f>
        <v/>
      </c>
    </row>
    <row r="716" spans="1:17">
      <c r="A716" s="62" t="str">
        <f>IFERROR(INDEX($H$2:$H$3000,MATCH(0,INDEX(COUNTIF($A$1:A715,$H$2:$H$3000)+($H$2:$H$3000=""),0,0),0)),"")</f>
        <v/>
      </c>
      <c r="B716" s="62" t="str">
        <f t="shared" si="44"/>
        <v/>
      </c>
      <c r="C716" s="62" t="str">
        <f t="shared" si="45"/>
        <v/>
      </c>
      <c r="D716" s="63" t="str">
        <f t="shared" si="46"/>
        <v/>
      </c>
      <c r="E716" s="62" t="str">
        <f>IF(D716="","",_xlfn.RANK.EQ(D716,$D$2:$D$1001,0)+COUNTIF($D$2:D716,D716)-1)</f>
        <v/>
      </c>
      <c r="F716" s="62" t="str">
        <f>IF(B716="","",--(COUNTIF(CN_Brands!$A$2:$A$300,UPPER(B716))&gt;0))</f>
        <v/>
      </c>
      <c r="G716" s="62" t="str">
        <f t="shared" si="47"/>
        <v/>
      </c>
      <c r="H716" s="62" t="str">
        <f>IF(AND('Data Export'!A716=前十整体车型排名!$B$2,'Data Export'!B716=前十整体车型排名!$B$3,'Data Export'!D716&lt;&gt;""),UPPER('Data Export'!C716)&amp;"♦"&amp;'Data Export'!D716,"")</f>
        <v>PORSCHE♦TAYCAN</v>
      </c>
      <c r="I716" s="63">
        <f>IF(H716="","",IFERROR(INDEX('Data Export'!G716:CZ716,1,MATCH(前十整体车型排名!$B$4,'Data Export'!$G$1:$CZ$1,0)),0))</f>
        <v>0</v>
      </c>
      <c r="J716" s="62" t="str">
        <f>IF(H716="","",IF(OR('Data Export'!F716="三厢轿车",'Data Export'!F716="掀背轿车",'Data Export'!F716="旅行车",'Data Export'!F716="微型车",'Data Export'!F716="硬顶跑车",'Data Export'!F716="敞蓬车",'Data Export'!F716="Targa"),"轿车",IF(OR('Data Export'!F716="小型MPV",'Data Export'!F716="客车"),"MPV",IF('Data Export'!F716="运动型多功能车","SUV","其他"))))</f>
        <v>其他</v>
      </c>
      <c r="K716" s="62" t="str">
        <f>IF(OR(D716="",NOT(F716=1)),"",1+SUMPRODUCT(($F$2:$F$1001=1)*($D$2:$D$1001&gt;D716))+COUNTIFS($F$2:F716,1,$D$2:D716,D716)-1)</f>
        <v/>
      </c>
      <c r="L716" s="62" t="str">
        <f>IF(OR(D716="",NOT(G716="轿车")),"",1+SUMPRODUCT(($G$2:$G$1001="轿车")*($D$2:$D$1001&gt;D716))+COUNTIFS($G$2:G716,"轿车",$D$2:D716,D716)-1)</f>
        <v/>
      </c>
      <c r="M716" s="62" t="str">
        <f>IF(OR(D716="",NOT(G716="MPV")),"",1+SUMPRODUCT(($G$2:$G$1001="MPV")*($D$2:$D$1001&gt;D716))+COUNTIFS($G$2:G716,"MPV",$D$2:D716,D716)-1)</f>
        <v/>
      </c>
      <c r="N716" s="62" t="str">
        <f>IF(OR(D716="",NOT(G716="SUV")),"",1+SUMPRODUCT(($G$2:$G$1001="SUV")*($D$2:$D$1001&gt;D716))+COUNTIFS($G$2:G716,"SUV",$D$2:D716,D716)-1)</f>
        <v/>
      </c>
      <c r="O716" s="62" t="str">
        <f>IF(OR(D716="",NOT(AND(F716=1,G716="轿车"))),"",1+SUMPRODUCT(($F$2:$F$1001=1)*($G$2:$G$1001="轿车")*($D$2:$D$1001&gt;D716))+COUNTIFS($F$2:F716,1,$G$2:G716,"轿车",$D$2:D716,D716)-1)</f>
        <v/>
      </c>
      <c r="P716" s="62" t="str">
        <f>IF(OR(D716="",NOT(AND(F716=1,G716="MPV"))),"",1+SUMPRODUCT(($F$2:$F$1001=1)*($G$2:$G$1001="MPV")*($D$2:$D$1001&gt;D716))+COUNTIFS($F$2:F716,1,$G$2:G716,"MPV",$D$2:D716,D716)-1)</f>
        <v/>
      </c>
      <c r="Q716" s="62" t="str">
        <f>IF(OR(D716="",NOT(AND(F716=1,G716="SUV"))),"",1+SUMPRODUCT(($F$2:$F$1001=1)*($G$2:$G$1001="SUV")*($D$2:$D$1001&gt;D716))+COUNTIFS($F$2:F716,1,$G$2:G716,"SUV",$D$2:D716,D716)-1)</f>
        <v/>
      </c>
    </row>
    <row r="717" spans="1:17">
      <c r="A717" s="62" t="str">
        <f>IFERROR(INDEX($H$2:$H$3000,MATCH(0,INDEX(COUNTIF($A$1:A716,$H$2:$H$3000)+($H$2:$H$3000=""),0,0),0)),"")</f>
        <v/>
      </c>
      <c r="B717" s="62" t="str">
        <f t="shared" si="44"/>
        <v/>
      </c>
      <c r="C717" s="62" t="str">
        <f t="shared" si="45"/>
        <v/>
      </c>
      <c r="D717" s="63" t="str">
        <f t="shared" si="46"/>
        <v/>
      </c>
      <c r="E717" s="62" t="str">
        <f>IF(D717="","",_xlfn.RANK.EQ(D717,$D$2:$D$1001,0)+COUNTIF($D$2:D717,D717)-1)</f>
        <v/>
      </c>
      <c r="F717" s="62" t="str">
        <f>IF(B717="","",--(COUNTIF(CN_Brands!$A$2:$A$300,UPPER(B717))&gt;0))</f>
        <v/>
      </c>
      <c r="G717" s="62" t="str">
        <f t="shared" si="47"/>
        <v/>
      </c>
      <c r="H717" s="62" t="str">
        <f>IF(AND('Data Export'!A717=前十整体车型排名!$B$2,'Data Export'!B717=前十整体车型排名!$B$3,'Data Export'!D717&lt;&gt;""),UPPER('Data Export'!C717)&amp;"♦"&amp;'Data Export'!D717,"")</f>
        <v>PORSCHE♦TAYCAN</v>
      </c>
      <c r="I717" s="63">
        <f>IF(H717="","",IFERROR(INDEX('Data Export'!G717:CZ717,1,MATCH(前十整体车型排名!$B$4,'Data Export'!$G$1:$CZ$1,0)),0))</f>
        <v>2</v>
      </c>
      <c r="J717" s="62" t="str">
        <f>IF(H717="","",IF(OR('Data Export'!F717="三厢轿车",'Data Export'!F717="掀背轿车",'Data Export'!F717="旅行车",'Data Export'!F717="微型车",'Data Export'!F717="硬顶跑车",'Data Export'!F717="敞蓬车",'Data Export'!F717="Targa"),"轿车",IF(OR('Data Export'!F717="小型MPV",'Data Export'!F717="客车"),"MPV",IF('Data Export'!F717="运动型多功能车","SUV","其他"))))</f>
        <v>其他</v>
      </c>
      <c r="K717" s="62" t="str">
        <f>IF(OR(D717="",NOT(F717=1)),"",1+SUMPRODUCT(($F$2:$F$1001=1)*($D$2:$D$1001&gt;D717))+COUNTIFS($F$2:F717,1,$D$2:D717,D717)-1)</f>
        <v/>
      </c>
      <c r="L717" s="62" t="str">
        <f>IF(OR(D717="",NOT(G717="轿车")),"",1+SUMPRODUCT(($G$2:$G$1001="轿车")*($D$2:$D$1001&gt;D717))+COUNTIFS($G$2:G717,"轿车",$D$2:D717,D717)-1)</f>
        <v/>
      </c>
      <c r="M717" s="62" t="str">
        <f>IF(OR(D717="",NOT(G717="MPV")),"",1+SUMPRODUCT(($G$2:$G$1001="MPV")*($D$2:$D$1001&gt;D717))+COUNTIFS($G$2:G717,"MPV",$D$2:D717,D717)-1)</f>
        <v/>
      </c>
      <c r="N717" s="62" t="str">
        <f>IF(OR(D717="",NOT(G717="SUV")),"",1+SUMPRODUCT(($G$2:$G$1001="SUV")*($D$2:$D$1001&gt;D717))+COUNTIFS($G$2:G717,"SUV",$D$2:D717,D717)-1)</f>
        <v/>
      </c>
      <c r="O717" s="62" t="str">
        <f>IF(OR(D717="",NOT(AND(F717=1,G717="轿车"))),"",1+SUMPRODUCT(($F$2:$F$1001=1)*($G$2:$G$1001="轿车")*($D$2:$D$1001&gt;D717))+COUNTIFS($F$2:F717,1,$G$2:G717,"轿车",$D$2:D717,D717)-1)</f>
        <v/>
      </c>
      <c r="P717" s="62" t="str">
        <f>IF(OR(D717="",NOT(AND(F717=1,G717="MPV"))),"",1+SUMPRODUCT(($F$2:$F$1001=1)*($G$2:$G$1001="MPV")*($D$2:$D$1001&gt;D717))+COUNTIFS($F$2:F717,1,$G$2:G717,"MPV",$D$2:D717,D717)-1)</f>
        <v/>
      </c>
      <c r="Q717" s="62" t="str">
        <f>IF(OR(D717="",NOT(AND(F717=1,G717="SUV"))),"",1+SUMPRODUCT(($F$2:$F$1001=1)*($G$2:$G$1001="SUV")*($D$2:$D$1001&gt;D717))+COUNTIFS($F$2:F717,1,$G$2:G717,"SUV",$D$2:D717,D717)-1)</f>
        <v/>
      </c>
    </row>
    <row r="718" spans="1:17">
      <c r="A718" s="62" t="str">
        <f>IFERROR(INDEX($H$2:$H$3000,MATCH(0,INDEX(COUNTIF($A$1:A717,$H$2:$H$3000)+($H$2:$H$3000=""),0,0),0)),"")</f>
        <v/>
      </c>
      <c r="B718" s="62" t="str">
        <f t="shared" si="44"/>
        <v/>
      </c>
      <c r="C718" s="62" t="str">
        <f t="shared" si="45"/>
        <v/>
      </c>
      <c r="D718" s="63" t="str">
        <f t="shared" si="46"/>
        <v/>
      </c>
      <c r="E718" s="62" t="str">
        <f>IF(D718="","",_xlfn.RANK.EQ(D718,$D$2:$D$1001,0)+COUNTIF($D$2:D718,D718)-1)</f>
        <v/>
      </c>
      <c r="F718" s="62" t="str">
        <f>IF(B718="","",--(COUNTIF(CN_Brands!$A$2:$A$300,UPPER(B718))&gt;0))</f>
        <v/>
      </c>
      <c r="G718" s="62" t="str">
        <f t="shared" si="47"/>
        <v/>
      </c>
      <c r="H718" s="62" t="str">
        <f>IF(AND('Data Export'!A718=前十整体车型排名!$B$2,'Data Export'!B718=前十整体车型排名!$B$3,'Data Export'!D718&lt;&gt;""),UPPER('Data Export'!C718)&amp;"♦"&amp;'Data Export'!D718,"")</f>
        <v>PORSCHE♦TAYCAN</v>
      </c>
      <c r="I718" s="63">
        <f>IF(H718="","",IFERROR(INDEX('Data Export'!G718:CZ718,1,MATCH(前十整体车型排名!$B$4,'Data Export'!$G$1:$CZ$1,0)),0))</f>
        <v>0</v>
      </c>
      <c r="J718" s="62" t="str">
        <f>IF(H718="","",IF(OR('Data Export'!F718="三厢轿车",'Data Export'!F718="掀背轿车",'Data Export'!F718="旅行车",'Data Export'!F718="微型车",'Data Export'!F718="硬顶跑车",'Data Export'!F718="敞蓬车",'Data Export'!F718="Targa"),"轿车",IF(OR('Data Export'!F718="小型MPV",'Data Export'!F718="客车"),"MPV",IF('Data Export'!F718="运动型多功能车","SUV","其他"))))</f>
        <v>轿车</v>
      </c>
      <c r="K718" s="62" t="str">
        <f>IF(OR(D718="",NOT(F718=1)),"",1+SUMPRODUCT(($F$2:$F$1001=1)*($D$2:$D$1001&gt;D718))+COUNTIFS($F$2:F718,1,$D$2:D718,D718)-1)</f>
        <v/>
      </c>
      <c r="L718" s="62" t="str">
        <f>IF(OR(D718="",NOT(G718="轿车")),"",1+SUMPRODUCT(($G$2:$G$1001="轿车")*($D$2:$D$1001&gt;D718))+COUNTIFS($G$2:G718,"轿车",$D$2:D718,D718)-1)</f>
        <v/>
      </c>
      <c r="M718" s="62" t="str">
        <f>IF(OR(D718="",NOT(G718="MPV")),"",1+SUMPRODUCT(($G$2:$G$1001="MPV")*($D$2:$D$1001&gt;D718))+COUNTIFS($G$2:G718,"MPV",$D$2:D718,D718)-1)</f>
        <v/>
      </c>
      <c r="N718" s="62" t="str">
        <f>IF(OR(D718="",NOT(G718="SUV")),"",1+SUMPRODUCT(($G$2:$G$1001="SUV")*($D$2:$D$1001&gt;D718))+COUNTIFS($G$2:G718,"SUV",$D$2:D718,D718)-1)</f>
        <v/>
      </c>
      <c r="O718" s="62" t="str">
        <f>IF(OR(D718="",NOT(AND(F718=1,G718="轿车"))),"",1+SUMPRODUCT(($F$2:$F$1001=1)*($G$2:$G$1001="轿车")*($D$2:$D$1001&gt;D718))+COUNTIFS($F$2:F718,1,$G$2:G718,"轿车",$D$2:D718,D718)-1)</f>
        <v/>
      </c>
      <c r="P718" s="62" t="str">
        <f>IF(OR(D718="",NOT(AND(F718=1,G718="MPV"))),"",1+SUMPRODUCT(($F$2:$F$1001=1)*($G$2:$G$1001="MPV")*($D$2:$D$1001&gt;D718))+COUNTIFS($F$2:F718,1,$G$2:G718,"MPV",$D$2:D718,D718)-1)</f>
        <v/>
      </c>
      <c r="Q718" s="62" t="str">
        <f>IF(OR(D718="",NOT(AND(F718=1,G718="SUV"))),"",1+SUMPRODUCT(($F$2:$F$1001=1)*($G$2:$G$1001="SUV")*($D$2:$D$1001&gt;D718))+COUNTIFS($F$2:F718,1,$G$2:G718,"SUV",$D$2:D718,D718)-1)</f>
        <v/>
      </c>
    </row>
    <row r="719" spans="1:17">
      <c r="A719" s="62" t="str">
        <f>IFERROR(INDEX($H$2:$H$3000,MATCH(0,INDEX(COUNTIF($A$1:A718,$H$2:$H$3000)+($H$2:$H$3000=""),0,0),0)),"")</f>
        <v/>
      </c>
      <c r="B719" s="62" t="str">
        <f t="shared" si="44"/>
        <v/>
      </c>
      <c r="C719" s="62" t="str">
        <f t="shared" si="45"/>
        <v/>
      </c>
      <c r="D719" s="63" t="str">
        <f t="shared" si="46"/>
        <v/>
      </c>
      <c r="E719" s="62" t="str">
        <f>IF(D719="","",_xlfn.RANK.EQ(D719,$D$2:$D$1001,0)+COUNTIF($D$2:D719,D719)-1)</f>
        <v/>
      </c>
      <c r="F719" s="62" t="str">
        <f>IF(B719="","",--(COUNTIF(CN_Brands!$A$2:$A$300,UPPER(B719))&gt;0))</f>
        <v/>
      </c>
      <c r="G719" s="62" t="str">
        <f t="shared" si="47"/>
        <v/>
      </c>
      <c r="H719" s="62" t="str">
        <f>IF(AND('Data Export'!A719=前十整体车型排名!$B$2,'Data Export'!B719=前十整体车型排名!$B$3,'Data Export'!D719&lt;&gt;""),UPPER('Data Export'!C719)&amp;"♦"&amp;'Data Export'!D719,"")</f>
        <v>PORSCHE♦TAYCAN</v>
      </c>
      <c r="I719" s="63">
        <f>IF(H719="","",IFERROR(INDEX('Data Export'!G719:CZ719,1,MATCH(前十整体车型排名!$B$4,'Data Export'!$G$1:$CZ$1,0)),0))</f>
        <v>0</v>
      </c>
      <c r="J719" s="62" t="str">
        <f>IF(H719="","",IF(OR('Data Export'!F719="三厢轿车",'Data Export'!F719="掀背轿车",'Data Export'!F719="旅行车",'Data Export'!F719="微型车",'Data Export'!F719="硬顶跑车",'Data Export'!F719="敞蓬车",'Data Export'!F719="Targa"),"轿车",IF(OR('Data Export'!F719="小型MPV",'Data Export'!F719="客车"),"MPV",IF('Data Export'!F719="运动型多功能车","SUV","其他"))))</f>
        <v>轿车</v>
      </c>
      <c r="K719" s="62" t="str">
        <f>IF(OR(D719="",NOT(F719=1)),"",1+SUMPRODUCT(($F$2:$F$1001=1)*($D$2:$D$1001&gt;D719))+COUNTIFS($F$2:F719,1,$D$2:D719,D719)-1)</f>
        <v/>
      </c>
      <c r="L719" s="62" t="str">
        <f>IF(OR(D719="",NOT(G719="轿车")),"",1+SUMPRODUCT(($G$2:$G$1001="轿车")*($D$2:$D$1001&gt;D719))+COUNTIFS($G$2:G719,"轿车",$D$2:D719,D719)-1)</f>
        <v/>
      </c>
      <c r="M719" s="62" t="str">
        <f>IF(OR(D719="",NOT(G719="MPV")),"",1+SUMPRODUCT(($G$2:$G$1001="MPV")*($D$2:$D$1001&gt;D719))+COUNTIFS($G$2:G719,"MPV",$D$2:D719,D719)-1)</f>
        <v/>
      </c>
      <c r="N719" s="62" t="str">
        <f>IF(OR(D719="",NOT(G719="SUV")),"",1+SUMPRODUCT(($G$2:$G$1001="SUV")*($D$2:$D$1001&gt;D719))+COUNTIFS($G$2:G719,"SUV",$D$2:D719,D719)-1)</f>
        <v/>
      </c>
      <c r="O719" s="62" t="str">
        <f>IF(OR(D719="",NOT(AND(F719=1,G719="轿车"))),"",1+SUMPRODUCT(($F$2:$F$1001=1)*($G$2:$G$1001="轿车")*($D$2:$D$1001&gt;D719))+COUNTIFS($F$2:F719,1,$G$2:G719,"轿车",$D$2:D719,D719)-1)</f>
        <v/>
      </c>
      <c r="P719" s="62" t="str">
        <f>IF(OR(D719="",NOT(AND(F719=1,G719="MPV"))),"",1+SUMPRODUCT(($F$2:$F$1001=1)*($G$2:$G$1001="MPV")*($D$2:$D$1001&gt;D719))+COUNTIFS($F$2:F719,1,$G$2:G719,"MPV",$D$2:D719,D719)-1)</f>
        <v/>
      </c>
      <c r="Q719" s="62" t="str">
        <f>IF(OR(D719="",NOT(AND(F719=1,G719="SUV"))),"",1+SUMPRODUCT(($F$2:$F$1001=1)*($G$2:$G$1001="SUV")*($D$2:$D$1001&gt;D719))+COUNTIFS($F$2:F719,1,$G$2:G719,"SUV",$D$2:D719,D719)-1)</f>
        <v/>
      </c>
    </row>
    <row r="720" spans="1:17">
      <c r="A720" s="62" t="str">
        <f>IFERROR(INDEX($H$2:$H$3000,MATCH(0,INDEX(COUNTIF($A$1:A719,$H$2:$H$3000)+($H$2:$H$3000=""),0,0),0)),"")</f>
        <v/>
      </c>
      <c r="B720" s="62" t="str">
        <f t="shared" si="44"/>
        <v/>
      </c>
      <c r="C720" s="62" t="str">
        <f t="shared" si="45"/>
        <v/>
      </c>
      <c r="D720" s="63" t="str">
        <f t="shared" si="46"/>
        <v/>
      </c>
      <c r="E720" s="62" t="str">
        <f>IF(D720="","",_xlfn.RANK.EQ(D720,$D$2:$D$1001,0)+COUNTIF($D$2:D720,D720)-1)</f>
        <v/>
      </c>
      <c r="F720" s="62" t="str">
        <f>IF(B720="","",--(COUNTIF(CN_Brands!$A$2:$A$300,UPPER(B720))&gt;0))</f>
        <v/>
      </c>
      <c r="G720" s="62" t="str">
        <f t="shared" si="47"/>
        <v/>
      </c>
      <c r="H720" s="62" t="str">
        <f>IF(AND('Data Export'!A720=前十整体车型排名!$B$2,'Data Export'!B720=前十整体车型排名!$B$3,'Data Export'!D720&lt;&gt;""),UPPER('Data Export'!C720)&amp;"♦"&amp;'Data Export'!D720,"")</f>
        <v>PORSCHE♦TAYCAN</v>
      </c>
      <c r="I720" s="63">
        <f>IF(H720="","",IFERROR(INDEX('Data Export'!G720:CZ720,1,MATCH(前十整体车型排名!$B$4,'Data Export'!$G$1:$CZ$1,0)),0))</f>
        <v>0</v>
      </c>
      <c r="J720" s="62" t="str">
        <f>IF(H720="","",IF(OR('Data Export'!F720="三厢轿车",'Data Export'!F720="掀背轿车",'Data Export'!F720="旅行车",'Data Export'!F720="微型车",'Data Export'!F720="硬顶跑车",'Data Export'!F720="敞蓬车",'Data Export'!F720="Targa"),"轿车",IF(OR('Data Export'!F720="小型MPV",'Data Export'!F720="客车"),"MPV",IF('Data Export'!F720="运动型多功能车","SUV","其他"))))</f>
        <v>轿车</v>
      </c>
      <c r="K720" s="62" t="str">
        <f>IF(OR(D720="",NOT(F720=1)),"",1+SUMPRODUCT(($F$2:$F$1001=1)*($D$2:$D$1001&gt;D720))+COUNTIFS($F$2:F720,1,$D$2:D720,D720)-1)</f>
        <v/>
      </c>
      <c r="L720" s="62" t="str">
        <f>IF(OR(D720="",NOT(G720="轿车")),"",1+SUMPRODUCT(($G$2:$G$1001="轿车")*($D$2:$D$1001&gt;D720))+COUNTIFS($G$2:G720,"轿车",$D$2:D720,D720)-1)</f>
        <v/>
      </c>
      <c r="M720" s="62" t="str">
        <f>IF(OR(D720="",NOT(G720="MPV")),"",1+SUMPRODUCT(($G$2:$G$1001="MPV")*($D$2:$D$1001&gt;D720))+COUNTIFS($G$2:G720,"MPV",$D$2:D720,D720)-1)</f>
        <v/>
      </c>
      <c r="N720" s="62" t="str">
        <f>IF(OR(D720="",NOT(G720="SUV")),"",1+SUMPRODUCT(($G$2:$G$1001="SUV")*($D$2:$D$1001&gt;D720))+COUNTIFS($G$2:G720,"SUV",$D$2:D720,D720)-1)</f>
        <v/>
      </c>
      <c r="O720" s="62" t="str">
        <f>IF(OR(D720="",NOT(AND(F720=1,G720="轿车"))),"",1+SUMPRODUCT(($F$2:$F$1001=1)*($G$2:$G$1001="轿车")*($D$2:$D$1001&gt;D720))+COUNTIFS($F$2:F720,1,$G$2:G720,"轿车",$D$2:D720,D720)-1)</f>
        <v/>
      </c>
      <c r="P720" s="62" t="str">
        <f>IF(OR(D720="",NOT(AND(F720=1,G720="MPV"))),"",1+SUMPRODUCT(($F$2:$F$1001=1)*($G$2:$G$1001="MPV")*($D$2:$D$1001&gt;D720))+COUNTIFS($F$2:F720,1,$G$2:G720,"MPV",$D$2:D720,D720)-1)</f>
        <v/>
      </c>
      <c r="Q720" s="62" t="str">
        <f>IF(OR(D720="",NOT(AND(F720=1,G720="SUV"))),"",1+SUMPRODUCT(($F$2:$F$1001=1)*($G$2:$G$1001="SUV")*($D$2:$D$1001&gt;D720))+COUNTIFS($F$2:F720,1,$G$2:G720,"SUV",$D$2:D720,D720)-1)</f>
        <v/>
      </c>
    </row>
    <row r="721" spans="1:17">
      <c r="A721" s="62" t="str">
        <f>IFERROR(INDEX($H$2:$H$3000,MATCH(0,INDEX(COUNTIF($A$1:A720,$H$2:$H$3000)+($H$2:$H$3000=""),0,0),0)),"")</f>
        <v/>
      </c>
      <c r="B721" s="62" t="str">
        <f t="shared" si="44"/>
        <v/>
      </c>
      <c r="C721" s="62" t="str">
        <f t="shared" si="45"/>
        <v/>
      </c>
      <c r="D721" s="63" t="str">
        <f t="shared" si="46"/>
        <v/>
      </c>
      <c r="E721" s="62" t="str">
        <f>IF(D721="","",_xlfn.RANK.EQ(D721,$D$2:$D$1001,0)+COUNTIF($D$2:D721,D721)-1)</f>
        <v/>
      </c>
      <c r="F721" s="62" t="str">
        <f>IF(B721="","",--(COUNTIF(CN_Brands!$A$2:$A$300,UPPER(B721))&gt;0))</f>
        <v/>
      </c>
      <c r="G721" s="62" t="str">
        <f t="shared" si="47"/>
        <v/>
      </c>
      <c r="H721" s="62" t="str">
        <f>IF(AND('Data Export'!A721=前十整体车型排名!$B$2,'Data Export'!B721=前十整体车型排名!$B$3,'Data Export'!D721&lt;&gt;""),UPPER('Data Export'!C721)&amp;"♦"&amp;'Data Export'!D721,"")</f>
        <v>PORSCHE♦TAYCAN</v>
      </c>
      <c r="I721" s="63">
        <f>IF(H721="","",IFERROR(INDEX('Data Export'!G721:CZ721,1,MATCH(前十整体车型排名!$B$4,'Data Export'!$G$1:$CZ$1,0)),0))</f>
        <v>1</v>
      </c>
      <c r="J721" s="62" t="str">
        <f>IF(H721="","",IF(OR('Data Export'!F721="三厢轿车",'Data Export'!F721="掀背轿车",'Data Export'!F721="旅行车",'Data Export'!F721="微型车",'Data Export'!F721="硬顶跑车",'Data Export'!F721="敞蓬车",'Data Export'!F721="Targa"),"轿车",IF(OR('Data Export'!F721="小型MPV",'Data Export'!F721="客车"),"MPV",IF('Data Export'!F721="运动型多功能车","SUV","其他"))))</f>
        <v>轿车</v>
      </c>
      <c r="K721" s="62" t="str">
        <f>IF(OR(D721="",NOT(F721=1)),"",1+SUMPRODUCT(($F$2:$F$1001=1)*($D$2:$D$1001&gt;D721))+COUNTIFS($F$2:F721,1,$D$2:D721,D721)-1)</f>
        <v/>
      </c>
      <c r="L721" s="62" t="str">
        <f>IF(OR(D721="",NOT(G721="轿车")),"",1+SUMPRODUCT(($G$2:$G$1001="轿车")*($D$2:$D$1001&gt;D721))+COUNTIFS($G$2:G721,"轿车",$D$2:D721,D721)-1)</f>
        <v/>
      </c>
      <c r="M721" s="62" t="str">
        <f>IF(OR(D721="",NOT(G721="MPV")),"",1+SUMPRODUCT(($G$2:$G$1001="MPV")*($D$2:$D$1001&gt;D721))+COUNTIFS($G$2:G721,"MPV",$D$2:D721,D721)-1)</f>
        <v/>
      </c>
      <c r="N721" s="62" t="str">
        <f>IF(OR(D721="",NOT(G721="SUV")),"",1+SUMPRODUCT(($G$2:$G$1001="SUV")*($D$2:$D$1001&gt;D721))+COUNTIFS($G$2:G721,"SUV",$D$2:D721,D721)-1)</f>
        <v/>
      </c>
      <c r="O721" s="62" t="str">
        <f>IF(OR(D721="",NOT(AND(F721=1,G721="轿车"))),"",1+SUMPRODUCT(($F$2:$F$1001=1)*($G$2:$G$1001="轿车")*($D$2:$D$1001&gt;D721))+COUNTIFS($F$2:F721,1,$G$2:G721,"轿车",$D$2:D721,D721)-1)</f>
        <v/>
      </c>
      <c r="P721" s="62" t="str">
        <f>IF(OR(D721="",NOT(AND(F721=1,G721="MPV"))),"",1+SUMPRODUCT(($F$2:$F$1001=1)*($G$2:$G$1001="MPV")*($D$2:$D$1001&gt;D721))+COUNTIFS($F$2:F721,1,$G$2:G721,"MPV",$D$2:D721,D721)-1)</f>
        <v/>
      </c>
      <c r="Q721" s="62" t="str">
        <f>IF(OR(D721="",NOT(AND(F721=1,G721="SUV"))),"",1+SUMPRODUCT(($F$2:$F$1001=1)*($G$2:$G$1001="SUV")*($D$2:$D$1001&gt;D721))+COUNTIFS($F$2:F721,1,$G$2:G721,"SUV",$D$2:D721,D721)-1)</f>
        <v/>
      </c>
    </row>
    <row r="722" spans="1:17">
      <c r="A722" s="62" t="str">
        <f>IFERROR(INDEX($H$2:$H$3000,MATCH(0,INDEX(COUNTIF($A$1:A721,$H$2:$H$3000)+($H$2:$H$3000=""),0,0),0)),"")</f>
        <v/>
      </c>
      <c r="B722" s="62" t="str">
        <f t="shared" si="44"/>
        <v/>
      </c>
      <c r="C722" s="62" t="str">
        <f t="shared" si="45"/>
        <v/>
      </c>
      <c r="D722" s="63" t="str">
        <f t="shared" si="46"/>
        <v/>
      </c>
      <c r="E722" s="62" t="str">
        <f>IF(D722="","",_xlfn.RANK.EQ(D722,$D$2:$D$1001,0)+COUNTIF($D$2:D722,D722)-1)</f>
        <v/>
      </c>
      <c r="F722" s="62" t="str">
        <f>IF(B722="","",--(COUNTIF(CN_Brands!$A$2:$A$300,UPPER(B722))&gt;0))</f>
        <v/>
      </c>
      <c r="G722" s="62" t="str">
        <f t="shared" si="47"/>
        <v/>
      </c>
      <c r="H722" s="62" t="str">
        <f>IF(AND('Data Export'!A722=前十整体车型排名!$B$2,'Data Export'!B722=前十整体车型排名!$B$3,'Data Export'!D722&lt;&gt;""),UPPER('Data Export'!C722)&amp;"♦"&amp;'Data Export'!D722,"")</f>
        <v>PORSCHE♦TAYCAN</v>
      </c>
      <c r="I722" s="63">
        <f>IF(H722="","",IFERROR(INDEX('Data Export'!G722:CZ722,1,MATCH(前十整体车型排名!$B$4,'Data Export'!$G$1:$CZ$1,0)),0))</f>
        <v>0</v>
      </c>
      <c r="J722" s="62" t="str">
        <f>IF(H722="","",IF(OR('Data Export'!F722="三厢轿车",'Data Export'!F722="掀背轿车",'Data Export'!F722="旅行车",'Data Export'!F722="微型车",'Data Export'!F722="硬顶跑车",'Data Export'!F722="敞蓬车",'Data Export'!F722="Targa"),"轿车",IF(OR('Data Export'!F722="小型MPV",'Data Export'!F722="客车"),"MPV",IF('Data Export'!F722="运动型多功能车","SUV","其他"))))</f>
        <v>轿车</v>
      </c>
      <c r="K722" s="62" t="str">
        <f>IF(OR(D722="",NOT(F722=1)),"",1+SUMPRODUCT(($F$2:$F$1001=1)*($D$2:$D$1001&gt;D722))+COUNTIFS($F$2:F722,1,$D$2:D722,D722)-1)</f>
        <v/>
      </c>
      <c r="L722" s="62" t="str">
        <f>IF(OR(D722="",NOT(G722="轿车")),"",1+SUMPRODUCT(($G$2:$G$1001="轿车")*($D$2:$D$1001&gt;D722))+COUNTIFS($G$2:G722,"轿车",$D$2:D722,D722)-1)</f>
        <v/>
      </c>
      <c r="M722" s="62" t="str">
        <f>IF(OR(D722="",NOT(G722="MPV")),"",1+SUMPRODUCT(($G$2:$G$1001="MPV")*($D$2:$D$1001&gt;D722))+COUNTIFS($G$2:G722,"MPV",$D$2:D722,D722)-1)</f>
        <v/>
      </c>
      <c r="N722" s="62" t="str">
        <f>IF(OR(D722="",NOT(G722="SUV")),"",1+SUMPRODUCT(($G$2:$G$1001="SUV")*($D$2:$D$1001&gt;D722))+COUNTIFS($G$2:G722,"SUV",$D$2:D722,D722)-1)</f>
        <v/>
      </c>
      <c r="O722" s="62" t="str">
        <f>IF(OR(D722="",NOT(AND(F722=1,G722="轿车"))),"",1+SUMPRODUCT(($F$2:$F$1001=1)*($G$2:$G$1001="轿车")*($D$2:$D$1001&gt;D722))+COUNTIFS($F$2:F722,1,$G$2:G722,"轿车",$D$2:D722,D722)-1)</f>
        <v/>
      </c>
      <c r="P722" s="62" t="str">
        <f>IF(OR(D722="",NOT(AND(F722=1,G722="MPV"))),"",1+SUMPRODUCT(($F$2:$F$1001=1)*($G$2:$G$1001="MPV")*($D$2:$D$1001&gt;D722))+COUNTIFS($F$2:F722,1,$G$2:G722,"MPV",$D$2:D722,D722)-1)</f>
        <v/>
      </c>
      <c r="Q722" s="62" t="str">
        <f>IF(OR(D722="",NOT(AND(F722=1,G722="SUV"))),"",1+SUMPRODUCT(($F$2:$F$1001=1)*($G$2:$G$1001="SUV")*($D$2:$D$1001&gt;D722))+COUNTIFS($F$2:F722,1,$G$2:G722,"SUV",$D$2:D722,D722)-1)</f>
        <v/>
      </c>
    </row>
    <row r="723" spans="1:17">
      <c r="A723" s="62" t="str">
        <f>IFERROR(INDEX($H$2:$H$3000,MATCH(0,INDEX(COUNTIF($A$1:A722,$H$2:$H$3000)+($H$2:$H$3000=""),0,0),0)),"")</f>
        <v/>
      </c>
      <c r="B723" s="62" t="str">
        <f t="shared" si="44"/>
        <v/>
      </c>
      <c r="C723" s="62" t="str">
        <f t="shared" si="45"/>
        <v/>
      </c>
      <c r="D723" s="63" t="str">
        <f t="shared" si="46"/>
        <v/>
      </c>
      <c r="E723" s="62" t="str">
        <f>IF(D723="","",_xlfn.RANK.EQ(D723,$D$2:$D$1001,0)+COUNTIF($D$2:D723,D723)-1)</f>
        <v/>
      </c>
      <c r="F723" s="62" t="str">
        <f>IF(B723="","",--(COUNTIF(CN_Brands!$A$2:$A$300,UPPER(B723))&gt;0))</f>
        <v/>
      </c>
      <c r="G723" s="62" t="str">
        <f t="shared" si="47"/>
        <v/>
      </c>
      <c r="H723" s="62" t="str">
        <f>IF(AND('Data Export'!A723=前十整体车型排名!$B$2,'Data Export'!B723=前十整体车型排名!$B$3,'Data Export'!D723&lt;&gt;""),UPPER('Data Export'!C723)&amp;"♦"&amp;'Data Export'!D723,"")</f>
        <v>PORSCHE♦TAYCAN</v>
      </c>
      <c r="I723" s="63">
        <f>IF(H723="","",IFERROR(INDEX('Data Export'!G723:CZ723,1,MATCH(前十整体车型排名!$B$4,'Data Export'!$G$1:$CZ$1,0)),0))</f>
        <v>0</v>
      </c>
      <c r="J723" s="62" t="str">
        <f>IF(H723="","",IF(OR('Data Export'!F723="三厢轿车",'Data Export'!F723="掀背轿车",'Data Export'!F723="旅行车",'Data Export'!F723="微型车",'Data Export'!F723="硬顶跑车",'Data Export'!F723="敞蓬车",'Data Export'!F723="Targa"),"轿车",IF(OR('Data Export'!F723="小型MPV",'Data Export'!F723="客车"),"MPV",IF('Data Export'!F723="运动型多功能车","SUV","其他"))))</f>
        <v>轿车</v>
      </c>
      <c r="K723" s="62" t="str">
        <f>IF(OR(D723="",NOT(F723=1)),"",1+SUMPRODUCT(($F$2:$F$1001=1)*($D$2:$D$1001&gt;D723))+COUNTIFS($F$2:F723,1,$D$2:D723,D723)-1)</f>
        <v/>
      </c>
      <c r="L723" s="62" t="str">
        <f>IF(OR(D723="",NOT(G723="轿车")),"",1+SUMPRODUCT(($G$2:$G$1001="轿车")*($D$2:$D$1001&gt;D723))+COUNTIFS($G$2:G723,"轿车",$D$2:D723,D723)-1)</f>
        <v/>
      </c>
      <c r="M723" s="62" t="str">
        <f>IF(OR(D723="",NOT(G723="MPV")),"",1+SUMPRODUCT(($G$2:$G$1001="MPV")*($D$2:$D$1001&gt;D723))+COUNTIFS($G$2:G723,"MPV",$D$2:D723,D723)-1)</f>
        <v/>
      </c>
      <c r="N723" s="62" t="str">
        <f>IF(OR(D723="",NOT(G723="SUV")),"",1+SUMPRODUCT(($G$2:$G$1001="SUV")*($D$2:$D$1001&gt;D723))+COUNTIFS($G$2:G723,"SUV",$D$2:D723,D723)-1)</f>
        <v/>
      </c>
      <c r="O723" s="62" t="str">
        <f>IF(OR(D723="",NOT(AND(F723=1,G723="轿车"))),"",1+SUMPRODUCT(($F$2:$F$1001=1)*($G$2:$G$1001="轿车")*($D$2:$D$1001&gt;D723))+COUNTIFS($F$2:F723,1,$G$2:G723,"轿车",$D$2:D723,D723)-1)</f>
        <v/>
      </c>
      <c r="P723" s="62" t="str">
        <f>IF(OR(D723="",NOT(AND(F723=1,G723="MPV"))),"",1+SUMPRODUCT(($F$2:$F$1001=1)*($G$2:$G$1001="MPV")*($D$2:$D$1001&gt;D723))+COUNTIFS($F$2:F723,1,$G$2:G723,"MPV",$D$2:D723,D723)-1)</f>
        <v/>
      </c>
      <c r="Q723" s="62" t="str">
        <f>IF(OR(D723="",NOT(AND(F723=1,G723="SUV"))),"",1+SUMPRODUCT(($F$2:$F$1001=1)*($G$2:$G$1001="SUV")*($D$2:$D$1001&gt;D723))+COUNTIFS($F$2:F723,1,$G$2:G723,"SUV",$D$2:D723,D723)-1)</f>
        <v/>
      </c>
    </row>
    <row r="724" spans="1:17">
      <c r="A724" s="62" t="str">
        <f>IFERROR(INDEX($H$2:$H$3000,MATCH(0,INDEX(COUNTIF($A$1:A723,$H$2:$H$3000)+($H$2:$H$3000=""),0,0),0)),"")</f>
        <v/>
      </c>
      <c r="B724" s="62" t="str">
        <f t="shared" si="44"/>
        <v/>
      </c>
      <c r="C724" s="62" t="str">
        <f t="shared" si="45"/>
        <v/>
      </c>
      <c r="D724" s="63" t="str">
        <f t="shared" si="46"/>
        <v/>
      </c>
      <c r="E724" s="62" t="str">
        <f>IF(D724="","",_xlfn.RANK.EQ(D724,$D$2:$D$1001,0)+COUNTIF($D$2:D724,D724)-1)</f>
        <v/>
      </c>
      <c r="F724" s="62" t="str">
        <f>IF(B724="","",--(COUNTIF(CN_Brands!$A$2:$A$300,UPPER(B724))&gt;0))</f>
        <v/>
      </c>
      <c r="G724" s="62" t="str">
        <f t="shared" si="47"/>
        <v/>
      </c>
      <c r="H724" s="62" t="str">
        <f>IF(AND('Data Export'!A724=前十整体车型排名!$B$2,'Data Export'!B724=前十整体车型排名!$B$3,'Data Export'!D724&lt;&gt;""),UPPER('Data Export'!C724)&amp;"♦"&amp;'Data Export'!D724,"")</f>
        <v>PORSCHE♦TAYCAN</v>
      </c>
      <c r="I724" s="63">
        <f>IF(H724="","",IFERROR(INDEX('Data Export'!G724:CZ724,1,MATCH(前十整体车型排名!$B$4,'Data Export'!$G$1:$CZ$1,0)),0))</f>
        <v>2</v>
      </c>
      <c r="J724" s="62" t="str">
        <f>IF(H724="","",IF(OR('Data Export'!F724="三厢轿车",'Data Export'!F724="掀背轿车",'Data Export'!F724="旅行车",'Data Export'!F724="微型车",'Data Export'!F724="硬顶跑车",'Data Export'!F724="敞蓬车",'Data Export'!F724="Targa"),"轿车",IF(OR('Data Export'!F724="小型MPV",'Data Export'!F724="客车"),"MPV",IF('Data Export'!F724="运动型多功能车","SUV","其他"))))</f>
        <v>其他</v>
      </c>
      <c r="K724" s="62" t="str">
        <f>IF(OR(D724="",NOT(F724=1)),"",1+SUMPRODUCT(($F$2:$F$1001=1)*($D$2:$D$1001&gt;D724))+COUNTIFS($F$2:F724,1,$D$2:D724,D724)-1)</f>
        <v/>
      </c>
      <c r="L724" s="62" t="str">
        <f>IF(OR(D724="",NOT(G724="轿车")),"",1+SUMPRODUCT(($G$2:$G$1001="轿车")*($D$2:$D$1001&gt;D724))+COUNTIFS($G$2:G724,"轿车",$D$2:D724,D724)-1)</f>
        <v/>
      </c>
      <c r="M724" s="62" t="str">
        <f>IF(OR(D724="",NOT(G724="MPV")),"",1+SUMPRODUCT(($G$2:$G$1001="MPV")*($D$2:$D$1001&gt;D724))+COUNTIFS($G$2:G724,"MPV",$D$2:D724,D724)-1)</f>
        <v/>
      </c>
      <c r="N724" s="62" t="str">
        <f>IF(OR(D724="",NOT(G724="SUV")),"",1+SUMPRODUCT(($G$2:$G$1001="SUV")*($D$2:$D$1001&gt;D724))+COUNTIFS($G$2:G724,"SUV",$D$2:D724,D724)-1)</f>
        <v/>
      </c>
      <c r="O724" s="62" t="str">
        <f>IF(OR(D724="",NOT(AND(F724=1,G724="轿车"))),"",1+SUMPRODUCT(($F$2:$F$1001=1)*($G$2:$G$1001="轿车")*($D$2:$D$1001&gt;D724))+COUNTIFS($F$2:F724,1,$G$2:G724,"轿车",$D$2:D724,D724)-1)</f>
        <v/>
      </c>
      <c r="P724" s="62" t="str">
        <f>IF(OR(D724="",NOT(AND(F724=1,G724="MPV"))),"",1+SUMPRODUCT(($F$2:$F$1001=1)*($G$2:$G$1001="MPV")*($D$2:$D$1001&gt;D724))+COUNTIFS($F$2:F724,1,$G$2:G724,"MPV",$D$2:D724,D724)-1)</f>
        <v/>
      </c>
      <c r="Q724" s="62" t="str">
        <f>IF(OR(D724="",NOT(AND(F724=1,G724="SUV"))),"",1+SUMPRODUCT(($F$2:$F$1001=1)*($G$2:$G$1001="SUV")*($D$2:$D$1001&gt;D724))+COUNTIFS($F$2:F724,1,$G$2:G724,"SUV",$D$2:D724,D724)-1)</f>
        <v/>
      </c>
    </row>
    <row r="725" spans="1:17">
      <c r="A725" s="62" t="str">
        <f>IFERROR(INDEX($H$2:$H$3000,MATCH(0,INDEX(COUNTIF($A$1:A724,$H$2:$H$3000)+($H$2:$H$3000=""),0,0),0)),"")</f>
        <v/>
      </c>
      <c r="B725" s="62" t="str">
        <f t="shared" si="44"/>
        <v/>
      </c>
      <c r="C725" s="62" t="str">
        <f t="shared" si="45"/>
        <v/>
      </c>
      <c r="D725" s="63" t="str">
        <f t="shared" si="46"/>
        <v/>
      </c>
      <c r="E725" s="62" t="str">
        <f>IF(D725="","",_xlfn.RANK.EQ(D725,$D$2:$D$1001,0)+COUNTIF($D$2:D725,D725)-1)</f>
        <v/>
      </c>
      <c r="F725" s="62" t="str">
        <f>IF(B725="","",--(COUNTIF(CN_Brands!$A$2:$A$300,UPPER(B725))&gt;0))</f>
        <v/>
      </c>
      <c r="G725" s="62" t="str">
        <f t="shared" si="47"/>
        <v/>
      </c>
      <c r="H725" s="62" t="str">
        <f>IF(AND('Data Export'!A725=前十整体车型排名!$B$2,'Data Export'!B725=前十整体车型排名!$B$3,'Data Export'!D725&lt;&gt;""),UPPER('Data Export'!C725)&amp;"♦"&amp;'Data Export'!D725,"")</f>
        <v>PROTON♦PREVE</v>
      </c>
      <c r="I725" s="63">
        <f>IF(H725="","",IFERROR(INDEX('Data Export'!G725:CZ725,1,MATCH(前十整体车型排名!$B$4,'Data Export'!$G$1:$CZ$1,0)),0))</f>
        <v>0</v>
      </c>
      <c r="J725" s="62" t="str">
        <f>IF(H725="","",IF(OR('Data Export'!F725="三厢轿车",'Data Export'!F725="掀背轿车",'Data Export'!F725="旅行车",'Data Export'!F725="微型车",'Data Export'!F725="硬顶跑车",'Data Export'!F725="敞蓬车",'Data Export'!F725="Targa"),"轿车",IF(OR('Data Export'!F725="小型MPV",'Data Export'!F725="客车"),"MPV",IF('Data Export'!F725="运动型多功能车","SUV","其他"))))</f>
        <v>轿车</v>
      </c>
      <c r="K725" s="62" t="str">
        <f>IF(OR(D725="",NOT(F725=1)),"",1+SUMPRODUCT(($F$2:$F$1001=1)*($D$2:$D$1001&gt;D725))+COUNTIFS($F$2:F725,1,$D$2:D725,D725)-1)</f>
        <v/>
      </c>
      <c r="L725" s="62" t="str">
        <f>IF(OR(D725="",NOT(G725="轿车")),"",1+SUMPRODUCT(($G$2:$G$1001="轿车")*($D$2:$D$1001&gt;D725))+COUNTIFS($G$2:G725,"轿车",$D$2:D725,D725)-1)</f>
        <v/>
      </c>
      <c r="M725" s="62" t="str">
        <f>IF(OR(D725="",NOT(G725="MPV")),"",1+SUMPRODUCT(($G$2:$G$1001="MPV")*($D$2:$D$1001&gt;D725))+COUNTIFS($G$2:G725,"MPV",$D$2:D725,D725)-1)</f>
        <v/>
      </c>
      <c r="N725" s="62" t="str">
        <f>IF(OR(D725="",NOT(G725="SUV")),"",1+SUMPRODUCT(($G$2:$G$1001="SUV")*($D$2:$D$1001&gt;D725))+COUNTIFS($G$2:G725,"SUV",$D$2:D725,D725)-1)</f>
        <v/>
      </c>
      <c r="O725" s="62" t="str">
        <f>IF(OR(D725="",NOT(AND(F725=1,G725="轿车"))),"",1+SUMPRODUCT(($F$2:$F$1001=1)*($G$2:$G$1001="轿车")*($D$2:$D$1001&gt;D725))+COUNTIFS($F$2:F725,1,$G$2:G725,"轿车",$D$2:D725,D725)-1)</f>
        <v/>
      </c>
      <c r="P725" s="62" t="str">
        <f>IF(OR(D725="",NOT(AND(F725=1,G725="MPV"))),"",1+SUMPRODUCT(($F$2:$F$1001=1)*($G$2:$G$1001="MPV")*($D$2:$D$1001&gt;D725))+COUNTIFS($F$2:F725,1,$G$2:G725,"MPV",$D$2:D725,D725)-1)</f>
        <v/>
      </c>
      <c r="Q725" s="62" t="str">
        <f>IF(OR(D725="",NOT(AND(F725=1,G725="SUV"))),"",1+SUMPRODUCT(($F$2:$F$1001=1)*($G$2:$G$1001="SUV")*($D$2:$D$1001&gt;D725))+COUNTIFS($F$2:F725,1,$G$2:G725,"SUV",$D$2:D725,D725)-1)</f>
        <v/>
      </c>
    </row>
    <row r="726" spans="1:17">
      <c r="A726" s="62" t="str">
        <f>IFERROR(INDEX($H$2:$H$3000,MATCH(0,INDEX(COUNTIF($A$1:A725,$H$2:$H$3000)+($H$2:$H$3000=""),0,0),0)),"")</f>
        <v/>
      </c>
      <c r="B726" s="62" t="str">
        <f t="shared" si="44"/>
        <v/>
      </c>
      <c r="C726" s="62" t="str">
        <f t="shared" si="45"/>
        <v/>
      </c>
      <c r="D726" s="63" t="str">
        <f t="shared" si="46"/>
        <v/>
      </c>
      <c r="E726" s="62" t="str">
        <f>IF(D726="","",_xlfn.RANK.EQ(D726,$D$2:$D$1001,0)+COUNTIF($D$2:D726,D726)-1)</f>
        <v/>
      </c>
      <c r="F726" s="62" t="str">
        <f>IF(B726="","",--(COUNTIF(CN_Brands!$A$2:$A$300,UPPER(B726))&gt;0))</f>
        <v/>
      </c>
      <c r="G726" s="62" t="str">
        <f t="shared" si="47"/>
        <v/>
      </c>
      <c r="H726" s="62" t="str">
        <f>IF(AND('Data Export'!A726=前十整体车型排名!$B$2,'Data Export'!B726=前十整体车型排名!$B$3,'Data Export'!D726&lt;&gt;""),UPPER('Data Export'!C726)&amp;"♦"&amp;'Data Export'!D726,"")</f>
        <v>ROLLS-ROYCE♦CULLINAN</v>
      </c>
      <c r="I726" s="63">
        <f>IF(H726="","",IFERROR(INDEX('Data Export'!G726:CZ726,1,MATCH(前十整体车型排名!$B$4,'Data Export'!$G$1:$CZ$1,0)),0))</f>
        <v>0</v>
      </c>
      <c r="J726" s="62" t="str">
        <f>IF(H726="","",IF(OR('Data Export'!F726="三厢轿车",'Data Export'!F726="掀背轿车",'Data Export'!F726="旅行车",'Data Export'!F726="微型车",'Data Export'!F726="硬顶跑车",'Data Export'!F726="敞蓬车",'Data Export'!F726="Targa"),"轿车",IF(OR('Data Export'!F726="小型MPV",'Data Export'!F726="客车"),"MPV",IF('Data Export'!F726="运动型多功能车","SUV","其他"))))</f>
        <v>SUV</v>
      </c>
      <c r="K726" s="62" t="str">
        <f>IF(OR(D726="",NOT(F726=1)),"",1+SUMPRODUCT(($F$2:$F$1001=1)*($D$2:$D$1001&gt;D726))+COUNTIFS($F$2:F726,1,$D$2:D726,D726)-1)</f>
        <v/>
      </c>
      <c r="L726" s="62" t="str">
        <f>IF(OR(D726="",NOT(G726="轿车")),"",1+SUMPRODUCT(($G$2:$G$1001="轿车")*($D$2:$D$1001&gt;D726))+COUNTIFS($G$2:G726,"轿车",$D$2:D726,D726)-1)</f>
        <v/>
      </c>
      <c r="M726" s="62" t="str">
        <f>IF(OR(D726="",NOT(G726="MPV")),"",1+SUMPRODUCT(($G$2:$G$1001="MPV")*($D$2:$D$1001&gt;D726))+COUNTIFS($G$2:G726,"MPV",$D$2:D726,D726)-1)</f>
        <v/>
      </c>
      <c r="N726" s="62" t="str">
        <f>IF(OR(D726="",NOT(G726="SUV")),"",1+SUMPRODUCT(($G$2:$G$1001="SUV")*($D$2:$D$1001&gt;D726))+COUNTIFS($G$2:G726,"SUV",$D$2:D726,D726)-1)</f>
        <v/>
      </c>
      <c r="O726" s="62" t="str">
        <f>IF(OR(D726="",NOT(AND(F726=1,G726="轿车"))),"",1+SUMPRODUCT(($F$2:$F$1001=1)*($G$2:$G$1001="轿车")*($D$2:$D$1001&gt;D726))+COUNTIFS($F$2:F726,1,$G$2:G726,"轿车",$D$2:D726,D726)-1)</f>
        <v/>
      </c>
      <c r="P726" s="62" t="str">
        <f>IF(OR(D726="",NOT(AND(F726=1,G726="MPV"))),"",1+SUMPRODUCT(($F$2:$F$1001=1)*($G$2:$G$1001="MPV")*($D$2:$D$1001&gt;D726))+COUNTIFS($F$2:F726,1,$G$2:G726,"MPV",$D$2:D726,D726)-1)</f>
        <v/>
      </c>
      <c r="Q726" s="62" t="str">
        <f>IF(OR(D726="",NOT(AND(F726=1,G726="SUV"))),"",1+SUMPRODUCT(($F$2:$F$1001=1)*($G$2:$G$1001="SUV")*($D$2:$D$1001&gt;D726))+COUNTIFS($F$2:F726,1,$G$2:G726,"SUV",$D$2:D726,D726)-1)</f>
        <v/>
      </c>
    </row>
    <row r="727" spans="1:17">
      <c r="A727" s="62" t="str">
        <f>IFERROR(INDEX($H$2:$H$3000,MATCH(0,INDEX(COUNTIF($A$1:A726,$H$2:$H$3000)+($H$2:$H$3000=""),0,0),0)),"")</f>
        <v/>
      </c>
      <c r="B727" s="62" t="str">
        <f t="shared" si="44"/>
        <v/>
      </c>
      <c r="C727" s="62" t="str">
        <f t="shared" si="45"/>
        <v/>
      </c>
      <c r="D727" s="63" t="str">
        <f t="shared" si="46"/>
        <v/>
      </c>
      <c r="E727" s="62" t="str">
        <f>IF(D727="","",_xlfn.RANK.EQ(D727,$D$2:$D$1001,0)+COUNTIF($D$2:D727,D727)-1)</f>
        <v/>
      </c>
      <c r="F727" s="62" t="str">
        <f>IF(B727="","",--(COUNTIF(CN_Brands!$A$2:$A$300,UPPER(B727))&gt;0))</f>
        <v/>
      </c>
      <c r="G727" s="62" t="str">
        <f t="shared" si="47"/>
        <v/>
      </c>
      <c r="H727" s="62" t="str">
        <f>IF(AND('Data Export'!A727=前十整体车型排名!$B$2,'Data Export'!B727=前十整体车型排名!$B$3,'Data Export'!D727&lt;&gt;""),UPPER('Data Export'!C727)&amp;"♦"&amp;'Data Export'!D727,"")</f>
        <v>ROLLS-ROYCE♦GHOST</v>
      </c>
      <c r="I727" s="63">
        <f>IF(H727="","",IFERROR(INDEX('Data Export'!G727:CZ727,1,MATCH(前十整体车型排名!$B$4,'Data Export'!$G$1:$CZ$1,0)),0))</f>
        <v>1</v>
      </c>
      <c r="J727" s="62" t="str">
        <f>IF(H727="","",IF(OR('Data Export'!F727="三厢轿车",'Data Export'!F727="掀背轿车",'Data Export'!F727="旅行车",'Data Export'!F727="微型车",'Data Export'!F727="硬顶跑车",'Data Export'!F727="敞蓬车",'Data Export'!F727="Targa"),"轿车",IF(OR('Data Export'!F727="小型MPV",'Data Export'!F727="客车"),"MPV",IF('Data Export'!F727="运动型多功能车","SUV","其他"))))</f>
        <v>轿车</v>
      </c>
      <c r="K727" s="62" t="str">
        <f>IF(OR(D727="",NOT(F727=1)),"",1+SUMPRODUCT(($F$2:$F$1001=1)*($D$2:$D$1001&gt;D727))+COUNTIFS($F$2:F727,1,$D$2:D727,D727)-1)</f>
        <v/>
      </c>
      <c r="L727" s="62" t="str">
        <f>IF(OR(D727="",NOT(G727="轿车")),"",1+SUMPRODUCT(($G$2:$G$1001="轿车")*($D$2:$D$1001&gt;D727))+COUNTIFS($G$2:G727,"轿车",$D$2:D727,D727)-1)</f>
        <v/>
      </c>
      <c r="M727" s="62" t="str">
        <f>IF(OR(D727="",NOT(G727="MPV")),"",1+SUMPRODUCT(($G$2:$G$1001="MPV")*($D$2:$D$1001&gt;D727))+COUNTIFS($G$2:G727,"MPV",$D$2:D727,D727)-1)</f>
        <v/>
      </c>
      <c r="N727" s="62" t="str">
        <f>IF(OR(D727="",NOT(G727="SUV")),"",1+SUMPRODUCT(($G$2:$G$1001="SUV")*($D$2:$D$1001&gt;D727))+COUNTIFS($G$2:G727,"SUV",$D$2:D727,D727)-1)</f>
        <v/>
      </c>
      <c r="O727" s="62" t="str">
        <f>IF(OR(D727="",NOT(AND(F727=1,G727="轿车"))),"",1+SUMPRODUCT(($F$2:$F$1001=1)*($G$2:$G$1001="轿车")*($D$2:$D$1001&gt;D727))+COUNTIFS($F$2:F727,1,$G$2:G727,"轿车",$D$2:D727,D727)-1)</f>
        <v/>
      </c>
      <c r="P727" s="62" t="str">
        <f>IF(OR(D727="",NOT(AND(F727=1,G727="MPV"))),"",1+SUMPRODUCT(($F$2:$F$1001=1)*($G$2:$G$1001="MPV")*($D$2:$D$1001&gt;D727))+COUNTIFS($F$2:F727,1,$G$2:G727,"MPV",$D$2:D727,D727)-1)</f>
        <v/>
      </c>
      <c r="Q727" s="62" t="str">
        <f>IF(OR(D727="",NOT(AND(F727=1,G727="SUV"))),"",1+SUMPRODUCT(($F$2:$F$1001=1)*($G$2:$G$1001="SUV")*($D$2:$D$1001&gt;D727))+COUNTIFS($F$2:F727,1,$G$2:G727,"SUV",$D$2:D727,D727)-1)</f>
        <v/>
      </c>
    </row>
    <row r="728" spans="1:17">
      <c r="A728" s="62" t="str">
        <f>IFERROR(INDEX($H$2:$H$3000,MATCH(0,INDEX(COUNTIF($A$1:A727,$H$2:$H$3000)+($H$2:$H$3000=""),0,0),0)),"")</f>
        <v/>
      </c>
      <c r="B728" s="62" t="str">
        <f t="shared" si="44"/>
        <v/>
      </c>
      <c r="C728" s="62" t="str">
        <f t="shared" si="45"/>
        <v/>
      </c>
      <c r="D728" s="63" t="str">
        <f t="shared" si="46"/>
        <v/>
      </c>
      <c r="E728" s="62" t="str">
        <f>IF(D728="","",_xlfn.RANK.EQ(D728,$D$2:$D$1001,0)+COUNTIF($D$2:D728,D728)-1)</f>
        <v/>
      </c>
      <c r="F728" s="62" t="str">
        <f>IF(B728="","",--(COUNTIF(CN_Brands!$A$2:$A$300,UPPER(B728))&gt;0))</f>
        <v/>
      </c>
      <c r="G728" s="62" t="str">
        <f t="shared" si="47"/>
        <v/>
      </c>
      <c r="H728" s="62" t="str">
        <f>IF(AND('Data Export'!A728=前十整体车型排名!$B$2,'Data Export'!B728=前十整体车型排名!$B$3,'Data Export'!D728&lt;&gt;""),UPPER('Data Export'!C728)&amp;"♦"&amp;'Data Export'!D728,"")</f>
        <v>ROLLS-ROYCE♦GHOST</v>
      </c>
      <c r="I728" s="63">
        <f>IF(H728="","",IFERROR(INDEX('Data Export'!G728:CZ728,1,MATCH(前十整体车型排名!$B$4,'Data Export'!$G$1:$CZ$1,0)),0))</f>
        <v>0</v>
      </c>
      <c r="J728" s="62" t="str">
        <f>IF(H728="","",IF(OR('Data Export'!F728="三厢轿车",'Data Export'!F728="掀背轿车",'Data Export'!F728="旅行车",'Data Export'!F728="微型车",'Data Export'!F728="硬顶跑车",'Data Export'!F728="敞蓬车",'Data Export'!F728="Targa"),"轿车",IF(OR('Data Export'!F728="小型MPV",'Data Export'!F728="客车"),"MPV",IF('Data Export'!F728="运动型多功能车","SUV","其他"))))</f>
        <v>轿车</v>
      </c>
      <c r="K728" s="62" t="str">
        <f>IF(OR(D728="",NOT(F728=1)),"",1+SUMPRODUCT(($F$2:$F$1001=1)*($D$2:$D$1001&gt;D728))+COUNTIFS($F$2:F728,1,$D$2:D728,D728)-1)</f>
        <v/>
      </c>
      <c r="L728" s="62" t="str">
        <f>IF(OR(D728="",NOT(G728="轿车")),"",1+SUMPRODUCT(($G$2:$G$1001="轿车")*($D$2:$D$1001&gt;D728))+COUNTIFS($G$2:G728,"轿车",$D$2:D728,D728)-1)</f>
        <v/>
      </c>
      <c r="M728" s="62" t="str">
        <f>IF(OR(D728="",NOT(G728="MPV")),"",1+SUMPRODUCT(($G$2:$G$1001="MPV")*($D$2:$D$1001&gt;D728))+COUNTIFS($G$2:G728,"MPV",$D$2:D728,D728)-1)</f>
        <v/>
      </c>
      <c r="N728" s="62" t="str">
        <f>IF(OR(D728="",NOT(G728="SUV")),"",1+SUMPRODUCT(($G$2:$G$1001="SUV")*($D$2:$D$1001&gt;D728))+COUNTIFS($G$2:G728,"SUV",$D$2:D728,D728)-1)</f>
        <v/>
      </c>
      <c r="O728" s="62" t="str">
        <f>IF(OR(D728="",NOT(AND(F728=1,G728="轿车"))),"",1+SUMPRODUCT(($F$2:$F$1001=1)*($G$2:$G$1001="轿车")*($D$2:$D$1001&gt;D728))+COUNTIFS($F$2:F728,1,$G$2:G728,"轿车",$D$2:D728,D728)-1)</f>
        <v/>
      </c>
      <c r="P728" s="62" t="str">
        <f>IF(OR(D728="",NOT(AND(F728=1,G728="MPV"))),"",1+SUMPRODUCT(($F$2:$F$1001=1)*($G$2:$G$1001="MPV")*($D$2:$D$1001&gt;D728))+COUNTIFS($F$2:F728,1,$G$2:G728,"MPV",$D$2:D728,D728)-1)</f>
        <v/>
      </c>
      <c r="Q728" s="62" t="str">
        <f>IF(OR(D728="",NOT(AND(F728=1,G728="SUV"))),"",1+SUMPRODUCT(($F$2:$F$1001=1)*($G$2:$G$1001="SUV")*($D$2:$D$1001&gt;D728))+COUNTIFS($F$2:F728,1,$G$2:G728,"SUV",$D$2:D728,D728)-1)</f>
        <v/>
      </c>
    </row>
    <row r="729" spans="1:17">
      <c r="A729" s="62" t="str">
        <f>IFERROR(INDEX($H$2:$H$3000,MATCH(0,INDEX(COUNTIF($A$1:A728,$H$2:$H$3000)+($H$2:$H$3000=""),0,0),0)),"")</f>
        <v/>
      </c>
      <c r="B729" s="62" t="str">
        <f t="shared" si="44"/>
        <v/>
      </c>
      <c r="C729" s="62" t="str">
        <f t="shared" si="45"/>
        <v/>
      </c>
      <c r="D729" s="63" t="str">
        <f t="shared" si="46"/>
        <v/>
      </c>
      <c r="E729" s="62" t="str">
        <f>IF(D729="","",_xlfn.RANK.EQ(D729,$D$2:$D$1001,0)+COUNTIF($D$2:D729,D729)-1)</f>
        <v/>
      </c>
      <c r="F729" s="62" t="str">
        <f>IF(B729="","",--(COUNTIF(CN_Brands!$A$2:$A$300,UPPER(B729))&gt;0))</f>
        <v/>
      </c>
      <c r="G729" s="62" t="str">
        <f t="shared" si="47"/>
        <v/>
      </c>
      <c r="H729" s="62" t="str">
        <f>IF(AND('Data Export'!A729=前十整体车型排名!$B$2,'Data Export'!B729=前十整体车型排名!$B$3,'Data Export'!D729&lt;&gt;""),UPPER('Data Export'!C729)&amp;"♦"&amp;'Data Export'!D729,"")</f>
        <v>ROLLS-ROYCE♦PHANTOM</v>
      </c>
      <c r="I729" s="63">
        <f>IF(H729="","",IFERROR(INDEX('Data Export'!G729:CZ729,1,MATCH(前十整体车型排名!$B$4,'Data Export'!$G$1:$CZ$1,0)),0))</f>
        <v>0</v>
      </c>
      <c r="J729" s="62" t="str">
        <f>IF(H729="","",IF(OR('Data Export'!F729="三厢轿车",'Data Export'!F729="掀背轿车",'Data Export'!F729="旅行车",'Data Export'!F729="微型车",'Data Export'!F729="硬顶跑车",'Data Export'!F729="敞蓬车",'Data Export'!F729="Targa"),"轿车",IF(OR('Data Export'!F729="小型MPV",'Data Export'!F729="客车"),"MPV",IF('Data Export'!F729="运动型多功能车","SUV","其他"))))</f>
        <v>轿车</v>
      </c>
      <c r="K729" s="62" t="str">
        <f>IF(OR(D729="",NOT(F729=1)),"",1+SUMPRODUCT(($F$2:$F$1001=1)*($D$2:$D$1001&gt;D729))+COUNTIFS($F$2:F729,1,$D$2:D729,D729)-1)</f>
        <v/>
      </c>
      <c r="L729" s="62" t="str">
        <f>IF(OR(D729="",NOT(G729="轿车")),"",1+SUMPRODUCT(($G$2:$G$1001="轿车")*($D$2:$D$1001&gt;D729))+COUNTIFS($G$2:G729,"轿车",$D$2:D729,D729)-1)</f>
        <v/>
      </c>
      <c r="M729" s="62" t="str">
        <f>IF(OR(D729="",NOT(G729="MPV")),"",1+SUMPRODUCT(($G$2:$G$1001="MPV")*($D$2:$D$1001&gt;D729))+COUNTIFS($G$2:G729,"MPV",$D$2:D729,D729)-1)</f>
        <v/>
      </c>
      <c r="N729" s="62" t="str">
        <f>IF(OR(D729="",NOT(G729="SUV")),"",1+SUMPRODUCT(($G$2:$G$1001="SUV")*($D$2:$D$1001&gt;D729))+COUNTIFS($G$2:G729,"SUV",$D$2:D729,D729)-1)</f>
        <v/>
      </c>
      <c r="O729" s="62" t="str">
        <f>IF(OR(D729="",NOT(AND(F729=1,G729="轿车"))),"",1+SUMPRODUCT(($F$2:$F$1001=1)*($G$2:$G$1001="轿车")*($D$2:$D$1001&gt;D729))+COUNTIFS($F$2:F729,1,$G$2:G729,"轿车",$D$2:D729,D729)-1)</f>
        <v/>
      </c>
      <c r="P729" s="62" t="str">
        <f>IF(OR(D729="",NOT(AND(F729=1,G729="MPV"))),"",1+SUMPRODUCT(($F$2:$F$1001=1)*($G$2:$G$1001="MPV")*($D$2:$D$1001&gt;D729))+COUNTIFS($F$2:F729,1,$G$2:G729,"MPV",$D$2:D729,D729)-1)</f>
        <v/>
      </c>
      <c r="Q729" s="62" t="str">
        <f>IF(OR(D729="",NOT(AND(F729=1,G729="SUV"))),"",1+SUMPRODUCT(($F$2:$F$1001=1)*($G$2:$G$1001="SUV")*($D$2:$D$1001&gt;D729))+COUNTIFS($F$2:F729,1,$G$2:G729,"SUV",$D$2:D729,D729)-1)</f>
        <v/>
      </c>
    </row>
    <row r="730" spans="1:17">
      <c r="A730" s="62" t="str">
        <f>IFERROR(INDEX($H$2:$H$3000,MATCH(0,INDEX(COUNTIF($A$1:A729,$H$2:$H$3000)+($H$2:$H$3000=""),0,0),0)),"")</f>
        <v/>
      </c>
      <c r="B730" s="62" t="str">
        <f t="shared" si="44"/>
        <v/>
      </c>
      <c r="C730" s="62" t="str">
        <f t="shared" si="45"/>
        <v/>
      </c>
      <c r="D730" s="63" t="str">
        <f t="shared" si="46"/>
        <v/>
      </c>
      <c r="E730" s="62" t="str">
        <f>IF(D730="","",_xlfn.RANK.EQ(D730,$D$2:$D$1001,0)+COUNTIF($D$2:D730,D730)-1)</f>
        <v/>
      </c>
      <c r="F730" s="62" t="str">
        <f>IF(B730="","",--(COUNTIF(CN_Brands!$A$2:$A$300,UPPER(B730))&gt;0))</f>
        <v/>
      </c>
      <c r="G730" s="62" t="str">
        <f t="shared" si="47"/>
        <v/>
      </c>
      <c r="H730" s="62" t="str">
        <f>IF(AND('Data Export'!A730=前十整体车型排名!$B$2,'Data Export'!B730=前十整体车型排名!$B$3,'Data Export'!D730&lt;&gt;""),UPPER('Data Export'!C730)&amp;"♦"&amp;'Data Export'!D730,"")</f>
        <v>ROLLS-ROYCE♦PHANTOM</v>
      </c>
      <c r="I730" s="63">
        <f>IF(H730="","",IFERROR(INDEX('Data Export'!G730:CZ730,1,MATCH(前十整体车型排名!$B$4,'Data Export'!$G$1:$CZ$1,0)),0))</f>
        <v>0</v>
      </c>
      <c r="J730" s="62" t="str">
        <f>IF(H730="","",IF(OR('Data Export'!F730="三厢轿车",'Data Export'!F730="掀背轿车",'Data Export'!F730="旅行车",'Data Export'!F730="微型车",'Data Export'!F730="硬顶跑车",'Data Export'!F730="敞蓬车",'Data Export'!F730="Targa"),"轿车",IF(OR('Data Export'!F730="小型MPV",'Data Export'!F730="客车"),"MPV",IF('Data Export'!F730="运动型多功能车","SUV","其他"))))</f>
        <v>轿车</v>
      </c>
      <c r="K730" s="62" t="str">
        <f>IF(OR(D730="",NOT(F730=1)),"",1+SUMPRODUCT(($F$2:$F$1001=1)*($D$2:$D$1001&gt;D730))+COUNTIFS($F$2:F730,1,$D$2:D730,D730)-1)</f>
        <v/>
      </c>
      <c r="L730" s="62" t="str">
        <f>IF(OR(D730="",NOT(G730="轿车")),"",1+SUMPRODUCT(($G$2:$G$1001="轿车")*($D$2:$D$1001&gt;D730))+COUNTIFS($G$2:G730,"轿车",$D$2:D730,D730)-1)</f>
        <v/>
      </c>
      <c r="M730" s="62" t="str">
        <f>IF(OR(D730="",NOT(G730="MPV")),"",1+SUMPRODUCT(($G$2:$G$1001="MPV")*($D$2:$D$1001&gt;D730))+COUNTIFS($G$2:G730,"MPV",$D$2:D730,D730)-1)</f>
        <v/>
      </c>
      <c r="N730" s="62" t="str">
        <f>IF(OR(D730="",NOT(G730="SUV")),"",1+SUMPRODUCT(($G$2:$G$1001="SUV")*($D$2:$D$1001&gt;D730))+COUNTIFS($G$2:G730,"SUV",$D$2:D730,D730)-1)</f>
        <v/>
      </c>
      <c r="O730" s="62" t="str">
        <f>IF(OR(D730="",NOT(AND(F730=1,G730="轿车"))),"",1+SUMPRODUCT(($F$2:$F$1001=1)*($G$2:$G$1001="轿车")*($D$2:$D$1001&gt;D730))+COUNTIFS($F$2:F730,1,$G$2:G730,"轿车",$D$2:D730,D730)-1)</f>
        <v/>
      </c>
      <c r="P730" s="62" t="str">
        <f>IF(OR(D730="",NOT(AND(F730=1,G730="MPV"))),"",1+SUMPRODUCT(($F$2:$F$1001=1)*($G$2:$G$1001="MPV")*($D$2:$D$1001&gt;D730))+COUNTIFS($F$2:F730,1,$G$2:G730,"MPV",$D$2:D730,D730)-1)</f>
        <v/>
      </c>
      <c r="Q730" s="62" t="str">
        <f>IF(OR(D730="",NOT(AND(F730=1,G730="SUV"))),"",1+SUMPRODUCT(($F$2:$F$1001=1)*($G$2:$G$1001="SUV")*($D$2:$D$1001&gt;D730))+COUNTIFS($F$2:F730,1,$G$2:G730,"SUV",$D$2:D730,D730)-1)</f>
        <v/>
      </c>
    </row>
    <row r="731" spans="1:17">
      <c r="A731" s="62" t="str">
        <f>IFERROR(INDEX($H$2:$H$3000,MATCH(0,INDEX(COUNTIF($A$1:A730,$H$2:$H$3000)+($H$2:$H$3000=""),0,0),0)),"")</f>
        <v/>
      </c>
      <c r="B731" s="62" t="str">
        <f t="shared" si="44"/>
        <v/>
      </c>
      <c r="C731" s="62" t="str">
        <f t="shared" si="45"/>
        <v/>
      </c>
      <c r="D731" s="63" t="str">
        <f t="shared" si="46"/>
        <v/>
      </c>
      <c r="E731" s="62" t="str">
        <f>IF(D731="","",_xlfn.RANK.EQ(D731,$D$2:$D$1001,0)+COUNTIF($D$2:D731,D731)-1)</f>
        <v/>
      </c>
      <c r="F731" s="62" t="str">
        <f>IF(B731="","",--(COUNTIF(CN_Brands!$A$2:$A$300,UPPER(B731))&gt;0))</f>
        <v/>
      </c>
      <c r="G731" s="62" t="str">
        <f t="shared" si="47"/>
        <v/>
      </c>
      <c r="H731" s="62" t="str">
        <f>IF(AND('Data Export'!A731=前十整体车型排名!$B$2,'Data Export'!B731=前十整体车型排名!$B$3,'Data Export'!D731&lt;&gt;""),UPPER('Data Export'!C731)&amp;"♦"&amp;'Data Export'!D731,"")</f>
        <v>ROLLS-ROYCE♦SPECTRE</v>
      </c>
      <c r="I731" s="63">
        <f>IF(H731="","",IFERROR(INDEX('Data Export'!G731:CZ731,1,MATCH(前十整体车型排名!$B$4,'Data Export'!$G$1:$CZ$1,0)),0))</f>
        <v>1</v>
      </c>
      <c r="J731" s="62" t="str">
        <f>IF(H731="","",IF(OR('Data Export'!F731="三厢轿车",'Data Export'!F731="掀背轿车",'Data Export'!F731="旅行车",'Data Export'!F731="微型车",'Data Export'!F731="硬顶跑车",'Data Export'!F731="敞蓬车",'Data Export'!F731="Targa"),"轿车",IF(OR('Data Export'!F731="小型MPV",'Data Export'!F731="客车"),"MPV",IF('Data Export'!F731="运动型多功能车","SUV","其他"))))</f>
        <v>轿车</v>
      </c>
      <c r="K731" s="62" t="str">
        <f>IF(OR(D731="",NOT(F731=1)),"",1+SUMPRODUCT(($F$2:$F$1001=1)*($D$2:$D$1001&gt;D731))+COUNTIFS($F$2:F731,1,$D$2:D731,D731)-1)</f>
        <v/>
      </c>
      <c r="L731" s="62" t="str">
        <f>IF(OR(D731="",NOT(G731="轿车")),"",1+SUMPRODUCT(($G$2:$G$1001="轿车")*($D$2:$D$1001&gt;D731))+COUNTIFS($G$2:G731,"轿车",$D$2:D731,D731)-1)</f>
        <v/>
      </c>
      <c r="M731" s="62" t="str">
        <f>IF(OR(D731="",NOT(G731="MPV")),"",1+SUMPRODUCT(($G$2:$G$1001="MPV")*($D$2:$D$1001&gt;D731))+COUNTIFS($G$2:G731,"MPV",$D$2:D731,D731)-1)</f>
        <v/>
      </c>
      <c r="N731" s="62" t="str">
        <f>IF(OR(D731="",NOT(G731="SUV")),"",1+SUMPRODUCT(($G$2:$G$1001="SUV")*($D$2:$D$1001&gt;D731))+COUNTIFS($G$2:G731,"SUV",$D$2:D731,D731)-1)</f>
        <v/>
      </c>
      <c r="O731" s="62" t="str">
        <f>IF(OR(D731="",NOT(AND(F731=1,G731="轿车"))),"",1+SUMPRODUCT(($F$2:$F$1001=1)*($G$2:$G$1001="轿车")*($D$2:$D$1001&gt;D731))+COUNTIFS($F$2:F731,1,$G$2:G731,"轿车",$D$2:D731,D731)-1)</f>
        <v/>
      </c>
      <c r="P731" s="62" t="str">
        <f>IF(OR(D731="",NOT(AND(F731=1,G731="MPV"))),"",1+SUMPRODUCT(($F$2:$F$1001=1)*($G$2:$G$1001="MPV")*($D$2:$D$1001&gt;D731))+COUNTIFS($F$2:F731,1,$G$2:G731,"MPV",$D$2:D731,D731)-1)</f>
        <v/>
      </c>
      <c r="Q731" s="62" t="str">
        <f>IF(OR(D731="",NOT(AND(F731=1,G731="SUV"))),"",1+SUMPRODUCT(($F$2:$F$1001=1)*($G$2:$G$1001="SUV")*($D$2:$D$1001&gt;D731))+COUNTIFS($F$2:F731,1,$G$2:G731,"SUV",$D$2:D731,D731)-1)</f>
        <v/>
      </c>
    </row>
    <row r="732" spans="1:17">
      <c r="A732" s="62" t="str">
        <f>IFERROR(INDEX($H$2:$H$3000,MATCH(0,INDEX(COUNTIF($A$1:A731,$H$2:$H$3000)+($H$2:$H$3000=""),0,0),0)),"")</f>
        <v/>
      </c>
      <c r="B732" s="62" t="str">
        <f t="shared" si="44"/>
        <v/>
      </c>
      <c r="C732" s="62" t="str">
        <f t="shared" si="45"/>
        <v/>
      </c>
      <c r="D732" s="63" t="str">
        <f t="shared" si="46"/>
        <v/>
      </c>
      <c r="E732" s="62" t="str">
        <f>IF(D732="","",_xlfn.RANK.EQ(D732,$D$2:$D$1001,0)+COUNTIF($D$2:D732,D732)-1)</f>
        <v/>
      </c>
      <c r="F732" s="62" t="str">
        <f>IF(B732="","",--(COUNTIF(CN_Brands!$A$2:$A$300,UPPER(B732))&gt;0))</f>
        <v/>
      </c>
      <c r="G732" s="62" t="str">
        <f t="shared" si="47"/>
        <v/>
      </c>
      <c r="H732" s="62" t="str">
        <f>IF(AND('Data Export'!A732=前十整体车型排名!$B$2,'Data Export'!B732=前十整体车型排名!$B$3,'Data Export'!D732&lt;&gt;""),UPPER('Data Export'!C732)&amp;"♦"&amp;'Data Export'!D732,"")</f>
        <v>ROLLS-ROYCE♦SPECTRE</v>
      </c>
      <c r="I732" s="63">
        <f>IF(H732="","",IFERROR(INDEX('Data Export'!G732:CZ732,1,MATCH(前十整体车型排名!$B$4,'Data Export'!$G$1:$CZ$1,0)),0))</f>
        <v>0</v>
      </c>
      <c r="J732" s="62" t="str">
        <f>IF(H732="","",IF(OR('Data Export'!F732="三厢轿车",'Data Export'!F732="掀背轿车",'Data Export'!F732="旅行车",'Data Export'!F732="微型车",'Data Export'!F732="硬顶跑车",'Data Export'!F732="敞蓬车",'Data Export'!F732="Targa"),"轿车",IF(OR('Data Export'!F732="小型MPV",'Data Export'!F732="客车"),"MPV",IF('Data Export'!F732="运动型多功能车","SUV","其他"))))</f>
        <v>轿车</v>
      </c>
      <c r="K732" s="62" t="str">
        <f>IF(OR(D732="",NOT(F732=1)),"",1+SUMPRODUCT(($F$2:$F$1001=1)*($D$2:$D$1001&gt;D732))+COUNTIFS($F$2:F732,1,$D$2:D732,D732)-1)</f>
        <v/>
      </c>
      <c r="L732" s="62" t="str">
        <f>IF(OR(D732="",NOT(G732="轿车")),"",1+SUMPRODUCT(($G$2:$G$1001="轿车")*($D$2:$D$1001&gt;D732))+COUNTIFS($G$2:G732,"轿车",$D$2:D732,D732)-1)</f>
        <v/>
      </c>
      <c r="M732" s="62" t="str">
        <f>IF(OR(D732="",NOT(G732="MPV")),"",1+SUMPRODUCT(($G$2:$G$1001="MPV")*($D$2:$D$1001&gt;D732))+COUNTIFS($G$2:G732,"MPV",$D$2:D732,D732)-1)</f>
        <v/>
      </c>
      <c r="N732" s="62" t="str">
        <f>IF(OR(D732="",NOT(G732="SUV")),"",1+SUMPRODUCT(($G$2:$G$1001="SUV")*($D$2:$D$1001&gt;D732))+COUNTIFS($G$2:G732,"SUV",$D$2:D732,D732)-1)</f>
        <v/>
      </c>
      <c r="O732" s="62" t="str">
        <f>IF(OR(D732="",NOT(AND(F732=1,G732="轿车"))),"",1+SUMPRODUCT(($F$2:$F$1001=1)*($G$2:$G$1001="轿车")*($D$2:$D$1001&gt;D732))+COUNTIFS($F$2:F732,1,$G$2:G732,"轿车",$D$2:D732,D732)-1)</f>
        <v/>
      </c>
      <c r="P732" s="62" t="str">
        <f>IF(OR(D732="",NOT(AND(F732=1,G732="MPV"))),"",1+SUMPRODUCT(($F$2:$F$1001=1)*($G$2:$G$1001="MPV")*($D$2:$D$1001&gt;D732))+COUNTIFS($F$2:F732,1,$G$2:G732,"MPV",$D$2:D732,D732)-1)</f>
        <v/>
      </c>
      <c r="Q732" s="62" t="str">
        <f>IF(OR(D732="",NOT(AND(F732=1,G732="SUV"))),"",1+SUMPRODUCT(($F$2:$F$1001=1)*($G$2:$G$1001="SUV")*($D$2:$D$1001&gt;D732))+COUNTIFS($F$2:F732,1,$G$2:G732,"SUV",$D$2:D732,D732)-1)</f>
        <v/>
      </c>
    </row>
    <row r="733" spans="1:17">
      <c r="A733" s="62" t="str">
        <f>IFERROR(INDEX($H$2:$H$3000,MATCH(0,INDEX(COUNTIF($A$1:A732,$H$2:$H$3000)+($H$2:$H$3000=""),0,0),0)),"")</f>
        <v/>
      </c>
      <c r="B733" s="62" t="str">
        <f t="shared" si="44"/>
        <v/>
      </c>
      <c r="C733" s="62" t="str">
        <f t="shared" si="45"/>
        <v/>
      </c>
      <c r="D733" s="63" t="str">
        <f t="shared" si="46"/>
        <v/>
      </c>
      <c r="E733" s="62" t="str">
        <f>IF(D733="","",_xlfn.RANK.EQ(D733,$D$2:$D$1001,0)+COUNTIF($D$2:D733,D733)-1)</f>
        <v/>
      </c>
      <c r="F733" s="62" t="str">
        <f>IF(B733="","",--(COUNTIF(CN_Brands!$A$2:$A$300,UPPER(B733))&gt;0))</f>
        <v/>
      </c>
      <c r="G733" s="62" t="str">
        <f t="shared" si="47"/>
        <v/>
      </c>
      <c r="H733" s="62" t="str">
        <f>IF(AND('Data Export'!A733=前十整体车型排名!$B$2,'Data Export'!B733=前十整体车型排名!$B$3,'Data Export'!D733&lt;&gt;""),UPPER('Data Export'!C733)&amp;"♦"&amp;'Data Export'!D733,"")</f>
        <v>SMART♦FORTWO</v>
      </c>
      <c r="I733" s="63">
        <f>IF(H733="","",IFERROR(INDEX('Data Export'!G733:CZ733,1,MATCH(前十整体车型排名!$B$4,'Data Export'!$G$1:$CZ$1,0)),0))</f>
        <v>1</v>
      </c>
      <c r="J733" s="62" t="str">
        <f>IF(H733="","",IF(OR('Data Export'!F733="三厢轿车",'Data Export'!F733="掀背轿车",'Data Export'!F733="旅行车",'Data Export'!F733="微型车",'Data Export'!F733="硬顶跑车",'Data Export'!F733="敞蓬车",'Data Export'!F733="Targa"),"轿车",IF(OR('Data Export'!F733="小型MPV",'Data Export'!F733="客车"),"MPV",IF('Data Export'!F733="运动型多功能车","SUV","其他"))))</f>
        <v>轿车</v>
      </c>
      <c r="K733" s="62" t="str">
        <f>IF(OR(D733="",NOT(F733=1)),"",1+SUMPRODUCT(($F$2:$F$1001=1)*($D$2:$D$1001&gt;D733))+COUNTIFS($F$2:F733,1,$D$2:D733,D733)-1)</f>
        <v/>
      </c>
      <c r="L733" s="62" t="str">
        <f>IF(OR(D733="",NOT(G733="轿车")),"",1+SUMPRODUCT(($G$2:$G$1001="轿车")*($D$2:$D$1001&gt;D733))+COUNTIFS($G$2:G733,"轿车",$D$2:D733,D733)-1)</f>
        <v/>
      </c>
      <c r="M733" s="62" t="str">
        <f>IF(OR(D733="",NOT(G733="MPV")),"",1+SUMPRODUCT(($G$2:$G$1001="MPV")*($D$2:$D$1001&gt;D733))+COUNTIFS($G$2:G733,"MPV",$D$2:D733,D733)-1)</f>
        <v/>
      </c>
      <c r="N733" s="62" t="str">
        <f>IF(OR(D733="",NOT(G733="SUV")),"",1+SUMPRODUCT(($G$2:$G$1001="SUV")*($D$2:$D$1001&gt;D733))+COUNTIFS($G$2:G733,"SUV",$D$2:D733,D733)-1)</f>
        <v/>
      </c>
      <c r="O733" s="62" t="str">
        <f>IF(OR(D733="",NOT(AND(F733=1,G733="轿车"))),"",1+SUMPRODUCT(($F$2:$F$1001=1)*($G$2:$G$1001="轿车")*($D$2:$D$1001&gt;D733))+COUNTIFS($F$2:F733,1,$G$2:G733,"轿车",$D$2:D733,D733)-1)</f>
        <v/>
      </c>
      <c r="P733" s="62" t="str">
        <f>IF(OR(D733="",NOT(AND(F733=1,G733="MPV"))),"",1+SUMPRODUCT(($F$2:$F$1001=1)*($G$2:$G$1001="MPV")*($D$2:$D$1001&gt;D733))+COUNTIFS($F$2:F733,1,$G$2:G733,"MPV",$D$2:D733,D733)-1)</f>
        <v/>
      </c>
      <c r="Q733" s="62" t="str">
        <f>IF(OR(D733="",NOT(AND(F733=1,G733="SUV"))),"",1+SUMPRODUCT(($F$2:$F$1001=1)*($G$2:$G$1001="SUV")*($D$2:$D$1001&gt;D733))+COUNTIFS($F$2:F733,1,$G$2:G733,"SUV",$D$2:D733,D733)-1)</f>
        <v/>
      </c>
    </row>
    <row r="734" spans="1:17">
      <c r="A734" s="62" t="str">
        <f>IFERROR(INDEX($H$2:$H$3000,MATCH(0,INDEX(COUNTIF($A$1:A733,$H$2:$H$3000)+($H$2:$H$3000=""),0,0),0)),"")</f>
        <v/>
      </c>
      <c r="B734" s="62" t="str">
        <f t="shared" si="44"/>
        <v/>
      </c>
      <c r="C734" s="62" t="str">
        <f t="shared" si="45"/>
        <v/>
      </c>
      <c r="D734" s="63" t="str">
        <f t="shared" si="46"/>
        <v/>
      </c>
      <c r="E734" s="62" t="str">
        <f>IF(D734="","",_xlfn.RANK.EQ(D734,$D$2:$D$1001,0)+COUNTIF($D$2:D734,D734)-1)</f>
        <v/>
      </c>
      <c r="F734" s="62" t="str">
        <f>IF(B734="","",--(COUNTIF(CN_Brands!$A$2:$A$300,UPPER(B734))&gt;0))</f>
        <v/>
      </c>
      <c r="G734" s="62" t="str">
        <f t="shared" si="47"/>
        <v/>
      </c>
      <c r="H734" s="62" t="str">
        <f>IF(AND('Data Export'!A734=前十整体车型排名!$B$2,'Data Export'!B734=前十整体车型排名!$B$3,'Data Export'!D734&lt;&gt;""),UPPER('Data Export'!C734)&amp;"♦"&amp;'Data Export'!D734,"")</f>
        <v>SUBARU♦BRZ</v>
      </c>
      <c r="I734" s="63">
        <f>IF(H734="","",IFERROR(INDEX('Data Export'!G734:CZ734,1,MATCH(前十整体车型排名!$B$4,'Data Export'!$G$1:$CZ$1,0)),0))</f>
        <v>0</v>
      </c>
      <c r="J734" s="62" t="str">
        <f>IF(H734="","",IF(OR('Data Export'!F734="三厢轿车",'Data Export'!F734="掀背轿车",'Data Export'!F734="旅行车",'Data Export'!F734="微型车",'Data Export'!F734="硬顶跑车",'Data Export'!F734="敞蓬车",'Data Export'!F734="Targa"),"轿车",IF(OR('Data Export'!F734="小型MPV",'Data Export'!F734="客车"),"MPV",IF('Data Export'!F734="运动型多功能车","SUV","其他"))))</f>
        <v>轿车</v>
      </c>
      <c r="K734" s="62" t="str">
        <f>IF(OR(D734="",NOT(F734=1)),"",1+SUMPRODUCT(($F$2:$F$1001=1)*($D$2:$D$1001&gt;D734))+COUNTIFS($F$2:F734,1,$D$2:D734,D734)-1)</f>
        <v/>
      </c>
      <c r="L734" s="62" t="str">
        <f>IF(OR(D734="",NOT(G734="轿车")),"",1+SUMPRODUCT(($G$2:$G$1001="轿车")*($D$2:$D$1001&gt;D734))+COUNTIFS($G$2:G734,"轿车",$D$2:D734,D734)-1)</f>
        <v/>
      </c>
      <c r="M734" s="62" t="str">
        <f>IF(OR(D734="",NOT(G734="MPV")),"",1+SUMPRODUCT(($G$2:$G$1001="MPV")*($D$2:$D$1001&gt;D734))+COUNTIFS($G$2:G734,"MPV",$D$2:D734,D734)-1)</f>
        <v/>
      </c>
      <c r="N734" s="62" t="str">
        <f>IF(OR(D734="",NOT(G734="SUV")),"",1+SUMPRODUCT(($G$2:$G$1001="SUV")*($D$2:$D$1001&gt;D734))+COUNTIFS($G$2:G734,"SUV",$D$2:D734,D734)-1)</f>
        <v/>
      </c>
      <c r="O734" s="62" t="str">
        <f>IF(OR(D734="",NOT(AND(F734=1,G734="轿车"))),"",1+SUMPRODUCT(($F$2:$F$1001=1)*($G$2:$G$1001="轿车")*($D$2:$D$1001&gt;D734))+COUNTIFS($F$2:F734,1,$G$2:G734,"轿车",$D$2:D734,D734)-1)</f>
        <v/>
      </c>
      <c r="P734" s="62" t="str">
        <f>IF(OR(D734="",NOT(AND(F734=1,G734="MPV"))),"",1+SUMPRODUCT(($F$2:$F$1001=1)*($G$2:$G$1001="MPV")*($D$2:$D$1001&gt;D734))+COUNTIFS($F$2:F734,1,$G$2:G734,"MPV",$D$2:D734,D734)-1)</f>
        <v/>
      </c>
      <c r="Q734" s="62" t="str">
        <f>IF(OR(D734="",NOT(AND(F734=1,G734="SUV"))),"",1+SUMPRODUCT(($F$2:$F$1001=1)*($G$2:$G$1001="SUV")*($D$2:$D$1001&gt;D734))+COUNTIFS($F$2:F734,1,$G$2:G734,"SUV",$D$2:D734,D734)-1)</f>
        <v/>
      </c>
    </row>
    <row r="735" spans="1:17">
      <c r="A735" s="62" t="str">
        <f>IFERROR(INDEX($H$2:$H$3000,MATCH(0,INDEX(COUNTIF($A$1:A734,$H$2:$H$3000)+($H$2:$H$3000=""),0,0),0)),"")</f>
        <v/>
      </c>
      <c r="B735" s="62" t="str">
        <f t="shared" si="44"/>
        <v/>
      </c>
      <c r="C735" s="62" t="str">
        <f t="shared" si="45"/>
        <v/>
      </c>
      <c r="D735" s="63" t="str">
        <f t="shared" si="46"/>
        <v/>
      </c>
      <c r="E735" s="62" t="str">
        <f>IF(D735="","",_xlfn.RANK.EQ(D735,$D$2:$D$1001,0)+COUNTIF($D$2:D735,D735)-1)</f>
        <v/>
      </c>
      <c r="F735" s="62" t="str">
        <f>IF(B735="","",--(COUNTIF(CN_Brands!$A$2:$A$300,UPPER(B735))&gt;0))</f>
        <v/>
      </c>
      <c r="G735" s="62" t="str">
        <f t="shared" si="47"/>
        <v/>
      </c>
      <c r="H735" s="62" t="str">
        <f>IF(AND('Data Export'!A735=前十整体车型排名!$B$2,'Data Export'!B735=前十整体车型排名!$B$3,'Data Export'!D735&lt;&gt;""),UPPER('Data Export'!C735)&amp;"♦"&amp;'Data Export'!D735,"")</f>
        <v>SUBARU♦BRZ</v>
      </c>
      <c r="I735" s="63">
        <f>IF(H735="","",IFERROR(INDEX('Data Export'!G735:CZ735,1,MATCH(前十整体车型排名!$B$4,'Data Export'!$G$1:$CZ$1,0)),0))</f>
        <v>0</v>
      </c>
      <c r="J735" s="62" t="str">
        <f>IF(H735="","",IF(OR('Data Export'!F735="三厢轿车",'Data Export'!F735="掀背轿车",'Data Export'!F735="旅行车",'Data Export'!F735="微型车",'Data Export'!F735="硬顶跑车",'Data Export'!F735="敞蓬车",'Data Export'!F735="Targa"),"轿车",IF(OR('Data Export'!F735="小型MPV",'Data Export'!F735="客车"),"MPV",IF('Data Export'!F735="运动型多功能车","SUV","其他"))))</f>
        <v>轿车</v>
      </c>
      <c r="K735" s="62" t="str">
        <f>IF(OR(D735="",NOT(F735=1)),"",1+SUMPRODUCT(($F$2:$F$1001=1)*($D$2:$D$1001&gt;D735))+COUNTIFS($F$2:F735,1,$D$2:D735,D735)-1)</f>
        <v/>
      </c>
      <c r="L735" s="62" t="str">
        <f>IF(OR(D735="",NOT(G735="轿车")),"",1+SUMPRODUCT(($G$2:$G$1001="轿车")*($D$2:$D$1001&gt;D735))+COUNTIFS($G$2:G735,"轿车",$D$2:D735,D735)-1)</f>
        <v/>
      </c>
      <c r="M735" s="62" t="str">
        <f>IF(OR(D735="",NOT(G735="MPV")),"",1+SUMPRODUCT(($G$2:$G$1001="MPV")*($D$2:$D$1001&gt;D735))+COUNTIFS($G$2:G735,"MPV",$D$2:D735,D735)-1)</f>
        <v/>
      </c>
      <c r="N735" s="62" t="str">
        <f>IF(OR(D735="",NOT(G735="SUV")),"",1+SUMPRODUCT(($G$2:$G$1001="SUV")*($D$2:$D$1001&gt;D735))+COUNTIFS($G$2:G735,"SUV",$D$2:D735,D735)-1)</f>
        <v/>
      </c>
      <c r="O735" s="62" t="str">
        <f>IF(OR(D735="",NOT(AND(F735=1,G735="轿车"))),"",1+SUMPRODUCT(($F$2:$F$1001=1)*($G$2:$G$1001="轿车")*($D$2:$D$1001&gt;D735))+COUNTIFS($F$2:F735,1,$G$2:G735,"轿车",$D$2:D735,D735)-1)</f>
        <v/>
      </c>
      <c r="P735" s="62" t="str">
        <f>IF(OR(D735="",NOT(AND(F735=1,G735="MPV"))),"",1+SUMPRODUCT(($F$2:$F$1001=1)*($G$2:$G$1001="MPV")*($D$2:$D$1001&gt;D735))+COUNTIFS($F$2:F735,1,$G$2:G735,"MPV",$D$2:D735,D735)-1)</f>
        <v/>
      </c>
      <c r="Q735" s="62" t="str">
        <f>IF(OR(D735="",NOT(AND(F735=1,G735="SUV"))),"",1+SUMPRODUCT(($F$2:$F$1001=1)*($G$2:$G$1001="SUV")*($D$2:$D$1001&gt;D735))+COUNTIFS($F$2:F735,1,$G$2:G735,"SUV",$D$2:D735,D735)-1)</f>
        <v/>
      </c>
    </row>
    <row r="736" spans="1:17">
      <c r="A736" s="62" t="str">
        <f>IFERROR(INDEX($H$2:$H$3000,MATCH(0,INDEX(COUNTIF($A$1:A735,$H$2:$H$3000)+($H$2:$H$3000=""),0,0),0)),"")</f>
        <v/>
      </c>
      <c r="B736" s="62" t="str">
        <f t="shared" si="44"/>
        <v/>
      </c>
      <c r="C736" s="62" t="str">
        <f t="shared" si="45"/>
        <v/>
      </c>
      <c r="D736" s="63" t="str">
        <f t="shared" si="46"/>
        <v/>
      </c>
      <c r="E736" s="62" t="str">
        <f>IF(D736="","",_xlfn.RANK.EQ(D736,$D$2:$D$1001,0)+COUNTIF($D$2:D736,D736)-1)</f>
        <v/>
      </c>
      <c r="F736" s="62" t="str">
        <f>IF(B736="","",--(COUNTIF(CN_Brands!$A$2:$A$300,UPPER(B736))&gt;0))</f>
        <v/>
      </c>
      <c r="G736" s="62" t="str">
        <f t="shared" si="47"/>
        <v/>
      </c>
      <c r="H736" s="62" t="str">
        <f>IF(AND('Data Export'!A736=前十整体车型排名!$B$2,'Data Export'!B736=前十整体车型排名!$B$3,'Data Export'!D736&lt;&gt;""),UPPER('Data Export'!C736)&amp;"♦"&amp;'Data Export'!D736,"")</f>
        <v>SUBARU♦BRZ</v>
      </c>
      <c r="I736" s="63">
        <f>IF(H736="","",IFERROR(INDEX('Data Export'!G736:CZ736,1,MATCH(前十整体车型排名!$B$4,'Data Export'!$G$1:$CZ$1,0)),0))</f>
        <v>0</v>
      </c>
      <c r="J736" s="62" t="str">
        <f>IF(H736="","",IF(OR('Data Export'!F736="三厢轿车",'Data Export'!F736="掀背轿车",'Data Export'!F736="旅行车",'Data Export'!F736="微型车",'Data Export'!F736="硬顶跑车",'Data Export'!F736="敞蓬车",'Data Export'!F736="Targa"),"轿车",IF(OR('Data Export'!F736="小型MPV",'Data Export'!F736="客车"),"MPV",IF('Data Export'!F736="运动型多功能车","SUV","其他"))))</f>
        <v>轿车</v>
      </c>
      <c r="K736" s="62" t="str">
        <f>IF(OR(D736="",NOT(F736=1)),"",1+SUMPRODUCT(($F$2:$F$1001=1)*($D$2:$D$1001&gt;D736))+COUNTIFS($F$2:F736,1,$D$2:D736,D736)-1)</f>
        <v/>
      </c>
      <c r="L736" s="62" t="str">
        <f>IF(OR(D736="",NOT(G736="轿车")),"",1+SUMPRODUCT(($G$2:$G$1001="轿车")*($D$2:$D$1001&gt;D736))+COUNTIFS($G$2:G736,"轿车",$D$2:D736,D736)-1)</f>
        <v/>
      </c>
      <c r="M736" s="62" t="str">
        <f>IF(OR(D736="",NOT(G736="MPV")),"",1+SUMPRODUCT(($G$2:$G$1001="MPV")*($D$2:$D$1001&gt;D736))+COUNTIFS($G$2:G736,"MPV",$D$2:D736,D736)-1)</f>
        <v/>
      </c>
      <c r="N736" s="62" t="str">
        <f>IF(OR(D736="",NOT(G736="SUV")),"",1+SUMPRODUCT(($G$2:$G$1001="SUV")*($D$2:$D$1001&gt;D736))+COUNTIFS($G$2:G736,"SUV",$D$2:D736,D736)-1)</f>
        <v/>
      </c>
      <c r="O736" s="62" t="str">
        <f>IF(OR(D736="",NOT(AND(F736=1,G736="轿车"))),"",1+SUMPRODUCT(($F$2:$F$1001=1)*($G$2:$G$1001="轿车")*($D$2:$D$1001&gt;D736))+COUNTIFS($F$2:F736,1,$G$2:G736,"轿车",$D$2:D736,D736)-1)</f>
        <v/>
      </c>
      <c r="P736" s="62" t="str">
        <f>IF(OR(D736="",NOT(AND(F736=1,G736="MPV"))),"",1+SUMPRODUCT(($F$2:$F$1001=1)*($G$2:$G$1001="MPV")*($D$2:$D$1001&gt;D736))+COUNTIFS($F$2:F736,1,$G$2:G736,"MPV",$D$2:D736,D736)-1)</f>
        <v/>
      </c>
      <c r="Q736" s="62" t="str">
        <f>IF(OR(D736="",NOT(AND(F736=1,G736="SUV"))),"",1+SUMPRODUCT(($F$2:$F$1001=1)*($G$2:$G$1001="SUV")*($D$2:$D$1001&gt;D736))+COUNTIFS($F$2:F736,1,$G$2:G736,"SUV",$D$2:D736,D736)-1)</f>
        <v/>
      </c>
    </row>
    <row r="737" spans="1:17">
      <c r="A737" s="62" t="str">
        <f>IFERROR(INDEX($H$2:$H$3000,MATCH(0,INDEX(COUNTIF($A$1:A736,$H$2:$H$3000)+($H$2:$H$3000=""),0,0),0)),"")</f>
        <v/>
      </c>
      <c r="B737" s="62" t="str">
        <f t="shared" si="44"/>
        <v/>
      </c>
      <c r="C737" s="62" t="str">
        <f t="shared" si="45"/>
        <v/>
      </c>
      <c r="D737" s="63" t="str">
        <f t="shared" si="46"/>
        <v/>
      </c>
      <c r="E737" s="62" t="str">
        <f>IF(D737="","",_xlfn.RANK.EQ(D737,$D$2:$D$1001,0)+COUNTIF($D$2:D737,D737)-1)</f>
        <v/>
      </c>
      <c r="F737" s="62" t="str">
        <f>IF(B737="","",--(COUNTIF(CN_Brands!$A$2:$A$300,UPPER(B737))&gt;0))</f>
        <v/>
      </c>
      <c r="G737" s="62" t="str">
        <f t="shared" si="47"/>
        <v/>
      </c>
      <c r="H737" s="62" t="str">
        <f>IF(AND('Data Export'!A737=前十整体车型排名!$B$2,'Data Export'!B737=前十整体车型排名!$B$3,'Data Export'!D737&lt;&gt;""),UPPER('Data Export'!C737)&amp;"♦"&amp;'Data Export'!D737,"")</f>
        <v>SUBARU♦BRZ</v>
      </c>
      <c r="I737" s="63">
        <f>IF(H737="","",IFERROR(INDEX('Data Export'!G737:CZ737,1,MATCH(前十整体车型排名!$B$4,'Data Export'!$G$1:$CZ$1,0)),0))</f>
        <v>0</v>
      </c>
      <c r="J737" s="62" t="str">
        <f>IF(H737="","",IF(OR('Data Export'!F737="三厢轿车",'Data Export'!F737="掀背轿车",'Data Export'!F737="旅行车",'Data Export'!F737="微型车",'Data Export'!F737="硬顶跑车",'Data Export'!F737="敞蓬车",'Data Export'!F737="Targa"),"轿车",IF(OR('Data Export'!F737="小型MPV",'Data Export'!F737="客车"),"MPV",IF('Data Export'!F737="运动型多功能车","SUV","其他"))))</f>
        <v>轿车</v>
      </c>
      <c r="K737" s="62" t="str">
        <f>IF(OR(D737="",NOT(F737=1)),"",1+SUMPRODUCT(($F$2:$F$1001=1)*($D$2:$D$1001&gt;D737))+COUNTIFS($F$2:F737,1,$D$2:D737,D737)-1)</f>
        <v/>
      </c>
      <c r="L737" s="62" t="str">
        <f>IF(OR(D737="",NOT(G737="轿车")),"",1+SUMPRODUCT(($G$2:$G$1001="轿车")*($D$2:$D$1001&gt;D737))+COUNTIFS($G$2:G737,"轿车",$D$2:D737,D737)-1)</f>
        <v/>
      </c>
      <c r="M737" s="62" t="str">
        <f>IF(OR(D737="",NOT(G737="MPV")),"",1+SUMPRODUCT(($G$2:$G$1001="MPV")*($D$2:$D$1001&gt;D737))+COUNTIFS($G$2:G737,"MPV",$D$2:D737,D737)-1)</f>
        <v/>
      </c>
      <c r="N737" s="62" t="str">
        <f>IF(OR(D737="",NOT(G737="SUV")),"",1+SUMPRODUCT(($G$2:$G$1001="SUV")*($D$2:$D$1001&gt;D737))+COUNTIFS($G$2:G737,"SUV",$D$2:D737,D737)-1)</f>
        <v/>
      </c>
      <c r="O737" s="62" t="str">
        <f>IF(OR(D737="",NOT(AND(F737=1,G737="轿车"))),"",1+SUMPRODUCT(($F$2:$F$1001=1)*($G$2:$G$1001="轿车")*($D$2:$D$1001&gt;D737))+COUNTIFS($F$2:F737,1,$G$2:G737,"轿车",$D$2:D737,D737)-1)</f>
        <v/>
      </c>
      <c r="P737" s="62" t="str">
        <f>IF(OR(D737="",NOT(AND(F737=1,G737="MPV"))),"",1+SUMPRODUCT(($F$2:$F$1001=1)*($G$2:$G$1001="MPV")*($D$2:$D$1001&gt;D737))+COUNTIFS($F$2:F737,1,$G$2:G737,"MPV",$D$2:D737,D737)-1)</f>
        <v/>
      </c>
      <c r="Q737" s="62" t="str">
        <f>IF(OR(D737="",NOT(AND(F737=1,G737="SUV"))),"",1+SUMPRODUCT(($F$2:$F$1001=1)*($G$2:$G$1001="SUV")*($D$2:$D$1001&gt;D737))+COUNTIFS($F$2:F737,1,$G$2:G737,"SUV",$D$2:D737,D737)-1)</f>
        <v/>
      </c>
    </row>
    <row r="738" spans="1:17">
      <c r="A738" s="62" t="str">
        <f>IFERROR(INDEX($H$2:$H$3000,MATCH(0,INDEX(COUNTIF($A$1:A737,$H$2:$H$3000)+($H$2:$H$3000=""),0,0),0)),"")</f>
        <v/>
      </c>
      <c r="B738" s="62" t="str">
        <f t="shared" si="44"/>
        <v/>
      </c>
      <c r="C738" s="62" t="str">
        <f t="shared" si="45"/>
        <v/>
      </c>
      <c r="D738" s="63" t="str">
        <f t="shared" si="46"/>
        <v/>
      </c>
      <c r="E738" s="62" t="str">
        <f>IF(D738="","",_xlfn.RANK.EQ(D738,$D$2:$D$1001,0)+COUNTIF($D$2:D738,D738)-1)</f>
        <v/>
      </c>
      <c r="F738" s="62" t="str">
        <f>IF(B738="","",--(COUNTIF(CN_Brands!$A$2:$A$300,UPPER(B738))&gt;0))</f>
        <v/>
      </c>
      <c r="G738" s="62" t="str">
        <f t="shared" si="47"/>
        <v/>
      </c>
      <c r="H738" s="62" t="str">
        <f>IF(AND('Data Export'!A738=前十整体车型排名!$B$2,'Data Export'!B738=前十整体车型排名!$B$3,'Data Export'!D738&lt;&gt;""),UPPER('Data Export'!C738)&amp;"♦"&amp;'Data Export'!D738,"")</f>
        <v>SUBARU♦BRZ</v>
      </c>
      <c r="I738" s="63">
        <f>IF(H738="","",IFERROR(INDEX('Data Export'!G738:CZ738,1,MATCH(前十整体车型排名!$B$4,'Data Export'!$G$1:$CZ$1,0)),0))</f>
        <v>0</v>
      </c>
      <c r="J738" s="62" t="str">
        <f>IF(H738="","",IF(OR('Data Export'!F738="三厢轿车",'Data Export'!F738="掀背轿车",'Data Export'!F738="旅行车",'Data Export'!F738="微型车",'Data Export'!F738="硬顶跑车",'Data Export'!F738="敞蓬车",'Data Export'!F738="Targa"),"轿车",IF(OR('Data Export'!F738="小型MPV",'Data Export'!F738="客车"),"MPV",IF('Data Export'!F738="运动型多功能车","SUV","其他"))))</f>
        <v>轿车</v>
      </c>
      <c r="K738" s="62" t="str">
        <f>IF(OR(D738="",NOT(F738=1)),"",1+SUMPRODUCT(($F$2:$F$1001=1)*($D$2:$D$1001&gt;D738))+COUNTIFS($F$2:F738,1,$D$2:D738,D738)-1)</f>
        <v/>
      </c>
      <c r="L738" s="62" t="str">
        <f>IF(OR(D738="",NOT(G738="轿车")),"",1+SUMPRODUCT(($G$2:$G$1001="轿车")*($D$2:$D$1001&gt;D738))+COUNTIFS($G$2:G738,"轿车",$D$2:D738,D738)-1)</f>
        <v/>
      </c>
      <c r="M738" s="62" t="str">
        <f>IF(OR(D738="",NOT(G738="MPV")),"",1+SUMPRODUCT(($G$2:$G$1001="MPV")*($D$2:$D$1001&gt;D738))+COUNTIFS($G$2:G738,"MPV",$D$2:D738,D738)-1)</f>
        <v/>
      </c>
      <c r="N738" s="62" t="str">
        <f>IF(OR(D738="",NOT(G738="SUV")),"",1+SUMPRODUCT(($G$2:$G$1001="SUV")*($D$2:$D$1001&gt;D738))+COUNTIFS($G$2:G738,"SUV",$D$2:D738,D738)-1)</f>
        <v/>
      </c>
      <c r="O738" s="62" t="str">
        <f>IF(OR(D738="",NOT(AND(F738=1,G738="轿车"))),"",1+SUMPRODUCT(($F$2:$F$1001=1)*($G$2:$G$1001="轿车")*($D$2:$D$1001&gt;D738))+COUNTIFS($F$2:F738,1,$G$2:G738,"轿车",$D$2:D738,D738)-1)</f>
        <v/>
      </c>
      <c r="P738" s="62" t="str">
        <f>IF(OR(D738="",NOT(AND(F738=1,G738="MPV"))),"",1+SUMPRODUCT(($F$2:$F$1001=1)*($G$2:$G$1001="MPV")*($D$2:$D$1001&gt;D738))+COUNTIFS($F$2:F738,1,$G$2:G738,"MPV",$D$2:D738,D738)-1)</f>
        <v/>
      </c>
      <c r="Q738" s="62" t="str">
        <f>IF(OR(D738="",NOT(AND(F738=1,G738="SUV"))),"",1+SUMPRODUCT(($F$2:$F$1001=1)*($G$2:$G$1001="SUV")*($D$2:$D$1001&gt;D738))+COUNTIFS($F$2:F738,1,$G$2:G738,"SUV",$D$2:D738,D738)-1)</f>
        <v/>
      </c>
    </row>
    <row r="739" spans="1:17">
      <c r="A739" s="62" t="str">
        <f>IFERROR(INDEX($H$2:$H$3000,MATCH(0,INDEX(COUNTIF($A$1:A738,$H$2:$H$3000)+($H$2:$H$3000=""),0,0),0)),"")</f>
        <v/>
      </c>
      <c r="B739" s="62" t="str">
        <f t="shared" si="44"/>
        <v/>
      </c>
      <c r="C739" s="62" t="str">
        <f t="shared" si="45"/>
        <v/>
      </c>
      <c r="D739" s="63" t="str">
        <f t="shared" si="46"/>
        <v/>
      </c>
      <c r="E739" s="62" t="str">
        <f>IF(D739="","",_xlfn.RANK.EQ(D739,$D$2:$D$1001,0)+COUNTIF($D$2:D739,D739)-1)</f>
        <v/>
      </c>
      <c r="F739" s="62" t="str">
        <f>IF(B739="","",--(COUNTIF(CN_Brands!$A$2:$A$300,UPPER(B739))&gt;0))</f>
        <v/>
      </c>
      <c r="G739" s="62" t="str">
        <f t="shared" si="47"/>
        <v/>
      </c>
      <c r="H739" s="62" t="str">
        <f>IF(AND('Data Export'!A739=前十整体车型排名!$B$2,'Data Export'!B739=前十整体车型排名!$B$3,'Data Export'!D739&lt;&gt;""),UPPER('Data Export'!C739)&amp;"♦"&amp;'Data Export'!D739,"")</f>
        <v>SUBARU♦BRZ</v>
      </c>
      <c r="I739" s="63">
        <f>IF(H739="","",IFERROR(INDEX('Data Export'!G739:CZ739,1,MATCH(前十整体车型排名!$B$4,'Data Export'!$G$1:$CZ$1,0)),0))</f>
        <v>0</v>
      </c>
      <c r="J739" s="62" t="str">
        <f>IF(H739="","",IF(OR('Data Export'!F739="三厢轿车",'Data Export'!F739="掀背轿车",'Data Export'!F739="旅行车",'Data Export'!F739="微型车",'Data Export'!F739="硬顶跑车",'Data Export'!F739="敞蓬车",'Data Export'!F739="Targa"),"轿车",IF(OR('Data Export'!F739="小型MPV",'Data Export'!F739="客车"),"MPV",IF('Data Export'!F739="运动型多功能车","SUV","其他"))))</f>
        <v>轿车</v>
      </c>
      <c r="K739" s="62" t="str">
        <f>IF(OR(D739="",NOT(F739=1)),"",1+SUMPRODUCT(($F$2:$F$1001=1)*($D$2:$D$1001&gt;D739))+COUNTIFS($F$2:F739,1,$D$2:D739,D739)-1)</f>
        <v/>
      </c>
      <c r="L739" s="62" t="str">
        <f>IF(OR(D739="",NOT(G739="轿车")),"",1+SUMPRODUCT(($G$2:$G$1001="轿车")*($D$2:$D$1001&gt;D739))+COUNTIFS($G$2:G739,"轿车",$D$2:D739,D739)-1)</f>
        <v/>
      </c>
      <c r="M739" s="62" t="str">
        <f>IF(OR(D739="",NOT(G739="MPV")),"",1+SUMPRODUCT(($G$2:$G$1001="MPV")*($D$2:$D$1001&gt;D739))+COUNTIFS($G$2:G739,"MPV",$D$2:D739,D739)-1)</f>
        <v/>
      </c>
      <c r="N739" s="62" t="str">
        <f>IF(OR(D739="",NOT(G739="SUV")),"",1+SUMPRODUCT(($G$2:$G$1001="SUV")*($D$2:$D$1001&gt;D739))+COUNTIFS($G$2:G739,"SUV",$D$2:D739,D739)-1)</f>
        <v/>
      </c>
      <c r="O739" s="62" t="str">
        <f>IF(OR(D739="",NOT(AND(F739=1,G739="轿车"))),"",1+SUMPRODUCT(($F$2:$F$1001=1)*($G$2:$G$1001="轿车")*($D$2:$D$1001&gt;D739))+COUNTIFS($F$2:F739,1,$G$2:G739,"轿车",$D$2:D739,D739)-1)</f>
        <v/>
      </c>
      <c r="P739" s="62" t="str">
        <f>IF(OR(D739="",NOT(AND(F739=1,G739="MPV"))),"",1+SUMPRODUCT(($F$2:$F$1001=1)*($G$2:$G$1001="MPV")*($D$2:$D$1001&gt;D739))+COUNTIFS($F$2:F739,1,$G$2:G739,"MPV",$D$2:D739,D739)-1)</f>
        <v/>
      </c>
      <c r="Q739" s="62" t="str">
        <f>IF(OR(D739="",NOT(AND(F739=1,G739="SUV"))),"",1+SUMPRODUCT(($F$2:$F$1001=1)*($G$2:$G$1001="SUV")*($D$2:$D$1001&gt;D739))+COUNTIFS($F$2:F739,1,$G$2:G739,"SUV",$D$2:D739,D739)-1)</f>
        <v/>
      </c>
    </row>
    <row r="740" spans="1:17">
      <c r="A740" s="62" t="str">
        <f>IFERROR(INDEX($H$2:$H$3000,MATCH(0,INDEX(COUNTIF($A$1:A739,$H$2:$H$3000)+($H$2:$H$3000=""),0,0),0)),"")</f>
        <v/>
      </c>
      <c r="B740" s="62" t="str">
        <f t="shared" si="44"/>
        <v/>
      </c>
      <c r="C740" s="62" t="str">
        <f t="shared" si="45"/>
        <v/>
      </c>
      <c r="D740" s="63" t="str">
        <f t="shared" si="46"/>
        <v/>
      </c>
      <c r="E740" s="62" t="str">
        <f>IF(D740="","",_xlfn.RANK.EQ(D740,$D$2:$D$1001,0)+COUNTIF($D$2:D740,D740)-1)</f>
        <v/>
      </c>
      <c r="F740" s="62" t="str">
        <f>IF(B740="","",--(COUNTIF(CN_Brands!$A$2:$A$300,UPPER(B740))&gt;0))</f>
        <v/>
      </c>
      <c r="G740" s="62" t="str">
        <f t="shared" si="47"/>
        <v/>
      </c>
      <c r="H740" s="62" t="str">
        <f>IF(AND('Data Export'!A740=前十整体车型排名!$B$2,'Data Export'!B740=前十整体车型排名!$B$3,'Data Export'!D740&lt;&gt;""),UPPER('Data Export'!C740)&amp;"♦"&amp;'Data Export'!D740,"")</f>
        <v>SUBARU♦FORESTER</v>
      </c>
      <c r="I740" s="63">
        <f>IF(H740="","",IFERROR(INDEX('Data Export'!G740:CZ740,1,MATCH(前十整体车型排名!$B$4,'Data Export'!$G$1:$CZ$1,0)),0))</f>
        <v>0</v>
      </c>
      <c r="J740" s="62" t="str">
        <f>IF(H740="","",IF(OR('Data Export'!F740="三厢轿车",'Data Export'!F740="掀背轿车",'Data Export'!F740="旅行车",'Data Export'!F740="微型车",'Data Export'!F740="硬顶跑车",'Data Export'!F740="敞蓬车",'Data Export'!F740="Targa"),"轿车",IF(OR('Data Export'!F740="小型MPV",'Data Export'!F740="客车"),"MPV",IF('Data Export'!F740="运动型多功能车","SUV","其他"))))</f>
        <v>SUV</v>
      </c>
      <c r="K740" s="62" t="str">
        <f>IF(OR(D740="",NOT(F740=1)),"",1+SUMPRODUCT(($F$2:$F$1001=1)*($D$2:$D$1001&gt;D740))+COUNTIFS($F$2:F740,1,$D$2:D740,D740)-1)</f>
        <v/>
      </c>
      <c r="L740" s="62" t="str">
        <f>IF(OR(D740="",NOT(G740="轿车")),"",1+SUMPRODUCT(($G$2:$G$1001="轿车")*($D$2:$D$1001&gt;D740))+COUNTIFS($G$2:G740,"轿车",$D$2:D740,D740)-1)</f>
        <v/>
      </c>
      <c r="M740" s="62" t="str">
        <f>IF(OR(D740="",NOT(G740="MPV")),"",1+SUMPRODUCT(($G$2:$G$1001="MPV")*($D$2:$D$1001&gt;D740))+COUNTIFS($G$2:G740,"MPV",$D$2:D740,D740)-1)</f>
        <v/>
      </c>
      <c r="N740" s="62" t="str">
        <f>IF(OR(D740="",NOT(G740="SUV")),"",1+SUMPRODUCT(($G$2:$G$1001="SUV")*($D$2:$D$1001&gt;D740))+COUNTIFS($G$2:G740,"SUV",$D$2:D740,D740)-1)</f>
        <v/>
      </c>
      <c r="O740" s="62" t="str">
        <f>IF(OR(D740="",NOT(AND(F740=1,G740="轿车"))),"",1+SUMPRODUCT(($F$2:$F$1001=1)*($G$2:$G$1001="轿车")*($D$2:$D$1001&gt;D740))+COUNTIFS($F$2:F740,1,$G$2:G740,"轿车",$D$2:D740,D740)-1)</f>
        <v/>
      </c>
      <c r="P740" s="62" t="str">
        <f>IF(OR(D740="",NOT(AND(F740=1,G740="MPV"))),"",1+SUMPRODUCT(($F$2:$F$1001=1)*($G$2:$G$1001="MPV")*($D$2:$D$1001&gt;D740))+COUNTIFS($F$2:F740,1,$G$2:G740,"MPV",$D$2:D740,D740)-1)</f>
        <v/>
      </c>
      <c r="Q740" s="62" t="str">
        <f>IF(OR(D740="",NOT(AND(F740=1,G740="SUV"))),"",1+SUMPRODUCT(($F$2:$F$1001=1)*($G$2:$G$1001="SUV")*($D$2:$D$1001&gt;D740))+COUNTIFS($F$2:F740,1,$G$2:G740,"SUV",$D$2:D740,D740)-1)</f>
        <v/>
      </c>
    </row>
    <row r="741" spans="1:17">
      <c r="A741" s="62" t="str">
        <f>IFERROR(INDEX($H$2:$H$3000,MATCH(0,INDEX(COUNTIF($A$1:A740,$H$2:$H$3000)+($H$2:$H$3000=""),0,0),0)),"")</f>
        <v/>
      </c>
      <c r="B741" s="62" t="str">
        <f t="shared" si="44"/>
        <v/>
      </c>
      <c r="C741" s="62" t="str">
        <f t="shared" si="45"/>
        <v/>
      </c>
      <c r="D741" s="63" t="str">
        <f t="shared" si="46"/>
        <v/>
      </c>
      <c r="E741" s="62" t="str">
        <f>IF(D741="","",_xlfn.RANK.EQ(D741,$D$2:$D$1001,0)+COUNTIF($D$2:D741,D741)-1)</f>
        <v/>
      </c>
      <c r="F741" s="62" t="str">
        <f>IF(B741="","",--(COUNTIF(CN_Brands!$A$2:$A$300,UPPER(B741))&gt;0))</f>
        <v/>
      </c>
      <c r="G741" s="62" t="str">
        <f t="shared" si="47"/>
        <v/>
      </c>
      <c r="H741" s="62" t="str">
        <f>IF(AND('Data Export'!A741=前十整体车型排名!$B$2,'Data Export'!B741=前十整体车型排名!$B$3,'Data Export'!D741&lt;&gt;""),UPPER('Data Export'!C741)&amp;"♦"&amp;'Data Export'!D741,"")</f>
        <v>SUBARU♦FORESTER</v>
      </c>
      <c r="I741" s="63">
        <f>IF(H741="","",IFERROR(INDEX('Data Export'!G741:CZ741,1,MATCH(前十整体车型排名!$B$4,'Data Export'!$G$1:$CZ$1,0)),0))</f>
        <v>1</v>
      </c>
      <c r="J741" s="62" t="str">
        <f>IF(H741="","",IF(OR('Data Export'!F741="三厢轿车",'Data Export'!F741="掀背轿车",'Data Export'!F741="旅行车",'Data Export'!F741="微型车",'Data Export'!F741="硬顶跑车",'Data Export'!F741="敞蓬车",'Data Export'!F741="Targa"),"轿车",IF(OR('Data Export'!F741="小型MPV",'Data Export'!F741="客车"),"MPV",IF('Data Export'!F741="运动型多功能车","SUV","其他"))))</f>
        <v>SUV</v>
      </c>
      <c r="K741" s="62" t="str">
        <f>IF(OR(D741="",NOT(F741=1)),"",1+SUMPRODUCT(($F$2:$F$1001=1)*($D$2:$D$1001&gt;D741))+COUNTIFS($F$2:F741,1,$D$2:D741,D741)-1)</f>
        <v/>
      </c>
      <c r="L741" s="62" t="str">
        <f>IF(OR(D741="",NOT(G741="轿车")),"",1+SUMPRODUCT(($G$2:$G$1001="轿车")*($D$2:$D$1001&gt;D741))+COUNTIFS($G$2:G741,"轿车",$D$2:D741,D741)-1)</f>
        <v/>
      </c>
      <c r="M741" s="62" t="str">
        <f>IF(OR(D741="",NOT(G741="MPV")),"",1+SUMPRODUCT(($G$2:$G$1001="MPV")*($D$2:$D$1001&gt;D741))+COUNTIFS($G$2:G741,"MPV",$D$2:D741,D741)-1)</f>
        <v/>
      </c>
      <c r="N741" s="62" t="str">
        <f>IF(OR(D741="",NOT(G741="SUV")),"",1+SUMPRODUCT(($G$2:$G$1001="SUV")*($D$2:$D$1001&gt;D741))+COUNTIFS($G$2:G741,"SUV",$D$2:D741,D741)-1)</f>
        <v/>
      </c>
      <c r="O741" s="62" t="str">
        <f>IF(OR(D741="",NOT(AND(F741=1,G741="轿车"))),"",1+SUMPRODUCT(($F$2:$F$1001=1)*($G$2:$G$1001="轿车")*($D$2:$D$1001&gt;D741))+COUNTIFS($F$2:F741,1,$G$2:G741,"轿车",$D$2:D741,D741)-1)</f>
        <v/>
      </c>
      <c r="P741" s="62" t="str">
        <f>IF(OR(D741="",NOT(AND(F741=1,G741="MPV"))),"",1+SUMPRODUCT(($F$2:$F$1001=1)*($G$2:$G$1001="MPV")*($D$2:$D$1001&gt;D741))+COUNTIFS($F$2:F741,1,$G$2:G741,"MPV",$D$2:D741,D741)-1)</f>
        <v/>
      </c>
      <c r="Q741" s="62" t="str">
        <f>IF(OR(D741="",NOT(AND(F741=1,G741="SUV"))),"",1+SUMPRODUCT(($F$2:$F$1001=1)*($G$2:$G$1001="SUV")*($D$2:$D$1001&gt;D741))+COUNTIFS($F$2:F741,1,$G$2:G741,"SUV",$D$2:D741,D741)-1)</f>
        <v/>
      </c>
    </row>
    <row r="742" spans="1:17">
      <c r="A742" s="62" t="str">
        <f>IFERROR(INDEX($H$2:$H$3000,MATCH(0,INDEX(COUNTIF($A$1:A741,$H$2:$H$3000)+($H$2:$H$3000=""),0,0),0)),"")</f>
        <v/>
      </c>
      <c r="B742" s="62" t="str">
        <f t="shared" si="44"/>
        <v/>
      </c>
      <c r="C742" s="62" t="str">
        <f t="shared" si="45"/>
        <v/>
      </c>
      <c r="D742" s="63" t="str">
        <f t="shared" si="46"/>
        <v/>
      </c>
      <c r="E742" s="62" t="str">
        <f>IF(D742="","",_xlfn.RANK.EQ(D742,$D$2:$D$1001,0)+COUNTIF($D$2:D742,D742)-1)</f>
        <v/>
      </c>
      <c r="F742" s="62" t="str">
        <f>IF(B742="","",--(COUNTIF(CN_Brands!$A$2:$A$300,UPPER(B742))&gt;0))</f>
        <v/>
      </c>
      <c r="G742" s="62" t="str">
        <f t="shared" si="47"/>
        <v/>
      </c>
      <c r="H742" s="62" t="str">
        <f>IF(AND('Data Export'!A742=前十整体车型排名!$B$2,'Data Export'!B742=前十整体车型排名!$B$3,'Data Export'!D742&lt;&gt;""),UPPER('Data Export'!C742)&amp;"♦"&amp;'Data Export'!D742,"")</f>
        <v>SUBARU♦FORESTER</v>
      </c>
      <c r="I742" s="63">
        <f>IF(H742="","",IFERROR(INDEX('Data Export'!G742:CZ742,1,MATCH(前十整体车型排名!$B$4,'Data Export'!$G$1:$CZ$1,0)),0))</f>
        <v>0</v>
      </c>
      <c r="J742" s="62" t="str">
        <f>IF(H742="","",IF(OR('Data Export'!F742="三厢轿车",'Data Export'!F742="掀背轿车",'Data Export'!F742="旅行车",'Data Export'!F742="微型车",'Data Export'!F742="硬顶跑车",'Data Export'!F742="敞蓬车",'Data Export'!F742="Targa"),"轿车",IF(OR('Data Export'!F742="小型MPV",'Data Export'!F742="客车"),"MPV",IF('Data Export'!F742="运动型多功能车","SUV","其他"))))</f>
        <v>SUV</v>
      </c>
      <c r="K742" s="62" t="str">
        <f>IF(OR(D742="",NOT(F742=1)),"",1+SUMPRODUCT(($F$2:$F$1001=1)*($D$2:$D$1001&gt;D742))+COUNTIFS($F$2:F742,1,$D$2:D742,D742)-1)</f>
        <v/>
      </c>
      <c r="L742" s="62" t="str">
        <f>IF(OR(D742="",NOT(G742="轿车")),"",1+SUMPRODUCT(($G$2:$G$1001="轿车")*($D$2:$D$1001&gt;D742))+COUNTIFS($G$2:G742,"轿车",$D$2:D742,D742)-1)</f>
        <v/>
      </c>
      <c r="M742" s="62" t="str">
        <f>IF(OR(D742="",NOT(G742="MPV")),"",1+SUMPRODUCT(($G$2:$G$1001="MPV")*($D$2:$D$1001&gt;D742))+COUNTIFS($G$2:G742,"MPV",$D$2:D742,D742)-1)</f>
        <v/>
      </c>
      <c r="N742" s="62" t="str">
        <f>IF(OR(D742="",NOT(G742="SUV")),"",1+SUMPRODUCT(($G$2:$G$1001="SUV")*($D$2:$D$1001&gt;D742))+COUNTIFS($G$2:G742,"SUV",$D$2:D742,D742)-1)</f>
        <v/>
      </c>
      <c r="O742" s="62" t="str">
        <f>IF(OR(D742="",NOT(AND(F742=1,G742="轿车"))),"",1+SUMPRODUCT(($F$2:$F$1001=1)*($G$2:$G$1001="轿车")*($D$2:$D$1001&gt;D742))+COUNTIFS($F$2:F742,1,$G$2:G742,"轿车",$D$2:D742,D742)-1)</f>
        <v/>
      </c>
      <c r="P742" s="62" t="str">
        <f>IF(OR(D742="",NOT(AND(F742=1,G742="MPV"))),"",1+SUMPRODUCT(($F$2:$F$1001=1)*($G$2:$G$1001="MPV")*($D$2:$D$1001&gt;D742))+COUNTIFS($F$2:F742,1,$G$2:G742,"MPV",$D$2:D742,D742)-1)</f>
        <v/>
      </c>
      <c r="Q742" s="62" t="str">
        <f>IF(OR(D742="",NOT(AND(F742=1,G742="SUV"))),"",1+SUMPRODUCT(($F$2:$F$1001=1)*($G$2:$G$1001="SUV")*($D$2:$D$1001&gt;D742))+COUNTIFS($F$2:F742,1,$G$2:G742,"SUV",$D$2:D742,D742)-1)</f>
        <v/>
      </c>
    </row>
    <row r="743" spans="1:17">
      <c r="A743" s="62" t="str">
        <f>IFERROR(INDEX($H$2:$H$3000,MATCH(0,INDEX(COUNTIF($A$1:A742,$H$2:$H$3000)+($H$2:$H$3000=""),0,0),0)),"")</f>
        <v/>
      </c>
      <c r="B743" s="62" t="str">
        <f t="shared" si="44"/>
        <v/>
      </c>
      <c r="C743" s="62" t="str">
        <f t="shared" si="45"/>
        <v/>
      </c>
      <c r="D743" s="63" t="str">
        <f t="shared" si="46"/>
        <v/>
      </c>
      <c r="E743" s="62" t="str">
        <f>IF(D743="","",_xlfn.RANK.EQ(D743,$D$2:$D$1001,0)+COUNTIF($D$2:D743,D743)-1)</f>
        <v/>
      </c>
      <c r="F743" s="62" t="str">
        <f>IF(B743="","",--(COUNTIF(CN_Brands!$A$2:$A$300,UPPER(B743))&gt;0))</f>
        <v/>
      </c>
      <c r="G743" s="62" t="str">
        <f t="shared" si="47"/>
        <v/>
      </c>
      <c r="H743" s="62" t="str">
        <f>IF(AND('Data Export'!A743=前十整体车型排名!$B$2,'Data Export'!B743=前十整体车型排名!$B$3,'Data Export'!D743&lt;&gt;""),UPPER('Data Export'!C743)&amp;"♦"&amp;'Data Export'!D743,"")</f>
        <v>SUBARU♦FORESTER</v>
      </c>
      <c r="I743" s="63">
        <f>IF(H743="","",IFERROR(INDEX('Data Export'!G743:CZ743,1,MATCH(前十整体车型排名!$B$4,'Data Export'!$G$1:$CZ$1,0)),0))</f>
        <v>2</v>
      </c>
      <c r="J743" s="62" t="str">
        <f>IF(H743="","",IF(OR('Data Export'!F743="三厢轿车",'Data Export'!F743="掀背轿车",'Data Export'!F743="旅行车",'Data Export'!F743="微型车",'Data Export'!F743="硬顶跑车",'Data Export'!F743="敞蓬车",'Data Export'!F743="Targa"),"轿车",IF(OR('Data Export'!F743="小型MPV",'Data Export'!F743="客车"),"MPV",IF('Data Export'!F743="运动型多功能车","SUV","其他"))))</f>
        <v>SUV</v>
      </c>
      <c r="K743" s="62" t="str">
        <f>IF(OR(D743="",NOT(F743=1)),"",1+SUMPRODUCT(($F$2:$F$1001=1)*($D$2:$D$1001&gt;D743))+COUNTIFS($F$2:F743,1,$D$2:D743,D743)-1)</f>
        <v/>
      </c>
      <c r="L743" s="62" t="str">
        <f>IF(OR(D743="",NOT(G743="轿车")),"",1+SUMPRODUCT(($G$2:$G$1001="轿车")*($D$2:$D$1001&gt;D743))+COUNTIFS($G$2:G743,"轿车",$D$2:D743,D743)-1)</f>
        <v/>
      </c>
      <c r="M743" s="62" t="str">
        <f>IF(OR(D743="",NOT(G743="MPV")),"",1+SUMPRODUCT(($G$2:$G$1001="MPV")*($D$2:$D$1001&gt;D743))+COUNTIFS($G$2:G743,"MPV",$D$2:D743,D743)-1)</f>
        <v/>
      </c>
      <c r="N743" s="62" t="str">
        <f>IF(OR(D743="",NOT(G743="SUV")),"",1+SUMPRODUCT(($G$2:$G$1001="SUV")*($D$2:$D$1001&gt;D743))+COUNTIFS($G$2:G743,"SUV",$D$2:D743,D743)-1)</f>
        <v/>
      </c>
      <c r="O743" s="62" t="str">
        <f>IF(OR(D743="",NOT(AND(F743=1,G743="轿车"))),"",1+SUMPRODUCT(($F$2:$F$1001=1)*($G$2:$G$1001="轿车")*($D$2:$D$1001&gt;D743))+COUNTIFS($F$2:F743,1,$G$2:G743,"轿车",$D$2:D743,D743)-1)</f>
        <v/>
      </c>
      <c r="P743" s="62" t="str">
        <f>IF(OR(D743="",NOT(AND(F743=1,G743="MPV"))),"",1+SUMPRODUCT(($F$2:$F$1001=1)*($G$2:$G$1001="MPV")*($D$2:$D$1001&gt;D743))+COUNTIFS($F$2:F743,1,$G$2:G743,"MPV",$D$2:D743,D743)-1)</f>
        <v/>
      </c>
      <c r="Q743" s="62" t="str">
        <f>IF(OR(D743="",NOT(AND(F743=1,G743="SUV"))),"",1+SUMPRODUCT(($F$2:$F$1001=1)*($G$2:$G$1001="SUV")*($D$2:$D$1001&gt;D743))+COUNTIFS($F$2:F743,1,$G$2:G743,"SUV",$D$2:D743,D743)-1)</f>
        <v/>
      </c>
    </row>
    <row r="744" spans="1:17">
      <c r="A744" s="62" t="str">
        <f>IFERROR(INDEX($H$2:$H$3000,MATCH(0,INDEX(COUNTIF($A$1:A743,$H$2:$H$3000)+($H$2:$H$3000=""),0,0),0)),"")</f>
        <v/>
      </c>
      <c r="B744" s="62" t="str">
        <f t="shared" si="44"/>
        <v/>
      </c>
      <c r="C744" s="62" t="str">
        <f t="shared" si="45"/>
        <v/>
      </c>
      <c r="D744" s="63" t="str">
        <f t="shared" si="46"/>
        <v/>
      </c>
      <c r="E744" s="62" t="str">
        <f>IF(D744="","",_xlfn.RANK.EQ(D744,$D$2:$D$1001,0)+COUNTIF($D$2:D744,D744)-1)</f>
        <v/>
      </c>
      <c r="F744" s="62" t="str">
        <f>IF(B744="","",--(COUNTIF(CN_Brands!$A$2:$A$300,UPPER(B744))&gt;0))</f>
        <v/>
      </c>
      <c r="G744" s="62" t="str">
        <f t="shared" si="47"/>
        <v/>
      </c>
      <c r="H744" s="62" t="str">
        <f>IF(AND('Data Export'!A744=前十整体车型排名!$B$2,'Data Export'!B744=前十整体车型排名!$B$3,'Data Export'!D744&lt;&gt;""),UPPER('Data Export'!C744)&amp;"♦"&amp;'Data Export'!D744,"")</f>
        <v>SUBARU♦FORESTER</v>
      </c>
      <c r="I744" s="63">
        <f>IF(H744="","",IFERROR(INDEX('Data Export'!G744:CZ744,1,MATCH(前十整体车型排名!$B$4,'Data Export'!$G$1:$CZ$1,0)),0))</f>
        <v>7</v>
      </c>
      <c r="J744" s="62" t="str">
        <f>IF(H744="","",IF(OR('Data Export'!F744="三厢轿车",'Data Export'!F744="掀背轿车",'Data Export'!F744="旅行车",'Data Export'!F744="微型车",'Data Export'!F744="硬顶跑车",'Data Export'!F744="敞蓬车",'Data Export'!F744="Targa"),"轿车",IF(OR('Data Export'!F744="小型MPV",'Data Export'!F744="客车"),"MPV",IF('Data Export'!F744="运动型多功能车","SUV","其他"))))</f>
        <v>SUV</v>
      </c>
      <c r="K744" s="62" t="str">
        <f>IF(OR(D744="",NOT(F744=1)),"",1+SUMPRODUCT(($F$2:$F$1001=1)*($D$2:$D$1001&gt;D744))+COUNTIFS($F$2:F744,1,$D$2:D744,D744)-1)</f>
        <v/>
      </c>
      <c r="L744" s="62" t="str">
        <f>IF(OR(D744="",NOT(G744="轿车")),"",1+SUMPRODUCT(($G$2:$G$1001="轿车")*($D$2:$D$1001&gt;D744))+COUNTIFS($G$2:G744,"轿车",$D$2:D744,D744)-1)</f>
        <v/>
      </c>
      <c r="M744" s="62" t="str">
        <f>IF(OR(D744="",NOT(G744="MPV")),"",1+SUMPRODUCT(($G$2:$G$1001="MPV")*($D$2:$D$1001&gt;D744))+COUNTIFS($G$2:G744,"MPV",$D$2:D744,D744)-1)</f>
        <v/>
      </c>
      <c r="N744" s="62" t="str">
        <f>IF(OR(D744="",NOT(G744="SUV")),"",1+SUMPRODUCT(($G$2:$G$1001="SUV")*($D$2:$D$1001&gt;D744))+COUNTIFS($G$2:G744,"SUV",$D$2:D744,D744)-1)</f>
        <v/>
      </c>
      <c r="O744" s="62" t="str">
        <f>IF(OR(D744="",NOT(AND(F744=1,G744="轿车"))),"",1+SUMPRODUCT(($F$2:$F$1001=1)*($G$2:$G$1001="轿车")*($D$2:$D$1001&gt;D744))+COUNTIFS($F$2:F744,1,$G$2:G744,"轿车",$D$2:D744,D744)-1)</f>
        <v/>
      </c>
      <c r="P744" s="62" t="str">
        <f>IF(OR(D744="",NOT(AND(F744=1,G744="MPV"))),"",1+SUMPRODUCT(($F$2:$F$1001=1)*($G$2:$G$1001="MPV")*($D$2:$D$1001&gt;D744))+COUNTIFS($F$2:F744,1,$G$2:G744,"MPV",$D$2:D744,D744)-1)</f>
        <v/>
      </c>
      <c r="Q744" s="62" t="str">
        <f>IF(OR(D744="",NOT(AND(F744=1,G744="SUV"))),"",1+SUMPRODUCT(($F$2:$F$1001=1)*($G$2:$G$1001="SUV")*($D$2:$D$1001&gt;D744))+COUNTIFS($F$2:F744,1,$G$2:G744,"SUV",$D$2:D744,D744)-1)</f>
        <v/>
      </c>
    </row>
    <row r="745" spans="1:17">
      <c r="A745" s="62" t="str">
        <f>IFERROR(INDEX($H$2:$H$3000,MATCH(0,INDEX(COUNTIF($A$1:A744,$H$2:$H$3000)+($H$2:$H$3000=""),0,0),0)),"")</f>
        <v/>
      </c>
      <c r="B745" s="62" t="str">
        <f t="shared" si="44"/>
        <v/>
      </c>
      <c r="C745" s="62" t="str">
        <f t="shared" si="45"/>
        <v/>
      </c>
      <c r="D745" s="63" t="str">
        <f t="shared" si="46"/>
        <v/>
      </c>
      <c r="E745" s="62" t="str">
        <f>IF(D745="","",_xlfn.RANK.EQ(D745,$D$2:$D$1001,0)+COUNTIF($D$2:D745,D745)-1)</f>
        <v/>
      </c>
      <c r="F745" s="62" t="str">
        <f>IF(B745="","",--(COUNTIF(CN_Brands!$A$2:$A$300,UPPER(B745))&gt;0))</f>
        <v/>
      </c>
      <c r="G745" s="62" t="str">
        <f t="shared" si="47"/>
        <v/>
      </c>
      <c r="H745" s="62" t="str">
        <f>IF(AND('Data Export'!A745=前十整体车型排名!$B$2,'Data Export'!B745=前十整体车型排名!$B$3,'Data Export'!D745&lt;&gt;""),UPPER('Data Export'!C745)&amp;"♦"&amp;'Data Export'!D745,"")</f>
        <v>SUBARU♦OTHER</v>
      </c>
      <c r="I745" s="63">
        <f>IF(H745="","",IFERROR(INDEX('Data Export'!G745:CZ745,1,MATCH(前十整体车型排名!$B$4,'Data Export'!$G$1:$CZ$1,0)),0))</f>
        <v>0</v>
      </c>
      <c r="J745" s="62" t="str">
        <f>IF(H745="","",IF(OR('Data Export'!F745="三厢轿车",'Data Export'!F745="掀背轿车",'Data Export'!F745="旅行车",'Data Export'!F745="微型车",'Data Export'!F745="硬顶跑车",'Data Export'!F745="敞蓬车",'Data Export'!F745="Targa"),"轿车",IF(OR('Data Export'!F745="小型MPV",'Data Export'!F745="客车"),"MPV",IF('Data Export'!F745="运动型多功能车","SUV","其他"))))</f>
        <v>其他</v>
      </c>
      <c r="K745" s="62" t="str">
        <f>IF(OR(D745="",NOT(F745=1)),"",1+SUMPRODUCT(($F$2:$F$1001=1)*($D$2:$D$1001&gt;D745))+COUNTIFS($F$2:F745,1,$D$2:D745,D745)-1)</f>
        <v/>
      </c>
      <c r="L745" s="62" t="str">
        <f>IF(OR(D745="",NOT(G745="轿车")),"",1+SUMPRODUCT(($G$2:$G$1001="轿车")*($D$2:$D$1001&gt;D745))+COUNTIFS($G$2:G745,"轿车",$D$2:D745,D745)-1)</f>
        <v/>
      </c>
      <c r="M745" s="62" t="str">
        <f>IF(OR(D745="",NOT(G745="MPV")),"",1+SUMPRODUCT(($G$2:$G$1001="MPV")*($D$2:$D$1001&gt;D745))+COUNTIFS($G$2:G745,"MPV",$D$2:D745,D745)-1)</f>
        <v/>
      </c>
      <c r="N745" s="62" t="str">
        <f>IF(OR(D745="",NOT(G745="SUV")),"",1+SUMPRODUCT(($G$2:$G$1001="SUV")*($D$2:$D$1001&gt;D745))+COUNTIFS($G$2:G745,"SUV",$D$2:D745,D745)-1)</f>
        <v/>
      </c>
      <c r="O745" s="62" t="str">
        <f>IF(OR(D745="",NOT(AND(F745=1,G745="轿车"))),"",1+SUMPRODUCT(($F$2:$F$1001=1)*($G$2:$G$1001="轿车")*($D$2:$D$1001&gt;D745))+COUNTIFS($F$2:F745,1,$G$2:G745,"轿车",$D$2:D745,D745)-1)</f>
        <v/>
      </c>
      <c r="P745" s="62" t="str">
        <f>IF(OR(D745="",NOT(AND(F745=1,G745="MPV"))),"",1+SUMPRODUCT(($F$2:$F$1001=1)*($G$2:$G$1001="MPV")*($D$2:$D$1001&gt;D745))+COUNTIFS($F$2:F745,1,$G$2:G745,"MPV",$D$2:D745,D745)-1)</f>
        <v/>
      </c>
      <c r="Q745" s="62" t="str">
        <f>IF(OR(D745="",NOT(AND(F745=1,G745="SUV"))),"",1+SUMPRODUCT(($F$2:$F$1001=1)*($G$2:$G$1001="SUV")*($D$2:$D$1001&gt;D745))+COUNTIFS($F$2:F745,1,$G$2:G745,"SUV",$D$2:D745,D745)-1)</f>
        <v/>
      </c>
    </row>
    <row r="746" spans="1:17">
      <c r="A746" s="62" t="str">
        <f>IFERROR(INDEX($H$2:$H$3000,MATCH(0,INDEX(COUNTIF($A$1:A745,$H$2:$H$3000)+($H$2:$H$3000=""),0,0),0)),"")</f>
        <v/>
      </c>
      <c r="B746" s="62" t="str">
        <f t="shared" si="44"/>
        <v/>
      </c>
      <c r="C746" s="62" t="str">
        <f t="shared" si="45"/>
        <v/>
      </c>
      <c r="D746" s="63" t="str">
        <f t="shared" si="46"/>
        <v/>
      </c>
      <c r="E746" s="62" t="str">
        <f>IF(D746="","",_xlfn.RANK.EQ(D746,$D$2:$D$1001,0)+COUNTIF($D$2:D746,D746)-1)</f>
        <v/>
      </c>
      <c r="F746" s="62" t="str">
        <f>IF(B746="","",--(COUNTIF(CN_Brands!$A$2:$A$300,UPPER(B746))&gt;0))</f>
        <v/>
      </c>
      <c r="G746" s="62" t="str">
        <f t="shared" si="47"/>
        <v/>
      </c>
      <c r="H746" s="62" t="str">
        <f>IF(AND('Data Export'!A746=前十整体车型排名!$B$2,'Data Export'!B746=前十整体车型排名!$B$3,'Data Export'!D746&lt;&gt;""),UPPER('Data Export'!C746)&amp;"♦"&amp;'Data Export'!D746,"")</f>
        <v>SUBARU♦OUTBACK</v>
      </c>
      <c r="I746" s="63">
        <f>IF(H746="","",IFERROR(INDEX('Data Export'!G746:CZ746,1,MATCH(前十整体车型排名!$B$4,'Data Export'!$G$1:$CZ$1,0)),0))</f>
        <v>0</v>
      </c>
      <c r="J746" s="62" t="str">
        <f>IF(H746="","",IF(OR('Data Export'!F746="三厢轿车",'Data Export'!F746="掀背轿车",'Data Export'!F746="旅行车",'Data Export'!F746="微型车",'Data Export'!F746="硬顶跑车",'Data Export'!F746="敞蓬车",'Data Export'!F746="Targa"),"轿车",IF(OR('Data Export'!F746="小型MPV",'Data Export'!F746="客车"),"MPV",IF('Data Export'!F746="运动型多功能车","SUV","其他"))))</f>
        <v>轿车</v>
      </c>
      <c r="K746" s="62" t="str">
        <f>IF(OR(D746="",NOT(F746=1)),"",1+SUMPRODUCT(($F$2:$F$1001=1)*($D$2:$D$1001&gt;D746))+COUNTIFS($F$2:F746,1,$D$2:D746,D746)-1)</f>
        <v/>
      </c>
      <c r="L746" s="62" t="str">
        <f>IF(OR(D746="",NOT(G746="轿车")),"",1+SUMPRODUCT(($G$2:$G$1001="轿车")*($D$2:$D$1001&gt;D746))+COUNTIFS($G$2:G746,"轿车",$D$2:D746,D746)-1)</f>
        <v/>
      </c>
      <c r="M746" s="62" t="str">
        <f>IF(OR(D746="",NOT(G746="MPV")),"",1+SUMPRODUCT(($G$2:$G$1001="MPV")*($D$2:$D$1001&gt;D746))+COUNTIFS($G$2:G746,"MPV",$D$2:D746,D746)-1)</f>
        <v/>
      </c>
      <c r="N746" s="62" t="str">
        <f>IF(OR(D746="",NOT(G746="SUV")),"",1+SUMPRODUCT(($G$2:$G$1001="SUV")*($D$2:$D$1001&gt;D746))+COUNTIFS($G$2:G746,"SUV",$D$2:D746,D746)-1)</f>
        <v/>
      </c>
      <c r="O746" s="62" t="str">
        <f>IF(OR(D746="",NOT(AND(F746=1,G746="轿车"))),"",1+SUMPRODUCT(($F$2:$F$1001=1)*($G$2:$G$1001="轿车")*($D$2:$D$1001&gt;D746))+COUNTIFS($F$2:F746,1,$G$2:G746,"轿车",$D$2:D746,D746)-1)</f>
        <v/>
      </c>
      <c r="P746" s="62" t="str">
        <f>IF(OR(D746="",NOT(AND(F746=1,G746="MPV"))),"",1+SUMPRODUCT(($F$2:$F$1001=1)*($G$2:$G$1001="MPV")*($D$2:$D$1001&gt;D746))+COUNTIFS($F$2:F746,1,$G$2:G746,"MPV",$D$2:D746,D746)-1)</f>
        <v/>
      </c>
      <c r="Q746" s="62" t="str">
        <f>IF(OR(D746="",NOT(AND(F746=1,G746="SUV"))),"",1+SUMPRODUCT(($F$2:$F$1001=1)*($G$2:$G$1001="SUV")*($D$2:$D$1001&gt;D746))+COUNTIFS($F$2:F746,1,$G$2:G746,"SUV",$D$2:D746,D746)-1)</f>
        <v/>
      </c>
    </row>
    <row r="747" spans="1:17">
      <c r="A747" s="62" t="str">
        <f>IFERROR(INDEX($H$2:$H$3000,MATCH(0,INDEX(COUNTIF($A$1:A746,$H$2:$H$3000)+($H$2:$H$3000=""),0,0),0)),"")</f>
        <v/>
      </c>
      <c r="B747" s="62" t="str">
        <f t="shared" si="44"/>
        <v/>
      </c>
      <c r="C747" s="62" t="str">
        <f t="shared" si="45"/>
        <v/>
      </c>
      <c r="D747" s="63" t="str">
        <f t="shared" si="46"/>
        <v/>
      </c>
      <c r="E747" s="62" t="str">
        <f>IF(D747="","",_xlfn.RANK.EQ(D747,$D$2:$D$1001,0)+COUNTIF($D$2:D747,D747)-1)</f>
        <v/>
      </c>
      <c r="F747" s="62" t="str">
        <f>IF(B747="","",--(COUNTIF(CN_Brands!$A$2:$A$300,UPPER(B747))&gt;0))</f>
        <v/>
      </c>
      <c r="G747" s="62" t="str">
        <f t="shared" si="47"/>
        <v/>
      </c>
      <c r="H747" s="62" t="str">
        <f>IF(AND('Data Export'!A747=前十整体车型排名!$B$2,'Data Export'!B747=前十整体车型排名!$B$3,'Data Export'!D747&lt;&gt;""),UPPER('Data Export'!C747)&amp;"♦"&amp;'Data Export'!D747,"")</f>
        <v>SUBARU♦WRX</v>
      </c>
      <c r="I747" s="63">
        <f>IF(H747="","",IFERROR(INDEX('Data Export'!G747:CZ747,1,MATCH(前十整体车型排名!$B$4,'Data Export'!$G$1:$CZ$1,0)),0))</f>
        <v>0</v>
      </c>
      <c r="J747" s="62" t="str">
        <f>IF(H747="","",IF(OR('Data Export'!F747="三厢轿车",'Data Export'!F747="掀背轿车",'Data Export'!F747="旅行车",'Data Export'!F747="微型车",'Data Export'!F747="硬顶跑车",'Data Export'!F747="敞蓬车",'Data Export'!F747="Targa"),"轿车",IF(OR('Data Export'!F747="小型MPV",'Data Export'!F747="客车"),"MPV",IF('Data Export'!F747="运动型多功能车","SUV","其他"))))</f>
        <v>其他</v>
      </c>
      <c r="K747" s="62" t="str">
        <f>IF(OR(D747="",NOT(F747=1)),"",1+SUMPRODUCT(($F$2:$F$1001=1)*($D$2:$D$1001&gt;D747))+COUNTIFS($F$2:F747,1,$D$2:D747,D747)-1)</f>
        <v/>
      </c>
      <c r="L747" s="62" t="str">
        <f>IF(OR(D747="",NOT(G747="轿车")),"",1+SUMPRODUCT(($G$2:$G$1001="轿车")*($D$2:$D$1001&gt;D747))+COUNTIFS($G$2:G747,"轿车",$D$2:D747,D747)-1)</f>
        <v/>
      </c>
      <c r="M747" s="62" t="str">
        <f>IF(OR(D747="",NOT(G747="MPV")),"",1+SUMPRODUCT(($G$2:$G$1001="MPV")*($D$2:$D$1001&gt;D747))+COUNTIFS($G$2:G747,"MPV",$D$2:D747,D747)-1)</f>
        <v/>
      </c>
      <c r="N747" s="62" t="str">
        <f>IF(OR(D747="",NOT(G747="SUV")),"",1+SUMPRODUCT(($G$2:$G$1001="SUV")*($D$2:$D$1001&gt;D747))+COUNTIFS($G$2:G747,"SUV",$D$2:D747,D747)-1)</f>
        <v/>
      </c>
      <c r="O747" s="62" t="str">
        <f>IF(OR(D747="",NOT(AND(F747=1,G747="轿车"))),"",1+SUMPRODUCT(($F$2:$F$1001=1)*($G$2:$G$1001="轿车")*($D$2:$D$1001&gt;D747))+COUNTIFS($F$2:F747,1,$G$2:G747,"轿车",$D$2:D747,D747)-1)</f>
        <v/>
      </c>
      <c r="P747" s="62" t="str">
        <f>IF(OR(D747="",NOT(AND(F747=1,G747="MPV"))),"",1+SUMPRODUCT(($F$2:$F$1001=1)*($G$2:$G$1001="MPV")*($D$2:$D$1001&gt;D747))+COUNTIFS($F$2:F747,1,$G$2:G747,"MPV",$D$2:D747,D747)-1)</f>
        <v/>
      </c>
      <c r="Q747" s="62" t="str">
        <f>IF(OR(D747="",NOT(AND(F747=1,G747="SUV"))),"",1+SUMPRODUCT(($F$2:$F$1001=1)*($G$2:$G$1001="SUV")*($D$2:$D$1001&gt;D747))+COUNTIFS($F$2:F747,1,$G$2:G747,"SUV",$D$2:D747,D747)-1)</f>
        <v/>
      </c>
    </row>
    <row r="748" spans="1:17">
      <c r="A748" s="62" t="str">
        <f>IFERROR(INDEX($H$2:$H$3000,MATCH(0,INDEX(COUNTIF($A$1:A747,$H$2:$H$3000)+($H$2:$H$3000=""),0,0),0)),"")</f>
        <v/>
      </c>
      <c r="B748" s="62" t="str">
        <f t="shared" si="44"/>
        <v/>
      </c>
      <c r="C748" s="62" t="str">
        <f t="shared" si="45"/>
        <v/>
      </c>
      <c r="D748" s="63" t="str">
        <f t="shared" si="46"/>
        <v/>
      </c>
      <c r="E748" s="62" t="str">
        <f>IF(D748="","",_xlfn.RANK.EQ(D748,$D$2:$D$1001,0)+COUNTIF($D$2:D748,D748)-1)</f>
        <v/>
      </c>
      <c r="F748" s="62" t="str">
        <f>IF(B748="","",--(COUNTIF(CN_Brands!$A$2:$A$300,UPPER(B748))&gt;0))</f>
        <v/>
      </c>
      <c r="G748" s="62" t="str">
        <f t="shared" si="47"/>
        <v/>
      </c>
      <c r="H748" s="62" t="str">
        <f>IF(AND('Data Export'!A748=前十整体车型排名!$B$2,'Data Export'!B748=前十整体车型排名!$B$3,'Data Export'!D748&lt;&gt;""),UPPER('Data Export'!C748)&amp;"♦"&amp;'Data Export'!D748,"")</f>
        <v>SUBARU♦WRX</v>
      </c>
      <c r="I748" s="63">
        <f>IF(H748="","",IFERROR(INDEX('Data Export'!G748:CZ748,1,MATCH(前十整体车型排名!$B$4,'Data Export'!$G$1:$CZ$1,0)),0))</f>
        <v>1</v>
      </c>
      <c r="J748" s="62" t="str">
        <f>IF(H748="","",IF(OR('Data Export'!F748="三厢轿车",'Data Export'!F748="掀背轿车",'Data Export'!F748="旅行车",'Data Export'!F748="微型车",'Data Export'!F748="硬顶跑车",'Data Export'!F748="敞蓬车",'Data Export'!F748="Targa"),"轿车",IF(OR('Data Export'!F748="小型MPV",'Data Export'!F748="客车"),"MPV",IF('Data Export'!F748="运动型多功能车","SUV","其他"))))</f>
        <v>其他</v>
      </c>
      <c r="K748" s="62" t="str">
        <f>IF(OR(D748="",NOT(F748=1)),"",1+SUMPRODUCT(($F$2:$F$1001=1)*($D$2:$D$1001&gt;D748))+COUNTIFS($F$2:F748,1,$D$2:D748,D748)-1)</f>
        <v/>
      </c>
      <c r="L748" s="62" t="str">
        <f>IF(OR(D748="",NOT(G748="轿车")),"",1+SUMPRODUCT(($G$2:$G$1001="轿车")*($D$2:$D$1001&gt;D748))+COUNTIFS($G$2:G748,"轿车",$D$2:D748,D748)-1)</f>
        <v/>
      </c>
      <c r="M748" s="62" t="str">
        <f>IF(OR(D748="",NOT(G748="MPV")),"",1+SUMPRODUCT(($G$2:$G$1001="MPV")*($D$2:$D$1001&gt;D748))+COUNTIFS($G$2:G748,"MPV",$D$2:D748,D748)-1)</f>
        <v/>
      </c>
      <c r="N748" s="62" t="str">
        <f>IF(OR(D748="",NOT(G748="SUV")),"",1+SUMPRODUCT(($G$2:$G$1001="SUV")*($D$2:$D$1001&gt;D748))+COUNTIFS($G$2:G748,"SUV",$D$2:D748,D748)-1)</f>
        <v/>
      </c>
      <c r="O748" s="62" t="str">
        <f>IF(OR(D748="",NOT(AND(F748=1,G748="轿车"))),"",1+SUMPRODUCT(($F$2:$F$1001=1)*($G$2:$G$1001="轿车")*($D$2:$D$1001&gt;D748))+COUNTIFS($F$2:F748,1,$G$2:G748,"轿车",$D$2:D748,D748)-1)</f>
        <v/>
      </c>
      <c r="P748" s="62" t="str">
        <f>IF(OR(D748="",NOT(AND(F748=1,G748="MPV"))),"",1+SUMPRODUCT(($F$2:$F$1001=1)*($G$2:$G$1001="MPV")*($D$2:$D$1001&gt;D748))+COUNTIFS($F$2:F748,1,$G$2:G748,"MPV",$D$2:D748,D748)-1)</f>
        <v/>
      </c>
      <c r="Q748" s="62" t="str">
        <f>IF(OR(D748="",NOT(AND(F748=1,G748="SUV"))),"",1+SUMPRODUCT(($F$2:$F$1001=1)*($G$2:$G$1001="SUV")*($D$2:$D$1001&gt;D748))+COUNTIFS($F$2:F748,1,$G$2:G748,"SUV",$D$2:D748,D748)-1)</f>
        <v/>
      </c>
    </row>
    <row r="749" spans="1:17">
      <c r="A749" s="62" t="str">
        <f>IFERROR(INDEX($H$2:$H$3000,MATCH(0,INDEX(COUNTIF($A$1:A748,$H$2:$H$3000)+($H$2:$H$3000=""),0,0),0)),"")</f>
        <v/>
      </c>
      <c r="B749" s="62" t="str">
        <f t="shared" si="44"/>
        <v/>
      </c>
      <c r="C749" s="62" t="str">
        <f t="shared" si="45"/>
        <v/>
      </c>
      <c r="D749" s="63" t="str">
        <f t="shared" si="46"/>
        <v/>
      </c>
      <c r="E749" s="62" t="str">
        <f>IF(D749="","",_xlfn.RANK.EQ(D749,$D$2:$D$1001,0)+COUNTIF($D$2:D749,D749)-1)</f>
        <v/>
      </c>
      <c r="F749" s="62" t="str">
        <f>IF(B749="","",--(COUNTIF(CN_Brands!$A$2:$A$300,UPPER(B749))&gt;0))</f>
        <v/>
      </c>
      <c r="G749" s="62" t="str">
        <f t="shared" si="47"/>
        <v/>
      </c>
      <c r="H749" s="62" t="str">
        <f>IF(AND('Data Export'!A749=前十整体车型排名!$B$2,'Data Export'!B749=前十整体车型排名!$B$3,'Data Export'!D749&lt;&gt;""),UPPER('Data Export'!C749)&amp;"♦"&amp;'Data Export'!D749,"")</f>
        <v>SUBARU♦WRX</v>
      </c>
      <c r="I749" s="63">
        <f>IF(H749="","",IFERROR(INDEX('Data Export'!G749:CZ749,1,MATCH(前十整体车型排名!$B$4,'Data Export'!$G$1:$CZ$1,0)),0))</f>
        <v>0</v>
      </c>
      <c r="J749" s="62" t="str">
        <f>IF(H749="","",IF(OR('Data Export'!F749="三厢轿车",'Data Export'!F749="掀背轿车",'Data Export'!F749="旅行车",'Data Export'!F749="微型车",'Data Export'!F749="硬顶跑车",'Data Export'!F749="敞蓬车",'Data Export'!F749="Targa"),"轿车",IF(OR('Data Export'!F749="小型MPV",'Data Export'!F749="客车"),"MPV",IF('Data Export'!F749="运动型多功能车","SUV","其他"))))</f>
        <v>轿车</v>
      </c>
      <c r="K749" s="62" t="str">
        <f>IF(OR(D749="",NOT(F749=1)),"",1+SUMPRODUCT(($F$2:$F$1001=1)*($D$2:$D$1001&gt;D749))+COUNTIFS($F$2:F749,1,$D$2:D749,D749)-1)</f>
        <v/>
      </c>
      <c r="L749" s="62" t="str">
        <f>IF(OR(D749="",NOT(G749="轿车")),"",1+SUMPRODUCT(($G$2:$G$1001="轿车")*($D$2:$D$1001&gt;D749))+COUNTIFS($G$2:G749,"轿车",$D$2:D749,D749)-1)</f>
        <v/>
      </c>
      <c r="M749" s="62" t="str">
        <f>IF(OR(D749="",NOT(G749="MPV")),"",1+SUMPRODUCT(($G$2:$G$1001="MPV")*($D$2:$D$1001&gt;D749))+COUNTIFS($G$2:G749,"MPV",$D$2:D749,D749)-1)</f>
        <v/>
      </c>
      <c r="N749" s="62" t="str">
        <f>IF(OR(D749="",NOT(G749="SUV")),"",1+SUMPRODUCT(($G$2:$G$1001="SUV")*($D$2:$D$1001&gt;D749))+COUNTIFS($G$2:G749,"SUV",$D$2:D749,D749)-1)</f>
        <v/>
      </c>
      <c r="O749" s="62" t="str">
        <f>IF(OR(D749="",NOT(AND(F749=1,G749="轿车"))),"",1+SUMPRODUCT(($F$2:$F$1001=1)*($G$2:$G$1001="轿车")*($D$2:$D$1001&gt;D749))+COUNTIFS($F$2:F749,1,$G$2:G749,"轿车",$D$2:D749,D749)-1)</f>
        <v/>
      </c>
      <c r="P749" s="62" t="str">
        <f>IF(OR(D749="",NOT(AND(F749=1,G749="MPV"))),"",1+SUMPRODUCT(($F$2:$F$1001=1)*($G$2:$G$1001="MPV")*($D$2:$D$1001&gt;D749))+COUNTIFS($F$2:F749,1,$G$2:G749,"MPV",$D$2:D749,D749)-1)</f>
        <v/>
      </c>
      <c r="Q749" s="62" t="str">
        <f>IF(OR(D749="",NOT(AND(F749=1,G749="SUV"))),"",1+SUMPRODUCT(($F$2:$F$1001=1)*($G$2:$G$1001="SUV")*($D$2:$D$1001&gt;D749))+COUNTIFS($F$2:F749,1,$G$2:G749,"SUV",$D$2:D749,D749)-1)</f>
        <v/>
      </c>
    </row>
    <row r="750" spans="1:17">
      <c r="A750" s="62" t="str">
        <f>IFERROR(INDEX($H$2:$H$3000,MATCH(0,INDEX(COUNTIF($A$1:A749,$H$2:$H$3000)+($H$2:$H$3000=""),0,0),0)),"")</f>
        <v/>
      </c>
      <c r="B750" s="62" t="str">
        <f t="shared" si="44"/>
        <v/>
      </c>
      <c r="C750" s="62" t="str">
        <f t="shared" si="45"/>
        <v/>
      </c>
      <c r="D750" s="63" t="str">
        <f t="shared" si="46"/>
        <v/>
      </c>
      <c r="E750" s="62" t="str">
        <f>IF(D750="","",_xlfn.RANK.EQ(D750,$D$2:$D$1001,0)+COUNTIF($D$2:D750,D750)-1)</f>
        <v/>
      </c>
      <c r="F750" s="62" t="str">
        <f>IF(B750="","",--(COUNTIF(CN_Brands!$A$2:$A$300,UPPER(B750))&gt;0))</f>
        <v/>
      </c>
      <c r="G750" s="62" t="str">
        <f t="shared" si="47"/>
        <v/>
      </c>
      <c r="H750" s="62" t="str">
        <f>IF(AND('Data Export'!A750=前十整体车型排名!$B$2,'Data Export'!B750=前十整体车型排名!$B$3,'Data Export'!D750&lt;&gt;""),UPPER('Data Export'!C750)&amp;"♦"&amp;'Data Export'!D750,"")</f>
        <v>SUBARU♦WRX</v>
      </c>
      <c r="I750" s="63">
        <f>IF(H750="","",IFERROR(INDEX('Data Export'!G750:CZ750,1,MATCH(前十整体车型排名!$B$4,'Data Export'!$G$1:$CZ$1,0)),0))</f>
        <v>0</v>
      </c>
      <c r="J750" s="62" t="str">
        <f>IF(H750="","",IF(OR('Data Export'!F750="三厢轿车",'Data Export'!F750="掀背轿车",'Data Export'!F750="旅行车",'Data Export'!F750="微型车",'Data Export'!F750="硬顶跑车",'Data Export'!F750="敞蓬车",'Data Export'!F750="Targa"),"轿车",IF(OR('Data Export'!F750="小型MPV",'Data Export'!F750="客车"),"MPV",IF('Data Export'!F750="运动型多功能车","SUV","其他"))))</f>
        <v>轿车</v>
      </c>
      <c r="K750" s="62" t="str">
        <f>IF(OR(D750="",NOT(F750=1)),"",1+SUMPRODUCT(($F$2:$F$1001=1)*($D$2:$D$1001&gt;D750))+COUNTIFS($F$2:F750,1,$D$2:D750,D750)-1)</f>
        <v/>
      </c>
      <c r="L750" s="62" t="str">
        <f>IF(OR(D750="",NOT(G750="轿车")),"",1+SUMPRODUCT(($G$2:$G$1001="轿车")*($D$2:$D$1001&gt;D750))+COUNTIFS($G$2:G750,"轿车",$D$2:D750,D750)-1)</f>
        <v/>
      </c>
      <c r="M750" s="62" t="str">
        <f>IF(OR(D750="",NOT(G750="MPV")),"",1+SUMPRODUCT(($G$2:$G$1001="MPV")*($D$2:$D$1001&gt;D750))+COUNTIFS($G$2:G750,"MPV",$D$2:D750,D750)-1)</f>
        <v/>
      </c>
      <c r="N750" s="62" t="str">
        <f>IF(OR(D750="",NOT(G750="SUV")),"",1+SUMPRODUCT(($G$2:$G$1001="SUV")*($D$2:$D$1001&gt;D750))+COUNTIFS($G$2:G750,"SUV",$D$2:D750,D750)-1)</f>
        <v/>
      </c>
      <c r="O750" s="62" t="str">
        <f>IF(OR(D750="",NOT(AND(F750=1,G750="轿车"))),"",1+SUMPRODUCT(($F$2:$F$1001=1)*($G$2:$G$1001="轿车")*($D$2:$D$1001&gt;D750))+COUNTIFS($F$2:F750,1,$G$2:G750,"轿车",$D$2:D750,D750)-1)</f>
        <v/>
      </c>
      <c r="P750" s="62" t="str">
        <f>IF(OR(D750="",NOT(AND(F750=1,G750="MPV"))),"",1+SUMPRODUCT(($F$2:$F$1001=1)*($G$2:$G$1001="MPV")*($D$2:$D$1001&gt;D750))+COUNTIFS($F$2:F750,1,$G$2:G750,"MPV",$D$2:D750,D750)-1)</f>
        <v/>
      </c>
      <c r="Q750" s="62" t="str">
        <f>IF(OR(D750="",NOT(AND(F750=1,G750="SUV"))),"",1+SUMPRODUCT(($F$2:$F$1001=1)*($G$2:$G$1001="SUV")*($D$2:$D$1001&gt;D750))+COUNTIFS($F$2:F750,1,$G$2:G750,"SUV",$D$2:D750,D750)-1)</f>
        <v/>
      </c>
    </row>
    <row r="751" spans="1:17">
      <c r="A751" s="62" t="str">
        <f>IFERROR(INDEX($H$2:$H$3000,MATCH(0,INDEX(COUNTIF($A$1:A750,$H$2:$H$3000)+($H$2:$H$3000=""),0,0),0)),"")</f>
        <v/>
      </c>
      <c r="B751" s="62" t="str">
        <f t="shared" si="44"/>
        <v/>
      </c>
      <c r="C751" s="62" t="str">
        <f t="shared" si="45"/>
        <v/>
      </c>
      <c r="D751" s="63" t="str">
        <f t="shared" si="46"/>
        <v/>
      </c>
      <c r="E751" s="62" t="str">
        <f>IF(D751="","",_xlfn.RANK.EQ(D751,$D$2:$D$1001,0)+COUNTIF($D$2:D751,D751)-1)</f>
        <v/>
      </c>
      <c r="F751" s="62" t="str">
        <f>IF(B751="","",--(COUNTIF(CN_Brands!$A$2:$A$300,UPPER(B751))&gt;0))</f>
        <v/>
      </c>
      <c r="G751" s="62" t="str">
        <f t="shared" si="47"/>
        <v/>
      </c>
      <c r="H751" s="62" t="str">
        <f>IF(AND('Data Export'!A751=前十整体车型排名!$B$2,'Data Export'!B751=前十整体车型排名!$B$3,'Data Export'!D751&lt;&gt;""),UPPER('Data Export'!C751)&amp;"♦"&amp;'Data Export'!D751,"")</f>
        <v>SUBARU♦XV</v>
      </c>
      <c r="I751" s="63">
        <f>IF(H751="","",IFERROR(INDEX('Data Export'!G751:CZ751,1,MATCH(前十整体车型排名!$B$4,'Data Export'!$G$1:$CZ$1,0)),0))</f>
        <v>0</v>
      </c>
      <c r="J751" s="62" t="str">
        <f>IF(H751="","",IF(OR('Data Export'!F751="三厢轿车",'Data Export'!F751="掀背轿车",'Data Export'!F751="旅行车",'Data Export'!F751="微型车",'Data Export'!F751="硬顶跑车",'Data Export'!F751="敞蓬车",'Data Export'!F751="Targa"),"轿车",IF(OR('Data Export'!F751="小型MPV",'Data Export'!F751="客车"),"MPV",IF('Data Export'!F751="运动型多功能车","SUV","其他"))))</f>
        <v>SUV</v>
      </c>
      <c r="K751" s="62" t="str">
        <f>IF(OR(D751="",NOT(F751=1)),"",1+SUMPRODUCT(($F$2:$F$1001=1)*($D$2:$D$1001&gt;D751))+COUNTIFS($F$2:F751,1,$D$2:D751,D751)-1)</f>
        <v/>
      </c>
      <c r="L751" s="62" t="str">
        <f>IF(OR(D751="",NOT(G751="轿车")),"",1+SUMPRODUCT(($G$2:$G$1001="轿车")*($D$2:$D$1001&gt;D751))+COUNTIFS($G$2:G751,"轿车",$D$2:D751,D751)-1)</f>
        <v/>
      </c>
      <c r="M751" s="62" t="str">
        <f>IF(OR(D751="",NOT(G751="MPV")),"",1+SUMPRODUCT(($G$2:$G$1001="MPV")*($D$2:$D$1001&gt;D751))+COUNTIFS($G$2:G751,"MPV",$D$2:D751,D751)-1)</f>
        <v/>
      </c>
      <c r="N751" s="62" t="str">
        <f>IF(OR(D751="",NOT(G751="SUV")),"",1+SUMPRODUCT(($G$2:$G$1001="SUV")*($D$2:$D$1001&gt;D751))+COUNTIFS($G$2:G751,"SUV",$D$2:D751,D751)-1)</f>
        <v/>
      </c>
      <c r="O751" s="62" t="str">
        <f>IF(OR(D751="",NOT(AND(F751=1,G751="轿车"))),"",1+SUMPRODUCT(($F$2:$F$1001=1)*($G$2:$G$1001="轿车")*($D$2:$D$1001&gt;D751))+COUNTIFS($F$2:F751,1,$G$2:G751,"轿车",$D$2:D751,D751)-1)</f>
        <v/>
      </c>
      <c r="P751" s="62" t="str">
        <f>IF(OR(D751="",NOT(AND(F751=1,G751="MPV"))),"",1+SUMPRODUCT(($F$2:$F$1001=1)*($G$2:$G$1001="MPV")*($D$2:$D$1001&gt;D751))+COUNTIFS($F$2:F751,1,$G$2:G751,"MPV",$D$2:D751,D751)-1)</f>
        <v/>
      </c>
      <c r="Q751" s="62" t="str">
        <f>IF(OR(D751="",NOT(AND(F751=1,G751="SUV"))),"",1+SUMPRODUCT(($F$2:$F$1001=1)*($G$2:$G$1001="SUV")*($D$2:$D$1001&gt;D751))+COUNTIFS($F$2:F751,1,$G$2:G751,"SUV",$D$2:D751,D751)-1)</f>
        <v/>
      </c>
    </row>
    <row r="752" spans="1:17">
      <c r="A752" s="62" t="str">
        <f>IFERROR(INDEX($H$2:$H$3000,MATCH(0,INDEX(COUNTIF($A$1:A751,$H$2:$H$3000)+($H$2:$H$3000=""),0,0),0)),"")</f>
        <v/>
      </c>
      <c r="B752" s="62" t="str">
        <f t="shared" si="44"/>
        <v/>
      </c>
      <c r="C752" s="62" t="str">
        <f t="shared" si="45"/>
        <v/>
      </c>
      <c r="D752" s="63" t="str">
        <f t="shared" si="46"/>
        <v/>
      </c>
      <c r="E752" s="62" t="str">
        <f>IF(D752="","",_xlfn.RANK.EQ(D752,$D$2:$D$1001,0)+COUNTIF($D$2:D752,D752)-1)</f>
        <v/>
      </c>
      <c r="F752" s="62" t="str">
        <f>IF(B752="","",--(COUNTIF(CN_Brands!$A$2:$A$300,UPPER(B752))&gt;0))</f>
        <v/>
      </c>
      <c r="G752" s="62" t="str">
        <f t="shared" si="47"/>
        <v/>
      </c>
      <c r="H752" s="62" t="str">
        <f>IF(AND('Data Export'!A752=前十整体车型排名!$B$2,'Data Export'!B752=前十整体车型排名!$B$3,'Data Export'!D752&lt;&gt;""),UPPER('Data Export'!C752)&amp;"♦"&amp;'Data Export'!D752,"")</f>
        <v>SUBARU♦XV</v>
      </c>
      <c r="I752" s="63">
        <f>IF(H752="","",IFERROR(INDEX('Data Export'!G752:CZ752,1,MATCH(前十整体车型排名!$B$4,'Data Export'!$G$1:$CZ$1,0)),0))</f>
        <v>0</v>
      </c>
      <c r="J752" s="62" t="str">
        <f>IF(H752="","",IF(OR('Data Export'!F752="三厢轿车",'Data Export'!F752="掀背轿车",'Data Export'!F752="旅行车",'Data Export'!F752="微型车",'Data Export'!F752="硬顶跑车",'Data Export'!F752="敞蓬车",'Data Export'!F752="Targa"),"轿车",IF(OR('Data Export'!F752="小型MPV",'Data Export'!F752="客车"),"MPV",IF('Data Export'!F752="运动型多功能车","SUV","其他"))))</f>
        <v>SUV</v>
      </c>
      <c r="K752" s="62" t="str">
        <f>IF(OR(D752="",NOT(F752=1)),"",1+SUMPRODUCT(($F$2:$F$1001=1)*($D$2:$D$1001&gt;D752))+COUNTIFS($F$2:F752,1,$D$2:D752,D752)-1)</f>
        <v/>
      </c>
      <c r="L752" s="62" t="str">
        <f>IF(OR(D752="",NOT(G752="轿车")),"",1+SUMPRODUCT(($G$2:$G$1001="轿车")*($D$2:$D$1001&gt;D752))+COUNTIFS($G$2:G752,"轿车",$D$2:D752,D752)-1)</f>
        <v/>
      </c>
      <c r="M752" s="62" t="str">
        <f>IF(OR(D752="",NOT(G752="MPV")),"",1+SUMPRODUCT(($G$2:$G$1001="MPV")*($D$2:$D$1001&gt;D752))+COUNTIFS($G$2:G752,"MPV",$D$2:D752,D752)-1)</f>
        <v/>
      </c>
      <c r="N752" s="62" t="str">
        <f>IF(OR(D752="",NOT(G752="SUV")),"",1+SUMPRODUCT(($G$2:$G$1001="SUV")*($D$2:$D$1001&gt;D752))+COUNTIFS($G$2:G752,"SUV",$D$2:D752,D752)-1)</f>
        <v/>
      </c>
      <c r="O752" s="62" t="str">
        <f>IF(OR(D752="",NOT(AND(F752=1,G752="轿车"))),"",1+SUMPRODUCT(($F$2:$F$1001=1)*($G$2:$G$1001="轿车")*($D$2:$D$1001&gt;D752))+COUNTIFS($F$2:F752,1,$G$2:G752,"轿车",$D$2:D752,D752)-1)</f>
        <v/>
      </c>
      <c r="P752" s="62" t="str">
        <f>IF(OR(D752="",NOT(AND(F752=1,G752="MPV"))),"",1+SUMPRODUCT(($F$2:$F$1001=1)*($G$2:$G$1001="MPV")*($D$2:$D$1001&gt;D752))+COUNTIFS($F$2:F752,1,$G$2:G752,"MPV",$D$2:D752,D752)-1)</f>
        <v/>
      </c>
      <c r="Q752" s="62" t="str">
        <f>IF(OR(D752="",NOT(AND(F752=1,G752="SUV"))),"",1+SUMPRODUCT(($F$2:$F$1001=1)*($G$2:$G$1001="SUV")*($D$2:$D$1001&gt;D752))+COUNTIFS($F$2:F752,1,$G$2:G752,"SUV",$D$2:D752,D752)-1)</f>
        <v/>
      </c>
    </row>
    <row r="753" spans="1:17">
      <c r="A753" s="62" t="str">
        <f>IFERROR(INDEX($H$2:$H$3000,MATCH(0,INDEX(COUNTIF($A$1:A752,$H$2:$H$3000)+($H$2:$H$3000=""),0,0),0)),"")</f>
        <v/>
      </c>
      <c r="B753" s="62" t="str">
        <f t="shared" si="44"/>
        <v/>
      </c>
      <c r="C753" s="62" t="str">
        <f t="shared" si="45"/>
        <v/>
      </c>
      <c r="D753" s="63" t="str">
        <f t="shared" si="46"/>
        <v/>
      </c>
      <c r="E753" s="62" t="str">
        <f>IF(D753="","",_xlfn.RANK.EQ(D753,$D$2:$D$1001,0)+COUNTIF($D$2:D753,D753)-1)</f>
        <v/>
      </c>
      <c r="F753" s="62" t="str">
        <f>IF(B753="","",--(COUNTIF(CN_Brands!$A$2:$A$300,UPPER(B753))&gt;0))</f>
        <v/>
      </c>
      <c r="G753" s="62" t="str">
        <f t="shared" si="47"/>
        <v/>
      </c>
      <c r="H753" s="62" t="str">
        <f>IF(AND('Data Export'!A753=前十整体车型排名!$B$2,'Data Export'!B753=前十整体车型排名!$B$3,'Data Export'!D753&lt;&gt;""),UPPER('Data Export'!C753)&amp;"♦"&amp;'Data Export'!D753,"")</f>
        <v>SUZUKI♦CELERIO</v>
      </c>
      <c r="I753" s="63">
        <f>IF(H753="","",IFERROR(INDEX('Data Export'!G753:CZ753,1,MATCH(前十整体车型排名!$B$4,'Data Export'!$G$1:$CZ$1,0)),0))</f>
        <v>0</v>
      </c>
      <c r="J753" s="62" t="str">
        <f>IF(H753="","",IF(OR('Data Export'!F753="三厢轿车",'Data Export'!F753="掀背轿车",'Data Export'!F753="旅行车",'Data Export'!F753="微型车",'Data Export'!F753="硬顶跑车",'Data Export'!F753="敞蓬车",'Data Export'!F753="Targa"),"轿车",IF(OR('Data Export'!F753="小型MPV",'Data Export'!F753="客车"),"MPV",IF('Data Export'!F753="运动型多功能车","SUV","其他"))))</f>
        <v>轿车</v>
      </c>
      <c r="K753" s="62" t="str">
        <f>IF(OR(D753="",NOT(F753=1)),"",1+SUMPRODUCT(($F$2:$F$1001=1)*($D$2:$D$1001&gt;D753))+COUNTIFS($F$2:F753,1,$D$2:D753,D753)-1)</f>
        <v/>
      </c>
      <c r="L753" s="62" t="str">
        <f>IF(OR(D753="",NOT(G753="轿车")),"",1+SUMPRODUCT(($G$2:$G$1001="轿车")*($D$2:$D$1001&gt;D753))+COUNTIFS($G$2:G753,"轿车",$D$2:D753,D753)-1)</f>
        <v/>
      </c>
      <c r="M753" s="62" t="str">
        <f>IF(OR(D753="",NOT(G753="MPV")),"",1+SUMPRODUCT(($G$2:$G$1001="MPV")*($D$2:$D$1001&gt;D753))+COUNTIFS($G$2:G753,"MPV",$D$2:D753,D753)-1)</f>
        <v/>
      </c>
      <c r="N753" s="62" t="str">
        <f>IF(OR(D753="",NOT(G753="SUV")),"",1+SUMPRODUCT(($G$2:$G$1001="SUV")*($D$2:$D$1001&gt;D753))+COUNTIFS($G$2:G753,"SUV",$D$2:D753,D753)-1)</f>
        <v/>
      </c>
      <c r="O753" s="62" t="str">
        <f>IF(OR(D753="",NOT(AND(F753=1,G753="轿车"))),"",1+SUMPRODUCT(($F$2:$F$1001=1)*($G$2:$G$1001="轿车")*($D$2:$D$1001&gt;D753))+COUNTIFS($F$2:F753,1,$G$2:G753,"轿车",$D$2:D753,D753)-1)</f>
        <v/>
      </c>
      <c r="P753" s="62" t="str">
        <f>IF(OR(D753="",NOT(AND(F753=1,G753="MPV"))),"",1+SUMPRODUCT(($F$2:$F$1001=1)*($G$2:$G$1001="MPV")*($D$2:$D$1001&gt;D753))+COUNTIFS($F$2:F753,1,$G$2:G753,"MPV",$D$2:D753,D753)-1)</f>
        <v/>
      </c>
      <c r="Q753" s="62" t="str">
        <f>IF(OR(D753="",NOT(AND(F753=1,G753="SUV"))),"",1+SUMPRODUCT(($F$2:$F$1001=1)*($G$2:$G$1001="SUV")*($D$2:$D$1001&gt;D753))+COUNTIFS($F$2:F753,1,$G$2:G753,"SUV",$D$2:D753,D753)-1)</f>
        <v/>
      </c>
    </row>
    <row r="754" spans="1:17">
      <c r="A754" s="62" t="str">
        <f>IFERROR(INDEX($H$2:$H$3000,MATCH(0,INDEX(COUNTIF($A$1:A753,$H$2:$H$3000)+($H$2:$H$3000=""),0,0),0)),"")</f>
        <v/>
      </c>
      <c r="B754" s="62" t="str">
        <f t="shared" si="44"/>
        <v/>
      </c>
      <c r="C754" s="62" t="str">
        <f t="shared" si="45"/>
        <v/>
      </c>
      <c r="D754" s="63" t="str">
        <f t="shared" si="46"/>
        <v/>
      </c>
      <c r="E754" s="62" t="str">
        <f>IF(D754="","",_xlfn.RANK.EQ(D754,$D$2:$D$1001,0)+COUNTIF($D$2:D754,D754)-1)</f>
        <v/>
      </c>
      <c r="F754" s="62" t="str">
        <f>IF(B754="","",--(COUNTIF(CN_Brands!$A$2:$A$300,UPPER(B754))&gt;0))</f>
        <v/>
      </c>
      <c r="G754" s="62" t="str">
        <f t="shared" si="47"/>
        <v/>
      </c>
      <c r="H754" s="62" t="str">
        <f>IF(AND('Data Export'!A754=前十整体车型排名!$B$2,'Data Export'!B754=前十整体车型排名!$B$3,'Data Export'!D754&lt;&gt;""),UPPER('Data Export'!C754)&amp;"♦"&amp;'Data Export'!D754,"")</f>
        <v>SUZUKI♦CELERIO</v>
      </c>
      <c r="I754" s="63">
        <f>IF(H754="","",IFERROR(INDEX('Data Export'!G754:CZ754,1,MATCH(前十整体车型排名!$B$4,'Data Export'!$G$1:$CZ$1,0)),0))</f>
        <v>2</v>
      </c>
      <c r="J754" s="62" t="str">
        <f>IF(H754="","",IF(OR('Data Export'!F754="三厢轿车",'Data Export'!F754="掀背轿车",'Data Export'!F754="旅行车",'Data Export'!F754="微型车",'Data Export'!F754="硬顶跑车",'Data Export'!F754="敞蓬车",'Data Export'!F754="Targa"),"轿车",IF(OR('Data Export'!F754="小型MPV",'Data Export'!F754="客车"),"MPV",IF('Data Export'!F754="运动型多功能车","SUV","其他"))))</f>
        <v>轿车</v>
      </c>
      <c r="K754" s="62" t="str">
        <f>IF(OR(D754="",NOT(F754=1)),"",1+SUMPRODUCT(($F$2:$F$1001=1)*($D$2:$D$1001&gt;D754))+COUNTIFS($F$2:F754,1,$D$2:D754,D754)-1)</f>
        <v/>
      </c>
      <c r="L754" s="62" t="str">
        <f>IF(OR(D754="",NOT(G754="轿车")),"",1+SUMPRODUCT(($G$2:$G$1001="轿车")*($D$2:$D$1001&gt;D754))+COUNTIFS($G$2:G754,"轿车",$D$2:D754,D754)-1)</f>
        <v/>
      </c>
      <c r="M754" s="62" t="str">
        <f>IF(OR(D754="",NOT(G754="MPV")),"",1+SUMPRODUCT(($G$2:$G$1001="MPV")*($D$2:$D$1001&gt;D754))+COUNTIFS($G$2:G754,"MPV",$D$2:D754,D754)-1)</f>
        <v/>
      </c>
      <c r="N754" s="62" t="str">
        <f>IF(OR(D754="",NOT(G754="SUV")),"",1+SUMPRODUCT(($G$2:$G$1001="SUV")*($D$2:$D$1001&gt;D754))+COUNTIFS($G$2:G754,"SUV",$D$2:D754,D754)-1)</f>
        <v/>
      </c>
      <c r="O754" s="62" t="str">
        <f>IF(OR(D754="",NOT(AND(F754=1,G754="轿车"))),"",1+SUMPRODUCT(($F$2:$F$1001=1)*($G$2:$G$1001="轿车")*($D$2:$D$1001&gt;D754))+COUNTIFS($F$2:F754,1,$G$2:G754,"轿车",$D$2:D754,D754)-1)</f>
        <v/>
      </c>
      <c r="P754" s="62" t="str">
        <f>IF(OR(D754="",NOT(AND(F754=1,G754="MPV"))),"",1+SUMPRODUCT(($F$2:$F$1001=1)*($G$2:$G$1001="MPV")*($D$2:$D$1001&gt;D754))+COUNTIFS($F$2:F754,1,$G$2:G754,"MPV",$D$2:D754,D754)-1)</f>
        <v/>
      </c>
      <c r="Q754" s="62" t="str">
        <f>IF(OR(D754="",NOT(AND(F754=1,G754="SUV"))),"",1+SUMPRODUCT(($F$2:$F$1001=1)*($G$2:$G$1001="SUV")*($D$2:$D$1001&gt;D754))+COUNTIFS($F$2:F754,1,$G$2:G754,"SUV",$D$2:D754,D754)-1)</f>
        <v/>
      </c>
    </row>
    <row r="755" spans="1:17">
      <c r="A755" s="62" t="str">
        <f>IFERROR(INDEX($H$2:$H$3000,MATCH(0,INDEX(COUNTIF($A$1:A754,$H$2:$H$3000)+($H$2:$H$3000=""),0,0),0)),"")</f>
        <v/>
      </c>
      <c r="B755" s="62" t="str">
        <f t="shared" si="44"/>
        <v/>
      </c>
      <c r="C755" s="62" t="str">
        <f t="shared" si="45"/>
        <v/>
      </c>
      <c r="D755" s="63" t="str">
        <f t="shared" si="46"/>
        <v/>
      </c>
      <c r="E755" s="62" t="str">
        <f>IF(D755="","",_xlfn.RANK.EQ(D755,$D$2:$D$1001,0)+COUNTIF($D$2:D755,D755)-1)</f>
        <v/>
      </c>
      <c r="F755" s="62" t="str">
        <f>IF(B755="","",--(COUNTIF(CN_Brands!$A$2:$A$300,UPPER(B755))&gt;0))</f>
        <v/>
      </c>
      <c r="G755" s="62" t="str">
        <f t="shared" si="47"/>
        <v/>
      </c>
      <c r="H755" s="62" t="str">
        <f>IF(AND('Data Export'!A755=前十整体车型排名!$B$2,'Data Export'!B755=前十整体车型排名!$B$3,'Data Export'!D755&lt;&gt;""),UPPER('Data Export'!C755)&amp;"♦"&amp;'Data Export'!D755,"")</f>
        <v>SUZUKI♦CELERIO</v>
      </c>
      <c r="I755" s="63">
        <f>IF(H755="","",IFERROR(INDEX('Data Export'!G755:CZ755,1,MATCH(前十整体车型排名!$B$4,'Data Export'!$G$1:$CZ$1,0)),0))</f>
        <v>1</v>
      </c>
      <c r="J755" s="62" t="str">
        <f>IF(H755="","",IF(OR('Data Export'!F755="三厢轿车",'Data Export'!F755="掀背轿车",'Data Export'!F755="旅行车",'Data Export'!F755="微型车",'Data Export'!F755="硬顶跑车",'Data Export'!F755="敞蓬车",'Data Export'!F755="Targa"),"轿车",IF(OR('Data Export'!F755="小型MPV",'Data Export'!F755="客车"),"MPV",IF('Data Export'!F755="运动型多功能车","SUV","其他"))))</f>
        <v>轿车</v>
      </c>
      <c r="K755" s="62" t="str">
        <f>IF(OR(D755="",NOT(F755=1)),"",1+SUMPRODUCT(($F$2:$F$1001=1)*($D$2:$D$1001&gt;D755))+COUNTIFS($F$2:F755,1,$D$2:D755,D755)-1)</f>
        <v/>
      </c>
      <c r="L755" s="62" t="str">
        <f>IF(OR(D755="",NOT(G755="轿车")),"",1+SUMPRODUCT(($G$2:$G$1001="轿车")*($D$2:$D$1001&gt;D755))+COUNTIFS($G$2:G755,"轿车",$D$2:D755,D755)-1)</f>
        <v/>
      </c>
      <c r="M755" s="62" t="str">
        <f>IF(OR(D755="",NOT(G755="MPV")),"",1+SUMPRODUCT(($G$2:$G$1001="MPV")*($D$2:$D$1001&gt;D755))+COUNTIFS($G$2:G755,"MPV",$D$2:D755,D755)-1)</f>
        <v/>
      </c>
      <c r="N755" s="62" t="str">
        <f>IF(OR(D755="",NOT(G755="SUV")),"",1+SUMPRODUCT(($G$2:$G$1001="SUV")*($D$2:$D$1001&gt;D755))+COUNTIFS($G$2:G755,"SUV",$D$2:D755,D755)-1)</f>
        <v/>
      </c>
      <c r="O755" s="62" t="str">
        <f>IF(OR(D755="",NOT(AND(F755=1,G755="轿车"))),"",1+SUMPRODUCT(($F$2:$F$1001=1)*($G$2:$G$1001="轿车")*($D$2:$D$1001&gt;D755))+COUNTIFS($F$2:F755,1,$G$2:G755,"轿车",$D$2:D755,D755)-1)</f>
        <v/>
      </c>
      <c r="P755" s="62" t="str">
        <f>IF(OR(D755="",NOT(AND(F755=1,G755="MPV"))),"",1+SUMPRODUCT(($F$2:$F$1001=1)*($G$2:$G$1001="MPV")*($D$2:$D$1001&gt;D755))+COUNTIFS($F$2:F755,1,$G$2:G755,"MPV",$D$2:D755,D755)-1)</f>
        <v/>
      </c>
      <c r="Q755" s="62" t="str">
        <f>IF(OR(D755="",NOT(AND(F755=1,G755="SUV"))),"",1+SUMPRODUCT(($F$2:$F$1001=1)*($G$2:$G$1001="SUV")*($D$2:$D$1001&gt;D755))+COUNTIFS($F$2:F755,1,$G$2:G755,"SUV",$D$2:D755,D755)-1)</f>
        <v/>
      </c>
    </row>
    <row r="756" spans="1:17">
      <c r="A756" s="62" t="str">
        <f>IFERROR(INDEX($H$2:$H$3000,MATCH(0,INDEX(COUNTIF($A$1:A755,$H$2:$H$3000)+($H$2:$H$3000=""),0,0),0)),"")</f>
        <v/>
      </c>
      <c r="B756" s="62" t="str">
        <f t="shared" si="44"/>
        <v/>
      </c>
      <c r="C756" s="62" t="str">
        <f t="shared" si="45"/>
        <v/>
      </c>
      <c r="D756" s="63" t="str">
        <f t="shared" si="46"/>
        <v/>
      </c>
      <c r="E756" s="62" t="str">
        <f>IF(D756="","",_xlfn.RANK.EQ(D756,$D$2:$D$1001,0)+COUNTIF($D$2:D756,D756)-1)</f>
        <v/>
      </c>
      <c r="F756" s="62" t="str">
        <f>IF(B756="","",--(COUNTIF(CN_Brands!$A$2:$A$300,UPPER(B756))&gt;0))</f>
        <v/>
      </c>
      <c r="G756" s="62" t="str">
        <f t="shared" si="47"/>
        <v/>
      </c>
      <c r="H756" s="62" t="str">
        <f>IF(AND('Data Export'!A756=前十整体车型排名!$B$2,'Data Export'!B756=前十整体车型排名!$B$3,'Data Export'!D756&lt;&gt;""),UPPER('Data Export'!C756)&amp;"♦"&amp;'Data Export'!D756,"")</f>
        <v>SUZUKI♦CELERIO</v>
      </c>
      <c r="I756" s="63">
        <f>IF(H756="","",IFERROR(INDEX('Data Export'!G756:CZ756,1,MATCH(前十整体车型排名!$B$4,'Data Export'!$G$1:$CZ$1,0)),0))</f>
        <v>2</v>
      </c>
      <c r="J756" s="62" t="str">
        <f>IF(H756="","",IF(OR('Data Export'!F756="三厢轿车",'Data Export'!F756="掀背轿车",'Data Export'!F756="旅行车",'Data Export'!F756="微型车",'Data Export'!F756="硬顶跑车",'Data Export'!F756="敞蓬车",'Data Export'!F756="Targa"),"轿车",IF(OR('Data Export'!F756="小型MPV",'Data Export'!F756="客车"),"MPV",IF('Data Export'!F756="运动型多功能车","SUV","其他"))))</f>
        <v>轿车</v>
      </c>
      <c r="K756" s="62" t="str">
        <f>IF(OR(D756="",NOT(F756=1)),"",1+SUMPRODUCT(($F$2:$F$1001=1)*($D$2:$D$1001&gt;D756))+COUNTIFS($F$2:F756,1,$D$2:D756,D756)-1)</f>
        <v/>
      </c>
      <c r="L756" s="62" t="str">
        <f>IF(OR(D756="",NOT(G756="轿车")),"",1+SUMPRODUCT(($G$2:$G$1001="轿车")*($D$2:$D$1001&gt;D756))+COUNTIFS($G$2:G756,"轿车",$D$2:D756,D756)-1)</f>
        <v/>
      </c>
      <c r="M756" s="62" t="str">
        <f>IF(OR(D756="",NOT(G756="MPV")),"",1+SUMPRODUCT(($G$2:$G$1001="MPV")*($D$2:$D$1001&gt;D756))+COUNTIFS($G$2:G756,"MPV",$D$2:D756,D756)-1)</f>
        <v/>
      </c>
      <c r="N756" s="62" t="str">
        <f>IF(OR(D756="",NOT(G756="SUV")),"",1+SUMPRODUCT(($G$2:$G$1001="SUV")*($D$2:$D$1001&gt;D756))+COUNTIFS($G$2:G756,"SUV",$D$2:D756,D756)-1)</f>
        <v/>
      </c>
      <c r="O756" s="62" t="str">
        <f>IF(OR(D756="",NOT(AND(F756=1,G756="轿车"))),"",1+SUMPRODUCT(($F$2:$F$1001=1)*($G$2:$G$1001="轿车")*($D$2:$D$1001&gt;D756))+COUNTIFS($F$2:F756,1,$G$2:G756,"轿车",$D$2:D756,D756)-1)</f>
        <v/>
      </c>
      <c r="P756" s="62" t="str">
        <f>IF(OR(D756="",NOT(AND(F756=1,G756="MPV"))),"",1+SUMPRODUCT(($F$2:$F$1001=1)*($G$2:$G$1001="MPV")*($D$2:$D$1001&gt;D756))+COUNTIFS($F$2:F756,1,$G$2:G756,"MPV",$D$2:D756,D756)-1)</f>
        <v/>
      </c>
      <c r="Q756" s="62" t="str">
        <f>IF(OR(D756="",NOT(AND(F756=1,G756="SUV"))),"",1+SUMPRODUCT(($F$2:$F$1001=1)*($G$2:$G$1001="SUV")*($D$2:$D$1001&gt;D756))+COUNTIFS($F$2:F756,1,$G$2:G756,"SUV",$D$2:D756,D756)-1)</f>
        <v/>
      </c>
    </row>
    <row r="757" spans="1:17">
      <c r="A757" s="62" t="str">
        <f>IFERROR(INDEX($H$2:$H$3000,MATCH(0,INDEX(COUNTIF($A$1:A756,$H$2:$H$3000)+($H$2:$H$3000=""),0,0),0)),"")</f>
        <v/>
      </c>
      <c r="B757" s="62" t="str">
        <f t="shared" si="44"/>
        <v/>
      </c>
      <c r="C757" s="62" t="str">
        <f t="shared" si="45"/>
        <v/>
      </c>
      <c r="D757" s="63" t="str">
        <f t="shared" si="46"/>
        <v/>
      </c>
      <c r="E757" s="62" t="str">
        <f>IF(D757="","",_xlfn.RANK.EQ(D757,$D$2:$D$1001,0)+COUNTIF($D$2:D757,D757)-1)</f>
        <v/>
      </c>
      <c r="F757" s="62" t="str">
        <f>IF(B757="","",--(COUNTIF(CN_Brands!$A$2:$A$300,UPPER(B757))&gt;0))</f>
        <v/>
      </c>
      <c r="G757" s="62" t="str">
        <f t="shared" si="47"/>
        <v/>
      </c>
      <c r="H757" s="62" t="str">
        <f>IF(AND('Data Export'!A757=前十整体车型排名!$B$2,'Data Export'!B757=前十整体车型排名!$B$3,'Data Export'!D757&lt;&gt;""),UPPER('Data Export'!C757)&amp;"♦"&amp;'Data Export'!D757,"")</f>
        <v>SUZUKI♦CELERIO</v>
      </c>
      <c r="I757" s="63">
        <f>IF(H757="","",IFERROR(INDEX('Data Export'!G757:CZ757,1,MATCH(前十整体车型排名!$B$4,'Data Export'!$G$1:$CZ$1,0)),0))</f>
        <v>2</v>
      </c>
      <c r="J757" s="62" t="str">
        <f>IF(H757="","",IF(OR('Data Export'!F757="三厢轿车",'Data Export'!F757="掀背轿车",'Data Export'!F757="旅行车",'Data Export'!F757="微型车",'Data Export'!F757="硬顶跑车",'Data Export'!F757="敞蓬车",'Data Export'!F757="Targa"),"轿车",IF(OR('Data Export'!F757="小型MPV",'Data Export'!F757="客车"),"MPV",IF('Data Export'!F757="运动型多功能车","SUV","其他"))))</f>
        <v>轿车</v>
      </c>
      <c r="K757" s="62" t="str">
        <f>IF(OR(D757="",NOT(F757=1)),"",1+SUMPRODUCT(($F$2:$F$1001=1)*($D$2:$D$1001&gt;D757))+COUNTIFS($F$2:F757,1,$D$2:D757,D757)-1)</f>
        <v/>
      </c>
      <c r="L757" s="62" t="str">
        <f>IF(OR(D757="",NOT(G757="轿车")),"",1+SUMPRODUCT(($G$2:$G$1001="轿车")*($D$2:$D$1001&gt;D757))+COUNTIFS($G$2:G757,"轿车",$D$2:D757,D757)-1)</f>
        <v/>
      </c>
      <c r="M757" s="62" t="str">
        <f>IF(OR(D757="",NOT(G757="MPV")),"",1+SUMPRODUCT(($G$2:$G$1001="MPV")*($D$2:$D$1001&gt;D757))+COUNTIFS($G$2:G757,"MPV",$D$2:D757,D757)-1)</f>
        <v/>
      </c>
      <c r="N757" s="62" t="str">
        <f>IF(OR(D757="",NOT(G757="SUV")),"",1+SUMPRODUCT(($G$2:$G$1001="SUV")*($D$2:$D$1001&gt;D757))+COUNTIFS($G$2:G757,"SUV",$D$2:D757,D757)-1)</f>
        <v/>
      </c>
      <c r="O757" s="62" t="str">
        <f>IF(OR(D757="",NOT(AND(F757=1,G757="轿车"))),"",1+SUMPRODUCT(($F$2:$F$1001=1)*($G$2:$G$1001="轿车")*($D$2:$D$1001&gt;D757))+COUNTIFS($F$2:F757,1,$G$2:G757,"轿车",$D$2:D757,D757)-1)</f>
        <v/>
      </c>
      <c r="P757" s="62" t="str">
        <f>IF(OR(D757="",NOT(AND(F757=1,G757="MPV"))),"",1+SUMPRODUCT(($F$2:$F$1001=1)*($G$2:$G$1001="MPV")*($D$2:$D$1001&gt;D757))+COUNTIFS($F$2:F757,1,$G$2:G757,"MPV",$D$2:D757,D757)-1)</f>
        <v/>
      </c>
      <c r="Q757" s="62" t="str">
        <f>IF(OR(D757="",NOT(AND(F757=1,G757="SUV"))),"",1+SUMPRODUCT(($F$2:$F$1001=1)*($G$2:$G$1001="SUV")*($D$2:$D$1001&gt;D757))+COUNTIFS($F$2:F757,1,$G$2:G757,"SUV",$D$2:D757,D757)-1)</f>
        <v/>
      </c>
    </row>
    <row r="758" spans="1:17">
      <c r="A758" s="62" t="str">
        <f>IFERROR(INDEX($H$2:$H$3000,MATCH(0,INDEX(COUNTIF($A$1:A757,$H$2:$H$3000)+($H$2:$H$3000=""),0,0),0)),"")</f>
        <v/>
      </c>
      <c r="B758" s="62" t="str">
        <f t="shared" si="44"/>
        <v/>
      </c>
      <c r="C758" s="62" t="str">
        <f t="shared" si="45"/>
        <v/>
      </c>
      <c r="D758" s="63" t="str">
        <f t="shared" si="46"/>
        <v/>
      </c>
      <c r="E758" s="62" t="str">
        <f>IF(D758="","",_xlfn.RANK.EQ(D758,$D$2:$D$1001,0)+COUNTIF($D$2:D758,D758)-1)</f>
        <v/>
      </c>
      <c r="F758" s="62" t="str">
        <f>IF(B758="","",--(COUNTIF(CN_Brands!$A$2:$A$300,UPPER(B758))&gt;0))</f>
        <v/>
      </c>
      <c r="G758" s="62" t="str">
        <f t="shared" si="47"/>
        <v/>
      </c>
      <c r="H758" s="62" t="str">
        <f>IF(AND('Data Export'!A758=前十整体车型排名!$B$2,'Data Export'!B758=前十整体车型排名!$B$3,'Data Export'!D758&lt;&gt;""),UPPER('Data Export'!C758)&amp;"♦"&amp;'Data Export'!D758,"")</f>
        <v>SUZUKI♦CELERIO</v>
      </c>
      <c r="I758" s="63">
        <f>IF(H758="","",IFERROR(INDEX('Data Export'!G758:CZ758,1,MATCH(前十整体车型排名!$B$4,'Data Export'!$G$1:$CZ$1,0)),0))</f>
        <v>0</v>
      </c>
      <c r="J758" s="62" t="str">
        <f>IF(H758="","",IF(OR('Data Export'!F758="三厢轿车",'Data Export'!F758="掀背轿车",'Data Export'!F758="旅行车",'Data Export'!F758="微型车",'Data Export'!F758="硬顶跑车",'Data Export'!F758="敞蓬车",'Data Export'!F758="Targa"),"轿车",IF(OR('Data Export'!F758="小型MPV",'Data Export'!F758="客车"),"MPV",IF('Data Export'!F758="运动型多功能车","SUV","其他"))))</f>
        <v>轿车</v>
      </c>
      <c r="K758" s="62" t="str">
        <f>IF(OR(D758="",NOT(F758=1)),"",1+SUMPRODUCT(($F$2:$F$1001=1)*($D$2:$D$1001&gt;D758))+COUNTIFS($F$2:F758,1,$D$2:D758,D758)-1)</f>
        <v/>
      </c>
      <c r="L758" s="62" t="str">
        <f>IF(OR(D758="",NOT(G758="轿车")),"",1+SUMPRODUCT(($G$2:$G$1001="轿车")*($D$2:$D$1001&gt;D758))+COUNTIFS($G$2:G758,"轿车",$D$2:D758,D758)-1)</f>
        <v/>
      </c>
      <c r="M758" s="62" t="str">
        <f>IF(OR(D758="",NOT(G758="MPV")),"",1+SUMPRODUCT(($G$2:$G$1001="MPV")*($D$2:$D$1001&gt;D758))+COUNTIFS($G$2:G758,"MPV",$D$2:D758,D758)-1)</f>
        <v/>
      </c>
      <c r="N758" s="62" t="str">
        <f>IF(OR(D758="",NOT(G758="SUV")),"",1+SUMPRODUCT(($G$2:$G$1001="SUV")*($D$2:$D$1001&gt;D758))+COUNTIFS($G$2:G758,"SUV",$D$2:D758,D758)-1)</f>
        <v/>
      </c>
      <c r="O758" s="62" t="str">
        <f>IF(OR(D758="",NOT(AND(F758=1,G758="轿车"))),"",1+SUMPRODUCT(($F$2:$F$1001=1)*($G$2:$G$1001="轿车")*($D$2:$D$1001&gt;D758))+COUNTIFS($F$2:F758,1,$G$2:G758,"轿车",$D$2:D758,D758)-1)</f>
        <v/>
      </c>
      <c r="P758" s="62" t="str">
        <f>IF(OR(D758="",NOT(AND(F758=1,G758="MPV"))),"",1+SUMPRODUCT(($F$2:$F$1001=1)*($G$2:$G$1001="MPV")*($D$2:$D$1001&gt;D758))+COUNTIFS($F$2:F758,1,$G$2:G758,"MPV",$D$2:D758,D758)-1)</f>
        <v/>
      </c>
      <c r="Q758" s="62" t="str">
        <f>IF(OR(D758="",NOT(AND(F758=1,G758="SUV"))),"",1+SUMPRODUCT(($F$2:$F$1001=1)*($G$2:$G$1001="SUV")*($D$2:$D$1001&gt;D758))+COUNTIFS($F$2:F758,1,$G$2:G758,"SUV",$D$2:D758,D758)-1)</f>
        <v/>
      </c>
    </row>
    <row r="759" spans="1:17">
      <c r="A759" s="62" t="str">
        <f>IFERROR(INDEX($H$2:$H$3000,MATCH(0,INDEX(COUNTIF($A$1:A758,$H$2:$H$3000)+($H$2:$H$3000=""),0,0),0)),"")</f>
        <v/>
      </c>
      <c r="B759" s="62" t="str">
        <f t="shared" si="44"/>
        <v/>
      </c>
      <c r="C759" s="62" t="str">
        <f t="shared" si="45"/>
        <v/>
      </c>
      <c r="D759" s="63" t="str">
        <f t="shared" si="46"/>
        <v/>
      </c>
      <c r="E759" s="62" t="str">
        <f>IF(D759="","",_xlfn.RANK.EQ(D759,$D$2:$D$1001,0)+COUNTIF($D$2:D759,D759)-1)</f>
        <v/>
      </c>
      <c r="F759" s="62" t="str">
        <f>IF(B759="","",--(COUNTIF(CN_Brands!$A$2:$A$300,UPPER(B759))&gt;0))</f>
        <v/>
      </c>
      <c r="G759" s="62" t="str">
        <f t="shared" si="47"/>
        <v/>
      </c>
      <c r="H759" s="62" t="str">
        <f>IF(AND('Data Export'!A759=前十整体车型排名!$B$2,'Data Export'!B759=前十整体车型排名!$B$3,'Data Export'!D759&lt;&gt;""),UPPER('Data Export'!C759)&amp;"♦"&amp;'Data Export'!D759,"")</f>
        <v>SUZUKI♦CELERIO</v>
      </c>
      <c r="I759" s="63">
        <f>IF(H759="","",IFERROR(INDEX('Data Export'!G759:CZ759,1,MATCH(前十整体车型排名!$B$4,'Data Export'!$G$1:$CZ$1,0)),0))</f>
        <v>2</v>
      </c>
      <c r="J759" s="62" t="str">
        <f>IF(H759="","",IF(OR('Data Export'!F759="三厢轿车",'Data Export'!F759="掀背轿车",'Data Export'!F759="旅行车",'Data Export'!F759="微型车",'Data Export'!F759="硬顶跑车",'Data Export'!F759="敞蓬车",'Data Export'!F759="Targa"),"轿车",IF(OR('Data Export'!F759="小型MPV",'Data Export'!F759="客车"),"MPV",IF('Data Export'!F759="运动型多功能车","SUV","其他"))))</f>
        <v>轿车</v>
      </c>
      <c r="K759" s="62" t="str">
        <f>IF(OR(D759="",NOT(F759=1)),"",1+SUMPRODUCT(($F$2:$F$1001=1)*($D$2:$D$1001&gt;D759))+COUNTIFS($F$2:F759,1,$D$2:D759,D759)-1)</f>
        <v/>
      </c>
      <c r="L759" s="62" t="str">
        <f>IF(OR(D759="",NOT(G759="轿车")),"",1+SUMPRODUCT(($G$2:$G$1001="轿车")*($D$2:$D$1001&gt;D759))+COUNTIFS($G$2:G759,"轿车",$D$2:D759,D759)-1)</f>
        <v/>
      </c>
      <c r="M759" s="62" t="str">
        <f>IF(OR(D759="",NOT(G759="MPV")),"",1+SUMPRODUCT(($G$2:$G$1001="MPV")*($D$2:$D$1001&gt;D759))+COUNTIFS($G$2:G759,"MPV",$D$2:D759,D759)-1)</f>
        <v/>
      </c>
      <c r="N759" s="62" t="str">
        <f>IF(OR(D759="",NOT(G759="SUV")),"",1+SUMPRODUCT(($G$2:$G$1001="SUV")*($D$2:$D$1001&gt;D759))+COUNTIFS($G$2:G759,"SUV",$D$2:D759,D759)-1)</f>
        <v/>
      </c>
      <c r="O759" s="62" t="str">
        <f>IF(OR(D759="",NOT(AND(F759=1,G759="轿车"))),"",1+SUMPRODUCT(($F$2:$F$1001=1)*($G$2:$G$1001="轿车")*($D$2:$D$1001&gt;D759))+COUNTIFS($F$2:F759,1,$G$2:G759,"轿车",$D$2:D759,D759)-1)</f>
        <v/>
      </c>
      <c r="P759" s="62" t="str">
        <f>IF(OR(D759="",NOT(AND(F759=1,G759="MPV"))),"",1+SUMPRODUCT(($F$2:$F$1001=1)*($G$2:$G$1001="MPV")*($D$2:$D$1001&gt;D759))+COUNTIFS($F$2:F759,1,$G$2:G759,"MPV",$D$2:D759,D759)-1)</f>
        <v/>
      </c>
      <c r="Q759" s="62" t="str">
        <f>IF(OR(D759="",NOT(AND(F759=1,G759="SUV"))),"",1+SUMPRODUCT(($F$2:$F$1001=1)*($G$2:$G$1001="SUV")*($D$2:$D$1001&gt;D759))+COUNTIFS($F$2:F759,1,$G$2:G759,"SUV",$D$2:D759,D759)-1)</f>
        <v/>
      </c>
    </row>
    <row r="760" spans="1:17">
      <c r="A760" s="62" t="str">
        <f>IFERROR(INDEX($H$2:$H$3000,MATCH(0,INDEX(COUNTIF($A$1:A759,$H$2:$H$3000)+($H$2:$H$3000=""),0,0),0)),"")</f>
        <v/>
      </c>
      <c r="B760" s="62" t="str">
        <f t="shared" si="44"/>
        <v/>
      </c>
      <c r="C760" s="62" t="str">
        <f t="shared" si="45"/>
        <v/>
      </c>
      <c r="D760" s="63" t="str">
        <f t="shared" si="46"/>
        <v/>
      </c>
      <c r="E760" s="62" t="str">
        <f>IF(D760="","",_xlfn.RANK.EQ(D760,$D$2:$D$1001,0)+COUNTIF($D$2:D760,D760)-1)</f>
        <v/>
      </c>
      <c r="F760" s="62" t="str">
        <f>IF(B760="","",--(COUNTIF(CN_Brands!$A$2:$A$300,UPPER(B760))&gt;0))</f>
        <v/>
      </c>
      <c r="G760" s="62" t="str">
        <f t="shared" si="47"/>
        <v/>
      </c>
      <c r="H760" s="62" t="str">
        <f>IF(AND('Data Export'!A760=前十整体车型排名!$B$2,'Data Export'!B760=前十整体车型排名!$B$3,'Data Export'!D760&lt;&gt;""),UPPER('Data Export'!C760)&amp;"♦"&amp;'Data Export'!D760,"")</f>
        <v>SUZUKI♦CIAZ</v>
      </c>
      <c r="I760" s="63">
        <f>IF(H760="","",IFERROR(INDEX('Data Export'!G760:CZ760,1,MATCH(前十整体车型排名!$B$4,'Data Export'!$G$1:$CZ$1,0)),0))</f>
        <v>0</v>
      </c>
      <c r="J760" s="62" t="str">
        <f>IF(H760="","",IF(OR('Data Export'!F760="三厢轿车",'Data Export'!F760="掀背轿车",'Data Export'!F760="旅行车",'Data Export'!F760="微型车",'Data Export'!F760="硬顶跑车",'Data Export'!F760="敞蓬车",'Data Export'!F760="Targa"),"轿车",IF(OR('Data Export'!F760="小型MPV",'Data Export'!F760="客车"),"MPV",IF('Data Export'!F760="运动型多功能车","SUV","其他"))))</f>
        <v>轿车</v>
      </c>
      <c r="K760" s="62" t="str">
        <f>IF(OR(D760="",NOT(F760=1)),"",1+SUMPRODUCT(($F$2:$F$1001=1)*($D$2:$D$1001&gt;D760))+COUNTIFS($F$2:F760,1,$D$2:D760,D760)-1)</f>
        <v/>
      </c>
      <c r="L760" s="62" t="str">
        <f>IF(OR(D760="",NOT(G760="轿车")),"",1+SUMPRODUCT(($G$2:$G$1001="轿车")*($D$2:$D$1001&gt;D760))+COUNTIFS($G$2:G760,"轿车",$D$2:D760,D760)-1)</f>
        <v/>
      </c>
      <c r="M760" s="62" t="str">
        <f>IF(OR(D760="",NOT(G760="MPV")),"",1+SUMPRODUCT(($G$2:$G$1001="MPV")*($D$2:$D$1001&gt;D760))+COUNTIFS($G$2:G760,"MPV",$D$2:D760,D760)-1)</f>
        <v/>
      </c>
      <c r="N760" s="62" t="str">
        <f>IF(OR(D760="",NOT(G760="SUV")),"",1+SUMPRODUCT(($G$2:$G$1001="SUV")*($D$2:$D$1001&gt;D760))+COUNTIFS($G$2:G760,"SUV",$D$2:D760,D760)-1)</f>
        <v/>
      </c>
      <c r="O760" s="62" t="str">
        <f>IF(OR(D760="",NOT(AND(F760=1,G760="轿车"))),"",1+SUMPRODUCT(($F$2:$F$1001=1)*($G$2:$G$1001="轿车")*($D$2:$D$1001&gt;D760))+COUNTIFS($F$2:F760,1,$G$2:G760,"轿车",$D$2:D760,D760)-1)</f>
        <v/>
      </c>
      <c r="P760" s="62" t="str">
        <f>IF(OR(D760="",NOT(AND(F760=1,G760="MPV"))),"",1+SUMPRODUCT(($F$2:$F$1001=1)*($G$2:$G$1001="MPV")*($D$2:$D$1001&gt;D760))+COUNTIFS($F$2:F760,1,$G$2:G760,"MPV",$D$2:D760,D760)-1)</f>
        <v/>
      </c>
      <c r="Q760" s="62" t="str">
        <f>IF(OR(D760="",NOT(AND(F760=1,G760="SUV"))),"",1+SUMPRODUCT(($F$2:$F$1001=1)*($G$2:$G$1001="SUV")*($D$2:$D$1001&gt;D760))+COUNTIFS($F$2:F760,1,$G$2:G760,"SUV",$D$2:D760,D760)-1)</f>
        <v/>
      </c>
    </row>
    <row r="761" spans="1:17">
      <c r="A761" s="62" t="str">
        <f>IFERROR(INDEX($H$2:$H$3000,MATCH(0,INDEX(COUNTIF($A$1:A760,$H$2:$H$3000)+($H$2:$H$3000=""),0,0),0)),"")</f>
        <v/>
      </c>
      <c r="B761" s="62" t="str">
        <f t="shared" si="44"/>
        <v/>
      </c>
      <c r="C761" s="62" t="str">
        <f t="shared" si="45"/>
        <v/>
      </c>
      <c r="D761" s="63" t="str">
        <f t="shared" si="46"/>
        <v/>
      </c>
      <c r="E761" s="62" t="str">
        <f>IF(D761="","",_xlfn.RANK.EQ(D761,$D$2:$D$1001,0)+COUNTIF($D$2:D761,D761)-1)</f>
        <v/>
      </c>
      <c r="F761" s="62" t="str">
        <f>IF(B761="","",--(COUNTIF(CN_Brands!$A$2:$A$300,UPPER(B761))&gt;0))</f>
        <v/>
      </c>
      <c r="G761" s="62" t="str">
        <f t="shared" si="47"/>
        <v/>
      </c>
      <c r="H761" s="62" t="str">
        <f>IF(AND('Data Export'!A761=前十整体车型排名!$B$2,'Data Export'!B761=前十整体车型排名!$B$3,'Data Export'!D761&lt;&gt;""),UPPER('Data Export'!C761)&amp;"♦"&amp;'Data Export'!D761,"")</f>
        <v>SUZUKI♦CIAZ</v>
      </c>
      <c r="I761" s="63">
        <f>IF(H761="","",IFERROR(INDEX('Data Export'!G761:CZ761,1,MATCH(前十整体车型排名!$B$4,'Data Export'!$G$1:$CZ$1,0)),0))</f>
        <v>0</v>
      </c>
      <c r="J761" s="62" t="str">
        <f>IF(H761="","",IF(OR('Data Export'!F761="三厢轿车",'Data Export'!F761="掀背轿车",'Data Export'!F761="旅行车",'Data Export'!F761="微型车",'Data Export'!F761="硬顶跑车",'Data Export'!F761="敞蓬车",'Data Export'!F761="Targa"),"轿车",IF(OR('Data Export'!F761="小型MPV",'Data Export'!F761="客车"),"MPV",IF('Data Export'!F761="运动型多功能车","SUV","其他"))))</f>
        <v>轿车</v>
      </c>
      <c r="K761" s="62" t="str">
        <f>IF(OR(D761="",NOT(F761=1)),"",1+SUMPRODUCT(($F$2:$F$1001=1)*($D$2:$D$1001&gt;D761))+COUNTIFS($F$2:F761,1,$D$2:D761,D761)-1)</f>
        <v/>
      </c>
      <c r="L761" s="62" t="str">
        <f>IF(OR(D761="",NOT(G761="轿车")),"",1+SUMPRODUCT(($G$2:$G$1001="轿车")*($D$2:$D$1001&gt;D761))+COUNTIFS($G$2:G761,"轿车",$D$2:D761,D761)-1)</f>
        <v/>
      </c>
      <c r="M761" s="62" t="str">
        <f>IF(OR(D761="",NOT(G761="MPV")),"",1+SUMPRODUCT(($G$2:$G$1001="MPV")*($D$2:$D$1001&gt;D761))+COUNTIFS($G$2:G761,"MPV",$D$2:D761,D761)-1)</f>
        <v/>
      </c>
      <c r="N761" s="62" t="str">
        <f>IF(OR(D761="",NOT(G761="SUV")),"",1+SUMPRODUCT(($G$2:$G$1001="SUV")*($D$2:$D$1001&gt;D761))+COUNTIFS($G$2:G761,"SUV",$D$2:D761,D761)-1)</f>
        <v/>
      </c>
      <c r="O761" s="62" t="str">
        <f>IF(OR(D761="",NOT(AND(F761=1,G761="轿车"))),"",1+SUMPRODUCT(($F$2:$F$1001=1)*($G$2:$G$1001="轿车")*($D$2:$D$1001&gt;D761))+COUNTIFS($F$2:F761,1,$G$2:G761,"轿车",$D$2:D761,D761)-1)</f>
        <v/>
      </c>
      <c r="P761" s="62" t="str">
        <f>IF(OR(D761="",NOT(AND(F761=1,G761="MPV"))),"",1+SUMPRODUCT(($F$2:$F$1001=1)*($G$2:$G$1001="MPV")*($D$2:$D$1001&gt;D761))+COUNTIFS($F$2:F761,1,$G$2:G761,"MPV",$D$2:D761,D761)-1)</f>
        <v/>
      </c>
      <c r="Q761" s="62" t="str">
        <f>IF(OR(D761="",NOT(AND(F761=1,G761="SUV"))),"",1+SUMPRODUCT(($F$2:$F$1001=1)*($G$2:$G$1001="SUV")*($D$2:$D$1001&gt;D761))+COUNTIFS($F$2:F761,1,$G$2:G761,"SUV",$D$2:D761,D761)-1)</f>
        <v/>
      </c>
    </row>
    <row r="762" spans="1:17">
      <c r="A762" s="62" t="str">
        <f>IFERROR(INDEX($H$2:$H$3000,MATCH(0,INDEX(COUNTIF($A$1:A761,$H$2:$H$3000)+($H$2:$H$3000=""),0,0),0)),"")</f>
        <v/>
      </c>
      <c r="B762" s="62" t="str">
        <f t="shared" si="44"/>
        <v/>
      </c>
      <c r="C762" s="62" t="str">
        <f t="shared" si="45"/>
        <v/>
      </c>
      <c r="D762" s="63" t="str">
        <f t="shared" si="46"/>
        <v/>
      </c>
      <c r="E762" s="62" t="str">
        <f>IF(D762="","",_xlfn.RANK.EQ(D762,$D$2:$D$1001,0)+COUNTIF($D$2:D762,D762)-1)</f>
        <v/>
      </c>
      <c r="F762" s="62" t="str">
        <f>IF(B762="","",--(COUNTIF(CN_Brands!$A$2:$A$300,UPPER(B762))&gt;0))</f>
        <v/>
      </c>
      <c r="G762" s="62" t="str">
        <f t="shared" si="47"/>
        <v/>
      </c>
      <c r="H762" s="62" t="str">
        <f>IF(AND('Data Export'!A762=前十整体车型排名!$B$2,'Data Export'!B762=前十整体车型排名!$B$3,'Data Export'!D762&lt;&gt;""),UPPER('Data Export'!C762)&amp;"♦"&amp;'Data Export'!D762,"")</f>
        <v>SUZUKI♦E VITARA</v>
      </c>
      <c r="I762" s="63">
        <f>IF(H762="","",IFERROR(INDEX('Data Export'!G762:CZ762,1,MATCH(前十整体车型排名!$B$4,'Data Export'!$G$1:$CZ$1,0)),0))</f>
        <v>0</v>
      </c>
      <c r="J762" s="62" t="str">
        <f>IF(H762="","",IF(OR('Data Export'!F762="三厢轿车",'Data Export'!F762="掀背轿车",'Data Export'!F762="旅行车",'Data Export'!F762="微型车",'Data Export'!F762="硬顶跑车",'Data Export'!F762="敞蓬车",'Data Export'!F762="Targa"),"轿车",IF(OR('Data Export'!F762="小型MPV",'Data Export'!F762="客车"),"MPV",IF('Data Export'!F762="运动型多功能车","SUV","其他"))))</f>
        <v>SUV</v>
      </c>
      <c r="K762" s="62" t="str">
        <f>IF(OR(D762="",NOT(F762=1)),"",1+SUMPRODUCT(($F$2:$F$1001=1)*($D$2:$D$1001&gt;D762))+COUNTIFS($F$2:F762,1,$D$2:D762,D762)-1)</f>
        <v/>
      </c>
      <c r="L762" s="62" t="str">
        <f>IF(OR(D762="",NOT(G762="轿车")),"",1+SUMPRODUCT(($G$2:$G$1001="轿车")*($D$2:$D$1001&gt;D762))+COUNTIFS($G$2:G762,"轿车",$D$2:D762,D762)-1)</f>
        <v/>
      </c>
      <c r="M762" s="62" t="str">
        <f>IF(OR(D762="",NOT(G762="MPV")),"",1+SUMPRODUCT(($G$2:$G$1001="MPV")*($D$2:$D$1001&gt;D762))+COUNTIFS($G$2:G762,"MPV",$D$2:D762,D762)-1)</f>
        <v/>
      </c>
      <c r="N762" s="62" t="str">
        <f>IF(OR(D762="",NOT(G762="SUV")),"",1+SUMPRODUCT(($G$2:$G$1001="SUV")*($D$2:$D$1001&gt;D762))+COUNTIFS($G$2:G762,"SUV",$D$2:D762,D762)-1)</f>
        <v/>
      </c>
      <c r="O762" s="62" t="str">
        <f>IF(OR(D762="",NOT(AND(F762=1,G762="轿车"))),"",1+SUMPRODUCT(($F$2:$F$1001=1)*($G$2:$G$1001="轿车")*($D$2:$D$1001&gt;D762))+COUNTIFS($F$2:F762,1,$G$2:G762,"轿车",$D$2:D762,D762)-1)</f>
        <v/>
      </c>
      <c r="P762" s="62" t="str">
        <f>IF(OR(D762="",NOT(AND(F762=1,G762="MPV"))),"",1+SUMPRODUCT(($F$2:$F$1001=1)*($G$2:$G$1001="MPV")*($D$2:$D$1001&gt;D762))+COUNTIFS($F$2:F762,1,$G$2:G762,"MPV",$D$2:D762,D762)-1)</f>
        <v/>
      </c>
      <c r="Q762" s="62" t="str">
        <f>IF(OR(D762="",NOT(AND(F762=1,G762="SUV"))),"",1+SUMPRODUCT(($F$2:$F$1001=1)*($G$2:$G$1001="SUV")*($D$2:$D$1001&gt;D762))+COUNTIFS($F$2:F762,1,$G$2:G762,"SUV",$D$2:D762,D762)-1)</f>
        <v/>
      </c>
    </row>
    <row r="763" spans="1:17">
      <c r="A763" s="62" t="str">
        <f>IFERROR(INDEX($H$2:$H$3000,MATCH(0,INDEX(COUNTIF($A$1:A762,$H$2:$H$3000)+($H$2:$H$3000=""),0,0),0)),"")</f>
        <v/>
      </c>
      <c r="B763" s="62" t="str">
        <f t="shared" si="44"/>
        <v/>
      </c>
      <c r="C763" s="62" t="str">
        <f t="shared" si="45"/>
        <v/>
      </c>
      <c r="D763" s="63" t="str">
        <f t="shared" si="46"/>
        <v/>
      </c>
      <c r="E763" s="62" t="str">
        <f>IF(D763="","",_xlfn.RANK.EQ(D763,$D$2:$D$1001,0)+COUNTIF($D$2:D763,D763)-1)</f>
        <v/>
      </c>
      <c r="F763" s="62" t="str">
        <f>IF(B763="","",--(COUNTIF(CN_Brands!$A$2:$A$300,UPPER(B763))&gt;0))</f>
        <v/>
      </c>
      <c r="G763" s="62" t="str">
        <f t="shared" si="47"/>
        <v/>
      </c>
      <c r="H763" s="62" t="str">
        <f>IF(AND('Data Export'!A763=前十整体车型排名!$B$2,'Data Export'!B763=前十整体车型排名!$B$3,'Data Export'!D763&lt;&gt;""),UPPER('Data Export'!C763)&amp;"♦"&amp;'Data Export'!D763,"")</f>
        <v>SUZUKI♦ERTIGA</v>
      </c>
      <c r="I763" s="63">
        <f>IF(H763="","",IFERROR(INDEX('Data Export'!G763:CZ763,1,MATCH(前十整体车型排名!$B$4,'Data Export'!$G$1:$CZ$1,0)),0))</f>
        <v>0</v>
      </c>
      <c r="J763" s="62" t="str">
        <f>IF(H763="","",IF(OR('Data Export'!F763="三厢轿车",'Data Export'!F763="掀背轿车",'Data Export'!F763="旅行车",'Data Export'!F763="微型车",'Data Export'!F763="硬顶跑车",'Data Export'!F763="敞蓬车",'Data Export'!F763="Targa"),"轿车",IF(OR('Data Export'!F763="小型MPV",'Data Export'!F763="客车"),"MPV",IF('Data Export'!F763="运动型多功能车","SUV","其他"))))</f>
        <v>MPV</v>
      </c>
      <c r="K763" s="62" t="str">
        <f>IF(OR(D763="",NOT(F763=1)),"",1+SUMPRODUCT(($F$2:$F$1001=1)*($D$2:$D$1001&gt;D763))+COUNTIFS($F$2:F763,1,$D$2:D763,D763)-1)</f>
        <v/>
      </c>
      <c r="L763" s="62" t="str">
        <f>IF(OR(D763="",NOT(G763="轿车")),"",1+SUMPRODUCT(($G$2:$G$1001="轿车")*($D$2:$D$1001&gt;D763))+COUNTIFS($G$2:G763,"轿车",$D$2:D763,D763)-1)</f>
        <v/>
      </c>
      <c r="M763" s="62" t="str">
        <f>IF(OR(D763="",NOT(G763="MPV")),"",1+SUMPRODUCT(($G$2:$G$1001="MPV")*($D$2:$D$1001&gt;D763))+COUNTIFS($G$2:G763,"MPV",$D$2:D763,D763)-1)</f>
        <v/>
      </c>
      <c r="N763" s="62" t="str">
        <f>IF(OR(D763="",NOT(G763="SUV")),"",1+SUMPRODUCT(($G$2:$G$1001="SUV")*($D$2:$D$1001&gt;D763))+COUNTIFS($G$2:G763,"SUV",$D$2:D763,D763)-1)</f>
        <v/>
      </c>
      <c r="O763" s="62" t="str">
        <f>IF(OR(D763="",NOT(AND(F763=1,G763="轿车"))),"",1+SUMPRODUCT(($F$2:$F$1001=1)*($G$2:$G$1001="轿车")*($D$2:$D$1001&gt;D763))+COUNTIFS($F$2:F763,1,$G$2:G763,"轿车",$D$2:D763,D763)-1)</f>
        <v/>
      </c>
      <c r="P763" s="62" t="str">
        <f>IF(OR(D763="",NOT(AND(F763=1,G763="MPV"))),"",1+SUMPRODUCT(($F$2:$F$1001=1)*($G$2:$G$1001="MPV")*($D$2:$D$1001&gt;D763))+COUNTIFS($F$2:F763,1,$G$2:G763,"MPV",$D$2:D763,D763)-1)</f>
        <v/>
      </c>
      <c r="Q763" s="62" t="str">
        <f>IF(OR(D763="",NOT(AND(F763=1,G763="SUV"))),"",1+SUMPRODUCT(($F$2:$F$1001=1)*($G$2:$G$1001="SUV")*($D$2:$D$1001&gt;D763))+COUNTIFS($F$2:F763,1,$G$2:G763,"SUV",$D$2:D763,D763)-1)</f>
        <v/>
      </c>
    </row>
    <row r="764" spans="1:17">
      <c r="A764" s="62" t="str">
        <f>IFERROR(INDEX($H$2:$H$3000,MATCH(0,INDEX(COUNTIF($A$1:A763,$H$2:$H$3000)+($H$2:$H$3000=""),0,0),0)),"")</f>
        <v/>
      </c>
      <c r="B764" s="62" t="str">
        <f t="shared" si="44"/>
        <v/>
      </c>
      <c r="C764" s="62" t="str">
        <f t="shared" si="45"/>
        <v/>
      </c>
      <c r="D764" s="63" t="str">
        <f t="shared" si="46"/>
        <v/>
      </c>
      <c r="E764" s="62" t="str">
        <f>IF(D764="","",_xlfn.RANK.EQ(D764,$D$2:$D$1001,0)+COUNTIF($D$2:D764,D764)-1)</f>
        <v/>
      </c>
      <c r="F764" s="62" t="str">
        <f>IF(B764="","",--(COUNTIF(CN_Brands!$A$2:$A$300,UPPER(B764))&gt;0))</f>
        <v/>
      </c>
      <c r="G764" s="62" t="str">
        <f t="shared" si="47"/>
        <v/>
      </c>
      <c r="H764" s="62" t="str">
        <f>IF(AND('Data Export'!A764=前十整体车型排名!$B$2,'Data Export'!B764=前十整体车型排名!$B$3,'Data Export'!D764&lt;&gt;""),UPPER('Data Export'!C764)&amp;"♦"&amp;'Data Export'!D764,"")</f>
        <v>SUZUKI♦ERTIGA</v>
      </c>
      <c r="I764" s="63">
        <f>IF(H764="","",IFERROR(INDEX('Data Export'!G764:CZ764,1,MATCH(前十整体车型排名!$B$4,'Data Export'!$G$1:$CZ$1,0)),0))</f>
        <v>0</v>
      </c>
      <c r="J764" s="62" t="str">
        <f>IF(H764="","",IF(OR('Data Export'!F764="三厢轿车",'Data Export'!F764="掀背轿车",'Data Export'!F764="旅行车",'Data Export'!F764="微型车",'Data Export'!F764="硬顶跑车",'Data Export'!F764="敞蓬车",'Data Export'!F764="Targa"),"轿车",IF(OR('Data Export'!F764="小型MPV",'Data Export'!F764="客车"),"MPV",IF('Data Export'!F764="运动型多功能车","SUV","其他"))))</f>
        <v>MPV</v>
      </c>
      <c r="K764" s="62" t="str">
        <f>IF(OR(D764="",NOT(F764=1)),"",1+SUMPRODUCT(($F$2:$F$1001=1)*($D$2:$D$1001&gt;D764))+COUNTIFS($F$2:F764,1,$D$2:D764,D764)-1)</f>
        <v/>
      </c>
      <c r="L764" s="62" t="str">
        <f>IF(OR(D764="",NOT(G764="轿车")),"",1+SUMPRODUCT(($G$2:$G$1001="轿车")*($D$2:$D$1001&gt;D764))+COUNTIFS($G$2:G764,"轿车",$D$2:D764,D764)-1)</f>
        <v/>
      </c>
      <c r="M764" s="62" t="str">
        <f>IF(OR(D764="",NOT(G764="MPV")),"",1+SUMPRODUCT(($G$2:$G$1001="MPV")*($D$2:$D$1001&gt;D764))+COUNTIFS($G$2:G764,"MPV",$D$2:D764,D764)-1)</f>
        <v/>
      </c>
      <c r="N764" s="62" t="str">
        <f>IF(OR(D764="",NOT(G764="SUV")),"",1+SUMPRODUCT(($G$2:$G$1001="SUV")*($D$2:$D$1001&gt;D764))+COUNTIFS($G$2:G764,"SUV",$D$2:D764,D764)-1)</f>
        <v/>
      </c>
      <c r="O764" s="62" t="str">
        <f>IF(OR(D764="",NOT(AND(F764=1,G764="轿车"))),"",1+SUMPRODUCT(($F$2:$F$1001=1)*($G$2:$G$1001="轿车")*($D$2:$D$1001&gt;D764))+COUNTIFS($F$2:F764,1,$G$2:G764,"轿车",$D$2:D764,D764)-1)</f>
        <v/>
      </c>
      <c r="P764" s="62" t="str">
        <f>IF(OR(D764="",NOT(AND(F764=1,G764="MPV"))),"",1+SUMPRODUCT(($F$2:$F$1001=1)*($G$2:$G$1001="MPV")*($D$2:$D$1001&gt;D764))+COUNTIFS($F$2:F764,1,$G$2:G764,"MPV",$D$2:D764,D764)-1)</f>
        <v/>
      </c>
      <c r="Q764" s="62" t="str">
        <f>IF(OR(D764="",NOT(AND(F764=1,G764="SUV"))),"",1+SUMPRODUCT(($F$2:$F$1001=1)*($G$2:$G$1001="SUV")*($D$2:$D$1001&gt;D764))+COUNTIFS($F$2:F764,1,$G$2:G764,"SUV",$D$2:D764,D764)-1)</f>
        <v/>
      </c>
    </row>
    <row r="765" spans="1:17">
      <c r="A765" s="62" t="str">
        <f>IFERROR(INDEX($H$2:$H$3000,MATCH(0,INDEX(COUNTIF($A$1:A764,$H$2:$H$3000)+($H$2:$H$3000=""),0,0),0)),"")</f>
        <v/>
      </c>
      <c r="B765" s="62" t="str">
        <f t="shared" si="44"/>
        <v/>
      </c>
      <c r="C765" s="62" t="str">
        <f t="shared" si="45"/>
        <v/>
      </c>
      <c r="D765" s="63" t="str">
        <f t="shared" si="46"/>
        <v/>
      </c>
      <c r="E765" s="62" t="str">
        <f>IF(D765="","",_xlfn.RANK.EQ(D765,$D$2:$D$1001,0)+COUNTIF($D$2:D765,D765)-1)</f>
        <v/>
      </c>
      <c r="F765" s="62" t="str">
        <f>IF(B765="","",--(COUNTIF(CN_Brands!$A$2:$A$300,UPPER(B765))&gt;0))</f>
        <v/>
      </c>
      <c r="G765" s="62" t="str">
        <f t="shared" si="47"/>
        <v/>
      </c>
      <c r="H765" s="62" t="str">
        <f>IF(AND('Data Export'!A765=前十整体车型排名!$B$2,'Data Export'!B765=前十整体车型排名!$B$3,'Data Export'!D765&lt;&gt;""),UPPER('Data Export'!C765)&amp;"♦"&amp;'Data Export'!D765,"")</f>
        <v>SUZUKI♦FRONX</v>
      </c>
      <c r="I765" s="63">
        <f>IF(H765="","",IFERROR(INDEX('Data Export'!G765:CZ765,1,MATCH(前十整体车型排名!$B$4,'Data Export'!$G$1:$CZ$1,0)),0))</f>
        <v>83</v>
      </c>
      <c r="J765" s="62" t="str">
        <f>IF(H765="","",IF(OR('Data Export'!F765="三厢轿车",'Data Export'!F765="掀背轿车",'Data Export'!F765="旅行车",'Data Export'!F765="微型车",'Data Export'!F765="硬顶跑车",'Data Export'!F765="敞蓬车",'Data Export'!F765="Targa"),"轿车",IF(OR('Data Export'!F765="小型MPV",'Data Export'!F765="客车"),"MPV",IF('Data Export'!F765="运动型多功能车","SUV","其他"))))</f>
        <v>SUV</v>
      </c>
      <c r="K765" s="62" t="str">
        <f>IF(OR(D765="",NOT(F765=1)),"",1+SUMPRODUCT(($F$2:$F$1001=1)*($D$2:$D$1001&gt;D765))+COUNTIFS($F$2:F765,1,$D$2:D765,D765)-1)</f>
        <v/>
      </c>
      <c r="L765" s="62" t="str">
        <f>IF(OR(D765="",NOT(G765="轿车")),"",1+SUMPRODUCT(($G$2:$G$1001="轿车")*($D$2:$D$1001&gt;D765))+COUNTIFS($G$2:G765,"轿车",$D$2:D765,D765)-1)</f>
        <v/>
      </c>
      <c r="M765" s="62" t="str">
        <f>IF(OR(D765="",NOT(G765="MPV")),"",1+SUMPRODUCT(($G$2:$G$1001="MPV")*($D$2:$D$1001&gt;D765))+COUNTIFS($G$2:G765,"MPV",$D$2:D765,D765)-1)</f>
        <v/>
      </c>
      <c r="N765" s="62" t="str">
        <f>IF(OR(D765="",NOT(G765="SUV")),"",1+SUMPRODUCT(($G$2:$G$1001="SUV")*($D$2:$D$1001&gt;D765))+COUNTIFS($G$2:G765,"SUV",$D$2:D765,D765)-1)</f>
        <v/>
      </c>
      <c r="O765" s="62" t="str">
        <f>IF(OR(D765="",NOT(AND(F765=1,G765="轿车"))),"",1+SUMPRODUCT(($F$2:$F$1001=1)*($G$2:$G$1001="轿车")*($D$2:$D$1001&gt;D765))+COUNTIFS($F$2:F765,1,$G$2:G765,"轿车",$D$2:D765,D765)-1)</f>
        <v/>
      </c>
      <c r="P765" s="62" t="str">
        <f>IF(OR(D765="",NOT(AND(F765=1,G765="MPV"))),"",1+SUMPRODUCT(($F$2:$F$1001=1)*($G$2:$G$1001="MPV")*($D$2:$D$1001&gt;D765))+COUNTIFS($F$2:F765,1,$G$2:G765,"MPV",$D$2:D765,D765)-1)</f>
        <v/>
      </c>
      <c r="Q765" s="62" t="str">
        <f>IF(OR(D765="",NOT(AND(F765=1,G765="SUV"))),"",1+SUMPRODUCT(($F$2:$F$1001=1)*($G$2:$G$1001="SUV")*($D$2:$D$1001&gt;D765))+COUNTIFS($F$2:F765,1,$G$2:G765,"SUV",$D$2:D765,D765)-1)</f>
        <v/>
      </c>
    </row>
    <row r="766" spans="1:17">
      <c r="A766" s="62" t="str">
        <f>IFERROR(INDEX($H$2:$H$3000,MATCH(0,INDEX(COUNTIF($A$1:A765,$H$2:$H$3000)+($H$2:$H$3000=""),0,0),0)),"")</f>
        <v/>
      </c>
      <c r="B766" s="62" t="str">
        <f t="shared" si="44"/>
        <v/>
      </c>
      <c r="C766" s="62" t="str">
        <f t="shared" si="45"/>
        <v/>
      </c>
      <c r="D766" s="63" t="str">
        <f t="shared" si="46"/>
        <v/>
      </c>
      <c r="E766" s="62" t="str">
        <f>IF(D766="","",_xlfn.RANK.EQ(D766,$D$2:$D$1001,0)+COUNTIF($D$2:D766,D766)-1)</f>
        <v/>
      </c>
      <c r="F766" s="62" t="str">
        <f>IF(B766="","",--(COUNTIF(CN_Brands!$A$2:$A$300,UPPER(B766))&gt;0))</f>
        <v/>
      </c>
      <c r="G766" s="62" t="str">
        <f t="shared" si="47"/>
        <v/>
      </c>
      <c r="H766" s="62" t="str">
        <f>IF(AND('Data Export'!A766=前十整体车型排名!$B$2,'Data Export'!B766=前十整体车型排名!$B$3,'Data Export'!D766&lt;&gt;""),UPPER('Data Export'!C766)&amp;"♦"&amp;'Data Export'!D766,"")</f>
        <v>SUZUKI♦HUSTLER</v>
      </c>
      <c r="I766" s="63">
        <f>IF(H766="","",IFERROR(INDEX('Data Export'!G766:CZ766,1,MATCH(前十整体车型排名!$B$4,'Data Export'!$G$1:$CZ$1,0)),0))</f>
        <v>0</v>
      </c>
      <c r="J766" s="62" t="str">
        <f>IF(H766="","",IF(OR('Data Export'!F766="三厢轿车",'Data Export'!F766="掀背轿车",'Data Export'!F766="旅行车",'Data Export'!F766="微型车",'Data Export'!F766="硬顶跑车",'Data Export'!F766="敞蓬车",'Data Export'!F766="Targa"),"轿车",IF(OR('Data Export'!F766="小型MPV",'Data Export'!F766="客车"),"MPV",IF('Data Export'!F766="运动型多功能车","SUV","其他"))))</f>
        <v>其他</v>
      </c>
      <c r="K766" s="62" t="str">
        <f>IF(OR(D766="",NOT(F766=1)),"",1+SUMPRODUCT(($F$2:$F$1001=1)*($D$2:$D$1001&gt;D766))+COUNTIFS($F$2:F766,1,$D$2:D766,D766)-1)</f>
        <v/>
      </c>
      <c r="L766" s="62" t="str">
        <f>IF(OR(D766="",NOT(G766="轿车")),"",1+SUMPRODUCT(($G$2:$G$1001="轿车")*($D$2:$D$1001&gt;D766))+COUNTIFS($G$2:G766,"轿车",$D$2:D766,D766)-1)</f>
        <v/>
      </c>
      <c r="M766" s="62" t="str">
        <f>IF(OR(D766="",NOT(G766="MPV")),"",1+SUMPRODUCT(($G$2:$G$1001="MPV")*($D$2:$D$1001&gt;D766))+COUNTIFS($G$2:G766,"MPV",$D$2:D766,D766)-1)</f>
        <v/>
      </c>
      <c r="N766" s="62" t="str">
        <f>IF(OR(D766="",NOT(G766="SUV")),"",1+SUMPRODUCT(($G$2:$G$1001="SUV")*($D$2:$D$1001&gt;D766))+COUNTIFS($G$2:G766,"SUV",$D$2:D766,D766)-1)</f>
        <v/>
      </c>
      <c r="O766" s="62" t="str">
        <f>IF(OR(D766="",NOT(AND(F766=1,G766="轿车"))),"",1+SUMPRODUCT(($F$2:$F$1001=1)*($G$2:$G$1001="轿车")*($D$2:$D$1001&gt;D766))+COUNTIFS($F$2:F766,1,$G$2:G766,"轿车",$D$2:D766,D766)-1)</f>
        <v/>
      </c>
      <c r="P766" s="62" t="str">
        <f>IF(OR(D766="",NOT(AND(F766=1,G766="MPV"))),"",1+SUMPRODUCT(($F$2:$F$1001=1)*($G$2:$G$1001="MPV")*($D$2:$D$1001&gt;D766))+COUNTIFS($F$2:F766,1,$G$2:G766,"MPV",$D$2:D766,D766)-1)</f>
        <v/>
      </c>
      <c r="Q766" s="62" t="str">
        <f>IF(OR(D766="",NOT(AND(F766=1,G766="SUV"))),"",1+SUMPRODUCT(($F$2:$F$1001=1)*($G$2:$G$1001="SUV")*($D$2:$D$1001&gt;D766))+COUNTIFS($F$2:F766,1,$G$2:G766,"SUV",$D$2:D766,D766)-1)</f>
        <v/>
      </c>
    </row>
    <row r="767" spans="1:17">
      <c r="A767" s="62" t="str">
        <f>IFERROR(INDEX($H$2:$H$3000,MATCH(0,INDEX(COUNTIF($A$1:A766,$H$2:$H$3000)+($H$2:$H$3000=""),0,0),0)),"")</f>
        <v/>
      </c>
      <c r="B767" s="62" t="str">
        <f t="shared" si="44"/>
        <v/>
      </c>
      <c r="C767" s="62" t="str">
        <f t="shared" si="45"/>
        <v/>
      </c>
      <c r="D767" s="63" t="str">
        <f t="shared" si="46"/>
        <v/>
      </c>
      <c r="E767" s="62" t="str">
        <f>IF(D767="","",_xlfn.RANK.EQ(D767,$D$2:$D$1001,0)+COUNTIF($D$2:D767,D767)-1)</f>
        <v/>
      </c>
      <c r="F767" s="62" t="str">
        <f>IF(B767="","",--(COUNTIF(CN_Brands!$A$2:$A$300,UPPER(B767))&gt;0))</f>
        <v/>
      </c>
      <c r="G767" s="62" t="str">
        <f t="shared" si="47"/>
        <v/>
      </c>
      <c r="H767" s="62" t="str">
        <f>IF(AND('Data Export'!A767=前十整体车型排名!$B$2,'Data Export'!B767=前十整体车型排名!$B$3,'Data Export'!D767&lt;&gt;""),UPPER('Data Export'!C767)&amp;"♦"&amp;'Data Export'!D767,"")</f>
        <v>SUZUKI♦JIMNY</v>
      </c>
      <c r="I767" s="63">
        <f>IF(H767="","",IFERROR(INDEX('Data Export'!G767:CZ767,1,MATCH(前十整体车型排名!$B$4,'Data Export'!$G$1:$CZ$1,0)),0))</f>
        <v>0</v>
      </c>
      <c r="J767" s="62" t="str">
        <f>IF(H767="","",IF(OR('Data Export'!F767="三厢轿车",'Data Export'!F767="掀背轿车",'Data Export'!F767="旅行车",'Data Export'!F767="微型车",'Data Export'!F767="硬顶跑车",'Data Export'!F767="敞蓬车",'Data Export'!F767="Targa"),"轿车",IF(OR('Data Export'!F767="小型MPV",'Data Export'!F767="客车"),"MPV",IF('Data Export'!F767="运动型多功能车","SUV","其他"))))</f>
        <v>SUV</v>
      </c>
      <c r="K767" s="62" t="str">
        <f>IF(OR(D767="",NOT(F767=1)),"",1+SUMPRODUCT(($F$2:$F$1001=1)*($D$2:$D$1001&gt;D767))+COUNTIFS($F$2:F767,1,$D$2:D767,D767)-1)</f>
        <v/>
      </c>
      <c r="L767" s="62" t="str">
        <f>IF(OR(D767="",NOT(G767="轿车")),"",1+SUMPRODUCT(($G$2:$G$1001="轿车")*($D$2:$D$1001&gt;D767))+COUNTIFS($G$2:G767,"轿车",$D$2:D767,D767)-1)</f>
        <v/>
      </c>
      <c r="M767" s="62" t="str">
        <f>IF(OR(D767="",NOT(G767="MPV")),"",1+SUMPRODUCT(($G$2:$G$1001="MPV")*($D$2:$D$1001&gt;D767))+COUNTIFS($G$2:G767,"MPV",$D$2:D767,D767)-1)</f>
        <v/>
      </c>
      <c r="N767" s="62" t="str">
        <f>IF(OR(D767="",NOT(G767="SUV")),"",1+SUMPRODUCT(($G$2:$G$1001="SUV")*($D$2:$D$1001&gt;D767))+COUNTIFS($G$2:G767,"SUV",$D$2:D767,D767)-1)</f>
        <v/>
      </c>
      <c r="O767" s="62" t="str">
        <f>IF(OR(D767="",NOT(AND(F767=1,G767="轿车"))),"",1+SUMPRODUCT(($F$2:$F$1001=1)*($G$2:$G$1001="轿车")*($D$2:$D$1001&gt;D767))+COUNTIFS($F$2:F767,1,$G$2:G767,"轿车",$D$2:D767,D767)-1)</f>
        <v/>
      </c>
      <c r="P767" s="62" t="str">
        <f>IF(OR(D767="",NOT(AND(F767=1,G767="MPV"))),"",1+SUMPRODUCT(($F$2:$F$1001=1)*($G$2:$G$1001="MPV")*($D$2:$D$1001&gt;D767))+COUNTIFS($F$2:F767,1,$G$2:G767,"MPV",$D$2:D767,D767)-1)</f>
        <v/>
      </c>
      <c r="Q767" s="62" t="str">
        <f>IF(OR(D767="",NOT(AND(F767=1,G767="SUV"))),"",1+SUMPRODUCT(($F$2:$F$1001=1)*($G$2:$G$1001="SUV")*($D$2:$D$1001&gt;D767))+COUNTIFS($F$2:F767,1,$G$2:G767,"SUV",$D$2:D767,D767)-1)</f>
        <v/>
      </c>
    </row>
    <row r="768" spans="1:17">
      <c r="A768" s="62" t="str">
        <f>IFERROR(INDEX($H$2:$H$3000,MATCH(0,INDEX(COUNTIF($A$1:A767,$H$2:$H$3000)+($H$2:$H$3000=""),0,0),0)),"")</f>
        <v/>
      </c>
      <c r="B768" s="62" t="str">
        <f t="shared" si="44"/>
        <v/>
      </c>
      <c r="C768" s="62" t="str">
        <f t="shared" si="45"/>
        <v/>
      </c>
      <c r="D768" s="63" t="str">
        <f t="shared" si="46"/>
        <v/>
      </c>
      <c r="E768" s="62" t="str">
        <f>IF(D768="","",_xlfn.RANK.EQ(D768,$D$2:$D$1001,0)+COUNTIF($D$2:D768,D768)-1)</f>
        <v/>
      </c>
      <c r="F768" s="62" t="str">
        <f>IF(B768="","",--(COUNTIF(CN_Brands!$A$2:$A$300,UPPER(B768))&gt;0))</f>
        <v/>
      </c>
      <c r="G768" s="62" t="str">
        <f t="shared" si="47"/>
        <v/>
      </c>
      <c r="H768" s="62" t="str">
        <f>IF(AND('Data Export'!A768=前十整体车型排名!$B$2,'Data Export'!B768=前十整体车型排名!$B$3,'Data Export'!D768&lt;&gt;""),UPPER('Data Export'!C768)&amp;"♦"&amp;'Data Export'!D768,"")</f>
        <v>SUZUKI♦JIMNY</v>
      </c>
      <c r="I768" s="63">
        <f>IF(H768="","",IFERROR(INDEX('Data Export'!G768:CZ768,1,MATCH(前十整体车型排名!$B$4,'Data Export'!$G$1:$CZ$1,0)),0))</f>
        <v>14</v>
      </c>
      <c r="J768" s="62" t="str">
        <f>IF(H768="","",IF(OR('Data Export'!F768="三厢轿车",'Data Export'!F768="掀背轿车",'Data Export'!F768="旅行车",'Data Export'!F768="微型车",'Data Export'!F768="硬顶跑车",'Data Export'!F768="敞蓬车",'Data Export'!F768="Targa"),"轿车",IF(OR('Data Export'!F768="小型MPV",'Data Export'!F768="客车"),"MPV",IF('Data Export'!F768="运动型多功能车","SUV","其他"))))</f>
        <v>SUV</v>
      </c>
      <c r="K768" s="62" t="str">
        <f>IF(OR(D768="",NOT(F768=1)),"",1+SUMPRODUCT(($F$2:$F$1001=1)*($D$2:$D$1001&gt;D768))+COUNTIFS($F$2:F768,1,$D$2:D768,D768)-1)</f>
        <v/>
      </c>
      <c r="L768" s="62" t="str">
        <f>IF(OR(D768="",NOT(G768="轿车")),"",1+SUMPRODUCT(($G$2:$G$1001="轿车")*($D$2:$D$1001&gt;D768))+COUNTIFS($G$2:G768,"轿车",$D$2:D768,D768)-1)</f>
        <v/>
      </c>
      <c r="M768" s="62" t="str">
        <f>IF(OR(D768="",NOT(G768="MPV")),"",1+SUMPRODUCT(($G$2:$G$1001="MPV")*($D$2:$D$1001&gt;D768))+COUNTIFS($G$2:G768,"MPV",$D$2:D768,D768)-1)</f>
        <v/>
      </c>
      <c r="N768" s="62" t="str">
        <f>IF(OR(D768="",NOT(G768="SUV")),"",1+SUMPRODUCT(($G$2:$G$1001="SUV")*($D$2:$D$1001&gt;D768))+COUNTIFS($G$2:G768,"SUV",$D$2:D768,D768)-1)</f>
        <v/>
      </c>
      <c r="O768" s="62" t="str">
        <f>IF(OR(D768="",NOT(AND(F768=1,G768="轿车"))),"",1+SUMPRODUCT(($F$2:$F$1001=1)*($G$2:$G$1001="轿车")*($D$2:$D$1001&gt;D768))+COUNTIFS($F$2:F768,1,$G$2:G768,"轿车",$D$2:D768,D768)-1)</f>
        <v/>
      </c>
      <c r="P768" s="62" t="str">
        <f>IF(OR(D768="",NOT(AND(F768=1,G768="MPV"))),"",1+SUMPRODUCT(($F$2:$F$1001=1)*($G$2:$G$1001="MPV")*($D$2:$D$1001&gt;D768))+COUNTIFS($F$2:F768,1,$G$2:G768,"MPV",$D$2:D768,D768)-1)</f>
        <v/>
      </c>
      <c r="Q768" s="62" t="str">
        <f>IF(OR(D768="",NOT(AND(F768=1,G768="SUV"))),"",1+SUMPRODUCT(($F$2:$F$1001=1)*($G$2:$G$1001="SUV")*($D$2:$D$1001&gt;D768))+COUNTIFS($F$2:F768,1,$G$2:G768,"SUV",$D$2:D768,D768)-1)</f>
        <v/>
      </c>
    </row>
    <row r="769" spans="1:17">
      <c r="A769" s="62" t="str">
        <f>IFERROR(INDEX($H$2:$H$3000,MATCH(0,INDEX(COUNTIF($A$1:A768,$H$2:$H$3000)+($H$2:$H$3000=""),0,0),0)),"")</f>
        <v/>
      </c>
      <c r="B769" s="62" t="str">
        <f t="shared" si="44"/>
        <v/>
      </c>
      <c r="C769" s="62" t="str">
        <f t="shared" si="45"/>
        <v/>
      </c>
      <c r="D769" s="63" t="str">
        <f t="shared" si="46"/>
        <v/>
      </c>
      <c r="E769" s="62" t="str">
        <f>IF(D769="","",_xlfn.RANK.EQ(D769,$D$2:$D$1001,0)+COUNTIF($D$2:D769,D769)-1)</f>
        <v/>
      </c>
      <c r="F769" s="62" t="str">
        <f>IF(B769="","",--(COUNTIF(CN_Brands!$A$2:$A$300,UPPER(B769))&gt;0))</f>
        <v/>
      </c>
      <c r="G769" s="62" t="str">
        <f t="shared" si="47"/>
        <v/>
      </c>
      <c r="H769" s="62" t="str">
        <f>IF(AND('Data Export'!A769=前十整体车型排名!$B$2,'Data Export'!B769=前十整体车型排名!$B$3,'Data Export'!D769&lt;&gt;""),UPPER('Data Export'!C769)&amp;"♦"&amp;'Data Export'!D769,"")</f>
        <v>SUZUKI♦JIMNY</v>
      </c>
      <c r="I769" s="63">
        <f>IF(H769="","",IFERROR(INDEX('Data Export'!G769:CZ769,1,MATCH(前十整体车型排名!$B$4,'Data Export'!$G$1:$CZ$1,0)),0))</f>
        <v>0</v>
      </c>
      <c r="J769" s="62" t="str">
        <f>IF(H769="","",IF(OR('Data Export'!F769="三厢轿车",'Data Export'!F769="掀背轿车",'Data Export'!F769="旅行车",'Data Export'!F769="微型车",'Data Export'!F769="硬顶跑车",'Data Export'!F769="敞蓬车",'Data Export'!F769="Targa"),"轿车",IF(OR('Data Export'!F769="小型MPV",'Data Export'!F769="客车"),"MPV",IF('Data Export'!F769="运动型多功能车","SUV","其他"))))</f>
        <v>SUV</v>
      </c>
      <c r="K769" s="62" t="str">
        <f>IF(OR(D769="",NOT(F769=1)),"",1+SUMPRODUCT(($F$2:$F$1001=1)*($D$2:$D$1001&gt;D769))+COUNTIFS($F$2:F769,1,$D$2:D769,D769)-1)</f>
        <v/>
      </c>
      <c r="L769" s="62" t="str">
        <f>IF(OR(D769="",NOT(G769="轿车")),"",1+SUMPRODUCT(($G$2:$G$1001="轿车")*($D$2:$D$1001&gt;D769))+COUNTIFS($G$2:G769,"轿车",$D$2:D769,D769)-1)</f>
        <v/>
      </c>
      <c r="M769" s="62" t="str">
        <f>IF(OR(D769="",NOT(G769="MPV")),"",1+SUMPRODUCT(($G$2:$G$1001="MPV")*($D$2:$D$1001&gt;D769))+COUNTIFS($G$2:G769,"MPV",$D$2:D769,D769)-1)</f>
        <v/>
      </c>
      <c r="N769" s="62" t="str">
        <f>IF(OR(D769="",NOT(G769="SUV")),"",1+SUMPRODUCT(($G$2:$G$1001="SUV")*($D$2:$D$1001&gt;D769))+COUNTIFS($G$2:G769,"SUV",$D$2:D769,D769)-1)</f>
        <v/>
      </c>
      <c r="O769" s="62" t="str">
        <f>IF(OR(D769="",NOT(AND(F769=1,G769="轿车"))),"",1+SUMPRODUCT(($F$2:$F$1001=1)*($G$2:$G$1001="轿车")*($D$2:$D$1001&gt;D769))+COUNTIFS($F$2:F769,1,$G$2:G769,"轿车",$D$2:D769,D769)-1)</f>
        <v/>
      </c>
      <c r="P769" s="62" t="str">
        <f>IF(OR(D769="",NOT(AND(F769=1,G769="MPV"))),"",1+SUMPRODUCT(($F$2:$F$1001=1)*($G$2:$G$1001="MPV")*($D$2:$D$1001&gt;D769))+COUNTIFS($F$2:F769,1,$G$2:G769,"MPV",$D$2:D769,D769)-1)</f>
        <v/>
      </c>
      <c r="Q769" s="62" t="str">
        <f>IF(OR(D769="",NOT(AND(F769=1,G769="SUV"))),"",1+SUMPRODUCT(($F$2:$F$1001=1)*($G$2:$G$1001="SUV")*($D$2:$D$1001&gt;D769))+COUNTIFS($F$2:F769,1,$G$2:G769,"SUV",$D$2:D769,D769)-1)</f>
        <v/>
      </c>
    </row>
    <row r="770" spans="1:17">
      <c r="A770" s="62" t="str">
        <f>IFERROR(INDEX($H$2:$H$3000,MATCH(0,INDEX(COUNTIF($A$1:A769,$H$2:$H$3000)+($H$2:$H$3000=""),0,0),0)),"")</f>
        <v/>
      </c>
      <c r="B770" s="62" t="str">
        <f t="shared" ref="B770:B833" si="48">IF(A770="","",LEFT(A770,FIND("♦",A770)-1))</f>
        <v/>
      </c>
      <c r="C770" s="62" t="str">
        <f t="shared" ref="C770:C833" si="49">IF(A770="","",MID(A770,FIND("♦",A770)+1,999))</f>
        <v/>
      </c>
      <c r="D770" s="63" t="str">
        <f t="shared" ref="D770:D833" si="50">IF(A770="","",SUMIF($H$2:$H$3000,A770,$I$2:$I$3000))</f>
        <v/>
      </c>
      <c r="E770" s="62" t="str">
        <f>IF(D770="","",_xlfn.RANK.EQ(D770,$D$2:$D$1001,0)+COUNTIF($D$2:D770,D770)-1)</f>
        <v/>
      </c>
      <c r="F770" s="62" t="str">
        <f>IF(B770="","",--(COUNTIF(CN_Brands!$A$2:$A$300,UPPER(B770))&gt;0))</f>
        <v/>
      </c>
      <c r="G770" s="62" t="str">
        <f t="shared" ref="G770:G833" si="51">IF(A770="","",IFERROR(INDEX($J$2:$J$3000,MATCH(A770,$H$2:$H$3000,0)),"其他"))</f>
        <v/>
      </c>
      <c r="H770" s="62" t="str">
        <f>IF(AND('Data Export'!A770=前十整体车型排名!$B$2,'Data Export'!B770=前十整体车型排名!$B$3,'Data Export'!D770&lt;&gt;""),UPPER('Data Export'!C770)&amp;"♦"&amp;'Data Export'!D770,"")</f>
        <v>SUZUKI♦JIMNY</v>
      </c>
      <c r="I770" s="63">
        <f>IF(H770="","",IFERROR(INDEX('Data Export'!G770:CZ770,1,MATCH(前十整体车型排名!$B$4,'Data Export'!$G$1:$CZ$1,0)),0))</f>
        <v>0</v>
      </c>
      <c r="J770" s="62" t="str">
        <f>IF(H770="","",IF(OR('Data Export'!F770="三厢轿车",'Data Export'!F770="掀背轿车",'Data Export'!F770="旅行车",'Data Export'!F770="微型车",'Data Export'!F770="硬顶跑车",'Data Export'!F770="敞蓬车",'Data Export'!F770="Targa"),"轿车",IF(OR('Data Export'!F770="小型MPV",'Data Export'!F770="客车"),"MPV",IF('Data Export'!F770="运动型多功能车","SUV","其他"))))</f>
        <v>SUV</v>
      </c>
      <c r="K770" s="62" t="str">
        <f>IF(OR(D770="",NOT(F770=1)),"",1+SUMPRODUCT(($F$2:$F$1001=1)*($D$2:$D$1001&gt;D770))+COUNTIFS($F$2:F770,1,$D$2:D770,D770)-1)</f>
        <v/>
      </c>
      <c r="L770" s="62" t="str">
        <f>IF(OR(D770="",NOT(G770="轿车")),"",1+SUMPRODUCT(($G$2:$G$1001="轿车")*($D$2:$D$1001&gt;D770))+COUNTIFS($G$2:G770,"轿车",$D$2:D770,D770)-1)</f>
        <v/>
      </c>
      <c r="M770" s="62" t="str">
        <f>IF(OR(D770="",NOT(G770="MPV")),"",1+SUMPRODUCT(($G$2:$G$1001="MPV")*($D$2:$D$1001&gt;D770))+COUNTIFS($G$2:G770,"MPV",$D$2:D770,D770)-1)</f>
        <v/>
      </c>
      <c r="N770" s="62" t="str">
        <f>IF(OR(D770="",NOT(G770="SUV")),"",1+SUMPRODUCT(($G$2:$G$1001="SUV")*($D$2:$D$1001&gt;D770))+COUNTIFS($G$2:G770,"SUV",$D$2:D770,D770)-1)</f>
        <v/>
      </c>
      <c r="O770" s="62" t="str">
        <f>IF(OR(D770="",NOT(AND(F770=1,G770="轿车"))),"",1+SUMPRODUCT(($F$2:$F$1001=1)*($G$2:$G$1001="轿车")*($D$2:$D$1001&gt;D770))+COUNTIFS($F$2:F770,1,$G$2:G770,"轿车",$D$2:D770,D770)-1)</f>
        <v/>
      </c>
      <c r="P770" s="62" t="str">
        <f>IF(OR(D770="",NOT(AND(F770=1,G770="MPV"))),"",1+SUMPRODUCT(($F$2:$F$1001=1)*($G$2:$G$1001="MPV")*($D$2:$D$1001&gt;D770))+COUNTIFS($F$2:F770,1,$G$2:G770,"MPV",$D$2:D770,D770)-1)</f>
        <v/>
      </c>
      <c r="Q770" s="62" t="str">
        <f>IF(OR(D770="",NOT(AND(F770=1,G770="SUV"))),"",1+SUMPRODUCT(($F$2:$F$1001=1)*($G$2:$G$1001="SUV")*($D$2:$D$1001&gt;D770))+COUNTIFS($F$2:F770,1,$G$2:G770,"SUV",$D$2:D770,D770)-1)</f>
        <v/>
      </c>
    </row>
    <row r="771" spans="1:17">
      <c r="A771" s="62" t="str">
        <f>IFERROR(INDEX($H$2:$H$3000,MATCH(0,INDEX(COUNTIF($A$1:A770,$H$2:$H$3000)+($H$2:$H$3000=""),0,0),0)),"")</f>
        <v/>
      </c>
      <c r="B771" s="62" t="str">
        <f t="shared" si="48"/>
        <v/>
      </c>
      <c r="C771" s="62" t="str">
        <f t="shared" si="49"/>
        <v/>
      </c>
      <c r="D771" s="63" t="str">
        <f t="shared" si="50"/>
        <v/>
      </c>
      <c r="E771" s="62" t="str">
        <f>IF(D771="","",_xlfn.RANK.EQ(D771,$D$2:$D$1001,0)+COUNTIF($D$2:D771,D771)-1)</f>
        <v/>
      </c>
      <c r="F771" s="62" t="str">
        <f>IF(B771="","",--(COUNTIF(CN_Brands!$A$2:$A$300,UPPER(B771))&gt;0))</f>
        <v/>
      </c>
      <c r="G771" s="62" t="str">
        <f t="shared" si="51"/>
        <v/>
      </c>
      <c r="H771" s="62" t="str">
        <f>IF(AND('Data Export'!A771=前十整体车型排名!$B$2,'Data Export'!B771=前十整体车型排名!$B$3,'Data Export'!D771&lt;&gt;""),UPPER('Data Export'!C771)&amp;"♦"&amp;'Data Export'!D771,"")</f>
        <v>SUZUKI♦JIMNY</v>
      </c>
      <c r="I771" s="63">
        <f>IF(H771="","",IFERROR(INDEX('Data Export'!G771:CZ771,1,MATCH(前十整体车型排名!$B$4,'Data Export'!$G$1:$CZ$1,0)),0))</f>
        <v>0</v>
      </c>
      <c r="J771" s="62" t="str">
        <f>IF(H771="","",IF(OR('Data Export'!F771="三厢轿车",'Data Export'!F771="掀背轿车",'Data Export'!F771="旅行车",'Data Export'!F771="微型车",'Data Export'!F771="硬顶跑车",'Data Export'!F771="敞蓬车",'Data Export'!F771="Targa"),"轿车",IF(OR('Data Export'!F771="小型MPV",'Data Export'!F771="客车"),"MPV",IF('Data Export'!F771="运动型多功能车","SUV","其他"))))</f>
        <v>SUV</v>
      </c>
      <c r="K771" s="62" t="str">
        <f>IF(OR(D771="",NOT(F771=1)),"",1+SUMPRODUCT(($F$2:$F$1001=1)*($D$2:$D$1001&gt;D771))+COUNTIFS($F$2:F771,1,$D$2:D771,D771)-1)</f>
        <v/>
      </c>
      <c r="L771" s="62" t="str">
        <f>IF(OR(D771="",NOT(G771="轿车")),"",1+SUMPRODUCT(($G$2:$G$1001="轿车")*($D$2:$D$1001&gt;D771))+COUNTIFS($G$2:G771,"轿车",$D$2:D771,D771)-1)</f>
        <v/>
      </c>
      <c r="M771" s="62" t="str">
        <f>IF(OR(D771="",NOT(G771="MPV")),"",1+SUMPRODUCT(($G$2:$G$1001="MPV")*($D$2:$D$1001&gt;D771))+COUNTIFS($G$2:G771,"MPV",$D$2:D771,D771)-1)</f>
        <v/>
      </c>
      <c r="N771" s="62" t="str">
        <f>IF(OR(D771="",NOT(G771="SUV")),"",1+SUMPRODUCT(($G$2:$G$1001="SUV")*($D$2:$D$1001&gt;D771))+COUNTIFS($G$2:G771,"SUV",$D$2:D771,D771)-1)</f>
        <v/>
      </c>
      <c r="O771" s="62" t="str">
        <f>IF(OR(D771="",NOT(AND(F771=1,G771="轿车"))),"",1+SUMPRODUCT(($F$2:$F$1001=1)*($G$2:$G$1001="轿车")*($D$2:$D$1001&gt;D771))+COUNTIFS($F$2:F771,1,$G$2:G771,"轿车",$D$2:D771,D771)-1)</f>
        <v/>
      </c>
      <c r="P771" s="62" t="str">
        <f>IF(OR(D771="",NOT(AND(F771=1,G771="MPV"))),"",1+SUMPRODUCT(($F$2:$F$1001=1)*($G$2:$G$1001="MPV")*($D$2:$D$1001&gt;D771))+COUNTIFS($F$2:F771,1,$G$2:G771,"MPV",$D$2:D771,D771)-1)</f>
        <v/>
      </c>
      <c r="Q771" s="62" t="str">
        <f>IF(OR(D771="",NOT(AND(F771=1,G771="SUV"))),"",1+SUMPRODUCT(($F$2:$F$1001=1)*($G$2:$G$1001="SUV")*($D$2:$D$1001&gt;D771))+COUNTIFS($F$2:F771,1,$G$2:G771,"SUV",$D$2:D771,D771)-1)</f>
        <v/>
      </c>
    </row>
    <row r="772" spans="1:17">
      <c r="A772" s="62" t="str">
        <f>IFERROR(INDEX($H$2:$H$3000,MATCH(0,INDEX(COUNTIF($A$1:A771,$H$2:$H$3000)+($H$2:$H$3000=""),0,0),0)),"")</f>
        <v/>
      </c>
      <c r="B772" s="62" t="str">
        <f t="shared" si="48"/>
        <v/>
      </c>
      <c r="C772" s="62" t="str">
        <f t="shared" si="49"/>
        <v/>
      </c>
      <c r="D772" s="63" t="str">
        <f t="shared" si="50"/>
        <v/>
      </c>
      <c r="E772" s="62" t="str">
        <f>IF(D772="","",_xlfn.RANK.EQ(D772,$D$2:$D$1001,0)+COUNTIF($D$2:D772,D772)-1)</f>
        <v/>
      </c>
      <c r="F772" s="62" t="str">
        <f>IF(B772="","",--(COUNTIF(CN_Brands!$A$2:$A$300,UPPER(B772))&gt;0))</f>
        <v/>
      </c>
      <c r="G772" s="62" t="str">
        <f t="shared" si="51"/>
        <v/>
      </c>
      <c r="H772" s="62" t="str">
        <f>IF(AND('Data Export'!A772=前十整体车型排名!$B$2,'Data Export'!B772=前十整体车型排名!$B$3,'Data Export'!D772&lt;&gt;""),UPPER('Data Export'!C772)&amp;"♦"&amp;'Data Export'!D772,"")</f>
        <v>SUZUKI♦JIMNY NOMADE</v>
      </c>
      <c r="I772" s="63">
        <f>IF(H772="","",IFERROR(INDEX('Data Export'!G772:CZ772,1,MATCH(前十整体车型排名!$B$4,'Data Export'!$G$1:$CZ$1,0)),0))</f>
        <v>0</v>
      </c>
      <c r="J772" s="62" t="str">
        <f>IF(H772="","",IF(OR('Data Export'!F772="三厢轿车",'Data Export'!F772="掀背轿车",'Data Export'!F772="旅行车",'Data Export'!F772="微型车",'Data Export'!F772="硬顶跑车",'Data Export'!F772="敞蓬车",'Data Export'!F772="Targa"),"轿车",IF(OR('Data Export'!F772="小型MPV",'Data Export'!F772="客车"),"MPV",IF('Data Export'!F772="运动型多功能车","SUV","其他"))))</f>
        <v>其他</v>
      </c>
      <c r="K772" s="62" t="str">
        <f>IF(OR(D772="",NOT(F772=1)),"",1+SUMPRODUCT(($F$2:$F$1001=1)*($D$2:$D$1001&gt;D772))+COUNTIFS($F$2:F772,1,$D$2:D772,D772)-1)</f>
        <v/>
      </c>
      <c r="L772" s="62" t="str">
        <f>IF(OR(D772="",NOT(G772="轿车")),"",1+SUMPRODUCT(($G$2:$G$1001="轿车")*($D$2:$D$1001&gt;D772))+COUNTIFS($G$2:G772,"轿车",$D$2:D772,D772)-1)</f>
        <v/>
      </c>
      <c r="M772" s="62" t="str">
        <f>IF(OR(D772="",NOT(G772="MPV")),"",1+SUMPRODUCT(($G$2:$G$1001="MPV")*($D$2:$D$1001&gt;D772))+COUNTIFS($G$2:G772,"MPV",$D$2:D772,D772)-1)</f>
        <v/>
      </c>
      <c r="N772" s="62" t="str">
        <f>IF(OR(D772="",NOT(G772="SUV")),"",1+SUMPRODUCT(($G$2:$G$1001="SUV")*($D$2:$D$1001&gt;D772))+COUNTIFS($G$2:G772,"SUV",$D$2:D772,D772)-1)</f>
        <v/>
      </c>
      <c r="O772" s="62" t="str">
        <f>IF(OR(D772="",NOT(AND(F772=1,G772="轿车"))),"",1+SUMPRODUCT(($F$2:$F$1001=1)*($G$2:$G$1001="轿车")*($D$2:$D$1001&gt;D772))+COUNTIFS($F$2:F772,1,$G$2:G772,"轿车",$D$2:D772,D772)-1)</f>
        <v/>
      </c>
      <c r="P772" s="62" t="str">
        <f>IF(OR(D772="",NOT(AND(F772=1,G772="MPV"))),"",1+SUMPRODUCT(($F$2:$F$1001=1)*($G$2:$G$1001="MPV")*($D$2:$D$1001&gt;D772))+COUNTIFS($F$2:F772,1,$G$2:G772,"MPV",$D$2:D772,D772)-1)</f>
        <v/>
      </c>
      <c r="Q772" s="62" t="str">
        <f>IF(OR(D772="",NOT(AND(F772=1,G772="SUV"))),"",1+SUMPRODUCT(($F$2:$F$1001=1)*($G$2:$G$1001="SUV")*($D$2:$D$1001&gt;D772))+COUNTIFS($F$2:F772,1,$G$2:G772,"SUV",$D$2:D772,D772)-1)</f>
        <v/>
      </c>
    </row>
    <row r="773" spans="1:17">
      <c r="A773" s="62" t="str">
        <f>IFERROR(INDEX($H$2:$H$3000,MATCH(0,INDEX(COUNTIF($A$1:A772,$H$2:$H$3000)+($H$2:$H$3000=""),0,0),0)),"")</f>
        <v/>
      </c>
      <c r="B773" s="62" t="str">
        <f t="shared" si="48"/>
        <v/>
      </c>
      <c r="C773" s="62" t="str">
        <f t="shared" si="49"/>
        <v/>
      </c>
      <c r="D773" s="63" t="str">
        <f t="shared" si="50"/>
        <v/>
      </c>
      <c r="E773" s="62" t="str">
        <f>IF(D773="","",_xlfn.RANK.EQ(D773,$D$2:$D$1001,0)+COUNTIF($D$2:D773,D773)-1)</f>
        <v/>
      </c>
      <c r="F773" s="62" t="str">
        <f>IF(B773="","",--(COUNTIF(CN_Brands!$A$2:$A$300,UPPER(B773))&gt;0))</f>
        <v/>
      </c>
      <c r="G773" s="62" t="str">
        <f t="shared" si="51"/>
        <v/>
      </c>
      <c r="H773" s="62" t="str">
        <f>IF(AND('Data Export'!A773=前十整体车型排名!$B$2,'Data Export'!B773=前十整体车型排名!$B$3,'Data Export'!D773&lt;&gt;""),UPPER('Data Export'!C773)&amp;"♦"&amp;'Data Export'!D773,"")</f>
        <v>SUZUKI♦JIMNY NOMADE</v>
      </c>
      <c r="I773" s="63">
        <f>IF(H773="","",IFERROR(INDEX('Data Export'!G773:CZ773,1,MATCH(前十整体车型排名!$B$4,'Data Export'!$G$1:$CZ$1,0)),0))</f>
        <v>1</v>
      </c>
      <c r="J773" s="62" t="str">
        <f>IF(H773="","",IF(OR('Data Export'!F773="三厢轿车",'Data Export'!F773="掀背轿车",'Data Export'!F773="旅行车",'Data Export'!F773="微型车",'Data Export'!F773="硬顶跑车",'Data Export'!F773="敞蓬车",'Data Export'!F773="Targa"),"轿车",IF(OR('Data Export'!F773="小型MPV",'Data Export'!F773="客车"),"MPV",IF('Data Export'!F773="运动型多功能车","SUV","其他"))))</f>
        <v>其他</v>
      </c>
      <c r="K773" s="62" t="str">
        <f>IF(OR(D773="",NOT(F773=1)),"",1+SUMPRODUCT(($F$2:$F$1001=1)*($D$2:$D$1001&gt;D773))+COUNTIFS($F$2:F773,1,$D$2:D773,D773)-1)</f>
        <v/>
      </c>
      <c r="L773" s="62" t="str">
        <f>IF(OR(D773="",NOT(G773="轿车")),"",1+SUMPRODUCT(($G$2:$G$1001="轿车")*($D$2:$D$1001&gt;D773))+COUNTIFS($G$2:G773,"轿车",$D$2:D773,D773)-1)</f>
        <v/>
      </c>
      <c r="M773" s="62" t="str">
        <f>IF(OR(D773="",NOT(G773="MPV")),"",1+SUMPRODUCT(($G$2:$G$1001="MPV")*($D$2:$D$1001&gt;D773))+COUNTIFS($G$2:G773,"MPV",$D$2:D773,D773)-1)</f>
        <v/>
      </c>
      <c r="N773" s="62" t="str">
        <f>IF(OR(D773="",NOT(G773="SUV")),"",1+SUMPRODUCT(($G$2:$G$1001="SUV")*($D$2:$D$1001&gt;D773))+COUNTIFS($G$2:G773,"SUV",$D$2:D773,D773)-1)</f>
        <v/>
      </c>
      <c r="O773" s="62" t="str">
        <f>IF(OR(D773="",NOT(AND(F773=1,G773="轿车"))),"",1+SUMPRODUCT(($F$2:$F$1001=1)*($G$2:$G$1001="轿车")*($D$2:$D$1001&gt;D773))+COUNTIFS($F$2:F773,1,$G$2:G773,"轿车",$D$2:D773,D773)-1)</f>
        <v/>
      </c>
      <c r="P773" s="62" t="str">
        <f>IF(OR(D773="",NOT(AND(F773=1,G773="MPV"))),"",1+SUMPRODUCT(($F$2:$F$1001=1)*($G$2:$G$1001="MPV")*($D$2:$D$1001&gt;D773))+COUNTIFS($F$2:F773,1,$G$2:G773,"MPV",$D$2:D773,D773)-1)</f>
        <v/>
      </c>
      <c r="Q773" s="62" t="str">
        <f>IF(OR(D773="",NOT(AND(F773=1,G773="SUV"))),"",1+SUMPRODUCT(($F$2:$F$1001=1)*($G$2:$G$1001="SUV")*($D$2:$D$1001&gt;D773))+COUNTIFS($F$2:F773,1,$G$2:G773,"SUV",$D$2:D773,D773)-1)</f>
        <v/>
      </c>
    </row>
    <row r="774" spans="1:17">
      <c r="A774" s="62" t="str">
        <f>IFERROR(INDEX($H$2:$H$3000,MATCH(0,INDEX(COUNTIF($A$1:A773,$H$2:$H$3000)+($H$2:$H$3000=""),0,0),0)),"")</f>
        <v/>
      </c>
      <c r="B774" s="62" t="str">
        <f t="shared" si="48"/>
        <v/>
      </c>
      <c r="C774" s="62" t="str">
        <f t="shared" si="49"/>
        <v/>
      </c>
      <c r="D774" s="63" t="str">
        <f t="shared" si="50"/>
        <v/>
      </c>
      <c r="E774" s="62" t="str">
        <f>IF(D774="","",_xlfn.RANK.EQ(D774,$D$2:$D$1001,0)+COUNTIF($D$2:D774,D774)-1)</f>
        <v/>
      </c>
      <c r="F774" s="62" t="str">
        <f>IF(B774="","",--(COUNTIF(CN_Brands!$A$2:$A$300,UPPER(B774))&gt;0))</f>
        <v/>
      </c>
      <c r="G774" s="62" t="str">
        <f t="shared" si="51"/>
        <v/>
      </c>
      <c r="H774" s="62" t="str">
        <f>IF(AND('Data Export'!A774=前十整体车型排名!$B$2,'Data Export'!B774=前十整体车型排名!$B$3,'Data Export'!D774&lt;&gt;""),UPPER('Data Export'!C774)&amp;"♦"&amp;'Data Export'!D774,"")</f>
        <v>SUZUKI♦JIMNY SIERRA</v>
      </c>
      <c r="I774" s="63">
        <f>IF(H774="","",IFERROR(INDEX('Data Export'!G774:CZ774,1,MATCH(前十整体车型排名!$B$4,'Data Export'!$G$1:$CZ$1,0)),0))</f>
        <v>0</v>
      </c>
      <c r="J774" s="62" t="str">
        <f>IF(H774="","",IF(OR('Data Export'!F774="三厢轿车",'Data Export'!F774="掀背轿车",'Data Export'!F774="旅行车",'Data Export'!F774="微型车",'Data Export'!F774="硬顶跑车",'Data Export'!F774="敞蓬车",'Data Export'!F774="Targa"),"轿车",IF(OR('Data Export'!F774="小型MPV",'Data Export'!F774="客车"),"MPV",IF('Data Export'!F774="运动型多功能车","SUV","其他"))))</f>
        <v>其他</v>
      </c>
      <c r="K774" s="62" t="str">
        <f>IF(OR(D774="",NOT(F774=1)),"",1+SUMPRODUCT(($F$2:$F$1001=1)*($D$2:$D$1001&gt;D774))+COUNTIFS($F$2:F774,1,$D$2:D774,D774)-1)</f>
        <v/>
      </c>
      <c r="L774" s="62" t="str">
        <f>IF(OR(D774="",NOT(G774="轿车")),"",1+SUMPRODUCT(($G$2:$G$1001="轿车")*($D$2:$D$1001&gt;D774))+COUNTIFS($G$2:G774,"轿车",$D$2:D774,D774)-1)</f>
        <v/>
      </c>
      <c r="M774" s="62" t="str">
        <f>IF(OR(D774="",NOT(G774="MPV")),"",1+SUMPRODUCT(($G$2:$G$1001="MPV")*($D$2:$D$1001&gt;D774))+COUNTIFS($G$2:G774,"MPV",$D$2:D774,D774)-1)</f>
        <v/>
      </c>
      <c r="N774" s="62" t="str">
        <f>IF(OR(D774="",NOT(G774="SUV")),"",1+SUMPRODUCT(($G$2:$G$1001="SUV")*($D$2:$D$1001&gt;D774))+COUNTIFS($G$2:G774,"SUV",$D$2:D774,D774)-1)</f>
        <v/>
      </c>
      <c r="O774" s="62" t="str">
        <f>IF(OR(D774="",NOT(AND(F774=1,G774="轿车"))),"",1+SUMPRODUCT(($F$2:$F$1001=1)*($G$2:$G$1001="轿车")*($D$2:$D$1001&gt;D774))+COUNTIFS($F$2:F774,1,$G$2:G774,"轿车",$D$2:D774,D774)-1)</f>
        <v/>
      </c>
      <c r="P774" s="62" t="str">
        <f>IF(OR(D774="",NOT(AND(F774=1,G774="MPV"))),"",1+SUMPRODUCT(($F$2:$F$1001=1)*($G$2:$G$1001="MPV")*($D$2:$D$1001&gt;D774))+COUNTIFS($F$2:F774,1,$G$2:G774,"MPV",$D$2:D774,D774)-1)</f>
        <v/>
      </c>
      <c r="Q774" s="62" t="str">
        <f>IF(OR(D774="",NOT(AND(F774=1,G774="SUV"))),"",1+SUMPRODUCT(($F$2:$F$1001=1)*($G$2:$G$1001="SUV")*($D$2:$D$1001&gt;D774))+COUNTIFS($F$2:F774,1,$G$2:G774,"SUV",$D$2:D774,D774)-1)</f>
        <v/>
      </c>
    </row>
    <row r="775" spans="1:17">
      <c r="A775" s="62" t="str">
        <f>IFERROR(INDEX($H$2:$H$3000,MATCH(0,INDEX(COUNTIF($A$1:A774,$H$2:$H$3000)+($H$2:$H$3000=""),0,0),0)),"")</f>
        <v/>
      </c>
      <c r="B775" s="62" t="str">
        <f t="shared" si="48"/>
        <v/>
      </c>
      <c r="C775" s="62" t="str">
        <f t="shared" si="49"/>
        <v/>
      </c>
      <c r="D775" s="63" t="str">
        <f t="shared" si="50"/>
        <v/>
      </c>
      <c r="E775" s="62" t="str">
        <f>IF(D775="","",_xlfn.RANK.EQ(D775,$D$2:$D$1001,0)+COUNTIF($D$2:D775,D775)-1)</f>
        <v/>
      </c>
      <c r="F775" s="62" t="str">
        <f>IF(B775="","",--(COUNTIF(CN_Brands!$A$2:$A$300,UPPER(B775))&gt;0))</f>
        <v/>
      </c>
      <c r="G775" s="62" t="str">
        <f t="shared" si="51"/>
        <v/>
      </c>
      <c r="H775" s="62" t="str">
        <f>IF(AND('Data Export'!A775=前十整体车型排名!$B$2,'Data Export'!B775=前十整体车型排名!$B$3,'Data Export'!D775&lt;&gt;""),UPPER('Data Export'!C775)&amp;"♦"&amp;'Data Export'!D775,"")</f>
        <v>SUZUKI♦JIMNY SIERRA</v>
      </c>
      <c r="I775" s="63">
        <f>IF(H775="","",IFERROR(INDEX('Data Export'!G775:CZ775,1,MATCH(前十整体车型排名!$B$4,'Data Export'!$G$1:$CZ$1,0)),0))</f>
        <v>1</v>
      </c>
      <c r="J775" s="62" t="str">
        <f>IF(H775="","",IF(OR('Data Export'!F775="三厢轿车",'Data Export'!F775="掀背轿车",'Data Export'!F775="旅行车",'Data Export'!F775="微型车",'Data Export'!F775="硬顶跑车",'Data Export'!F775="敞蓬车",'Data Export'!F775="Targa"),"轿车",IF(OR('Data Export'!F775="小型MPV",'Data Export'!F775="客车"),"MPV",IF('Data Export'!F775="运动型多功能车","SUV","其他"))))</f>
        <v>其他</v>
      </c>
      <c r="K775" s="62" t="str">
        <f>IF(OR(D775="",NOT(F775=1)),"",1+SUMPRODUCT(($F$2:$F$1001=1)*($D$2:$D$1001&gt;D775))+COUNTIFS($F$2:F775,1,$D$2:D775,D775)-1)</f>
        <v/>
      </c>
      <c r="L775" s="62" t="str">
        <f>IF(OR(D775="",NOT(G775="轿车")),"",1+SUMPRODUCT(($G$2:$G$1001="轿车")*($D$2:$D$1001&gt;D775))+COUNTIFS($G$2:G775,"轿车",$D$2:D775,D775)-1)</f>
        <v/>
      </c>
      <c r="M775" s="62" t="str">
        <f>IF(OR(D775="",NOT(G775="MPV")),"",1+SUMPRODUCT(($G$2:$G$1001="MPV")*($D$2:$D$1001&gt;D775))+COUNTIFS($G$2:G775,"MPV",$D$2:D775,D775)-1)</f>
        <v/>
      </c>
      <c r="N775" s="62" t="str">
        <f>IF(OR(D775="",NOT(G775="SUV")),"",1+SUMPRODUCT(($G$2:$G$1001="SUV")*($D$2:$D$1001&gt;D775))+COUNTIFS($G$2:G775,"SUV",$D$2:D775,D775)-1)</f>
        <v/>
      </c>
      <c r="O775" s="62" t="str">
        <f>IF(OR(D775="",NOT(AND(F775=1,G775="轿车"))),"",1+SUMPRODUCT(($F$2:$F$1001=1)*($G$2:$G$1001="轿车")*($D$2:$D$1001&gt;D775))+COUNTIFS($F$2:F775,1,$G$2:G775,"轿车",$D$2:D775,D775)-1)</f>
        <v/>
      </c>
      <c r="P775" s="62" t="str">
        <f>IF(OR(D775="",NOT(AND(F775=1,G775="MPV"))),"",1+SUMPRODUCT(($F$2:$F$1001=1)*($G$2:$G$1001="MPV")*($D$2:$D$1001&gt;D775))+COUNTIFS($F$2:F775,1,$G$2:G775,"MPV",$D$2:D775,D775)-1)</f>
        <v/>
      </c>
      <c r="Q775" s="62" t="str">
        <f>IF(OR(D775="",NOT(AND(F775=1,G775="SUV"))),"",1+SUMPRODUCT(($F$2:$F$1001=1)*($G$2:$G$1001="SUV")*($D$2:$D$1001&gt;D775))+COUNTIFS($F$2:F775,1,$G$2:G775,"SUV",$D$2:D775,D775)-1)</f>
        <v/>
      </c>
    </row>
    <row r="776" spans="1:17">
      <c r="A776" s="62" t="str">
        <f>IFERROR(INDEX($H$2:$H$3000,MATCH(0,INDEX(COUNTIF($A$1:A775,$H$2:$H$3000)+($H$2:$H$3000=""),0,0),0)),"")</f>
        <v/>
      </c>
      <c r="B776" s="62" t="str">
        <f t="shared" si="48"/>
        <v/>
      </c>
      <c r="C776" s="62" t="str">
        <f t="shared" si="49"/>
        <v/>
      </c>
      <c r="D776" s="63" t="str">
        <f t="shared" si="50"/>
        <v/>
      </c>
      <c r="E776" s="62" t="str">
        <f>IF(D776="","",_xlfn.RANK.EQ(D776,$D$2:$D$1001,0)+COUNTIF($D$2:D776,D776)-1)</f>
        <v/>
      </c>
      <c r="F776" s="62" t="str">
        <f>IF(B776="","",--(COUNTIF(CN_Brands!$A$2:$A$300,UPPER(B776))&gt;0))</f>
        <v/>
      </c>
      <c r="G776" s="62" t="str">
        <f t="shared" si="51"/>
        <v/>
      </c>
      <c r="H776" s="62" t="str">
        <f>IF(AND('Data Export'!A776=前十整体车型排名!$B$2,'Data Export'!B776=前十整体车型排名!$B$3,'Data Export'!D776&lt;&gt;""),UPPER('Data Export'!C776)&amp;"♦"&amp;'Data Export'!D776,"")</f>
        <v>SUZUKI♦JIMNY SIERRA</v>
      </c>
      <c r="I776" s="63">
        <f>IF(H776="","",IFERROR(INDEX('Data Export'!G776:CZ776,1,MATCH(前十整体车型排名!$B$4,'Data Export'!$G$1:$CZ$1,0)),0))</f>
        <v>0</v>
      </c>
      <c r="J776" s="62" t="str">
        <f>IF(H776="","",IF(OR('Data Export'!F776="三厢轿车",'Data Export'!F776="掀背轿车",'Data Export'!F776="旅行车",'Data Export'!F776="微型车",'Data Export'!F776="硬顶跑车",'Data Export'!F776="敞蓬车",'Data Export'!F776="Targa"),"轿车",IF(OR('Data Export'!F776="小型MPV",'Data Export'!F776="客车"),"MPV",IF('Data Export'!F776="运动型多功能车","SUV","其他"))))</f>
        <v>其他</v>
      </c>
      <c r="K776" s="62" t="str">
        <f>IF(OR(D776="",NOT(F776=1)),"",1+SUMPRODUCT(($F$2:$F$1001=1)*($D$2:$D$1001&gt;D776))+COUNTIFS($F$2:F776,1,$D$2:D776,D776)-1)</f>
        <v/>
      </c>
      <c r="L776" s="62" t="str">
        <f>IF(OR(D776="",NOT(G776="轿车")),"",1+SUMPRODUCT(($G$2:$G$1001="轿车")*($D$2:$D$1001&gt;D776))+COUNTIFS($G$2:G776,"轿车",$D$2:D776,D776)-1)</f>
        <v/>
      </c>
      <c r="M776" s="62" t="str">
        <f>IF(OR(D776="",NOT(G776="MPV")),"",1+SUMPRODUCT(($G$2:$G$1001="MPV")*($D$2:$D$1001&gt;D776))+COUNTIFS($G$2:G776,"MPV",$D$2:D776,D776)-1)</f>
        <v/>
      </c>
      <c r="N776" s="62" t="str">
        <f>IF(OR(D776="",NOT(G776="SUV")),"",1+SUMPRODUCT(($G$2:$G$1001="SUV")*($D$2:$D$1001&gt;D776))+COUNTIFS($G$2:G776,"SUV",$D$2:D776,D776)-1)</f>
        <v/>
      </c>
      <c r="O776" s="62" t="str">
        <f>IF(OR(D776="",NOT(AND(F776=1,G776="轿车"))),"",1+SUMPRODUCT(($F$2:$F$1001=1)*($G$2:$G$1001="轿车")*($D$2:$D$1001&gt;D776))+COUNTIFS($F$2:F776,1,$G$2:G776,"轿车",$D$2:D776,D776)-1)</f>
        <v/>
      </c>
      <c r="P776" s="62" t="str">
        <f>IF(OR(D776="",NOT(AND(F776=1,G776="MPV"))),"",1+SUMPRODUCT(($F$2:$F$1001=1)*($G$2:$G$1001="MPV")*($D$2:$D$1001&gt;D776))+COUNTIFS($F$2:F776,1,$G$2:G776,"MPV",$D$2:D776,D776)-1)</f>
        <v/>
      </c>
      <c r="Q776" s="62" t="str">
        <f>IF(OR(D776="",NOT(AND(F776=1,G776="SUV"))),"",1+SUMPRODUCT(($F$2:$F$1001=1)*($G$2:$G$1001="SUV")*($D$2:$D$1001&gt;D776))+COUNTIFS($F$2:F776,1,$G$2:G776,"SUV",$D$2:D776,D776)-1)</f>
        <v/>
      </c>
    </row>
    <row r="777" spans="1:17">
      <c r="A777" s="62" t="str">
        <f>IFERROR(INDEX($H$2:$H$3000,MATCH(0,INDEX(COUNTIF($A$1:A776,$H$2:$H$3000)+($H$2:$H$3000=""),0,0),0)),"")</f>
        <v/>
      </c>
      <c r="B777" s="62" t="str">
        <f t="shared" si="48"/>
        <v/>
      </c>
      <c r="C777" s="62" t="str">
        <f t="shared" si="49"/>
        <v/>
      </c>
      <c r="D777" s="63" t="str">
        <f t="shared" si="50"/>
        <v/>
      </c>
      <c r="E777" s="62" t="str">
        <f>IF(D777="","",_xlfn.RANK.EQ(D777,$D$2:$D$1001,0)+COUNTIF($D$2:D777,D777)-1)</f>
        <v/>
      </c>
      <c r="F777" s="62" t="str">
        <f>IF(B777="","",--(COUNTIF(CN_Brands!$A$2:$A$300,UPPER(B777))&gt;0))</f>
        <v/>
      </c>
      <c r="G777" s="62" t="str">
        <f t="shared" si="51"/>
        <v/>
      </c>
      <c r="H777" s="62" t="str">
        <f>IF(AND('Data Export'!A777=前十整体车型排名!$B$2,'Data Export'!B777=前十整体车型排名!$B$3,'Data Export'!D777&lt;&gt;""),UPPER('Data Export'!C777)&amp;"♦"&amp;'Data Export'!D777,"")</f>
        <v>SUZUKI♦JIMNY SIERRA</v>
      </c>
      <c r="I777" s="63">
        <f>IF(H777="","",IFERROR(INDEX('Data Export'!G777:CZ777,1,MATCH(前十整体车型排名!$B$4,'Data Export'!$G$1:$CZ$1,0)),0))</f>
        <v>0</v>
      </c>
      <c r="J777" s="62" t="str">
        <f>IF(H777="","",IF(OR('Data Export'!F777="三厢轿车",'Data Export'!F777="掀背轿车",'Data Export'!F777="旅行车",'Data Export'!F777="微型车",'Data Export'!F777="硬顶跑车",'Data Export'!F777="敞蓬车",'Data Export'!F777="Targa"),"轿车",IF(OR('Data Export'!F777="小型MPV",'Data Export'!F777="客车"),"MPV",IF('Data Export'!F777="运动型多功能车","SUV","其他"))))</f>
        <v>其他</v>
      </c>
      <c r="K777" s="62" t="str">
        <f>IF(OR(D777="",NOT(F777=1)),"",1+SUMPRODUCT(($F$2:$F$1001=1)*($D$2:$D$1001&gt;D777))+COUNTIFS($F$2:F777,1,$D$2:D777,D777)-1)</f>
        <v/>
      </c>
      <c r="L777" s="62" t="str">
        <f>IF(OR(D777="",NOT(G777="轿车")),"",1+SUMPRODUCT(($G$2:$G$1001="轿车")*($D$2:$D$1001&gt;D777))+COUNTIFS($G$2:G777,"轿车",$D$2:D777,D777)-1)</f>
        <v/>
      </c>
      <c r="M777" s="62" t="str">
        <f>IF(OR(D777="",NOT(G777="MPV")),"",1+SUMPRODUCT(($G$2:$G$1001="MPV")*($D$2:$D$1001&gt;D777))+COUNTIFS($G$2:G777,"MPV",$D$2:D777,D777)-1)</f>
        <v/>
      </c>
      <c r="N777" s="62" t="str">
        <f>IF(OR(D777="",NOT(G777="SUV")),"",1+SUMPRODUCT(($G$2:$G$1001="SUV")*($D$2:$D$1001&gt;D777))+COUNTIFS($G$2:G777,"SUV",$D$2:D777,D777)-1)</f>
        <v/>
      </c>
      <c r="O777" s="62" t="str">
        <f>IF(OR(D777="",NOT(AND(F777=1,G777="轿车"))),"",1+SUMPRODUCT(($F$2:$F$1001=1)*($G$2:$G$1001="轿车")*($D$2:$D$1001&gt;D777))+COUNTIFS($F$2:F777,1,$G$2:G777,"轿车",$D$2:D777,D777)-1)</f>
        <v/>
      </c>
      <c r="P777" s="62" t="str">
        <f>IF(OR(D777="",NOT(AND(F777=1,G777="MPV"))),"",1+SUMPRODUCT(($F$2:$F$1001=1)*($G$2:$G$1001="MPV")*($D$2:$D$1001&gt;D777))+COUNTIFS($F$2:F777,1,$G$2:G777,"MPV",$D$2:D777,D777)-1)</f>
        <v/>
      </c>
      <c r="Q777" s="62" t="str">
        <f>IF(OR(D777="",NOT(AND(F777=1,G777="SUV"))),"",1+SUMPRODUCT(($F$2:$F$1001=1)*($G$2:$G$1001="SUV")*($D$2:$D$1001&gt;D777))+COUNTIFS($F$2:F777,1,$G$2:G777,"SUV",$D$2:D777,D777)-1)</f>
        <v/>
      </c>
    </row>
    <row r="778" spans="1:17">
      <c r="A778" s="62" t="str">
        <f>IFERROR(INDEX($H$2:$H$3000,MATCH(0,INDEX(COUNTIF($A$1:A777,$H$2:$H$3000)+($H$2:$H$3000=""),0,0),0)),"")</f>
        <v/>
      </c>
      <c r="B778" s="62" t="str">
        <f t="shared" si="48"/>
        <v/>
      </c>
      <c r="C778" s="62" t="str">
        <f t="shared" si="49"/>
        <v/>
      </c>
      <c r="D778" s="63" t="str">
        <f t="shared" si="50"/>
        <v/>
      </c>
      <c r="E778" s="62" t="str">
        <f>IF(D778="","",_xlfn.RANK.EQ(D778,$D$2:$D$1001,0)+COUNTIF($D$2:D778,D778)-1)</f>
        <v/>
      </c>
      <c r="F778" s="62" t="str">
        <f>IF(B778="","",--(COUNTIF(CN_Brands!$A$2:$A$300,UPPER(B778))&gt;0))</f>
        <v/>
      </c>
      <c r="G778" s="62" t="str">
        <f t="shared" si="51"/>
        <v/>
      </c>
      <c r="H778" s="62" t="str">
        <f>IF(AND('Data Export'!A778=前十整体车型排名!$B$2,'Data Export'!B778=前十整体车型排名!$B$3,'Data Export'!D778&lt;&gt;""),UPPER('Data Export'!C778)&amp;"♦"&amp;'Data Export'!D778,"")</f>
        <v>SUZUKI♦JIMNY SIERRA</v>
      </c>
      <c r="I778" s="63">
        <f>IF(H778="","",IFERROR(INDEX('Data Export'!G778:CZ778,1,MATCH(前十整体车型排名!$B$4,'Data Export'!$G$1:$CZ$1,0)),0))</f>
        <v>0</v>
      </c>
      <c r="J778" s="62" t="str">
        <f>IF(H778="","",IF(OR('Data Export'!F778="三厢轿车",'Data Export'!F778="掀背轿车",'Data Export'!F778="旅行车",'Data Export'!F778="微型车",'Data Export'!F778="硬顶跑车",'Data Export'!F778="敞蓬车",'Data Export'!F778="Targa"),"轿车",IF(OR('Data Export'!F778="小型MPV",'Data Export'!F778="客车"),"MPV",IF('Data Export'!F778="运动型多功能车","SUV","其他"))))</f>
        <v>其他</v>
      </c>
      <c r="K778" s="62" t="str">
        <f>IF(OR(D778="",NOT(F778=1)),"",1+SUMPRODUCT(($F$2:$F$1001=1)*($D$2:$D$1001&gt;D778))+COUNTIFS($F$2:F778,1,$D$2:D778,D778)-1)</f>
        <v/>
      </c>
      <c r="L778" s="62" t="str">
        <f>IF(OR(D778="",NOT(G778="轿车")),"",1+SUMPRODUCT(($G$2:$G$1001="轿车")*($D$2:$D$1001&gt;D778))+COUNTIFS($G$2:G778,"轿车",$D$2:D778,D778)-1)</f>
        <v/>
      </c>
      <c r="M778" s="62" t="str">
        <f>IF(OR(D778="",NOT(G778="MPV")),"",1+SUMPRODUCT(($G$2:$G$1001="MPV")*($D$2:$D$1001&gt;D778))+COUNTIFS($G$2:G778,"MPV",$D$2:D778,D778)-1)</f>
        <v/>
      </c>
      <c r="N778" s="62" t="str">
        <f>IF(OR(D778="",NOT(G778="SUV")),"",1+SUMPRODUCT(($G$2:$G$1001="SUV")*($D$2:$D$1001&gt;D778))+COUNTIFS($G$2:G778,"SUV",$D$2:D778,D778)-1)</f>
        <v/>
      </c>
      <c r="O778" s="62" t="str">
        <f>IF(OR(D778="",NOT(AND(F778=1,G778="轿车"))),"",1+SUMPRODUCT(($F$2:$F$1001=1)*($G$2:$G$1001="轿车")*($D$2:$D$1001&gt;D778))+COUNTIFS($F$2:F778,1,$G$2:G778,"轿车",$D$2:D778,D778)-1)</f>
        <v/>
      </c>
      <c r="P778" s="62" t="str">
        <f>IF(OR(D778="",NOT(AND(F778=1,G778="MPV"))),"",1+SUMPRODUCT(($F$2:$F$1001=1)*($G$2:$G$1001="MPV")*($D$2:$D$1001&gt;D778))+COUNTIFS($F$2:F778,1,$G$2:G778,"MPV",$D$2:D778,D778)-1)</f>
        <v/>
      </c>
      <c r="Q778" s="62" t="str">
        <f>IF(OR(D778="",NOT(AND(F778=1,G778="SUV"))),"",1+SUMPRODUCT(($F$2:$F$1001=1)*($G$2:$G$1001="SUV")*($D$2:$D$1001&gt;D778))+COUNTIFS($F$2:F778,1,$G$2:G778,"SUV",$D$2:D778,D778)-1)</f>
        <v/>
      </c>
    </row>
    <row r="779" spans="1:17">
      <c r="A779" s="62" t="str">
        <f>IFERROR(INDEX($H$2:$H$3000,MATCH(0,INDEX(COUNTIF($A$1:A778,$H$2:$H$3000)+($H$2:$H$3000=""),0,0),0)),"")</f>
        <v/>
      </c>
      <c r="B779" s="62" t="str">
        <f t="shared" si="48"/>
        <v/>
      </c>
      <c r="C779" s="62" t="str">
        <f t="shared" si="49"/>
        <v/>
      </c>
      <c r="D779" s="63" t="str">
        <f t="shared" si="50"/>
        <v/>
      </c>
      <c r="E779" s="62" t="str">
        <f>IF(D779="","",_xlfn.RANK.EQ(D779,$D$2:$D$1001,0)+COUNTIF($D$2:D779,D779)-1)</f>
        <v/>
      </c>
      <c r="F779" s="62" t="str">
        <f>IF(B779="","",--(COUNTIF(CN_Brands!$A$2:$A$300,UPPER(B779))&gt;0))</f>
        <v/>
      </c>
      <c r="G779" s="62" t="str">
        <f t="shared" si="51"/>
        <v/>
      </c>
      <c r="H779" s="62" t="str">
        <f>IF(AND('Data Export'!A779=前十整体车型排名!$B$2,'Data Export'!B779=前十整体车型排名!$B$3,'Data Export'!D779&lt;&gt;""),UPPER('Data Export'!C779)&amp;"♦"&amp;'Data Export'!D779,"")</f>
        <v>SUZUKI♦JIMNY SIERRA</v>
      </c>
      <c r="I779" s="63">
        <f>IF(H779="","",IFERROR(INDEX('Data Export'!G779:CZ779,1,MATCH(前十整体车型排名!$B$4,'Data Export'!$G$1:$CZ$1,0)),0))</f>
        <v>3</v>
      </c>
      <c r="J779" s="62" t="str">
        <f>IF(H779="","",IF(OR('Data Export'!F779="三厢轿车",'Data Export'!F779="掀背轿车",'Data Export'!F779="旅行车",'Data Export'!F779="微型车",'Data Export'!F779="硬顶跑车",'Data Export'!F779="敞蓬车",'Data Export'!F779="Targa"),"轿车",IF(OR('Data Export'!F779="小型MPV",'Data Export'!F779="客车"),"MPV",IF('Data Export'!F779="运动型多功能车","SUV","其他"))))</f>
        <v>其他</v>
      </c>
      <c r="K779" s="62" t="str">
        <f>IF(OR(D779="",NOT(F779=1)),"",1+SUMPRODUCT(($F$2:$F$1001=1)*($D$2:$D$1001&gt;D779))+COUNTIFS($F$2:F779,1,$D$2:D779,D779)-1)</f>
        <v/>
      </c>
      <c r="L779" s="62" t="str">
        <f>IF(OR(D779="",NOT(G779="轿车")),"",1+SUMPRODUCT(($G$2:$G$1001="轿车")*($D$2:$D$1001&gt;D779))+COUNTIFS($G$2:G779,"轿车",$D$2:D779,D779)-1)</f>
        <v/>
      </c>
      <c r="M779" s="62" t="str">
        <f>IF(OR(D779="",NOT(G779="MPV")),"",1+SUMPRODUCT(($G$2:$G$1001="MPV")*($D$2:$D$1001&gt;D779))+COUNTIFS($G$2:G779,"MPV",$D$2:D779,D779)-1)</f>
        <v/>
      </c>
      <c r="N779" s="62" t="str">
        <f>IF(OR(D779="",NOT(G779="SUV")),"",1+SUMPRODUCT(($G$2:$G$1001="SUV")*($D$2:$D$1001&gt;D779))+COUNTIFS($G$2:G779,"SUV",$D$2:D779,D779)-1)</f>
        <v/>
      </c>
      <c r="O779" s="62" t="str">
        <f>IF(OR(D779="",NOT(AND(F779=1,G779="轿车"))),"",1+SUMPRODUCT(($F$2:$F$1001=1)*($G$2:$G$1001="轿车")*($D$2:$D$1001&gt;D779))+COUNTIFS($F$2:F779,1,$G$2:G779,"轿车",$D$2:D779,D779)-1)</f>
        <v/>
      </c>
      <c r="P779" s="62" t="str">
        <f>IF(OR(D779="",NOT(AND(F779=1,G779="MPV"))),"",1+SUMPRODUCT(($F$2:$F$1001=1)*($G$2:$G$1001="MPV")*($D$2:$D$1001&gt;D779))+COUNTIFS($F$2:F779,1,$G$2:G779,"MPV",$D$2:D779,D779)-1)</f>
        <v/>
      </c>
      <c r="Q779" s="62" t="str">
        <f>IF(OR(D779="",NOT(AND(F779=1,G779="SUV"))),"",1+SUMPRODUCT(($F$2:$F$1001=1)*($G$2:$G$1001="SUV")*($D$2:$D$1001&gt;D779))+COUNTIFS($F$2:F779,1,$G$2:G779,"SUV",$D$2:D779,D779)-1)</f>
        <v/>
      </c>
    </row>
    <row r="780" spans="1:17">
      <c r="A780" s="62" t="str">
        <f>IFERROR(INDEX($H$2:$H$3000,MATCH(0,INDEX(COUNTIF($A$1:A779,$H$2:$H$3000)+($H$2:$H$3000=""),0,0),0)),"")</f>
        <v/>
      </c>
      <c r="B780" s="62" t="str">
        <f t="shared" si="48"/>
        <v/>
      </c>
      <c r="C780" s="62" t="str">
        <f t="shared" si="49"/>
        <v/>
      </c>
      <c r="D780" s="63" t="str">
        <f t="shared" si="50"/>
        <v/>
      </c>
      <c r="E780" s="62" t="str">
        <f>IF(D780="","",_xlfn.RANK.EQ(D780,$D$2:$D$1001,0)+COUNTIF($D$2:D780,D780)-1)</f>
        <v/>
      </c>
      <c r="F780" s="62" t="str">
        <f>IF(B780="","",--(COUNTIF(CN_Brands!$A$2:$A$300,UPPER(B780))&gt;0))</f>
        <v/>
      </c>
      <c r="G780" s="62" t="str">
        <f t="shared" si="51"/>
        <v/>
      </c>
      <c r="H780" s="62" t="str">
        <f>IF(AND('Data Export'!A780=前十整体车型排名!$B$2,'Data Export'!B780=前十整体车型排名!$B$3,'Data Export'!D780&lt;&gt;""),UPPER('Data Export'!C780)&amp;"♦"&amp;'Data Export'!D780,"")</f>
        <v>SUZUKI♦SPACIA</v>
      </c>
      <c r="I780" s="63">
        <f>IF(H780="","",IFERROR(INDEX('Data Export'!G780:CZ780,1,MATCH(前十整体车型排名!$B$4,'Data Export'!$G$1:$CZ$1,0)),0))</f>
        <v>0</v>
      </c>
      <c r="J780" s="62" t="str">
        <f>IF(H780="","",IF(OR('Data Export'!F780="三厢轿车",'Data Export'!F780="掀背轿车",'Data Export'!F780="旅行车",'Data Export'!F780="微型车",'Data Export'!F780="硬顶跑车",'Data Export'!F780="敞蓬车",'Data Export'!F780="Targa"),"轿车",IF(OR('Data Export'!F780="小型MPV",'Data Export'!F780="客车"),"MPV",IF('Data Export'!F780="运动型多功能车","SUV","其他"))))</f>
        <v>其他</v>
      </c>
      <c r="K780" s="62" t="str">
        <f>IF(OR(D780="",NOT(F780=1)),"",1+SUMPRODUCT(($F$2:$F$1001=1)*($D$2:$D$1001&gt;D780))+COUNTIFS($F$2:F780,1,$D$2:D780,D780)-1)</f>
        <v/>
      </c>
      <c r="L780" s="62" t="str">
        <f>IF(OR(D780="",NOT(G780="轿车")),"",1+SUMPRODUCT(($G$2:$G$1001="轿车")*($D$2:$D$1001&gt;D780))+COUNTIFS($G$2:G780,"轿车",$D$2:D780,D780)-1)</f>
        <v/>
      </c>
      <c r="M780" s="62" t="str">
        <f>IF(OR(D780="",NOT(G780="MPV")),"",1+SUMPRODUCT(($G$2:$G$1001="MPV")*($D$2:$D$1001&gt;D780))+COUNTIFS($G$2:G780,"MPV",$D$2:D780,D780)-1)</f>
        <v/>
      </c>
      <c r="N780" s="62" t="str">
        <f>IF(OR(D780="",NOT(G780="SUV")),"",1+SUMPRODUCT(($G$2:$G$1001="SUV")*($D$2:$D$1001&gt;D780))+COUNTIFS($G$2:G780,"SUV",$D$2:D780,D780)-1)</f>
        <v/>
      </c>
      <c r="O780" s="62" t="str">
        <f>IF(OR(D780="",NOT(AND(F780=1,G780="轿车"))),"",1+SUMPRODUCT(($F$2:$F$1001=1)*($G$2:$G$1001="轿车")*($D$2:$D$1001&gt;D780))+COUNTIFS($F$2:F780,1,$G$2:G780,"轿车",$D$2:D780,D780)-1)</f>
        <v/>
      </c>
      <c r="P780" s="62" t="str">
        <f>IF(OR(D780="",NOT(AND(F780=1,G780="MPV"))),"",1+SUMPRODUCT(($F$2:$F$1001=1)*($G$2:$G$1001="MPV")*($D$2:$D$1001&gt;D780))+COUNTIFS($F$2:F780,1,$G$2:G780,"MPV",$D$2:D780,D780)-1)</f>
        <v/>
      </c>
      <c r="Q780" s="62" t="str">
        <f>IF(OR(D780="",NOT(AND(F780=1,G780="SUV"))),"",1+SUMPRODUCT(($F$2:$F$1001=1)*($G$2:$G$1001="SUV")*($D$2:$D$1001&gt;D780))+COUNTIFS($F$2:F780,1,$G$2:G780,"SUV",$D$2:D780,D780)-1)</f>
        <v/>
      </c>
    </row>
    <row r="781" spans="1:17">
      <c r="A781" s="62" t="str">
        <f>IFERROR(INDEX($H$2:$H$3000,MATCH(0,INDEX(COUNTIF($A$1:A780,$H$2:$H$3000)+($H$2:$H$3000=""),0,0),0)),"")</f>
        <v/>
      </c>
      <c r="B781" s="62" t="str">
        <f t="shared" si="48"/>
        <v/>
      </c>
      <c r="C781" s="62" t="str">
        <f t="shared" si="49"/>
        <v/>
      </c>
      <c r="D781" s="63" t="str">
        <f t="shared" si="50"/>
        <v/>
      </c>
      <c r="E781" s="62" t="str">
        <f>IF(D781="","",_xlfn.RANK.EQ(D781,$D$2:$D$1001,0)+COUNTIF($D$2:D781,D781)-1)</f>
        <v/>
      </c>
      <c r="F781" s="62" t="str">
        <f>IF(B781="","",--(COUNTIF(CN_Brands!$A$2:$A$300,UPPER(B781))&gt;0))</f>
        <v/>
      </c>
      <c r="G781" s="62" t="str">
        <f t="shared" si="51"/>
        <v/>
      </c>
      <c r="H781" s="62" t="str">
        <f>IF(AND('Data Export'!A781=前十整体车型排名!$B$2,'Data Export'!B781=前十整体车型排名!$B$3,'Data Export'!D781&lt;&gt;""),UPPER('Data Export'!C781)&amp;"♦"&amp;'Data Export'!D781,"")</f>
        <v>SUZUKI♦SWIFT</v>
      </c>
      <c r="I781" s="63">
        <f>IF(H781="","",IFERROR(INDEX('Data Export'!G781:CZ781,1,MATCH(前十整体车型排名!$B$4,'Data Export'!$G$1:$CZ$1,0)),0))</f>
        <v>60</v>
      </c>
      <c r="J781" s="62" t="str">
        <f>IF(H781="","",IF(OR('Data Export'!F781="三厢轿车",'Data Export'!F781="掀背轿车",'Data Export'!F781="旅行车",'Data Export'!F781="微型车",'Data Export'!F781="硬顶跑车",'Data Export'!F781="敞蓬车",'Data Export'!F781="Targa"),"轿车",IF(OR('Data Export'!F781="小型MPV",'Data Export'!F781="客车"),"MPV",IF('Data Export'!F781="运动型多功能车","SUV","其他"))))</f>
        <v>轿车</v>
      </c>
      <c r="K781" s="62" t="str">
        <f>IF(OR(D781="",NOT(F781=1)),"",1+SUMPRODUCT(($F$2:$F$1001=1)*($D$2:$D$1001&gt;D781))+COUNTIFS($F$2:F781,1,$D$2:D781,D781)-1)</f>
        <v/>
      </c>
      <c r="L781" s="62" t="str">
        <f>IF(OR(D781="",NOT(G781="轿车")),"",1+SUMPRODUCT(($G$2:$G$1001="轿车")*($D$2:$D$1001&gt;D781))+COUNTIFS($G$2:G781,"轿车",$D$2:D781,D781)-1)</f>
        <v/>
      </c>
      <c r="M781" s="62" t="str">
        <f>IF(OR(D781="",NOT(G781="MPV")),"",1+SUMPRODUCT(($G$2:$G$1001="MPV")*($D$2:$D$1001&gt;D781))+COUNTIFS($G$2:G781,"MPV",$D$2:D781,D781)-1)</f>
        <v/>
      </c>
      <c r="N781" s="62" t="str">
        <f>IF(OR(D781="",NOT(G781="SUV")),"",1+SUMPRODUCT(($G$2:$G$1001="SUV")*($D$2:$D$1001&gt;D781))+COUNTIFS($G$2:G781,"SUV",$D$2:D781,D781)-1)</f>
        <v/>
      </c>
      <c r="O781" s="62" t="str">
        <f>IF(OR(D781="",NOT(AND(F781=1,G781="轿车"))),"",1+SUMPRODUCT(($F$2:$F$1001=1)*($G$2:$G$1001="轿车")*($D$2:$D$1001&gt;D781))+COUNTIFS($F$2:F781,1,$G$2:G781,"轿车",$D$2:D781,D781)-1)</f>
        <v/>
      </c>
      <c r="P781" s="62" t="str">
        <f>IF(OR(D781="",NOT(AND(F781=1,G781="MPV"))),"",1+SUMPRODUCT(($F$2:$F$1001=1)*($G$2:$G$1001="MPV")*($D$2:$D$1001&gt;D781))+COUNTIFS($F$2:F781,1,$G$2:G781,"MPV",$D$2:D781,D781)-1)</f>
        <v/>
      </c>
      <c r="Q781" s="62" t="str">
        <f>IF(OR(D781="",NOT(AND(F781=1,G781="SUV"))),"",1+SUMPRODUCT(($F$2:$F$1001=1)*($G$2:$G$1001="SUV")*($D$2:$D$1001&gt;D781))+COUNTIFS($F$2:F781,1,$G$2:G781,"SUV",$D$2:D781,D781)-1)</f>
        <v/>
      </c>
    </row>
    <row r="782" spans="1:17">
      <c r="A782" s="62" t="str">
        <f>IFERROR(INDEX($H$2:$H$3000,MATCH(0,INDEX(COUNTIF($A$1:A781,$H$2:$H$3000)+($H$2:$H$3000=""),0,0),0)),"")</f>
        <v/>
      </c>
      <c r="B782" s="62" t="str">
        <f t="shared" si="48"/>
        <v/>
      </c>
      <c r="C782" s="62" t="str">
        <f t="shared" si="49"/>
        <v/>
      </c>
      <c r="D782" s="63" t="str">
        <f t="shared" si="50"/>
        <v/>
      </c>
      <c r="E782" s="62" t="str">
        <f>IF(D782="","",_xlfn.RANK.EQ(D782,$D$2:$D$1001,0)+COUNTIF($D$2:D782,D782)-1)</f>
        <v/>
      </c>
      <c r="F782" s="62" t="str">
        <f>IF(B782="","",--(COUNTIF(CN_Brands!$A$2:$A$300,UPPER(B782))&gt;0))</f>
        <v/>
      </c>
      <c r="G782" s="62" t="str">
        <f t="shared" si="51"/>
        <v/>
      </c>
      <c r="H782" s="62" t="str">
        <f>IF(AND('Data Export'!A782=前十整体车型排名!$B$2,'Data Export'!B782=前十整体车型排名!$B$3,'Data Export'!D782&lt;&gt;""),UPPER('Data Export'!C782)&amp;"♦"&amp;'Data Export'!D782,"")</f>
        <v>SUZUKI♦SWIFT</v>
      </c>
      <c r="I782" s="63">
        <f>IF(H782="","",IFERROR(INDEX('Data Export'!G782:CZ782,1,MATCH(前十整体车型排名!$B$4,'Data Export'!$G$1:$CZ$1,0)),0))</f>
        <v>15</v>
      </c>
      <c r="J782" s="62" t="str">
        <f>IF(H782="","",IF(OR('Data Export'!F782="三厢轿车",'Data Export'!F782="掀背轿车",'Data Export'!F782="旅行车",'Data Export'!F782="微型车",'Data Export'!F782="硬顶跑车",'Data Export'!F782="敞蓬车",'Data Export'!F782="Targa"),"轿车",IF(OR('Data Export'!F782="小型MPV",'Data Export'!F782="客车"),"MPV",IF('Data Export'!F782="运动型多功能车","SUV","其他"))))</f>
        <v>轿车</v>
      </c>
      <c r="K782" s="62" t="str">
        <f>IF(OR(D782="",NOT(F782=1)),"",1+SUMPRODUCT(($F$2:$F$1001=1)*($D$2:$D$1001&gt;D782))+COUNTIFS($F$2:F782,1,$D$2:D782,D782)-1)</f>
        <v/>
      </c>
      <c r="L782" s="62" t="str">
        <f>IF(OR(D782="",NOT(G782="轿车")),"",1+SUMPRODUCT(($G$2:$G$1001="轿车")*($D$2:$D$1001&gt;D782))+COUNTIFS($G$2:G782,"轿车",$D$2:D782,D782)-1)</f>
        <v/>
      </c>
      <c r="M782" s="62" t="str">
        <f>IF(OR(D782="",NOT(G782="MPV")),"",1+SUMPRODUCT(($G$2:$G$1001="MPV")*($D$2:$D$1001&gt;D782))+COUNTIFS($G$2:G782,"MPV",$D$2:D782,D782)-1)</f>
        <v/>
      </c>
      <c r="N782" s="62" t="str">
        <f>IF(OR(D782="",NOT(G782="SUV")),"",1+SUMPRODUCT(($G$2:$G$1001="SUV")*($D$2:$D$1001&gt;D782))+COUNTIFS($G$2:G782,"SUV",$D$2:D782,D782)-1)</f>
        <v/>
      </c>
      <c r="O782" s="62" t="str">
        <f>IF(OR(D782="",NOT(AND(F782=1,G782="轿车"))),"",1+SUMPRODUCT(($F$2:$F$1001=1)*($G$2:$G$1001="轿车")*($D$2:$D$1001&gt;D782))+COUNTIFS($F$2:F782,1,$G$2:G782,"轿车",$D$2:D782,D782)-1)</f>
        <v/>
      </c>
      <c r="P782" s="62" t="str">
        <f>IF(OR(D782="",NOT(AND(F782=1,G782="MPV"))),"",1+SUMPRODUCT(($F$2:$F$1001=1)*($G$2:$G$1001="MPV")*($D$2:$D$1001&gt;D782))+COUNTIFS($F$2:F782,1,$G$2:G782,"MPV",$D$2:D782,D782)-1)</f>
        <v/>
      </c>
      <c r="Q782" s="62" t="str">
        <f>IF(OR(D782="",NOT(AND(F782=1,G782="SUV"))),"",1+SUMPRODUCT(($F$2:$F$1001=1)*($G$2:$G$1001="SUV")*($D$2:$D$1001&gt;D782))+COUNTIFS($F$2:F782,1,$G$2:G782,"SUV",$D$2:D782,D782)-1)</f>
        <v/>
      </c>
    </row>
    <row r="783" spans="1:17">
      <c r="A783" s="62" t="str">
        <f>IFERROR(INDEX($H$2:$H$3000,MATCH(0,INDEX(COUNTIF($A$1:A782,$H$2:$H$3000)+($H$2:$H$3000=""),0,0),0)),"")</f>
        <v/>
      </c>
      <c r="B783" s="62" t="str">
        <f t="shared" si="48"/>
        <v/>
      </c>
      <c r="C783" s="62" t="str">
        <f t="shared" si="49"/>
        <v/>
      </c>
      <c r="D783" s="63" t="str">
        <f t="shared" si="50"/>
        <v/>
      </c>
      <c r="E783" s="62" t="str">
        <f>IF(D783="","",_xlfn.RANK.EQ(D783,$D$2:$D$1001,0)+COUNTIF($D$2:D783,D783)-1)</f>
        <v/>
      </c>
      <c r="F783" s="62" t="str">
        <f>IF(B783="","",--(COUNTIF(CN_Brands!$A$2:$A$300,UPPER(B783))&gt;0))</f>
        <v/>
      </c>
      <c r="G783" s="62" t="str">
        <f t="shared" si="51"/>
        <v/>
      </c>
      <c r="H783" s="62" t="str">
        <f>IF(AND('Data Export'!A783=前十整体车型排名!$B$2,'Data Export'!B783=前十整体车型排名!$B$3,'Data Export'!D783&lt;&gt;""),UPPER('Data Export'!C783)&amp;"♦"&amp;'Data Export'!D783,"")</f>
        <v>SUZUKI♦SWIFT</v>
      </c>
      <c r="I783" s="63">
        <f>IF(H783="","",IFERROR(INDEX('Data Export'!G783:CZ783,1,MATCH(前十整体车型排名!$B$4,'Data Export'!$G$1:$CZ$1,0)),0))</f>
        <v>2</v>
      </c>
      <c r="J783" s="62" t="str">
        <f>IF(H783="","",IF(OR('Data Export'!F783="三厢轿车",'Data Export'!F783="掀背轿车",'Data Export'!F783="旅行车",'Data Export'!F783="微型车",'Data Export'!F783="硬顶跑车",'Data Export'!F783="敞蓬车",'Data Export'!F783="Targa"),"轿车",IF(OR('Data Export'!F783="小型MPV",'Data Export'!F783="客车"),"MPV",IF('Data Export'!F783="运动型多功能车","SUV","其他"))))</f>
        <v>轿车</v>
      </c>
      <c r="K783" s="62" t="str">
        <f>IF(OR(D783="",NOT(F783=1)),"",1+SUMPRODUCT(($F$2:$F$1001=1)*($D$2:$D$1001&gt;D783))+COUNTIFS($F$2:F783,1,$D$2:D783,D783)-1)</f>
        <v/>
      </c>
      <c r="L783" s="62" t="str">
        <f>IF(OR(D783="",NOT(G783="轿车")),"",1+SUMPRODUCT(($G$2:$G$1001="轿车")*($D$2:$D$1001&gt;D783))+COUNTIFS($G$2:G783,"轿车",$D$2:D783,D783)-1)</f>
        <v/>
      </c>
      <c r="M783" s="62" t="str">
        <f>IF(OR(D783="",NOT(G783="MPV")),"",1+SUMPRODUCT(($G$2:$G$1001="MPV")*($D$2:$D$1001&gt;D783))+COUNTIFS($G$2:G783,"MPV",$D$2:D783,D783)-1)</f>
        <v/>
      </c>
      <c r="N783" s="62" t="str">
        <f>IF(OR(D783="",NOT(G783="SUV")),"",1+SUMPRODUCT(($G$2:$G$1001="SUV")*($D$2:$D$1001&gt;D783))+COUNTIFS($G$2:G783,"SUV",$D$2:D783,D783)-1)</f>
        <v/>
      </c>
      <c r="O783" s="62" t="str">
        <f>IF(OR(D783="",NOT(AND(F783=1,G783="轿车"))),"",1+SUMPRODUCT(($F$2:$F$1001=1)*($G$2:$G$1001="轿车")*($D$2:$D$1001&gt;D783))+COUNTIFS($F$2:F783,1,$G$2:G783,"轿车",$D$2:D783,D783)-1)</f>
        <v/>
      </c>
      <c r="P783" s="62" t="str">
        <f>IF(OR(D783="",NOT(AND(F783=1,G783="MPV"))),"",1+SUMPRODUCT(($F$2:$F$1001=1)*($G$2:$G$1001="MPV")*($D$2:$D$1001&gt;D783))+COUNTIFS($F$2:F783,1,$G$2:G783,"MPV",$D$2:D783,D783)-1)</f>
        <v/>
      </c>
      <c r="Q783" s="62" t="str">
        <f>IF(OR(D783="",NOT(AND(F783=1,G783="SUV"))),"",1+SUMPRODUCT(($F$2:$F$1001=1)*($G$2:$G$1001="SUV")*($D$2:$D$1001&gt;D783))+COUNTIFS($F$2:F783,1,$G$2:G783,"SUV",$D$2:D783,D783)-1)</f>
        <v/>
      </c>
    </row>
    <row r="784" spans="1:17">
      <c r="A784" s="62" t="str">
        <f>IFERROR(INDEX($H$2:$H$3000,MATCH(0,INDEX(COUNTIF($A$1:A783,$H$2:$H$3000)+($H$2:$H$3000=""),0,0),0)),"")</f>
        <v/>
      </c>
      <c r="B784" s="62" t="str">
        <f t="shared" si="48"/>
        <v/>
      </c>
      <c r="C784" s="62" t="str">
        <f t="shared" si="49"/>
        <v/>
      </c>
      <c r="D784" s="63" t="str">
        <f t="shared" si="50"/>
        <v/>
      </c>
      <c r="E784" s="62" t="str">
        <f>IF(D784="","",_xlfn.RANK.EQ(D784,$D$2:$D$1001,0)+COUNTIF($D$2:D784,D784)-1)</f>
        <v/>
      </c>
      <c r="F784" s="62" t="str">
        <f>IF(B784="","",--(COUNTIF(CN_Brands!$A$2:$A$300,UPPER(B784))&gt;0))</f>
        <v/>
      </c>
      <c r="G784" s="62" t="str">
        <f t="shared" si="51"/>
        <v/>
      </c>
      <c r="H784" s="62" t="str">
        <f>IF(AND('Data Export'!A784=前十整体车型排名!$B$2,'Data Export'!B784=前十整体车型排名!$B$3,'Data Export'!D784&lt;&gt;""),UPPER('Data Export'!C784)&amp;"♦"&amp;'Data Export'!D784,"")</f>
        <v>SUZUKI♦SWIFT</v>
      </c>
      <c r="I784" s="63">
        <f>IF(H784="","",IFERROR(INDEX('Data Export'!G784:CZ784,1,MATCH(前十整体车型排名!$B$4,'Data Export'!$G$1:$CZ$1,0)),0))</f>
        <v>38</v>
      </c>
      <c r="J784" s="62" t="str">
        <f>IF(H784="","",IF(OR('Data Export'!F784="三厢轿车",'Data Export'!F784="掀背轿车",'Data Export'!F784="旅行车",'Data Export'!F784="微型车",'Data Export'!F784="硬顶跑车",'Data Export'!F784="敞蓬车",'Data Export'!F784="Targa"),"轿车",IF(OR('Data Export'!F784="小型MPV",'Data Export'!F784="客车"),"MPV",IF('Data Export'!F784="运动型多功能车","SUV","其他"))))</f>
        <v>轿车</v>
      </c>
      <c r="K784" s="62" t="str">
        <f>IF(OR(D784="",NOT(F784=1)),"",1+SUMPRODUCT(($F$2:$F$1001=1)*($D$2:$D$1001&gt;D784))+COUNTIFS($F$2:F784,1,$D$2:D784,D784)-1)</f>
        <v/>
      </c>
      <c r="L784" s="62" t="str">
        <f>IF(OR(D784="",NOT(G784="轿车")),"",1+SUMPRODUCT(($G$2:$G$1001="轿车")*($D$2:$D$1001&gt;D784))+COUNTIFS($G$2:G784,"轿车",$D$2:D784,D784)-1)</f>
        <v/>
      </c>
      <c r="M784" s="62" t="str">
        <f>IF(OR(D784="",NOT(G784="MPV")),"",1+SUMPRODUCT(($G$2:$G$1001="MPV")*($D$2:$D$1001&gt;D784))+COUNTIFS($G$2:G784,"MPV",$D$2:D784,D784)-1)</f>
        <v/>
      </c>
      <c r="N784" s="62" t="str">
        <f>IF(OR(D784="",NOT(G784="SUV")),"",1+SUMPRODUCT(($G$2:$G$1001="SUV")*($D$2:$D$1001&gt;D784))+COUNTIFS($G$2:G784,"SUV",$D$2:D784,D784)-1)</f>
        <v/>
      </c>
      <c r="O784" s="62" t="str">
        <f>IF(OR(D784="",NOT(AND(F784=1,G784="轿车"))),"",1+SUMPRODUCT(($F$2:$F$1001=1)*($G$2:$G$1001="轿车")*($D$2:$D$1001&gt;D784))+COUNTIFS($F$2:F784,1,$G$2:G784,"轿车",$D$2:D784,D784)-1)</f>
        <v/>
      </c>
      <c r="P784" s="62" t="str">
        <f>IF(OR(D784="",NOT(AND(F784=1,G784="MPV"))),"",1+SUMPRODUCT(($F$2:$F$1001=1)*($G$2:$G$1001="MPV")*($D$2:$D$1001&gt;D784))+COUNTIFS($F$2:F784,1,$G$2:G784,"MPV",$D$2:D784,D784)-1)</f>
        <v/>
      </c>
      <c r="Q784" s="62" t="str">
        <f>IF(OR(D784="",NOT(AND(F784=1,G784="SUV"))),"",1+SUMPRODUCT(($F$2:$F$1001=1)*($G$2:$G$1001="SUV")*($D$2:$D$1001&gt;D784))+COUNTIFS($F$2:F784,1,$G$2:G784,"SUV",$D$2:D784,D784)-1)</f>
        <v/>
      </c>
    </row>
    <row r="785" spans="1:17">
      <c r="A785" s="62" t="str">
        <f>IFERROR(INDEX($H$2:$H$3000,MATCH(0,INDEX(COUNTIF($A$1:A784,$H$2:$H$3000)+($H$2:$H$3000=""),0,0),0)),"")</f>
        <v/>
      </c>
      <c r="B785" s="62" t="str">
        <f t="shared" si="48"/>
        <v/>
      </c>
      <c r="C785" s="62" t="str">
        <f t="shared" si="49"/>
        <v/>
      </c>
      <c r="D785" s="63" t="str">
        <f t="shared" si="50"/>
        <v/>
      </c>
      <c r="E785" s="62" t="str">
        <f>IF(D785="","",_xlfn.RANK.EQ(D785,$D$2:$D$1001,0)+COUNTIF($D$2:D785,D785)-1)</f>
        <v/>
      </c>
      <c r="F785" s="62" t="str">
        <f>IF(B785="","",--(COUNTIF(CN_Brands!$A$2:$A$300,UPPER(B785))&gt;0))</f>
        <v/>
      </c>
      <c r="G785" s="62" t="str">
        <f t="shared" si="51"/>
        <v/>
      </c>
      <c r="H785" s="62" t="str">
        <f>IF(AND('Data Export'!A785=前十整体车型排名!$B$2,'Data Export'!B785=前十整体车型排名!$B$3,'Data Export'!D785&lt;&gt;""),UPPER('Data Export'!C785)&amp;"♦"&amp;'Data Export'!D785,"")</f>
        <v>SUZUKI♦SWIFT</v>
      </c>
      <c r="I785" s="63">
        <f>IF(H785="","",IFERROR(INDEX('Data Export'!G785:CZ785,1,MATCH(前十整体车型排名!$B$4,'Data Export'!$G$1:$CZ$1,0)),0))</f>
        <v>0</v>
      </c>
      <c r="J785" s="62" t="str">
        <f>IF(H785="","",IF(OR('Data Export'!F785="三厢轿车",'Data Export'!F785="掀背轿车",'Data Export'!F785="旅行车",'Data Export'!F785="微型车",'Data Export'!F785="硬顶跑车",'Data Export'!F785="敞蓬车",'Data Export'!F785="Targa"),"轿车",IF(OR('Data Export'!F785="小型MPV",'Data Export'!F785="客车"),"MPV",IF('Data Export'!F785="运动型多功能车","SUV","其他"))))</f>
        <v>轿车</v>
      </c>
      <c r="K785" s="62" t="str">
        <f>IF(OR(D785="",NOT(F785=1)),"",1+SUMPRODUCT(($F$2:$F$1001=1)*($D$2:$D$1001&gt;D785))+COUNTIFS($F$2:F785,1,$D$2:D785,D785)-1)</f>
        <v/>
      </c>
      <c r="L785" s="62" t="str">
        <f>IF(OR(D785="",NOT(G785="轿车")),"",1+SUMPRODUCT(($G$2:$G$1001="轿车")*($D$2:$D$1001&gt;D785))+COUNTIFS($G$2:G785,"轿车",$D$2:D785,D785)-1)</f>
        <v/>
      </c>
      <c r="M785" s="62" t="str">
        <f>IF(OR(D785="",NOT(G785="MPV")),"",1+SUMPRODUCT(($G$2:$G$1001="MPV")*($D$2:$D$1001&gt;D785))+COUNTIFS($G$2:G785,"MPV",$D$2:D785,D785)-1)</f>
        <v/>
      </c>
      <c r="N785" s="62" t="str">
        <f>IF(OR(D785="",NOT(G785="SUV")),"",1+SUMPRODUCT(($G$2:$G$1001="SUV")*($D$2:$D$1001&gt;D785))+COUNTIFS($G$2:G785,"SUV",$D$2:D785,D785)-1)</f>
        <v/>
      </c>
      <c r="O785" s="62" t="str">
        <f>IF(OR(D785="",NOT(AND(F785=1,G785="轿车"))),"",1+SUMPRODUCT(($F$2:$F$1001=1)*($G$2:$G$1001="轿车")*($D$2:$D$1001&gt;D785))+COUNTIFS($F$2:F785,1,$G$2:G785,"轿车",$D$2:D785,D785)-1)</f>
        <v/>
      </c>
      <c r="P785" s="62" t="str">
        <f>IF(OR(D785="",NOT(AND(F785=1,G785="MPV"))),"",1+SUMPRODUCT(($F$2:$F$1001=1)*($G$2:$G$1001="MPV")*($D$2:$D$1001&gt;D785))+COUNTIFS($F$2:F785,1,$G$2:G785,"MPV",$D$2:D785,D785)-1)</f>
        <v/>
      </c>
      <c r="Q785" s="62" t="str">
        <f>IF(OR(D785="",NOT(AND(F785=1,G785="SUV"))),"",1+SUMPRODUCT(($F$2:$F$1001=1)*($G$2:$G$1001="SUV")*($D$2:$D$1001&gt;D785))+COUNTIFS($F$2:F785,1,$G$2:G785,"SUV",$D$2:D785,D785)-1)</f>
        <v/>
      </c>
    </row>
    <row r="786" spans="1:17">
      <c r="A786" s="62" t="str">
        <f>IFERROR(INDEX($H$2:$H$3000,MATCH(0,INDEX(COUNTIF($A$1:A785,$H$2:$H$3000)+($H$2:$H$3000=""),0,0),0)),"")</f>
        <v/>
      </c>
      <c r="B786" s="62" t="str">
        <f t="shared" si="48"/>
        <v/>
      </c>
      <c r="C786" s="62" t="str">
        <f t="shared" si="49"/>
        <v/>
      </c>
      <c r="D786" s="63" t="str">
        <f t="shared" si="50"/>
        <v/>
      </c>
      <c r="E786" s="62" t="str">
        <f>IF(D786="","",_xlfn.RANK.EQ(D786,$D$2:$D$1001,0)+COUNTIF($D$2:D786,D786)-1)</f>
        <v/>
      </c>
      <c r="F786" s="62" t="str">
        <f>IF(B786="","",--(COUNTIF(CN_Brands!$A$2:$A$300,UPPER(B786))&gt;0))</f>
        <v/>
      </c>
      <c r="G786" s="62" t="str">
        <f t="shared" si="51"/>
        <v/>
      </c>
      <c r="H786" s="62" t="str">
        <f>IF(AND('Data Export'!A786=前十整体车型排名!$B$2,'Data Export'!B786=前十整体车型排名!$B$3,'Data Export'!D786&lt;&gt;""),UPPER('Data Export'!C786)&amp;"♦"&amp;'Data Export'!D786,"")</f>
        <v>SUZUKI♦SWIFT</v>
      </c>
      <c r="I786" s="63">
        <f>IF(H786="","",IFERROR(INDEX('Data Export'!G786:CZ786,1,MATCH(前十整体车型排名!$B$4,'Data Export'!$G$1:$CZ$1,0)),0))</f>
        <v>0</v>
      </c>
      <c r="J786" s="62" t="str">
        <f>IF(H786="","",IF(OR('Data Export'!F786="三厢轿车",'Data Export'!F786="掀背轿车",'Data Export'!F786="旅行车",'Data Export'!F786="微型车",'Data Export'!F786="硬顶跑车",'Data Export'!F786="敞蓬车",'Data Export'!F786="Targa"),"轿车",IF(OR('Data Export'!F786="小型MPV",'Data Export'!F786="客车"),"MPV",IF('Data Export'!F786="运动型多功能车","SUV","其他"))))</f>
        <v>轿车</v>
      </c>
      <c r="K786" s="62" t="str">
        <f>IF(OR(D786="",NOT(F786=1)),"",1+SUMPRODUCT(($F$2:$F$1001=1)*($D$2:$D$1001&gt;D786))+COUNTIFS($F$2:F786,1,$D$2:D786,D786)-1)</f>
        <v/>
      </c>
      <c r="L786" s="62" t="str">
        <f>IF(OR(D786="",NOT(G786="轿车")),"",1+SUMPRODUCT(($G$2:$G$1001="轿车")*($D$2:$D$1001&gt;D786))+COUNTIFS($G$2:G786,"轿车",$D$2:D786,D786)-1)</f>
        <v/>
      </c>
      <c r="M786" s="62" t="str">
        <f>IF(OR(D786="",NOT(G786="MPV")),"",1+SUMPRODUCT(($G$2:$G$1001="MPV")*($D$2:$D$1001&gt;D786))+COUNTIFS($G$2:G786,"MPV",$D$2:D786,D786)-1)</f>
        <v/>
      </c>
      <c r="N786" s="62" t="str">
        <f>IF(OR(D786="",NOT(G786="SUV")),"",1+SUMPRODUCT(($G$2:$G$1001="SUV")*($D$2:$D$1001&gt;D786))+COUNTIFS($G$2:G786,"SUV",$D$2:D786,D786)-1)</f>
        <v/>
      </c>
      <c r="O786" s="62" t="str">
        <f>IF(OR(D786="",NOT(AND(F786=1,G786="轿车"))),"",1+SUMPRODUCT(($F$2:$F$1001=1)*($G$2:$G$1001="轿车")*($D$2:$D$1001&gt;D786))+COUNTIFS($F$2:F786,1,$G$2:G786,"轿车",$D$2:D786,D786)-1)</f>
        <v/>
      </c>
      <c r="P786" s="62" t="str">
        <f>IF(OR(D786="",NOT(AND(F786=1,G786="MPV"))),"",1+SUMPRODUCT(($F$2:$F$1001=1)*($G$2:$G$1001="MPV")*($D$2:$D$1001&gt;D786))+COUNTIFS($F$2:F786,1,$G$2:G786,"MPV",$D$2:D786,D786)-1)</f>
        <v/>
      </c>
      <c r="Q786" s="62" t="str">
        <f>IF(OR(D786="",NOT(AND(F786=1,G786="SUV"))),"",1+SUMPRODUCT(($F$2:$F$1001=1)*($G$2:$G$1001="SUV")*($D$2:$D$1001&gt;D786))+COUNTIFS($F$2:F786,1,$G$2:G786,"SUV",$D$2:D786,D786)-1)</f>
        <v/>
      </c>
    </row>
    <row r="787" spans="1:17">
      <c r="A787" s="62" t="str">
        <f>IFERROR(INDEX($H$2:$H$3000,MATCH(0,INDEX(COUNTIF($A$1:A786,$H$2:$H$3000)+($H$2:$H$3000=""),0,0),0)),"")</f>
        <v/>
      </c>
      <c r="B787" s="62" t="str">
        <f t="shared" si="48"/>
        <v/>
      </c>
      <c r="C787" s="62" t="str">
        <f t="shared" si="49"/>
        <v/>
      </c>
      <c r="D787" s="63" t="str">
        <f t="shared" si="50"/>
        <v/>
      </c>
      <c r="E787" s="62" t="str">
        <f>IF(D787="","",_xlfn.RANK.EQ(D787,$D$2:$D$1001,0)+COUNTIF($D$2:D787,D787)-1)</f>
        <v/>
      </c>
      <c r="F787" s="62" t="str">
        <f>IF(B787="","",--(COUNTIF(CN_Brands!$A$2:$A$300,UPPER(B787))&gt;0))</f>
        <v/>
      </c>
      <c r="G787" s="62" t="str">
        <f t="shared" si="51"/>
        <v/>
      </c>
      <c r="H787" s="62" t="str">
        <f>IF(AND('Data Export'!A787=前十整体车型排名!$B$2,'Data Export'!B787=前十整体车型排名!$B$3,'Data Export'!D787&lt;&gt;""),UPPER('Data Export'!C787)&amp;"♦"&amp;'Data Export'!D787,"")</f>
        <v>SUZUKI♦XL7</v>
      </c>
      <c r="I787" s="63">
        <f>IF(H787="","",IFERROR(INDEX('Data Export'!G787:CZ787,1,MATCH(前十整体车型排名!$B$4,'Data Export'!$G$1:$CZ$1,0)),0))</f>
        <v>12</v>
      </c>
      <c r="J787" s="62" t="str">
        <f>IF(H787="","",IF(OR('Data Export'!F787="三厢轿车",'Data Export'!F787="掀背轿车",'Data Export'!F787="旅行车",'Data Export'!F787="微型车",'Data Export'!F787="硬顶跑车",'Data Export'!F787="敞蓬车",'Data Export'!F787="Targa"),"轿车",IF(OR('Data Export'!F787="小型MPV",'Data Export'!F787="客车"),"MPV",IF('Data Export'!F787="运动型多功能车","SUV","其他"))))</f>
        <v>SUV</v>
      </c>
      <c r="K787" s="62" t="str">
        <f>IF(OR(D787="",NOT(F787=1)),"",1+SUMPRODUCT(($F$2:$F$1001=1)*($D$2:$D$1001&gt;D787))+COUNTIFS($F$2:F787,1,$D$2:D787,D787)-1)</f>
        <v/>
      </c>
      <c r="L787" s="62" t="str">
        <f>IF(OR(D787="",NOT(G787="轿车")),"",1+SUMPRODUCT(($G$2:$G$1001="轿车")*($D$2:$D$1001&gt;D787))+COUNTIFS($G$2:G787,"轿车",$D$2:D787,D787)-1)</f>
        <v/>
      </c>
      <c r="M787" s="62" t="str">
        <f>IF(OR(D787="",NOT(G787="MPV")),"",1+SUMPRODUCT(($G$2:$G$1001="MPV")*($D$2:$D$1001&gt;D787))+COUNTIFS($G$2:G787,"MPV",$D$2:D787,D787)-1)</f>
        <v/>
      </c>
      <c r="N787" s="62" t="str">
        <f>IF(OR(D787="",NOT(G787="SUV")),"",1+SUMPRODUCT(($G$2:$G$1001="SUV")*($D$2:$D$1001&gt;D787))+COUNTIFS($G$2:G787,"SUV",$D$2:D787,D787)-1)</f>
        <v/>
      </c>
      <c r="O787" s="62" t="str">
        <f>IF(OR(D787="",NOT(AND(F787=1,G787="轿车"))),"",1+SUMPRODUCT(($F$2:$F$1001=1)*($G$2:$G$1001="轿车")*($D$2:$D$1001&gt;D787))+COUNTIFS($F$2:F787,1,$G$2:G787,"轿车",$D$2:D787,D787)-1)</f>
        <v/>
      </c>
      <c r="P787" s="62" t="str">
        <f>IF(OR(D787="",NOT(AND(F787=1,G787="MPV"))),"",1+SUMPRODUCT(($F$2:$F$1001=1)*($G$2:$G$1001="MPV")*($D$2:$D$1001&gt;D787))+COUNTIFS($F$2:F787,1,$G$2:G787,"MPV",$D$2:D787,D787)-1)</f>
        <v/>
      </c>
      <c r="Q787" s="62" t="str">
        <f>IF(OR(D787="",NOT(AND(F787=1,G787="SUV"))),"",1+SUMPRODUCT(($F$2:$F$1001=1)*($G$2:$G$1001="SUV")*($D$2:$D$1001&gt;D787))+COUNTIFS($F$2:F787,1,$G$2:G787,"SUV",$D$2:D787,D787)-1)</f>
        <v/>
      </c>
    </row>
    <row r="788" spans="1:17">
      <c r="A788" s="62" t="str">
        <f>IFERROR(INDEX($H$2:$H$3000,MATCH(0,INDEX(COUNTIF($A$1:A787,$H$2:$H$3000)+($H$2:$H$3000=""),0,0),0)),"")</f>
        <v/>
      </c>
      <c r="B788" s="62" t="str">
        <f t="shared" si="48"/>
        <v/>
      </c>
      <c r="C788" s="62" t="str">
        <f t="shared" si="49"/>
        <v/>
      </c>
      <c r="D788" s="63" t="str">
        <f t="shared" si="50"/>
        <v/>
      </c>
      <c r="E788" s="62" t="str">
        <f>IF(D788="","",_xlfn.RANK.EQ(D788,$D$2:$D$1001,0)+COUNTIF($D$2:D788,D788)-1)</f>
        <v/>
      </c>
      <c r="F788" s="62" t="str">
        <f>IF(B788="","",--(COUNTIF(CN_Brands!$A$2:$A$300,UPPER(B788))&gt;0))</f>
        <v/>
      </c>
      <c r="G788" s="62" t="str">
        <f t="shared" si="51"/>
        <v/>
      </c>
      <c r="H788" s="62" t="str">
        <f>IF(AND('Data Export'!A788=前十整体车型排名!$B$2,'Data Export'!B788=前十整体车型排名!$B$3,'Data Export'!D788&lt;&gt;""),UPPER('Data Export'!C788)&amp;"♦"&amp;'Data Export'!D788,"")</f>
        <v>SUZUKI♦XL7</v>
      </c>
      <c r="I788" s="63">
        <f>IF(H788="","",IFERROR(INDEX('Data Export'!G788:CZ788,1,MATCH(前十整体车型排名!$B$4,'Data Export'!$G$1:$CZ$1,0)),0))</f>
        <v>0</v>
      </c>
      <c r="J788" s="62" t="str">
        <f>IF(H788="","",IF(OR('Data Export'!F788="三厢轿车",'Data Export'!F788="掀背轿车",'Data Export'!F788="旅行车",'Data Export'!F788="微型车",'Data Export'!F788="硬顶跑车",'Data Export'!F788="敞蓬车",'Data Export'!F788="Targa"),"轿车",IF(OR('Data Export'!F788="小型MPV",'Data Export'!F788="客车"),"MPV",IF('Data Export'!F788="运动型多功能车","SUV","其他"))))</f>
        <v>SUV</v>
      </c>
      <c r="K788" s="62" t="str">
        <f>IF(OR(D788="",NOT(F788=1)),"",1+SUMPRODUCT(($F$2:$F$1001=1)*($D$2:$D$1001&gt;D788))+COUNTIFS($F$2:F788,1,$D$2:D788,D788)-1)</f>
        <v/>
      </c>
      <c r="L788" s="62" t="str">
        <f>IF(OR(D788="",NOT(G788="轿车")),"",1+SUMPRODUCT(($G$2:$G$1001="轿车")*($D$2:$D$1001&gt;D788))+COUNTIFS($G$2:G788,"轿车",$D$2:D788,D788)-1)</f>
        <v/>
      </c>
      <c r="M788" s="62" t="str">
        <f>IF(OR(D788="",NOT(G788="MPV")),"",1+SUMPRODUCT(($G$2:$G$1001="MPV")*($D$2:$D$1001&gt;D788))+COUNTIFS($G$2:G788,"MPV",$D$2:D788,D788)-1)</f>
        <v/>
      </c>
      <c r="N788" s="62" t="str">
        <f>IF(OR(D788="",NOT(G788="SUV")),"",1+SUMPRODUCT(($G$2:$G$1001="SUV")*($D$2:$D$1001&gt;D788))+COUNTIFS($G$2:G788,"SUV",$D$2:D788,D788)-1)</f>
        <v/>
      </c>
      <c r="O788" s="62" t="str">
        <f>IF(OR(D788="",NOT(AND(F788=1,G788="轿车"))),"",1+SUMPRODUCT(($F$2:$F$1001=1)*($G$2:$G$1001="轿车")*($D$2:$D$1001&gt;D788))+COUNTIFS($F$2:F788,1,$G$2:G788,"轿车",$D$2:D788,D788)-1)</f>
        <v/>
      </c>
      <c r="P788" s="62" t="str">
        <f>IF(OR(D788="",NOT(AND(F788=1,G788="MPV"))),"",1+SUMPRODUCT(($F$2:$F$1001=1)*($G$2:$G$1001="MPV")*($D$2:$D$1001&gt;D788))+COUNTIFS($F$2:F788,1,$G$2:G788,"MPV",$D$2:D788,D788)-1)</f>
        <v/>
      </c>
      <c r="Q788" s="62" t="str">
        <f>IF(OR(D788="",NOT(AND(F788=1,G788="SUV"))),"",1+SUMPRODUCT(($F$2:$F$1001=1)*($G$2:$G$1001="SUV")*($D$2:$D$1001&gt;D788))+COUNTIFS($F$2:F788,1,$G$2:G788,"SUV",$D$2:D788,D788)-1)</f>
        <v/>
      </c>
    </row>
    <row r="789" spans="1:17">
      <c r="A789" s="62" t="str">
        <f>IFERROR(INDEX($H$2:$H$3000,MATCH(0,INDEX(COUNTIF($A$1:A788,$H$2:$H$3000)+($H$2:$H$3000=""),0,0),0)),"")</f>
        <v/>
      </c>
      <c r="B789" s="62" t="str">
        <f t="shared" si="48"/>
        <v/>
      </c>
      <c r="C789" s="62" t="str">
        <f t="shared" si="49"/>
        <v/>
      </c>
      <c r="D789" s="63" t="str">
        <f t="shared" si="50"/>
        <v/>
      </c>
      <c r="E789" s="62" t="str">
        <f>IF(D789="","",_xlfn.RANK.EQ(D789,$D$2:$D$1001,0)+COUNTIF($D$2:D789,D789)-1)</f>
        <v/>
      </c>
      <c r="F789" s="62" t="str">
        <f>IF(B789="","",--(COUNTIF(CN_Brands!$A$2:$A$300,UPPER(B789))&gt;0))</f>
        <v/>
      </c>
      <c r="G789" s="62" t="str">
        <f t="shared" si="51"/>
        <v/>
      </c>
      <c r="H789" s="62" t="str">
        <f>IF(AND('Data Export'!A789=前十整体车型排名!$B$2,'Data Export'!B789=前十整体车型排名!$B$3,'Data Export'!D789&lt;&gt;""),UPPER('Data Export'!C789)&amp;"♦"&amp;'Data Export'!D789,"")</f>
        <v>TESLA♦MODEL 3</v>
      </c>
      <c r="I789" s="63">
        <f>IF(H789="","",IFERROR(INDEX('Data Export'!G789:CZ789,1,MATCH(前十整体车型排名!$B$4,'Data Export'!$G$1:$CZ$1,0)),0))</f>
        <v>552</v>
      </c>
      <c r="J789" s="62" t="str">
        <f>IF(H789="","",IF(OR('Data Export'!F789="三厢轿车",'Data Export'!F789="掀背轿车",'Data Export'!F789="旅行车",'Data Export'!F789="微型车",'Data Export'!F789="硬顶跑车",'Data Export'!F789="敞蓬车",'Data Export'!F789="Targa"),"轿车",IF(OR('Data Export'!F789="小型MPV",'Data Export'!F789="客车"),"MPV",IF('Data Export'!F789="运动型多功能车","SUV","其他"))))</f>
        <v>轿车</v>
      </c>
      <c r="K789" s="62" t="str">
        <f>IF(OR(D789="",NOT(F789=1)),"",1+SUMPRODUCT(($F$2:$F$1001=1)*($D$2:$D$1001&gt;D789))+COUNTIFS($F$2:F789,1,$D$2:D789,D789)-1)</f>
        <v/>
      </c>
      <c r="L789" s="62" t="str">
        <f>IF(OR(D789="",NOT(G789="轿车")),"",1+SUMPRODUCT(($G$2:$G$1001="轿车")*($D$2:$D$1001&gt;D789))+COUNTIFS($G$2:G789,"轿车",$D$2:D789,D789)-1)</f>
        <v/>
      </c>
      <c r="M789" s="62" t="str">
        <f>IF(OR(D789="",NOT(G789="MPV")),"",1+SUMPRODUCT(($G$2:$G$1001="MPV")*($D$2:$D$1001&gt;D789))+COUNTIFS($G$2:G789,"MPV",$D$2:D789,D789)-1)</f>
        <v/>
      </c>
      <c r="N789" s="62" t="str">
        <f>IF(OR(D789="",NOT(G789="SUV")),"",1+SUMPRODUCT(($G$2:$G$1001="SUV")*($D$2:$D$1001&gt;D789))+COUNTIFS($G$2:G789,"SUV",$D$2:D789,D789)-1)</f>
        <v/>
      </c>
      <c r="O789" s="62" t="str">
        <f>IF(OR(D789="",NOT(AND(F789=1,G789="轿车"))),"",1+SUMPRODUCT(($F$2:$F$1001=1)*($G$2:$G$1001="轿车")*($D$2:$D$1001&gt;D789))+COUNTIFS($F$2:F789,1,$G$2:G789,"轿车",$D$2:D789,D789)-1)</f>
        <v/>
      </c>
      <c r="P789" s="62" t="str">
        <f>IF(OR(D789="",NOT(AND(F789=1,G789="MPV"))),"",1+SUMPRODUCT(($F$2:$F$1001=1)*($G$2:$G$1001="MPV")*($D$2:$D$1001&gt;D789))+COUNTIFS($F$2:F789,1,$G$2:G789,"MPV",$D$2:D789,D789)-1)</f>
        <v/>
      </c>
      <c r="Q789" s="62" t="str">
        <f>IF(OR(D789="",NOT(AND(F789=1,G789="SUV"))),"",1+SUMPRODUCT(($F$2:$F$1001=1)*($G$2:$G$1001="SUV")*($D$2:$D$1001&gt;D789))+COUNTIFS($F$2:F789,1,$G$2:G789,"SUV",$D$2:D789,D789)-1)</f>
        <v/>
      </c>
    </row>
    <row r="790" spans="1:17">
      <c r="A790" s="62" t="str">
        <f>IFERROR(INDEX($H$2:$H$3000,MATCH(0,INDEX(COUNTIF($A$1:A789,$H$2:$H$3000)+($H$2:$H$3000=""),0,0),0)),"")</f>
        <v/>
      </c>
      <c r="B790" s="62" t="str">
        <f t="shared" si="48"/>
        <v/>
      </c>
      <c r="C790" s="62" t="str">
        <f t="shared" si="49"/>
        <v/>
      </c>
      <c r="D790" s="63" t="str">
        <f t="shared" si="50"/>
        <v/>
      </c>
      <c r="E790" s="62" t="str">
        <f>IF(D790="","",_xlfn.RANK.EQ(D790,$D$2:$D$1001,0)+COUNTIF($D$2:D790,D790)-1)</f>
        <v/>
      </c>
      <c r="F790" s="62" t="str">
        <f>IF(B790="","",--(COUNTIF(CN_Brands!$A$2:$A$300,UPPER(B790))&gt;0))</f>
        <v/>
      </c>
      <c r="G790" s="62" t="str">
        <f t="shared" si="51"/>
        <v/>
      </c>
      <c r="H790" s="62" t="str">
        <f>IF(AND('Data Export'!A790=前十整体车型排名!$B$2,'Data Export'!B790=前十整体车型排名!$B$3,'Data Export'!D790&lt;&gt;""),UPPER('Data Export'!C790)&amp;"♦"&amp;'Data Export'!D790,"")</f>
        <v>TESLA♦MODEL 3</v>
      </c>
      <c r="I790" s="63">
        <f>IF(H790="","",IFERROR(INDEX('Data Export'!G790:CZ790,1,MATCH(前十整体车型排名!$B$4,'Data Export'!$G$1:$CZ$1,0)),0))</f>
        <v>0</v>
      </c>
      <c r="J790" s="62" t="str">
        <f>IF(H790="","",IF(OR('Data Export'!F790="三厢轿车",'Data Export'!F790="掀背轿车",'Data Export'!F790="旅行车",'Data Export'!F790="微型车",'Data Export'!F790="硬顶跑车",'Data Export'!F790="敞蓬车",'Data Export'!F790="Targa"),"轿车",IF(OR('Data Export'!F790="小型MPV",'Data Export'!F790="客车"),"MPV",IF('Data Export'!F790="运动型多功能车","SUV","其他"))))</f>
        <v>轿车</v>
      </c>
      <c r="K790" s="62" t="str">
        <f>IF(OR(D790="",NOT(F790=1)),"",1+SUMPRODUCT(($F$2:$F$1001=1)*($D$2:$D$1001&gt;D790))+COUNTIFS($F$2:F790,1,$D$2:D790,D790)-1)</f>
        <v/>
      </c>
      <c r="L790" s="62" t="str">
        <f>IF(OR(D790="",NOT(G790="轿车")),"",1+SUMPRODUCT(($G$2:$G$1001="轿车")*($D$2:$D$1001&gt;D790))+COUNTIFS($G$2:G790,"轿车",$D$2:D790,D790)-1)</f>
        <v/>
      </c>
      <c r="M790" s="62" t="str">
        <f>IF(OR(D790="",NOT(G790="MPV")),"",1+SUMPRODUCT(($G$2:$G$1001="MPV")*($D$2:$D$1001&gt;D790))+COUNTIFS($G$2:G790,"MPV",$D$2:D790,D790)-1)</f>
        <v/>
      </c>
      <c r="N790" s="62" t="str">
        <f>IF(OR(D790="",NOT(G790="SUV")),"",1+SUMPRODUCT(($G$2:$G$1001="SUV")*($D$2:$D$1001&gt;D790))+COUNTIFS($G$2:G790,"SUV",$D$2:D790,D790)-1)</f>
        <v/>
      </c>
      <c r="O790" s="62" t="str">
        <f>IF(OR(D790="",NOT(AND(F790=1,G790="轿车"))),"",1+SUMPRODUCT(($F$2:$F$1001=1)*($G$2:$G$1001="轿车")*($D$2:$D$1001&gt;D790))+COUNTIFS($F$2:F790,1,$G$2:G790,"轿车",$D$2:D790,D790)-1)</f>
        <v/>
      </c>
      <c r="P790" s="62" t="str">
        <f>IF(OR(D790="",NOT(AND(F790=1,G790="MPV"))),"",1+SUMPRODUCT(($F$2:$F$1001=1)*($G$2:$G$1001="MPV")*($D$2:$D$1001&gt;D790))+COUNTIFS($F$2:F790,1,$G$2:G790,"MPV",$D$2:D790,D790)-1)</f>
        <v/>
      </c>
      <c r="Q790" s="62" t="str">
        <f>IF(OR(D790="",NOT(AND(F790=1,G790="SUV"))),"",1+SUMPRODUCT(($F$2:$F$1001=1)*($G$2:$G$1001="SUV")*($D$2:$D$1001&gt;D790))+COUNTIFS($F$2:F790,1,$G$2:G790,"SUV",$D$2:D790,D790)-1)</f>
        <v/>
      </c>
    </row>
    <row r="791" spans="1:17">
      <c r="A791" s="62" t="str">
        <f>IFERROR(INDEX($H$2:$H$3000,MATCH(0,INDEX(COUNTIF($A$1:A790,$H$2:$H$3000)+($H$2:$H$3000=""),0,0),0)),"")</f>
        <v/>
      </c>
      <c r="B791" s="62" t="str">
        <f t="shared" si="48"/>
        <v/>
      </c>
      <c r="C791" s="62" t="str">
        <f t="shared" si="49"/>
        <v/>
      </c>
      <c r="D791" s="63" t="str">
        <f t="shared" si="50"/>
        <v/>
      </c>
      <c r="E791" s="62" t="str">
        <f>IF(D791="","",_xlfn.RANK.EQ(D791,$D$2:$D$1001,0)+COUNTIF($D$2:D791,D791)-1)</f>
        <v/>
      </c>
      <c r="F791" s="62" t="str">
        <f>IF(B791="","",--(COUNTIF(CN_Brands!$A$2:$A$300,UPPER(B791))&gt;0))</f>
        <v/>
      </c>
      <c r="G791" s="62" t="str">
        <f t="shared" si="51"/>
        <v/>
      </c>
      <c r="H791" s="62" t="str">
        <f>IF(AND('Data Export'!A791=前十整体车型排名!$B$2,'Data Export'!B791=前十整体车型排名!$B$3,'Data Export'!D791&lt;&gt;""),UPPER('Data Export'!C791)&amp;"♦"&amp;'Data Export'!D791,"")</f>
        <v>TESLA♦MODEL 3</v>
      </c>
      <c r="I791" s="63">
        <f>IF(H791="","",IFERROR(INDEX('Data Export'!G791:CZ791,1,MATCH(前十整体车型排名!$B$4,'Data Export'!$G$1:$CZ$1,0)),0))</f>
        <v>8</v>
      </c>
      <c r="J791" s="62" t="str">
        <f>IF(H791="","",IF(OR('Data Export'!F791="三厢轿车",'Data Export'!F791="掀背轿车",'Data Export'!F791="旅行车",'Data Export'!F791="微型车",'Data Export'!F791="硬顶跑车",'Data Export'!F791="敞蓬车",'Data Export'!F791="Targa"),"轿车",IF(OR('Data Export'!F791="小型MPV",'Data Export'!F791="客车"),"MPV",IF('Data Export'!F791="运动型多功能车","SUV","其他"))))</f>
        <v>轿车</v>
      </c>
      <c r="K791" s="62" t="str">
        <f>IF(OR(D791="",NOT(F791=1)),"",1+SUMPRODUCT(($F$2:$F$1001=1)*($D$2:$D$1001&gt;D791))+COUNTIFS($F$2:F791,1,$D$2:D791,D791)-1)</f>
        <v/>
      </c>
      <c r="L791" s="62" t="str">
        <f>IF(OR(D791="",NOT(G791="轿车")),"",1+SUMPRODUCT(($G$2:$G$1001="轿车")*($D$2:$D$1001&gt;D791))+COUNTIFS($G$2:G791,"轿车",$D$2:D791,D791)-1)</f>
        <v/>
      </c>
      <c r="M791" s="62" t="str">
        <f>IF(OR(D791="",NOT(G791="MPV")),"",1+SUMPRODUCT(($G$2:$G$1001="MPV")*($D$2:$D$1001&gt;D791))+COUNTIFS($G$2:G791,"MPV",$D$2:D791,D791)-1)</f>
        <v/>
      </c>
      <c r="N791" s="62" t="str">
        <f>IF(OR(D791="",NOT(G791="SUV")),"",1+SUMPRODUCT(($G$2:$G$1001="SUV")*($D$2:$D$1001&gt;D791))+COUNTIFS($G$2:G791,"SUV",$D$2:D791,D791)-1)</f>
        <v/>
      </c>
      <c r="O791" s="62" t="str">
        <f>IF(OR(D791="",NOT(AND(F791=1,G791="轿车"))),"",1+SUMPRODUCT(($F$2:$F$1001=1)*($G$2:$G$1001="轿车")*($D$2:$D$1001&gt;D791))+COUNTIFS($F$2:F791,1,$G$2:G791,"轿车",$D$2:D791,D791)-1)</f>
        <v/>
      </c>
      <c r="P791" s="62" t="str">
        <f>IF(OR(D791="",NOT(AND(F791=1,G791="MPV"))),"",1+SUMPRODUCT(($F$2:$F$1001=1)*($G$2:$G$1001="MPV")*($D$2:$D$1001&gt;D791))+COUNTIFS($F$2:F791,1,$G$2:G791,"MPV",$D$2:D791,D791)-1)</f>
        <v/>
      </c>
      <c r="Q791" s="62" t="str">
        <f>IF(OR(D791="",NOT(AND(F791=1,G791="SUV"))),"",1+SUMPRODUCT(($F$2:$F$1001=1)*($G$2:$G$1001="SUV")*($D$2:$D$1001&gt;D791))+COUNTIFS($F$2:F791,1,$G$2:G791,"SUV",$D$2:D791,D791)-1)</f>
        <v/>
      </c>
    </row>
    <row r="792" spans="1:17">
      <c r="A792" s="62" t="str">
        <f>IFERROR(INDEX($H$2:$H$3000,MATCH(0,INDEX(COUNTIF($A$1:A791,$H$2:$H$3000)+($H$2:$H$3000=""),0,0),0)),"")</f>
        <v/>
      </c>
      <c r="B792" s="62" t="str">
        <f t="shared" si="48"/>
        <v/>
      </c>
      <c r="C792" s="62" t="str">
        <f t="shared" si="49"/>
        <v/>
      </c>
      <c r="D792" s="63" t="str">
        <f t="shared" si="50"/>
        <v/>
      </c>
      <c r="E792" s="62" t="str">
        <f>IF(D792="","",_xlfn.RANK.EQ(D792,$D$2:$D$1001,0)+COUNTIF($D$2:D792,D792)-1)</f>
        <v/>
      </c>
      <c r="F792" s="62" t="str">
        <f>IF(B792="","",--(COUNTIF(CN_Brands!$A$2:$A$300,UPPER(B792))&gt;0))</f>
        <v/>
      </c>
      <c r="G792" s="62" t="str">
        <f t="shared" si="51"/>
        <v/>
      </c>
      <c r="H792" s="62" t="str">
        <f>IF(AND('Data Export'!A792=前十整体车型排名!$B$2,'Data Export'!B792=前十整体车型排名!$B$3,'Data Export'!D792&lt;&gt;""),UPPER('Data Export'!C792)&amp;"♦"&amp;'Data Export'!D792,"")</f>
        <v>TESLA♦MODEL 3</v>
      </c>
      <c r="I792" s="63">
        <f>IF(H792="","",IFERROR(INDEX('Data Export'!G792:CZ792,1,MATCH(前十整体车型排名!$B$4,'Data Export'!$G$1:$CZ$1,0)),0))</f>
        <v>1</v>
      </c>
      <c r="J792" s="62" t="str">
        <f>IF(H792="","",IF(OR('Data Export'!F792="三厢轿车",'Data Export'!F792="掀背轿车",'Data Export'!F792="旅行车",'Data Export'!F792="微型车",'Data Export'!F792="硬顶跑车",'Data Export'!F792="敞蓬车",'Data Export'!F792="Targa"),"轿车",IF(OR('Data Export'!F792="小型MPV",'Data Export'!F792="客车"),"MPV",IF('Data Export'!F792="运动型多功能车","SUV","其他"))))</f>
        <v>轿车</v>
      </c>
      <c r="K792" s="62" t="str">
        <f>IF(OR(D792="",NOT(F792=1)),"",1+SUMPRODUCT(($F$2:$F$1001=1)*($D$2:$D$1001&gt;D792))+COUNTIFS($F$2:F792,1,$D$2:D792,D792)-1)</f>
        <v/>
      </c>
      <c r="L792" s="62" t="str">
        <f>IF(OR(D792="",NOT(G792="轿车")),"",1+SUMPRODUCT(($G$2:$G$1001="轿车")*($D$2:$D$1001&gt;D792))+COUNTIFS($G$2:G792,"轿车",$D$2:D792,D792)-1)</f>
        <v/>
      </c>
      <c r="M792" s="62" t="str">
        <f>IF(OR(D792="",NOT(G792="MPV")),"",1+SUMPRODUCT(($G$2:$G$1001="MPV")*($D$2:$D$1001&gt;D792))+COUNTIFS($G$2:G792,"MPV",$D$2:D792,D792)-1)</f>
        <v/>
      </c>
      <c r="N792" s="62" t="str">
        <f>IF(OR(D792="",NOT(G792="SUV")),"",1+SUMPRODUCT(($G$2:$G$1001="SUV")*($D$2:$D$1001&gt;D792))+COUNTIFS($G$2:G792,"SUV",$D$2:D792,D792)-1)</f>
        <v/>
      </c>
      <c r="O792" s="62" t="str">
        <f>IF(OR(D792="",NOT(AND(F792=1,G792="轿车"))),"",1+SUMPRODUCT(($F$2:$F$1001=1)*($G$2:$G$1001="轿车")*($D$2:$D$1001&gt;D792))+COUNTIFS($F$2:F792,1,$G$2:G792,"轿车",$D$2:D792,D792)-1)</f>
        <v/>
      </c>
      <c r="P792" s="62" t="str">
        <f>IF(OR(D792="",NOT(AND(F792=1,G792="MPV"))),"",1+SUMPRODUCT(($F$2:$F$1001=1)*($G$2:$G$1001="MPV")*($D$2:$D$1001&gt;D792))+COUNTIFS($F$2:F792,1,$G$2:G792,"MPV",$D$2:D792,D792)-1)</f>
        <v/>
      </c>
      <c r="Q792" s="62" t="str">
        <f>IF(OR(D792="",NOT(AND(F792=1,G792="SUV"))),"",1+SUMPRODUCT(($F$2:$F$1001=1)*($G$2:$G$1001="SUV")*($D$2:$D$1001&gt;D792))+COUNTIFS($F$2:F792,1,$G$2:G792,"SUV",$D$2:D792,D792)-1)</f>
        <v/>
      </c>
    </row>
    <row r="793" spans="1:17">
      <c r="A793" s="62" t="str">
        <f>IFERROR(INDEX($H$2:$H$3000,MATCH(0,INDEX(COUNTIF($A$1:A792,$H$2:$H$3000)+($H$2:$H$3000=""),0,0),0)),"")</f>
        <v/>
      </c>
      <c r="B793" s="62" t="str">
        <f t="shared" si="48"/>
        <v/>
      </c>
      <c r="C793" s="62" t="str">
        <f t="shared" si="49"/>
        <v/>
      </c>
      <c r="D793" s="63" t="str">
        <f t="shared" si="50"/>
        <v/>
      </c>
      <c r="E793" s="62" t="str">
        <f>IF(D793="","",_xlfn.RANK.EQ(D793,$D$2:$D$1001,0)+COUNTIF($D$2:D793,D793)-1)</f>
        <v/>
      </c>
      <c r="F793" s="62" t="str">
        <f>IF(B793="","",--(COUNTIF(CN_Brands!$A$2:$A$300,UPPER(B793))&gt;0))</f>
        <v/>
      </c>
      <c r="G793" s="62" t="str">
        <f t="shared" si="51"/>
        <v/>
      </c>
      <c r="H793" s="62" t="str">
        <f>IF(AND('Data Export'!A793=前十整体车型排名!$B$2,'Data Export'!B793=前十整体车型排名!$B$3,'Data Export'!D793&lt;&gt;""),UPPER('Data Export'!C793)&amp;"♦"&amp;'Data Export'!D793,"")</f>
        <v>TESLA♦MODEL 3</v>
      </c>
      <c r="I793" s="63">
        <f>IF(H793="","",IFERROR(INDEX('Data Export'!G793:CZ793,1,MATCH(前十整体车型排名!$B$4,'Data Export'!$G$1:$CZ$1,0)),0))</f>
        <v>0</v>
      </c>
      <c r="J793" s="62" t="str">
        <f>IF(H793="","",IF(OR('Data Export'!F793="三厢轿车",'Data Export'!F793="掀背轿车",'Data Export'!F793="旅行车",'Data Export'!F793="微型车",'Data Export'!F793="硬顶跑车",'Data Export'!F793="敞蓬车",'Data Export'!F793="Targa"),"轿车",IF(OR('Data Export'!F793="小型MPV",'Data Export'!F793="客车"),"MPV",IF('Data Export'!F793="运动型多功能车","SUV","其他"))))</f>
        <v>轿车</v>
      </c>
      <c r="K793" s="62" t="str">
        <f>IF(OR(D793="",NOT(F793=1)),"",1+SUMPRODUCT(($F$2:$F$1001=1)*($D$2:$D$1001&gt;D793))+COUNTIFS($F$2:F793,1,$D$2:D793,D793)-1)</f>
        <v/>
      </c>
      <c r="L793" s="62" t="str">
        <f>IF(OR(D793="",NOT(G793="轿车")),"",1+SUMPRODUCT(($G$2:$G$1001="轿车")*($D$2:$D$1001&gt;D793))+COUNTIFS($G$2:G793,"轿车",$D$2:D793,D793)-1)</f>
        <v/>
      </c>
      <c r="M793" s="62" t="str">
        <f>IF(OR(D793="",NOT(G793="MPV")),"",1+SUMPRODUCT(($G$2:$G$1001="MPV")*($D$2:$D$1001&gt;D793))+COUNTIFS($G$2:G793,"MPV",$D$2:D793,D793)-1)</f>
        <v/>
      </c>
      <c r="N793" s="62" t="str">
        <f>IF(OR(D793="",NOT(G793="SUV")),"",1+SUMPRODUCT(($G$2:$G$1001="SUV")*($D$2:$D$1001&gt;D793))+COUNTIFS($G$2:G793,"SUV",$D$2:D793,D793)-1)</f>
        <v/>
      </c>
      <c r="O793" s="62" t="str">
        <f>IF(OR(D793="",NOT(AND(F793=1,G793="轿车"))),"",1+SUMPRODUCT(($F$2:$F$1001=1)*($G$2:$G$1001="轿车")*($D$2:$D$1001&gt;D793))+COUNTIFS($F$2:F793,1,$G$2:G793,"轿车",$D$2:D793,D793)-1)</f>
        <v/>
      </c>
      <c r="P793" s="62" t="str">
        <f>IF(OR(D793="",NOT(AND(F793=1,G793="MPV"))),"",1+SUMPRODUCT(($F$2:$F$1001=1)*($G$2:$G$1001="MPV")*($D$2:$D$1001&gt;D793))+COUNTIFS($F$2:F793,1,$G$2:G793,"MPV",$D$2:D793,D793)-1)</f>
        <v/>
      </c>
      <c r="Q793" s="62" t="str">
        <f>IF(OR(D793="",NOT(AND(F793=1,G793="SUV"))),"",1+SUMPRODUCT(($F$2:$F$1001=1)*($G$2:$G$1001="SUV")*($D$2:$D$1001&gt;D793))+COUNTIFS($F$2:F793,1,$G$2:G793,"SUV",$D$2:D793,D793)-1)</f>
        <v/>
      </c>
    </row>
    <row r="794" spans="1:17">
      <c r="A794" s="62" t="str">
        <f>IFERROR(INDEX($H$2:$H$3000,MATCH(0,INDEX(COUNTIF($A$1:A793,$H$2:$H$3000)+($H$2:$H$3000=""),0,0),0)),"")</f>
        <v/>
      </c>
      <c r="B794" s="62" t="str">
        <f t="shared" si="48"/>
        <v/>
      </c>
      <c r="C794" s="62" t="str">
        <f t="shared" si="49"/>
        <v/>
      </c>
      <c r="D794" s="63" t="str">
        <f t="shared" si="50"/>
        <v/>
      </c>
      <c r="E794" s="62" t="str">
        <f>IF(D794="","",_xlfn.RANK.EQ(D794,$D$2:$D$1001,0)+COUNTIF($D$2:D794,D794)-1)</f>
        <v/>
      </c>
      <c r="F794" s="62" t="str">
        <f>IF(B794="","",--(COUNTIF(CN_Brands!$A$2:$A$300,UPPER(B794))&gt;0))</f>
        <v/>
      </c>
      <c r="G794" s="62" t="str">
        <f t="shared" si="51"/>
        <v/>
      </c>
      <c r="H794" s="62" t="str">
        <f>IF(AND('Data Export'!A794=前十整体车型排名!$B$2,'Data Export'!B794=前十整体车型排名!$B$3,'Data Export'!D794&lt;&gt;""),UPPER('Data Export'!C794)&amp;"♦"&amp;'Data Export'!D794,"")</f>
        <v>TESLA♦MODEL 3</v>
      </c>
      <c r="I794" s="63">
        <f>IF(H794="","",IFERROR(INDEX('Data Export'!G794:CZ794,1,MATCH(前十整体车型排名!$B$4,'Data Export'!$G$1:$CZ$1,0)),0))</f>
        <v>1</v>
      </c>
      <c r="J794" s="62" t="str">
        <f>IF(H794="","",IF(OR('Data Export'!F794="三厢轿车",'Data Export'!F794="掀背轿车",'Data Export'!F794="旅行车",'Data Export'!F794="微型车",'Data Export'!F794="硬顶跑车",'Data Export'!F794="敞蓬车",'Data Export'!F794="Targa"),"轿车",IF(OR('Data Export'!F794="小型MPV",'Data Export'!F794="客车"),"MPV",IF('Data Export'!F794="运动型多功能车","SUV","其他"))))</f>
        <v>轿车</v>
      </c>
      <c r="K794" s="62" t="str">
        <f>IF(OR(D794="",NOT(F794=1)),"",1+SUMPRODUCT(($F$2:$F$1001=1)*($D$2:$D$1001&gt;D794))+COUNTIFS($F$2:F794,1,$D$2:D794,D794)-1)</f>
        <v/>
      </c>
      <c r="L794" s="62" t="str">
        <f>IF(OR(D794="",NOT(G794="轿车")),"",1+SUMPRODUCT(($G$2:$G$1001="轿车")*($D$2:$D$1001&gt;D794))+COUNTIFS($G$2:G794,"轿车",$D$2:D794,D794)-1)</f>
        <v/>
      </c>
      <c r="M794" s="62" t="str">
        <f>IF(OR(D794="",NOT(G794="MPV")),"",1+SUMPRODUCT(($G$2:$G$1001="MPV")*($D$2:$D$1001&gt;D794))+COUNTIFS($G$2:G794,"MPV",$D$2:D794,D794)-1)</f>
        <v/>
      </c>
      <c r="N794" s="62" t="str">
        <f>IF(OR(D794="",NOT(G794="SUV")),"",1+SUMPRODUCT(($G$2:$G$1001="SUV")*($D$2:$D$1001&gt;D794))+COUNTIFS($G$2:G794,"SUV",$D$2:D794,D794)-1)</f>
        <v/>
      </c>
      <c r="O794" s="62" t="str">
        <f>IF(OR(D794="",NOT(AND(F794=1,G794="轿车"))),"",1+SUMPRODUCT(($F$2:$F$1001=1)*($G$2:$G$1001="轿车")*($D$2:$D$1001&gt;D794))+COUNTIFS($F$2:F794,1,$G$2:G794,"轿车",$D$2:D794,D794)-1)</f>
        <v/>
      </c>
      <c r="P794" s="62" t="str">
        <f>IF(OR(D794="",NOT(AND(F794=1,G794="MPV"))),"",1+SUMPRODUCT(($F$2:$F$1001=1)*($G$2:$G$1001="MPV")*($D$2:$D$1001&gt;D794))+COUNTIFS($F$2:F794,1,$G$2:G794,"MPV",$D$2:D794,D794)-1)</f>
        <v/>
      </c>
      <c r="Q794" s="62" t="str">
        <f>IF(OR(D794="",NOT(AND(F794=1,G794="SUV"))),"",1+SUMPRODUCT(($F$2:$F$1001=1)*($G$2:$G$1001="SUV")*($D$2:$D$1001&gt;D794))+COUNTIFS($F$2:F794,1,$G$2:G794,"SUV",$D$2:D794,D794)-1)</f>
        <v/>
      </c>
    </row>
    <row r="795" spans="1:17">
      <c r="A795" s="62" t="str">
        <f>IFERROR(INDEX($H$2:$H$3000,MATCH(0,INDEX(COUNTIF($A$1:A794,$H$2:$H$3000)+($H$2:$H$3000=""),0,0),0)),"")</f>
        <v/>
      </c>
      <c r="B795" s="62" t="str">
        <f t="shared" si="48"/>
        <v/>
      </c>
      <c r="C795" s="62" t="str">
        <f t="shared" si="49"/>
        <v/>
      </c>
      <c r="D795" s="63" t="str">
        <f t="shared" si="50"/>
        <v/>
      </c>
      <c r="E795" s="62" t="str">
        <f>IF(D795="","",_xlfn.RANK.EQ(D795,$D$2:$D$1001,0)+COUNTIF($D$2:D795,D795)-1)</f>
        <v/>
      </c>
      <c r="F795" s="62" t="str">
        <f>IF(B795="","",--(COUNTIF(CN_Brands!$A$2:$A$300,UPPER(B795))&gt;0))</f>
        <v/>
      </c>
      <c r="G795" s="62" t="str">
        <f t="shared" si="51"/>
        <v/>
      </c>
      <c r="H795" s="62" t="str">
        <f>IF(AND('Data Export'!A795=前十整体车型排名!$B$2,'Data Export'!B795=前十整体车型排名!$B$3,'Data Export'!D795&lt;&gt;""),UPPER('Data Export'!C795)&amp;"♦"&amp;'Data Export'!D795,"")</f>
        <v>TESLA♦MODEL 3</v>
      </c>
      <c r="I795" s="63">
        <f>IF(H795="","",IFERROR(INDEX('Data Export'!G795:CZ795,1,MATCH(前十整体车型排名!$B$4,'Data Export'!$G$1:$CZ$1,0)),0))</f>
        <v>28</v>
      </c>
      <c r="J795" s="62" t="str">
        <f>IF(H795="","",IF(OR('Data Export'!F795="三厢轿车",'Data Export'!F795="掀背轿车",'Data Export'!F795="旅行车",'Data Export'!F795="微型车",'Data Export'!F795="硬顶跑车",'Data Export'!F795="敞蓬车",'Data Export'!F795="Targa"),"轿车",IF(OR('Data Export'!F795="小型MPV",'Data Export'!F795="客车"),"MPV",IF('Data Export'!F795="运动型多功能车","SUV","其他"))))</f>
        <v>轿车</v>
      </c>
      <c r="K795" s="62" t="str">
        <f>IF(OR(D795="",NOT(F795=1)),"",1+SUMPRODUCT(($F$2:$F$1001=1)*($D$2:$D$1001&gt;D795))+COUNTIFS($F$2:F795,1,$D$2:D795,D795)-1)</f>
        <v/>
      </c>
      <c r="L795" s="62" t="str">
        <f>IF(OR(D795="",NOT(G795="轿车")),"",1+SUMPRODUCT(($G$2:$G$1001="轿车")*($D$2:$D$1001&gt;D795))+COUNTIFS($G$2:G795,"轿车",$D$2:D795,D795)-1)</f>
        <v/>
      </c>
      <c r="M795" s="62" t="str">
        <f>IF(OR(D795="",NOT(G795="MPV")),"",1+SUMPRODUCT(($G$2:$G$1001="MPV")*($D$2:$D$1001&gt;D795))+COUNTIFS($G$2:G795,"MPV",$D$2:D795,D795)-1)</f>
        <v/>
      </c>
      <c r="N795" s="62" t="str">
        <f>IF(OR(D795="",NOT(G795="SUV")),"",1+SUMPRODUCT(($G$2:$G$1001="SUV")*($D$2:$D$1001&gt;D795))+COUNTIFS($G$2:G795,"SUV",$D$2:D795,D795)-1)</f>
        <v/>
      </c>
      <c r="O795" s="62" t="str">
        <f>IF(OR(D795="",NOT(AND(F795=1,G795="轿车"))),"",1+SUMPRODUCT(($F$2:$F$1001=1)*($G$2:$G$1001="轿车")*($D$2:$D$1001&gt;D795))+COUNTIFS($F$2:F795,1,$G$2:G795,"轿车",$D$2:D795,D795)-1)</f>
        <v/>
      </c>
      <c r="P795" s="62" t="str">
        <f>IF(OR(D795="",NOT(AND(F795=1,G795="MPV"))),"",1+SUMPRODUCT(($F$2:$F$1001=1)*($G$2:$G$1001="MPV")*($D$2:$D$1001&gt;D795))+COUNTIFS($F$2:F795,1,$G$2:G795,"MPV",$D$2:D795,D795)-1)</f>
        <v/>
      </c>
      <c r="Q795" s="62" t="str">
        <f>IF(OR(D795="",NOT(AND(F795=1,G795="SUV"))),"",1+SUMPRODUCT(($F$2:$F$1001=1)*($G$2:$G$1001="SUV")*($D$2:$D$1001&gt;D795))+COUNTIFS($F$2:F795,1,$G$2:G795,"SUV",$D$2:D795,D795)-1)</f>
        <v/>
      </c>
    </row>
    <row r="796" spans="1:17">
      <c r="A796" s="62" t="str">
        <f>IFERROR(INDEX($H$2:$H$3000,MATCH(0,INDEX(COUNTIF($A$1:A795,$H$2:$H$3000)+($H$2:$H$3000=""),0,0),0)),"")</f>
        <v/>
      </c>
      <c r="B796" s="62" t="str">
        <f t="shared" si="48"/>
        <v/>
      </c>
      <c r="C796" s="62" t="str">
        <f t="shared" si="49"/>
        <v/>
      </c>
      <c r="D796" s="63" t="str">
        <f t="shared" si="50"/>
        <v/>
      </c>
      <c r="E796" s="62" t="str">
        <f>IF(D796="","",_xlfn.RANK.EQ(D796,$D$2:$D$1001,0)+COUNTIF($D$2:D796,D796)-1)</f>
        <v/>
      </c>
      <c r="F796" s="62" t="str">
        <f>IF(B796="","",--(COUNTIF(CN_Brands!$A$2:$A$300,UPPER(B796))&gt;0))</f>
        <v/>
      </c>
      <c r="G796" s="62" t="str">
        <f t="shared" si="51"/>
        <v/>
      </c>
      <c r="H796" s="62" t="str">
        <f>IF(AND('Data Export'!A796=前十整体车型排名!$B$2,'Data Export'!B796=前十整体车型排名!$B$3,'Data Export'!D796&lt;&gt;""),UPPER('Data Export'!C796)&amp;"♦"&amp;'Data Export'!D796,"")</f>
        <v>TESLA♦MODEL 3</v>
      </c>
      <c r="I796" s="63">
        <f>IF(H796="","",IFERROR(INDEX('Data Export'!G796:CZ796,1,MATCH(前十整体车型排名!$B$4,'Data Export'!$G$1:$CZ$1,0)),0))</f>
        <v>0</v>
      </c>
      <c r="J796" s="62" t="str">
        <f>IF(H796="","",IF(OR('Data Export'!F796="三厢轿车",'Data Export'!F796="掀背轿车",'Data Export'!F796="旅行车",'Data Export'!F796="微型车",'Data Export'!F796="硬顶跑车",'Data Export'!F796="敞蓬车",'Data Export'!F796="Targa"),"轿车",IF(OR('Data Export'!F796="小型MPV",'Data Export'!F796="客车"),"MPV",IF('Data Export'!F796="运动型多功能车","SUV","其他"))))</f>
        <v>轿车</v>
      </c>
      <c r="K796" s="62" t="str">
        <f>IF(OR(D796="",NOT(F796=1)),"",1+SUMPRODUCT(($F$2:$F$1001=1)*($D$2:$D$1001&gt;D796))+COUNTIFS($F$2:F796,1,$D$2:D796,D796)-1)</f>
        <v/>
      </c>
      <c r="L796" s="62" t="str">
        <f>IF(OR(D796="",NOT(G796="轿车")),"",1+SUMPRODUCT(($G$2:$G$1001="轿车")*($D$2:$D$1001&gt;D796))+COUNTIFS($G$2:G796,"轿车",$D$2:D796,D796)-1)</f>
        <v/>
      </c>
      <c r="M796" s="62" t="str">
        <f>IF(OR(D796="",NOT(G796="MPV")),"",1+SUMPRODUCT(($G$2:$G$1001="MPV")*($D$2:$D$1001&gt;D796))+COUNTIFS($G$2:G796,"MPV",$D$2:D796,D796)-1)</f>
        <v/>
      </c>
      <c r="N796" s="62" t="str">
        <f>IF(OR(D796="",NOT(G796="SUV")),"",1+SUMPRODUCT(($G$2:$G$1001="SUV")*($D$2:$D$1001&gt;D796))+COUNTIFS($G$2:G796,"SUV",$D$2:D796,D796)-1)</f>
        <v/>
      </c>
      <c r="O796" s="62" t="str">
        <f>IF(OR(D796="",NOT(AND(F796=1,G796="轿车"))),"",1+SUMPRODUCT(($F$2:$F$1001=1)*($G$2:$G$1001="轿车")*($D$2:$D$1001&gt;D796))+COUNTIFS($F$2:F796,1,$G$2:G796,"轿车",$D$2:D796,D796)-1)</f>
        <v/>
      </c>
      <c r="P796" s="62" t="str">
        <f>IF(OR(D796="",NOT(AND(F796=1,G796="MPV"))),"",1+SUMPRODUCT(($F$2:$F$1001=1)*($G$2:$G$1001="MPV")*($D$2:$D$1001&gt;D796))+COUNTIFS($F$2:F796,1,$G$2:G796,"MPV",$D$2:D796,D796)-1)</f>
        <v/>
      </c>
      <c r="Q796" s="62" t="str">
        <f>IF(OR(D796="",NOT(AND(F796=1,G796="SUV"))),"",1+SUMPRODUCT(($F$2:$F$1001=1)*($G$2:$G$1001="SUV")*($D$2:$D$1001&gt;D796))+COUNTIFS($F$2:F796,1,$G$2:G796,"SUV",$D$2:D796,D796)-1)</f>
        <v/>
      </c>
    </row>
    <row r="797" spans="1:17">
      <c r="A797" s="62" t="str">
        <f>IFERROR(INDEX($H$2:$H$3000,MATCH(0,INDEX(COUNTIF($A$1:A796,$H$2:$H$3000)+($H$2:$H$3000=""),0,0),0)),"")</f>
        <v/>
      </c>
      <c r="B797" s="62" t="str">
        <f t="shared" si="48"/>
        <v/>
      </c>
      <c r="C797" s="62" t="str">
        <f t="shared" si="49"/>
        <v/>
      </c>
      <c r="D797" s="63" t="str">
        <f t="shared" si="50"/>
        <v/>
      </c>
      <c r="E797" s="62" t="str">
        <f>IF(D797="","",_xlfn.RANK.EQ(D797,$D$2:$D$1001,0)+COUNTIF($D$2:D797,D797)-1)</f>
        <v/>
      </c>
      <c r="F797" s="62" t="str">
        <f>IF(B797="","",--(COUNTIF(CN_Brands!$A$2:$A$300,UPPER(B797))&gt;0))</f>
        <v/>
      </c>
      <c r="G797" s="62" t="str">
        <f t="shared" si="51"/>
        <v/>
      </c>
      <c r="H797" s="62" t="str">
        <f>IF(AND('Data Export'!A797=前十整体车型排名!$B$2,'Data Export'!B797=前十整体车型排名!$B$3,'Data Export'!D797&lt;&gt;""),UPPER('Data Export'!C797)&amp;"♦"&amp;'Data Export'!D797,"")</f>
        <v>TESLA♦MODEL 3</v>
      </c>
      <c r="I797" s="63">
        <f>IF(H797="","",IFERROR(INDEX('Data Export'!G797:CZ797,1,MATCH(前十整体车型排名!$B$4,'Data Export'!$G$1:$CZ$1,0)),0))</f>
        <v>2</v>
      </c>
      <c r="J797" s="62" t="str">
        <f>IF(H797="","",IF(OR('Data Export'!F797="三厢轿车",'Data Export'!F797="掀背轿车",'Data Export'!F797="旅行车",'Data Export'!F797="微型车",'Data Export'!F797="硬顶跑车",'Data Export'!F797="敞蓬车",'Data Export'!F797="Targa"),"轿车",IF(OR('Data Export'!F797="小型MPV",'Data Export'!F797="客车"),"MPV",IF('Data Export'!F797="运动型多功能车","SUV","其他"))))</f>
        <v>轿车</v>
      </c>
      <c r="K797" s="62" t="str">
        <f>IF(OR(D797="",NOT(F797=1)),"",1+SUMPRODUCT(($F$2:$F$1001=1)*($D$2:$D$1001&gt;D797))+COUNTIFS($F$2:F797,1,$D$2:D797,D797)-1)</f>
        <v/>
      </c>
      <c r="L797" s="62" t="str">
        <f>IF(OR(D797="",NOT(G797="轿车")),"",1+SUMPRODUCT(($G$2:$G$1001="轿车")*($D$2:$D$1001&gt;D797))+COUNTIFS($G$2:G797,"轿车",$D$2:D797,D797)-1)</f>
        <v/>
      </c>
      <c r="M797" s="62" t="str">
        <f>IF(OR(D797="",NOT(G797="MPV")),"",1+SUMPRODUCT(($G$2:$G$1001="MPV")*($D$2:$D$1001&gt;D797))+COUNTIFS($G$2:G797,"MPV",$D$2:D797,D797)-1)</f>
        <v/>
      </c>
      <c r="N797" s="62" t="str">
        <f>IF(OR(D797="",NOT(G797="SUV")),"",1+SUMPRODUCT(($G$2:$G$1001="SUV")*($D$2:$D$1001&gt;D797))+COUNTIFS($G$2:G797,"SUV",$D$2:D797,D797)-1)</f>
        <v/>
      </c>
      <c r="O797" s="62" t="str">
        <f>IF(OR(D797="",NOT(AND(F797=1,G797="轿车"))),"",1+SUMPRODUCT(($F$2:$F$1001=1)*($G$2:$G$1001="轿车")*($D$2:$D$1001&gt;D797))+COUNTIFS($F$2:F797,1,$G$2:G797,"轿车",$D$2:D797,D797)-1)</f>
        <v/>
      </c>
      <c r="P797" s="62" t="str">
        <f>IF(OR(D797="",NOT(AND(F797=1,G797="MPV"))),"",1+SUMPRODUCT(($F$2:$F$1001=1)*($G$2:$G$1001="MPV")*($D$2:$D$1001&gt;D797))+COUNTIFS($F$2:F797,1,$G$2:G797,"MPV",$D$2:D797,D797)-1)</f>
        <v/>
      </c>
      <c r="Q797" s="62" t="str">
        <f>IF(OR(D797="",NOT(AND(F797=1,G797="SUV"))),"",1+SUMPRODUCT(($F$2:$F$1001=1)*($G$2:$G$1001="SUV")*($D$2:$D$1001&gt;D797))+COUNTIFS($F$2:F797,1,$G$2:G797,"SUV",$D$2:D797,D797)-1)</f>
        <v/>
      </c>
    </row>
    <row r="798" spans="1:17">
      <c r="A798" s="62" t="str">
        <f>IFERROR(INDEX($H$2:$H$3000,MATCH(0,INDEX(COUNTIF($A$1:A797,$H$2:$H$3000)+($H$2:$H$3000=""),0,0),0)),"")</f>
        <v/>
      </c>
      <c r="B798" s="62" t="str">
        <f t="shared" si="48"/>
        <v/>
      </c>
      <c r="C798" s="62" t="str">
        <f t="shared" si="49"/>
        <v/>
      </c>
      <c r="D798" s="63" t="str">
        <f t="shared" si="50"/>
        <v/>
      </c>
      <c r="E798" s="62" t="str">
        <f>IF(D798="","",_xlfn.RANK.EQ(D798,$D$2:$D$1001,0)+COUNTIF($D$2:D798,D798)-1)</f>
        <v/>
      </c>
      <c r="F798" s="62" t="str">
        <f>IF(B798="","",--(COUNTIF(CN_Brands!$A$2:$A$300,UPPER(B798))&gt;0))</f>
        <v/>
      </c>
      <c r="G798" s="62" t="str">
        <f t="shared" si="51"/>
        <v/>
      </c>
      <c r="H798" s="62" t="str">
        <f>IF(AND('Data Export'!A798=前十整体车型排名!$B$2,'Data Export'!B798=前十整体车型排名!$B$3,'Data Export'!D798&lt;&gt;""),UPPER('Data Export'!C798)&amp;"♦"&amp;'Data Export'!D798,"")</f>
        <v>TESLA♦MODEL X</v>
      </c>
      <c r="I798" s="63">
        <f>IF(H798="","",IFERROR(INDEX('Data Export'!G798:CZ798,1,MATCH(前十整体车型排名!$B$4,'Data Export'!$G$1:$CZ$1,0)),0))</f>
        <v>0</v>
      </c>
      <c r="J798" s="62" t="str">
        <f>IF(H798="","",IF(OR('Data Export'!F798="三厢轿车",'Data Export'!F798="掀背轿车",'Data Export'!F798="旅行车",'Data Export'!F798="微型车",'Data Export'!F798="硬顶跑车",'Data Export'!F798="敞蓬车",'Data Export'!F798="Targa"),"轿车",IF(OR('Data Export'!F798="小型MPV",'Data Export'!F798="客车"),"MPV",IF('Data Export'!F798="运动型多功能车","SUV","其他"))))</f>
        <v>SUV</v>
      </c>
      <c r="K798" s="62" t="str">
        <f>IF(OR(D798="",NOT(F798=1)),"",1+SUMPRODUCT(($F$2:$F$1001=1)*($D$2:$D$1001&gt;D798))+COUNTIFS($F$2:F798,1,$D$2:D798,D798)-1)</f>
        <v/>
      </c>
      <c r="L798" s="62" t="str">
        <f>IF(OR(D798="",NOT(G798="轿车")),"",1+SUMPRODUCT(($G$2:$G$1001="轿车")*($D$2:$D$1001&gt;D798))+COUNTIFS($G$2:G798,"轿车",$D$2:D798,D798)-1)</f>
        <v/>
      </c>
      <c r="M798" s="62" t="str">
        <f>IF(OR(D798="",NOT(G798="MPV")),"",1+SUMPRODUCT(($G$2:$G$1001="MPV")*($D$2:$D$1001&gt;D798))+COUNTIFS($G$2:G798,"MPV",$D$2:D798,D798)-1)</f>
        <v/>
      </c>
      <c r="N798" s="62" t="str">
        <f>IF(OR(D798="",NOT(G798="SUV")),"",1+SUMPRODUCT(($G$2:$G$1001="SUV")*($D$2:$D$1001&gt;D798))+COUNTIFS($G$2:G798,"SUV",$D$2:D798,D798)-1)</f>
        <v/>
      </c>
      <c r="O798" s="62" t="str">
        <f>IF(OR(D798="",NOT(AND(F798=1,G798="轿车"))),"",1+SUMPRODUCT(($F$2:$F$1001=1)*($G$2:$G$1001="轿车")*($D$2:$D$1001&gt;D798))+COUNTIFS($F$2:F798,1,$G$2:G798,"轿车",$D$2:D798,D798)-1)</f>
        <v/>
      </c>
      <c r="P798" s="62" t="str">
        <f>IF(OR(D798="",NOT(AND(F798=1,G798="MPV"))),"",1+SUMPRODUCT(($F$2:$F$1001=1)*($G$2:$G$1001="MPV")*($D$2:$D$1001&gt;D798))+COUNTIFS($F$2:F798,1,$G$2:G798,"MPV",$D$2:D798,D798)-1)</f>
        <v/>
      </c>
      <c r="Q798" s="62" t="str">
        <f>IF(OR(D798="",NOT(AND(F798=1,G798="SUV"))),"",1+SUMPRODUCT(($F$2:$F$1001=1)*($G$2:$G$1001="SUV")*($D$2:$D$1001&gt;D798))+COUNTIFS($F$2:F798,1,$G$2:G798,"SUV",$D$2:D798,D798)-1)</f>
        <v/>
      </c>
    </row>
    <row r="799" spans="1:17">
      <c r="A799" s="62" t="str">
        <f>IFERROR(INDEX($H$2:$H$3000,MATCH(0,INDEX(COUNTIF($A$1:A798,$H$2:$H$3000)+($H$2:$H$3000=""),0,0),0)),"")</f>
        <v/>
      </c>
      <c r="B799" s="62" t="str">
        <f t="shared" si="48"/>
        <v/>
      </c>
      <c r="C799" s="62" t="str">
        <f t="shared" si="49"/>
        <v/>
      </c>
      <c r="D799" s="63" t="str">
        <f t="shared" si="50"/>
        <v/>
      </c>
      <c r="E799" s="62" t="str">
        <f>IF(D799="","",_xlfn.RANK.EQ(D799,$D$2:$D$1001,0)+COUNTIF($D$2:D799,D799)-1)</f>
        <v/>
      </c>
      <c r="F799" s="62" t="str">
        <f>IF(B799="","",--(COUNTIF(CN_Brands!$A$2:$A$300,UPPER(B799))&gt;0))</f>
        <v/>
      </c>
      <c r="G799" s="62" t="str">
        <f t="shared" si="51"/>
        <v/>
      </c>
      <c r="H799" s="62" t="str">
        <f>IF(AND('Data Export'!A799=前十整体车型排名!$B$2,'Data Export'!B799=前十整体车型排名!$B$3,'Data Export'!D799&lt;&gt;""),UPPER('Data Export'!C799)&amp;"♦"&amp;'Data Export'!D799,"")</f>
        <v>TESLA♦MODEL Y</v>
      </c>
      <c r="I799" s="63">
        <f>IF(H799="","",IFERROR(INDEX('Data Export'!G799:CZ799,1,MATCH(前十整体车型排名!$B$4,'Data Export'!$G$1:$CZ$1,0)),0))</f>
        <v>418</v>
      </c>
      <c r="J799" s="62" t="str">
        <f>IF(H799="","",IF(OR('Data Export'!F799="三厢轿车",'Data Export'!F799="掀背轿车",'Data Export'!F799="旅行车",'Data Export'!F799="微型车",'Data Export'!F799="硬顶跑车",'Data Export'!F799="敞蓬车",'Data Export'!F799="Targa"),"轿车",IF(OR('Data Export'!F799="小型MPV",'Data Export'!F799="客车"),"MPV",IF('Data Export'!F799="运动型多功能车","SUV","其他"))))</f>
        <v>SUV</v>
      </c>
      <c r="K799" s="62" t="str">
        <f>IF(OR(D799="",NOT(F799=1)),"",1+SUMPRODUCT(($F$2:$F$1001=1)*($D$2:$D$1001&gt;D799))+COUNTIFS($F$2:F799,1,$D$2:D799,D799)-1)</f>
        <v/>
      </c>
      <c r="L799" s="62" t="str">
        <f>IF(OR(D799="",NOT(G799="轿车")),"",1+SUMPRODUCT(($G$2:$G$1001="轿车")*($D$2:$D$1001&gt;D799))+COUNTIFS($G$2:G799,"轿车",$D$2:D799,D799)-1)</f>
        <v/>
      </c>
      <c r="M799" s="62" t="str">
        <f>IF(OR(D799="",NOT(G799="MPV")),"",1+SUMPRODUCT(($G$2:$G$1001="MPV")*($D$2:$D$1001&gt;D799))+COUNTIFS($G$2:G799,"MPV",$D$2:D799,D799)-1)</f>
        <v/>
      </c>
      <c r="N799" s="62" t="str">
        <f>IF(OR(D799="",NOT(G799="SUV")),"",1+SUMPRODUCT(($G$2:$G$1001="SUV")*($D$2:$D$1001&gt;D799))+COUNTIFS($G$2:G799,"SUV",$D$2:D799,D799)-1)</f>
        <v/>
      </c>
      <c r="O799" s="62" t="str">
        <f>IF(OR(D799="",NOT(AND(F799=1,G799="轿车"))),"",1+SUMPRODUCT(($F$2:$F$1001=1)*($G$2:$G$1001="轿车")*($D$2:$D$1001&gt;D799))+COUNTIFS($F$2:F799,1,$G$2:G799,"轿车",$D$2:D799,D799)-1)</f>
        <v/>
      </c>
      <c r="P799" s="62" t="str">
        <f>IF(OR(D799="",NOT(AND(F799=1,G799="MPV"))),"",1+SUMPRODUCT(($F$2:$F$1001=1)*($G$2:$G$1001="MPV")*($D$2:$D$1001&gt;D799))+COUNTIFS($F$2:F799,1,$G$2:G799,"MPV",$D$2:D799,D799)-1)</f>
        <v/>
      </c>
      <c r="Q799" s="62" t="str">
        <f>IF(OR(D799="",NOT(AND(F799=1,G799="SUV"))),"",1+SUMPRODUCT(($F$2:$F$1001=1)*($G$2:$G$1001="SUV")*($D$2:$D$1001&gt;D799))+COUNTIFS($F$2:F799,1,$G$2:G799,"SUV",$D$2:D799,D799)-1)</f>
        <v/>
      </c>
    </row>
    <row r="800" spans="1:17">
      <c r="A800" s="62" t="str">
        <f>IFERROR(INDEX($H$2:$H$3000,MATCH(0,INDEX(COUNTIF($A$1:A799,$H$2:$H$3000)+($H$2:$H$3000=""),0,0),0)),"")</f>
        <v/>
      </c>
      <c r="B800" s="62" t="str">
        <f t="shared" si="48"/>
        <v/>
      </c>
      <c r="C800" s="62" t="str">
        <f t="shared" si="49"/>
        <v/>
      </c>
      <c r="D800" s="63" t="str">
        <f t="shared" si="50"/>
        <v/>
      </c>
      <c r="E800" s="62" t="str">
        <f>IF(D800="","",_xlfn.RANK.EQ(D800,$D$2:$D$1001,0)+COUNTIF($D$2:D800,D800)-1)</f>
        <v/>
      </c>
      <c r="F800" s="62" t="str">
        <f>IF(B800="","",--(COUNTIF(CN_Brands!$A$2:$A$300,UPPER(B800))&gt;0))</f>
        <v/>
      </c>
      <c r="G800" s="62" t="str">
        <f t="shared" si="51"/>
        <v/>
      </c>
      <c r="H800" s="62" t="str">
        <f>IF(AND('Data Export'!A800=前十整体车型排名!$B$2,'Data Export'!B800=前十整体车型排名!$B$3,'Data Export'!D800&lt;&gt;""),UPPER('Data Export'!C800)&amp;"♦"&amp;'Data Export'!D800,"")</f>
        <v>TESLA♦MODEL Y</v>
      </c>
      <c r="I800" s="63">
        <f>IF(H800="","",IFERROR(INDEX('Data Export'!G800:CZ800,1,MATCH(前十整体车型排名!$B$4,'Data Export'!$G$1:$CZ$1,0)),0))</f>
        <v>0</v>
      </c>
      <c r="J800" s="62" t="str">
        <f>IF(H800="","",IF(OR('Data Export'!F800="三厢轿车",'Data Export'!F800="掀背轿车",'Data Export'!F800="旅行车",'Data Export'!F800="微型车",'Data Export'!F800="硬顶跑车",'Data Export'!F800="敞蓬车",'Data Export'!F800="Targa"),"轿车",IF(OR('Data Export'!F800="小型MPV",'Data Export'!F800="客车"),"MPV",IF('Data Export'!F800="运动型多功能车","SUV","其他"))))</f>
        <v>SUV</v>
      </c>
      <c r="K800" s="62" t="str">
        <f>IF(OR(D800="",NOT(F800=1)),"",1+SUMPRODUCT(($F$2:$F$1001=1)*($D$2:$D$1001&gt;D800))+COUNTIFS($F$2:F800,1,$D$2:D800,D800)-1)</f>
        <v/>
      </c>
      <c r="L800" s="62" t="str">
        <f>IF(OR(D800="",NOT(G800="轿车")),"",1+SUMPRODUCT(($G$2:$G$1001="轿车")*($D$2:$D$1001&gt;D800))+COUNTIFS($G$2:G800,"轿车",$D$2:D800,D800)-1)</f>
        <v/>
      </c>
      <c r="M800" s="62" t="str">
        <f>IF(OR(D800="",NOT(G800="MPV")),"",1+SUMPRODUCT(($G$2:$G$1001="MPV")*($D$2:$D$1001&gt;D800))+COUNTIFS($G$2:G800,"MPV",$D$2:D800,D800)-1)</f>
        <v/>
      </c>
      <c r="N800" s="62" t="str">
        <f>IF(OR(D800="",NOT(G800="SUV")),"",1+SUMPRODUCT(($G$2:$G$1001="SUV")*($D$2:$D$1001&gt;D800))+COUNTIFS($G$2:G800,"SUV",$D$2:D800,D800)-1)</f>
        <v/>
      </c>
      <c r="O800" s="62" t="str">
        <f>IF(OR(D800="",NOT(AND(F800=1,G800="轿车"))),"",1+SUMPRODUCT(($F$2:$F$1001=1)*($G$2:$G$1001="轿车")*($D$2:$D$1001&gt;D800))+COUNTIFS($F$2:F800,1,$G$2:G800,"轿车",$D$2:D800,D800)-1)</f>
        <v/>
      </c>
      <c r="P800" s="62" t="str">
        <f>IF(OR(D800="",NOT(AND(F800=1,G800="MPV"))),"",1+SUMPRODUCT(($F$2:$F$1001=1)*($G$2:$G$1001="MPV")*($D$2:$D$1001&gt;D800))+COUNTIFS($F$2:F800,1,$G$2:G800,"MPV",$D$2:D800,D800)-1)</f>
        <v/>
      </c>
      <c r="Q800" s="62" t="str">
        <f>IF(OR(D800="",NOT(AND(F800=1,G800="SUV"))),"",1+SUMPRODUCT(($F$2:$F$1001=1)*($G$2:$G$1001="SUV")*($D$2:$D$1001&gt;D800))+COUNTIFS($F$2:F800,1,$G$2:G800,"SUV",$D$2:D800,D800)-1)</f>
        <v/>
      </c>
    </row>
    <row r="801" spans="1:17">
      <c r="A801" s="62" t="str">
        <f>IFERROR(INDEX($H$2:$H$3000,MATCH(0,INDEX(COUNTIF($A$1:A800,$H$2:$H$3000)+($H$2:$H$3000=""),0,0),0)),"")</f>
        <v/>
      </c>
      <c r="B801" s="62" t="str">
        <f t="shared" si="48"/>
        <v/>
      </c>
      <c r="C801" s="62" t="str">
        <f t="shared" si="49"/>
        <v/>
      </c>
      <c r="D801" s="63" t="str">
        <f t="shared" si="50"/>
        <v/>
      </c>
      <c r="E801" s="62" t="str">
        <f>IF(D801="","",_xlfn.RANK.EQ(D801,$D$2:$D$1001,0)+COUNTIF($D$2:D801,D801)-1)</f>
        <v/>
      </c>
      <c r="F801" s="62" t="str">
        <f>IF(B801="","",--(COUNTIF(CN_Brands!$A$2:$A$300,UPPER(B801))&gt;0))</f>
        <v/>
      </c>
      <c r="G801" s="62" t="str">
        <f t="shared" si="51"/>
        <v/>
      </c>
      <c r="H801" s="62" t="str">
        <f>IF(AND('Data Export'!A801=前十整体车型排名!$B$2,'Data Export'!B801=前十整体车型排名!$B$3,'Data Export'!D801&lt;&gt;""),UPPER('Data Export'!C801)&amp;"♦"&amp;'Data Export'!D801,"")</f>
        <v>TESLA♦MODEL Y</v>
      </c>
      <c r="I801" s="63">
        <f>IF(H801="","",IFERROR(INDEX('Data Export'!G801:CZ801,1,MATCH(前十整体车型排名!$B$4,'Data Export'!$G$1:$CZ$1,0)),0))</f>
        <v>0</v>
      </c>
      <c r="J801" s="62" t="str">
        <f>IF(H801="","",IF(OR('Data Export'!F801="三厢轿车",'Data Export'!F801="掀背轿车",'Data Export'!F801="旅行车",'Data Export'!F801="微型车",'Data Export'!F801="硬顶跑车",'Data Export'!F801="敞蓬车",'Data Export'!F801="Targa"),"轿车",IF(OR('Data Export'!F801="小型MPV",'Data Export'!F801="客车"),"MPV",IF('Data Export'!F801="运动型多功能车","SUV","其他"))))</f>
        <v>SUV</v>
      </c>
      <c r="K801" s="62" t="str">
        <f>IF(OR(D801="",NOT(F801=1)),"",1+SUMPRODUCT(($F$2:$F$1001=1)*($D$2:$D$1001&gt;D801))+COUNTIFS($F$2:F801,1,$D$2:D801,D801)-1)</f>
        <v/>
      </c>
      <c r="L801" s="62" t="str">
        <f>IF(OR(D801="",NOT(G801="轿车")),"",1+SUMPRODUCT(($G$2:$G$1001="轿车")*($D$2:$D$1001&gt;D801))+COUNTIFS($G$2:G801,"轿车",$D$2:D801,D801)-1)</f>
        <v/>
      </c>
      <c r="M801" s="62" t="str">
        <f>IF(OR(D801="",NOT(G801="MPV")),"",1+SUMPRODUCT(($G$2:$G$1001="MPV")*($D$2:$D$1001&gt;D801))+COUNTIFS($G$2:G801,"MPV",$D$2:D801,D801)-1)</f>
        <v/>
      </c>
      <c r="N801" s="62" t="str">
        <f>IF(OR(D801="",NOT(G801="SUV")),"",1+SUMPRODUCT(($G$2:$G$1001="SUV")*($D$2:$D$1001&gt;D801))+COUNTIFS($G$2:G801,"SUV",$D$2:D801,D801)-1)</f>
        <v/>
      </c>
      <c r="O801" s="62" t="str">
        <f>IF(OR(D801="",NOT(AND(F801=1,G801="轿车"))),"",1+SUMPRODUCT(($F$2:$F$1001=1)*($G$2:$G$1001="轿车")*($D$2:$D$1001&gt;D801))+COUNTIFS($F$2:F801,1,$G$2:G801,"轿车",$D$2:D801,D801)-1)</f>
        <v/>
      </c>
      <c r="P801" s="62" t="str">
        <f>IF(OR(D801="",NOT(AND(F801=1,G801="MPV"))),"",1+SUMPRODUCT(($F$2:$F$1001=1)*($G$2:$G$1001="MPV")*($D$2:$D$1001&gt;D801))+COUNTIFS($F$2:F801,1,$G$2:G801,"MPV",$D$2:D801,D801)-1)</f>
        <v/>
      </c>
      <c r="Q801" s="62" t="str">
        <f>IF(OR(D801="",NOT(AND(F801=1,G801="SUV"))),"",1+SUMPRODUCT(($F$2:$F$1001=1)*($G$2:$G$1001="SUV")*($D$2:$D$1001&gt;D801))+COUNTIFS($F$2:F801,1,$G$2:G801,"SUV",$D$2:D801,D801)-1)</f>
        <v/>
      </c>
    </row>
    <row r="802" spans="1:17">
      <c r="A802" s="62" t="str">
        <f>IFERROR(INDEX($H$2:$H$3000,MATCH(0,INDEX(COUNTIF($A$1:A801,$H$2:$H$3000)+($H$2:$H$3000=""),0,0),0)),"")</f>
        <v/>
      </c>
      <c r="B802" s="62" t="str">
        <f t="shared" si="48"/>
        <v/>
      </c>
      <c r="C802" s="62" t="str">
        <f t="shared" si="49"/>
        <v/>
      </c>
      <c r="D802" s="63" t="str">
        <f t="shared" si="50"/>
        <v/>
      </c>
      <c r="E802" s="62" t="str">
        <f>IF(D802="","",_xlfn.RANK.EQ(D802,$D$2:$D$1001,0)+COUNTIF($D$2:D802,D802)-1)</f>
        <v/>
      </c>
      <c r="F802" s="62" t="str">
        <f>IF(B802="","",--(COUNTIF(CN_Brands!$A$2:$A$300,UPPER(B802))&gt;0))</f>
        <v/>
      </c>
      <c r="G802" s="62" t="str">
        <f t="shared" si="51"/>
        <v/>
      </c>
      <c r="H802" s="62" t="str">
        <f>IF(AND('Data Export'!A802=前十整体车型排名!$B$2,'Data Export'!B802=前十整体车型排名!$B$3,'Data Export'!D802&lt;&gt;""),UPPER('Data Export'!C802)&amp;"♦"&amp;'Data Export'!D802,"")</f>
        <v>TESLA♦MODEL Y</v>
      </c>
      <c r="I802" s="63">
        <f>IF(H802="","",IFERROR(INDEX('Data Export'!G802:CZ802,1,MATCH(前十整体车型排名!$B$4,'Data Export'!$G$1:$CZ$1,0)),0))</f>
        <v>4</v>
      </c>
      <c r="J802" s="62" t="str">
        <f>IF(H802="","",IF(OR('Data Export'!F802="三厢轿车",'Data Export'!F802="掀背轿车",'Data Export'!F802="旅行车",'Data Export'!F802="微型车",'Data Export'!F802="硬顶跑车",'Data Export'!F802="敞蓬车",'Data Export'!F802="Targa"),"轿车",IF(OR('Data Export'!F802="小型MPV",'Data Export'!F802="客车"),"MPV",IF('Data Export'!F802="运动型多功能车","SUV","其他"))))</f>
        <v>SUV</v>
      </c>
      <c r="K802" s="62" t="str">
        <f>IF(OR(D802="",NOT(F802=1)),"",1+SUMPRODUCT(($F$2:$F$1001=1)*($D$2:$D$1001&gt;D802))+COUNTIFS($F$2:F802,1,$D$2:D802,D802)-1)</f>
        <v/>
      </c>
      <c r="L802" s="62" t="str">
        <f>IF(OR(D802="",NOT(G802="轿车")),"",1+SUMPRODUCT(($G$2:$G$1001="轿车")*($D$2:$D$1001&gt;D802))+COUNTIFS($G$2:G802,"轿车",$D$2:D802,D802)-1)</f>
        <v/>
      </c>
      <c r="M802" s="62" t="str">
        <f>IF(OR(D802="",NOT(G802="MPV")),"",1+SUMPRODUCT(($G$2:$G$1001="MPV")*($D$2:$D$1001&gt;D802))+COUNTIFS($G$2:G802,"MPV",$D$2:D802,D802)-1)</f>
        <v/>
      </c>
      <c r="N802" s="62" t="str">
        <f>IF(OR(D802="",NOT(G802="SUV")),"",1+SUMPRODUCT(($G$2:$G$1001="SUV")*($D$2:$D$1001&gt;D802))+COUNTIFS($G$2:G802,"SUV",$D$2:D802,D802)-1)</f>
        <v/>
      </c>
      <c r="O802" s="62" t="str">
        <f>IF(OR(D802="",NOT(AND(F802=1,G802="轿车"))),"",1+SUMPRODUCT(($F$2:$F$1001=1)*($G$2:$G$1001="轿车")*($D$2:$D$1001&gt;D802))+COUNTIFS($F$2:F802,1,$G$2:G802,"轿车",$D$2:D802,D802)-1)</f>
        <v/>
      </c>
      <c r="P802" s="62" t="str">
        <f>IF(OR(D802="",NOT(AND(F802=1,G802="MPV"))),"",1+SUMPRODUCT(($F$2:$F$1001=1)*($G$2:$G$1001="MPV")*($D$2:$D$1001&gt;D802))+COUNTIFS($F$2:F802,1,$G$2:G802,"MPV",$D$2:D802,D802)-1)</f>
        <v/>
      </c>
      <c r="Q802" s="62" t="str">
        <f>IF(OR(D802="",NOT(AND(F802=1,G802="SUV"))),"",1+SUMPRODUCT(($F$2:$F$1001=1)*($G$2:$G$1001="SUV")*($D$2:$D$1001&gt;D802))+COUNTIFS($F$2:F802,1,$G$2:G802,"SUV",$D$2:D802,D802)-1)</f>
        <v/>
      </c>
    </row>
    <row r="803" spans="1:17">
      <c r="A803" s="62" t="str">
        <f>IFERROR(INDEX($H$2:$H$3000,MATCH(0,INDEX(COUNTIF($A$1:A802,$H$2:$H$3000)+($H$2:$H$3000=""),0,0),0)),"")</f>
        <v/>
      </c>
      <c r="B803" s="62" t="str">
        <f t="shared" si="48"/>
        <v/>
      </c>
      <c r="C803" s="62" t="str">
        <f t="shared" si="49"/>
        <v/>
      </c>
      <c r="D803" s="63" t="str">
        <f t="shared" si="50"/>
        <v/>
      </c>
      <c r="E803" s="62" t="str">
        <f>IF(D803="","",_xlfn.RANK.EQ(D803,$D$2:$D$1001,0)+COUNTIF($D$2:D803,D803)-1)</f>
        <v/>
      </c>
      <c r="F803" s="62" t="str">
        <f>IF(B803="","",--(COUNTIF(CN_Brands!$A$2:$A$300,UPPER(B803))&gt;0))</f>
        <v/>
      </c>
      <c r="G803" s="62" t="str">
        <f t="shared" si="51"/>
        <v/>
      </c>
      <c r="H803" s="62" t="str">
        <f>IF(AND('Data Export'!A803=前十整体车型排名!$B$2,'Data Export'!B803=前十整体车型排名!$B$3,'Data Export'!D803&lt;&gt;""),UPPER('Data Export'!C803)&amp;"♦"&amp;'Data Export'!D803,"")</f>
        <v>TESLA♦MODEL Y</v>
      </c>
      <c r="I803" s="63">
        <f>IF(H803="","",IFERROR(INDEX('Data Export'!G803:CZ803,1,MATCH(前十整体车型排名!$B$4,'Data Export'!$G$1:$CZ$1,0)),0))</f>
        <v>3</v>
      </c>
      <c r="J803" s="62" t="str">
        <f>IF(H803="","",IF(OR('Data Export'!F803="三厢轿车",'Data Export'!F803="掀背轿车",'Data Export'!F803="旅行车",'Data Export'!F803="微型车",'Data Export'!F803="硬顶跑车",'Data Export'!F803="敞蓬车",'Data Export'!F803="Targa"),"轿车",IF(OR('Data Export'!F803="小型MPV",'Data Export'!F803="客车"),"MPV",IF('Data Export'!F803="运动型多功能车","SUV","其他"))))</f>
        <v>SUV</v>
      </c>
      <c r="K803" s="62" t="str">
        <f>IF(OR(D803="",NOT(F803=1)),"",1+SUMPRODUCT(($F$2:$F$1001=1)*($D$2:$D$1001&gt;D803))+COUNTIFS($F$2:F803,1,$D$2:D803,D803)-1)</f>
        <v/>
      </c>
      <c r="L803" s="62" t="str">
        <f>IF(OR(D803="",NOT(G803="轿车")),"",1+SUMPRODUCT(($G$2:$G$1001="轿车")*($D$2:$D$1001&gt;D803))+COUNTIFS($G$2:G803,"轿车",$D$2:D803,D803)-1)</f>
        <v/>
      </c>
      <c r="M803" s="62" t="str">
        <f>IF(OR(D803="",NOT(G803="MPV")),"",1+SUMPRODUCT(($G$2:$G$1001="MPV")*($D$2:$D$1001&gt;D803))+COUNTIFS($G$2:G803,"MPV",$D$2:D803,D803)-1)</f>
        <v/>
      </c>
      <c r="N803" s="62" t="str">
        <f>IF(OR(D803="",NOT(G803="SUV")),"",1+SUMPRODUCT(($G$2:$G$1001="SUV")*($D$2:$D$1001&gt;D803))+COUNTIFS($G$2:G803,"SUV",$D$2:D803,D803)-1)</f>
        <v/>
      </c>
      <c r="O803" s="62" t="str">
        <f>IF(OR(D803="",NOT(AND(F803=1,G803="轿车"))),"",1+SUMPRODUCT(($F$2:$F$1001=1)*($G$2:$G$1001="轿车")*($D$2:$D$1001&gt;D803))+COUNTIFS($F$2:F803,1,$G$2:G803,"轿车",$D$2:D803,D803)-1)</f>
        <v/>
      </c>
      <c r="P803" s="62" t="str">
        <f>IF(OR(D803="",NOT(AND(F803=1,G803="MPV"))),"",1+SUMPRODUCT(($F$2:$F$1001=1)*($G$2:$G$1001="MPV")*($D$2:$D$1001&gt;D803))+COUNTIFS($F$2:F803,1,$G$2:G803,"MPV",$D$2:D803,D803)-1)</f>
        <v/>
      </c>
      <c r="Q803" s="62" t="str">
        <f>IF(OR(D803="",NOT(AND(F803=1,G803="SUV"))),"",1+SUMPRODUCT(($F$2:$F$1001=1)*($G$2:$G$1001="SUV")*($D$2:$D$1001&gt;D803))+COUNTIFS($F$2:F803,1,$G$2:G803,"SUV",$D$2:D803,D803)-1)</f>
        <v/>
      </c>
    </row>
    <row r="804" spans="1:17">
      <c r="A804" s="62" t="str">
        <f>IFERROR(INDEX($H$2:$H$3000,MATCH(0,INDEX(COUNTIF($A$1:A803,$H$2:$H$3000)+($H$2:$H$3000=""),0,0),0)),"")</f>
        <v/>
      </c>
      <c r="B804" s="62" t="str">
        <f t="shared" si="48"/>
        <v/>
      </c>
      <c r="C804" s="62" t="str">
        <f t="shared" si="49"/>
        <v/>
      </c>
      <c r="D804" s="63" t="str">
        <f t="shared" si="50"/>
        <v/>
      </c>
      <c r="E804" s="62" t="str">
        <f>IF(D804="","",_xlfn.RANK.EQ(D804,$D$2:$D$1001,0)+COUNTIF($D$2:D804,D804)-1)</f>
        <v/>
      </c>
      <c r="F804" s="62" t="str">
        <f>IF(B804="","",--(COUNTIF(CN_Brands!$A$2:$A$300,UPPER(B804))&gt;0))</f>
        <v/>
      </c>
      <c r="G804" s="62" t="str">
        <f t="shared" si="51"/>
        <v/>
      </c>
      <c r="H804" s="62" t="str">
        <f>IF(AND('Data Export'!A804=前十整体车型排名!$B$2,'Data Export'!B804=前十整体车型排名!$B$3,'Data Export'!D804&lt;&gt;""),UPPER('Data Export'!C804)&amp;"♦"&amp;'Data Export'!D804,"")</f>
        <v>TESLA♦MODEL Y</v>
      </c>
      <c r="I804" s="63">
        <f>IF(H804="","",IFERROR(INDEX('Data Export'!G804:CZ804,1,MATCH(前十整体车型排名!$B$4,'Data Export'!$G$1:$CZ$1,0)),0))</f>
        <v>5</v>
      </c>
      <c r="J804" s="62" t="str">
        <f>IF(H804="","",IF(OR('Data Export'!F804="三厢轿车",'Data Export'!F804="掀背轿车",'Data Export'!F804="旅行车",'Data Export'!F804="微型车",'Data Export'!F804="硬顶跑车",'Data Export'!F804="敞蓬车",'Data Export'!F804="Targa"),"轿车",IF(OR('Data Export'!F804="小型MPV",'Data Export'!F804="客车"),"MPV",IF('Data Export'!F804="运动型多功能车","SUV","其他"))))</f>
        <v>SUV</v>
      </c>
      <c r="K804" s="62" t="str">
        <f>IF(OR(D804="",NOT(F804=1)),"",1+SUMPRODUCT(($F$2:$F$1001=1)*($D$2:$D$1001&gt;D804))+COUNTIFS($F$2:F804,1,$D$2:D804,D804)-1)</f>
        <v/>
      </c>
      <c r="L804" s="62" t="str">
        <f>IF(OR(D804="",NOT(G804="轿车")),"",1+SUMPRODUCT(($G$2:$G$1001="轿车")*($D$2:$D$1001&gt;D804))+COUNTIFS($G$2:G804,"轿车",$D$2:D804,D804)-1)</f>
        <v/>
      </c>
      <c r="M804" s="62" t="str">
        <f>IF(OR(D804="",NOT(G804="MPV")),"",1+SUMPRODUCT(($G$2:$G$1001="MPV")*($D$2:$D$1001&gt;D804))+COUNTIFS($G$2:G804,"MPV",$D$2:D804,D804)-1)</f>
        <v/>
      </c>
      <c r="N804" s="62" t="str">
        <f>IF(OR(D804="",NOT(G804="SUV")),"",1+SUMPRODUCT(($G$2:$G$1001="SUV")*($D$2:$D$1001&gt;D804))+COUNTIFS($G$2:G804,"SUV",$D$2:D804,D804)-1)</f>
        <v/>
      </c>
      <c r="O804" s="62" t="str">
        <f>IF(OR(D804="",NOT(AND(F804=1,G804="轿车"))),"",1+SUMPRODUCT(($F$2:$F$1001=1)*($G$2:$G$1001="轿车")*($D$2:$D$1001&gt;D804))+COUNTIFS($F$2:F804,1,$G$2:G804,"轿车",$D$2:D804,D804)-1)</f>
        <v/>
      </c>
      <c r="P804" s="62" t="str">
        <f>IF(OR(D804="",NOT(AND(F804=1,G804="MPV"))),"",1+SUMPRODUCT(($F$2:$F$1001=1)*($G$2:$G$1001="MPV")*($D$2:$D$1001&gt;D804))+COUNTIFS($F$2:F804,1,$G$2:G804,"MPV",$D$2:D804,D804)-1)</f>
        <v/>
      </c>
      <c r="Q804" s="62" t="str">
        <f>IF(OR(D804="",NOT(AND(F804=1,G804="SUV"))),"",1+SUMPRODUCT(($F$2:$F$1001=1)*($G$2:$G$1001="SUV")*($D$2:$D$1001&gt;D804))+COUNTIFS($F$2:F804,1,$G$2:G804,"SUV",$D$2:D804,D804)-1)</f>
        <v/>
      </c>
    </row>
    <row r="805" spans="1:17">
      <c r="A805" s="62" t="str">
        <f>IFERROR(INDEX($H$2:$H$3000,MATCH(0,INDEX(COUNTIF($A$1:A804,$H$2:$H$3000)+($H$2:$H$3000=""),0,0),0)),"")</f>
        <v/>
      </c>
      <c r="B805" s="62" t="str">
        <f t="shared" si="48"/>
        <v/>
      </c>
      <c r="C805" s="62" t="str">
        <f t="shared" si="49"/>
        <v/>
      </c>
      <c r="D805" s="63" t="str">
        <f t="shared" si="50"/>
        <v/>
      </c>
      <c r="E805" s="62" t="str">
        <f>IF(D805="","",_xlfn.RANK.EQ(D805,$D$2:$D$1001,0)+COUNTIF($D$2:D805,D805)-1)</f>
        <v/>
      </c>
      <c r="F805" s="62" t="str">
        <f>IF(B805="","",--(COUNTIF(CN_Brands!$A$2:$A$300,UPPER(B805))&gt;0))</f>
        <v/>
      </c>
      <c r="G805" s="62" t="str">
        <f t="shared" si="51"/>
        <v/>
      </c>
      <c r="H805" s="62" t="str">
        <f>IF(AND('Data Export'!A805=前十整体车型排名!$B$2,'Data Export'!B805=前十整体车型排名!$B$3,'Data Export'!D805&lt;&gt;""),UPPER('Data Export'!C805)&amp;"♦"&amp;'Data Export'!D805,"")</f>
        <v>TESLA♦MODEL Y</v>
      </c>
      <c r="I805" s="63">
        <f>IF(H805="","",IFERROR(INDEX('Data Export'!G805:CZ805,1,MATCH(前十整体车型排名!$B$4,'Data Export'!$G$1:$CZ$1,0)),0))</f>
        <v>0</v>
      </c>
      <c r="J805" s="62" t="str">
        <f>IF(H805="","",IF(OR('Data Export'!F805="三厢轿车",'Data Export'!F805="掀背轿车",'Data Export'!F805="旅行车",'Data Export'!F805="微型车",'Data Export'!F805="硬顶跑车",'Data Export'!F805="敞蓬车",'Data Export'!F805="Targa"),"轿车",IF(OR('Data Export'!F805="小型MPV",'Data Export'!F805="客车"),"MPV",IF('Data Export'!F805="运动型多功能车","SUV","其他"))))</f>
        <v>SUV</v>
      </c>
      <c r="K805" s="62" t="str">
        <f>IF(OR(D805="",NOT(F805=1)),"",1+SUMPRODUCT(($F$2:$F$1001=1)*($D$2:$D$1001&gt;D805))+COUNTIFS($F$2:F805,1,$D$2:D805,D805)-1)</f>
        <v/>
      </c>
      <c r="L805" s="62" t="str">
        <f>IF(OR(D805="",NOT(G805="轿车")),"",1+SUMPRODUCT(($G$2:$G$1001="轿车")*($D$2:$D$1001&gt;D805))+COUNTIFS($G$2:G805,"轿车",$D$2:D805,D805)-1)</f>
        <v/>
      </c>
      <c r="M805" s="62" t="str">
        <f>IF(OR(D805="",NOT(G805="MPV")),"",1+SUMPRODUCT(($G$2:$G$1001="MPV")*($D$2:$D$1001&gt;D805))+COUNTIFS($G$2:G805,"MPV",$D$2:D805,D805)-1)</f>
        <v/>
      </c>
      <c r="N805" s="62" t="str">
        <f>IF(OR(D805="",NOT(G805="SUV")),"",1+SUMPRODUCT(($G$2:$G$1001="SUV")*($D$2:$D$1001&gt;D805))+COUNTIFS($G$2:G805,"SUV",$D$2:D805,D805)-1)</f>
        <v/>
      </c>
      <c r="O805" s="62" t="str">
        <f>IF(OR(D805="",NOT(AND(F805=1,G805="轿车"))),"",1+SUMPRODUCT(($F$2:$F$1001=1)*($G$2:$G$1001="轿车")*($D$2:$D$1001&gt;D805))+COUNTIFS($F$2:F805,1,$G$2:G805,"轿车",$D$2:D805,D805)-1)</f>
        <v/>
      </c>
      <c r="P805" s="62" t="str">
        <f>IF(OR(D805="",NOT(AND(F805=1,G805="MPV"))),"",1+SUMPRODUCT(($F$2:$F$1001=1)*($G$2:$G$1001="MPV")*($D$2:$D$1001&gt;D805))+COUNTIFS($F$2:F805,1,$G$2:G805,"MPV",$D$2:D805,D805)-1)</f>
        <v/>
      </c>
      <c r="Q805" s="62" t="str">
        <f>IF(OR(D805="",NOT(AND(F805=1,G805="SUV"))),"",1+SUMPRODUCT(($F$2:$F$1001=1)*($G$2:$G$1001="SUV")*($D$2:$D$1001&gt;D805))+COUNTIFS($F$2:F805,1,$G$2:G805,"SUV",$D$2:D805,D805)-1)</f>
        <v/>
      </c>
    </row>
    <row r="806" spans="1:17">
      <c r="A806" s="62" t="str">
        <f>IFERROR(INDEX($H$2:$H$3000,MATCH(0,INDEX(COUNTIF($A$1:A805,$H$2:$H$3000)+($H$2:$H$3000=""),0,0),0)),"")</f>
        <v/>
      </c>
      <c r="B806" s="62" t="str">
        <f t="shared" si="48"/>
        <v/>
      </c>
      <c r="C806" s="62" t="str">
        <f t="shared" si="49"/>
        <v/>
      </c>
      <c r="D806" s="63" t="str">
        <f t="shared" si="50"/>
        <v/>
      </c>
      <c r="E806" s="62" t="str">
        <f>IF(D806="","",_xlfn.RANK.EQ(D806,$D$2:$D$1001,0)+COUNTIF($D$2:D806,D806)-1)</f>
        <v/>
      </c>
      <c r="F806" s="62" t="str">
        <f>IF(B806="","",--(COUNTIF(CN_Brands!$A$2:$A$300,UPPER(B806))&gt;0))</f>
        <v/>
      </c>
      <c r="G806" s="62" t="str">
        <f t="shared" si="51"/>
        <v/>
      </c>
      <c r="H806" s="62" t="str">
        <f>IF(AND('Data Export'!A806=前十整体车型排名!$B$2,'Data Export'!B806=前十整体车型排名!$B$3,'Data Export'!D806&lt;&gt;""),UPPER('Data Export'!C806)&amp;"♦"&amp;'Data Export'!D806,"")</f>
        <v>THAIRUNG♦TR TRANSFORMER</v>
      </c>
      <c r="I806" s="63">
        <f>IF(H806="","",IFERROR(INDEX('Data Export'!G806:CZ806,1,MATCH(前十整体车型排名!$B$4,'Data Export'!$G$1:$CZ$1,0)),0))</f>
        <v>0</v>
      </c>
      <c r="J806" s="62" t="str">
        <f>IF(H806="","",IF(OR('Data Export'!F806="三厢轿车",'Data Export'!F806="掀背轿车",'Data Export'!F806="旅行车",'Data Export'!F806="微型车",'Data Export'!F806="硬顶跑车",'Data Export'!F806="敞蓬车",'Data Export'!F806="Targa"),"轿车",IF(OR('Data Export'!F806="小型MPV",'Data Export'!F806="客车"),"MPV",IF('Data Export'!F806="运动型多功能车","SUV","其他"))))</f>
        <v>SUV</v>
      </c>
      <c r="K806" s="62" t="str">
        <f>IF(OR(D806="",NOT(F806=1)),"",1+SUMPRODUCT(($F$2:$F$1001=1)*($D$2:$D$1001&gt;D806))+COUNTIFS($F$2:F806,1,$D$2:D806,D806)-1)</f>
        <v/>
      </c>
      <c r="L806" s="62" t="str">
        <f>IF(OR(D806="",NOT(G806="轿车")),"",1+SUMPRODUCT(($G$2:$G$1001="轿车")*($D$2:$D$1001&gt;D806))+COUNTIFS($G$2:G806,"轿车",$D$2:D806,D806)-1)</f>
        <v/>
      </c>
      <c r="M806" s="62" t="str">
        <f>IF(OR(D806="",NOT(G806="MPV")),"",1+SUMPRODUCT(($G$2:$G$1001="MPV")*($D$2:$D$1001&gt;D806))+COUNTIFS($G$2:G806,"MPV",$D$2:D806,D806)-1)</f>
        <v/>
      </c>
      <c r="N806" s="62" t="str">
        <f>IF(OR(D806="",NOT(G806="SUV")),"",1+SUMPRODUCT(($G$2:$G$1001="SUV")*($D$2:$D$1001&gt;D806))+COUNTIFS($G$2:G806,"SUV",$D$2:D806,D806)-1)</f>
        <v/>
      </c>
      <c r="O806" s="62" t="str">
        <f>IF(OR(D806="",NOT(AND(F806=1,G806="轿车"))),"",1+SUMPRODUCT(($F$2:$F$1001=1)*($G$2:$G$1001="轿车")*($D$2:$D$1001&gt;D806))+COUNTIFS($F$2:F806,1,$G$2:G806,"轿车",$D$2:D806,D806)-1)</f>
        <v/>
      </c>
      <c r="P806" s="62" t="str">
        <f>IF(OR(D806="",NOT(AND(F806=1,G806="MPV"))),"",1+SUMPRODUCT(($F$2:$F$1001=1)*($G$2:$G$1001="MPV")*($D$2:$D$1001&gt;D806))+COUNTIFS($F$2:F806,1,$G$2:G806,"MPV",$D$2:D806,D806)-1)</f>
        <v/>
      </c>
      <c r="Q806" s="62" t="str">
        <f>IF(OR(D806="",NOT(AND(F806=1,G806="SUV"))),"",1+SUMPRODUCT(($F$2:$F$1001=1)*($G$2:$G$1001="SUV")*($D$2:$D$1001&gt;D806))+COUNTIFS($F$2:F806,1,$G$2:G806,"SUV",$D$2:D806,D806)-1)</f>
        <v/>
      </c>
    </row>
    <row r="807" spans="1:17">
      <c r="A807" s="62" t="str">
        <f>IFERROR(INDEX($H$2:$H$3000,MATCH(0,INDEX(COUNTIF($A$1:A806,$H$2:$H$3000)+($H$2:$H$3000=""),0,0),0)),"")</f>
        <v/>
      </c>
      <c r="B807" s="62" t="str">
        <f t="shared" si="48"/>
        <v/>
      </c>
      <c r="C807" s="62" t="str">
        <f t="shared" si="49"/>
        <v/>
      </c>
      <c r="D807" s="63" t="str">
        <f t="shared" si="50"/>
        <v/>
      </c>
      <c r="E807" s="62" t="str">
        <f>IF(D807="","",_xlfn.RANK.EQ(D807,$D$2:$D$1001,0)+COUNTIF($D$2:D807,D807)-1)</f>
        <v/>
      </c>
      <c r="F807" s="62" t="str">
        <f>IF(B807="","",--(COUNTIF(CN_Brands!$A$2:$A$300,UPPER(B807))&gt;0))</f>
        <v/>
      </c>
      <c r="G807" s="62" t="str">
        <f t="shared" si="51"/>
        <v/>
      </c>
      <c r="H807" s="62" t="str">
        <f>IF(AND('Data Export'!A807=前十整体车型排名!$B$2,'Data Export'!B807=前十整体车型排名!$B$3,'Data Export'!D807&lt;&gt;""),UPPER('Data Export'!C807)&amp;"♦"&amp;'Data Export'!D807,"")</f>
        <v>THAIRUNG♦TR TRANSFORMER II</v>
      </c>
      <c r="I807" s="63">
        <f>IF(H807="","",IFERROR(INDEX('Data Export'!G807:CZ807,1,MATCH(前十整体车型排名!$B$4,'Data Export'!$G$1:$CZ$1,0)),0))</f>
        <v>0</v>
      </c>
      <c r="J807" s="62" t="str">
        <f>IF(H807="","",IF(OR('Data Export'!F807="三厢轿车",'Data Export'!F807="掀背轿车",'Data Export'!F807="旅行车",'Data Export'!F807="微型车",'Data Export'!F807="硬顶跑车",'Data Export'!F807="敞蓬车",'Data Export'!F807="Targa"),"轿车",IF(OR('Data Export'!F807="小型MPV",'Data Export'!F807="客车"),"MPV",IF('Data Export'!F807="运动型多功能车","SUV","其他"))))</f>
        <v>SUV</v>
      </c>
      <c r="K807" s="62" t="str">
        <f>IF(OR(D807="",NOT(F807=1)),"",1+SUMPRODUCT(($F$2:$F$1001=1)*($D$2:$D$1001&gt;D807))+COUNTIFS($F$2:F807,1,$D$2:D807,D807)-1)</f>
        <v/>
      </c>
      <c r="L807" s="62" t="str">
        <f>IF(OR(D807="",NOT(G807="轿车")),"",1+SUMPRODUCT(($G$2:$G$1001="轿车")*($D$2:$D$1001&gt;D807))+COUNTIFS($G$2:G807,"轿车",$D$2:D807,D807)-1)</f>
        <v/>
      </c>
      <c r="M807" s="62" t="str">
        <f>IF(OR(D807="",NOT(G807="MPV")),"",1+SUMPRODUCT(($G$2:$G$1001="MPV")*($D$2:$D$1001&gt;D807))+COUNTIFS($G$2:G807,"MPV",$D$2:D807,D807)-1)</f>
        <v/>
      </c>
      <c r="N807" s="62" t="str">
        <f>IF(OR(D807="",NOT(G807="SUV")),"",1+SUMPRODUCT(($G$2:$G$1001="SUV")*($D$2:$D$1001&gt;D807))+COUNTIFS($G$2:G807,"SUV",$D$2:D807,D807)-1)</f>
        <v/>
      </c>
      <c r="O807" s="62" t="str">
        <f>IF(OR(D807="",NOT(AND(F807=1,G807="轿车"))),"",1+SUMPRODUCT(($F$2:$F$1001=1)*($G$2:$G$1001="轿车")*($D$2:$D$1001&gt;D807))+COUNTIFS($F$2:F807,1,$G$2:G807,"轿车",$D$2:D807,D807)-1)</f>
        <v/>
      </c>
      <c r="P807" s="62" t="str">
        <f>IF(OR(D807="",NOT(AND(F807=1,G807="MPV"))),"",1+SUMPRODUCT(($F$2:$F$1001=1)*($G$2:$G$1001="MPV")*($D$2:$D$1001&gt;D807))+COUNTIFS($F$2:F807,1,$G$2:G807,"MPV",$D$2:D807,D807)-1)</f>
        <v/>
      </c>
      <c r="Q807" s="62" t="str">
        <f>IF(OR(D807="",NOT(AND(F807=1,G807="SUV"))),"",1+SUMPRODUCT(($F$2:$F$1001=1)*($G$2:$G$1001="SUV")*($D$2:$D$1001&gt;D807))+COUNTIFS($F$2:F807,1,$G$2:G807,"SUV",$D$2:D807,D807)-1)</f>
        <v/>
      </c>
    </row>
    <row r="808" spans="1:17">
      <c r="A808" s="62" t="str">
        <f>IFERROR(INDEX($H$2:$H$3000,MATCH(0,INDEX(COUNTIF($A$1:A807,$H$2:$H$3000)+($H$2:$H$3000=""),0,0),0)),"")</f>
        <v/>
      </c>
      <c r="B808" s="62" t="str">
        <f t="shared" si="48"/>
        <v/>
      </c>
      <c r="C808" s="62" t="str">
        <f t="shared" si="49"/>
        <v/>
      </c>
      <c r="D808" s="63" t="str">
        <f t="shared" si="50"/>
        <v/>
      </c>
      <c r="E808" s="62" t="str">
        <f>IF(D808="","",_xlfn.RANK.EQ(D808,$D$2:$D$1001,0)+COUNTIF($D$2:D808,D808)-1)</f>
        <v/>
      </c>
      <c r="F808" s="62" t="str">
        <f>IF(B808="","",--(COUNTIF(CN_Brands!$A$2:$A$300,UPPER(B808))&gt;0))</f>
        <v/>
      </c>
      <c r="G808" s="62" t="str">
        <f t="shared" si="51"/>
        <v/>
      </c>
      <c r="H808" s="62" t="str">
        <f>IF(AND('Data Export'!A808=前十整体车型排名!$B$2,'Data Export'!B808=前十整体车型排名!$B$3,'Data Export'!D808&lt;&gt;""),UPPER('Data Export'!C808)&amp;"♦"&amp;'Data Export'!D808,"")</f>
        <v>TOYOTA♦ALPHARD</v>
      </c>
      <c r="I808" s="63">
        <f>IF(H808="","",IFERROR(INDEX('Data Export'!G808:CZ808,1,MATCH(前十整体车型排名!$B$4,'Data Export'!$G$1:$CZ$1,0)),0))</f>
        <v>38</v>
      </c>
      <c r="J808" s="62" t="str">
        <f>IF(H808="","",IF(OR('Data Export'!F808="三厢轿车",'Data Export'!F808="掀背轿车",'Data Export'!F808="旅行车",'Data Export'!F808="微型车",'Data Export'!F808="硬顶跑车",'Data Export'!F808="敞蓬车",'Data Export'!F808="Targa"),"轿车",IF(OR('Data Export'!F808="小型MPV",'Data Export'!F808="客车"),"MPV",IF('Data Export'!F808="运动型多功能车","SUV","其他"))))</f>
        <v>其他</v>
      </c>
      <c r="K808" s="62" t="str">
        <f>IF(OR(D808="",NOT(F808=1)),"",1+SUMPRODUCT(($F$2:$F$1001=1)*($D$2:$D$1001&gt;D808))+COUNTIFS($F$2:F808,1,$D$2:D808,D808)-1)</f>
        <v/>
      </c>
      <c r="L808" s="62" t="str">
        <f>IF(OR(D808="",NOT(G808="轿车")),"",1+SUMPRODUCT(($G$2:$G$1001="轿车")*($D$2:$D$1001&gt;D808))+COUNTIFS($G$2:G808,"轿车",$D$2:D808,D808)-1)</f>
        <v/>
      </c>
      <c r="M808" s="62" t="str">
        <f>IF(OR(D808="",NOT(G808="MPV")),"",1+SUMPRODUCT(($G$2:$G$1001="MPV")*($D$2:$D$1001&gt;D808))+COUNTIFS($G$2:G808,"MPV",$D$2:D808,D808)-1)</f>
        <v/>
      </c>
      <c r="N808" s="62" t="str">
        <f>IF(OR(D808="",NOT(G808="SUV")),"",1+SUMPRODUCT(($G$2:$G$1001="SUV")*($D$2:$D$1001&gt;D808))+COUNTIFS($G$2:G808,"SUV",$D$2:D808,D808)-1)</f>
        <v/>
      </c>
      <c r="O808" s="62" t="str">
        <f>IF(OR(D808="",NOT(AND(F808=1,G808="轿车"))),"",1+SUMPRODUCT(($F$2:$F$1001=1)*($G$2:$G$1001="轿车")*($D$2:$D$1001&gt;D808))+COUNTIFS($F$2:F808,1,$G$2:G808,"轿车",$D$2:D808,D808)-1)</f>
        <v/>
      </c>
      <c r="P808" s="62" t="str">
        <f>IF(OR(D808="",NOT(AND(F808=1,G808="MPV"))),"",1+SUMPRODUCT(($F$2:$F$1001=1)*($G$2:$G$1001="MPV")*($D$2:$D$1001&gt;D808))+COUNTIFS($F$2:F808,1,$G$2:G808,"MPV",$D$2:D808,D808)-1)</f>
        <v/>
      </c>
      <c r="Q808" s="62" t="str">
        <f>IF(OR(D808="",NOT(AND(F808=1,G808="SUV"))),"",1+SUMPRODUCT(($F$2:$F$1001=1)*($G$2:$G$1001="SUV")*($D$2:$D$1001&gt;D808))+COUNTIFS($F$2:F808,1,$G$2:G808,"SUV",$D$2:D808,D808)-1)</f>
        <v/>
      </c>
    </row>
    <row r="809" spans="1:17">
      <c r="A809" s="62" t="str">
        <f>IFERROR(INDEX($H$2:$H$3000,MATCH(0,INDEX(COUNTIF($A$1:A808,$H$2:$H$3000)+($H$2:$H$3000=""),0,0),0)),"")</f>
        <v/>
      </c>
      <c r="B809" s="62" t="str">
        <f t="shared" si="48"/>
        <v/>
      </c>
      <c r="C809" s="62" t="str">
        <f t="shared" si="49"/>
        <v/>
      </c>
      <c r="D809" s="63" t="str">
        <f t="shared" si="50"/>
        <v/>
      </c>
      <c r="E809" s="62" t="str">
        <f>IF(D809="","",_xlfn.RANK.EQ(D809,$D$2:$D$1001,0)+COUNTIF($D$2:D809,D809)-1)</f>
        <v/>
      </c>
      <c r="F809" s="62" t="str">
        <f>IF(B809="","",--(COUNTIF(CN_Brands!$A$2:$A$300,UPPER(B809))&gt;0))</f>
        <v/>
      </c>
      <c r="G809" s="62" t="str">
        <f t="shared" si="51"/>
        <v/>
      </c>
      <c r="H809" s="62" t="str">
        <f>IF(AND('Data Export'!A809=前十整体车型排名!$B$2,'Data Export'!B809=前十整体车型排名!$B$3,'Data Export'!D809&lt;&gt;""),UPPER('Data Export'!C809)&amp;"♦"&amp;'Data Export'!D809,"")</f>
        <v>TOYOTA♦ALPHARD</v>
      </c>
      <c r="I809" s="63">
        <f>IF(H809="","",IFERROR(INDEX('Data Export'!G809:CZ809,1,MATCH(前十整体车型排名!$B$4,'Data Export'!$G$1:$CZ$1,0)),0))</f>
        <v>0</v>
      </c>
      <c r="J809" s="62" t="str">
        <f>IF(H809="","",IF(OR('Data Export'!F809="三厢轿车",'Data Export'!F809="掀背轿车",'Data Export'!F809="旅行车",'Data Export'!F809="微型车",'Data Export'!F809="硬顶跑车",'Data Export'!F809="敞蓬车",'Data Export'!F809="Targa"),"轿车",IF(OR('Data Export'!F809="小型MPV",'Data Export'!F809="客车"),"MPV",IF('Data Export'!F809="运动型多功能车","SUV","其他"))))</f>
        <v>其他</v>
      </c>
      <c r="K809" s="62" t="str">
        <f>IF(OR(D809="",NOT(F809=1)),"",1+SUMPRODUCT(($F$2:$F$1001=1)*($D$2:$D$1001&gt;D809))+COUNTIFS($F$2:F809,1,$D$2:D809,D809)-1)</f>
        <v/>
      </c>
      <c r="L809" s="62" t="str">
        <f>IF(OR(D809="",NOT(G809="轿车")),"",1+SUMPRODUCT(($G$2:$G$1001="轿车")*($D$2:$D$1001&gt;D809))+COUNTIFS($G$2:G809,"轿车",$D$2:D809,D809)-1)</f>
        <v/>
      </c>
      <c r="M809" s="62" t="str">
        <f>IF(OR(D809="",NOT(G809="MPV")),"",1+SUMPRODUCT(($G$2:$G$1001="MPV")*($D$2:$D$1001&gt;D809))+COUNTIFS($G$2:G809,"MPV",$D$2:D809,D809)-1)</f>
        <v/>
      </c>
      <c r="N809" s="62" t="str">
        <f>IF(OR(D809="",NOT(G809="SUV")),"",1+SUMPRODUCT(($G$2:$G$1001="SUV")*($D$2:$D$1001&gt;D809))+COUNTIFS($G$2:G809,"SUV",$D$2:D809,D809)-1)</f>
        <v/>
      </c>
      <c r="O809" s="62" t="str">
        <f>IF(OR(D809="",NOT(AND(F809=1,G809="轿车"))),"",1+SUMPRODUCT(($F$2:$F$1001=1)*($G$2:$G$1001="轿车")*($D$2:$D$1001&gt;D809))+COUNTIFS($F$2:F809,1,$G$2:G809,"轿车",$D$2:D809,D809)-1)</f>
        <v/>
      </c>
      <c r="P809" s="62" t="str">
        <f>IF(OR(D809="",NOT(AND(F809=1,G809="MPV"))),"",1+SUMPRODUCT(($F$2:$F$1001=1)*($G$2:$G$1001="MPV")*($D$2:$D$1001&gt;D809))+COUNTIFS($F$2:F809,1,$G$2:G809,"MPV",$D$2:D809,D809)-1)</f>
        <v/>
      </c>
      <c r="Q809" s="62" t="str">
        <f>IF(OR(D809="",NOT(AND(F809=1,G809="SUV"))),"",1+SUMPRODUCT(($F$2:$F$1001=1)*($G$2:$G$1001="SUV")*($D$2:$D$1001&gt;D809))+COUNTIFS($F$2:F809,1,$G$2:G809,"SUV",$D$2:D809,D809)-1)</f>
        <v/>
      </c>
    </row>
    <row r="810" spans="1:17">
      <c r="A810" s="62" t="str">
        <f>IFERROR(INDEX($H$2:$H$3000,MATCH(0,INDEX(COUNTIF($A$1:A809,$H$2:$H$3000)+($H$2:$H$3000=""),0,0),0)),"")</f>
        <v/>
      </c>
      <c r="B810" s="62" t="str">
        <f t="shared" si="48"/>
        <v/>
      </c>
      <c r="C810" s="62" t="str">
        <f t="shared" si="49"/>
        <v/>
      </c>
      <c r="D810" s="63" t="str">
        <f t="shared" si="50"/>
        <v/>
      </c>
      <c r="E810" s="62" t="str">
        <f>IF(D810="","",_xlfn.RANK.EQ(D810,$D$2:$D$1001,0)+COUNTIF($D$2:D810,D810)-1)</f>
        <v/>
      </c>
      <c r="F810" s="62" t="str">
        <f>IF(B810="","",--(COUNTIF(CN_Brands!$A$2:$A$300,UPPER(B810))&gt;0))</f>
        <v/>
      </c>
      <c r="G810" s="62" t="str">
        <f t="shared" si="51"/>
        <v/>
      </c>
      <c r="H810" s="62" t="str">
        <f>IF(AND('Data Export'!A810=前十整体车型排名!$B$2,'Data Export'!B810=前十整体车型排名!$B$3,'Data Export'!D810&lt;&gt;""),UPPER('Data Export'!C810)&amp;"♦"&amp;'Data Export'!D810,"")</f>
        <v>TOYOTA♦ALPHARD</v>
      </c>
      <c r="I810" s="63">
        <f>IF(H810="","",IFERROR(INDEX('Data Export'!G810:CZ810,1,MATCH(前十整体车型排名!$B$4,'Data Export'!$G$1:$CZ$1,0)),0))</f>
        <v>6</v>
      </c>
      <c r="J810" s="62" t="str">
        <f>IF(H810="","",IF(OR('Data Export'!F810="三厢轿车",'Data Export'!F810="掀背轿车",'Data Export'!F810="旅行车",'Data Export'!F810="微型车",'Data Export'!F810="硬顶跑车",'Data Export'!F810="敞蓬车",'Data Export'!F810="Targa"),"轿车",IF(OR('Data Export'!F810="小型MPV",'Data Export'!F810="客车"),"MPV",IF('Data Export'!F810="运动型多功能车","SUV","其他"))))</f>
        <v>其他</v>
      </c>
      <c r="K810" s="62" t="str">
        <f>IF(OR(D810="",NOT(F810=1)),"",1+SUMPRODUCT(($F$2:$F$1001=1)*($D$2:$D$1001&gt;D810))+COUNTIFS($F$2:F810,1,$D$2:D810,D810)-1)</f>
        <v/>
      </c>
      <c r="L810" s="62" t="str">
        <f>IF(OR(D810="",NOT(G810="轿车")),"",1+SUMPRODUCT(($G$2:$G$1001="轿车")*($D$2:$D$1001&gt;D810))+COUNTIFS($G$2:G810,"轿车",$D$2:D810,D810)-1)</f>
        <v/>
      </c>
      <c r="M810" s="62" t="str">
        <f>IF(OR(D810="",NOT(G810="MPV")),"",1+SUMPRODUCT(($G$2:$G$1001="MPV")*($D$2:$D$1001&gt;D810))+COUNTIFS($G$2:G810,"MPV",$D$2:D810,D810)-1)</f>
        <v/>
      </c>
      <c r="N810" s="62" t="str">
        <f>IF(OR(D810="",NOT(G810="SUV")),"",1+SUMPRODUCT(($G$2:$G$1001="SUV")*($D$2:$D$1001&gt;D810))+COUNTIFS($G$2:G810,"SUV",$D$2:D810,D810)-1)</f>
        <v/>
      </c>
      <c r="O810" s="62" t="str">
        <f>IF(OR(D810="",NOT(AND(F810=1,G810="轿车"))),"",1+SUMPRODUCT(($F$2:$F$1001=1)*($G$2:$G$1001="轿车")*($D$2:$D$1001&gt;D810))+COUNTIFS($F$2:F810,1,$G$2:G810,"轿车",$D$2:D810,D810)-1)</f>
        <v/>
      </c>
      <c r="P810" s="62" t="str">
        <f>IF(OR(D810="",NOT(AND(F810=1,G810="MPV"))),"",1+SUMPRODUCT(($F$2:$F$1001=1)*($G$2:$G$1001="MPV")*($D$2:$D$1001&gt;D810))+COUNTIFS($F$2:F810,1,$G$2:G810,"MPV",$D$2:D810,D810)-1)</f>
        <v/>
      </c>
      <c r="Q810" s="62" t="str">
        <f>IF(OR(D810="",NOT(AND(F810=1,G810="SUV"))),"",1+SUMPRODUCT(($F$2:$F$1001=1)*($G$2:$G$1001="SUV")*($D$2:$D$1001&gt;D810))+COUNTIFS($F$2:F810,1,$G$2:G810,"SUV",$D$2:D810,D810)-1)</f>
        <v/>
      </c>
    </row>
    <row r="811" spans="1:17">
      <c r="A811" s="62" t="str">
        <f>IFERROR(INDEX($H$2:$H$3000,MATCH(0,INDEX(COUNTIF($A$1:A810,$H$2:$H$3000)+($H$2:$H$3000=""),0,0),0)),"")</f>
        <v/>
      </c>
      <c r="B811" s="62" t="str">
        <f t="shared" si="48"/>
        <v/>
      </c>
      <c r="C811" s="62" t="str">
        <f t="shared" si="49"/>
        <v/>
      </c>
      <c r="D811" s="63" t="str">
        <f t="shared" si="50"/>
        <v/>
      </c>
      <c r="E811" s="62" t="str">
        <f>IF(D811="","",_xlfn.RANK.EQ(D811,$D$2:$D$1001,0)+COUNTIF($D$2:D811,D811)-1)</f>
        <v/>
      </c>
      <c r="F811" s="62" t="str">
        <f>IF(B811="","",--(COUNTIF(CN_Brands!$A$2:$A$300,UPPER(B811))&gt;0))</f>
        <v/>
      </c>
      <c r="G811" s="62" t="str">
        <f t="shared" si="51"/>
        <v/>
      </c>
      <c r="H811" s="62" t="str">
        <f>IF(AND('Data Export'!A811=前十整体车型排名!$B$2,'Data Export'!B811=前十整体车型排名!$B$3,'Data Export'!D811&lt;&gt;""),UPPER('Data Export'!C811)&amp;"♦"&amp;'Data Export'!D811,"")</f>
        <v>TOYOTA♦ALPHARD</v>
      </c>
      <c r="I811" s="63">
        <f>IF(H811="","",IFERROR(INDEX('Data Export'!G811:CZ811,1,MATCH(前十整体车型排名!$B$4,'Data Export'!$G$1:$CZ$1,0)),0))</f>
        <v>29</v>
      </c>
      <c r="J811" s="62" t="str">
        <f>IF(H811="","",IF(OR('Data Export'!F811="三厢轿车",'Data Export'!F811="掀背轿车",'Data Export'!F811="旅行车",'Data Export'!F811="微型车",'Data Export'!F811="硬顶跑车",'Data Export'!F811="敞蓬车",'Data Export'!F811="Targa"),"轿车",IF(OR('Data Export'!F811="小型MPV",'Data Export'!F811="客车"),"MPV",IF('Data Export'!F811="运动型多功能车","SUV","其他"))))</f>
        <v>其他</v>
      </c>
      <c r="K811" s="62" t="str">
        <f>IF(OR(D811="",NOT(F811=1)),"",1+SUMPRODUCT(($F$2:$F$1001=1)*($D$2:$D$1001&gt;D811))+COUNTIFS($F$2:F811,1,$D$2:D811,D811)-1)</f>
        <v/>
      </c>
      <c r="L811" s="62" t="str">
        <f>IF(OR(D811="",NOT(G811="轿车")),"",1+SUMPRODUCT(($G$2:$G$1001="轿车")*($D$2:$D$1001&gt;D811))+COUNTIFS($G$2:G811,"轿车",$D$2:D811,D811)-1)</f>
        <v/>
      </c>
      <c r="M811" s="62" t="str">
        <f>IF(OR(D811="",NOT(G811="MPV")),"",1+SUMPRODUCT(($G$2:$G$1001="MPV")*($D$2:$D$1001&gt;D811))+COUNTIFS($G$2:G811,"MPV",$D$2:D811,D811)-1)</f>
        <v/>
      </c>
      <c r="N811" s="62" t="str">
        <f>IF(OR(D811="",NOT(G811="SUV")),"",1+SUMPRODUCT(($G$2:$G$1001="SUV")*($D$2:$D$1001&gt;D811))+COUNTIFS($G$2:G811,"SUV",$D$2:D811,D811)-1)</f>
        <v/>
      </c>
      <c r="O811" s="62" t="str">
        <f>IF(OR(D811="",NOT(AND(F811=1,G811="轿车"))),"",1+SUMPRODUCT(($F$2:$F$1001=1)*($G$2:$G$1001="轿车")*($D$2:$D$1001&gt;D811))+COUNTIFS($F$2:F811,1,$G$2:G811,"轿车",$D$2:D811,D811)-1)</f>
        <v/>
      </c>
      <c r="P811" s="62" t="str">
        <f>IF(OR(D811="",NOT(AND(F811=1,G811="MPV"))),"",1+SUMPRODUCT(($F$2:$F$1001=1)*($G$2:$G$1001="MPV")*($D$2:$D$1001&gt;D811))+COUNTIFS($F$2:F811,1,$G$2:G811,"MPV",$D$2:D811,D811)-1)</f>
        <v/>
      </c>
      <c r="Q811" s="62" t="str">
        <f>IF(OR(D811="",NOT(AND(F811=1,G811="SUV"))),"",1+SUMPRODUCT(($F$2:$F$1001=1)*($G$2:$G$1001="SUV")*($D$2:$D$1001&gt;D811))+COUNTIFS($F$2:F811,1,$G$2:G811,"SUV",$D$2:D811,D811)-1)</f>
        <v/>
      </c>
    </row>
    <row r="812" spans="1:17">
      <c r="A812" s="62" t="str">
        <f>IFERROR(INDEX($H$2:$H$3000,MATCH(0,INDEX(COUNTIF($A$1:A811,$H$2:$H$3000)+($H$2:$H$3000=""),0,0),0)),"")</f>
        <v/>
      </c>
      <c r="B812" s="62" t="str">
        <f t="shared" si="48"/>
        <v/>
      </c>
      <c r="C812" s="62" t="str">
        <f t="shared" si="49"/>
        <v/>
      </c>
      <c r="D812" s="63" t="str">
        <f t="shared" si="50"/>
        <v/>
      </c>
      <c r="E812" s="62" t="str">
        <f>IF(D812="","",_xlfn.RANK.EQ(D812,$D$2:$D$1001,0)+COUNTIF($D$2:D812,D812)-1)</f>
        <v/>
      </c>
      <c r="F812" s="62" t="str">
        <f>IF(B812="","",--(COUNTIF(CN_Brands!$A$2:$A$300,UPPER(B812))&gt;0))</f>
        <v/>
      </c>
      <c r="G812" s="62" t="str">
        <f t="shared" si="51"/>
        <v/>
      </c>
      <c r="H812" s="62" t="str">
        <f>IF(AND('Data Export'!A812=前十整体车型排名!$B$2,'Data Export'!B812=前十整体车型排名!$B$3,'Data Export'!D812&lt;&gt;""),UPPER('Data Export'!C812)&amp;"♦"&amp;'Data Export'!D812,"")</f>
        <v>TOYOTA♦ALPHARD</v>
      </c>
      <c r="I812" s="63">
        <f>IF(H812="","",IFERROR(INDEX('Data Export'!G812:CZ812,1,MATCH(前十整体车型排名!$B$4,'Data Export'!$G$1:$CZ$1,0)),0))</f>
        <v>5</v>
      </c>
      <c r="J812" s="62" t="str">
        <f>IF(H812="","",IF(OR('Data Export'!F812="三厢轿车",'Data Export'!F812="掀背轿车",'Data Export'!F812="旅行车",'Data Export'!F812="微型车",'Data Export'!F812="硬顶跑车",'Data Export'!F812="敞蓬车",'Data Export'!F812="Targa"),"轿车",IF(OR('Data Export'!F812="小型MPV",'Data Export'!F812="客车"),"MPV",IF('Data Export'!F812="运动型多功能车","SUV","其他"))))</f>
        <v>其他</v>
      </c>
      <c r="K812" s="62" t="str">
        <f>IF(OR(D812="",NOT(F812=1)),"",1+SUMPRODUCT(($F$2:$F$1001=1)*($D$2:$D$1001&gt;D812))+COUNTIFS($F$2:F812,1,$D$2:D812,D812)-1)</f>
        <v/>
      </c>
      <c r="L812" s="62" t="str">
        <f>IF(OR(D812="",NOT(G812="轿车")),"",1+SUMPRODUCT(($G$2:$G$1001="轿车")*($D$2:$D$1001&gt;D812))+COUNTIFS($G$2:G812,"轿车",$D$2:D812,D812)-1)</f>
        <v/>
      </c>
      <c r="M812" s="62" t="str">
        <f>IF(OR(D812="",NOT(G812="MPV")),"",1+SUMPRODUCT(($G$2:$G$1001="MPV")*($D$2:$D$1001&gt;D812))+COUNTIFS($G$2:G812,"MPV",$D$2:D812,D812)-1)</f>
        <v/>
      </c>
      <c r="N812" s="62" t="str">
        <f>IF(OR(D812="",NOT(G812="SUV")),"",1+SUMPRODUCT(($G$2:$G$1001="SUV")*($D$2:$D$1001&gt;D812))+COUNTIFS($G$2:G812,"SUV",$D$2:D812,D812)-1)</f>
        <v/>
      </c>
      <c r="O812" s="62" t="str">
        <f>IF(OR(D812="",NOT(AND(F812=1,G812="轿车"))),"",1+SUMPRODUCT(($F$2:$F$1001=1)*($G$2:$G$1001="轿车")*($D$2:$D$1001&gt;D812))+COUNTIFS($F$2:F812,1,$G$2:G812,"轿车",$D$2:D812,D812)-1)</f>
        <v/>
      </c>
      <c r="P812" s="62" t="str">
        <f>IF(OR(D812="",NOT(AND(F812=1,G812="MPV"))),"",1+SUMPRODUCT(($F$2:$F$1001=1)*($G$2:$G$1001="MPV")*($D$2:$D$1001&gt;D812))+COUNTIFS($F$2:F812,1,$G$2:G812,"MPV",$D$2:D812,D812)-1)</f>
        <v/>
      </c>
      <c r="Q812" s="62" t="str">
        <f>IF(OR(D812="",NOT(AND(F812=1,G812="SUV"))),"",1+SUMPRODUCT(($F$2:$F$1001=1)*($G$2:$G$1001="SUV")*($D$2:$D$1001&gt;D812))+COUNTIFS($F$2:F812,1,$G$2:G812,"SUV",$D$2:D812,D812)-1)</f>
        <v/>
      </c>
    </row>
    <row r="813" spans="1:17">
      <c r="A813" s="62" t="str">
        <f>IFERROR(INDEX($H$2:$H$3000,MATCH(0,INDEX(COUNTIF($A$1:A812,$H$2:$H$3000)+($H$2:$H$3000=""),0,0),0)),"")</f>
        <v/>
      </c>
      <c r="B813" s="62" t="str">
        <f t="shared" si="48"/>
        <v/>
      </c>
      <c r="C813" s="62" t="str">
        <f t="shared" si="49"/>
        <v/>
      </c>
      <c r="D813" s="63" t="str">
        <f t="shared" si="50"/>
        <v/>
      </c>
      <c r="E813" s="62" t="str">
        <f>IF(D813="","",_xlfn.RANK.EQ(D813,$D$2:$D$1001,0)+COUNTIF($D$2:D813,D813)-1)</f>
        <v/>
      </c>
      <c r="F813" s="62" t="str">
        <f>IF(B813="","",--(COUNTIF(CN_Brands!$A$2:$A$300,UPPER(B813))&gt;0))</f>
        <v/>
      </c>
      <c r="G813" s="62" t="str">
        <f t="shared" si="51"/>
        <v/>
      </c>
      <c r="H813" s="62" t="str">
        <f>IF(AND('Data Export'!A813=前十整体车型排名!$B$2,'Data Export'!B813=前十整体车型排名!$B$3,'Data Export'!D813&lt;&gt;""),UPPER('Data Export'!C813)&amp;"♦"&amp;'Data Export'!D813,"")</f>
        <v>TOYOTA♦ALPHARD</v>
      </c>
      <c r="I813" s="63">
        <f>IF(H813="","",IFERROR(INDEX('Data Export'!G813:CZ813,1,MATCH(前十整体车型排名!$B$4,'Data Export'!$G$1:$CZ$1,0)),0))</f>
        <v>0</v>
      </c>
      <c r="J813" s="62" t="str">
        <f>IF(H813="","",IF(OR('Data Export'!F813="三厢轿车",'Data Export'!F813="掀背轿车",'Data Export'!F813="旅行车",'Data Export'!F813="微型车",'Data Export'!F813="硬顶跑车",'Data Export'!F813="敞蓬车",'Data Export'!F813="Targa"),"轿车",IF(OR('Data Export'!F813="小型MPV",'Data Export'!F813="客车"),"MPV",IF('Data Export'!F813="运动型多功能车","SUV","其他"))))</f>
        <v>其他</v>
      </c>
      <c r="K813" s="62" t="str">
        <f>IF(OR(D813="",NOT(F813=1)),"",1+SUMPRODUCT(($F$2:$F$1001=1)*($D$2:$D$1001&gt;D813))+COUNTIFS($F$2:F813,1,$D$2:D813,D813)-1)</f>
        <v/>
      </c>
      <c r="L813" s="62" t="str">
        <f>IF(OR(D813="",NOT(G813="轿车")),"",1+SUMPRODUCT(($G$2:$G$1001="轿车")*($D$2:$D$1001&gt;D813))+COUNTIFS($G$2:G813,"轿车",$D$2:D813,D813)-1)</f>
        <v/>
      </c>
      <c r="M813" s="62" t="str">
        <f>IF(OR(D813="",NOT(G813="MPV")),"",1+SUMPRODUCT(($G$2:$G$1001="MPV")*($D$2:$D$1001&gt;D813))+COUNTIFS($G$2:G813,"MPV",$D$2:D813,D813)-1)</f>
        <v/>
      </c>
      <c r="N813" s="62" t="str">
        <f>IF(OR(D813="",NOT(G813="SUV")),"",1+SUMPRODUCT(($G$2:$G$1001="SUV")*($D$2:$D$1001&gt;D813))+COUNTIFS($G$2:G813,"SUV",$D$2:D813,D813)-1)</f>
        <v/>
      </c>
      <c r="O813" s="62" t="str">
        <f>IF(OR(D813="",NOT(AND(F813=1,G813="轿车"))),"",1+SUMPRODUCT(($F$2:$F$1001=1)*($G$2:$G$1001="轿车")*($D$2:$D$1001&gt;D813))+COUNTIFS($F$2:F813,1,$G$2:G813,"轿车",$D$2:D813,D813)-1)</f>
        <v/>
      </c>
      <c r="P813" s="62" t="str">
        <f>IF(OR(D813="",NOT(AND(F813=1,G813="MPV"))),"",1+SUMPRODUCT(($F$2:$F$1001=1)*($G$2:$G$1001="MPV")*($D$2:$D$1001&gt;D813))+COUNTIFS($F$2:F813,1,$G$2:G813,"MPV",$D$2:D813,D813)-1)</f>
        <v/>
      </c>
      <c r="Q813" s="62" t="str">
        <f>IF(OR(D813="",NOT(AND(F813=1,G813="SUV"))),"",1+SUMPRODUCT(($F$2:$F$1001=1)*($G$2:$G$1001="SUV")*($D$2:$D$1001&gt;D813))+COUNTIFS($F$2:F813,1,$G$2:G813,"SUV",$D$2:D813,D813)-1)</f>
        <v/>
      </c>
    </row>
    <row r="814" spans="1:17">
      <c r="A814" s="62" t="str">
        <f>IFERROR(INDEX($H$2:$H$3000,MATCH(0,INDEX(COUNTIF($A$1:A813,$H$2:$H$3000)+($H$2:$H$3000=""),0,0),0)),"")</f>
        <v/>
      </c>
      <c r="B814" s="62" t="str">
        <f t="shared" si="48"/>
        <v/>
      </c>
      <c r="C814" s="62" t="str">
        <f t="shared" si="49"/>
        <v/>
      </c>
      <c r="D814" s="63" t="str">
        <f t="shared" si="50"/>
        <v/>
      </c>
      <c r="E814" s="62" t="str">
        <f>IF(D814="","",_xlfn.RANK.EQ(D814,$D$2:$D$1001,0)+COUNTIF($D$2:D814,D814)-1)</f>
        <v/>
      </c>
      <c r="F814" s="62" t="str">
        <f>IF(B814="","",--(COUNTIF(CN_Brands!$A$2:$A$300,UPPER(B814))&gt;0))</f>
        <v/>
      </c>
      <c r="G814" s="62" t="str">
        <f t="shared" si="51"/>
        <v/>
      </c>
      <c r="H814" s="62" t="str">
        <f>IF(AND('Data Export'!A814=前十整体车型排名!$B$2,'Data Export'!B814=前十整体车型排名!$B$3,'Data Export'!D814&lt;&gt;""),UPPER('Data Export'!C814)&amp;"♦"&amp;'Data Export'!D814,"")</f>
        <v>TOYOTA♦ALPHARD</v>
      </c>
      <c r="I814" s="63">
        <f>IF(H814="","",IFERROR(INDEX('Data Export'!G814:CZ814,1,MATCH(前十整体车型排名!$B$4,'Data Export'!$G$1:$CZ$1,0)),0))</f>
        <v>0</v>
      </c>
      <c r="J814" s="62" t="str">
        <f>IF(H814="","",IF(OR('Data Export'!F814="三厢轿车",'Data Export'!F814="掀背轿车",'Data Export'!F814="旅行车",'Data Export'!F814="微型车",'Data Export'!F814="硬顶跑车",'Data Export'!F814="敞蓬车",'Data Export'!F814="Targa"),"轿车",IF(OR('Data Export'!F814="小型MPV",'Data Export'!F814="客车"),"MPV",IF('Data Export'!F814="运动型多功能车","SUV","其他"))))</f>
        <v>其他</v>
      </c>
      <c r="K814" s="62" t="str">
        <f>IF(OR(D814="",NOT(F814=1)),"",1+SUMPRODUCT(($F$2:$F$1001=1)*($D$2:$D$1001&gt;D814))+COUNTIFS($F$2:F814,1,$D$2:D814,D814)-1)</f>
        <v/>
      </c>
      <c r="L814" s="62" t="str">
        <f>IF(OR(D814="",NOT(G814="轿车")),"",1+SUMPRODUCT(($G$2:$G$1001="轿车")*($D$2:$D$1001&gt;D814))+COUNTIFS($G$2:G814,"轿车",$D$2:D814,D814)-1)</f>
        <v/>
      </c>
      <c r="M814" s="62" t="str">
        <f>IF(OR(D814="",NOT(G814="MPV")),"",1+SUMPRODUCT(($G$2:$G$1001="MPV")*($D$2:$D$1001&gt;D814))+COUNTIFS($G$2:G814,"MPV",$D$2:D814,D814)-1)</f>
        <v/>
      </c>
      <c r="N814" s="62" t="str">
        <f>IF(OR(D814="",NOT(G814="SUV")),"",1+SUMPRODUCT(($G$2:$G$1001="SUV")*($D$2:$D$1001&gt;D814))+COUNTIFS($G$2:G814,"SUV",$D$2:D814,D814)-1)</f>
        <v/>
      </c>
      <c r="O814" s="62" t="str">
        <f>IF(OR(D814="",NOT(AND(F814=1,G814="轿车"))),"",1+SUMPRODUCT(($F$2:$F$1001=1)*($G$2:$G$1001="轿车")*($D$2:$D$1001&gt;D814))+COUNTIFS($F$2:F814,1,$G$2:G814,"轿车",$D$2:D814,D814)-1)</f>
        <v/>
      </c>
      <c r="P814" s="62" t="str">
        <f>IF(OR(D814="",NOT(AND(F814=1,G814="MPV"))),"",1+SUMPRODUCT(($F$2:$F$1001=1)*($G$2:$G$1001="MPV")*($D$2:$D$1001&gt;D814))+COUNTIFS($F$2:F814,1,$G$2:G814,"MPV",$D$2:D814,D814)-1)</f>
        <v/>
      </c>
      <c r="Q814" s="62" t="str">
        <f>IF(OR(D814="",NOT(AND(F814=1,G814="SUV"))),"",1+SUMPRODUCT(($F$2:$F$1001=1)*($G$2:$G$1001="SUV")*($D$2:$D$1001&gt;D814))+COUNTIFS($F$2:F814,1,$G$2:G814,"SUV",$D$2:D814,D814)-1)</f>
        <v/>
      </c>
    </row>
    <row r="815" spans="1:17">
      <c r="A815" s="62" t="str">
        <f>IFERROR(INDEX($H$2:$H$3000,MATCH(0,INDEX(COUNTIF($A$1:A814,$H$2:$H$3000)+($H$2:$H$3000=""),0,0),0)),"")</f>
        <v/>
      </c>
      <c r="B815" s="62" t="str">
        <f t="shared" si="48"/>
        <v/>
      </c>
      <c r="C815" s="62" t="str">
        <f t="shared" si="49"/>
        <v/>
      </c>
      <c r="D815" s="63" t="str">
        <f t="shared" si="50"/>
        <v/>
      </c>
      <c r="E815" s="62" t="str">
        <f>IF(D815="","",_xlfn.RANK.EQ(D815,$D$2:$D$1001,0)+COUNTIF($D$2:D815,D815)-1)</f>
        <v/>
      </c>
      <c r="F815" s="62" t="str">
        <f>IF(B815="","",--(COUNTIF(CN_Brands!$A$2:$A$300,UPPER(B815))&gt;0))</f>
        <v/>
      </c>
      <c r="G815" s="62" t="str">
        <f t="shared" si="51"/>
        <v/>
      </c>
      <c r="H815" s="62" t="str">
        <f>IF(AND('Data Export'!A815=前十整体车型排名!$B$2,'Data Export'!B815=前十整体车型排名!$B$3,'Data Export'!D815&lt;&gt;""),UPPER('Data Export'!C815)&amp;"♦"&amp;'Data Export'!D815,"")</f>
        <v>TOYOTA♦ALPHARD</v>
      </c>
      <c r="I815" s="63">
        <f>IF(H815="","",IFERROR(INDEX('Data Export'!G815:CZ815,1,MATCH(前十整体车型排名!$B$4,'Data Export'!$G$1:$CZ$1,0)),0))</f>
        <v>1</v>
      </c>
      <c r="J815" s="62" t="str">
        <f>IF(H815="","",IF(OR('Data Export'!F815="三厢轿车",'Data Export'!F815="掀背轿车",'Data Export'!F815="旅行车",'Data Export'!F815="微型车",'Data Export'!F815="硬顶跑车",'Data Export'!F815="敞蓬车",'Data Export'!F815="Targa"),"轿车",IF(OR('Data Export'!F815="小型MPV",'Data Export'!F815="客车"),"MPV",IF('Data Export'!F815="运动型多功能车","SUV","其他"))))</f>
        <v>其他</v>
      </c>
      <c r="K815" s="62" t="str">
        <f>IF(OR(D815="",NOT(F815=1)),"",1+SUMPRODUCT(($F$2:$F$1001=1)*($D$2:$D$1001&gt;D815))+COUNTIFS($F$2:F815,1,$D$2:D815,D815)-1)</f>
        <v/>
      </c>
      <c r="L815" s="62" t="str">
        <f>IF(OR(D815="",NOT(G815="轿车")),"",1+SUMPRODUCT(($G$2:$G$1001="轿车")*($D$2:$D$1001&gt;D815))+COUNTIFS($G$2:G815,"轿车",$D$2:D815,D815)-1)</f>
        <v/>
      </c>
      <c r="M815" s="62" t="str">
        <f>IF(OR(D815="",NOT(G815="MPV")),"",1+SUMPRODUCT(($G$2:$G$1001="MPV")*($D$2:$D$1001&gt;D815))+COUNTIFS($G$2:G815,"MPV",$D$2:D815,D815)-1)</f>
        <v/>
      </c>
      <c r="N815" s="62" t="str">
        <f>IF(OR(D815="",NOT(G815="SUV")),"",1+SUMPRODUCT(($G$2:$G$1001="SUV")*($D$2:$D$1001&gt;D815))+COUNTIFS($G$2:G815,"SUV",$D$2:D815,D815)-1)</f>
        <v/>
      </c>
      <c r="O815" s="62" t="str">
        <f>IF(OR(D815="",NOT(AND(F815=1,G815="轿车"))),"",1+SUMPRODUCT(($F$2:$F$1001=1)*($G$2:$G$1001="轿车")*($D$2:$D$1001&gt;D815))+COUNTIFS($F$2:F815,1,$G$2:G815,"轿车",$D$2:D815,D815)-1)</f>
        <v/>
      </c>
      <c r="P815" s="62" t="str">
        <f>IF(OR(D815="",NOT(AND(F815=1,G815="MPV"))),"",1+SUMPRODUCT(($F$2:$F$1001=1)*($G$2:$G$1001="MPV")*($D$2:$D$1001&gt;D815))+COUNTIFS($F$2:F815,1,$G$2:G815,"MPV",$D$2:D815,D815)-1)</f>
        <v/>
      </c>
      <c r="Q815" s="62" t="str">
        <f>IF(OR(D815="",NOT(AND(F815=1,G815="SUV"))),"",1+SUMPRODUCT(($F$2:$F$1001=1)*($G$2:$G$1001="SUV")*($D$2:$D$1001&gt;D815))+COUNTIFS($F$2:F815,1,$G$2:G815,"SUV",$D$2:D815,D815)-1)</f>
        <v/>
      </c>
    </row>
    <row r="816" spans="1:17">
      <c r="A816" s="62" t="str">
        <f>IFERROR(INDEX($H$2:$H$3000,MATCH(0,INDEX(COUNTIF($A$1:A815,$H$2:$H$3000)+($H$2:$H$3000=""),0,0),0)),"")</f>
        <v/>
      </c>
      <c r="B816" s="62" t="str">
        <f t="shared" si="48"/>
        <v/>
      </c>
      <c r="C816" s="62" t="str">
        <f t="shared" si="49"/>
        <v/>
      </c>
      <c r="D816" s="63" t="str">
        <f t="shared" si="50"/>
        <v/>
      </c>
      <c r="E816" s="62" t="str">
        <f>IF(D816="","",_xlfn.RANK.EQ(D816,$D$2:$D$1001,0)+COUNTIF($D$2:D816,D816)-1)</f>
        <v/>
      </c>
      <c r="F816" s="62" t="str">
        <f>IF(B816="","",--(COUNTIF(CN_Brands!$A$2:$A$300,UPPER(B816))&gt;0))</f>
        <v/>
      </c>
      <c r="G816" s="62" t="str">
        <f t="shared" si="51"/>
        <v/>
      </c>
      <c r="H816" s="62" t="str">
        <f>IF(AND('Data Export'!A816=前十整体车型排名!$B$2,'Data Export'!B816=前十整体车型排名!$B$3,'Data Export'!D816&lt;&gt;""),UPPER('Data Export'!C816)&amp;"♦"&amp;'Data Export'!D816,"")</f>
        <v>TOYOTA♦ALPHARD</v>
      </c>
      <c r="I816" s="63">
        <f>IF(H816="","",IFERROR(INDEX('Data Export'!G816:CZ816,1,MATCH(前十整体车型排名!$B$4,'Data Export'!$G$1:$CZ$1,0)),0))</f>
        <v>0</v>
      </c>
      <c r="J816" s="62" t="str">
        <f>IF(H816="","",IF(OR('Data Export'!F816="三厢轿车",'Data Export'!F816="掀背轿车",'Data Export'!F816="旅行车",'Data Export'!F816="微型车",'Data Export'!F816="硬顶跑车",'Data Export'!F816="敞蓬车",'Data Export'!F816="Targa"),"轿车",IF(OR('Data Export'!F816="小型MPV",'Data Export'!F816="客车"),"MPV",IF('Data Export'!F816="运动型多功能车","SUV","其他"))))</f>
        <v>其他</v>
      </c>
      <c r="K816" s="62" t="str">
        <f>IF(OR(D816="",NOT(F816=1)),"",1+SUMPRODUCT(($F$2:$F$1001=1)*($D$2:$D$1001&gt;D816))+COUNTIFS($F$2:F816,1,$D$2:D816,D816)-1)</f>
        <v/>
      </c>
      <c r="L816" s="62" t="str">
        <f>IF(OR(D816="",NOT(G816="轿车")),"",1+SUMPRODUCT(($G$2:$G$1001="轿车")*($D$2:$D$1001&gt;D816))+COUNTIFS($G$2:G816,"轿车",$D$2:D816,D816)-1)</f>
        <v/>
      </c>
      <c r="M816" s="62" t="str">
        <f>IF(OR(D816="",NOT(G816="MPV")),"",1+SUMPRODUCT(($G$2:$G$1001="MPV")*($D$2:$D$1001&gt;D816))+COUNTIFS($G$2:G816,"MPV",$D$2:D816,D816)-1)</f>
        <v/>
      </c>
      <c r="N816" s="62" t="str">
        <f>IF(OR(D816="",NOT(G816="SUV")),"",1+SUMPRODUCT(($G$2:$G$1001="SUV")*($D$2:$D$1001&gt;D816))+COUNTIFS($G$2:G816,"SUV",$D$2:D816,D816)-1)</f>
        <v/>
      </c>
      <c r="O816" s="62" t="str">
        <f>IF(OR(D816="",NOT(AND(F816=1,G816="轿车"))),"",1+SUMPRODUCT(($F$2:$F$1001=1)*($G$2:$G$1001="轿车")*($D$2:$D$1001&gt;D816))+COUNTIFS($F$2:F816,1,$G$2:G816,"轿车",$D$2:D816,D816)-1)</f>
        <v/>
      </c>
      <c r="P816" s="62" t="str">
        <f>IF(OR(D816="",NOT(AND(F816=1,G816="MPV"))),"",1+SUMPRODUCT(($F$2:$F$1001=1)*($G$2:$G$1001="MPV")*($D$2:$D$1001&gt;D816))+COUNTIFS($F$2:F816,1,$G$2:G816,"MPV",$D$2:D816,D816)-1)</f>
        <v/>
      </c>
      <c r="Q816" s="62" t="str">
        <f>IF(OR(D816="",NOT(AND(F816=1,G816="SUV"))),"",1+SUMPRODUCT(($F$2:$F$1001=1)*($G$2:$G$1001="SUV")*($D$2:$D$1001&gt;D816))+COUNTIFS($F$2:F816,1,$G$2:G816,"SUV",$D$2:D816,D816)-1)</f>
        <v/>
      </c>
    </row>
    <row r="817" spans="1:17">
      <c r="A817" s="62" t="str">
        <f>IFERROR(INDEX($H$2:$H$3000,MATCH(0,INDEX(COUNTIF($A$1:A816,$H$2:$H$3000)+($H$2:$H$3000=""),0,0),0)),"")</f>
        <v/>
      </c>
      <c r="B817" s="62" t="str">
        <f t="shared" si="48"/>
        <v/>
      </c>
      <c r="C817" s="62" t="str">
        <f t="shared" si="49"/>
        <v/>
      </c>
      <c r="D817" s="63" t="str">
        <f t="shared" si="50"/>
        <v/>
      </c>
      <c r="E817" s="62" t="str">
        <f>IF(D817="","",_xlfn.RANK.EQ(D817,$D$2:$D$1001,0)+COUNTIF($D$2:D817,D817)-1)</f>
        <v/>
      </c>
      <c r="F817" s="62" t="str">
        <f>IF(B817="","",--(COUNTIF(CN_Brands!$A$2:$A$300,UPPER(B817))&gt;0))</f>
        <v/>
      </c>
      <c r="G817" s="62" t="str">
        <f t="shared" si="51"/>
        <v/>
      </c>
      <c r="H817" s="62" t="str">
        <f>IF(AND('Data Export'!A817=前十整体车型排名!$B$2,'Data Export'!B817=前十整体车型排名!$B$3,'Data Export'!D817&lt;&gt;""),UPPER('Data Export'!C817)&amp;"♦"&amp;'Data Export'!D817,"")</f>
        <v>TOYOTA♦ALPHARD</v>
      </c>
      <c r="I817" s="63">
        <f>IF(H817="","",IFERROR(INDEX('Data Export'!G817:CZ817,1,MATCH(前十整体车型排名!$B$4,'Data Export'!$G$1:$CZ$1,0)),0))</f>
        <v>8</v>
      </c>
      <c r="J817" s="62" t="str">
        <f>IF(H817="","",IF(OR('Data Export'!F817="三厢轿车",'Data Export'!F817="掀背轿车",'Data Export'!F817="旅行车",'Data Export'!F817="微型车",'Data Export'!F817="硬顶跑车",'Data Export'!F817="敞蓬车",'Data Export'!F817="Targa"),"轿车",IF(OR('Data Export'!F817="小型MPV",'Data Export'!F817="客车"),"MPV",IF('Data Export'!F817="运动型多功能车","SUV","其他"))))</f>
        <v>其他</v>
      </c>
      <c r="K817" s="62" t="str">
        <f>IF(OR(D817="",NOT(F817=1)),"",1+SUMPRODUCT(($F$2:$F$1001=1)*($D$2:$D$1001&gt;D817))+COUNTIFS($F$2:F817,1,$D$2:D817,D817)-1)</f>
        <v/>
      </c>
      <c r="L817" s="62" t="str">
        <f>IF(OR(D817="",NOT(G817="轿车")),"",1+SUMPRODUCT(($G$2:$G$1001="轿车")*($D$2:$D$1001&gt;D817))+COUNTIFS($G$2:G817,"轿车",$D$2:D817,D817)-1)</f>
        <v/>
      </c>
      <c r="M817" s="62" t="str">
        <f>IF(OR(D817="",NOT(G817="MPV")),"",1+SUMPRODUCT(($G$2:$G$1001="MPV")*($D$2:$D$1001&gt;D817))+COUNTIFS($G$2:G817,"MPV",$D$2:D817,D817)-1)</f>
        <v/>
      </c>
      <c r="N817" s="62" t="str">
        <f>IF(OR(D817="",NOT(G817="SUV")),"",1+SUMPRODUCT(($G$2:$G$1001="SUV")*($D$2:$D$1001&gt;D817))+COUNTIFS($G$2:G817,"SUV",$D$2:D817,D817)-1)</f>
        <v/>
      </c>
      <c r="O817" s="62" t="str">
        <f>IF(OR(D817="",NOT(AND(F817=1,G817="轿车"))),"",1+SUMPRODUCT(($F$2:$F$1001=1)*($G$2:$G$1001="轿车")*($D$2:$D$1001&gt;D817))+COUNTIFS($F$2:F817,1,$G$2:G817,"轿车",$D$2:D817,D817)-1)</f>
        <v/>
      </c>
      <c r="P817" s="62" t="str">
        <f>IF(OR(D817="",NOT(AND(F817=1,G817="MPV"))),"",1+SUMPRODUCT(($F$2:$F$1001=1)*($G$2:$G$1001="MPV")*($D$2:$D$1001&gt;D817))+COUNTIFS($F$2:F817,1,$G$2:G817,"MPV",$D$2:D817,D817)-1)</f>
        <v/>
      </c>
      <c r="Q817" s="62" t="str">
        <f>IF(OR(D817="",NOT(AND(F817=1,G817="SUV"))),"",1+SUMPRODUCT(($F$2:$F$1001=1)*($G$2:$G$1001="SUV")*($D$2:$D$1001&gt;D817))+COUNTIFS($F$2:F817,1,$G$2:G817,"SUV",$D$2:D817,D817)-1)</f>
        <v/>
      </c>
    </row>
    <row r="818" spans="1:17">
      <c r="A818" s="62" t="str">
        <f>IFERROR(INDEX($H$2:$H$3000,MATCH(0,INDEX(COUNTIF($A$1:A817,$H$2:$H$3000)+($H$2:$H$3000=""),0,0),0)),"")</f>
        <v/>
      </c>
      <c r="B818" s="62" t="str">
        <f t="shared" si="48"/>
        <v/>
      </c>
      <c r="C818" s="62" t="str">
        <f t="shared" si="49"/>
        <v/>
      </c>
      <c r="D818" s="63" t="str">
        <f t="shared" si="50"/>
        <v/>
      </c>
      <c r="E818" s="62" t="str">
        <f>IF(D818="","",_xlfn.RANK.EQ(D818,$D$2:$D$1001,0)+COUNTIF($D$2:D818,D818)-1)</f>
        <v/>
      </c>
      <c r="F818" s="62" t="str">
        <f>IF(B818="","",--(COUNTIF(CN_Brands!$A$2:$A$300,UPPER(B818))&gt;0))</f>
        <v/>
      </c>
      <c r="G818" s="62" t="str">
        <f t="shared" si="51"/>
        <v/>
      </c>
      <c r="H818" s="62" t="str">
        <f>IF(AND('Data Export'!A818=前十整体车型排名!$B$2,'Data Export'!B818=前十整体车型排名!$B$3,'Data Export'!D818&lt;&gt;""),UPPER('Data Export'!C818)&amp;"♦"&amp;'Data Export'!D818,"")</f>
        <v>TOYOTA♦ALPHARD</v>
      </c>
      <c r="I818" s="63">
        <f>IF(H818="","",IFERROR(INDEX('Data Export'!G818:CZ818,1,MATCH(前十整体车型排名!$B$4,'Data Export'!$G$1:$CZ$1,0)),0))</f>
        <v>2</v>
      </c>
      <c r="J818" s="62" t="str">
        <f>IF(H818="","",IF(OR('Data Export'!F818="三厢轿车",'Data Export'!F818="掀背轿车",'Data Export'!F818="旅行车",'Data Export'!F818="微型车",'Data Export'!F818="硬顶跑车",'Data Export'!F818="敞蓬车",'Data Export'!F818="Targa"),"轿车",IF(OR('Data Export'!F818="小型MPV",'Data Export'!F818="客车"),"MPV",IF('Data Export'!F818="运动型多功能车","SUV","其他"))))</f>
        <v>其他</v>
      </c>
      <c r="K818" s="62" t="str">
        <f>IF(OR(D818="",NOT(F818=1)),"",1+SUMPRODUCT(($F$2:$F$1001=1)*($D$2:$D$1001&gt;D818))+COUNTIFS($F$2:F818,1,$D$2:D818,D818)-1)</f>
        <v/>
      </c>
      <c r="L818" s="62" t="str">
        <f>IF(OR(D818="",NOT(G818="轿车")),"",1+SUMPRODUCT(($G$2:$G$1001="轿车")*($D$2:$D$1001&gt;D818))+COUNTIFS($G$2:G818,"轿车",$D$2:D818,D818)-1)</f>
        <v/>
      </c>
      <c r="M818" s="62" t="str">
        <f>IF(OR(D818="",NOT(G818="MPV")),"",1+SUMPRODUCT(($G$2:$G$1001="MPV")*($D$2:$D$1001&gt;D818))+COUNTIFS($G$2:G818,"MPV",$D$2:D818,D818)-1)</f>
        <v/>
      </c>
      <c r="N818" s="62" t="str">
        <f>IF(OR(D818="",NOT(G818="SUV")),"",1+SUMPRODUCT(($G$2:$G$1001="SUV")*($D$2:$D$1001&gt;D818))+COUNTIFS($G$2:G818,"SUV",$D$2:D818,D818)-1)</f>
        <v/>
      </c>
      <c r="O818" s="62" t="str">
        <f>IF(OR(D818="",NOT(AND(F818=1,G818="轿车"))),"",1+SUMPRODUCT(($F$2:$F$1001=1)*($G$2:$G$1001="轿车")*($D$2:$D$1001&gt;D818))+COUNTIFS($F$2:F818,1,$G$2:G818,"轿车",$D$2:D818,D818)-1)</f>
        <v/>
      </c>
      <c r="P818" s="62" t="str">
        <f>IF(OR(D818="",NOT(AND(F818=1,G818="MPV"))),"",1+SUMPRODUCT(($F$2:$F$1001=1)*($G$2:$G$1001="MPV")*($D$2:$D$1001&gt;D818))+COUNTIFS($F$2:F818,1,$G$2:G818,"MPV",$D$2:D818,D818)-1)</f>
        <v/>
      </c>
      <c r="Q818" s="62" t="str">
        <f>IF(OR(D818="",NOT(AND(F818=1,G818="SUV"))),"",1+SUMPRODUCT(($F$2:$F$1001=1)*($G$2:$G$1001="SUV")*($D$2:$D$1001&gt;D818))+COUNTIFS($F$2:F818,1,$G$2:G818,"SUV",$D$2:D818,D818)-1)</f>
        <v/>
      </c>
    </row>
    <row r="819" spans="1:17">
      <c r="A819" s="62" t="str">
        <f>IFERROR(INDEX($H$2:$H$3000,MATCH(0,INDEX(COUNTIF($A$1:A818,$H$2:$H$3000)+($H$2:$H$3000=""),0,0),0)),"")</f>
        <v/>
      </c>
      <c r="B819" s="62" t="str">
        <f t="shared" si="48"/>
        <v/>
      </c>
      <c r="C819" s="62" t="str">
        <f t="shared" si="49"/>
        <v/>
      </c>
      <c r="D819" s="63" t="str">
        <f t="shared" si="50"/>
        <v/>
      </c>
      <c r="E819" s="62" t="str">
        <f>IF(D819="","",_xlfn.RANK.EQ(D819,$D$2:$D$1001,0)+COUNTIF($D$2:D819,D819)-1)</f>
        <v/>
      </c>
      <c r="F819" s="62" t="str">
        <f>IF(B819="","",--(COUNTIF(CN_Brands!$A$2:$A$300,UPPER(B819))&gt;0))</f>
        <v/>
      </c>
      <c r="G819" s="62" t="str">
        <f t="shared" si="51"/>
        <v/>
      </c>
      <c r="H819" s="62" t="str">
        <f>IF(AND('Data Export'!A819=前十整体车型排名!$B$2,'Data Export'!B819=前十整体车型排名!$B$3,'Data Export'!D819&lt;&gt;""),UPPER('Data Export'!C819)&amp;"♦"&amp;'Data Export'!D819,"")</f>
        <v>TOYOTA♦ALPHARD</v>
      </c>
      <c r="I819" s="63">
        <f>IF(H819="","",IFERROR(INDEX('Data Export'!G819:CZ819,1,MATCH(前十整体车型排名!$B$4,'Data Export'!$G$1:$CZ$1,0)),0))</f>
        <v>0</v>
      </c>
      <c r="J819" s="62" t="str">
        <f>IF(H819="","",IF(OR('Data Export'!F819="三厢轿车",'Data Export'!F819="掀背轿车",'Data Export'!F819="旅行车",'Data Export'!F819="微型车",'Data Export'!F819="硬顶跑车",'Data Export'!F819="敞蓬车",'Data Export'!F819="Targa"),"轿车",IF(OR('Data Export'!F819="小型MPV",'Data Export'!F819="客车"),"MPV",IF('Data Export'!F819="运动型多功能车","SUV","其他"))))</f>
        <v>其他</v>
      </c>
      <c r="K819" s="62" t="str">
        <f>IF(OR(D819="",NOT(F819=1)),"",1+SUMPRODUCT(($F$2:$F$1001=1)*($D$2:$D$1001&gt;D819))+COUNTIFS($F$2:F819,1,$D$2:D819,D819)-1)</f>
        <v/>
      </c>
      <c r="L819" s="62" t="str">
        <f>IF(OR(D819="",NOT(G819="轿车")),"",1+SUMPRODUCT(($G$2:$G$1001="轿车")*($D$2:$D$1001&gt;D819))+COUNTIFS($G$2:G819,"轿车",$D$2:D819,D819)-1)</f>
        <v/>
      </c>
      <c r="M819" s="62" t="str">
        <f>IF(OR(D819="",NOT(G819="MPV")),"",1+SUMPRODUCT(($G$2:$G$1001="MPV")*($D$2:$D$1001&gt;D819))+COUNTIFS($G$2:G819,"MPV",$D$2:D819,D819)-1)</f>
        <v/>
      </c>
      <c r="N819" s="62" t="str">
        <f>IF(OR(D819="",NOT(G819="SUV")),"",1+SUMPRODUCT(($G$2:$G$1001="SUV")*($D$2:$D$1001&gt;D819))+COUNTIFS($G$2:G819,"SUV",$D$2:D819,D819)-1)</f>
        <v/>
      </c>
      <c r="O819" s="62" t="str">
        <f>IF(OR(D819="",NOT(AND(F819=1,G819="轿车"))),"",1+SUMPRODUCT(($F$2:$F$1001=1)*($G$2:$G$1001="轿车")*($D$2:$D$1001&gt;D819))+COUNTIFS($F$2:F819,1,$G$2:G819,"轿车",$D$2:D819,D819)-1)</f>
        <v/>
      </c>
      <c r="P819" s="62" t="str">
        <f>IF(OR(D819="",NOT(AND(F819=1,G819="MPV"))),"",1+SUMPRODUCT(($F$2:$F$1001=1)*($G$2:$G$1001="MPV")*($D$2:$D$1001&gt;D819))+COUNTIFS($F$2:F819,1,$G$2:G819,"MPV",$D$2:D819,D819)-1)</f>
        <v/>
      </c>
      <c r="Q819" s="62" t="str">
        <f>IF(OR(D819="",NOT(AND(F819=1,G819="SUV"))),"",1+SUMPRODUCT(($F$2:$F$1001=1)*($G$2:$G$1001="SUV")*($D$2:$D$1001&gt;D819))+COUNTIFS($F$2:F819,1,$G$2:G819,"SUV",$D$2:D819,D819)-1)</f>
        <v/>
      </c>
    </row>
    <row r="820" spans="1:17">
      <c r="A820" s="62" t="str">
        <f>IFERROR(INDEX($H$2:$H$3000,MATCH(0,INDEX(COUNTIF($A$1:A819,$H$2:$H$3000)+($H$2:$H$3000=""),0,0),0)),"")</f>
        <v/>
      </c>
      <c r="B820" s="62" t="str">
        <f t="shared" si="48"/>
        <v/>
      </c>
      <c r="C820" s="62" t="str">
        <f t="shared" si="49"/>
        <v/>
      </c>
      <c r="D820" s="63" t="str">
        <f t="shared" si="50"/>
        <v/>
      </c>
      <c r="E820" s="62" t="str">
        <f>IF(D820="","",_xlfn.RANK.EQ(D820,$D$2:$D$1001,0)+COUNTIF($D$2:D820,D820)-1)</f>
        <v/>
      </c>
      <c r="F820" s="62" t="str">
        <f>IF(B820="","",--(COUNTIF(CN_Brands!$A$2:$A$300,UPPER(B820))&gt;0))</f>
        <v/>
      </c>
      <c r="G820" s="62" t="str">
        <f t="shared" si="51"/>
        <v/>
      </c>
      <c r="H820" s="62" t="str">
        <f>IF(AND('Data Export'!A820=前十整体车型排名!$B$2,'Data Export'!B820=前十整体车型排名!$B$3,'Data Export'!D820&lt;&gt;""),UPPER('Data Export'!C820)&amp;"♦"&amp;'Data Export'!D820,"")</f>
        <v>TOYOTA♦ALPHARD</v>
      </c>
      <c r="I820" s="63">
        <f>IF(H820="","",IFERROR(INDEX('Data Export'!G820:CZ820,1,MATCH(前十整体车型排名!$B$4,'Data Export'!$G$1:$CZ$1,0)),0))</f>
        <v>3</v>
      </c>
      <c r="J820" s="62" t="str">
        <f>IF(H820="","",IF(OR('Data Export'!F820="三厢轿车",'Data Export'!F820="掀背轿车",'Data Export'!F820="旅行车",'Data Export'!F820="微型车",'Data Export'!F820="硬顶跑车",'Data Export'!F820="敞蓬车",'Data Export'!F820="Targa"),"轿车",IF(OR('Data Export'!F820="小型MPV",'Data Export'!F820="客车"),"MPV",IF('Data Export'!F820="运动型多功能车","SUV","其他"))))</f>
        <v>其他</v>
      </c>
      <c r="K820" s="62" t="str">
        <f>IF(OR(D820="",NOT(F820=1)),"",1+SUMPRODUCT(($F$2:$F$1001=1)*($D$2:$D$1001&gt;D820))+COUNTIFS($F$2:F820,1,$D$2:D820,D820)-1)</f>
        <v/>
      </c>
      <c r="L820" s="62" t="str">
        <f>IF(OR(D820="",NOT(G820="轿车")),"",1+SUMPRODUCT(($G$2:$G$1001="轿车")*($D$2:$D$1001&gt;D820))+COUNTIFS($G$2:G820,"轿车",$D$2:D820,D820)-1)</f>
        <v/>
      </c>
      <c r="M820" s="62" t="str">
        <f>IF(OR(D820="",NOT(G820="MPV")),"",1+SUMPRODUCT(($G$2:$G$1001="MPV")*($D$2:$D$1001&gt;D820))+COUNTIFS($G$2:G820,"MPV",$D$2:D820,D820)-1)</f>
        <v/>
      </c>
      <c r="N820" s="62" t="str">
        <f>IF(OR(D820="",NOT(G820="SUV")),"",1+SUMPRODUCT(($G$2:$G$1001="SUV")*($D$2:$D$1001&gt;D820))+COUNTIFS($G$2:G820,"SUV",$D$2:D820,D820)-1)</f>
        <v/>
      </c>
      <c r="O820" s="62" t="str">
        <f>IF(OR(D820="",NOT(AND(F820=1,G820="轿车"))),"",1+SUMPRODUCT(($F$2:$F$1001=1)*($G$2:$G$1001="轿车")*($D$2:$D$1001&gt;D820))+COUNTIFS($F$2:F820,1,$G$2:G820,"轿车",$D$2:D820,D820)-1)</f>
        <v/>
      </c>
      <c r="P820" s="62" t="str">
        <f>IF(OR(D820="",NOT(AND(F820=1,G820="MPV"))),"",1+SUMPRODUCT(($F$2:$F$1001=1)*($G$2:$G$1001="MPV")*($D$2:$D$1001&gt;D820))+COUNTIFS($F$2:F820,1,$G$2:G820,"MPV",$D$2:D820,D820)-1)</f>
        <v/>
      </c>
      <c r="Q820" s="62" t="str">
        <f>IF(OR(D820="",NOT(AND(F820=1,G820="SUV"))),"",1+SUMPRODUCT(($F$2:$F$1001=1)*($G$2:$G$1001="SUV")*($D$2:$D$1001&gt;D820))+COUNTIFS($F$2:F820,1,$G$2:G820,"SUV",$D$2:D820,D820)-1)</f>
        <v/>
      </c>
    </row>
    <row r="821" spans="1:17">
      <c r="A821" s="62" t="str">
        <f>IFERROR(INDEX($H$2:$H$3000,MATCH(0,INDEX(COUNTIF($A$1:A820,$H$2:$H$3000)+($H$2:$H$3000=""),0,0),0)),"")</f>
        <v/>
      </c>
      <c r="B821" s="62" t="str">
        <f t="shared" si="48"/>
        <v/>
      </c>
      <c r="C821" s="62" t="str">
        <f t="shared" si="49"/>
        <v/>
      </c>
      <c r="D821" s="63" t="str">
        <f t="shared" si="50"/>
        <v/>
      </c>
      <c r="E821" s="62" t="str">
        <f>IF(D821="","",_xlfn.RANK.EQ(D821,$D$2:$D$1001,0)+COUNTIF($D$2:D821,D821)-1)</f>
        <v/>
      </c>
      <c r="F821" s="62" t="str">
        <f>IF(B821="","",--(COUNTIF(CN_Brands!$A$2:$A$300,UPPER(B821))&gt;0))</f>
        <v/>
      </c>
      <c r="G821" s="62" t="str">
        <f t="shared" si="51"/>
        <v/>
      </c>
      <c r="H821" s="62" t="str">
        <f>IF(AND('Data Export'!A821=前十整体车型排名!$B$2,'Data Export'!B821=前十整体车型排名!$B$3,'Data Export'!D821&lt;&gt;""),UPPER('Data Export'!C821)&amp;"♦"&amp;'Data Export'!D821,"")</f>
        <v>TOYOTA♦ALPHARD</v>
      </c>
      <c r="I821" s="63">
        <f>IF(H821="","",IFERROR(INDEX('Data Export'!G821:CZ821,1,MATCH(前十整体车型排名!$B$4,'Data Export'!$G$1:$CZ$1,0)),0))</f>
        <v>0</v>
      </c>
      <c r="J821" s="62" t="str">
        <f>IF(H821="","",IF(OR('Data Export'!F821="三厢轿车",'Data Export'!F821="掀背轿车",'Data Export'!F821="旅行车",'Data Export'!F821="微型车",'Data Export'!F821="硬顶跑车",'Data Export'!F821="敞蓬车",'Data Export'!F821="Targa"),"轿车",IF(OR('Data Export'!F821="小型MPV",'Data Export'!F821="客车"),"MPV",IF('Data Export'!F821="运动型多功能车","SUV","其他"))))</f>
        <v>其他</v>
      </c>
      <c r="K821" s="62" t="str">
        <f>IF(OR(D821="",NOT(F821=1)),"",1+SUMPRODUCT(($F$2:$F$1001=1)*($D$2:$D$1001&gt;D821))+COUNTIFS($F$2:F821,1,$D$2:D821,D821)-1)</f>
        <v/>
      </c>
      <c r="L821" s="62" t="str">
        <f>IF(OR(D821="",NOT(G821="轿车")),"",1+SUMPRODUCT(($G$2:$G$1001="轿车")*($D$2:$D$1001&gt;D821))+COUNTIFS($G$2:G821,"轿车",$D$2:D821,D821)-1)</f>
        <v/>
      </c>
      <c r="M821" s="62" t="str">
        <f>IF(OR(D821="",NOT(G821="MPV")),"",1+SUMPRODUCT(($G$2:$G$1001="MPV")*($D$2:$D$1001&gt;D821))+COUNTIFS($G$2:G821,"MPV",$D$2:D821,D821)-1)</f>
        <v/>
      </c>
      <c r="N821" s="62" t="str">
        <f>IF(OR(D821="",NOT(G821="SUV")),"",1+SUMPRODUCT(($G$2:$G$1001="SUV")*($D$2:$D$1001&gt;D821))+COUNTIFS($G$2:G821,"SUV",$D$2:D821,D821)-1)</f>
        <v/>
      </c>
      <c r="O821" s="62" t="str">
        <f>IF(OR(D821="",NOT(AND(F821=1,G821="轿车"))),"",1+SUMPRODUCT(($F$2:$F$1001=1)*($G$2:$G$1001="轿车")*($D$2:$D$1001&gt;D821))+COUNTIFS($F$2:F821,1,$G$2:G821,"轿车",$D$2:D821,D821)-1)</f>
        <v/>
      </c>
      <c r="P821" s="62" t="str">
        <f>IF(OR(D821="",NOT(AND(F821=1,G821="MPV"))),"",1+SUMPRODUCT(($F$2:$F$1001=1)*($G$2:$G$1001="MPV")*($D$2:$D$1001&gt;D821))+COUNTIFS($F$2:F821,1,$G$2:G821,"MPV",$D$2:D821,D821)-1)</f>
        <v/>
      </c>
      <c r="Q821" s="62" t="str">
        <f>IF(OR(D821="",NOT(AND(F821=1,G821="SUV"))),"",1+SUMPRODUCT(($F$2:$F$1001=1)*($G$2:$G$1001="SUV")*($D$2:$D$1001&gt;D821))+COUNTIFS($F$2:F821,1,$G$2:G821,"SUV",$D$2:D821,D821)-1)</f>
        <v/>
      </c>
    </row>
    <row r="822" spans="1:17">
      <c r="A822" s="62" t="str">
        <f>IFERROR(INDEX($H$2:$H$3000,MATCH(0,INDEX(COUNTIF($A$1:A821,$H$2:$H$3000)+($H$2:$H$3000=""),0,0),0)),"")</f>
        <v/>
      </c>
      <c r="B822" s="62" t="str">
        <f t="shared" si="48"/>
        <v/>
      </c>
      <c r="C822" s="62" t="str">
        <f t="shared" si="49"/>
        <v/>
      </c>
      <c r="D822" s="63" t="str">
        <f t="shared" si="50"/>
        <v/>
      </c>
      <c r="E822" s="62" t="str">
        <f>IF(D822="","",_xlfn.RANK.EQ(D822,$D$2:$D$1001,0)+COUNTIF($D$2:D822,D822)-1)</f>
        <v/>
      </c>
      <c r="F822" s="62" t="str">
        <f>IF(B822="","",--(COUNTIF(CN_Brands!$A$2:$A$300,UPPER(B822))&gt;0))</f>
        <v/>
      </c>
      <c r="G822" s="62" t="str">
        <f t="shared" si="51"/>
        <v/>
      </c>
      <c r="H822" s="62" t="str">
        <f>IF(AND('Data Export'!A822=前十整体车型排名!$B$2,'Data Export'!B822=前十整体车型排名!$B$3,'Data Export'!D822&lt;&gt;""),UPPER('Data Export'!C822)&amp;"♦"&amp;'Data Export'!D822,"")</f>
        <v>TOYOTA♦ALPHARD</v>
      </c>
      <c r="I822" s="63">
        <f>IF(H822="","",IFERROR(INDEX('Data Export'!G822:CZ822,1,MATCH(前十整体车型排名!$B$4,'Data Export'!$G$1:$CZ$1,0)),0))</f>
        <v>22</v>
      </c>
      <c r="J822" s="62" t="str">
        <f>IF(H822="","",IF(OR('Data Export'!F822="三厢轿车",'Data Export'!F822="掀背轿车",'Data Export'!F822="旅行车",'Data Export'!F822="微型车",'Data Export'!F822="硬顶跑车",'Data Export'!F822="敞蓬车",'Data Export'!F822="Targa"),"轿车",IF(OR('Data Export'!F822="小型MPV",'Data Export'!F822="客车"),"MPV",IF('Data Export'!F822="运动型多功能车","SUV","其他"))))</f>
        <v>其他</v>
      </c>
      <c r="K822" s="62" t="str">
        <f>IF(OR(D822="",NOT(F822=1)),"",1+SUMPRODUCT(($F$2:$F$1001=1)*($D$2:$D$1001&gt;D822))+COUNTIFS($F$2:F822,1,$D$2:D822,D822)-1)</f>
        <v/>
      </c>
      <c r="L822" s="62" t="str">
        <f>IF(OR(D822="",NOT(G822="轿车")),"",1+SUMPRODUCT(($G$2:$G$1001="轿车")*($D$2:$D$1001&gt;D822))+COUNTIFS($G$2:G822,"轿车",$D$2:D822,D822)-1)</f>
        <v/>
      </c>
      <c r="M822" s="62" t="str">
        <f>IF(OR(D822="",NOT(G822="MPV")),"",1+SUMPRODUCT(($G$2:$G$1001="MPV")*($D$2:$D$1001&gt;D822))+COUNTIFS($G$2:G822,"MPV",$D$2:D822,D822)-1)</f>
        <v/>
      </c>
      <c r="N822" s="62" t="str">
        <f>IF(OR(D822="",NOT(G822="SUV")),"",1+SUMPRODUCT(($G$2:$G$1001="SUV")*($D$2:$D$1001&gt;D822))+COUNTIFS($G$2:G822,"SUV",$D$2:D822,D822)-1)</f>
        <v/>
      </c>
      <c r="O822" s="62" t="str">
        <f>IF(OR(D822="",NOT(AND(F822=1,G822="轿车"))),"",1+SUMPRODUCT(($F$2:$F$1001=1)*($G$2:$G$1001="轿车")*($D$2:$D$1001&gt;D822))+COUNTIFS($F$2:F822,1,$G$2:G822,"轿车",$D$2:D822,D822)-1)</f>
        <v/>
      </c>
      <c r="P822" s="62" t="str">
        <f>IF(OR(D822="",NOT(AND(F822=1,G822="MPV"))),"",1+SUMPRODUCT(($F$2:$F$1001=1)*($G$2:$G$1001="MPV")*($D$2:$D$1001&gt;D822))+COUNTIFS($F$2:F822,1,$G$2:G822,"MPV",$D$2:D822,D822)-1)</f>
        <v/>
      </c>
      <c r="Q822" s="62" t="str">
        <f>IF(OR(D822="",NOT(AND(F822=1,G822="SUV"))),"",1+SUMPRODUCT(($F$2:$F$1001=1)*($G$2:$G$1001="SUV")*($D$2:$D$1001&gt;D822))+COUNTIFS($F$2:F822,1,$G$2:G822,"SUV",$D$2:D822,D822)-1)</f>
        <v/>
      </c>
    </row>
    <row r="823" spans="1:17">
      <c r="A823" s="62" t="str">
        <f>IFERROR(INDEX($H$2:$H$3000,MATCH(0,INDEX(COUNTIF($A$1:A822,$H$2:$H$3000)+($H$2:$H$3000=""),0,0),0)),"")</f>
        <v/>
      </c>
      <c r="B823" s="62" t="str">
        <f t="shared" si="48"/>
        <v/>
      </c>
      <c r="C823" s="62" t="str">
        <f t="shared" si="49"/>
        <v/>
      </c>
      <c r="D823" s="63" t="str">
        <f t="shared" si="50"/>
        <v/>
      </c>
      <c r="E823" s="62" t="str">
        <f>IF(D823="","",_xlfn.RANK.EQ(D823,$D$2:$D$1001,0)+COUNTIF($D$2:D823,D823)-1)</f>
        <v/>
      </c>
      <c r="F823" s="62" t="str">
        <f>IF(B823="","",--(COUNTIF(CN_Brands!$A$2:$A$300,UPPER(B823))&gt;0))</f>
        <v/>
      </c>
      <c r="G823" s="62" t="str">
        <f t="shared" si="51"/>
        <v/>
      </c>
      <c r="H823" s="62" t="str">
        <f>IF(AND('Data Export'!A823=前十整体车型排名!$B$2,'Data Export'!B823=前十整体车型排名!$B$3,'Data Export'!D823&lt;&gt;""),UPPER('Data Export'!C823)&amp;"♦"&amp;'Data Export'!D823,"")</f>
        <v>TOYOTA♦ALPHARD</v>
      </c>
      <c r="I823" s="63">
        <f>IF(H823="","",IFERROR(INDEX('Data Export'!G823:CZ823,1,MATCH(前十整体车型排名!$B$4,'Data Export'!$G$1:$CZ$1,0)),0))</f>
        <v>4</v>
      </c>
      <c r="J823" s="62" t="str">
        <f>IF(H823="","",IF(OR('Data Export'!F823="三厢轿车",'Data Export'!F823="掀背轿车",'Data Export'!F823="旅行车",'Data Export'!F823="微型车",'Data Export'!F823="硬顶跑车",'Data Export'!F823="敞蓬车",'Data Export'!F823="Targa"),"轿车",IF(OR('Data Export'!F823="小型MPV",'Data Export'!F823="客车"),"MPV",IF('Data Export'!F823="运动型多功能车","SUV","其他"))))</f>
        <v>其他</v>
      </c>
      <c r="K823" s="62" t="str">
        <f>IF(OR(D823="",NOT(F823=1)),"",1+SUMPRODUCT(($F$2:$F$1001=1)*($D$2:$D$1001&gt;D823))+COUNTIFS($F$2:F823,1,$D$2:D823,D823)-1)</f>
        <v/>
      </c>
      <c r="L823" s="62" t="str">
        <f>IF(OR(D823="",NOT(G823="轿车")),"",1+SUMPRODUCT(($G$2:$G$1001="轿车")*($D$2:$D$1001&gt;D823))+COUNTIFS($G$2:G823,"轿车",$D$2:D823,D823)-1)</f>
        <v/>
      </c>
      <c r="M823" s="62" t="str">
        <f>IF(OR(D823="",NOT(G823="MPV")),"",1+SUMPRODUCT(($G$2:$G$1001="MPV")*($D$2:$D$1001&gt;D823))+COUNTIFS($G$2:G823,"MPV",$D$2:D823,D823)-1)</f>
        <v/>
      </c>
      <c r="N823" s="62" t="str">
        <f>IF(OR(D823="",NOT(G823="SUV")),"",1+SUMPRODUCT(($G$2:$G$1001="SUV")*($D$2:$D$1001&gt;D823))+COUNTIFS($G$2:G823,"SUV",$D$2:D823,D823)-1)</f>
        <v/>
      </c>
      <c r="O823" s="62" t="str">
        <f>IF(OR(D823="",NOT(AND(F823=1,G823="轿车"))),"",1+SUMPRODUCT(($F$2:$F$1001=1)*($G$2:$G$1001="轿车")*($D$2:$D$1001&gt;D823))+COUNTIFS($F$2:F823,1,$G$2:G823,"轿车",$D$2:D823,D823)-1)</f>
        <v/>
      </c>
      <c r="P823" s="62" t="str">
        <f>IF(OR(D823="",NOT(AND(F823=1,G823="MPV"))),"",1+SUMPRODUCT(($F$2:$F$1001=1)*($G$2:$G$1001="MPV")*($D$2:$D$1001&gt;D823))+COUNTIFS($F$2:F823,1,$G$2:G823,"MPV",$D$2:D823,D823)-1)</f>
        <v/>
      </c>
      <c r="Q823" s="62" t="str">
        <f>IF(OR(D823="",NOT(AND(F823=1,G823="SUV"))),"",1+SUMPRODUCT(($F$2:$F$1001=1)*($G$2:$G$1001="SUV")*($D$2:$D$1001&gt;D823))+COUNTIFS($F$2:F823,1,$G$2:G823,"SUV",$D$2:D823,D823)-1)</f>
        <v/>
      </c>
    </row>
    <row r="824" spans="1:17">
      <c r="A824" s="62" t="str">
        <f>IFERROR(INDEX($H$2:$H$3000,MATCH(0,INDEX(COUNTIF($A$1:A823,$H$2:$H$3000)+($H$2:$H$3000=""),0,0),0)),"")</f>
        <v/>
      </c>
      <c r="B824" s="62" t="str">
        <f t="shared" si="48"/>
        <v/>
      </c>
      <c r="C824" s="62" t="str">
        <f t="shared" si="49"/>
        <v/>
      </c>
      <c r="D824" s="63" t="str">
        <f t="shared" si="50"/>
        <v/>
      </c>
      <c r="E824" s="62" t="str">
        <f>IF(D824="","",_xlfn.RANK.EQ(D824,$D$2:$D$1001,0)+COUNTIF($D$2:D824,D824)-1)</f>
        <v/>
      </c>
      <c r="F824" s="62" t="str">
        <f>IF(B824="","",--(COUNTIF(CN_Brands!$A$2:$A$300,UPPER(B824))&gt;0))</f>
        <v/>
      </c>
      <c r="G824" s="62" t="str">
        <f t="shared" si="51"/>
        <v/>
      </c>
      <c r="H824" s="62" t="str">
        <f>IF(AND('Data Export'!A824=前十整体车型排名!$B$2,'Data Export'!B824=前十整体车型排名!$B$3,'Data Export'!D824&lt;&gt;""),UPPER('Data Export'!C824)&amp;"♦"&amp;'Data Export'!D824,"")</f>
        <v>TOYOTA♦ALPHARD</v>
      </c>
      <c r="I824" s="63">
        <f>IF(H824="","",IFERROR(INDEX('Data Export'!G824:CZ824,1,MATCH(前十整体车型排名!$B$4,'Data Export'!$G$1:$CZ$1,0)),0))</f>
        <v>102</v>
      </c>
      <c r="J824" s="62" t="str">
        <f>IF(H824="","",IF(OR('Data Export'!F824="三厢轿车",'Data Export'!F824="掀背轿车",'Data Export'!F824="旅行车",'Data Export'!F824="微型车",'Data Export'!F824="硬顶跑车",'Data Export'!F824="敞蓬车",'Data Export'!F824="Targa"),"轿车",IF(OR('Data Export'!F824="小型MPV",'Data Export'!F824="客车"),"MPV",IF('Data Export'!F824="运动型多功能车","SUV","其他"))))</f>
        <v>其他</v>
      </c>
      <c r="K824" s="62" t="str">
        <f>IF(OR(D824="",NOT(F824=1)),"",1+SUMPRODUCT(($F$2:$F$1001=1)*($D$2:$D$1001&gt;D824))+COUNTIFS($F$2:F824,1,$D$2:D824,D824)-1)</f>
        <v/>
      </c>
      <c r="L824" s="62" t="str">
        <f>IF(OR(D824="",NOT(G824="轿车")),"",1+SUMPRODUCT(($G$2:$G$1001="轿车")*($D$2:$D$1001&gt;D824))+COUNTIFS($G$2:G824,"轿车",$D$2:D824,D824)-1)</f>
        <v/>
      </c>
      <c r="M824" s="62" t="str">
        <f>IF(OR(D824="",NOT(G824="MPV")),"",1+SUMPRODUCT(($G$2:$G$1001="MPV")*($D$2:$D$1001&gt;D824))+COUNTIFS($G$2:G824,"MPV",$D$2:D824,D824)-1)</f>
        <v/>
      </c>
      <c r="N824" s="62" t="str">
        <f>IF(OR(D824="",NOT(G824="SUV")),"",1+SUMPRODUCT(($G$2:$G$1001="SUV")*($D$2:$D$1001&gt;D824))+COUNTIFS($G$2:G824,"SUV",$D$2:D824,D824)-1)</f>
        <v/>
      </c>
      <c r="O824" s="62" t="str">
        <f>IF(OR(D824="",NOT(AND(F824=1,G824="轿车"))),"",1+SUMPRODUCT(($F$2:$F$1001=1)*($G$2:$G$1001="轿车")*($D$2:$D$1001&gt;D824))+COUNTIFS($F$2:F824,1,$G$2:G824,"轿车",$D$2:D824,D824)-1)</f>
        <v/>
      </c>
      <c r="P824" s="62" t="str">
        <f>IF(OR(D824="",NOT(AND(F824=1,G824="MPV"))),"",1+SUMPRODUCT(($F$2:$F$1001=1)*($G$2:$G$1001="MPV")*($D$2:$D$1001&gt;D824))+COUNTIFS($F$2:F824,1,$G$2:G824,"MPV",$D$2:D824,D824)-1)</f>
        <v/>
      </c>
      <c r="Q824" s="62" t="str">
        <f>IF(OR(D824="",NOT(AND(F824=1,G824="SUV"))),"",1+SUMPRODUCT(($F$2:$F$1001=1)*($G$2:$G$1001="SUV")*($D$2:$D$1001&gt;D824))+COUNTIFS($F$2:F824,1,$G$2:G824,"SUV",$D$2:D824,D824)-1)</f>
        <v/>
      </c>
    </row>
    <row r="825" spans="1:17">
      <c r="A825" s="62" t="str">
        <f>IFERROR(INDEX($H$2:$H$3000,MATCH(0,INDEX(COUNTIF($A$1:A824,$H$2:$H$3000)+($H$2:$H$3000=""),0,0),0)),"")</f>
        <v/>
      </c>
      <c r="B825" s="62" t="str">
        <f t="shared" si="48"/>
        <v/>
      </c>
      <c r="C825" s="62" t="str">
        <f t="shared" si="49"/>
        <v/>
      </c>
      <c r="D825" s="63" t="str">
        <f t="shared" si="50"/>
        <v/>
      </c>
      <c r="E825" s="62" t="str">
        <f>IF(D825="","",_xlfn.RANK.EQ(D825,$D$2:$D$1001,0)+COUNTIF($D$2:D825,D825)-1)</f>
        <v/>
      </c>
      <c r="F825" s="62" t="str">
        <f>IF(B825="","",--(COUNTIF(CN_Brands!$A$2:$A$300,UPPER(B825))&gt;0))</f>
        <v/>
      </c>
      <c r="G825" s="62" t="str">
        <f t="shared" si="51"/>
        <v/>
      </c>
      <c r="H825" s="62" t="str">
        <f>IF(AND('Data Export'!A825=前十整体车型排名!$B$2,'Data Export'!B825=前十整体车型排名!$B$3,'Data Export'!D825&lt;&gt;""),UPPER('Data Export'!C825)&amp;"♦"&amp;'Data Export'!D825,"")</f>
        <v>TOYOTA♦ALPHARD</v>
      </c>
      <c r="I825" s="63">
        <f>IF(H825="","",IFERROR(INDEX('Data Export'!G825:CZ825,1,MATCH(前十整体车型排名!$B$4,'Data Export'!$G$1:$CZ$1,0)),0))</f>
        <v>9</v>
      </c>
      <c r="J825" s="62" t="str">
        <f>IF(H825="","",IF(OR('Data Export'!F825="三厢轿车",'Data Export'!F825="掀背轿车",'Data Export'!F825="旅行车",'Data Export'!F825="微型车",'Data Export'!F825="硬顶跑车",'Data Export'!F825="敞蓬车",'Data Export'!F825="Targa"),"轿车",IF(OR('Data Export'!F825="小型MPV",'Data Export'!F825="客车"),"MPV",IF('Data Export'!F825="运动型多功能车","SUV","其他"))))</f>
        <v>其他</v>
      </c>
      <c r="K825" s="62" t="str">
        <f>IF(OR(D825="",NOT(F825=1)),"",1+SUMPRODUCT(($F$2:$F$1001=1)*($D$2:$D$1001&gt;D825))+COUNTIFS($F$2:F825,1,$D$2:D825,D825)-1)</f>
        <v/>
      </c>
      <c r="L825" s="62" t="str">
        <f>IF(OR(D825="",NOT(G825="轿车")),"",1+SUMPRODUCT(($G$2:$G$1001="轿车")*($D$2:$D$1001&gt;D825))+COUNTIFS($G$2:G825,"轿车",$D$2:D825,D825)-1)</f>
        <v/>
      </c>
      <c r="M825" s="62" t="str">
        <f>IF(OR(D825="",NOT(G825="MPV")),"",1+SUMPRODUCT(($G$2:$G$1001="MPV")*($D$2:$D$1001&gt;D825))+COUNTIFS($G$2:G825,"MPV",$D$2:D825,D825)-1)</f>
        <v/>
      </c>
      <c r="N825" s="62" t="str">
        <f>IF(OR(D825="",NOT(G825="SUV")),"",1+SUMPRODUCT(($G$2:$G$1001="SUV")*($D$2:$D$1001&gt;D825))+COUNTIFS($G$2:G825,"SUV",$D$2:D825,D825)-1)</f>
        <v/>
      </c>
      <c r="O825" s="62" t="str">
        <f>IF(OR(D825="",NOT(AND(F825=1,G825="轿车"))),"",1+SUMPRODUCT(($F$2:$F$1001=1)*($G$2:$G$1001="轿车")*($D$2:$D$1001&gt;D825))+COUNTIFS($F$2:F825,1,$G$2:G825,"轿车",$D$2:D825,D825)-1)</f>
        <v/>
      </c>
      <c r="P825" s="62" t="str">
        <f>IF(OR(D825="",NOT(AND(F825=1,G825="MPV"))),"",1+SUMPRODUCT(($F$2:$F$1001=1)*($G$2:$G$1001="MPV")*($D$2:$D$1001&gt;D825))+COUNTIFS($F$2:F825,1,$G$2:G825,"MPV",$D$2:D825,D825)-1)</f>
        <v/>
      </c>
      <c r="Q825" s="62" t="str">
        <f>IF(OR(D825="",NOT(AND(F825=1,G825="SUV"))),"",1+SUMPRODUCT(($F$2:$F$1001=1)*($G$2:$G$1001="SUV")*($D$2:$D$1001&gt;D825))+COUNTIFS($F$2:F825,1,$G$2:G825,"SUV",$D$2:D825,D825)-1)</f>
        <v/>
      </c>
    </row>
    <row r="826" spans="1:17">
      <c r="A826" s="62" t="str">
        <f>IFERROR(INDEX($H$2:$H$3000,MATCH(0,INDEX(COUNTIF($A$1:A825,$H$2:$H$3000)+($H$2:$H$3000=""),0,0),0)),"")</f>
        <v/>
      </c>
      <c r="B826" s="62" t="str">
        <f t="shared" si="48"/>
        <v/>
      </c>
      <c r="C826" s="62" t="str">
        <f t="shared" si="49"/>
        <v/>
      </c>
      <c r="D826" s="63" t="str">
        <f t="shared" si="50"/>
        <v/>
      </c>
      <c r="E826" s="62" t="str">
        <f>IF(D826="","",_xlfn.RANK.EQ(D826,$D$2:$D$1001,0)+COUNTIF($D$2:D826,D826)-1)</f>
        <v/>
      </c>
      <c r="F826" s="62" t="str">
        <f>IF(B826="","",--(COUNTIF(CN_Brands!$A$2:$A$300,UPPER(B826))&gt;0))</f>
        <v/>
      </c>
      <c r="G826" s="62" t="str">
        <f t="shared" si="51"/>
        <v/>
      </c>
      <c r="H826" s="62" t="str">
        <f>IF(AND('Data Export'!A826=前十整体车型排名!$B$2,'Data Export'!B826=前十整体车型排名!$B$3,'Data Export'!D826&lt;&gt;""),UPPER('Data Export'!C826)&amp;"♦"&amp;'Data Export'!D826,"")</f>
        <v>TOYOTA♦ALPHARD</v>
      </c>
      <c r="I826" s="63">
        <f>IF(H826="","",IFERROR(INDEX('Data Export'!G826:CZ826,1,MATCH(前十整体车型排名!$B$4,'Data Export'!$G$1:$CZ$1,0)),0))</f>
        <v>0</v>
      </c>
      <c r="J826" s="62" t="str">
        <f>IF(H826="","",IF(OR('Data Export'!F826="三厢轿车",'Data Export'!F826="掀背轿车",'Data Export'!F826="旅行车",'Data Export'!F826="微型车",'Data Export'!F826="硬顶跑车",'Data Export'!F826="敞蓬车",'Data Export'!F826="Targa"),"轿车",IF(OR('Data Export'!F826="小型MPV",'Data Export'!F826="客车"),"MPV",IF('Data Export'!F826="运动型多功能车","SUV","其他"))))</f>
        <v>其他</v>
      </c>
      <c r="K826" s="62" t="str">
        <f>IF(OR(D826="",NOT(F826=1)),"",1+SUMPRODUCT(($F$2:$F$1001=1)*($D$2:$D$1001&gt;D826))+COUNTIFS($F$2:F826,1,$D$2:D826,D826)-1)</f>
        <v/>
      </c>
      <c r="L826" s="62" t="str">
        <f>IF(OR(D826="",NOT(G826="轿车")),"",1+SUMPRODUCT(($G$2:$G$1001="轿车")*($D$2:$D$1001&gt;D826))+COUNTIFS($G$2:G826,"轿车",$D$2:D826,D826)-1)</f>
        <v/>
      </c>
      <c r="M826" s="62" t="str">
        <f>IF(OR(D826="",NOT(G826="MPV")),"",1+SUMPRODUCT(($G$2:$G$1001="MPV")*($D$2:$D$1001&gt;D826))+COUNTIFS($G$2:G826,"MPV",$D$2:D826,D826)-1)</f>
        <v/>
      </c>
      <c r="N826" s="62" t="str">
        <f>IF(OR(D826="",NOT(G826="SUV")),"",1+SUMPRODUCT(($G$2:$G$1001="SUV")*($D$2:$D$1001&gt;D826))+COUNTIFS($G$2:G826,"SUV",$D$2:D826,D826)-1)</f>
        <v/>
      </c>
      <c r="O826" s="62" t="str">
        <f>IF(OR(D826="",NOT(AND(F826=1,G826="轿车"))),"",1+SUMPRODUCT(($F$2:$F$1001=1)*($G$2:$G$1001="轿车")*($D$2:$D$1001&gt;D826))+COUNTIFS($F$2:F826,1,$G$2:G826,"轿车",$D$2:D826,D826)-1)</f>
        <v/>
      </c>
      <c r="P826" s="62" t="str">
        <f>IF(OR(D826="",NOT(AND(F826=1,G826="MPV"))),"",1+SUMPRODUCT(($F$2:$F$1001=1)*($G$2:$G$1001="MPV")*($D$2:$D$1001&gt;D826))+COUNTIFS($F$2:F826,1,$G$2:G826,"MPV",$D$2:D826,D826)-1)</f>
        <v/>
      </c>
      <c r="Q826" s="62" t="str">
        <f>IF(OR(D826="",NOT(AND(F826=1,G826="SUV"))),"",1+SUMPRODUCT(($F$2:$F$1001=1)*($G$2:$G$1001="SUV")*($D$2:$D$1001&gt;D826))+COUNTIFS($F$2:F826,1,$G$2:G826,"SUV",$D$2:D826,D826)-1)</f>
        <v/>
      </c>
    </row>
    <row r="827" spans="1:17">
      <c r="A827" s="62" t="str">
        <f>IFERROR(INDEX($H$2:$H$3000,MATCH(0,INDEX(COUNTIF($A$1:A826,$H$2:$H$3000)+($H$2:$H$3000=""),0,0),0)),"")</f>
        <v/>
      </c>
      <c r="B827" s="62" t="str">
        <f t="shared" si="48"/>
        <v/>
      </c>
      <c r="C827" s="62" t="str">
        <f t="shared" si="49"/>
        <v/>
      </c>
      <c r="D827" s="63" t="str">
        <f t="shared" si="50"/>
        <v/>
      </c>
      <c r="E827" s="62" t="str">
        <f>IF(D827="","",_xlfn.RANK.EQ(D827,$D$2:$D$1001,0)+COUNTIF($D$2:D827,D827)-1)</f>
        <v/>
      </c>
      <c r="F827" s="62" t="str">
        <f>IF(B827="","",--(COUNTIF(CN_Brands!$A$2:$A$300,UPPER(B827))&gt;0))</f>
        <v/>
      </c>
      <c r="G827" s="62" t="str">
        <f t="shared" si="51"/>
        <v/>
      </c>
      <c r="H827" s="62" t="str">
        <f>IF(AND('Data Export'!A827=前十整体车型排名!$B$2,'Data Export'!B827=前十整体车型排名!$B$3,'Data Export'!D827&lt;&gt;""),UPPER('Data Export'!C827)&amp;"♦"&amp;'Data Export'!D827,"")</f>
        <v>TOYOTA♦ALPHARD</v>
      </c>
      <c r="I827" s="63">
        <f>IF(H827="","",IFERROR(INDEX('Data Export'!G827:CZ827,1,MATCH(前十整体车型排名!$B$4,'Data Export'!$G$1:$CZ$1,0)),0))</f>
        <v>0</v>
      </c>
      <c r="J827" s="62" t="str">
        <f>IF(H827="","",IF(OR('Data Export'!F827="三厢轿车",'Data Export'!F827="掀背轿车",'Data Export'!F827="旅行车",'Data Export'!F827="微型车",'Data Export'!F827="硬顶跑车",'Data Export'!F827="敞蓬车",'Data Export'!F827="Targa"),"轿车",IF(OR('Data Export'!F827="小型MPV",'Data Export'!F827="客车"),"MPV",IF('Data Export'!F827="运动型多功能车","SUV","其他"))))</f>
        <v>其他</v>
      </c>
      <c r="K827" s="62" t="str">
        <f>IF(OR(D827="",NOT(F827=1)),"",1+SUMPRODUCT(($F$2:$F$1001=1)*($D$2:$D$1001&gt;D827))+COUNTIFS($F$2:F827,1,$D$2:D827,D827)-1)</f>
        <v/>
      </c>
      <c r="L827" s="62" t="str">
        <f>IF(OR(D827="",NOT(G827="轿车")),"",1+SUMPRODUCT(($G$2:$G$1001="轿车")*($D$2:$D$1001&gt;D827))+COUNTIFS($G$2:G827,"轿车",$D$2:D827,D827)-1)</f>
        <v/>
      </c>
      <c r="M827" s="62" t="str">
        <f>IF(OR(D827="",NOT(G827="MPV")),"",1+SUMPRODUCT(($G$2:$G$1001="MPV")*($D$2:$D$1001&gt;D827))+COUNTIFS($G$2:G827,"MPV",$D$2:D827,D827)-1)</f>
        <v/>
      </c>
      <c r="N827" s="62" t="str">
        <f>IF(OR(D827="",NOT(G827="SUV")),"",1+SUMPRODUCT(($G$2:$G$1001="SUV")*($D$2:$D$1001&gt;D827))+COUNTIFS($G$2:G827,"SUV",$D$2:D827,D827)-1)</f>
        <v/>
      </c>
      <c r="O827" s="62" t="str">
        <f>IF(OR(D827="",NOT(AND(F827=1,G827="轿车"))),"",1+SUMPRODUCT(($F$2:$F$1001=1)*($G$2:$G$1001="轿车")*($D$2:$D$1001&gt;D827))+COUNTIFS($F$2:F827,1,$G$2:G827,"轿车",$D$2:D827,D827)-1)</f>
        <v/>
      </c>
      <c r="P827" s="62" t="str">
        <f>IF(OR(D827="",NOT(AND(F827=1,G827="MPV"))),"",1+SUMPRODUCT(($F$2:$F$1001=1)*($G$2:$G$1001="MPV")*($D$2:$D$1001&gt;D827))+COUNTIFS($F$2:F827,1,$G$2:G827,"MPV",$D$2:D827,D827)-1)</f>
        <v/>
      </c>
      <c r="Q827" s="62" t="str">
        <f>IF(OR(D827="",NOT(AND(F827=1,G827="SUV"))),"",1+SUMPRODUCT(($F$2:$F$1001=1)*($G$2:$G$1001="SUV")*($D$2:$D$1001&gt;D827))+COUNTIFS($F$2:F827,1,$G$2:G827,"SUV",$D$2:D827,D827)-1)</f>
        <v/>
      </c>
    </row>
    <row r="828" spans="1:17">
      <c r="A828" s="62" t="str">
        <f>IFERROR(INDEX($H$2:$H$3000,MATCH(0,INDEX(COUNTIF($A$1:A827,$H$2:$H$3000)+($H$2:$H$3000=""),0,0),0)),"")</f>
        <v/>
      </c>
      <c r="B828" s="62" t="str">
        <f t="shared" si="48"/>
        <v/>
      </c>
      <c r="C828" s="62" t="str">
        <f t="shared" si="49"/>
        <v/>
      </c>
      <c r="D828" s="63" t="str">
        <f t="shared" si="50"/>
        <v/>
      </c>
      <c r="E828" s="62" t="str">
        <f>IF(D828="","",_xlfn.RANK.EQ(D828,$D$2:$D$1001,0)+COUNTIF($D$2:D828,D828)-1)</f>
        <v/>
      </c>
      <c r="F828" s="62" t="str">
        <f>IF(B828="","",--(COUNTIF(CN_Brands!$A$2:$A$300,UPPER(B828))&gt;0))</f>
        <v/>
      </c>
      <c r="G828" s="62" t="str">
        <f t="shared" si="51"/>
        <v/>
      </c>
      <c r="H828" s="62" t="str">
        <f>IF(AND('Data Export'!A828=前十整体车型排名!$B$2,'Data Export'!B828=前十整体车型排名!$B$3,'Data Export'!D828&lt;&gt;""),UPPER('Data Export'!C828)&amp;"♦"&amp;'Data Export'!D828,"")</f>
        <v>TOYOTA♦ALPHARD</v>
      </c>
      <c r="I828" s="63">
        <f>IF(H828="","",IFERROR(INDEX('Data Export'!G828:CZ828,1,MATCH(前十整体车型排名!$B$4,'Data Export'!$G$1:$CZ$1,0)),0))</f>
        <v>0</v>
      </c>
      <c r="J828" s="62" t="str">
        <f>IF(H828="","",IF(OR('Data Export'!F828="三厢轿车",'Data Export'!F828="掀背轿车",'Data Export'!F828="旅行车",'Data Export'!F828="微型车",'Data Export'!F828="硬顶跑车",'Data Export'!F828="敞蓬车",'Data Export'!F828="Targa"),"轿车",IF(OR('Data Export'!F828="小型MPV",'Data Export'!F828="客车"),"MPV",IF('Data Export'!F828="运动型多功能车","SUV","其他"))))</f>
        <v>其他</v>
      </c>
      <c r="K828" s="62" t="str">
        <f>IF(OR(D828="",NOT(F828=1)),"",1+SUMPRODUCT(($F$2:$F$1001=1)*($D$2:$D$1001&gt;D828))+COUNTIFS($F$2:F828,1,$D$2:D828,D828)-1)</f>
        <v/>
      </c>
      <c r="L828" s="62" t="str">
        <f>IF(OR(D828="",NOT(G828="轿车")),"",1+SUMPRODUCT(($G$2:$G$1001="轿车")*($D$2:$D$1001&gt;D828))+COUNTIFS($G$2:G828,"轿车",$D$2:D828,D828)-1)</f>
        <v/>
      </c>
      <c r="M828" s="62" t="str">
        <f>IF(OR(D828="",NOT(G828="MPV")),"",1+SUMPRODUCT(($G$2:$G$1001="MPV")*($D$2:$D$1001&gt;D828))+COUNTIFS($G$2:G828,"MPV",$D$2:D828,D828)-1)</f>
        <v/>
      </c>
      <c r="N828" s="62" t="str">
        <f>IF(OR(D828="",NOT(G828="SUV")),"",1+SUMPRODUCT(($G$2:$G$1001="SUV")*($D$2:$D$1001&gt;D828))+COUNTIFS($G$2:G828,"SUV",$D$2:D828,D828)-1)</f>
        <v/>
      </c>
      <c r="O828" s="62" t="str">
        <f>IF(OR(D828="",NOT(AND(F828=1,G828="轿车"))),"",1+SUMPRODUCT(($F$2:$F$1001=1)*($G$2:$G$1001="轿车")*($D$2:$D$1001&gt;D828))+COUNTIFS($F$2:F828,1,$G$2:G828,"轿车",$D$2:D828,D828)-1)</f>
        <v/>
      </c>
      <c r="P828" s="62" t="str">
        <f>IF(OR(D828="",NOT(AND(F828=1,G828="MPV"))),"",1+SUMPRODUCT(($F$2:$F$1001=1)*($G$2:$G$1001="MPV")*($D$2:$D$1001&gt;D828))+COUNTIFS($F$2:F828,1,$G$2:G828,"MPV",$D$2:D828,D828)-1)</f>
        <v/>
      </c>
      <c r="Q828" s="62" t="str">
        <f>IF(OR(D828="",NOT(AND(F828=1,G828="SUV"))),"",1+SUMPRODUCT(($F$2:$F$1001=1)*($G$2:$G$1001="SUV")*($D$2:$D$1001&gt;D828))+COUNTIFS($F$2:F828,1,$G$2:G828,"SUV",$D$2:D828,D828)-1)</f>
        <v/>
      </c>
    </row>
    <row r="829" spans="1:17">
      <c r="A829" s="62" t="str">
        <f>IFERROR(INDEX($H$2:$H$3000,MATCH(0,INDEX(COUNTIF($A$1:A828,$H$2:$H$3000)+($H$2:$H$3000=""),0,0),0)),"")</f>
        <v/>
      </c>
      <c r="B829" s="62" t="str">
        <f t="shared" si="48"/>
        <v/>
      </c>
      <c r="C829" s="62" t="str">
        <f t="shared" si="49"/>
        <v/>
      </c>
      <c r="D829" s="63" t="str">
        <f t="shared" si="50"/>
        <v/>
      </c>
      <c r="E829" s="62" t="str">
        <f>IF(D829="","",_xlfn.RANK.EQ(D829,$D$2:$D$1001,0)+COUNTIF($D$2:D829,D829)-1)</f>
        <v/>
      </c>
      <c r="F829" s="62" t="str">
        <f>IF(B829="","",--(COUNTIF(CN_Brands!$A$2:$A$300,UPPER(B829))&gt;0))</f>
        <v/>
      </c>
      <c r="G829" s="62" t="str">
        <f t="shared" si="51"/>
        <v/>
      </c>
      <c r="H829" s="62" t="str">
        <f>IF(AND('Data Export'!A829=前十整体车型排名!$B$2,'Data Export'!B829=前十整体车型排名!$B$3,'Data Export'!D829&lt;&gt;""),UPPER('Data Export'!C829)&amp;"♦"&amp;'Data Export'!D829,"")</f>
        <v>TOYOTA♦ALPHARD</v>
      </c>
      <c r="I829" s="63">
        <f>IF(H829="","",IFERROR(INDEX('Data Export'!G829:CZ829,1,MATCH(前十整体车型排名!$B$4,'Data Export'!$G$1:$CZ$1,0)),0))</f>
        <v>1</v>
      </c>
      <c r="J829" s="62" t="str">
        <f>IF(H829="","",IF(OR('Data Export'!F829="三厢轿车",'Data Export'!F829="掀背轿车",'Data Export'!F829="旅行车",'Data Export'!F829="微型车",'Data Export'!F829="硬顶跑车",'Data Export'!F829="敞蓬车",'Data Export'!F829="Targa"),"轿车",IF(OR('Data Export'!F829="小型MPV",'Data Export'!F829="客车"),"MPV",IF('Data Export'!F829="运动型多功能车","SUV","其他"))))</f>
        <v>其他</v>
      </c>
      <c r="K829" s="62" t="str">
        <f>IF(OR(D829="",NOT(F829=1)),"",1+SUMPRODUCT(($F$2:$F$1001=1)*($D$2:$D$1001&gt;D829))+COUNTIFS($F$2:F829,1,$D$2:D829,D829)-1)</f>
        <v/>
      </c>
      <c r="L829" s="62" t="str">
        <f>IF(OR(D829="",NOT(G829="轿车")),"",1+SUMPRODUCT(($G$2:$G$1001="轿车")*($D$2:$D$1001&gt;D829))+COUNTIFS($G$2:G829,"轿车",$D$2:D829,D829)-1)</f>
        <v/>
      </c>
      <c r="M829" s="62" t="str">
        <f>IF(OR(D829="",NOT(G829="MPV")),"",1+SUMPRODUCT(($G$2:$G$1001="MPV")*($D$2:$D$1001&gt;D829))+COUNTIFS($G$2:G829,"MPV",$D$2:D829,D829)-1)</f>
        <v/>
      </c>
      <c r="N829" s="62" t="str">
        <f>IF(OR(D829="",NOT(G829="SUV")),"",1+SUMPRODUCT(($G$2:$G$1001="SUV")*($D$2:$D$1001&gt;D829))+COUNTIFS($G$2:G829,"SUV",$D$2:D829,D829)-1)</f>
        <v/>
      </c>
      <c r="O829" s="62" t="str">
        <f>IF(OR(D829="",NOT(AND(F829=1,G829="轿车"))),"",1+SUMPRODUCT(($F$2:$F$1001=1)*($G$2:$G$1001="轿车")*($D$2:$D$1001&gt;D829))+COUNTIFS($F$2:F829,1,$G$2:G829,"轿车",$D$2:D829,D829)-1)</f>
        <v/>
      </c>
      <c r="P829" s="62" t="str">
        <f>IF(OR(D829="",NOT(AND(F829=1,G829="MPV"))),"",1+SUMPRODUCT(($F$2:$F$1001=1)*($G$2:$G$1001="MPV")*($D$2:$D$1001&gt;D829))+COUNTIFS($F$2:F829,1,$G$2:G829,"MPV",$D$2:D829,D829)-1)</f>
        <v/>
      </c>
      <c r="Q829" s="62" t="str">
        <f>IF(OR(D829="",NOT(AND(F829=1,G829="SUV"))),"",1+SUMPRODUCT(($F$2:$F$1001=1)*($G$2:$G$1001="SUV")*($D$2:$D$1001&gt;D829))+COUNTIFS($F$2:F829,1,$G$2:G829,"SUV",$D$2:D829,D829)-1)</f>
        <v/>
      </c>
    </row>
    <row r="830" spans="1:17">
      <c r="A830" s="62" t="str">
        <f>IFERROR(INDEX($H$2:$H$3000,MATCH(0,INDEX(COUNTIF($A$1:A829,$H$2:$H$3000)+($H$2:$H$3000=""),0,0),0)),"")</f>
        <v/>
      </c>
      <c r="B830" s="62" t="str">
        <f t="shared" si="48"/>
        <v/>
      </c>
      <c r="C830" s="62" t="str">
        <f t="shared" si="49"/>
        <v/>
      </c>
      <c r="D830" s="63" t="str">
        <f t="shared" si="50"/>
        <v/>
      </c>
      <c r="E830" s="62" t="str">
        <f>IF(D830="","",_xlfn.RANK.EQ(D830,$D$2:$D$1001,0)+COUNTIF($D$2:D830,D830)-1)</f>
        <v/>
      </c>
      <c r="F830" s="62" t="str">
        <f>IF(B830="","",--(COUNTIF(CN_Brands!$A$2:$A$300,UPPER(B830))&gt;0))</f>
        <v/>
      </c>
      <c r="G830" s="62" t="str">
        <f t="shared" si="51"/>
        <v/>
      </c>
      <c r="H830" s="62" t="str">
        <f>IF(AND('Data Export'!A830=前十整体车型排名!$B$2,'Data Export'!B830=前十整体车型排名!$B$3,'Data Export'!D830&lt;&gt;""),UPPER('Data Export'!C830)&amp;"♦"&amp;'Data Export'!D830,"")</f>
        <v>TOYOTA♦ALPHARD</v>
      </c>
      <c r="I830" s="63">
        <f>IF(H830="","",IFERROR(INDEX('Data Export'!G830:CZ830,1,MATCH(前十整体车型排名!$B$4,'Data Export'!$G$1:$CZ$1,0)),0))</f>
        <v>1</v>
      </c>
      <c r="J830" s="62" t="str">
        <f>IF(H830="","",IF(OR('Data Export'!F830="三厢轿车",'Data Export'!F830="掀背轿车",'Data Export'!F830="旅行车",'Data Export'!F830="微型车",'Data Export'!F830="硬顶跑车",'Data Export'!F830="敞蓬车",'Data Export'!F830="Targa"),"轿车",IF(OR('Data Export'!F830="小型MPV",'Data Export'!F830="客车"),"MPV",IF('Data Export'!F830="运动型多功能车","SUV","其他"))))</f>
        <v>其他</v>
      </c>
      <c r="K830" s="62" t="str">
        <f>IF(OR(D830="",NOT(F830=1)),"",1+SUMPRODUCT(($F$2:$F$1001=1)*($D$2:$D$1001&gt;D830))+COUNTIFS($F$2:F830,1,$D$2:D830,D830)-1)</f>
        <v/>
      </c>
      <c r="L830" s="62" t="str">
        <f>IF(OR(D830="",NOT(G830="轿车")),"",1+SUMPRODUCT(($G$2:$G$1001="轿车")*($D$2:$D$1001&gt;D830))+COUNTIFS($G$2:G830,"轿车",$D$2:D830,D830)-1)</f>
        <v/>
      </c>
      <c r="M830" s="62" t="str">
        <f>IF(OR(D830="",NOT(G830="MPV")),"",1+SUMPRODUCT(($G$2:$G$1001="MPV")*($D$2:$D$1001&gt;D830))+COUNTIFS($G$2:G830,"MPV",$D$2:D830,D830)-1)</f>
        <v/>
      </c>
      <c r="N830" s="62" t="str">
        <f>IF(OR(D830="",NOT(G830="SUV")),"",1+SUMPRODUCT(($G$2:$G$1001="SUV")*($D$2:$D$1001&gt;D830))+COUNTIFS($G$2:G830,"SUV",$D$2:D830,D830)-1)</f>
        <v/>
      </c>
      <c r="O830" s="62" t="str">
        <f>IF(OR(D830="",NOT(AND(F830=1,G830="轿车"))),"",1+SUMPRODUCT(($F$2:$F$1001=1)*($G$2:$G$1001="轿车")*($D$2:$D$1001&gt;D830))+COUNTIFS($F$2:F830,1,$G$2:G830,"轿车",$D$2:D830,D830)-1)</f>
        <v/>
      </c>
      <c r="P830" s="62" t="str">
        <f>IF(OR(D830="",NOT(AND(F830=1,G830="MPV"))),"",1+SUMPRODUCT(($F$2:$F$1001=1)*($G$2:$G$1001="MPV")*($D$2:$D$1001&gt;D830))+COUNTIFS($F$2:F830,1,$G$2:G830,"MPV",$D$2:D830,D830)-1)</f>
        <v/>
      </c>
      <c r="Q830" s="62" t="str">
        <f>IF(OR(D830="",NOT(AND(F830=1,G830="SUV"))),"",1+SUMPRODUCT(($F$2:$F$1001=1)*($G$2:$G$1001="SUV")*($D$2:$D$1001&gt;D830))+COUNTIFS($F$2:F830,1,$G$2:G830,"SUV",$D$2:D830,D830)-1)</f>
        <v/>
      </c>
    </row>
    <row r="831" spans="1:17">
      <c r="A831" s="62" t="str">
        <f>IFERROR(INDEX($H$2:$H$3000,MATCH(0,INDEX(COUNTIF($A$1:A830,$H$2:$H$3000)+($H$2:$H$3000=""),0,0),0)),"")</f>
        <v/>
      </c>
      <c r="B831" s="62" t="str">
        <f t="shared" si="48"/>
        <v/>
      </c>
      <c r="C831" s="62" t="str">
        <f t="shared" si="49"/>
        <v/>
      </c>
      <c r="D831" s="63" t="str">
        <f t="shared" si="50"/>
        <v/>
      </c>
      <c r="E831" s="62" t="str">
        <f>IF(D831="","",_xlfn.RANK.EQ(D831,$D$2:$D$1001,0)+COUNTIF($D$2:D831,D831)-1)</f>
        <v/>
      </c>
      <c r="F831" s="62" t="str">
        <f>IF(B831="","",--(COUNTIF(CN_Brands!$A$2:$A$300,UPPER(B831))&gt;0))</f>
        <v/>
      </c>
      <c r="G831" s="62" t="str">
        <f t="shared" si="51"/>
        <v/>
      </c>
      <c r="H831" s="62" t="str">
        <f>IF(AND('Data Export'!A831=前十整体车型排名!$B$2,'Data Export'!B831=前十整体车型排名!$B$3,'Data Export'!D831&lt;&gt;""),UPPER('Data Export'!C831)&amp;"♦"&amp;'Data Export'!D831,"")</f>
        <v>TOYOTA♦ALPHARD</v>
      </c>
      <c r="I831" s="63">
        <f>IF(H831="","",IFERROR(INDEX('Data Export'!G831:CZ831,1,MATCH(前十整体车型排名!$B$4,'Data Export'!$G$1:$CZ$1,0)),0))</f>
        <v>23</v>
      </c>
      <c r="J831" s="62" t="str">
        <f>IF(H831="","",IF(OR('Data Export'!F831="三厢轿车",'Data Export'!F831="掀背轿车",'Data Export'!F831="旅行车",'Data Export'!F831="微型车",'Data Export'!F831="硬顶跑车",'Data Export'!F831="敞蓬车",'Data Export'!F831="Targa"),"轿车",IF(OR('Data Export'!F831="小型MPV",'Data Export'!F831="客车"),"MPV",IF('Data Export'!F831="运动型多功能车","SUV","其他"))))</f>
        <v>其他</v>
      </c>
      <c r="K831" s="62" t="str">
        <f>IF(OR(D831="",NOT(F831=1)),"",1+SUMPRODUCT(($F$2:$F$1001=1)*($D$2:$D$1001&gt;D831))+COUNTIFS($F$2:F831,1,$D$2:D831,D831)-1)</f>
        <v/>
      </c>
      <c r="L831" s="62" t="str">
        <f>IF(OR(D831="",NOT(G831="轿车")),"",1+SUMPRODUCT(($G$2:$G$1001="轿车")*($D$2:$D$1001&gt;D831))+COUNTIFS($G$2:G831,"轿车",$D$2:D831,D831)-1)</f>
        <v/>
      </c>
      <c r="M831" s="62" t="str">
        <f>IF(OR(D831="",NOT(G831="MPV")),"",1+SUMPRODUCT(($G$2:$G$1001="MPV")*($D$2:$D$1001&gt;D831))+COUNTIFS($G$2:G831,"MPV",$D$2:D831,D831)-1)</f>
        <v/>
      </c>
      <c r="N831" s="62" t="str">
        <f>IF(OR(D831="",NOT(G831="SUV")),"",1+SUMPRODUCT(($G$2:$G$1001="SUV")*($D$2:$D$1001&gt;D831))+COUNTIFS($G$2:G831,"SUV",$D$2:D831,D831)-1)</f>
        <v/>
      </c>
      <c r="O831" s="62" t="str">
        <f>IF(OR(D831="",NOT(AND(F831=1,G831="轿车"))),"",1+SUMPRODUCT(($F$2:$F$1001=1)*($G$2:$G$1001="轿车")*($D$2:$D$1001&gt;D831))+COUNTIFS($F$2:F831,1,$G$2:G831,"轿车",$D$2:D831,D831)-1)</f>
        <v/>
      </c>
      <c r="P831" s="62" t="str">
        <f>IF(OR(D831="",NOT(AND(F831=1,G831="MPV"))),"",1+SUMPRODUCT(($F$2:$F$1001=1)*($G$2:$G$1001="MPV")*($D$2:$D$1001&gt;D831))+COUNTIFS($F$2:F831,1,$G$2:G831,"MPV",$D$2:D831,D831)-1)</f>
        <v/>
      </c>
      <c r="Q831" s="62" t="str">
        <f>IF(OR(D831="",NOT(AND(F831=1,G831="SUV"))),"",1+SUMPRODUCT(($F$2:$F$1001=1)*($G$2:$G$1001="SUV")*($D$2:$D$1001&gt;D831))+COUNTIFS($F$2:F831,1,$G$2:G831,"SUV",$D$2:D831,D831)-1)</f>
        <v/>
      </c>
    </row>
    <row r="832" spans="1:17">
      <c r="A832" s="62" t="str">
        <f>IFERROR(INDEX($H$2:$H$3000,MATCH(0,INDEX(COUNTIF($A$1:A831,$H$2:$H$3000)+($H$2:$H$3000=""),0,0),0)),"")</f>
        <v/>
      </c>
      <c r="B832" s="62" t="str">
        <f t="shared" si="48"/>
        <v/>
      </c>
      <c r="C832" s="62" t="str">
        <f t="shared" si="49"/>
        <v/>
      </c>
      <c r="D832" s="63" t="str">
        <f t="shared" si="50"/>
        <v/>
      </c>
      <c r="E832" s="62" t="str">
        <f>IF(D832="","",_xlfn.RANK.EQ(D832,$D$2:$D$1001,0)+COUNTIF($D$2:D832,D832)-1)</f>
        <v/>
      </c>
      <c r="F832" s="62" t="str">
        <f>IF(B832="","",--(COUNTIF(CN_Brands!$A$2:$A$300,UPPER(B832))&gt;0))</f>
        <v/>
      </c>
      <c r="G832" s="62" t="str">
        <f t="shared" si="51"/>
        <v/>
      </c>
      <c r="H832" s="62" t="str">
        <f>IF(AND('Data Export'!A832=前十整体车型排名!$B$2,'Data Export'!B832=前十整体车型排名!$B$3,'Data Export'!D832&lt;&gt;""),UPPER('Data Export'!C832)&amp;"♦"&amp;'Data Export'!D832,"")</f>
        <v>TOYOTA♦BZ4X</v>
      </c>
      <c r="I832" s="63">
        <f>IF(H832="","",IFERROR(INDEX('Data Export'!G832:CZ832,1,MATCH(前十整体车型排名!$B$4,'Data Export'!$G$1:$CZ$1,0)),0))</f>
        <v>86</v>
      </c>
      <c r="J832" s="62" t="str">
        <f>IF(H832="","",IF(OR('Data Export'!F832="三厢轿车",'Data Export'!F832="掀背轿车",'Data Export'!F832="旅行车",'Data Export'!F832="微型车",'Data Export'!F832="硬顶跑车",'Data Export'!F832="敞蓬车",'Data Export'!F832="Targa"),"轿车",IF(OR('Data Export'!F832="小型MPV",'Data Export'!F832="客车"),"MPV",IF('Data Export'!F832="运动型多功能车","SUV","其他"))))</f>
        <v>SUV</v>
      </c>
      <c r="K832" s="62" t="str">
        <f>IF(OR(D832="",NOT(F832=1)),"",1+SUMPRODUCT(($F$2:$F$1001=1)*($D$2:$D$1001&gt;D832))+COUNTIFS($F$2:F832,1,$D$2:D832,D832)-1)</f>
        <v/>
      </c>
      <c r="L832" s="62" t="str">
        <f>IF(OR(D832="",NOT(G832="轿车")),"",1+SUMPRODUCT(($G$2:$G$1001="轿车")*($D$2:$D$1001&gt;D832))+COUNTIFS($G$2:G832,"轿车",$D$2:D832,D832)-1)</f>
        <v/>
      </c>
      <c r="M832" s="62" t="str">
        <f>IF(OR(D832="",NOT(G832="MPV")),"",1+SUMPRODUCT(($G$2:$G$1001="MPV")*($D$2:$D$1001&gt;D832))+COUNTIFS($G$2:G832,"MPV",$D$2:D832,D832)-1)</f>
        <v/>
      </c>
      <c r="N832" s="62" t="str">
        <f>IF(OR(D832="",NOT(G832="SUV")),"",1+SUMPRODUCT(($G$2:$G$1001="SUV")*($D$2:$D$1001&gt;D832))+COUNTIFS($G$2:G832,"SUV",$D$2:D832,D832)-1)</f>
        <v/>
      </c>
      <c r="O832" s="62" t="str">
        <f>IF(OR(D832="",NOT(AND(F832=1,G832="轿车"))),"",1+SUMPRODUCT(($F$2:$F$1001=1)*($G$2:$G$1001="轿车")*($D$2:$D$1001&gt;D832))+COUNTIFS($F$2:F832,1,$G$2:G832,"轿车",$D$2:D832,D832)-1)</f>
        <v/>
      </c>
      <c r="P832" s="62" t="str">
        <f>IF(OR(D832="",NOT(AND(F832=1,G832="MPV"))),"",1+SUMPRODUCT(($F$2:$F$1001=1)*($G$2:$G$1001="MPV")*($D$2:$D$1001&gt;D832))+COUNTIFS($F$2:F832,1,$G$2:G832,"MPV",$D$2:D832,D832)-1)</f>
        <v/>
      </c>
      <c r="Q832" s="62" t="str">
        <f>IF(OR(D832="",NOT(AND(F832=1,G832="SUV"))),"",1+SUMPRODUCT(($F$2:$F$1001=1)*($G$2:$G$1001="SUV")*($D$2:$D$1001&gt;D832))+COUNTIFS($F$2:F832,1,$G$2:G832,"SUV",$D$2:D832,D832)-1)</f>
        <v/>
      </c>
    </row>
    <row r="833" spans="1:17">
      <c r="A833" s="62" t="str">
        <f>IFERROR(INDEX($H$2:$H$3000,MATCH(0,INDEX(COUNTIF($A$1:A832,$H$2:$H$3000)+($H$2:$H$3000=""),0,0),0)),"")</f>
        <v/>
      </c>
      <c r="B833" s="62" t="str">
        <f t="shared" si="48"/>
        <v/>
      </c>
      <c r="C833" s="62" t="str">
        <f t="shared" si="49"/>
        <v/>
      </c>
      <c r="D833" s="63" t="str">
        <f t="shared" si="50"/>
        <v/>
      </c>
      <c r="E833" s="62" t="str">
        <f>IF(D833="","",_xlfn.RANK.EQ(D833,$D$2:$D$1001,0)+COUNTIF($D$2:D833,D833)-1)</f>
        <v/>
      </c>
      <c r="F833" s="62" t="str">
        <f>IF(B833="","",--(COUNTIF(CN_Brands!$A$2:$A$300,UPPER(B833))&gt;0))</f>
        <v/>
      </c>
      <c r="G833" s="62" t="str">
        <f t="shared" si="51"/>
        <v/>
      </c>
      <c r="H833" s="62" t="str">
        <f>IF(AND('Data Export'!A833=前十整体车型排名!$B$2,'Data Export'!B833=前十整体车型排名!$B$3,'Data Export'!D833&lt;&gt;""),UPPER('Data Export'!C833)&amp;"♦"&amp;'Data Export'!D833,"")</f>
        <v>TOYOTA♦CAMRY</v>
      </c>
      <c r="I833" s="63">
        <f>IF(H833="","",IFERROR(INDEX('Data Export'!G833:CZ833,1,MATCH(前十整体车型排名!$B$4,'Data Export'!$G$1:$CZ$1,0)),0))</f>
        <v>412</v>
      </c>
      <c r="J833" s="62" t="str">
        <f>IF(H833="","",IF(OR('Data Export'!F833="三厢轿车",'Data Export'!F833="掀背轿车",'Data Export'!F833="旅行车",'Data Export'!F833="微型车",'Data Export'!F833="硬顶跑车",'Data Export'!F833="敞蓬车",'Data Export'!F833="Targa"),"轿车",IF(OR('Data Export'!F833="小型MPV",'Data Export'!F833="客车"),"MPV",IF('Data Export'!F833="运动型多功能车","SUV","其他"))))</f>
        <v>轿车</v>
      </c>
      <c r="K833" s="62" t="str">
        <f>IF(OR(D833="",NOT(F833=1)),"",1+SUMPRODUCT(($F$2:$F$1001=1)*($D$2:$D$1001&gt;D833))+COUNTIFS($F$2:F833,1,$D$2:D833,D833)-1)</f>
        <v/>
      </c>
      <c r="L833" s="62" t="str">
        <f>IF(OR(D833="",NOT(G833="轿车")),"",1+SUMPRODUCT(($G$2:$G$1001="轿车")*($D$2:$D$1001&gt;D833))+COUNTIFS($G$2:G833,"轿车",$D$2:D833,D833)-1)</f>
        <v/>
      </c>
      <c r="M833" s="62" t="str">
        <f>IF(OR(D833="",NOT(G833="MPV")),"",1+SUMPRODUCT(($G$2:$G$1001="MPV")*($D$2:$D$1001&gt;D833))+COUNTIFS($G$2:G833,"MPV",$D$2:D833,D833)-1)</f>
        <v/>
      </c>
      <c r="N833" s="62" t="str">
        <f>IF(OR(D833="",NOT(G833="SUV")),"",1+SUMPRODUCT(($G$2:$G$1001="SUV")*($D$2:$D$1001&gt;D833))+COUNTIFS($G$2:G833,"SUV",$D$2:D833,D833)-1)</f>
        <v/>
      </c>
      <c r="O833" s="62" t="str">
        <f>IF(OR(D833="",NOT(AND(F833=1,G833="轿车"))),"",1+SUMPRODUCT(($F$2:$F$1001=1)*($G$2:$G$1001="轿车")*($D$2:$D$1001&gt;D833))+COUNTIFS($F$2:F833,1,$G$2:G833,"轿车",$D$2:D833,D833)-1)</f>
        <v/>
      </c>
      <c r="P833" s="62" t="str">
        <f>IF(OR(D833="",NOT(AND(F833=1,G833="MPV"))),"",1+SUMPRODUCT(($F$2:$F$1001=1)*($G$2:$G$1001="MPV")*($D$2:$D$1001&gt;D833))+COUNTIFS($F$2:F833,1,$G$2:G833,"MPV",$D$2:D833,D833)-1)</f>
        <v/>
      </c>
      <c r="Q833" s="62" t="str">
        <f>IF(OR(D833="",NOT(AND(F833=1,G833="SUV"))),"",1+SUMPRODUCT(($F$2:$F$1001=1)*($G$2:$G$1001="SUV")*($D$2:$D$1001&gt;D833))+COUNTIFS($F$2:F833,1,$G$2:G833,"SUV",$D$2:D833,D833)-1)</f>
        <v/>
      </c>
    </row>
    <row r="834" spans="1:17">
      <c r="A834" s="62" t="str">
        <f>IFERROR(INDEX($H$2:$H$3000,MATCH(0,INDEX(COUNTIF($A$1:A833,$H$2:$H$3000)+($H$2:$H$3000=""),0,0),0)),"")</f>
        <v/>
      </c>
      <c r="B834" s="62" t="str">
        <f t="shared" ref="B834:B897" si="52">IF(A834="","",LEFT(A834,FIND("♦",A834)-1))</f>
        <v/>
      </c>
      <c r="C834" s="62" t="str">
        <f t="shared" ref="C834:C897" si="53">IF(A834="","",MID(A834,FIND("♦",A834)+1,999))</f>
        <v/>
      </c>
      <c r="D834" s="63" t="str">
        <f t="shared" ref="D834:D897" si="54">IF(A834="","",SUMIF($H$2:$H$3000,A834,$I$2:$I$3000))</f>
        <v/>
      </c>
      <c r="E834" s="62" t="str">
        <f>IF(D834="","",_xlfn.RANK.EQ(D834,$D$2:$D$1001,0)+COUNTIF($D$2:D834,D834)-1)</f>
        <v/>
      </c>
      <c r="F834" s="62" t="str">
        <f>IF(B834="","",--(COUNTIF(CN_Brands!$A$2:$A$300,UPPER(B834))&gt;0))</f>
        <v/>
      </c>
      <c r="G834" s="62" t="str">
        <f t="shared" ref="G834:G897" si="55">IF(A834="","",IFERROR(INDEX($J$2:$J$3000,MATCH(A834,$H$2:$H$3000,0)),"其他"))</f>
        <v/>
      </c>
      <c r="H834" s="62" t="str">
        <f>IF(AND('Data Export'!A834=前十整体车型排名!$B$2,'Data Export'!B834=前十整体车型排名!$B$3,'Data Export'!D834&lt;&gt;""),UPPER('Data Export'!C834)&amp;"♦"&amp;'Data Export'!D834,"")</f>
        <v>TOYOTA♦C-HR</v>
      </c>
      <c r="I834" s="63">
        <f>IF(H834="","",IFERROR(INDEX('Data Export'!G834:CZ834,1,MATCH(前十整体车型排名!$B$4,'Data Export'!$G$1:$CZ$1,0)),0))</f>
        <v>1</v>
      </c>
      <c r="J834" s="62" t="str">
        <f>IF(H834="","",IF(OR('Data Export'!F834="三厢轿车",'Data Export'!F834="掀背轿车",'Data Export'!F834="旅行车",'Data Export'!F834="微型车",'Data Export'!F834="硬顶跑车",'Data Export'!F834="敞蓬车",'Data Export'!F834="Targa"),"轿车",IF(OR('Data Export'!F834="小型MPV",'Data Export'!F834="客车"),"MPV",IF('Data Export'!F834="运动型多功能车","SUV","其他"))))</f>
        <v>轿车</v>
      </c>
      <c r="K834" s="62" t="str">
        <f>IF(OR(D834="",NOT(F834=1)),"",1+SUMPRODUCT(($F$2:$F$1001=1)*($D$2:$D$1001&gt;D834))+COUNTIFS($F$2:F834,1,$D$2:D834,D834)-1)</f>
        <v/>
      </c>
      <c r="L834" s="62" t="str">
        <f>IF(OR(D834="",NOT(G834="轿车")),"",1+SUMPRODUCT(($G$2:$G$1001="轿车")*($D$2:$D$1001&gt;D834))+COUNTIFS($G$2:G834,"轿车",$D$2:D834,D834)-1)</f>
        <v/>
      </c>
      <c r="M834" s="62" t="str">
        <f>IF(OR(D834="",NOT(G834="MPV")),"",1+SUMPRODUCT(($G$2:$G$1001="MPV")*($D$2:$D$1001&gt;D834))+COUNTIFS($G$2:G834,"MPV",$D$2:D834,D834)-1)</f>
        <v/>
      </c>
      <c r="N834" s="62" t="str">
        <f>IF(OR(D834="",NOT(G834="SUV")),"",1+SUMPRODUCT(($G$2:$G$1001="SUV")*($D$2:$D$1001&gt;D834))+COUNTIFS($G$2:G834,"SUV",$D$2:D834,D834)-1)</f>
        <v/>
      </c>
      <c r="O834" s="62" t="str">
        <f>IF(OR(D834="",NOT(AND(F834=1,G834="轿车"))),"",1+SUMPRODUCT(($F$2:$F$1001=1)*($G$2:$G$1001="轿车")*($D$2:$D$1001&gt;D834))+COUNTIFS($F$2:F834,1,$G$2:G834,"轿车",$D$2:D834,D834)-1)</f>
        <v/>
      </c>
      <c r="P834" s="62" t="str">
        <f>IF(OR(D834="",NOT(AND(F834=1,G834="MPV"))),"",1+SUMPRODUCT(($F$2:$F$1001=1)*($G$2:$G$1001="MPV")*($D$2:$D$1001&gt;D834))+COUNTIFS($F$2:F834,1,$G$2:G834,"MPV",$D$2:D834,D834)-1)</f>
        <v/>
      </c>
      <c r="Q834" s="62" t="str">
        <f>IF(OR(D834="",NOT(AND(F834=1,G834="SUV"))),"",1+SUMPRODUCT(($F$2:$F$1001=1)*($G$2:$G$1001="SUV")*($D$2:$D$1001&gt;D834))+COUNTIFS($F$2:F834,1,$G$2:G834,"SUV",$D$2:D834,D834)-1)</f>
        <v/>
      </c>
    </row>
    <row r="835" spans="1:17">
      <c r="A835" s="62" t="str">
        <f>IFERROR(INDEX($H$2:$H$3000,MATCH(0,INDEX(COUNTIF($A$1:A834,$H$2:$H$3000)+($H$2:$H$3000=""),0,0),0)),"")</f>
        <v/>
      </c>
      <c r="B835" s="62" t="str">
        <f t="shared" si="52"/>
        <v/>
      </c>
      <c r="C835" s="62" t="str">
        <f t="shared" si="53"/>
        <v/>
      </c>
      <c r="D835" s="63" t="str">
        <f t="shared" si="54"/>
        <v/>
      </c>
      <c r="E835" s="62" t="str">
        <f>IF(D835="","",_xlfn.RANK.EQ(D835,$D$2:$D$1001,0)+COUNTIF($D$2:D835,D835)-1)</f>
        <v/>
      </c>
      <c r="F835" s="62" t="str">
        <f>IF(B835="","",--(COUNTIF(CN_Brands!$A$2:$A$300,UPPER(B835))&gt;0))</f>
        <v/>
      </c>
      <c r="G835" s="62" t="str">
        <f t="shared" si="55"/>
        <v/>
      </c>
      <c r="H835" s="62" t="str">
        <f>IF(AND('Data Export'!A835=前十整体车型排名!$B$2,'Data Export'!B835=前十整体车型排名!$B$3,'Data Export'!D835&lt;&gt;""),UPPER('Data Export'!C835)&amp;"♦"&amp;'Data Export'!D835,"")</f>
        <v>TOYOTA♦COROLLA</v>
      </c>
      <c r="I835" s="63">
        <f>IF(H835="","",IFERROR(INDEX('Data Export'!G835:CZ835,1,MATCH(前十整体车型排名!$B$4,'Data Export'!$G$1:$CZ$1,0)),0))</f>
        <v>0</v>
      </c>
      <c r="J835" s="62" t="str">
        <f>IF(H835="","",IF(OR('Data Export'!F835="三厢轿车",'Data Export'!F835="掀背轿车",'Data Export'!F835="旅行车",'Data Export'!F835="微型车",'Data Export'!F835="硬顶跑车",'Data Export'!F835="敞蓬车",'Data Export'!F835="Targa"),"轿车",IF(OR('Data Export'!F835="小型MPV",'Data Export'!F835="客车"),"MPV",IF('Data Export'!F835="运动型多功能车","SUV","其他"))))</f>
        <v>轿车</v>
      </c>
      <c r="K835" s="62" t="str">
        <f>IF(OR(D835="",NOT(F835=1)),"",1+SUMPRODUCT(($F$2:$F$1001=1)*($D$2:$D$1001&gt;D835))+COUNTIFS($F$2:F835,1,$D$2:D835,D835)-1)</f>
        <v/>
      </c>
      <c r="L835" s="62" t="str">
        <f>IF(OR(D835="",NOT(G835="轿车")),"",1+SUMPRODUCT(($G$2:$G$1001="轿车")*($D$2:$D$1001&gt;D835))+COUNTIFS($G$2:G835,"轿车",$D$2:D835,D835)-1)</f>
        <v/>
      </c>
      <c r="M835" s="62" t="str">
        <f>IF(OR(D835="",NOT(G835="MPV")),"",1+SUMPRODUCT(($G$2:$G$1001="MPV")*($D$2:$D$1001&gt;D835))+COUNTIFS($G$2:G835,"MPV",$D$2:D835,D835)-1)</f>
        <v/>
      </c>
      <c r="N835" s="62" t="str">
        <f>IF(OR(D835="",NOT(G835="SUV")),"",1+SUMPRODUCT(($G$2:$G$1001="SUV")*($D$2:$D$1001&gt;D835))+COUNTIFS($G$2:G835,"SUV",$D$2:D835,D835)-1)</f>
        <v/>
      </c>
      <c r="O835" s="62" t="str">
        <f>IF(OR(D835="",NOT(AND(F835=1,G835="轿车"))),"",1+SUMPRODUCT(($F$2:$F$1001=1)*($G$2:$G$1001="轿车")*($D$2:$D$1001&gt;D835))+COUNTIFS($F$2:F835,1,$G$2:G835,"轿车",$D$2:D835,D835)-1)</f>
        <v/>
      </c>
      <c r="P835" s="62" t="str">
        <f>IF(OR(D835="",NOT(AND(F835=1,G835="MPV"))),"",1+SUMPRODUCT(($F$2:$F$1001=1)*($G$2:$G$1001="MPV")*($D$2:$D$1001&gt;D835))+COUNTIFS($F$2:F835,1,$G$2:G835,"MPV",$D$2:D835,D835)-1)</f>
        <v/>
      </c>
      <c r="Q835" s="62" t="str">
        <f>IF(OR(D835="",NOT(AND(F835=1,G835="SUV"))),"",1+SUMPRODUCT(($F$2:$F$1001=1)*($G$2:$G$1001="SUV")*($D$2:$D$1001&gt;D835))+COUNTIFS($F$2:F835,1,$G$2:G835,"SUV",$D$2:D835,D835)-1)</f>
        <v/>
      </c>
    </row>
    <row r="836" spans="1:17">
      <c r="A836" s="62" t="str">
        <f>IFERROR(INDEX($H$2:$H$3000,MATCH(0,INDEX(COUNTIF($A$1:A835,$H$2:$H$3000)+($H$2:$H$3000=""),0,0),0)),"")</f>
        <v/>
      </c>
      <c r="B836" s="62" t="str">
        <f t="shared" si="52"/>
        <v/>
      </c>
      <c r="C836" s="62" t="str">
        <f t="shared" si="53"/>
        <v/>
      </c>
      <c r="D836" s="63" t="str">
        <f t="shared" si="54"/>
        <v/>
      </c>
      <c r="E836" s="62" t="str">
        <f>IF(D836="","",_xlfn.RANK.EQ(D836,$D$2:$D$1001,0)+COUNTIF($D$2:D836,D836)-1)</f>
        <v/>
      </c>
      <c r="F836" s="62" t="str">
        <f>IF(B836="","",--(COUNTIF(CN_Brands!$A$2:$A$300,UPPER(B836))&gt;0))</f>
        <v/>
      </c>
      <c r="G836" s="62" t="str">
        <f t="shared" si="55"/>
        <v/>
      </c>
      <c r="H836" s="62" t="str">
        <f>IF(AND('Data Export'!A836=前十整体车型排名!$B$2,'Data Export'!B836=前十整体车型排名!$B$3,'Data Export'!D836&lt;&gt;""),UPPER('Data Export'!C836)&amp;"♦"&amp;'Data Export'!D836,"")</f>
        <v>TOYOTA♦COROLLA</v>
      </c>
      <c r="I836" s="63">
        <f>IF(H836="","",IFERROR(INDEX('Data Export'!G836:CZ836,1,MATCH(前十整体车型排名!$B$4,'Data Export'!$G$1:$CZ$1,0)),0))</f>
        <v>0</v>
      </c>
      <c r="J836" s="62" t="str">
        <f>IF(H836="","",IF(OR('Data Export'!F836="三厢轿车",'Data Export'!F836="掀背轿车",'Data Export'!F836="旅行车",'Data Export'!F836="微型车",'Data Export'!F836="硬顶跑车",'Data Export'!F836="敞蓬车",'Data Export'!F836="Targa"),"轿车",IF(OR('Data Export'!F836="小型MPV",'Data Export'!F836="客车"),"MPV",IF('Data Export'!F836="运动型多功能车","SUV","其他"))))</f>
        <v>其他</v>
      </c>
      <c r="K836" s="62" t="str">
        <f>IF(OR(D836="",NOT(F836=1)),"",1+SUMPRODUCT(($F$2:$F$1001=1)*($D$2:$D$1001&gt;D836))+COUNTIFS($F$2:F836,1,$D$2:D836,D836)-1)</f>
        <v/>
      </c>
      <c r="L836" s="62" t="str">
        <f>IF(OR(D836="",NOT(G836="轿车")),"",1+SUMPRODUCT(($G$2:$G$1001="轿车")*($D$2:$D$1001&gt;D836))+COUNTIFS($G$2:G836,"轿车",$D$2:D836,D836)-1)</f>
        <v/>
      </c>
      <c r="M836" s="62" t="str">
        <f>IF(OR(D836="",NOT(G836="MPV")),"",1+SUMPRODUCT(($G$2:$G$1001="MPV")*($D$2:$D$1001&gt;D836))+COUNTIFS($G$2:G836,"MPV",$D$2:D836,D836)-1)</f>
        <v/>
      </c>
      <c r="N836" s="62" t="str">
        <f>IF(OR(D836="",NOT(G836="SUV")),"",1+SUMPRODUCT(($G$2:$G$1001="SUV")*($D$2:$D$1001&gt;D836))+COUNTIFS($G$2:G836,"SUV",$D$2:D836,D836)-1)</f>
        <v/>
      </c>
      <c r="O836" s="62" t="str">
        <f>IF(OR(D836="",NOT(AND(F836=1,G836="轿车"))),"",1+SUMPRODUCT(($F$2:$F$1001=1)*($G$2:$G$1001="轿车")*($D$2:$D$1001&gt;D836))+COUNTIFS($F$2:F836,1,$G$2:G836,"轿车",$D$2:D836,D836)-1)</f>
        <v/>
      </c>
      <c r="P836" s="62" t="str">
        <f>IF(OR(D836="",NOT(AND(F836=1,G836="MPV"))),"",1+SUMPRODUCT(($F$2:$F$1001=1)*($G$2:$G$1001="MPV")*($D$2:$D$1001&gt;D836))+COUNTIFS($F$2:F836,1,$G$2:G836,"MPV",$D$2:D836,D836)-1)</f>
        <v/>
      </c>
      <c r="Q836" s="62" t="str">
        <f>IF(OR(D836="",NOT(AND(F836=1,G836="SUV"))),"",1+SUMPRODUCT(($F$2:$F$1001=1)*($G$2:$G$1001="SUV")*($D$2:$D$1001&gt;D836))+COUNTIFS($F$2:F836,1,$G$2:G836,"SUV",$D$2:D836,D836)-1)</f>
        <v/>
      </c>
    </row>
    <row r="837" spans="1:17">
      <c r="A837" s="62" t="str">
        <f>IFERROR(INDEX($H$2:$H$3000,MATCH(0,INDEX(COUNTIF($A$1:A836,$H$2:$H$3000)+($H$2:$H$3000=""),0,0),0)),"")</f>
        <v/>
      </c>
      <c r="B837" s="62" t="str">
        <f t="shared" si="52"/>
        <v/>
      </c>
      <c r="C837" s="62" t="str">
        <f t="shared" si="53"/>
        <v/>
      </c>
      <c r="D837" s="63" t="str">
        <f t="shared" si="54"/>
        <v/>
      </c>
      <c r="E837" s="62" t="str">
        <f>IF(D837="","",_xlfn.RANK.EQ(D837,$D$2:$D$1001,0)+COUNTIF($D$2:D837,D837)-1)</f>
        <v/>
      </c>
      <c r="F837" s="62" t="str">
        <f>IF(B837="","",--(COUNTIF(CN_Brands!$A$2:$A$300,UPPER(B837))&gt;0))</f>
        <v/>
      </c>
      <c r="G837" s="62" t="str">
        <f t="shared" si="55"/>
        <v/>
      </c>
      <c r="H837" s="62" t="str">
        <f>IF(AND('Data Export'!A837=前十整体车型排名!$B$2,'Data Export'!B837=前十整体车型排名!$B$3,'Data Export'!D837&lt;&gt;""),UPPER('Data Export'!C837)&amp;"♦"&amp;'Data Export'!D837,"")</f>
        <v>TOYOTA♦COROLLA</v>
      </c>
      <c r="I837" s="63">
        <f>IF(H837="","",IFERROR(INDEX('Data Export'!G837:CZ837,1,MATCH(前十整体车型排名!$B$4,'Data Export'!$G$1:$CZ$1,0)),0))</f>
        <v>0</v>
      </c>
      <c r="J837" s="62" t="str">
        <f>IF(H837="","",IF(OR('Data Export'!F837="三厢轿车",'Data Export'!F837="掀背轿车",'Data Export'!F837="旅行车",'Data Export'!F837="微型车",'Data Export'!F837="硬顶跑车",'Data Export'!F837="敞蓬车",'Data Export'!F837="Targa"),"轿车",IF(OR('Data Export'!F837="小型MPV",'Data Export'!F837="客车"),"MPV",IF('Data Export'!F837="运动型多功能车","SUV","其他"))))</f>
        <v>其他</v>
      </c>
      <c r="K837" s="62" t="str">
        <f>IF(OR(D837="",NOT(F837=1)),"",1+SUMPRODUCT(($F$2:$F$1001=1)*($D$2:$D$1001&gt;D837))+COUNTIFS($F$2:F837,1,$D$2:D837,D837)-1)</f>
        <v/>
      </c>
      <c r="L837" s="62" t="str">
        <f>IF(OR(D837="",NOT(G837="轿车")),"",1+SUMPRODUCT(($G$2:$G$1001="轿车")*($D$2:$D$1001&gt;D837))+COUNTIFS($G$2:G837,"轿车",$D$2:D837,D837)-1)</f>
        <v/>
      </c>
      <c r="M837" s="62" t="str">
        <f>IF(OR(D837="",NOT(G837="MPV")),"",1+SUMPRODUCT(($G$2:$G$1001="MPV")*($D$2:$D$1001&gt;D837))+COUNTIFS($G$2:G837,"MPV",$D$2:D837,D837)-1)</f>
        <v/>
      </c>
      <c r="N837" s="62" t="str">
        <f>IF(OR(D837="",NOT(G837="SUV")),"",1+SUMPRODUCT(($G$2:$G$1001="SUV")*($D$2:$D$1001&gt;D837))+COUNTIFS($G$2:G837,"SUV",$D$2:D837,D837)-1)</f>
        <v/>
      </c>
      <c r="O837" s="62" t="str">
        <f>IF(OR(D837="",NOT(AND(F837=1,G837="轿车"))),"",1+SUMPRODUCT(($F$2:$F$1001=1)*($G$2:$G$1001="轿车")*($D$2:$D$1001&gt;D837))+COUNTIFS($F$2:F837,1,$G$2:G837,"轿车",$D$2:D837,D837)-1)</f>
        <v/>
      </c>
      <c r="P837" s="62" t="str">
        <f>IF(OR(D837="",NOT(AND(F837=1,G837="MPV"))),"",1+SUMPRODUCT(($F$2:$F$1001=1)*($G$2:$G$1001="MPV")*($D$2:$D$1001&gt;D837))+COUNTIFS($F$2:F837,1,$G$2:G837,"MPV",$D$2:D837,D837)-1)</f>
        <v/>
      </c>
      <c r="Q837" s="62" t="str">
        <f>IF(OR(D837="",NOT(AND(F837=1,G837="SUV"))),"",1+SUMPRODUCT(($F$2:$F$1001=1)*($G$2:$G$1001="SUV")*($D$2:$D$1001&gt;D837))+COUNTIFS($F$2:F837,1,$G$2:G837,"SUV",$D$2:D837,D837)-1)</f>
        <v/>
      </c>
    </row>
    <row r="838" spans="1:17">
      <c r="A838" s="62" t="str">
        <f>IFERROR(INDEX($H$2:$H$3000,MATCH(0,INDEX(COUNTIF($A$1:A837,$H$2:$H$3000)+($H$2:$H$3000=""),0,0),0)),"")</f>
        <v/>
      </c>
      <c r="B838" s="62" t="str">
        <f t="shared" si="52"/>
        <v/>
      </c>
      <c r="C838" s="62" t="str">
        <f t="shared" si="53"/>
        <v/>
      </c>
      <c r="D838" s="63" t="str">
        <f t="shared" si="54"/>
        <v/>
      </c>
      <c r="E838" s="62" t="str">
        <f>IF(D838="","",_xlfn.RANK.EQ(D838,$D$2:$D$1001,0)+COUNTIF($D$2:D838,D838)-1)</f>
        <v/>
      </c>
      <c r="F838" s="62" t="str">
        <f>IF(B838="","",--(COUNTIF(CN_Brands!$A$2:$A$300,UPPER(B838))&gt;0))</f>
        <v/>
      </c>
      <c r="G838" s="62" t="str">
        <f t="shared" si="55"/>
        <v/>
      </c>
      <c r="H838" s="62" t="str">
        <f>IF(AND('Data Export'!A838=前十整体车型排名!$B$2,'Data Export'!B838=前十整体车型排名!$B$3,'Data Export'!D838&lt;&gt;""),UPPER('Data Export'!C838)&amp;"♦"&amp;'Data Export'!D838,"")</f>
        <v>TOYOTA♦COROLLA ALTIS</v>
      </c>
      <c r="I838" s="63">
        <f>IF(H838="","",IFERROR(INDEX('Data Export'!G838:CZ838,1,MATCH(前十整体车型排名!$B$4,'Data Export'!$G$1:$CZ$1,0)),0))</f>
        <v>140</v>
      </c>
      <c r="J838" s="62" t="str">
        <f>IF(H838="","",IF(OR('Data Export'!F838="三厢轿车",'Data Export'!F838="掀背轿车",'Data Export'!F838="旅行车",'Data Export'!F838="微型车",'Data Export'!F838="硬顶跑车",'Data Export'!F838="敞蓬车",'Data Export'!F838="Targa"),"轿车",IF(OR('Data Export'!F838="小型MPV",'Data Export'!F838="客车"),"MPV",IF('Data Export'!F838="运动型多功能车","SUV","其他"))))</f>
        <v>轿车</v>
      </c>
      <c r="K838" s="62" t="str">
        <f>IF(OR(D838="",NOT(F838=1)),"",1+SUMPRODUCT(($F$2:$F$1001=1)*($D$2:$D$1001&gt;D838))+COUNTIFS($F$2:F838,1,$D$2:D838,D838)-1)</f>
        <v/>
      </c>
      <c r="L838" s="62" t="str">
        <f>IF(OR(D838="",NOT(G838="轿车")),"",1+SUMPRODUCT(($G$2:$G$1001="轿车")*($D$2:$D$1001&gt;D838))+COUNTIFS($G$2:G838,"轿车",$D$2:D838,D838)-1)</f>
        <v/>
      </c>
      <c r="M838" s="62" t="str">
        <f>IF(OR(D838="",NOT(G838="MPV")),"",1+SUMPRODUCT(($G$2:$G$1001="MPV")*($D$2:$D$1001&gt;D838))+COUNTIFS($G$2:G838,"MPV",$D$2:D838,D838)-1)</f>
        <v/>
      </c>
      <c r="N838" s="62" t="str">
        <f>IF(OR(D838="",NOT(G838="SUV")),"",1+SUMPRODUCT(($G$2:$G$1001="SUV")*($D$2:$D$1001&gt;D838))+COUNTIFS($G$2:G838,"SUV",$D$2:D838,D838)-1)</f>
        <v/>
      </c>
      <c r="O838" s="62" t="str">
        <f>IF(OR(D838="",NOT(AND(F838=1,G838="轿车"))),"",1+SUMPRODUCT(($F$2:$F$1001=1)*($G$2:$G$1001="轿车")*($D$2:$D$1001&gt;D838))+COUNTIFS($F$2:F838,1,$G$2:G838,"轿车",$D$2:D838,D838)-1)</f>
        <v/>
      </c>
      <c r="P838" s="62" t="str">
        <f>IF(OR(D838="",NOT(AND(F838=1,G838="MPV"))),"",1+SUMPRODUCT(($F$2:$F$1001=1)*($G$2:$G$1001="MPV")*($D$2:$D$1001&gt;D838))+COUNTIFS($F$2:F838,1,$G$2:G838,"MPV",$D$2:D838,D838)-1)</f>
        <v/>
      </c>
      <c r="Q838" s="62" t="str">
        <f>IF(OR(D838="",NOT(AND(F838=1,G838="SUV"))),"",1+SUMPRODUCT(($F$2:$F$1001=1)*($G$2:$G$1001="SUV")*($D$2:$D$1001&gt;D838))+COUNTIFS($F$2:F838,1,$G$2:G838,"SUV",$D$2:D838,D838)-1)</f>
        <v/>
      </c>
    </row>
    <row r="839" spans="1:17">
      <c r="A839" s="62" t="str">
        <f>IFERROR(INDEX($H$2:$H$3000,MATCH(0,INDEX(COUNTIF($A$1:A838,$H$2:$H$3000)+($H$2:$H$3000=""),0,0),0)),"")</f>
        <v/>
      </c>
      <c r="B839" s="62" t="str">
        <f t="shared" si="52"/>
        <v/>
      </c>
      <c r="C839" s="62" t="str">
        <f t="shared" si="53"/>
        <v/>
      </c>
      <c r="D839" s="63" t="str">
        <f t="shared" si="54"/>
        <v/>
      </c>
      <c r="E839" s="62" t="str">
        <f>IF(D839="","",_xlfn.RANK.EQ(D839,$D$2:$D$1001,0)+COUNTIF($D$2:D839,D839)-1)</f>
        <v/>
      </c>
      <c r="F839" s="62" t="str">
        <f>IF(B839="","",--(COUNTIF(CN_Brands!$A$2:$A$300,UPPER(B839))&gt;0))</f>
        <v/>
      </c>
      <c r="G839" s="62" t="str">
        <f t="shared" si="55"/>
        <v/>
      </c>
      <c r="H839" s="62" t="str">
        <f>IF(AND('Data Export'!A839=前十整体车型排名!$B$2,'Data Export'!B839=前十整体车型排名!$B$3,'Data Export'!D839&lt;&gt;""),UPPER('Data Export'!C839)&amp;"♦"&amp;'Data Export'!D839,"")</f>
        <v>TOYOTA♦COROLLA CROSS</v>
      </c>
      <c r="I839" s="63">
        <f>IF(H839="","",IFERROR(INDEX('Data Export'!G839:CZ839,1,MATCH(前十整体车型排名!$B$4,'Data Export'!$G$1:$CZ$1,0)),0))</f>
        <v>1418</v>
      </c>
      <c r="J839" s="62" t="str">
        <f>IF(H839="","",IF(OR('Data Export'!F839="三厢轿车",'Data Export'!F839="掀背轿车",'Data Export'!F839="旅行车",'Data Export'!F839="微型车",'Data Export'!F839="硬顶跑车",'Data Export'!F839="敞蓬车",'Data Export'!F839="Targa"),"轿车",IF(OR('Data Export'!F839="小型MPV",'Data Export'!F839="客车"),"MPV",IF('Data Export'!F839="运动型多功能车","SUV","其他"))))</f>
        <v>SUV</v>
      </c>
      <c r="K839" s="62" t="str">
        <f>IF(OR(D839="",NOT(F839=1)),"",1+SUMPRODUCT(($F$2:$F$1001=1)*($D$2:$D$1001&gt;D839))+COUNTIFS($F$2:F839,1,$D$2:D839,D839)-1)</f>
        <v/>
      </c>
      <c r="L839" s="62" t="str">
        <f>IF(OR(D839="",NOT(G839="轿车")),"",1+SUMPRODUCT(($G$2:$G$1001="轿车")*($D$2:$D$1001&gt;D839))+COUNTIFS($G$2:G839,"轿车",$D$2:D839,D839)-1)</f>
        <v/>
      </c>
      <c r="M839" s="62" t="str">
        <f>IF(OR(D839="",NOT(G839="MPV")),"",1+SUMPRODUCT(($G$2:$G$1001="MPV")*($D$2:$D$1001&gt;D839))+COUNTIFS($G$2:G839,"MPV",$D$2:D839,D839)-1)</f>
        <v/>
      </c>
      <c r="N839" s="62" t="str">
        <f>IF(OR(D839="",NOT(G839="SUV")),"",1+SUMPRODUCT(($G$2:$G$1001="SUV")*($D$2:$D$1001&gt;D839))+COUNTIFS($G$2:G839,"SUV",$D$2:D839,D839)-1)</f>
        <v/>
      </c>
      <c r="O839" s="62" t="str">
        <f>IF(OR(D839="",NOT(AND(F839=1,G839="轿车"))),"",1+SUMPRODUCT(($F$2:$F$1001=1)*($G$2:$G$1001="轿车")*($D$2:$D$1001&gt;D839))+COUNTIFS($F$2:F839,1,$G$2:G839,"轿车",$D$2:D839,D839)-1)</f>
        <v/>
      </c>
      <c r="P839" s="62" t="str">
        <f>IF(OR(D839="",NOT(AND(F839=1,G839="MPV"))),"",1+SUMPRODUCT(($F$2:$F$1001=1)*($G$2:$G$1001="MPV")*($D$2:$D$1001&gt;D839))+COUNTIFS($F$2:F839,1,$G$2:G839,"MPV",$D$2:D839,D839)-1)</f>
        <v/>
      </c>
      <c r="Q839" s="62" t="str">
        <f>IF(OR(D839="",NOT(AND(F839=1,G839="SUV"))),"",1+SUMPRODUCT(($F$2:$F$1001=1)*($G$2:$G$1001="SUV")*($D$2:$D$1001&gt;D839))+COUNTIFS($F$2:F839,1,$G$2:G839,"SUV",$D$2:D839,D839)-1)</f>
        <v/>
      </c>
    </row>
    <row r="840" spans="1:17">
      <c r="A840" s="62" t="str">
        <f>IFERROR(INDEX($H$2:$H$3000,MATCH(0,INDEX(COUNTIF($A$1:A839,$H$2:$H$3000)+($H$2:$H$3000=""),0,0),0)),"")</f>
        <v/>
      </c>
      <c r="B840" s="62" t="str">
        <f t="shared" si="52"/>
        <v/>
      </c>
      <c r="C840" s="62" t="str">
        <f t="shared" si="53"/>
        <v/>
      </c>
      <c r="D840" s="63" t="str">
        <f t="shared" si="54"/>
        <v/>
      </c>
      <c r="E840" s="62" t="str">
        <f>IF(D840="","",_xlfn.RANK.EQ(D840,$D$2:$D$1001,0)+COUNTIF($D$2:D840,D840)-1)</f>
        <v/>
      </c>
      <c r="F840" s="62" t="str">
        <f>IF(B840="","",--(COUNTIF(CN_Brands!$A$2:$A$300,UPPER(B840))&gt;0))</f>
        <v/>
      </c>
      <c r="G840" s="62" t="str">
        <f t="shared" si="55"/>
        <v/>
      </c>
      <c r="H840" s="62" t="str">
        <f>IF(AND('Data Export'!A840=前十整体车型排名!$B$2,'Data Export'!B840=前十整体车型排名!$B$3,'Data Export'!D840&lt;&gt;""),UPPER('Data Export'!C840)&amp;"♦"&amp;'Data Export'!D840,"")</f>
        <v>TOYOTA♦CROWN</v>
      </c>
      <c r="I840" s="63">
        <f>IF(H840="","",IFERROR(INDEX('Data Export'!G840:CZ840,1,MATCH(前十整体车型排名!$B$4,'Data Export'!$G$1:$CZ$1,0)),0))</f>
        <v>0</v>
      </c>
      <c r="J840" s="62" t="str">
        <f>IF(H840="","",IF(OR('Data Export'!F840="三厢轿车",'Data Export'!F840="掀背轿车",'Data Export'!F840="旅行车",'Data Export'!F840="微型车",'Data Export'!F840="硬顶跑车",'Data Export'!F840="敞蓬车",'Data Export'!F840="Targa"),"轿车",IF(OR('Data Export'!F840="小型MPV",'Data Export'!F840="客车"),"MPV",IF('Data Export'!F840="运动型多功能车","SUV","其他"))))</f>
        <v>轿车</v>
      </c>
      <c r="K840" s="62" t="str">
        <f>IF(OR(D840="",NOT(F840=1)),"",1+SUMPRODUCT(($F$2:$F$1001=1)*($D$2:$D$1001&gt;D840))+COUNTIFS($F$2:F840,1,$D$2:D840,D840)-1)</f>
        <v/>
      </c>
      <c r="L840" s="62" t="str">
        <f>IF(OR(D840="",NOT(G840="轿车")),"",1+SUMPRODUCT(($G$2:$G$1001="轿车")*($D$2:$D$1001&gt;D840))+COUNTIFS($G$2:G840,"轿车",$D$2:D840,D840)-1)</f>
        <v/>
      </c>
      <c r="M840" s="62" t="str">
        <f>IF(OR(D840="",NOT(G840="MPV")),"",1+SUMPRODUCT(($G$2:$G$1001="MPV")*($D$2:$D$1001&gt;D840))+COUNTIFS($G$2:G840,"MPV",$D$2:D840,D840)-1)</f>
        <v/>
      </c>
      <c r="N840" s="62" t="str">
        <f>IF(OR(D840="",NOT(G840="SUV")),"",1+SUMPRODUCT(($G$2:$G$1001="SUV")*($D$2:$D$1001&gt;D840))+COUNTIFS($G$2:G840,"SUV",$D$2:D840,D840)-1)</f>
        <v/>
      </c>
      <c r="O840" s="62" t="str">
        <f>IF(OR(D840="",NOT(AND(F840=1,G840="轿车"))),"",1+SUMPRODUCT(($F$2:$F$1001=1)*($G$2:$G$1001="轿车")*($D$2:$D$1001&gt;D840))+COUNTIFS($F$2:F840,1,$G$2:G840,"轿车",$D$2:D840,D840)-1)</f>
        <v/>
      </c>
      <c r="P840" s="62" t="str">
        <f>IF(OR(D840="",NOT(AND(F840=1,G840="MPV"))),"",1+SUMPRODUCT(($F$2:$F$1001=1)*($G$2:$G$1001="MPV")*($D$2:$D$1001&gt;D840))+COUNTIFS($F$2:F840,1,$G$2:G840,"MPV",$D$2:D840,D840)-1)</f>
        <v/>
      </c>
      <c r="Q840" s="62" t="str">
        <f>IF(OR(D840="",NOT(AND(F840=1,G840="SUV"))),"",1+SUMPRODUCT(($F$2:$F$1001=1)*($G$2:$G$1001="SUV")*($D$2:$D$1001&gt;D840))+COUNTIFS($F$2:F840,1,$G$2:G840,"SUV",$D$2:D840,D840)-1)</f>
        <v/>
      </c>
    </row>
    <row r="841" spans="1:17">
      <c r="A841" s="62" t="str">
        <f>IFERROR(INDEX($H$2:$H$3000,MATCH(0,INDEX(COUNTIF($A$1:A840,$H$2:$H$3000)+($H$2:$H$3000=""),0,0),0)),"")</f>
        <v/>
      </c>
      <c r="B841" s="62" t="str">
        <f t="shared" si="52"/>
        <v/>
      </c>
      <c r="C841" s="62" t="str">
        <f t="shared" si="53"/>
        <v/>
      </c>
      <c r="D841" s="63" t="str">
        <f t="shared" si="54"/>
        <v/>
      </c>
      <c r="E841" s="62" t="str">
        <f>IF(D841="","",_xlfn.RANK.EQ(D841,$D$2:$D$1001,0)+COUNTIF($D$2:D841,D841)-1)</f>
        <v/>
      </c>
      <c r="F841" s="62" t="str">
        <f>IF(B841="","",--(COUNTIF(CN_Brands!$A$2:$A$300,UPPER(B841))&gt;0))</f>
        <v/>
      </c>
      <c r="G841" s="62" t="str">
        <f t="shared" si="55"/>
        <v/>
      </c>
      <c r="H841" s="62" t="str">
        <f>IF(AND('Data Export'!A841=前十整体车型排名!$B$2,'Data Export'!B841=前十整体车型排名!$B$3,'Data Export'!D841&lt;&gt;""),UPPER('Data Export'!C841)&amp;"♦"&amp;'Data Export'!D841,"")</f>
        <v>TOYOTA♦CROWN</v>
      </c>
      <c r="I841" s="63">
        <f>IF(H841="","",IFERROR(INDEX('Data Export'!G841:CZ841,1,MATCH(前十整体车型排名!$B$4,'Data Export'!$G$1:$CZ$1,0)),0))</f>
        <v>0</v>
      </c>
      <c r="J841" s="62" t="str">
        <f>IF(H841="","",IF(OR('Data Export'!F841="三厢轿车",'Data Export'!F841="掀背轿车",'Data Export'!F841="旅行车",'Data Export'!F841="微型车",'Data Export'!F841="硬顶跑车",'Data Export'!F841="敞蓬车",'Data Export'!F841="Targa"),"轿车",IF(OR('Data Export'!F841="小型MPV",'Data Export'!F841="客车"),"MPV",IF('Data Export'!F841="运动型多功能车","SUV","其他"))))</f>
        <v>轿车</v>
      </c>
      <c r="K841" s="62" t="str">
        <f>IF(OR(D841="",NOT(F841=1)),"",1+SUMPRODUCT(($F$2:$F$1001=1)*($D$2:$D$1001&gt;D841))+COUNTIFS($F$2:F841,1,$D$2:D841,D841)-1)</f>
        <v/>
      </c>
      <c r="L841" s="62" t="str">
        <f>IF(OR(D841="",NOT(G841="轿车")),"",1+SUMPRODUCT(($G$2:$G$1001="轿车")*($D$2:$D$1001&gt;D841))+COUNTIFS($G$2:G841,"轿车",$D$2:D841,D841)-1)</f>
        <v/>
      </c>
      <c r="M841" s="62" t="str">
        <f>IF(OR(D841="",NOT(G841="MPV")),"",1+SUMPRODUCT(($G$2:$G$1001="MPV")*($D$2:$D$1001&gt;D841))+COUNTIFS($G$2:G841,"MPV",$D$2:D841,D841)-1)</f>
        <v/>
      </c>
      <c r="N841" s="62" t="str">
        <f>IF(OR(D841="",NOT(G841="SUV")),"",1+SUMPRODUCT(($G$2:$G$1001="SUV")*($D$2:$D$1001&gt;D841))+COUNTIFS($G$2:G841,"SUV",$D$2:D841,D841)-1)</f>
        <v/>
      </c>
      <c r="O841" s="62" t="str">
        <f>IF(OR(D841="",NOT(AND(F841=1,G841="轿车"))),"",1+SUMPRODUCT(($F$2:$F$1001=1)*($G$2:$G$1001="轿车")*($D$2:$D$1001&gt;D841))+COUNTIFS($F$2:F841,1,$G$2:G841,"轿车",$D$2:D841,D841)-1)</f>
        <v/>
      </c>
      <c r="P841" s="62" t="str">
        <f>IF(OR(D841="",NOT(AND(F841=1,G841="MPV"))),"",1+SUMPRODUCT(($F$2:$F$1001=1)*($G$2:$G$1001="MPV")*($D$2:$D$1001&gt;D841))+COUNTIFS($F$2:F841,1,$G$2:G841,"MPV",$D$2:D841,D841)-1)</f>
        <v/>
      </c>
      <c r="Q841" s="62" t="str">
        <f>IF(OR(D841="",NOT(AND(F841=1,G841="SUV"))),"",1+SUMPRODUCT(($F$2:$F$1001=1)*($G$2:$G$1001="SUV")*($D$2:$D$1001&gt;D841))+COUNTIFS($F$2:F841,1,$G$2:G841,"SUV",$D$2:D841,D841)-1)</f>
        <v/>
      </c>
    </row>
    <row r="842" spans="1:17">
      <c r="A842" s="62" t="str">
        <f>IFERROR(INDEX($H$2:$H$3000,MATCH(0,INDEX(COUNTIF($A$1:A841,$H$2:$H$3000)+($H$2:$H$3000=""),0,0),0)),"")</f>
        <v/>
      </c>
      <c r="B842" s="62" t="str">
        <f t="shared" si="52"/>
        <v/>
      </c>
      <c r="C842" s="62" t="str">
        <f t="shared" si="53"/>
        <v/>
      </c>
      <c r="D842" s="63" t="str">
        <f t="shared" si="54"/>
        <v/>
      </c>
      <c r="E842" s="62" t="str">
        <f>IF(D842="","",_xlfn.RANK.EQ(D842,$D$2:$D$1001,0)+COUNTIF($D$2:D842,D842)-1)</f>
        <v/>
      </c>
      <c r="F842" s="62" t="str">
        <f>IF(B842="","",--(COUNTIF(CN_Brands!$A$2:$A$300,UPPER(B842))&gt;0))</f>
        <v/>
      </c>
      <c r="G842" s="62" t="str">
        <f t="shared" si="55"/>
        <v/>
      </c>
      <c r="H842" s="62" t="str">
        <f>IF(AND('Data Export'!A842=前十整体车型排名!$B$2,'Data Export'!B842=前十整体车型排名!$B$3,'Data Export'!D842&lt;&gt;""),UPPER('Data Export'!C842)&amp;"♦"&amp;'Data Export'!D842,"")</f>
        <v>TOYOTA♦CROWN</v>
      </c>
      <c r="I842" s="63">
        <f>IF(H842="","",IFERROR(INDEX('Data Export'!G842:CZ842,1,MATCH(前十整体车型排名!$B$4,'Data Export'!$G$1:$CZ$1,0)),0))</f>
        <v>0</v>
      </c>
      <c r="J842" s="62" t="str">
        <f>IF(H842="","",IF(OR('Data Export'!F842="三厢轿车",'Data Export'!F842="掀背轿车",'Data Export'!F842="旅行车",'Data Export'!F842="微型车",'Data Export'!F842="硬顶跑车",'Data Export'!F842="敞蓬车",'Data Export'!F842="Targa"),"轿车",IF(OR('Data Export'!F842="小型MPV",'Data Export'!F842="客车"),"MPV",IF('Data Export'!F842="运动型多功能车","SUV","其他"))))</f>
        <v>轿车</v>
      </c>
      <c r="K842" s="62" t="str">
        <f>IF(OR(D842="",NOT(F842=1)),"",1+SUMPRODUCT(($F$2:$F$1001=1)*($D$2:$D$1001&gt;D842))+COUNTIFS($F$2:F842,1,$D$2:D842,D842)-1)</f>
        <v/>
      </c>
      <c r="L842" s="62" t="str">
        <f>IF(OR(D842="",NOT(G842="轿车")),"",1+SUMPRODUCT(($G$2:$G$1001="轿车")*($D$2:$D$1001&gt;D842))+COUNTIFS($G$2:G842,"轿车",$D$2:D842,D842)-1)</f>
        <v/>
      </c>
      <c r="M842" s="62" t="str">
        <f>IF(OR(D842="",NOT(G842="MPV")),"",1+SUMPRODUCT(($G$2:$G$1001="MPV")*($D$2:$D$1001&gt;D842))+COUNTIFS($G$2:G842,"MPV",$D$2:D842,D842)-1)</f>
        <v/>
      </c>
      <c r="N842" s="62" t="str">
        <f>IF(OR(D842="",NOT(G842="SUV")),"",1+SUMPRODUCT(($G$2:$G$1001="SUV")*($D$2:$D$1001&gt;D842))+COUNTIFS($G$2:G842,"SUV",$D$2:D842,D842)-1)</f>
        <v/>
      </c>
      <c r="O842" s="62" t="str">
        <f>IF(OR(D842="",NOT(AND(F842=1,G842="轿车"))),"",1+SUMPRODUCT(($F$2:$F$1001=1)*($G$2:$G$1001="轿车")*($D$2:$D$1001&gt;D842))+COUNTIFS($F$2:F842,1,$G$2:G842,"轿车",$D$2:D842,D842)-1)</f>
        <v/>
      </c>
      <c r="P842" s="62" t="str">
        <f>IF(OR(D842="",NOT(AND(F842=1,G842="MPV"))),"",1+SUMPRODUCT(($F$2:$F$1001=1)*($G$2:$G$1001="MPV")*($D$2:$D$1001&gt;D842))+COUNTIFS($F$2:F842,1,$G$2:G842,"MPV",$D$2:D842,D842)-1)</f>
        <v/>
      </c>
      <c r="Q842" s="62" t="str">
        <f>IF(OR(D842="",NOT(AND(F842=1,G842="SUV"))),"",1+SUMPRODUCT(($F$2:$F$1001=1)*($G$2:$G$1001="SUV")*($D$2:$D$1001&gt;D842))+COUNTIFS($F$2:F842,1,$G$2:G842,"SUV",$D$2:D842,D842)-1)</f>
        <v/>
      </c>
    </row>
    <row r="843" spans="1:17">
      <c r="A843" s="62" t="str">
        <f>IFERROR(INDEX($H$2:$H$3000,MATCH(0,INDEX(COUNTIF($A$1:A842,$H$2:$H$3000)+($H$2:$H$3000=""),0,0),0)),"")</f>
        <v/>
      </c>
      <c r="B843" s="62" t="str">
        <f t="shared" si="52"/>
        <v/>
      </c>
      <c r="C843" s="62" t="str">
        <f t="shared" si="53"/>
        <v/>
      </c>
      <c r="D843" s="63" t="str">
        <f t="shared" si="54"/>
        <v/>
      </c>
      <c r="E843" s="62" t="str">
        <f>IF(D843="","",_xlfn.RANK.EQ(D843,$D$2:$D$1001,0)+COUNTIF($D$2:D843,D843)-1)</f>
        <v/>
      </c>
      <c r="F843" s="62" t="str">
        <f>IF(B843="","",--(COUNTIF(CN_Brands!$A$2:$A$300,UPPER(B843))&gt;0))</f>
        <v/>
      </c>
      <c r="G843" s="62" t="str">
        <f t="shared" si="55"/>
        <v/>
      </c>
      <c r="H843" s="62" t="str">
        <f>IF(AND('Data Export'!A843=前十整体车型排名!$B$2,'Data Export'!B843=前十整体车型排名!$B$3,'Data Export'!D843&lt;&gt;""),UPPER('Data Export'!C843)&amp;"♦"&amp;'Data Export'!D843,"")</f>
        <v>TOYOTA♦CROWN</v>
      </c>
      <c r="I843" s="63">
        <f>IF(H843="","",IFERROR(INDEX('Data Export'!G843:CZ843,1,MATCH(前十整体车型排名!$B$4,'Data Export'!$G$1:$CZ$1,0)),0))</f>
        <v>2</v>
      </c>
      <c r="J843" s="62" t="str">
        <f>IF(H843="","",IF(OR('Data Export'!F843="三厢轿车",'Data Export'!F843="掀背轿车",'Data Export'!F843="旅行车",'Data Export'!F843="微型车",'Data Export'!F843="硬顶跑车",'Data Export'!F843="敞蓬车",'Data Export'!F843="Targa"),"轿车",IF(OR('Data Export'!F843="小型MPV",'Data Export'!F843="客车"),"MPV",IF('Data Export'!F843="运动型多功能车","SUV","其他"))))</f>
        <v>轿车</v>
      </c>
      <c r="K843" s="62" t="str">
        <f>IF(OR(D843="",NOT(F843=1)),"",1+SUMPRODUCT(($F$2:$F$1001=1)*($D$2:$D$1001&gt;D843))+COUNTIFS($F$2:F843,1,$D$2:D843,D843)-1)</f>
        <v/>
      </c>
      <c r="L843" s="62" t="str">
        <f>IF(OR(D843="",NOT(G843="轿车")),"",1+SUMPRODUCT(($G$2:$G$1001="轿车")*($D$2:$D$1001&gt;D843))+COUNTIFS($G$2:G843,"轿车",$D$2:D843,D843)-1)</f>
        <v/>
      </c>
      <c r="M843" s="62" t="str">
        <f>IF(OR(D843="",NOT(G843="MPV")),"",1+SUMPRODUCT(($G$2:$G$1001="MPV")*($D$2:$D$1001&gt;D843))+COUNTIFS($G$2:G843,"MPV",$D$2:D843,D843)-1)</f>
        <v/>
      </c>
      <c r="N843" s="62" t="str">
        <f>IF(OR(D843="",NOT(G843="SUV")),"",1+SUMPRODUCT(($G$2:$G$1001="SUV")*($D$2:$D$1001&gt;D843))+COUNTIFS($G$2:G843,"SUV",$D$2:D843,D843)-1)</f>
        <v/>
      </c>
      <c r="O843" s="62" t="str">
        <f>IF(OR(D843="",NOT(AND(F843=1,G843="轿车"))),"",1+SUMPRODUCT(($F$2:$F$1001=1)*($G$2:$G$1001="轿车")*($D$2:$D$1001&gt;D843))+COUNTIFS($F$2:F843,1,$G$2:G843,"轿车",$D$2:D843,D843)-1)</f>
        <v/>
      </c>
      <c r="P843" s="62" t="str">
        <f>IF(OR(D843="",NOT(AND(F843=1,G843="MPV"))),"",1+SUMPRODUCT(($F$2:$F$1001=1)*($G$2:$G$1001="MPV")*($D$2:$D$1001&gt;D843))+COUNTIFS($F$2:F843,1,$G$2:G843,"MPV",$D$2:D843,D843)-1)</f>
        <v/>
      </c>
      <c r="Q843" s="62" t="str">
        <f>IF(OR(D843="",NOT(AND(F843=1,G843="SUV"))),"",1+SUMPRODUCT(($F$2:$F$1001=1)*($G$2:$G$1001="SUV")*($D$2:$D$1001&gt;D843))+COUNTIFS($F$2:F843,1,$G$2:G843,"SUV",$D$2:D843,D843)-1)</f>
        <v/>
      </c>
    </row>
    <row r="844" spans="1:17">
      <c r="A844" s="62" t="str">
        <f>IFERROR(INDEX($H$2:$H$3000,MATCH(0,INDEX(COUNTIF($A$1:A843,$H$2:$H$3000)+($H$2:$H$3000=""),0,0),0)),"")</f>
        <v/>
      </c>
      <c r="B844" s="62" t="str">
        <f t="shared" si="52"/>
        <v/>
      </c>
      <c r="C844" s="62" t="str">
        <f t="shared" si="53"/>
        <v/>
      </c>
      <c r="D844" s="63" t="str">
        <f t="shared" si="54"/>
        <v/>
      </c>
      <c r="E844" s="62" t="str">
        <f>IF(D844="","",_xlfn.RANK.EQ(D844,$D$2:$D$1001,0)+COUNTIF($D$2:D844,D844)-1)</f>
        <v/>
      </c>
      <c r="F844" s="62" t="str">
        <f>IF(B844="","",--(COUNTIF(CN_Brands!$A$2:$A$300,UPPER(B844))&gt;0))</f>
        <v/>
      </c>
      <c r="G844" s="62" t="str">
        <f t="shared" si="55"/>
        <v/>
      </c>
      <c r="H844" s="62" t="str">
        <f>IF(AND('Data Export'!A844=前十整体车型排名!$B$2,'Data Export'!B844=前十整体车型排名!$B$3,'Data Export'!D844&lt;&gt;""),UPPER('Data Export'!C844)&amp;"♦"&amp;'Data Export'!D844,"")</f>
        <v>TOYOTA♦CROWN</v>
      </c>
      <c r="I844" s="63">
        <f>IF(H844="","",IFERROR(INDEX('Data Export'!G844:CZ844,1,MATCH(前十整体车型排名!$B$4,'Data Export'!$G$1:$CZ$1,0)),0))</f>
        <v>1</v>
      </c>
      <c r="J844" s="62" t="str">
        <f>IF(H844="","",IF(OR('Data Export'!F844="三厢轿车",'Data Export'!F844="掀背轿车",'Data Export'!F844="旅行车",'Data Export'!F844="微型车",'Data Export'!F844="硬顶跑车",'Data Export'!F844="敞蓬车",'Data Export'!F844="Targa"),"轿车",IF(OR('Data Export'!F844="小型MPV",'Data Export'!F844="客车"),"MPV",IF('Data Export'!F844="运动型多功能车","SUV","其他"))))</f>
        <v>轿车</v>
      </c>
      <c r="K844" s="62" t="str">
        <f>IF(OR(D844="",NOT(F844=1)),"",1+SUMPRODUCT(($F$2:$F$1001=1)*($D$2:$D$1001&gt;D844))+COUNTIFS($F$2:F844,1,$D$2:D844,D844)-1)</f>
        <v/>
      </c>
      <c r="L844" s="62" t="str">
        <f>IF(OR(D844="",NOT(G844="轿车")),"",1+SUMPRODUCT(($G$2:$G$1001="轿车")*($D$2:$D$1001&gt;D844))+COUNTIFS($G$2:G844,"轿车",$D$2:D844,D844)-1)</f>
        <v/>
      </c>
      <c r="M844" s="62" t="str">
        <f>IF(OR(D844="",NOT(G844="MPV")),"",1+SUMPRODUCT(($G$2:$G$1001="MPV")*($D$2:$D$1001&gt;D844))+COUNTIFS($G$2:G844,"MPV",$D$2:D844,D844)-1)</f>
        <v/>
      </c>
      <c r="N844" s="62" t="str">
        <f>IF(OR(D844="",NOT(G844="SUV")),"",1+SUMPRODUCT(($G$2:$G$1001="SUV")*($D$2:$D$1001&gt;D844))+COUNTIFS($G$2:G844,"SUV",$D$2:D844,D844)-1)</f>
        <v/>
      </c>
      <c r="O844" s="62" t="str">
        <f>IF(OR(D844="",NOT(AND(F844=1,G844="轿车"))),"",1+SUMPRODUCT(($F$2:$F$1001=1)*($G$2:$G$1001="轿车")*($D$2:$D$1001&gt;D844))+COUNTIFS($F$2:F844,1,$G$2:G844,"轿车",$D$2:D844,D844)-1)</f>
        <v/>
      </c>
      <c r="P844" s="62" t="str">
        <f>IF(OR(D844="",NOT(AND(F844=1,G844="MPV"))),"",1+SUMPRODUCT(($F$2:$F$1001=1)*($G$2:$G$1001="MPV")*($D$2:$D$1001&gt;D844))+COUNTIFS($F$2:F844,1,$G$2:G844,"MPV",$D$2:D844,D844)-1)</f>
        <v/>
      </c>
      <c r="Q844" s="62" t="str">
        <f>IF(OR(D844="",NOT(AND(F844=1,G844="SUV"))),"",1+SUMPRODUCT(($F$2:$F$1001=1)*($G$2:$G$1001="SUV")*($D$2:$D$1001&gt;D844))+COUNTIFS($F$2:F844,1,$G$2:G844,"SUV",$D$2:D844,D844)-1)</f>
        <v/>
      </c>
    </row>
    <row r="845" spans="1:17">
      <c r="A845" s="62" t="str">
        <f>IFERROR(INDEX($H$2:$H$3000,MATCH(0,INDEX(COUNTIF($A$1:A844,$H$2:$H$3000)+($H$2:$H$3000=""),0,0),0)),"")</f>
        <v/>
      </c>
      <c r="B845" s="62" t="str">
        <f t="shared" si="52"/>
        <v/>
      </c>
      <c r="C845" s="62" t="str">
        <f t="shared" si="53"/>
        <v/>
      </c>
      <c r="D845" s="63" t="str">
        <f t="shared" si="54"/>
        <v/>
      </c>
      <c r="E845" s="62" t="str">
        <f>IF(D845="","",_xlfn.RANK.EQ(D845,$D$2:$D$1001,0)+COUNTIF($D$2:D845,D845)-1)</f>
        <v/>
      </c>
      <c r="F845" s="62" t="str">
        <f>IF(B845="","",--(COUNTIF(CN_Brands!$A$2:$A$300,UPPER(B845))&gt;0))</f>
        <v/>
      </c>
      <c r="G845" s="62" t="str">
        <f t="shared" si="55"/>
        <v/>
      </c>
      <c r="H845" s="62" t="str">
        <f>IF(AND('Data Export'!A845=前十整体车型排名!$B$2,'Data Export'!B845=前十整体车型排名!$B$3,'Data Export'!D845&lt;&gt;""),UPPER('Data Export'!C845)&amp;"♦"&amp;'Data Export'!D845,"")</f>
        <v>TOYOTA♦CROWN</v>
      </c>
      <c r="I845" s="63">
        <f>IF(H845="","",IFERROR(INDEX('Data Export'!G845:CZ845,1,MATCH(前十整体车型排名!$B$4,'Data Export'!$G$1:$CZ$1,0)),0))</f>
        <v>2</v>
      </c>
      <c r="J845" s="62" t="str">
        <f>IF(H845="","",IF(OR('Data Export'!F845="三厢轿车",'Data Export'!F845="掀背轿车",'Data Export'!F845="旅行车",'Data Export'!F845="微型车",'Data Export'!F845="硬顶跑车",'Data Export'!F845="敞蓬车",'Data Export'!F845="Targa"),"轿车",IF(OR('Data Export'!F845="小型MPV",'Data Export'!F845="客车"),"MPV",IF('Data Export'!F845="运动型多功能车","SUV","其他"))))</f>
        <v>轿车</v>
      </c>
      <c r="K845" s="62" t="str">
        <f>IF(OR(D845="",NOT(F845=1)),"",1+SUMPRODUCT(($F$2:$F$1001=1)*($D$2:$D$1001&gt;D845))+COUNTIFS($F$2:F845,1,$D$2:D845,D845)-1)</f>
        <v/>
      </c>
      <c r="L845" s="62" t="str">
        <f>IF(OR(D845="",NOT(G845="轿车")),"",1+SUMPRODUCT(($G$2:$G$1001="轿车")*($D$2:$D$1001&gt;D845))+COUNTIFS($G$2:G845,"轿车",$D$2:D845,D845)-1)</f>
        <v/>
      </c>
      <c r="M845" s="62" t="str">
        <f>IF(OR(D845="",NOT(G845="MPV")),"",1+SUMPRODUCT(($G$2:$G$1001="MPV")*($D$2:$D$1001&gt;D845))+COUNTIFS($G$2:G845,"MPV",$D$2:D845,D845)-1)</f>
        <v/>
      </c>
      <c r="N845" s="62" t="str">
        <f>IF(OR(D845="",NOT(G845="SUV")),"",1+SUMPRODUCT(($G$2:$G$1001="SUV")*($D$2:$D$1001&gt;D845))+COUNTIFS($G$2:G845,"SUV",$D$2:D845,D845)-1)</f>
        <v/>
      </c>
      <c r="O845" s="62" t="str">
        <f>IF(OR(D845="",NOT(AND(F845=1,G845="轿车"))),"",1+SUMPRODUCT(($F$2:$F$1001=1)*($G$2:$G$1001="轿车")*($D$2:$D$1001&gt;D845))+COUNTIFS($F$2:F845,1,$G$2:G845,"轿车",$D$2:D845,D845)-1)</f>
        <v/>
      </c>
      <c r="P845" s="62" t="str">
        <f>IF(OR(D845="",NOT(AND(F845=1,G845="MPV"))),"",1+SUMPRODUCT(($F$2:$F$1001=1)*($G$2:$G$1001="MPV")*($D$2:$D$1001&gt;D845))+COUNTIFS($F$2:F845,1,$G$2:G845,"MPV",$D$2:D845,D845)-1)</f>
        <v/>
      </c>
      <c r="Q845" s="62" t="str">
        <f>IF(OR(D845="",NOT(AND(F845=1,G845="SUV"))),"",1+SUMPRODUCT(($F$2:$F$1001=1)*($G$2:$G$1001="SUV")*($D$2:$D$1001&gt;D845))+COUNTIFS($F$2:F845,1,$G$2:G845,"SUV",$D$2:D845,D845)-1)</f>
        <v/>
      </c>
    </row>
    <row r="846" spans="1:17">
      <c r="A846" s="62" t="str">
        <f>IFERROR(INDEX($H$2:$H$3000,MATCH(0,INDEX(COUNTIF($A$1:A845,$H$2:$H$3000)+($H$2:$H$3000=""),0,0),0)),"")</f>
        <v/>
      </c>
      <c r="B846" s="62" t="str">
        <f t="shared" si="52"/>
        <v/>
      </c>
      <c r="C846" s="62" t="str">
        <f t="shared" si="53"/>
        <v/>
      </c>
      <c r="D846" s="63" t="str">
        <f t="shared" si="54"/>
        <v/>
      </c>
      <c r="E846" s="62" t="str">
        <f>IF(D846="","",_xlfn.RANK.EQ(D846,$D$2:$D$1001,0)+COUNTIF($D$2:D846,D846)-1)</f>
        <v/>
      </c>
      <c r="F846" s="62" t="str">
        <f>IF(B846="","",--(COUNTIF(CN_Brands!$A$2:$A$300,UPPER(B846))&gt;0))</f>
        <v/>
      </c>
      <c r="G846" s="62" t="str">
        <f t="shared" si="55"/>
        <v/>
      </c>
      <c r="H846" s="62" t="str">
        <f>IF(AND('Data Export'!A846=前十整体车型排名!$B$2,'Data Export'!B846=前十整体车型排名!$B$3,'Data Export'!D846&lt;&gt;""),UPPER('Data Export'!C846)&amp;"♦"&amp;'Data Export'!D846,"")</f>
        <v>TOYOTA♦CROWN</v>
      </c>
      <c r="I846" s="63">
        <f>IF(H846="","",IFERROR(INDEX('Data Export'!G846:CZ846,1,MATCH(前十整体车型排名!$B$4,'Data Export'!$G$1:$CZ$1,0)),0))</f>
        <v>0</v>
      </c>
      <c r="J846" s="62" t="str">
        <f>IF(H846="","",IF(OR('Data Export'!F846="三厢轿车",'Data Export'!F846="掀背轿车",'Data Export'!F846="旅行车",'Data Export'!F846="微型车",'Data Export'!F846="硬顶跑车",'Data Export'!F846="敞蓬车",'Data Export'!F846="Targa"),"轿车",IF(OR('Data Export'!F846="小型MPV",'Data Export'!F846="客车"),"MPV",IF('Data Export'!F846="运动型多功能车","SUV","其他"))))</f>
        <v>轿车</v>
      </c>
      <c r="K846" s="62" t="str">
        <f>IF(OR(D846="",NOT(F846=1)),"",1+SUMPRODUCT(($F$2:$F$1001=1)*($D$2:$D$1001&gt;D846))+COUNTIFS($F$2:F846,1,$D$2:D846,D846)-1)</f>
        <v/>
      </c>
      <c r="L846" s="62" t="str">
        <f>IF(OR(D846="",NOT(G846="轿车")),"",1+SUMPRODUCT(($G$2:$G$1001="轿车")*($D$2:$D$1001&gt;D846))+COUNTIFS($G$2:G846,"轿车",$D$2:D846,D846)-1)</f>
        <v/>
      </c>
      <c r="M846" s="62" t="str">
        <f>IF(OR(D846="",NOT(G846="MPV")),"",1+SUMPRODUCT(($G$2:$G$1001="MPV")*($D$2:$D$1001&gt;D846))+COUNTIFS($G$2:G846,"MPV",$D$2:D846,D846)-1)</f>
        <v/>
      </c>
      <c r="N846" s="62" t="str">
        <f>IF(OR(D846="",NOT(G846="SUV")),"",1+SUMPRODUCT(($G$2:$G$1001="SUV")*($D$2:$D$1001&gt;D846))+COUNTIFS($G$2:G846,"SUV",$D$2:D846,D846)-1)</f>
        <v/>
      </c>
      <c r="O846" s="62" t="str">
        <f>IF(OR(D846="",NOT(AND(F846=1,G846="轿车"))),"",1+SUMPRODUCT(($F$2:$F$1001=1)*($G$2:$G$1001="轿车")*($D$2:$D$1001&gt;D846))+COUNTIFS($F$2:F846,1,$G$2:G846,"轿车",$D$2:D846,D846)-1)</f>
        <v/>
      </c>
      <c r="P846" s="62" t="str">
        <f>IF(OR(D846="",NOT(AND(F846=1,G846="MPV"))),"",1+SUMPRODUCT(($F$2:$F$1001=1)*($G$2:$G$1001="MPV")*($D$2:$D$1001&gt;D846))+COUNTIFS($F$2:F846,1,$G$2:G846,"MPV",$D$2:D846,D846)-1)</f>
        <v/>
      </c>
      <c r="Q846" s="62" t="str">
        <f>IF(OR(D846="",NOT(AND(F846=1,G846="SUV"))),"",1+SUMPRODUCT(($F$2:$F$1001=1)*($G$2:$G$1001="SUV")*($D$2:$D$1001&gt;D846))+COUNTIFS($F$2:F846,1,$G$2:G846,"SUV",$D$2:D846,D846)-1)</f>
        <v/>
      </c>
    </row>
    <row r="847" spans="1:17">
      <c r="A847" s="62" t="str">
        <f>IFERROR(INDEX($H$2:$H$3000,MATCH(0,INDEX(COUNTIF($A$1:A846,$H$2:$H$3000)+($H$2:$H$3000=""),0,0),0)),"")</f>
        <v/>
      </c>
      <c r="B847" s="62" t="str">
        <f t="shared" si="52"/>
        <v/>
      </c>
      <c r="C847" s="62" t="str">
        <f t="shared" si="53"/>
        <v/>
      </c>
      <c r="D847" s="63" t="str">
        <f t="shared" si="54"/>
        <v/>
      </c>
      <c r="E847" s="62" t="str">
        <f>IF(D847="","",_xlfn.RANK.EQ(D847,$D$2:$D$1001,0)+COUNTIF($D$2:D847,D847)-1)</f>
        <v/>
      </c>
      <c r="F847" s="62" t="str">
        <f>IF(B847="","",--(COUNTIF(CN_Brands!$A$2:$A$300,UPPER(B847))&gt;0))</f>
        <v/>
      </c>
      <c r="G847" s="62" t="str">
        <f t="shared" si="55"/>
        <v/>
      </c>
      <c r="H847" s="62" t="str">
        <f>IF(AND('Data Export'!A847=前十整体车型排名!$B$2,'Data Export'!B847=前十整体车型排名!$B$3,'Data Export'!D847&lt;&gt;""),UPPER('Data Export'!C847)&amp;"♦"&amp;'Data Export'!D847,"")</f>
        <v>TOYOTA♦CROWN</v>
      </c>
      <c r="I847" s="63">
        <f>IF(H847="","",IFERROR(INDEX('Data Export'!G847:CZ847,1,MATCH(前十整体车型排名!$B$4,'Data Export'!$G$1:$CZ$1,0)),0))</f>
        <v>0</v>
      </c>
      <c r="J847" s="62" t="str">
        <f>IF(H847="","",IF(OR('Data Export'!F847="三厢轿车",'Data Export'!F847="掀背轿车",'Data Export'!F847="旅行车",'Data Export'!F847="微型车",'Data Export'!F847="硬顶跑车",'Data Export'!F847="敞蓬车",'Data Export'!F847="Targa"),"轿车",IF(OR('Data Export'!F847="小型MPV",'Data Export'!F847="客车"),"MPV",IF('Data Export'!F847="运动型多功能车","SUV","其他"))))</f>
        <v>轿车</v>
      </c>
      <c r="K847" s="62" t="str">
        <f>IF(OR(D847="",NOT(F847=1)),"",1+SUMPRODUCT(($F$2:$F$1001=1)*($D$2:$D$1001&gt;D847))+COUNTIFS($F$2:F847,1,$D$2:D847,D847)-1)</f>
        <v/>
      </c>
      <c r="L847" s="62" t="str">
        <f>IF(OR(D847="",NOT(G847="轿车")),"",1+SUMPRODUCT(($G$2:$G$1001="轿车")*($D$2:$D$1001&gt;D847))+COUNTIFS($G$2:G847,"轿车",$D$2:D847,D847)-1)</f>
        <v/>
      </c>
      <c r="M847" s="62" t="str">
        <f>IF(OR(D847="",NOT(G847="MPV")),"",1+SUMPRODUCT(($G$2:$G$1001="MPV")*($D$2:$D$1001&gt;D847))+COUNTIFS($G$2:G847,"MPV",$D$2:D847,D847)-1)</f>
        <v/>
      </c>
      <c r="N847" s="62" t="str">
        <f>IF(OR(D847="",NOT(G847="SUV")),"",1+SUMPRODUCT(($G$2:$G$1001="SUV")*($D$2:$D$1001&gt;D847))+COUNTIFS($G$2:G847,"SUV",$D$2:D847,D847)-1)</f>
        <v/>
      </c>
      <c r="O847" s="62" t="str">
        <f>IF(OR(D847="",NOT(AND(F847=1,G847="轿车"))),"",1+SUMPRODUCT(($F$2:$F$1001=1)*($G$2:$G$1001="轿车")*($D$2:$D$1001&gt;D847))+COUNTIFS($F$2:F847,1,$G$2:G847,"轿车",$D$2:D847,D847)-1)</f>
        <v/>
      </c>
      <c r="P847" s="62" t="str">
        <f>IF(OR(D847="",NOT(AND(F847=1,G847="MPV"))),"",1+SUMPRODUCT(($F$2:$F$1001=1)*($G$2:$G$1001="MPV")*($D$2:$D$1001&gt;D847))+COUNTIFS($F$2:F847,1,$G$2:G847,"MPV",$D$2:D847,D847)-1)</f>
        <v/>
      </c>
      <c r="Q847" s="62" t="str">
        <f>IF(OR(D847="",NOT(AND(F847=1,G847="SUV"))),"",1+SUMPRODUCT(($F$2:$F$1001=1)*($G$2:$G$1001="SUV")*($D$2:$D$1001&gt;D847))+COUNTIFS($F$2:F847,1,$G$2:G847,"SUV",$D$2:D847,D847)-1)</f>
        <v/>
      </c>
    </row>
    <row r="848" spans="1:17">
      <c r="A848" s="62" t="str">
        <f>IFERROR(INDEX($H$2:$H$3000,MATCH(0,INDEX(COUNTIF($A$1:A847,$H$2:$H$3000)+($H$2:$H$3000=""),0,0),0)),"")</f>
        <v/>
      </c>
      <c r="B848" s="62" t="str">
        <f t="shared" si="52"/>
        <v/>
      </c>
      <c r="C848" s="62" t="str">
        <f t="shared" si="53"/>
        <v/>
      </c>
      <c r="D848" s="63" t="str">
        <f t="shared" si="54"/>
        <v/>
      </c>
      <c r="E848" s="62" t="str">
        <f>IF(D848="","",_xlfn.RANK.EQ(D848,$D$2:$D$1001,0)+COUNTIF($D$2:D848,D848)-1)</f>
        <v/>
      </c>
      <c r="F848" s="62" t="str">
        <f>IF(B848="","",--(COUNTIF(CN_Brands!$A$2:$A$300,UPPER(B848))&gt;0))</f>
        <v/>
      </c>
      <c r="G848" s="62" t="str">
        <f t="shared" si="55"/>
        <v/>
      </c>
      <c r="H848" s="62" t="str">
        <f>IF(AND('Data Export'!A848=前十整体车型排名!$B$2,'Data Export'!B848=前十整体车型排名!$B$3,'Data Export'!D848&lt;&gt;""),UPPER('Data Export'!C848)&amp;"♦"&amp;'Data Export'!D848,"")</f>
        <v>TOYOTA♦CROWN</v>
      </c>
      <c r="I848" s="63">
        <f>IF(H848="","",IFERROR(INDEX('Data Export'!G848:CZ848,1,MATCH(前十整体车型排名!$B$4,'Data Export'!$G$1:$CZ$1,0)),0))</f>
        <v>0</v>
      </c>
      <c r="J848" s="62" t="str">
        <f>IF(H848="","",IF(OR('Data Export'!F848="三厢轿车",'Data Export'!F848="掀背轿车",'Data Export'!F848="旅行车",'Data Export'!F848="微型车",'Data Export'!F848="硬顶跑车",'Data Export'!F848="敞蓬车",'Data Export'!F848="Targa"),"轿车",IF(OR('Data Export'!F848="小型MPV",'Data Export'!F848="客车"),"MPV",IF('Data Export'!F848="运动型多功能车","SUV","其他"))))</f>
        <v>轿车</v>
      </c>
      <c r="K848" s="62" t="str">
        <f>IF(OR(D848="",NOT(F848=1)),"",1+SUMPRODUCT(($F$2:$F$1001=1)*($D$2:$D$1001&gt;D848))+COUNTIFS($F$2:F848,1,$D$2:D848,D848)-1)</f>
        <v/>
      </c>
      <c r="L848" s="62" t="str">
        <f>IF(OR(D848="",NOT(G848="轿车")),"",1+SUMPRODUCT(($G$2:$G$1001="轿车")*($D$2:$D$1001&gt;D848))+COUNTIFS($G$2:G848,"轿车",$D$2:D848,D848)-1)</f>
        <v/>
      </c>
      <c r="M848" s="62" t="str">
        <f>IF(OR(D848="",NOT(G848="MPV")),"",1+SUMPRODUCT(($G$2:$G$1001="MPV")*($D$2:$D$1001&gt;D848))+COUNTIFS($G$2:G848,"MPV",$D$2:D848,D848)-1)</f>
        <v/>
      </c>
      <c r="N848" s="62" t="str">
        <f>IF(OR(D848="",NOT(G848="SUV")),"",1+SUMPRODUCT(($G$2:$G$1001="SUV")*($D$2:$D$1001&gt;D848))+COUNTIFS($G$2:G848,"SUV",$D$2:D848,D848)-1)</f>
        <v/>
      </c>
      <c r="O848" s="62" t="str">
        <f>IF(OR(D848="",NOT(AND(F848=1,G848="轿车"))),"",1+SUMPRODUCT(($F$2:$F$1001=1)*($G$2:$G$1001="轿车")*($D$2:$D$1001&gt;D848))+COUNTIFS($F$2:F848,1,$G$2:G848,"轿车",$D$2:D848,D848)-1)</f>
        <v/>
      </c>
      <c r="P848" s="62" t="str">
        <f>IF(OR(D848="",NOT(AND(F848=1,G848="MPV"))),"",1+SUMPRODUCT(($F$2:$F$1001=1)*($G$2:$G$1001="MPV")*($D$2:$D$1001&gt;D848))+COUNTIFS($F$2:F848,1,$G$2:G848,"MPV",$D$2:D848,D848)-1)</f>
        <v/>
      </c>
      <c r="Q848" s="62" t="str">
        <f>IF(OR(D848="",NOT(AND(F848=1,G848="SUV"))),"",1+SUMPRODUCT(($F$2:$F$1001=1)*($G$2:$G$1001="SUV")*($D$2:$D$1001&gt;D848))+COUNTIFS($F$2:F848,1,$G$2:G848,"SUV",$D$2:D848,D848)-1)</f>
        <v/>
      </c>
    </row>
    <row r="849" spans="1:17">
      <c r="A849" s="62" t="str">
        <f>IFERROR(INDEX($H$2:$H$3000,MATCH(0,INDEX(COUNTIF($A$1:A848,$H$2:$H$3000)+($H$2:$H$3000=""),0,0),0)),"")</f>
        <v/>
      </c>
      <c r="B849" s="62" t="str">
        <f t="shared" si="52"/>
        <v/>
      </c>
      <c r="C849" s="62" t="str">
        <f t="shared" si="53"/>
        <v/>
      </c>
      <c r="D849" s="63" t="str">
        <f t="shared" si="54"/>
        <v/>
      </c>
      <c r="E849" s="62" t="str">
        <f>IF(D849="","",_xlfn.RANK.EQ(D849,$D$2:$D$1001,0)+COUNTIF($D$2:D849,D849)-1)</f>
        <v/>
      </c>
      <c r="F849" s="62" t="str">
        <f>IF(B849="","",--(COUNTIF(CN_Brands!$A$2:$A$300,UPPER(B849))&gt;0))</f>
        <v/>
      </c>
      <c r="G849" s="62" t="str">
        <f t="shared" si="55"/>
        <v/>
      </c>
      <c r="H849" s="62" t="str">
        <f>IF(AND('Data Export'!A849=前十整体车型排名!$B$2,'Data Export'!B849=前十整体车型排名!$B$3,'Data Export'!D849&lt;&gt;""),UPPER('Data Export'!C849)&amp;"♦"&amp;'Data Export'!D849,"")</f>
        <v>TOYOTA♦CROWN</v>
      </c>
      <c r="I849" s="63">
        <f>IF(H849="","",IFERROR(INDEX('Data Export'!G849:CZ849,1,MATCH(前十整体车型排名!$B$4,'Data Export'!$G$1:$CZ$1,0)),0))</f>
        <v>1</v>
      </c>
      <c r="J849" s="62" t="str">
        <f>IF(H849="","",IF(OR('Data Export'!F849="三厢轿车",'Data Export'!F849="掀背轿车",'Data Export'!F849="旅行车",'Data Export'!F849="微型车",'Data Export'!F849="硬顶跑车",'Data Export'!F849="敞蓬车",'Data Export'!F849="Targa"),"轿车",IF(OR('Data Export'!F849="小型MPV",'Data Export'!F849="客车"),"MPV",IF('Data Export'!F849="运动型多功能车","SUV","其他"))))</f>
        <v>轿车</v>
      </c>
      <c r="K849" s="62" t="str">
        <f>IF(OR(D849="",NOT(F849=1)),"",1+SUMPRODUCT(($F$2:$F$1001=1)*($D$2:$D$1001&gt;D849))+COUNTIFS($F$2:F849,1,$D$2:D849,D849)-1)</f>
        <v/>
      </c>
      <c r="L849" s="62" t="str">
        <f>IF(OR(D849="",NOT(G849="轿车")),"",1+SUMPRODUCT(($G$2:$G$1001="轿车")*($D$2:$D$1001&gt;D849))+COUNTIFS($G$2:G849,"轿车",$D$2:D849,D849)-1)</f>
        <v/>
      </c>
      <c r="M849" s="62" t="str">
        <f>IF(OR(D849="",NOT(G849="MPV")),"",1+SUMPRODUCT(($G$2:$G$1001="MPV")*($D$2:$D$1001&gt;D849))+COUNTIFS($G$2:G849,"MPV",$D$2:D849,D849)-1)</f>
        <v/>
      </c>
      <c r="N849" s="62" t="str">
        <f>IF(OR(D849="",NOT(G849="SUV")),"",1+SUMPRODUCT(($G$2:$G$1001="SUV")*($D$2:$D$1001&gt;D849))+COUNTIFS($G$2:G849,"SUV",$D$2:D849,D849)-1)</f>
        <v/>
      </c>
      <c r="O849" s="62" t="str">
        <f>IF(OR(D849="",NOT(AND(F849=1,G849="轿车"))),"",1+SUMPRODUCT(($F$2:$F$1001=1)*($G$2:$G$1001="轿车")*($D$2:$D$1001&gt;D849))+COUNTIFS($F$2:F849,1,$G$2:G849,"轿车",$D$2:D849,D849)-1)</f>
        <v/>
      </c>
      <c r="P849" s="62" t="str">
        <f>IF(OR(D849="",NOT(AND(F849=1,G849="MPV"))),"",1+SUMPRODUCT(($F$2:$F$1001=1)*($G$2:$G$1001="MPV")*($D$2:$D$1001&gt;D849))+COUNTIFS($F$2:F849,1,$G$2:G849,"MPV",$D$2:D849,D849)-1)</f>
        <v/>
      </c>
      <c r="Q849" s="62" t="str">
        <f>IF(OR(D849="",NOT(AND(F849=1,G849="SUV"))),"",1+SUMPRODUCT(($F$2:$F$1001=1)*($G$2:$G$1001="SUV")*($D$2:$D$1001&gt;D849))+COUNTIFS($F$2:F849,1,$G$2:G849,"SUV",$D$2:D849,D849)-1)</f>
        <v/>
      </c>
    </row>
    <row r="850" spans="1:17">
      <c r="A850" s="62" t="str">
        <f>IFERROR(INDEX($H$2:$H$3000,MATCH(0,INDEX(COUNTIF($A$1:A849,$H$2:$H$3000)+($H$2:$H$3000=""),0,0),0)),"")</f>
        <v/>
      </c>
      <c r="B850" s="62" t="str">
        <f t="shared" si="52"/>
        <v/>
      </c>
      <c r="C850" s="62" t="str">
        <f t="shared" si="53"/>
        <v/>
      </c>
      <c r="D850" s="63" t="str">
        <f t="shared" si="54"/>
        <v/>
      </c>
      <c r="E850" s="62" t="str">
        <f>IF(D850="","",_xlfn.RANK.EQ(D850,$D$2:$D$1001,0)+COUNTIF($D$2:D850,D850)-1)</f>
        <v/>
      </c>
      <c r="F850" s="62" t="str">
        <f>IF(B850="","",--(COUNTIF(CN_Brands!$A$2:$A$300,UPPER(B850))&gt;0))</f>
        <v/>
      </c>
      <c r="G850" s="62" t="str">
        <f t="shared" si="55"/>
        <v/>
      </c>
      <c r="H850" s="62" t="str">
        <f>IF(AND('Data Export'!A850=前十整体车型排名!$B$2,'Data Export'!B850=前十整体车型排名!$B$3,'Data Export'!D850&lt;&gt;""),UPPER('Data Export'!C850)&amp;"♦"&amp;'Data Export'!D850,"")</f>
        <v>TOYOTA♦CROWN</v>
      </c>
      <c r="I850" s="63">
        <f>IF(H850="","",IFERROR(INDEX('Data Export'!G850:CZ850,1,MATCH(前十整体车型排名!$B$4,'Data Export'!$G$1:$CZ$1,0)),0))</f>
        <v>0</v>
      </c>
      <c r="J850" s="62" t="str">
        <f>IF(H850="","",IF(OR('Data Export'!F850="三厢轿车",'Data Export'!F850="掀背轿车",'Data Export'!F850="旅行车",'Data Export'!F850="微型车",'Data Export'!F850="硬顶跑车",'Data Export'!F850="敞蓬车",'Data Export'!F850="Targa"),"轿车",IF(OR('Data Export'!F850="小型MPV",'Data Export'!F850="客车"),"MPV",IF('Data Export'!F850="运动型多功能车","SUV","其他"))))</f>
        <v>轿车</v>
      </c>
      <c r="K850" s="62" t="str">
        <f>IF(OR(D850="",NOT(F850=1)),"",1+SUMPRODUCT(($F$2:$F$1001=1)*($D$2:$D$1001&gt;D850))+COUNTIFS($F$2:F850,1,$D$2:D850,D850)-1)</f>
        <v/>
      </c>
      <c r="L850" s="62" t="str">
        <f>IF(OR(D850="",NOT(G850="轿车")),"",1+SUMPRODUCT(($G$2:$G$1001="轿车")*($D$2:$D$1001&gt;D850))+COUNTIFS($G$2:G850,"轿车",$D$2:D850,D850)-1)</f>
        <v/>
      </c>
      <c r="M850" s="62" t="str">
        <f>IF(OR(D850="",NOT(G850="MPV")),"",1+SUMPRODUCT(($G$2:$G$1001="MPV")*($D$2:$D$1001&gt;D850))+COUNTIFS($G$2:G850,"MPV",$D$2:D850,D850)-1)</f>
        <v/>
      </c>
      <c r="N850" s="62" t="str">
        <f>IF(OR(D850="",NOT(G850="SUV")),"",1+SUMPRODUCT(($G$2:$G$1001="SUV")*($D$2:$D$1001&gt;D850))+COUNTIFS($G$2:G850,"SUV",$D$2:D850,D850)-1)</f>
        <v/>
      </c>
      <c r="O850" s="62" t="str">
        <f>IF(OR(D850="",NOT(AND(F850=1,G850="轿车"))),"",1+SUMPRODUCT(($F$2:$F$1001=1)*($G$2:$G$1001="轿车")*($D$2:$D$1001&gt;D850))+COUNTIFS($F$2:F850,1,$G$2:G850,"轿车",$D$2:D850,D850)-1)</f>
        <v/>
      </c>
      <c r="P850" s="62" t="str">
        <f>IF(OR(D850="",NOT(AND(F850=1,G850="MPV"))),"",1+SUMPRODUCT(($F$2:$F$1001=1)*($G$2:$G$1001="MPV")*($D$2:$D$1001&gt;D850))+COUNTIFS($F$2:F850,1,$G$2:G850,"MPV",$D$2:D850,D850)-1)</f>
        <v/>
      </c>
      <c r="Q850" s="62" t="str">
        <f>IF(OR(D850="",NOT(AND(F850=1,G850="SUV"))),"",1+SUMPRODUCT(($F$2:$F$1001=1)*($G$2:$G$1001="SUV")*($D$2:$D$1001&gt;D850))+COUNTIFS($F$2:F850,1,$G$2:G850,"SUV",$D$2:D850,D850)-1)</f>
        <v/>
      </c>
    </row>
    <row r="851" spans="1:17">
      <c r="A851" s="62" t="str">
        <f>IFERROR(INDEX($H$2:$H$3000,MATCH(0,INDEX(COUNTIF($A$1:A850,$H$2:$H$3000)+($H$2:$H$3000=""),0,0),0)),"")</f>
        <v/>
      </c>
      <c r="B851" s="62" t="str">
        <f t="shared" si="52"/>
        <v/>
      </c>
      <c r="C851" s="62" t="str">
        <f t="shared" si="53"/>
        <v/>
      </c>
      <c r="D851" s="63" t="str">
        <f t="shared" si="54"/>
        <v/>
      </c>
      <c r="E851" s="62" t="str">
        <f>IF(D851="","",_xlfn.RANK.EQ(D851,$D$2:$D$1001,0)+COUNTIF($D$2:D851,D851)-1)</f>
        <v/>
      </c>
      <c r="F851" s="62" t="str">
        <f>IF(B851="","",--(COUNTIF(CN_Brands!$A$2:$A$300,UPPER(B851))&gt;0))</f>
        <v/>
      </c>
      <c r="G851" s="62" t="str">
        <f t="shared" si="55"/>
        <v/>
      </c>
      <c r="H851" s="62" t="str">
        <f>IF(AND('Data Export'!A851=前十整体车型排名!$B$2,'Data Export'!B851=前十整体车型排名!$B$3,'Data Export'!D851&lt;&gt;""),UPPER('Data Export'!C851)&amp;"♦"&amp;'Data Export'!D851,"")</f>
        <v>TOYOTA♦CROWN</v>
      </c>
      <c r="I851" s="63">
        <f>IF(H851="","",IFERROR(INDEX('Data Export'!G851:CZ851,1,MATCH(前十整体车型排名!$B$4,'Data Export'!$G$1:$CZ$1,0)),0))</f>
        <v>0</v>
      </c>
      <c r="J851" s="62" t="str">
        <f>IF(H851="","",IF(OR('Data Export'!F851="三厢轿车",'Data Export'!F851="掀背轿车",'Data Export'!F851="旅行车",'Data Export'!F851="微型车",'Data Export'!F851="硬顶跑车",'Data Export'!F851="敞蓬车",'Data Export'!F851="Targa"),"轿车",IF(OR('Data Export'!F851="小型MPV",'Data Export'!F851="客车"),"MPV",IF('Data Export'!F851="运动型多功能车","SUV","其他"))))</f>
        <v>轿车</v>
      </c>
      <c r="K851" s="62" t="str">
        <f>IF(OR(D851="",NOT(F851=1)),"",1+SUMPRODUCT(($F$2:$F$1001=1)*($D$2:$D$1001&gt;D851))+COUNTIFS($F$2:F851,1,$D$2:D851,D851)-1)</f>
        <v/>
      </c>
      <c r="L851" s="62" t="str">
        <f>IF(OR(D851="",NOT(G851="轿车")),"",1+SUMPRODUCT(($G$2:$G$1001="轿车")*($D$2:$D$1001&gt;D851))+COUNTIFS($G$2:G851,"轿车",$D$2:D851,D851)-1)</f>
        <v/>
      </c>
      <c r="M851" s="62" t="str">
        <f>IF(OR(D851="",NOT(G851="MPV")),"",1+SUMPRODUCT(($G$2:$G$1001="MPV")*($D$2:$D$1001&gt;D851))+COUNTIFS($G$2:G851,"MPV",$D$2:D851,D851)-1)</f>
        <v/>
      </c>
      <c r="N851" s="62" t="str">
        <f>IF(OR(D851="",NOT(G851="SUV")),"",1+SUMPRODUCT(($G$2:$G$1001="SUV")*($D$2:$D$1001&gt;D851))+COUNTIFS($G$2:G851,"SUV",$D$2:D851,D851)-1)</f>
        <v/>
      </c>
      <c r="O851" s="62" t="str">
        <f>IF(OR(D851="",NOT(AND(F851=1,G851="轿车"))),"",1+SUMPRODUCT(($F$2:$F$1001=1)*($G$2:$G$1001="轿车")*($D$2:$D$1001&gt;D851))+COUNTIFS($F$2:F851,1,$G$2:G851,"轿车",$D$2:D851,D851)-1)</f>
        <v/>
      </c>
      <c r="P851" s="62" t="str">
        <f>IF(OR(D851="",NOT(AND(F851=1,G851="MPV"))),"",1+SUMPRODUCT(($F$2:$F$1001=1)*($G$2:$G$1001="MPV")*($D$2:$D$1001&gt;D851))+COUNTIFS($F$2:F851,1,$G$2:G851,"MPV",$D$2:D851,D851)-1)</f>
        <v/>
      </c>
      <c r="Q851" s="62" t="str">
        <f>IF(OR(D851="",NOT(AND(F851=1,G851="SUV"))),"",1+SUMPRODUCT(($F$2:$F$1001=1)*($G$2:$G$1001="SUV")*($D$2:$D$1001&gt;D851))+COUNTIFS($F$2:F851,1,$G$2:G851,"SUV",$D$2:D851,D851)-1)</f>
        <v/>
      </c>
    </row>
    <row r="852" spans="1:17">
      <c r="A852" s="62" t="str">
        <f>IFERROR(INDEX($H$2:$H$3000,MATCH(0,INDEX(COUNTIF($A$1:A851,$H$2:$H$3000)+($H$2:$H$3000=""),0,0),0)),"")</f>
        <v/>
      </c>
      <c r="B852" s="62" t="str">
        <f t="shared" si="52"/>
        <v/>
      </c>
      <c r="C852" s="62" t="str">
        <f t="shared" si="53"/>
        <v/>
      </c>
      <c r="D852" s="63" t="str">
        <f t="shared" si="54"/>
        <v/>
      </c>
      <c r="E852" s="62" t="str">
        <f>IF(D852="","",_xlfn.RANK.EQ(D852,$D$2:$D$1001,0)+COUNTIF($D$2:D852,D852)-1)</f>
        <v/>
      </c>
      <c r="F852" s="62" t="str">
        <f>IF(B852="","",--(COUNTIF(CN_Brands!$A$2:$A$300,UPPER(B852))&gt;0))</f>
        <v/>
      </c>
      <c r="G852" s="62" t="str">
        <f t="shared" si="55"/>
        <v/>
      </c>
      <c r="H852" s="62" t="str">
        <f>IF(AND('Data Export'!A852=前十整体车型排名!$B$2,'Data Export'!B852=前十整体车型排名!$B$3,'Data Export'!D852&lt;&gt;""),UPPER('Data Export'!C852)&amp;"♦"&amp;'Data Export'!D852,"")</f>
        <v>TOYOTA♦FORTUNER</v>
      </c>
      <c r="I852" s="63">
        <f>IF(H852="","",IFERROR(INDEX('Data Export'!G852:CZ852,1,MATCH(前十整体车型排名!$B$4,'Data Export'!$G$1:$CZ$1,0)),0))</f>
        <v>957</v>
      </c>
      <c r="J852" s="62" t="str">
        <f>IF(H852="","",IF(OR('Data Export'!F852="三厢轿车",'Data Export'!F852="掀背轿车",'Data Export'!F852="旅行车",'Data Export'!F852="微型车",'Data Export'!F852="硬顶跑车",'Data Export'!F852="敞蓬车",'Data Export'!F852="Targa"),"轿车",IF(OR('Data Export'!F852="小型MPV",'Data Export'!F852="客车"),"MPV",IF('Data Export'!F852="运动型多功能车","SUV","其他"))))</f>
        <v>SUV</v>
      </c>
      <c r="K852" s="62" t="str">
        <f>IF(OR(D852="",NOT(F852=1)),"",1+SUMPRODUCT(($F$2:$F$1001=1)*($D$2:$D$1001&gt;D852))+COUNTIFS($F$2:F852,1,$D$2:D852,D852)-1)</f>
        <v/>
      </c>
      <c r="L852" s="62" t="str">
        <f>IF(OR(D852="",NOT(G852="轿车")),"",1+SUMPRODUCT(($G$2:$G$1001="轿车")*($D$2:$D$1001&gt;D852))+COUNTIFS($G$2:G852,"轿车",$D$2:D852,D852)-1)</f>
        <v/>
      </c>
      <c r="M852" s="62" t="str">
        <f>IF(OR(D852="",NOT(G852="MPV")),"",1+SUMPRODUCT(($G$2:$G$1001="MPV")*($D$2:$D$1001&gt;D852))+COUNTIFS($G$2:G852,"MPV",$D$2:D852,D852)-1)</f>
        <v/>
      </c>
      <c r="N852" s="62" t="str">
        <f>IF(OR(D852="",NOT(G852="SUV")),"",1+SUMPRODUCT(($G$2:$G$1001="SUV")*($D$2:$D$1001&gt;D852))+COUNTIFS($G$2:G852,"SUV",$D$2:D852,D852)-1)</f>
        <v/>
      </c>
      <c r="O852" s="62" t="str">
        <f>IF(OR(D852="",NOT(AND(F852=1,G852="轿车"))),"",1+SUMPRODUCT(($F$2:$F$1001=1)*($G$2:$G$1001="轿车")*($D$2:$D$1001&gt;D852))+COUNTIFS($F$2:F852,1,$G$2:G852,"轿车",$D$2:D852,D852)-1)</f>
        <v/>
      </c>
      <c r="P852" s="62" t="str">
        <f>IF(OR(D852="",NOT(AND(F852=1,G852="MPV"))),"",1+SUMPRODUCT(($F$2:$F$1001=1)*($G$2:$G$1001="MPV")*($D$2:$D$1001&gt;D852))+COUNTIFS($F$2:F852,1,$G$2:G852,"MPV",$D$2:D852,D852)-1)</f>
        <v/>
      </c>
      <c r="Q852" s="62" t="str">
        <f>IF(OR(D852="",NOT(AND(F852=1,G852="SUV"))),"",1+SUMPRODUCT(($F$2:$F$1001=1)*($G$2:$G$1001="SUV")*($D$2:$D$1001&gt;D852))+COUNTIFS($F$2:F852,1,$G$2:G852,"SUV",$D$2:D852,D852)-1)</f>
        <v/>
      </c>
    </row>
    <row r="853" spans="1:17">
      <c r="A853" s="62" t="str">
        <f>IFERROR(INDEX($H$2:$H$3000,MATCH(0,INDEX(COUNTIF($A$1:A852,$H$2:$H$3000)+($H$2:$H$3000=""),0,0),0)),"")</f>
        <v/>
      </c>
      <c r="B853" s="62" t="str">
        <f t="shared" si="52"/>
        <v/>
      </c>
      <c r="C853" s="62" t="str">
        <f t="shared" si="53"/>
        <v/>
      </c>
      <c r="D853" s="63" t="str">
        <f t="shared" si="54"/>
        <v/>
      </c>
      <c r="E853" s="62" t="str">
        <f>IF(D853="","",_xlfn.RANK.EQ(D853,$D$2:$D$1001,0)+COUNTIF($D$2:D853,D853)-1)</f>
        <v/>
      </c>
      <c r="F853" s="62" t="str">
        <f>IF(B853="","",--(COUNTIF(CN_Brands!$A$2:$A$300,UPPER(B853))&gt;0))</f>
        <v/>
      </c>
      <c r="G853" s="62" t="str">
        <f t="shared" si="55"/>
        <v/>
      </c>
      <c r="H853" s="62" t="str">
        <f>IF(AND('Data Export'!A853=前十整体车型排名!$B$2,'Data Export'!B853=前十整体车型排名!$B$3,'Data Export'!D853&lt;&gt;""),UPPER('Data Export'!C853)&amp;"♦"&amp;'Data Export'!D853,"")</f>
        <v>TOYOTA♦GR86</v>
      </c>
      <c r="I853" s="63">
        <f>IF(H853="","",IFERROR(INDEX('Data Export'!G853:CZ853,1,MATCH(前十整体车型排名!$B$4,'Data Export'!$G$1:$CZ$1,0)),0))</f>
        <v>3</v>
      </c>
      <c r="J853" s="62" t="str">
        <f>IF(H853="","",IF(OR('Data Export'!F853="三厢轿车",'Data Export'!F853="掀背轿车",'Data Export'!F853="旅行车",'Data Export'!F853="微型车",'Data Export'!F853="硬顶跑车",'Data Export'!F853="敞蓬车",'Data Export'!F853="Targa"),"轿车",IF(OR('Data Export'!F853="小型MPV",'Data Export'!F853="客车"),"MPV",IF('Data Export'!F853="运动型多功能车","SUV","其他"))))</f>
        <v>轿车</v>
      </c>
      <c r="K853" s="62" t="str">
        <f>IF(OR(D853="",NOT(F853=1)),"",1+SUMPRODUCT(($F$2:$F$1001=1)*($D$2:$D$1001&gt;D853))+COUNTIFS($F$2:F853,1,$D$2:D853,D853)-1)</f>
        <v/>
      </c>
      <c r="L853" s="62" t="str">
        <f>IF(OR(D853="",NOT(G853="轿车")),"",1+SUMPRODUCT(($G$2:$G$1001="轿车")*($D$2:$D$1001&gt;D853))+COUNTIFS($G$2:G853,"轿车",$D$2:D853,D853)-1)</f>
        <v/>
      </c>
      <c r="M853" s="62" t="str">
        <f>IF(OR(D853="",NOT(G853="MPV")),"",1+SUMPRODUCT(($G$2:$G$1001="MPV")*($D$2:$D$1001&gt;D853))+COUNTIFS($G$2:G853,"MPV",$D$2:D853,D853)-1)</f>
        <v/>
      </c>
      <c r="N853" s="62" t="str">
        <f>IF(OR(D853="",NOT(G853="SUV")),"",1+SUMPRODUCT(($G$2:$G$1001="SUV")*($D$2:$D$1001&gt;D853))+COUNTIFS($G$2:G853,"SUV",$D$2:D853,D853)-1)</f>
        <v/>
      </c>
      <c r="O853" s="62" t="str">
        <f>IF(OR(D853="",NOT(AND(F853=1,G853="轿车"))),"",1+SUMPRODUCT(($F$2:$F$1001=1)*($G$2:$G$1001="轿车")*($D$2:$D$1001&gt;D853))+COUNTIFS($F$2:F853,1,$G$2:G853,"轿车",$D$2:D853,D853)-1)</f>
        <v/>
      </c>
      <c r="P853" s="62" t="str">
        <f>IF(OR(D853="",NOT(AND(F853=1,G853="MPV"))),"",1+SUMPRODUCT(($F$2:$F$1001=1)*($G$2:$G$1001="MPV")*($D$2:$D$1001&gt;D853))+COUNTIFS($F$2:F853,1,$G$2:G853,"MPV",$D$2:D853,D853)-1)</f>
        <v/>
      </c>
      <c r="Q853" s="62" t="str">
        <f>IF(OR(D853="",NOT(AND(F853=1,G853="SUV"))),"",1+SUMPRODUCT(($F$2:$F$1001=1)*($G$2:$G$1001="SUV")*($D$2:$D$1001&gt;D853))+COUNTIFS($F$2:F853,1,$G$2:G853,"SUV",$D$2:D853,D853)-1)</f>
        <v/>
      </c>
    </row>
    <row r="854" spans="1:17">
      <c r="A854" s="62" t="str">
        <f>IFERROR(INDEX($H$2:$H$3000,MATCH(0,INDEX(COUNTIF($A$1:A853,$H$2:$H$3000)+($H$2:$H$3000=""),0,0),0)),"")</f>
        <v/>
      </c>
      <c r="B854" s="62" t="str">
        <f t="shared" si="52"/>
        <v/>
      </c>
      <c r="C854" s="62" t="str">
        <f t="shared" si="53"/>
        <v/>
      </c>
      <c r="D854" s="63" t="str">
        <f t="shared" si="54"/>
        <v/>
      </c>
      <c r="E854" s="62" t="str">
        <f>IF(D854="","",_xlfn.RANK.EQ(D854,$D$2:$D$1001,0)+COUNTIF($D$2:D854,D854)-1)</f>
        <v/>
      </c>
      <c r="F854" s="62" t="str">
        <f>IF(B854="","",--(COUNTIF(CN_Brands!$A$2:$A$300,UPPER(B854))&gt;0))</f>
        <v/>
      </c>
      <c r="G854" s="62" t="str">
        <f t="shared" si="55"/>
        <v/>
      </c>
      <c r="H854" s="62" t="str">
        <f>IF(AND('Data Export'!A854=前十整体车型排名!$B$2,'Data Export'!B854=前十整体车型排名!$B$3,'Data Export'!D854&lt;&gt;""),UPPER('Data Export'!C854)&amp;"♦"&amp;'Data Export'!D854,"")</f>
        <v>TOYOTA♦GR86</v>
      </c>
      <c r="I854" s="63">
        <f>IF(H854="","",IFERROR(INDEX('Data Export'!G854:CZ854,1,MATCH(前十整体车型排名!$B$4,'Data Export'!$G$1:$CZ$1,0)),0))</f>
        <v>0</v>
      </c>
      <c r="J854" s="62" t="str">
        <f>IF(H854="","",IF(OR('Data Export'!F854="三厢轿车",'Data Export'!F854="掀背轿车",'Data Export'!F854="旅行车",'Data Export'!F854="微型车",'Data Export'!F854="硬顶跑车",'Data Export'!F854="敞蓬车",'Data Export'!F854="Targa"),"轿车",IF(OR('Data Export'!F854="小型MPV",'Data Export'!F854="客车"),"MPV",IF('Data Export'!F854="运动型多功能车","SUV","其他"))))</f>
        <v>轿车</v>
      </c>
      <c r="K854" s="62" t="str">
        <f>IF(OR(D854="",NOT(F854=1)),"",1+SUMPRODUCT(($F$2:$F$1001=1)*($D$2:$D$1001&gt;D854))+COUNTIFS($F$2:F854,1,$D$2:D854,D854)-1)</f>
        <v/>
      </c>
      <c r="L854" s="62" t="str">
        <f>IF(OR(D854="",NOT(G854="轿车")),"",1+SUMPRODUCT(($G$2:$G$1001="轿车")*($D$2:$D$1001&gt;D854))+COUNTIFS($G$2:G854,"轿车",$D$2:D854,D854)-1)</f>
        <v/>
      </c>
      <c r="M854" s="62" t="str">
        <f>IF(OR(D854="",NOT(G854="MPV")),"",1+SUMPRODUCT(($G$2:$G$1001="MPV")*($D$2:$D$1001&gt;D854))+COUNTIFS($G$2:G854,"MPV",$D$2:D854,D854)-1)</f>
        <v/>
      </c>
      <c r="N854" s="62" t="str">
        <f>IF(OR(D854="",NOT(G854="SUV")),"",1+SUMPRODUCT(($G$2:$G$1001="SUV")*($D$2:$D$1001&gt;D854))+COUNTIFS($G$2:G854,"SUV",$D$2:D854,D854)-1)</f>
        <v/>
      </c>
      <c r="O854" s="62" t="str">
        <f>IF(OR(D854="",NOT(AND(F854=1,G854="轿车"))),"",1+SUMPRODUCT(($F$2:$F$1001=1)*($G$2:$G$1001="轿车")*($D$2:$D$1001&gt;D854))+COUNTIFS($F$2:F854,1,$G$2:G854,"轿车",$D$2:D854,D854)-1)</f>
        <v/>
      </c>
      <c r="P854" s="62" t="str">
        <f>IF(OR(D854="",NOT(AND(F854=1,G854="MPV"))),"",1+SUMPRODUCT(($F$2:$F$1001=1)*($G$2:$G$1001="MPV")*($D$2:$D$1001&gt;D854))+COUNTIFS($F$2:F854,1,$G$2:G854,"MPV",$D$2:D854,D854)-1)</f>
        <v/>
      </c>
      <c r="Q854" s="62" t="str">
        <f>IF(OR(D854="",NOT(AND(F854=1,G854="SUV"))),"",1+SUMPRODUCT(($F$2:$F$1001=1)*($G$2:$G$1001="SUV")*($D$2:$D$1001&gt;D854))+COUNTIFS($F$2:F854,1,$G$2:G854,"SUV",$D$2:D854,D854)-1)</f>
        <v/>
      </c>
    </row>
    <row r="855" spans="1:17">
      <c r="A855" s="62" t="str">
        <f>IFERROR(INDEX($H$2:$H$3000,MATCH(0,INDEX(COUNTIF($A$1:A854,$H$2:$H$3000)+($H$2:$H$3000=""),0,0),0)),"")</f>
        <v/>
      </c>
      <c r="B855" s="62" t="str">
        <f t="shared" si="52"/>
        <v/>
      </c>
      <c r="C855" s="62" t="str">
        <f t="shared" si="53"/>
        <v/>
      </c>
      <c r="D855" s="63" t="str">
        <f t="shared" si="54"/>
        <v/>
      </c>
      <c r="E855" s="62" t="str">
        <f>IF(D855="","",_xlfn.RANK.EQ(D855,$D$2:$D$1001,0)+COUNTIF($D$2:D855,D855)-1)</f>
        <v/>
      </c>
      <c r="F855" s="62" t="str">
        <f>IF(B855="","",--(COUNTIF(CN_Brands!$A$2:$A$300,UPPER(B855))&gt;0))</f>
        <v/>
      </c>
      <c r="G855" s="62" t="str">
        <f t="shared" si="55"/>
        <v/>
      </c>
      <c r="H855" s="62" t="str">
        <f>IF(AND('Data Export'!A855=前十整体车型排名!$B$2,'Data Export'!B855=前十整体车型排名!$B$3,'Data Export'!D855&lt;&gt;""),UPPER('Data Export'!C855)&amp;"♦"&amp;'Data Export'!D855,"")</f>
        <v>TOYOTA♦GR86</v>
      </c>
      <c r="I855" s="63">
        <f>IF(H855="","",IFERROR(INDEX('Data Export'!G855:CZ855,1,MATCH(前十整体车型排名!$B$4,'Data Export'!$G$1:$CZ$1,0)),0))</f>
        <v>0</v>
      </c>
      <c r="J855" s="62" t="str">
        <f>IF(H855="","",IF(OR('Data Export'!F855="三厢轿车",'Data Export'!F855="掀背轿车",'Data Export'!F855="旅行车",'Data Export'!F855="微型车",'Data Export'!F855="硬顶跑车",'Data Export'!F855="敞蓬车",'Data Export'!F855="Targa"),"轿车",IF(OR('Data Export'!F855="小型MPV",'Data Export'!F855="客车"),"MPV",IF('Data Export'!F855="运动型多功能车","SUV","其他"))))</f>
        <v>轿车</v>
      </c>
      <c r="K855" s="62" t="str">
        <f>IF(OR(D855="",NOT(F855=1)),"",1+SUMPRODUCT(($F$2:$F$1001=1)*($D$2:$D$1001&gt;D855))+COUNTIFS($F$2:F855,1,$D$2:D855,D855)-1)</f>
        <v/>
      </c>
      <c r="L855" s="62" t="str">
        <f>IF(OR(D855="",NOT(G855="轿车")),"",1+SUMPRODUCT(($G$2:$G$1001="轿车")*($D$2:$D$1001&gt;D855))+COUNTIFS($G$2:G855,"轿车",$D$2:D855,D855)-1)</f>
        <v/>
      </c>
      <c r="M855" s="62" t="str">
        <f>IF(OR(D855="",NOT(G855="MPV")),"",1+SUMPRODUCT(($G$2:$G$1001="MPV")*($D$2:$D$1001&gt;D855))+COUNTIFS($G$2:G855,"MPV",$D$2:D855,D855)-1)</f>
        <v/>
      </c>
      <c r="N855" s="62" t="str">
        <f>IF(OR(D855="",NOT(G855="SUV")),"",1+SUMPRODUCT(($G$2:$G$1001="SUV")*($D$2:$D$1001&gt;D855))+COUNTIFS($G$2:G855,"SUV",$D$2:D855,D855)-1)</f>
        <v/>
      </c>
      <c r="O855" s="62" t="str">
        <f>IF(OR(D855="",NOT(AND(F855=1,G855="轿车"))),"",1+SUMPRODUCT(($F$2:$F$1001=1)*($G$2:$G$1001="轿车")*($D$2:$D$1001&gt;D855))+COUNTIFS($F$2:F855,1,$G$2:G855,"轿车",$D$2:D855,D855)-1)</f>
        <v/>
      </c>
      <c r="P855" s="62" t="str">
        <f>IF(OR(D855="",NOT(AND(F855=1,G855="MPV"))),"",1+SUMPRODUCT(($F$2:$F$1001=1)*($G$2:$G$1001="MPV")*($D$2:$D$1001&gt;D855))+COUNTIFS($F$2:F855,1,$G$2:G855,"MPV",$D$2:D855,D855)-1)</f>
        <v/>
      </c>
      <c r="Q855" s="62" t="str">
        <f>IF(OR(D855="",NOT(AND(F855=1,G855="SUV"))),"",1+SUMPRODUCT(($F$2:$F$1001=1)*($G$2:$G$1001="SUV")*($D$2:$D$1001&gt;D855))+COUNTIFS($F$2:F855,1,$G$2:G855,"SUV",$D$2:D855,D855)-1)</f>
        <v/>
      </c>
    </row>
    <row r="856" spans="1:17">
      <c r="A856" s="62" t="str">
        <f>IFERROR(INDEX($H$2:$H$3000,MATCH(0,INDEX(COUNTIF($A$1:A855,$H$2:$H$3000)+($H$2:$H$3000=""),0,0),0)),"")</f>
        <v/>
      </c>
      <c r="B856" s="62" t="str">
        <f t="shared" si="52"/>
        <v/>
      </c>
      <c r="C856" s="62" t="str">
        <f t="shared" si="53"/>
        <v/>
      </c>
      <c r="D856" s="63" t="str">
        <f t="shared" si="54"/>
        <v/>
      </c>
      <c r="E856" s="62" t="str">
        <f>IF(D856="","",_xlfn.RANK.EQ(D856,$D$2:$D$1001,0)+COUNTIF($D$2:D856,D856)-1)</f>
        <v/>
      </c>
      <c r="F856" s="62" t="str">
        <f>IF(B856="","",--(COUNTIF(CN_Brands!$A$2:$A$300,UPPER(B856))&gt;0))</f>
        <v/>
      </c>
      <c r="G856" s="62" t="str">
        <f t="shared" si="55"/>
        <v/>
      </c>
      <c r="H856" s="62" t="str">
        <f>IF(AND('Data Export'!A856=前十整体车型排名!$B$2,'Data Export'!B856=前十整体车型排名!$B$3,'Data Export'!D856&lt;&gt;""),UPPER('Data Export'!C856)&amp;"♦"&amp;'Data Export'!D856,"")</f>
        <v>TOYOTA♦GR86</v>
      </c>
      <c r="I856" s="63">
        <f>IF(H856="","",IFERROR(INDEX('Data Export'!G856:CZ856,1,MATCH(前十整体车型排名!$B$4,'Data Export'!$G$1:$CZ$1,0)),0))</f>
        <v>1</v>
      </c>
      <c r="J856" s="62" t="str">
        <f>IF(H856="","",IF(OR('Data Export'!F856="三厢轿车",'Data Export'!F856="掀背轿车",'Data Export'!F856="旅行车",'Data Export'!F856="微型车",'Data Export'!F856="硬顶跑车",'Data Export'!F856="敞蓬车",'Data Export'!F856="Targa"),"轿车",IF(OR('Data Export'!F856="小型MPV",'Data Export'!F856="客车"),"MPV",IF('Data Export'!F856="运动型多功能车","SUV","其他"))))</f>
        <v>轿车</v>
      </c>
      <c r="K856" s="62" t="str">
        <f>IF(OR(D856="",NOT(F856=1)),"",1+SUMPRODUCT(($F$2:$F$1001=1)*($D$2:$D$1001&gt;D856))+COUNTIFS($F$2:F856,1,$D$2:D856,D856)-1)</f>
        <v/>
      </c>
      <c r="L856" s="62" t="str">
        <f>IF(OR(D856="",NOT(G856="轿车")),"",1+SUMPRODUCT(($G$2:$G$1001="轿车")*($D$2:$D$1001&gt;D856))+COUNTIFS($G$2:G856,"轿车",$D$2:D856,D856)-1)</f>
        <v/>
      </c>
      <c r="M856" s="62" t="str">
        <f>IF(OR(D856="",NOT(G856="MPV")),"",1+SUMPRODUCT(($G$2:$G$1001="MPV")*($D$2:$D$1001&gt;D856))+COUNTIFS($G$2:G856,"MPV",$D$2:D856,D856)-1)</f>
        <v/>
      </c>
      <c r="N856" s="62" t="str">
        <f>IF(OR(D856="",NOT(G856="SUV")),"",1+SUMPRODUCT(($G$2:$G$1001="SUV")*($D$2:$D$1001&gt;D856))+COUNTIFS($G$2:G856,"SUV",$D$2:D856,D856)-1)</f>
        <v/>
      </c>
      <c r="O856" s="62" t="str">
        <f>IF(OR(D856="",NOT(AND(F856=1,G856="轿车"))),"",1+SUMPRODUCT(($F$2:$F$1001=1)*($G$2:$G$1001="轿车")*($D$2:$D$1001&gt;D856))+COUNTIFS($F$2:F856,1,$G$2:G856,"轿车",$D$2:D856,D856)-1)</f>
        <v/>
      </c>
      <c r="P856" s="62" t="str">
        <f>IF(OR(D856="",NOT(AND(F856=1,G856="MPV"))),"",1+SUMPRODUCT(($F$2:$F$1001=1)*($G$2:$G$1001="MPV")*($D$2:$D$1001&gt;D856))+COUNTIFS($F$2:F856,1,$G$2:G856,"MPV",$D$2:D856,D856)-1)</f>
        <v/>
      </c>
      <c r="Q856" s="62" t="str">
        <f>IF(OR(D856="",NOT(AND(F856=1,G856="SUV"))),"",1+SUMPRODUCT(($F$2:$F$1001=1)*($G$2:$G$1001="SUV")*($D$2:$D$1001&gt;D856))+COUNTIFS($F$2:F856,1,$G$2:G856,"SUV",$D$2:D856,D856)-1)</f>
        <v/>
      </c>
    </row>
    <row r="857" spans="1:17">
      <c r="A857" s="62" t="str">
        <f>IFERROR(INDEX($H$2:$H$3000,MATCH(0,INDEX(COUNTIF($A$1:A856,$H$2:$H$3000)+($H$2:$H$3000=""),0,0),0)),"")</f>
        <v/>
      </c>
      <c r="B857" s="62" t="str">
        <f t="shared" si="52"/>
        <v/>
      </c>
      <c r="C857" s="62" t="str">
        <f t="shared" si="53"/>
        <v/>
      </c>
      <c r="D857" s="63" t="str">
        <f t="shared" si="54"/>
        <v/>
      </c>
      <c r="E857" s="62" t="str">
        <f>IF(D857="","",_xlfn.RANK.EQ(D857,$D$2:$D$1001,0)+COUNTIF($D$2:D857,D857)-1)</f>
        <v/>
      </c>
      <c r="F857" s="62" t="str">
        <f>IF(B857="","",--(COUNTIF(CN_Brands!$A$2:$A$300,UPPER(B857))&gt;0))</f>
        <v/>
      </c>
      <c r="G857" s="62" t="str">
        <f t="shared" si="55"/>
        <v/>
      </c>
      <c r="H857" s="62" t="str">
        <f>IF(AND('Data Export'!A857=前十整体车型排名!$B$2,'Data Export'!B857=前十整体车型排名!$B$3,'Data Export'!D857&lt;&gt;""),UPPER('Data Export'!C857)&amp;"♦"&amp;'Data Export'!D857,"")</f>
        <v>TOYOTA♦GR86</v>
      </c>
      <c r="I857" s="63">
        <f>IF(H857="","",IFERROR(INDEX('Data Export'!G857:CZ857,1,MATCH(前十整体车型排名!$B$4,'Data Export'!$G$1:$CZ$1,0)),0))</f>
        <v>0</v>
      </c>
      <c r="J857" s="62" t="str">
        <f>IF(H857="","",IF(OR('Data Export'!F857="三厢轿车",'Data Export'!F857="掀背轿车",'Data Export'!F857="旅行车",'Data Export'!F857="微型车",'Data Export'!F857="硬顶跑车",'Data Export'!F857="敞蓬车",'Data Export'!F857="Targa"),"轿车",IF(OR('Data Export'!F857="小型MPV",'Data Export'!F857="客车"),"MPV",IF('Data Export'!F857="运动型多功能车","SUV","其他"))))</f>
        <v>轿车</v>
      </c>
      <c r="K857" s="62" t="str">
        <f>IF(OR(D857="",NOT(F857=1)),"",1+SUMPRODUCT(($F$2:$F$1001=1)*($D$2:$D$1001&gt;D857))+COUNTIFS($F$2:F857,1,$D$2:D857,D857)-1)</f>
        <v/>
      </c>
      <c r="L857" s="62" t="str">
        <f>IF(OR(D857="",NOT(G857="轿车")),"",1+SUMPRODUCT(($G$2:$G$1001="轿车")*($D$2:$D$1001&gt;D857))+COUNTIFS($G$2:G857,"轿车",$D$2:D857,D857)-1)</f>
        <v/>
      </c>
      <c r="M857" s="62" t="str">
        <f>IF(OR(D857="",NOT(G857="MPV")),"",1+SUMPRODUCT(($G$2:$G$1001="MPV")*($D$2:$D$1001&gt;D857))+COUNTIFS($G$2:G857,"MPV",$D$2:D857,D857)-1)</f>
        <v/>
      </c>
      <c r="N857" s="62" t="str">
        <f>IF(OR(D857="",NOT(G857="SUV")),"",1+SUMPRODUCT(($G$2:$G$1001="SUV")*($D$2:$D$1001&gt;D857))+COUNTIFS($G$2:G857,"SUV",$D$2:D857,D857)-1)</f>
        <v/>
      </c>
      <c r="O857" s="62" t="str">
        <f>IF(OR(D857="",NOT(AND(F857=1,G857="轿车"))),"",1+SUMPRODUCT(($F$2:$F$1001=1)*($G$2:$G$1001="轿车")*($D$2:$D$1001&gt;D857))+COUNTIFS($F$2:F857,1,$G$2:G857,"轿车",$D$2:D857,D857)-1)</f>
        <v/>
      </c>
      <c r="P857" s="62" t="str">
        <f>IF(OR(D857="",NOT(AND(F857=1,G857="MPV"))),"",1+SUMPRODUCT(($F$2:$F$1001=1)*($G$2:$G$1001="MPV")*($D$2:$D$1001&gt;D857))+COUNTIFS($F$2:F857,1,$G$2:G857,"MPV",$D$2:D857,D857)-1)</f>
        <v/>
      </c>
      <c r="Q857" s="62" t="str">
        <f>IF(OR(D857="",NOT(AND(F857=1,G857="SUV"))),"",1+SUMPRODUCT(($F$2:$F$1001=1)*($G$2:$G$1001="SUV")*($D$2:$D$1001&gt;D857))+COUNTIFS($F$2:F857,1,$G$2:G857,"SUV",$D$2:D857,D857)-1)</f>
        <v/>
      </c>
    </row>
    <row r="858" spans="1:17">
      <c r="A858" s="62" t="str">
        <f>IFERROR(INDEX($H$2:$H$3000,MATCH(0,INDEX(COUNTIF($A$1:A857,$H$2:$H$3000)+($H$2:$H$3000=""),0,0),0)),"")</f>
        <v/>
      </c>
      <c r="B858" s="62" t="str">
        <f t="shared" si="52"/>
        <v/>
      </c>
      <c r="C858" s="62" t="str">
        <f t="shared" si="53"/>
        <v/>
      </c>
      <c r="D858" s="63" t="str">
        <f t="shared" si="54"/>
        <v/>
      </c>
      <c r="E858" s="62" t="str">
        <f>IF(D858="","",_xlfn.RANK.EQ(D858,$D$2:$D$1001,0)+COUNTIF($D$2:D858,D858)-1)</f>
        <v/>
      </c>
      <c r="F858" s="62" t="str">
        <f>IF(B858="","",--(COUNTIF(CN_Brands!$A$2:$A$300,UPPER(B858))&gt;0))</f>
        <v/>
      </c>
      <c r="G858" s="62" t="str">
        <f t="shared" si="55"/>
        <v/>
      </c>
      <c r="H858" s="62" t="str">
        <f>IF(AND('Data Export'!A858=前十整体车型排名!$B$2,'Data Export'!B858=前十整体车型排名!$B$3,'Data Export'!D858&lt;&gt;""),UPPER('Data Export'!C858)&amp;"♦"&amp;'Data Export'!D858,"")</f>
        <v>TOYOTA♦GR86</v>
      </c>
      <c r="I858" s="63">
        <f>IF(H858="","",IFERROR(INDEX('Data Export'!G858:CZ858,1,MATCH(前十整体车型排名!$B$4,'Data Export'!$G$1:$CZ$1,0)),0))</f>
        <v>0</v>
      </c>
      <c r="J858" s="62" t="str">
        <f>IF(H858="","",IF(OR('Data Export'!F858="三厢轿车",'Data Export'!F858="掀背轿车",'Data Export'!F858="旅行车",'Data Export'!F858="微型车",'Data Export'!F858="硬顶跑车",'Data Export'!F858="敞蓬车",'Data Export'!F858="Targa"),"轿车",IF(OR('Data Export'!F858="小型MPV",'Data Export'!F858="客车"),"MPV",IF('Data Export'!F858="运动型多功能车","SUV","其他"))))</f>
        <v>轿车</v>
      </c>
      <c r="K858" s="62" t="str">
        <f>IF(OR(D858="",NOT(F858=1)),"",1+SUMPRODUCT(($F$2:$F$1001=1)*($D$2:$D$1001&gt;D858))+COUNTIFS($F$2:F858,1,$D$2:D858,D858)-1)</f>
        <v/>
      </c>
      <c r="L858" s="62" t="str">
        <f>IF(OR(D858="",NOT(G858="轿车")),"",1+SUMPRODUCT(($G$2:$G$1001="轿车")*($D$2:$D$1001&gt;D858))+COUNTIFS($G$2:G858,"轿车",$D$2:D858,D858)-1)</f>
        <v/>
      </c>
      <c r="M858" s="62" t="str">
        <f>IF(OR(D858="",NOT(G858="MPV")),"",1+SUMPRODUCT(($G$2:$G$1001="MPV")*($D$2:$D$1001&gt;D858))+COUNTIFS($G$2:G858,"MPV",$D$2:D858,D858)-1)</f>
        <v/>
      </c>
      <c r="N858" s="62" t="str">
        <f>IF(OR(D858="",NOT(G858="SUV")),"",1+SUMPRODUCT(($G$2:$G$1001="SUV")*($D$2:$D$1001&gt;D858))+COUNTIFS($G$2:G858,"SUV",$D$2:D858,D858)-1)</f>
        <v/>
      </c>
      <c r="O858" s="62" t="str">
        <f>IF(OR(D858="",NOT(AND(F858=1,G858="轿车"))),"",1+SUMPRODUCT(($F$2:$F$1001=1)*($G$2:$G$1001="轿车")*($D$2:$D$1001&gt;D858))+COUNTIFS($F$2:F858,1,$G$2:G858,"轿车",$D$2:D858,D858)-1)</f>
        <v/>
      </c>
      <c r="P858" s="62" t="str">
        <f>IF(OR(D858="",NOT(AND(F858=1,G858="MPV"))),"",1+SUMPRODUCT(($F$2:$F$1001=1)*($G$2:$G$1001="MPV")*($D$2:$D$1001&gt;D858))+COUNTIFS($F$2:F858,1,$G$2:G858,"MPV",$D$2:D858,D858)-1)</f>
        <v/>
      </c>
      <c r="Q858" s="62" t="str">
        <f>IF(OR(D858="",NOT(AND(F858=1,G858="SUV"))),"",1+SUMPRODUCT(($F$2:$F$1001=1)*($G$2:$G$1001="SUV")*($D$2:$D$1001&gt;D858))+COUNTIFS($F$2:F858,1,$G$2:G858,"SUV",$D$2:D858,D858)-1)</f>
        <v/>
      </c>
    </row>
    <row r="859" spans="1:17">
      <c r="A859" s="62" t="str">
        <f>IFERROR(INDEX($H$2:$H$3000,MATCH(0,INDEX(COUNTIF($A$1:A858,$H$2:$H$3000)+($H$2:$H$3000=""),0,0),0)),"")</f>
        <v/>
      </c>
      <c r="B859" s="62" t="str">
        <f t="shared" si="52"/>
        <v/>
      </c>
      <c r="C859" s="62" t="str">
        <f t="shared" si="53"/>
        <v/>
      </c>
      <c r="D859" s="63" t="str">
        <f t="shared" si="54"/>
        <v/>
      </c>
      <c r="E859" s="62" t="str">
        <f>IF(D859="","",_xlfn.RANK.EQ(D859,$D$2:$D$1001,0)+COUNTIF($D$2:D859,D859)-1)</f>
        <v/>
      </c>
      <c r="F859" s="62" t="str">
        <f>IF(B859="","",--(COUNTIF(CN_Brands!$A$2:$A$300,UPPER(B859))&gt;0))</f>
        <v/>
      </c>
      <c r="G859" s="62" t="str">
        <f t="shared" si="55"/>
        <v/>
      </c>
      <c r="H859" s="62" t="str">
        <f>IF(AND('Data Export'!A859=前十整体车型排名!$B$2,'Data Export'!B859=前十整体车型排名!$B$3,'Data Export'!D859&lt;&gt;""),UPPER('Data Export'!C859)&amp;"♦"&amp;'Data Export'!D859,"")</f>
        <v>TOYOTA♦GR86</v>
      </c>
      <c r="I859" s="63">
        <f>IF(H859="","",IFERROR(INDEX('Data Export'!G859:CZ859,1,MATCH(前十整体车型排名!$B$4,'Data Export'!$G$1:$CZ$1,0)),0))</f>
        <v>1</v>
      </c>
      <c r="J859" s="62" t="str">
        <f>IF(H859="","",IF(OR('Data Export'!F859="三厢轿车",'Data Export'!F859="掀背轿车",'Data Export'!F859="旅行车",'Data Export'!F859="微型车",'Data Export'!F859="硬顶跑车",'Data Export'!F859="敞蓬车",'Data Export'!F859="Targa"),"轿车",IF(OR('Data Export'!F859="小型MPV",'Data Export'!F859="客车"),"MPV",IF('Data Export'!F859="运动型多功能车","SUV","其他"))))</f>
        <v>轿车</v>
      </c>
      <c r="K859" s="62" t="str">
        <f>IF(OR(D859="",NOT(F859=1)),"",1+SUMPRODUCT(($F$2:$F$1001=1)*($D$2:$D$1001&gt;D859))+COUNTIFS($F$2:F859,1,$D$2:D859,D859)-1)</f>
        <v/>
      </c>
      <c r="L859" s="62" t="str">
        <f>IF(OR(D859="",NOT(G859="轿车")),"",1+SUMPRODUCT(($G$2:$G$1001="轿车")*($D$2:$D$1001&gt;D859))+COUNTIFS($G$2:G859,"轿车",$D$2:D859,D859)-1)</f>
        <v/>
      </c>
      <c r="M859" s="62" t="str">
        <f>IF(OR(D859="",NOT(G859="MPV")),"",1+SUMPRODUCT(($G$2:$G$1001="MPV")*($D$2:$D$1001&gt;D859))+COUNTIFS($G$2:G859,"MPV",$D$2:D859,D859)-1)</f>
        <v/>
      </c>
      <c r="N859" s="62" t="str">
        <f>IF(OR(D859="",NOT(G859="SUV")),"",1+SUMPRODUCT(($G$2:$G$1001="SUV")*($D$2:$D$1001&gt;D859))+COUNTIFS($G$2:G859,"SUV",$D$2:D859,D859)-1)</f>
        <v/>
      </c>
      <c r="O859" s="62" t="str">
        <f>IF(OR(D859="",NOT(AND(F859=1,G859="轿车"))),"",1+SUMPRODUCT(($F$2:$F$1001=1)*($G$2:$G$1001="轿车")*($D$2:$D$1001&gt;D859))+COUNTIFS($F$2:F859,1,$G$2:G859,"轿车",$D$2:D859,D859)-1)</f>
        <v/>
      </c>
      <c r="P859" s="62" t="str">
        <f>IF(OR(D859="",NOT(AND(F859=1,G859="MPV"))),"",1+SUMPRODUCT(($F$2:$F$1001=1)*($G$2:$G$1001="MPV")*($D$2:$D$1001&gt;D859))+COUNTIFS($F$2:F859,1,$G$2:G859,"MPV",$D$2:D859,D859)-1)</f>
        <v/>
      </c>
      <c r="Q859" s="62" t="str">
        <f>IF(OR(D859="",NOT(AND(F859=1,G859="SUV"))),"",1+SUMPRODUCT(($F$2:$F$1001=1)*($G$2:$G$1001="SUV")*($D$2:$D$1001&gt;D859))+COUNTIFS($F$2:F859,1,$G$2:G859,"SUV",$D$2:D859,D859)-1)</f>
        <v/>
      </c>
    </row>
    <row r="860" spans="1:17">
      <c r="A860" s="62" t="str">
        <f>IFERROR(INDEX($H$2:$H$3000,MATCH(0,INDEX(COUNTIF($A$1:A859,$H$2:$H$3000)+($H$2:$H$3000=""),0,0),0)),"")</f>
        <v/>
      </c>
      <c r="B860" s="62" t="str">
        <f t="shared" si="52"/>
        <v/>
      </c>
      <c r="C860" s="62" t="str">
        <f t="shared" si="53"/>
        <v/>
      </c>
      <c r="D860" s="63" t="str">
        <f t="shared" si="54"/>
        <v/>
      </c>
      <c r="E860" s="62" t="str">
        <f>IF(D860="","",_xlfn.RANK.EQ(D860,$D$2:$D$1001,0)+COUNTIF($D$2:D860,D860)-1)</f>
        <v/>
      </c>
      <c r="F860" s="62" t="str">
        <f>IF(B860="","",--(COUNTIF(CN_Brands!$A$2:$A$300,UPPER(B860))&gt;0))</f>
        <v/>
      </c>
      <c r="G860" s="62" t="str">
        <f t="shared" si="55"/>
        <v/>
      </c>
      <c r="H860" s="62" t="str">
        <f>IF(AND('Data Export'!A860=前十整体车型排名!$B$2,'Data Export'!B860=前十整体车型排名!$B$3,'Data Export'!D860&lt;&gt;""),UPPER('Data Export'!C860)&amp;"♦"&amp;'Data Export'!D860,"")</f>
        <v>TOYOTA♦GR86</v>
      </c>
      <c r="I860" s="63">
        <f>IF(H860="","",IFERROR(INDEX('Data Export'!G860:CZ860,1,MATCH(前十整体车型排名!$B$4,'Data Export'!$G$1:$CZ$1,0)),0))</f>
        <v>0</v>
      </c>
      <c r="J860" s="62" t="str">
        <f>IF(H860="","",IF(OR('Data Export'!F860="三厢轿车",'Data Export'!F860="掀背轿车",'Data Export'!F860="旅行车",'Data Export'!F860="微型车",'Data Export'!F860="硬顶跑车",'Data Export'!F860="敞蓬车",'Data Export'!F860="Targa"),"轿车",IF(OR('Data Export'!F860="小型MPV",'Data Export'!F860="客车"),"MPV",IF('Data Export'!F860="运动型多功能车","SUV","其他"))))</f>
        <v>轿车</v>
      </c>
      <c r="K860" s="62" t="str">
        <f>IF(OR(D860="",NOT(F860=1)),"",1+SUMPRODUCT(($F$2:$F$1001=1)*($D$2:$D$1001&gt;D860))+COUNTIFS($F$2:F860,1,$D$2:D860,D860)-1)</f>
        <v/>
      </c>
      <c r="L860" s="62" t="str">
        <f>IF(OR(D860="",NOT(G860="轿车")),"",1+SUMPRODUCT(($G$2:$G$1001="轿车")*($D$2:$D$1001&gt;D860))+COUNTIFS($G$2:G860,"轿车",$D$2:D860,D860)-1)</f>
        <v/>
      </c>
      <c r="M860" s="62" t="str">
        <f>IF(OR(D860="",NOT(G860="MPV")),"",1+SUMPRODUCT(($G$2:$G$1001="MPV")*($D$2:$D$1001&gt;D860))+COUNTIFS($G$2:G860,"MPV",$D$2:D860,D860)-1)</f>
        <v/>
      </c>
      <c r="N860" s="62" t="str">
        <f>IF(OR(D860="",NOT(G860="SUV")),"",1+SUMPRODUCT(($G$2:$G$1001="SUV")*($D$2:$D$1001&gt;D860))+COUNTIFS($G$2:G860,"SUV",$D$2:D860,D860)-1)</f>
        <v/>
      </c>
      <c r="O860" s="62" t="str">
        <f>IF(OR(D860="",NOT(AND(F860=1,G860="轿车"))),"",1+SUMPRODUCT(($F$2:$F$1001=1)*($G$2:$G$1001="轿车")*($D$2:$D$1001&gt;D860))+COUNTIFS($F$2:F860,1,$G$2:G860,"轿车",$D$2:D860,D860)-1)</f>
        <v/>
      </c>
      <c r="P860" s="62" t="str">
        <f>IF(OR(D860="",NOT(AND(F860=1,G860="MPV"))),"",1+SUMPRODUCT(($F$2:$F$1001=1)*($G$2:$G$1001="MPV")*($D$2:$D$1001&gt;D860))+COUNTIFS($F$2:F860,1,$G$2:G860,"MPV",$D$2:D860,D860)-1)</f>
        <v/>
      </c>
      <c r="Q860" s="62" t="str">
        <f>IF(OR(D860="",NOT(AND(F860=1,G860="SUV"))),"",1+SUMPRODUCT(($F$2:$F$1001=1)*($G$2:$G$1001="SUV")*($D$2:$D$1001&gt;D860))+COUNTIFS($F$2:F860,1,$G$2:G860,"SUV",$D$2:D860,D860)-1)</f>
        <v/>
      </c>
    </row>
    <row r="861" spans="1:17">
      <c r="A861" s="62" t="str">
        <f>IFERROR(INDEX($H$2:$H$3000,MATCH(0,INDEX(COUNTIF($A$1:A860,$H$2:$H$3000)+($H$2:$H$3000=""),0,0),0)),"")</f>
        <v/>
      </c>
      <c r="B861" s="62" t="str">
        <f t="shared" si="52"/>
        <v/>
      </c>
      <c r="C861" s="62" t="str">
        <f t="shared" si="53"/>
        <v/>
      </c>
      <c r="D861" s="63" t="str">
        <f t="shared" si="54"/>
        <v/>
      </c>
      <c r="E861" s="62" t="str">
        <f>IF(D861="","",_xlfn.RANK.EQ(D861,$D$2:$D$1001,0)+COUNTIF($D$2:D861,D861)-1)</f>
        <v/>
      </c>
      <c r="F861" s="62" t="str">
        <f>IF(B861="","",--(COUNTIF(CN_Brands!$A$2:$A$300,UPPER(B861))&gt;0))</f>
        <v/>
      </c>
      <c r="G861" s="62" t="str">
        <f t="shared" si="55"/>
        <v/>
      </c>
      <c r="H861" s="62" t="str">
        <f>IF(AND('Data Export'!A861=前十整体车型排名!$B$2,'Data Export'!B861=前十整体车型排名!$B$3,'Data Export'!D861&lt;&gt;""),UPPER('Data Export'!C861)&amp;"♦"&amp;'Data Export'!D861,"")</f>
        <v>TOYOTA♦HARRIER</v>
      </c>
      <c r="I861" s="63">
        <f>IF(H861="","",IFERROR(INDEX('Data Export'!G861:CZ861,1,MATCH(前十整体车型排名!$B$4,'Data Export'!$G$1:$CZ$1,0)),0))</f>
        <v>0</v>
      </c>
      <c r="J861" s="62" t="str">
        <f>IF(H861="","",IF(OR('Data Export'!F861="三厢轿车",'Data Export'!F861="掀背轿车",'Data Export'!F861="旅行车",'Data Export'!F861="微型车",'Data Export'!F861="硬顶跑车",'Data Export'!F861="敞蓬车",'Data Export'!F861="Targa"),"轿车",IF(OR('Data Export'!F861="小型MPV",'Data Export'!F861="客车"),"MPV",IF('Data Export'!F861="运动型多功能车","SUV","其他"))))</f>
        <v>SUV</v>
      </c>
      <c r="K861" s="62" t="str">
        <f>IF(OR(D861="",NOT(F861=1)),"",1+SUMPRODUCT(($F$2:$F$1001=1)*($D$2:$D$1001&gt;D861))+COUNTIFS($F$2:F861,1,$D$2:D861,D861)-1)</f>
        <v/>
      </c>
      <c r="L861" s="62" t="str">
        <f>IF(OR(D861="",NOT(G861="轿车")),"",1+SUMPRODUCT(($G$2:$G$1001="轿车")*($D$2:$D$1001&gt;D861))+COUNTIFS($G$2:G861,"轿车",$D$2:D861,D861)-1)</f>
        <v/>
      </c>
      <c r="M861" s="62" t="str">
        <f>IF(OR(D861="",NOT(G861="MPV")),"",1+SUMPRODUCT(($G$2:$G$1001="MPV")*($D$2:$D$1001&gt;D861))+COUNTIFS($G$2:G861,"MPV",$D$2:D861,D861)-1)</f>
        <v/>
      </c>
      <c r="N861" s="62" t="str">
        <f>IF(OR(D861="",NOT(G861="SUV")),"",1+SUMPRODUCT(($G$2:$G$1001="SUV")*($D$2:$D$1001&gt;D861))+COUNTIFS($G$2:G861,"SUV",$D$2:D861,D861)-1)</f>
        <v/>
      </c>
      <c r="O861" s="62" t="str">
        <f>IF(OR(D861="",NOT(AND(F861=1,G861="轿车"))),"",1+SUMPRODUCT(($F$2:$F$1001=1)*($G$2:$G$1001="轿车")*($D$2:$D$1001&gt;D861))+COUNTIFS($F$2:F861,1,$G$2:G861,"轿车",$D$2:D861,D861)-1)</f>
        <v/>
      </c>
      <c r="P861" s="62" t="str">
        <f>IF(OR(D861="",NOT(AND(F861=1,G861="MPV"))),"",1+SUMPRODUCT(($F$2:$F$1001=1)*($G$2:$G$1001="MPV")*($D$2:$D$1001&gt;D861))+COUNTIFS($F$2:F861,1,$G$2:G861,"MPV",$D$2:D861,D861)-1)</f>
        <v/>
      </c>
      <c r="Q861" s="62" t="str">
        <f>IF(OR(D861="",NOT(AND(F861=1,G861="SUV"))),"",1+SUMPRODUCT(($F$2:$F$1001=1)*($G$2:$G$1001="SUV")*($D$2:$D$1001&gt;D861))+COUNTIFS($F$2:F861,1,$G$2:G861,"SUV",$D$2:D861,D861)-1)</f>
        <v/>
      </c>
    </row>
    <row r="862" spans="1:17">
      <c r="A862" s="62" t="str">
        <f>IFERROR(INDEX($H$2:$H$3000,MATCH(0,INDEX(COUNTIF($A$1:A861,$H$2:$H$3000)+($H$2:$H$3000=""),0,0),0)),"")</f>
        <v/>
      </c>
      <c r="B862" s="62" t="str">
        <f t="shared" si="52"/>
        <v/>
      </c>
      <c r="C862" s="62" t="str">
        <f t="shared" si="53"/>
        <v/>
      </c>
      <c r="D862" s="63" t="str">
        <f t="shared" si="54"/>
        <v/>
      </c>
      <c r="E862" s="62" t="str">
        <f>IF(D862="","",_xlfn.RANK.EQ(D862,$D$2:$D$1001,0)+COUNTIF($D$2:D862,D862)-1)</f>
        <v/>
      </c>
      <c r="F862" s="62" t="str">
        <f>IF(B862="","",--(COUNTIF(CN_Brands!$A$2:$A$300,UPPER(B862))&gt;0))</f>
        <v/>
      </c>
      <c r="G862" s="62" t="str">
        <f t="shared" si="55"/>
        <v/>
      </c>
      <c r="H862" s="62" t="str">
        <f>IF(AND('Data Export'!A862=前十整体车型排名!$B$2,'Data Export'!B862=前十整体车型排名!$B$3,'Data Export'!D862&lt;&gt;""),UPPER('Data Export'!C862)&amp;"♦"&amp;'Data Export'!D862,"")</f>
        <v>TOYOTA♦HARRIER</v>
      </c>
      <c r="I862" s="63">
        <f>IF(H862="","",IFERROR(INDEX('Data Export'!G862:CZ862,1,MATCH(前十整体车型排名!$B$4,'Data Export'!$G$1:$CZ$1,0)),0))</f>
        <v>0</v>
      </c>
      <c r="J862" s="62" t="str">
        <f>IF(H862="","",IF(OR('Data Export'!F862="三厢轿车",'Data Export'!F862="掀背轿车",'Data Export'!F862="旅行车",'Data Export'!F862="微型车",'Data Export'!F862="硬顶跑车",'Data Export'!F862="敞蓬车",'Data Export'!F862="Targa"),"轿车",IF(OR('Data Export'!F862="小型MPV",'Data Export'!F862="客车"),"MPV",IF('Data Export'!F862="运动型多功能车","SUV","其他"))))</f>
        <v>SUV</v>
      </c>
      <c r="K862" s="62" t="str">
        <f>IF(OR(D862="",NOT(F862=1)),"",1+SUMPRODUCT(($F$2:$F$1001=1)*($D$2:$D$1001&gt;D862))+COUNTIFS($F$2:F862,1,$D$2:D862,D862)-1)</f>
        <v/>
      </c>
      <c r="L862" s="62" t="str">
        <f>IF(OR(D862="",NOT(G862="轿车")),"",1+SUMPRODUCT(($G$2:$G$1001="轿车")*($D$2:$D$1001&gt;D862))+COUNTIFS($G$2:G862,"轿车",$D$2:D862,D862)-1)</f>
        <v/>
      </c>
      <c r="M862" s="62" t="str">
        <f>IF(OR(D862="",NOT(G862="MPV")),"",1+SUMPRODUCT(($G$2:$G$1001="MPV")*($D$2:$D$1001&gt;D862))+COUNTIFS($G$2:G862,"MPV",$D$2:D862,D862)-1)</f>
        <v/>
      </c>
      <c r="N862" s="62" t="str">
        <f>IF(OR(D862="",NOT(G862="SUV")),"",1+SUMPRODUCT(($G$2:$G$1001="SUV")*($D$2:$D$1001&gt;D862))+COUNTIFS($G$2:G862,"SUV",$D$2:D862,D862)-1)</f>
        <v/>
      </c>
      <c r="O862" s="62" t="str">
        <f>IF(OR(D862="",NOT(AND(F862=1,G862="轿车"))),"",1+SUMPRODUCT(($F$2:$F$1001=1)*($G$2:$G$1001="轿车")*($D$2:$D$1001&gt;D862))+COUNTIFS($F$2:F862,1,$G$2:G862,"轿车",$D$2:D862,D862)-1)</f>
        <v/>
      </c>
      <c r="P862" s="62" t="str">
        <f>IF(OR(D862="",NOT(AND(F862=1,G862="MPV"))),"",1+SUMPRODUCT(($F$2:$F$1001=1)*($G$2:$G$1001="MPV")*($D$2:$D$1001&gt;D862))+COUNTIFS($F$2:F862,1,$G$2:G862,"MPV",$D$2:D862,D862)-1)</f>
        <v/>
      </c>
      <c r="Q862" s="62" t="str">
        <f>IF(OR(D862="",NOT(AND(F862=1,G862="SUV"))),"",1+SUMPRODUCT(($F$2:$F$1001=1)*($G$2:$G$1001="SUV")*($D$2:$D$1001&gt;D862))+COUNTIFS($F$2:F862,1,$G$2:G862,"SUV",$D$2:D862,D862)-1)</f>
        <v/>
      </c>
    </row>
    <row r="863" spans="1:17">
      <c r="A863" s="62" t="str">
        <f>IFERROR(INDEX($H$2:$H$3000,MATCH(0,INDEX(COUNTIF($A$1:A862,$H$2:$H$3000)+($H$2:$H$3000=""),0,0),0)),"")</f>
        <v/>
      </c>
      <c r="B863" s="62" t="str">
        <f t="shared" si="52"/>
        <v/>
      </c>
      <c r="C863" s="62" t="str">
        <f t="shared" si="53"/>
        <v/>
      </c>
      <c r="D863" s="63" t="str">
        <f t="shared" si="54"/>
        <v/>
      </c>
      <c r="E863" s="62" t="str">
        <f>IF(D863="","",_xlfn.RANK.EQ(D863,$D$2:$D$1001,0)+COUNTIF($D$2:D863,D863)-1)</f>
        <v/>
      </c>
      <c r="F863" s="62" t="str">
        <f>IF(B863="","",--(COUNTIF(CN_Brands!$A$2:$A$300,UPPER(B863))&gt;0))</f>
        <v/>
      </c>
      <c r="G863" s="62" t="str">
        <f t="shared" si="55"/>
        <v/>
      </c>
      <c r="H863" s="62" t="str">
        <f>IF(AND('Data Export'!A863=前十整体车型排名!$B$2,'Data Export'!B863=前十整体车型排名!$B$3,'Data Export'!D863&lt;&gt;""),UPPER('Data Export'!C863)&amp;"♦"&amp;'Data Export'!D863,"")</f>
        <v>TOYOTA♦HARRIER</v>
      </c>
      <c r="I863" s="63">
        <f>IF(H863="","",IFERROR(INDEX('Data Export'!G863:CZ863,1,MATCH(前十整体车型排名!$B$4,'Data Export'!$G$1:$CZ$1,0)),0))</f>
        <v>1</v>
      </c>
      <c r="J863" s="62" t="str">
        <f>IF(H863="","",IF(OR('Data Export'!F863="三厢轿车",'Data Export'!F863="掀背轿车",'Data Export'!F863="旅行车",'Data Export'!F863="微型车",'Data Export'!F863="硬顶跑车",'Data Export'!F863="敞蓬车",'Data Export'!F863="Targa"),"轿车",IF(OR('Data Export'!F863="小型MPV",'Data Export'!F863="客车"),"MPV",IF('Data Export'!F863="运动型多功能车","SUV","其他"))))</f>
        <v>SUV</v>
      </c>
      <c r="K863" s="62" t="str">
        <f>IF(OR(D863="",NOT(F863=1)),"",1+SUMPRODUCT(($F$2:$F$1001=1)*($D$2:$D$1001&gt;D863))+COUNTIFS($F$2:F863,1,$D$2:D863,D863)-1)</f>
        <v/>
      </c>
      <c r="L863" s="62" t="str">
        <f>IF(OR(D863="",NOT(G863="轿车")),"",1+SUMPRODUCT(($G$2:$G$1001="轿车")*($D$2:$D$1001&gt;D863))+COUNTIFS($G$2:G863,"轿车",$D$2:D863,D863)-1)</f>
        <v/>
      </c>
      <c r="M863" s="62" t="str">
        <f>IF(OR(D863="",NOT(G863="MPV")),"",1+SUMPRODUCT(($G$2:$G$1001="MPV")*($D$2:$D$1001&gt;D863))+COUNTIFS($G$2:G863,"MPV",$D$2:D863,D863)-1)</f>
        <v/>
      </c>
      <c r="N863" s="62" t="str">
        <f>IF(OR(D863="",NOT(G863="SUV")),"",1+SUMPRODUCT(($G$2:$G$1001="SUV")*($D$2:$D$1001&gt;D863))+COUNTIFS($G$2:G863,"SUV",$D$2:D863,D863)-1)</f>
        <v/>
      </c>
      <c r="O863" s="62" t="str">
        <f>IF(OR(D863="",NOT(AND(F863=1,G863="轿车"))),"",1+SUMPRODUCT(($F$2:$F$1001=1)*($G$2:$G$1001="轿车")*($D$2:$D$1001&gt;D863))+COUNTIFS($F$2:F863,1,$G$2:G863,"轿车",$D$2:D863,D863)-1)</f>
        <v/>
      </c>
      <c r="P863" s="62" t="str">
        <f>IF(OR(D863="",NOT(AND(F863=1,G863="MPV"))),"",1+SUMPRODUCT(($F$2:$F$1001=1)*($G$2:$G$1001="MPV")*($D$2:$D$1001&gt;D863))+COUNTIFS($F$2:F863,1,$G$2:G863,"MPV",$D$2:D863,D863)-1)</f>
        <v/>
      </c>
      <c r="Q863" s="62" t="str">
        <f>IF(OR(D863="",NOT(AND(F863=1,G863="SUV"))),"",1+SUMPRODUCT(($F$2:$F$1001=1)*($G$2:$G$1001="SUV")*($D$2:$D$1001&gt;D863))+COUNTIFS($F$2:F863,1,$G$2:G863,"SUV",$D$2:D863,D863)-1)</f>
        <v/>
      </c>
    </row>
    <row r="864" spans="1:17">
      <c r="A864" s="62" t="str">
        <f>IFERROR(INDEX($H$2:$H$3000,MATCH(0,INDEX(COUNTIF($A$1:A863,$H$2:$H$3000)+($H$2:$H$3000=""),0,0),0)),"")</f>
        <v/>
      </c>
      <c r="B864" s="62" t="str">
        <f t="shared" si="52"/>
        <v/>
      </c>
      <c r="C864" s="62" t="str">
        <f t="shared" si="53"/>
        <v/>
      </c>
      <c r="D864" s="63" t="str">
        <f t="shared" si="54"/>
        <v/>
      </c>
      <c r="E864" s="62" t="str">
        <f>IF(D864="","",_xlfn.RANK.EQ(D864,$D$2:$D$1001,0)+COUNTIF($D$2:D864,D864)-1)</f>
        <v/>
      </c>
      <c r="F864" s="62" t="str">
        <f>IF(B864="","",--(COUNTIF(CN_Brands!$A$2:$A$300,UPPER(B864))&gt;0))</f>
        <v/>
      </c>
      <c r="G864" s="62" t="str">
        <f t="shared" si="55"/>
        <v/>
      </c>
      <c r="H864" s="62" t="str">
        <f>IF(AND('Data Export'!A864=前十整体车型排名!$B$2,'Data Export'!B864=前十整体车型排名!$B$3,'Data Export'!D864&lt;&gt;""),UPPER('Data Export'!C864)&amp;"♦"&amp;'Data Export'!D864,"")</f>
        <v>TOYOTA♦INNOVA</v>
      </c>
      <c r="I864" s="63">
        <f>IF(H864="","",IFERROR(INDEX('Data Export'!G864:CZ864,1,MATCH(前十整体车型排名!$B$4,'Data Export'!$G$1:$CZ$1,0)),0))</f>
        <v>1</v>
      </c>
      <c r="J864" s="62" t="str">
        <f>IF(H864="","",IF(OR('Data Export'!F864="三厢轿车",'Data Export'!F864="掀背轿车",'Data Export'!F864="旅行车",'Data Export'!F864="微型车",'Data Export'!F864="硬顶跑车",'Data Export'!F864="敞蓬车",'Data Export'!F864="Targa"),"轿车",IF(OR('Data Export'!F864="小型MPV",'Data Export'!F864="客车"),"MPV",IF('Data Export'!F864="运动型多功能车","SUV","其他"))))</f>
        <v>其他</v>
      </c>
      <c r="K864" s="62" t="str">
        <f>IF(OR(D864="",NOT(F864=1)),"",1+SUMPRODUCT(($F$2:$F$1001=1)*($D$2:$D$1001&gt;D864))+COUNTIFS($F$2:F864,1,$D$2:D864,D864)-1)</f>
        <v/>
      </c>
      <c r="L864" s="62" t="str">
        <f>IF(OR(D864="",NOT(G864="轿车")),"",1+SUMPRODUCT(($G$2:$G$1001="轿车")*($D$2:$D$1001&gt;D864))+COUNTIFS($G$2:G864,"轿车",$D$2:D864,D864)-1)</f>
        <v/>
      </c>
      <c r="M864" s="62" t="str">
        <f>IF(OR(D864="",NOT(G864="MPV")),"",1+SUMPRODUCT(($G$2:$G$1001="MPV")*($D$2:$D$1001&gt;D864))+COUNTIFS($G$2:G864,"MPV",$D$2:D864,D864)-1)</f>
        <v/>
      </c>
      <c r="N864" s="62" t="str">
        <f>IF(OR(D864="",NOT(G864="SUV")),"",1+SUMPRODUCT(($G$2:$G$1001="SUV")*($D$2:$D$1001&gt;D864))+COUNTIFS($G$2:G864,"SUV",$D$2:D864,D864)-1)</f>
        <v/>
      </c>
      <c r="O864" s="62" t="str">
        <f>IF(OR(D864="",NOT(AND(F864=1,G864="轿车"))),"",1+SUMPRODUCT(($F$2:$F$1001=1)*($G$2:$G$1001="轿车")*($D$2:$D$1001&gt;D864))+COUNTIFS($F$2:F864,1,$G$2:G864,"轿车",$D$2:D864,D864)-1)</f>
        <v/>
      </c>
      <c r="P864" s="62" t="str">
        <f>IF(OR(D864="",NOT(AND(F864=1,G864="MPV"))),"",1+SUMPRODUCT(($F$2:$F$1001=1)*($G$2:$G$1001="MPV")*($D$2:$D$1001&gt;D864))+COUNTIFS($F$2:F864,1,$G$2:G864,"MPV",$D$2:D864,D864)-1)</f>
        <v/>
      </c>
      <c r="Q864" s="62" t="str">
        <f>IF(OR(D864="",NOT(AND(F864=1,G864="SUV"))),"",1+SUMPRODUCT(($F$2:$F$1001=1)*($G$2:$G$1001="SUV")*($D$2:$D$1001&gt;D864))+COUNTIFS($F$2:F864,1,$G$2:G864,"SUV",$D$2:D864,D864)-1)</f>
        <v/>
      </c>
    </row>
    <row r="865" spans="1:17">
      <c r="A865" s="62" t="str">
        <f>IFERROR(INDEX($H$2:$H$3000,MATCH(0,INDEX(COUNTIF($A$1:A864,$H$2:$H$3000)+($H$2:$H$3000=""),0,0),0)),"")</f>
        <v/>
      </c>
      <c r="B865" s="62" t="str">
        <f t="shared" si="52"/>
        <v/>
      </c>
      <c r="C865" s="62" t="str">
        <f t="shared" si="53"/>
        <v/>
      </c>
      <c r="D865" s="63" t="str">
        <f t="shared" si="54"/>
        <v/>
      </c>
      <c r="E865" s="62" t="str">
        <f>IF(D865="","",_xlfn.RANK.EQ(D865,$D$2:$D$1001,0)+COUNTIF($D$2:D865,D865)-1)</f>
        <v/>
      </c>
      <c r="F865" s="62" t="str">
        <f>IF(B865="","",--(COUNTIF(CN_Brands!$A$2:$A$300,UPPER(B865))&gt;0))</f>
        <v/>
      </c>
      <c r="G865" s="62" t="str">
        <f t="shared" si="55"/>
        <v/>
      </c>
      <c r="H865" s="62" t="str">
        <f>IF(AND('Data Export'!A865=前十整体车型排名!$B$2,'Data Export'!B865=前十整体车型排名!$B$3,'Data Export'!D865&lt;&gt;""),UPPER('Data Export'!C865)&amp;"♦"&amp;'Data Export'!D865,"")</f>
        <v>TOYOTA♦INNOVA ZENIX</v>
      </c>
      <c r="I865" s="63">
        <f>IF(H865="","",IFERROR(INDEX('Data Export'!G865:CZ865,1,MATCH(前十整体车型排名!$B$4,'Data Export'!$G$1:$CZ$1,0)),0))</f>
        <v>103</v>
      </c>
      <c r="J865" s="62" t="str">
        <f>IF(H865="","",IF(OR('Data Export'!F865="三厢轿车",'Data Export'!F865="掀背轿车",'Data Export'!F865="旅行车",'Data Export'!F865="微型车",'Data Export'!F865="硬顶跑车",'Data Export'!F865="敞蓬车",'Data Export'!F865="Targa"),"轿车",IF(OR('Data Export'!F865="小型MPV",'Data Export'!F865="客车"),"MPV",IF('Data Export'!F865="运动型多功能车","SUV","其他"))))</f>
        <v>其他</v>
      </c>
      <c r="K865" s="62" t="str">
        <f>IF(OR(D865="",NOT(F865=1)),"",1+SUMPRODUCT(($F$2:$F$1001=1)*($D$2:$D$1001&gt;D865))+COUNTIFS($F$2:F865,1,$D$2:D865,D865)-1)</f>
        <v/>
      </c>
      <c r="L865" s="62" t="str">
        <f>IF(OR(D865="",NOT(G865="轿车")),"",1+SUMPRODUCT(($G$2:$G$1001="轿车")*($D$2:$D$1001&gt;D865))+COUNTIFS($G$2:G865,"轿车",$D$2:D865,D865)-1)</f>
        <v/>
      </c>
      <c r="M865" s="62" t="str">
        <f>IF(OR(D865="",NOT(G865="MPV")),"",1+SUMPRODUCT(($G$2:$G$1001="MPV")*($D$2:$D$1001&gt;D865))+COUNTIFS($G$2:G865,"MPV",$D$2:D865,D865)-1)</f>
        <v/>
      </c>
      <c r="N865" s="62" t="str">
        <f>IF(OR(D865="",NOT(G865="SUV")),"",1+SUMPRODUCT(($G$2:$G$1001="SUV")*($D$2:$D$1001&gt;D865))+COUNTIFS($G$2:G865,"SUV",$D$2:D865,D865)-1)</f>
        <v/>
      </c>
      <c r="O865" s="62" t="str">
        <f>IF(OR(D865="",NOT(AND(F865=1,G865="轿车"))),"",1+SUMPRODUCT(($F$2:$F$1001=1)*($G$2:$G$1001="轿车")*($D$2:$D$1001&gt;D865))+COUNTIFS($F$2:F865,1,$G$2:G865,"轿车",$D$2:D865,D865)-1)</f>
        <v/>
      </c>
      <c r="P865" s="62" t="str">
        <f>IF(OR(D865="",NOT(AND(F865=1,G865="MPV"))),"",1+SUMPRODUCT(($F$2:$F$1001=1)*($G$2:$G$1001="MPV")*($D$2:$D$1001&gt;D865))+COUNTIFS($F$2:F865,1,$G$2:G865,"MPV",$D$2:D865,D865)-1)</f>
        <v/>
      </c>
      <c r="Q865" s="62" t="str">
        <f>IF(OR(D865="",NOT(AND(F865=1,G865="SUV"))),"",1+SUMPRODUCT(($F$2:$F$1001=1)*($G$2:$G$1001="SUV")*($D$2:$D$1001&gt;D865))+COUNTIFS($F$2:F865,1,$G$2:G865,"SUV",$D$2:D865,D865)-1)</f>
        <v/>
      </c>
    </row>
    <row r="866" spans="1:17">
      <c r="A866" s="62" t="str">
        <f>IFERROR(INDEX($H$2:$H$3000,MATCH(0,INDEX(COUNTIF($A$1:A865,$H$2:$H$3000)+($H$2:$H$3000=""),0,0),0)),"")</f>
        <v/>
      </c>
      <c r="B866" s="62" t="str">
        <f t="shared" si="52"/>
        <v/>
      </c>
      <c r="C866" s="62" t="str">
        <f t="shared" si="53"/>
        <v/>
      </c>
      <c r="D866" s="63" t="str">
        <f t="shared" si="54"/>
        <v/>
      </c>
      <c r="E866" s="62" t="str">
        <f>IF(D866="","",_xlfn.RANK.EQ(D866,$D$2:$D$1001,0)+COUNTIF($D$2:D866,D866)-1)</f>
        <v/>
      </c>
      <c r="F866" s="62" t="str">
        <f>IF(B866="","",--(COUNTIF(CN_Brands!$A$2:$A$300,UPPER(B866))&gt;0))</f>
        <v/>
      </c>
      <c r="G866" s="62" t="str">
        <f t="shared" si="55"/>
        <v/>
      </c>
      <c r="H866" s="62" t="str">
        <f>IF(AND('Data Export'!A866=前十整体车型排名!$B$2,'Data Export'!B866=前十整体车型排名!$B$3,'Data Export'!D866&lt;&gt;""),UPPER('Data Export'!C866)&amp;"♦"&amp;'Data Export'!D866,"")</f>
        <v>TOYOTA♦LAND CRUISER</v>
      </c>
      <c r="I866" s="63">
        <f>IF(H866="","",IFERROR(INDEX('Data Export'!G866:CZ866,1,MATCH(前十整体车型排名!$B$4,'Data Export'!$G$1:$CZ$1,0)),0))</f>
        <v>1</v>
      </c>
      <c r="J866" s="62" t="str">
        <f>IF(H866="","",IF(OR('Data Export'!F866="三厢轿车",'Data Export'!F866="掀背轿车",'Data Export'!F866="旅行车",'Data Export'!F866="微型车",'Data Export'!F866="硬顶跑车",'Data Export'!F866="敞蓬车",'Data Export'!F866="Targa"),"轿车",IF(OR('Data Export'!F866="小型MPV",'Data Export'!F866="客车"),"MPV",IF('Data Export'!F866="运动型多功能车","SUV","其他"))))</f>
        <v>SUV</v>
      </c>
      <c r="K866" s="62" t="str">
        <f>IF(OR(D866="",NOT(F866=1)),"",1+SUMPRODUCT(($F$2:$F$1001=1)*($D$2:$D$1001&gt;D866))+COUNTIFS($F$2:F866,1,$D$2:D866,D866)-1)</f>
        <v/>
      </c>
      <c r="L866" s="62" t="str">
        <f>IF(OR(D866="",NOT(G866="轿车")),"",1+SUMPRODUCT(($G$2:$G$1001="轿车")*($D$2:$D$1001&gt;D866))+COUNTIFS($G$2:G866,"轿车",$D$2:D866,D866)-1)</f>
        <v/>
      </c>
      <c r="M866" s="62" t="str">
        <f>IF(OR(D866="",NOT(G866="MPV")),"",1+SUMPRODUCT(($G$2:$G$1001="MPV")*($D$2:$D$1001&gt;D866))+COUNTIFS($G$2:G866,"MPV",$D$2:D866,D866)-1)</f>
        <v/>
      </c>
      <c r="N866" s="62" t="str">
        <f>IF(OR(D866="",NOT(G866="SUV")),"",1+SUMPRODUCT(($G$2:$G$1001="SUV")*($D$2:$D$1001&gt;D866))+COUNTIFS($G$2:G866,"SUV",$D$2:D866,D866)-1)</f>
        <v/>
      </c>
      <c r="O866" s="62" t="str">
        <f>IF(OR(D866="",NOT(AND(F866=1,G866="轿车"))),"",1+SUMPRODUCT(($F$2:$F$1001=1)*($G$2:$G$1001="轿车")*($D$2:$D$1001&gt;D866))+COUNTIFS($F$2:F866,1,$G$2:G866,"轿车",$D$2:D866,D866)-1)</f>
        <v/>
      </c>
      <c r="P866" s="62" t="str">
        <f>IF(OR(D866="",NOT(AND(F866=1,G866="MPV"))),"",1+SUMPRODUCT(($F$2:$F$1001=1)*($G$2:$G$1001="MPV")*($D$2:$D$1001&gt;D866))+COUNTIFS($F$2:F866,1,$G$2:G866,"MPV",$D$2:D866,D866)-1)</f>
        <v/>
      </c>
      <c r="Q866" s="62" t="str">
        <f>IF(OR(D866="",NOT(AND(F866=1,G866="SUV"))),"",1+SUMPRODUCT(($F$2:$F$1001=1)*($G$2:$G$1001="SUV")*($D$2:$D$1001&gt;D866))+COUNTIFS($F$2:F866,1,$G$2:G866,"SUV",$D$2:D866,D866)-1)</f>
        <v/>
      </c>
    </row>
    <row r="867" spans="1:17">
      <c r="A867" s="62" t="str">
        <f>IFERROR(INDEX($H$2:$H$3000,MATCH(0,INDEX(COUNTIF($A$1:A866,$H$2:$H$3000)+($H$2:$H$3000=""),0,0),0)),"")</f>
        <v/>
      </c>
      <c r="B867" s="62" t="str">
        <f t="shared" si="52"/>
        <v/>
      </c>
      <c r="C867" s="62" t="str">
        <f t="shared" si="53"/>
        <v/>
      </c>
      <c r="D867" s="63" t="str">
        <f t="shared" si="54"/>
        <v/>
      </c>
      <c r="E867" s="62" t="str">
        <f>IF(D867="","",_xlfn.RANK.EQ(D867,$D$2:$D$1001,0)+COUNTIF($D$2:D867,D867)-1)</f>
        <v/>
      </c>
      <c r="F867" s="62" t="str">
        <f>IF(B867="","",--(COUNTIF(CN_Brands!$A$2:$A$300,UPPER(B867))&gt;0))</f>
        <v/>
      </c>
      <c r="G867" s="62" t="str">
        <f t="shared" si="55"/>
        <v/>
      </c>
      <c r="H867" s="62" t="str">
        <f>IF(AND('Data Export'!A867=前十整体车型排名!$B$2,'Data Export'!B867=前十整体车型排名!$B$3,'Data Export'!D867&lt;&gt;""),UPPER('Data Export'!C867)&amp;"♦"&amp;'Data Export'!D867,"")</f>
        <v>TOYOTA♦LAND CRUISER</v>
      </c>
      <c r="I867" s="63">
        <f>IF(H867="","",IFERROR(INDEX('Data Export'!G867:CZ867,1,MATCH(前十整体车型排名!$B$4,'Data Export'!$G$1:$CZ$1,0)),0))</f>
        <v>0</v>
      </c>
      <c r="J867" s="62" t="str">
        <f>IF(H867="","",IF(OR('Data Export'!F867="三厢轿车",'Data Export'!F867="掀背轿车",'Data Export'!F867="旅行车",'Data Export'!F867="微型车",'Data Export'!F867="硬顶跑车",'Data Export'!F867="敞蓬车",'Data Export'!F867="Targa"),"轿车",IF(OR('Data Export'!F867="小型MPV",'Data Export'!F867="客车"),"MPV",IF('Data Export'!F867="运动型多功能车","SUV","其他"))))</f>
        <v>SUV</v>
      </c>
      <c r="K867" s="62" t="str">
        <f>IF(OR(D867="",NOT(F867=1)),"",1+SUMPRODUCT(($F$2:$F$1001=1)*($D$2:$D$1001&gt;D867))+COUNTIFS($F$2:F867,1,$D$2:D867,D867)-1)</f>
        <v/>
      </c>
      <c r="L867" s="62" t="str">
        <f>IF(OR(D867="",NOT(G867="轿车")),"",1+SUMPRODUCT(($G$2:$G$1001="轿车")*($D$2:$D$1001&gt;D867))+COUNTIFS($G$2:G867,"轿车",$D$2:D867,D867)-1)</f>
        <v/>
      </c>
      <c r="M867" s="62" t="str">
        <f>IF(OR(D867="",NOT(G867="MPV")),"",1+SUMPRODUCT(($G$2:$G$1001="MPV")*($D$2:$D$1001&gt;D867))+COUNTIFS($G$2:G867,"MPV",$D$2:D867,D867)-1)</f>
        <v/>
      </c>
      <c r="N867" s="62" t="str">
        <f>IF(OR(D867="",NOT(G867="SUV")),"",1+SUMPRODUCT(($G$2:$G$1001="SUV")*($D$2:$D$1001&gt;D867))+COUNTIFS($G$2:G867,"SUV",$D$2:D867,D867)-1)</f>
        <v/>
      </c>
      <c r="O867" s="62" t="str">
        <f>IF(OR(D867="",NOT(AND(F867=1,G867="轿车"))),"",1+SUMPRODUCT(($F$2:$F$1001=1)*($G$2:$G$1001="轿车")*($D$2:$D$1001&gt;D867))+COUNTIFS($F$2:F867,1,$G$2:G867,"轿车",$D$2:D867,D867)-1)</f>
        <v/>
      </c>
      <c r="P867" s="62" t="str">
        <f>IF(OR(D867="",NOT(AND(F867=1,G867="MPV"))),"",1+SUMPRODUCT(($F$2:$F$1001=1)*($G$2:$G$1001="MPV")*($D$2:$D$1001&gt;D867))+COUNTIFS($F$2:F867,1,$G$2:G867,"MPV",$D$2:D867,D867)-1)</f>
        <v/>
      </c>
      <c r="Q867" s="62" t="str">
        <f>IF(OR(D867="",NOT(AND(F867=1,G867="SUV"))),"",1+SUMPRODUCT(($F$2:$F$1001=1)*($G$2:$G$1001="SUV")*($D$2:$D$1001&gt;D867))+COUNTIFS($F$2:F867,1,$G$2:G867,"SUV",$D$2:D867,D867)-1)</f>
        <v/>
      </c>
    </row>
    <row r="868" spans="1:17">
      <c r="A868" s="62" t="str">
        <f>IFERROR(INDEX($H$2:$H$3000,MATCH(0,INDEX(COUNTIF($A$1:A867,$H$2:$H$3000)+($H$2:$H$3000=""),0,0),0)),"")</f>
        <v/>
      </c>
      <c r="B868" s="62" t="str">
        <f t="shared" si="52"/>
        <v/>
      </c>
      <c r="C868" s="62" t="str">
        <f t="shared" si="53"/>
        <v/>
      </c>
      <c r="D868" s="63" t="str">
        <f t="shared" si="54"/>
        <v/>
      </c>
      <c r="E868" s="62" t="str">
        <f>IF(D868="","",_xlfn.RANK.EQ(D868,$D$2:$D$1001,0)+COUNTIF($D$2:D868,D868)-1)</f>
        <v/>
      </c>
      <c r="F868" s="62" t="str">
        <f>IF(B868="","",--(COUNTIF(CN_Brands!$A$2:$A$300,UPPER(B868))&gt;0))</f>
        <v/>
      </c>
      <c r="G868" s="62" t="str">
        <f t="shared" si="55"/>
        <v/>
      </c>
      <c r="H868" s="62" t="str">
        <f>IF(AND('Data Export'!A868=前十整体车型排名!$B$2,'Data Export'!B868=前十整体车型排名!$B$3,'Data Export'!D868&lt;&gt;""),UPPER('Data Export'!C868)&amp;"♦"&amp;'Data Export'!D868,"")</f>
        <v>TOYOTA♦LAND CRUISER</v>
      </c>
      <c r="I868" s="63">
        <f>IF(H868="","",IFERROR(INDEX('Data Export'!G868:CZ868,1,MATCH(前十整体车型排名!$B$4,'Data Export'!$G$1:$CZ$1,0)),0))</f>
        <v>1</v>
      </c>
      <c r="J868" s="62" t="str">
        <f>IF(H868="","",IF(OR('Data Export'!F868="三厢轿车",'Data Export'!F868="掀背轿车",'Data Export'!F868="旅行车",'Data Export'!F868="微型车",'Data Export'!F868="硬顶跑车",'Data Export'!F868="敞蓬车",'Data Export'!F868="Targa"),"轿车",IF(OR('Data Export'!F868="小型MPV",'Data Export'!F868="客车"),"MPV",IF('Data Export'!F868="运动型多功能车","SUV","其他"))))</f>
        <v>SUV</v>
      </c>
      <c r="K868" s="62" t="str">
        <f>IF(OR(D868="",NOT(F868=1)),"",1+SUMPRODUCT(($F$2:$F$1001=1)*($D$2:$D$1001&gt;D868))+COUNTIFS($F$2:F868,1,$D$2:D868,D868)-1)</f>
        <v/>
      </c>
      <c r="L868" s="62" t="str">
        <f>IF(OR(D868="",NOT(G868="轿车")),"",1+SUMPRODUCT(($G$2:$G$1001="轿车")*($D$2:$D$1001&gt;D868))+COUNTIFS($G$2:G868,"轿车",$D$2:D868,D868)-1)</f>
        <v/>
      </c>
      <c r="M868" s="62" t="str">
        <f>IF(OR(D868="",NOT(G868="MPV")),"",1+SUMPRODUCT(($G$2:$G$1001="MPV")*($D$2:$D$1001&gt;D868))+COUNTIFS($G$2:G868,"MPV",$D$2:D868,D868)-1)</f>
        <v/>
      </c>
      <c r="N868" s="62" t="str">
        <f>IF(OR(D868="",NOT(G868="SUV")),"",1+SUMPRODUCT(($G$2:$G$1001="SUV")*($D$2:$D$1001&gt;D868))+COUNTIFS($G$2:G868,"SUV",$D$2:D868,D868)-1)</f>
        <v/>
      </c>
      <c r="O868" s="62" t="str">
        <f>IF(OR(D868="",NOT(AND(F868=1,G868="轿车"))),"",1+SUMPRODUCT(($F$2:$F$1001=1)*($G$2:$G$1001="轿车")*($D$2:$D$1001&gt;D868))+COUNTIFS($F$2:F868,1,$G$2:G868,"轿车",$D$2:D868,D868)-1)</f>
        <v/>
      </c>
      <c r="P868" s="62" t="str">
        <f>IF(OR(D868="",NOT(AND(F868=1,G868="MPV"))),"",1+SUMPRODUCT(($F$2:$F$1001=1)*($G$2:$G$1001="MPV")*($D$2:$D$1001&gt;D868))+COUNTIFS($F$2:F868,1,$G$2:G868,"MPV",$D$2:D868,D868)-1)</f>
        <v/>
      </c>
      <c r="Q868" s="62" t="str">
        <f>IF(OR(D868="",NOT(AND(F868=1,G868="SUV"))),"",1+SUMPRODUCT(($F$2:$F$1001=1)*($G$2:$G$1001="SUV")*($D$2:$D$1001&gt;D868))+COUNTIFS($F$2:F868,1,$G$2:G868,"SUV",$D$2:D868,D868)-1)</f>
        <v/>
      </c>
    </row>
    <row r="869" spans="1:17">
      <c r="A869" s="62" t="str">
        <f>IFERROR(INDEX($H$2:$H$3000,MATCH(0,INDEX(COUNTIF($A$1:A868,$H$2:$H$3000)+($H$2:$H$3000=""),0,0),0)),"")</f>
        <v/>
      </c>
      <c r="B869" s="62" t="str">
        <f t="shared" si="52"/>
        <v/>
      </c>
      <c r="C869" s="62" t="str">
        <f t="shared" si="53"/>
        <v/>
      </c>
      <c r="D869" s="63" t="str">
        <f t="shared" si="54"/>
        <v/>
      </c>
      <c r="E869" s="62" t="str">
        <f>IF(D869="","",_xlfn.RANK.EQ(D869,$D$2:$D$1001,0)+COUNTIF($D$2:D869,D869)-1)</f>
        <v/>
      </c>
      <c r="F869" s="62" t="str">
        <f>IF(B869="","",--(COUNTIF(CN_Brands!$A$2:$A$300,UPPER(B869))&gt;0))</f>
        <v/>
      </c>
      <c r="G869" s="62" t="str">
        <f t="shared" si="55"/>
        <v/>
      </c>
      <c r="H869" s="62" t="str">
        <f>IF(AND('Data Export'!A869=前十整体车型排名!$B$2,'Data Export'!B869=前十整体车型排名!$B$3,'Data Export'!D869&lt;&gt;""),UPPER('Data Export'!C869)&amp;"♦"&amp;'Data Export'!D869,"")</f>
        <v>TOYOTA♦LAND CRUISER 250</v>
      </c>
      <c r="I869" s="63">
        <f>IF(H869="","",IFERROR(INDEX('Data Export'!G869:CZ869,1,MATCH(前十整体车型排名!$B$4,'Data Export'!$G$1:$CZ$1,0)),0))</f>
        <v>1</v>
      </c>
      <c r="J869" s="62" t="str">
        <f>IF(H869="","",IF(OR('Data Export'!F869="三厢轿车",'Data Export'!F869="掀背轿车",'Data Export'!F869="旅行车",'Data Export'!F869="微型车",'Data Export'!F869="硬顶跑车",'Data Export'!F869="敞蓬车",'Data Export'!F869="Targa"),"轿车",IF(OR('Data Export'!F869="小型MPV",'Data Export'!F869="客车"),"MPV",IF('Data Export'!F869="运动型多功能车","SUV","其他"))))</f>
        <v>SUV</v>
      </c>
      <c r="K869" s="62" t="str">
        <f>IF(OR(D869="",NOT(F869=1)),"",1+SUMPRODUCT(($F$2:$F$1001=1)*($D$2:$D$1001&gt;D869))+COUNTIFS($F$2:F869,1,$D$2:D869,D869)-1)</f>
        <v/>
      </c>
      <c r="L869" s="62" t="str">
        <f>IF(OR(D869="",NOT(G869="轿车")),"",1+SUMPRODUCT(($G$2:$G$1001="轿车")*($D$2:$D$1001&gt;D869))+COUNTIFS($G$2:G869,"轿车",$D$2:D869,D869)-1)</f>
        <v/>
      </c>
      <c r="M869" s="62" t="str">
        <f>IF(OR(D869="",NOT(G869="MPV")),"",1+SUMPRODUCT(($G$2:$G$1001="MPV")*($D$2:$D$1001&gt;D869))+COUNTIFS($G$2:G869,"MPV",$D$2:D869,D869)-1)</f>
        <v/>
      </c>
      <c r="N869" s="62" t="str">
        <f>IF(OR(D869="",NOT(G869="SUV")),"",1+SUMPRODUCT(($G$2:$G$1001="SUV")*($D$2:$D$1001&gt;D869))+COUNTIFS($G$2:G869,"SUV",$D$2:D869,D869)-1)</f>
        <v/>
      </c>
      <c r="O869" s="62" t="str">
        <f>IF(OR(D869="",NOT(AND(F869=1,G869="轿车"))),"",1+SUMPRODUCT(($F$2:$F$1001=1)*($G$2:$G$1001="轿车")*($D$2:$D$1001&gt;D869))+COUNTIFS($F$2:F869,1,$G$2:G869,"轿车",$D$2:D869,D869)-1)</f>
        <v/>
      </c>
      <c r="P869" s="62" t="str">
        <f>IF(OR(D869="",NOT(AND(F869=1,G869="MPV"))),"",1+SUMPRODUCT(($F$2:$F$1001=1)*($G$2:$G$1001="MPV")*($D$2:$D$1001&gt;D869))+COUNTIFS($F$2:F869,1,$G$2:G869,"MPV",$D$2:D869,D869)-1)</f>
        <v/>
      </c>
      <c r="Q869" s="62" t="str">
        <f>IF(OR(D869="",NOT(AND(F869=1,G869="SUV"))),"",1+SUMPRODUCT(($F$2:$F$1001=1)*($G$2:$G$1001="SUV")*($D$2:$D$1001&gt;D869))+COUNTIFS($F$2:F869,1,$G$2:G869,"SUV",$D$2:D869,D869)-1)</f>
        <v/>
      </c>
    </row>
    <row r="870" spans="1:17">
      <c r="A870" s="62" t="str">
        <f>IFERROR(INDEX($H$2:$H$3000,MATCH(0,INDEX(COUNTIF($A$1:A869,$H$2:$H$3000)+($H$2:$H$3000=""),0,0),0)),"")</f>
        <v/>
      </c>
      <c r="B870" s="62" t="str">
        <f t="shared" si="52"/>
        <v/>
      </c>
      <c r="C870" s="62" t="str">
        <f t="shared" si="53"/>
        <v/>
      </c>
      <c r="D870" s="63" t="str">
        <f t="shared" si="54"/>
        <v/>
      </c>
      <c r="E870" s="62" t="str">
        <f>IF(D870="","",_xlfn.RANK.EQ(D870,$D$2:$D$1001,0)+COUNTIF($D$2:D870,D870)-1)</f>
        <v/>
      </c>
      <c r="F870" s="62" t="str">
        <f>IF(B870="","",--(COUNTIF(CN_Brands!$A$2:$A$300,UPPER(B870))&gt;0))</f>
        <v/>
      </c>
      <c r="G870" s="62" t="str">
        <f t="shared" si="55"/>
        <v/>
      </c>
      <c r="H870" s="62" t="str">
        <f>IF(AND('Data Export'!A870=前十整体车型排名!$B$2,'Data Export'!B870=前十整体车型排名!$B$3,'Data Export'!D870&lt;&gt;""),UPPER('Data Export'!C870)&amp;"♦"&amp;'Data Export'!D870,"")</f>
        <v>TOYOTA♦LAND CRUISER 250</v>
      </c>
      <c r="I870" s="63">
        <f>IF(H870="","",IFERROR(INDEX('Data Export'!G870:CZ870,1,MATCH(前十整体车型排名!$B$4,'Data Export'!$G$1:$CZ$1,0)),0))</f>
        <v>1</v>
      </c>
      <c r="J870" s="62" t="str">
        <f>IF(H870="","",IF(OR('Data Export'!F870="三厢轿车",'Data Export'!F870="掀背轿车",'Data Export'!F870="旅行车",'Data Export'!F870="微型车",'Data Export'!F870="硬顶跑车",'Data Export'!F870="敞蓬车",'Data Export'!F870="Targa"),"轿车",IF(OR('Data Export'!F870="小型MPV",'Data Export'!F870="客车"),"MPV",IF('Data Export'!F870="运动型多功能车","SUV","其他"))))</f>
        <v>SUV</v>
      </c>
      <c r="K870" s="62" t="str">
        <f>IF(OR(D870="",NOT(F870=1)),"",1+SUMPRODUCT(($F$2:$F$1001=1)*($D$2:$D$1001&gt;D870))+COUNTIFS($F$2:F870,1,$D$2:D870,D870)-1)</f>
        <v/>
      </c>
      <c r="L870" s="62" t="str">
        <f>IF(OR(D870="",NOT(G870="轿车")),"",1+SUMPRODUCT(($G$2:$G$1001="轿车")*($D$2:$D$1001&gt;D870))+COUNTIFS($G$2:G870,"轿车",$D$2:D870,D870)-1)</f>
        <v/>
      </c>
      <c r="M870" s="62" t="str">
        <f>IF(OR(D870="",NOT(G870="MPV")),"",1+SUMPRODUCT(($G$2:$G$1001="MPV")*($D$2:$D$1001&gt;D870))+COUNTIFS($G$2:G870,"MPV",$D$2:D870,D870)-1)</f>
        <v/>
      </c>
      <c r="N870" s="62" t="str">
        <f>IF(OR(D870="",NOT(G870="SUV")),"",1+SUMPRODUCT(($G$2:$G$1001="SUV")*($D$2:$D$1001&gt;D870))+COUNTIFS($G$2:G870,"SUV",$D$2:D870,D870)-1)</f>
        <v/>
      </c>
      <c r="O870" s="62" t="str">
        <f>IF(OR(D870="",NOT(AND(F870=1,G870="轿车"))),"",1+SUMPRODUCT(($F$2:$F$1001=1)*($G$2:$G$1001="轿车")*($D$2:$D$1001&gt;D870))+COUNTIFS($F$2:F870,1,$G$2:G870,"轿车",$D$2:D870,D870)-1)</f>
        <v/>
      </c>
      <c r="P870" s="62" t="str">
        <f>IF(OR(D870="",NOT(AND(F870=1,G870="MPV"))),"",1+SUMPRODUCT(($F$2:$F$1001=1)*($G$2:$G$1001="MPV")*($D$2:$D$1001&gt;D870))+COUNTIFS($F$2:F870,1,$G$2:G870,"MPV",$D$2:D870,D870)-1)</f>
        <v/>
      </c>
      <c r="Q870" s="62" t="str">
        <f>IF(OR(D870="",NOT(AND(F870=1,G870="SUV"))),"",1+SUMPRODUCT(($F$2:$F$1001=1)*($G$2:$G$1001="SUV")*($D$2:$D$1001&gt;D870))+COUNTIFS($F$2:F870,1,$G$2:G870,"SUV",$D$2:D870,D870)-1)</f>
        <v/>
      </c>
    </row>
    <row r="871" spans="1:17">
      <c r="A871" s="62" t="str">
        <f>IFERROR(INDEX($H$2:$H$3000,MATCH(0,INDEX(COUNTIF($A$1:A870,$H$2:$H$3000)+($H$2:$H$3000=""),0,0),0)),"")</f>
        <v/>
      </c>
      <c r="B871" s="62" t="str">
        <f t="shared" si="52"/>
        <v/>
      </c>
      <c r="C871" s="62" t="str">
        <f t="shared" si="53"/>
        <v/>
      </c>
      <c r="D871" s="63" t="str">
        <f t="shared" si="54"/>
        <v/>
      </c>
      <c r="E871" s="62" t="str">
        <f>IF(D871="","",_xlfn.RANK.EQ(D871,$D$2:$D$1001,0)+COUNTIF($D$2:D871,D871)-1)</f>
        <v/>
      </c>
      <c r="F871" s="62" t="str">
        <f>IF(B871="","",--(COUNTIF(CN_Brands!$A$2:$A$300,UPPER(B871))&gt;0))</f>
        <v/>
      </c>
      <c r="G871" s="62" t="str">
        <f t="shared" si="55"/>
        <v/>
      </c>
      <c r="H871" s="62" t="str">
        <f>IF(AND('Data Export'!A871=前十整体车型排名!$B$2,'Data Export'!B871=前十整体车型排名!$B$3,'Data Export'!D871&lt;&gt;""),UPPER('Data Export'!C871)&amp;"♦"&amp;'Data Export'!D871,"")</f>
        <v>TOYOTA♦LAND CRUISER 250</v>
      </c>
      <c r="I871" s="63">
        <f>IF(H871="","",IFERROR(INDEX('Data Export'!G871:CZ871,1,MATCH(前十整体车型排名!$B$4,'Data Export'!$G$1:$CZ$1,0)),0))</f>
        <v>4</v>
      </c>
      <c r="J871" s="62" t="str">
        <f>IF(H871="","",IF(OR('Data Export'!F871="三厢轿车",'Data Export'!F871="掀背轿车",'Data Export'!F871="旅行车",'Data Export'!F871="微型车",'Data Export'!F871="硬顶跑车",'Data Export'!F871="敞蓬车",'Data Export'!F871="Targa"),"轿车",IF(OR('Data Export'!F871="小型MPV",'Data Export'!F871="客车"),"MPV",IF('Data Export'!F871="运动型多功能车","SUV","其他"))))</f>
        <v>SUV</v>
      </c>
      <c r="K871" s="62" t="str">
        <f>IF(OR(D871="",NOT(F871=1)),"",1+SUMPRODUCT(($F$2:$F$1001=1)*($D$2:$D$1001&gt;D871))+COUNTIFS($F$2:F871,1,$D$2:D871,D871)-1)</f>
        <v/>
      </c>
      <c r="L871" s="62" t="str">
        <f>IF(OR(D871="",NOT(G871="轿车")),"",1+SUMPRODUCT(($G$2:$G$1001="轿车")*($D$2:$D$1001&gt;D871))+COUNTIFS($G$2:G871,"轿车",$D$2:D871,D871)-1)</f>
        <v/>
      </c>
      <c r="M871" s="62" t="str">
        <f>IF(OR(D871="",NOT(G871="MPV")),"",1+SUMPRODUCT(($G$2:$G$1001="MPV")*($D$2:$D$1001&gt;D871))+COUNTIFS($G$2:G871,"MPV",$D$2:D871,D871)-1)</f>
        <v/>
      </c>
      <c r="N871" s="62" t="str">
        <f>IF(OR(D871="",NOT(G871="SUV")),"",1+SUMPRODUCT(($G$2:$G$1001="SUV")*($D$2:$D$1001&gt;D871))+COUNTIFS($G$2:G871,"SUV",$D$2:D871,D871)-1)</f>
        <v/>
      </c>
      <c r="O871" s="62" t="str">
        <f>IF(OR(D871="",NOT(AND(F871=1,G871="轿车"))),"",1+SUMPRODUCT(($F$2:$F$1001=1)*($G$2:$G$1001="轿车")*($D$2:$D$1001&gt;D871))+COUNTIFS($F$2:F871,1,$G$2:G871,"轿车",$D$2:D871,D871)-1)</f>
        <v/>
      </c>
      <c r="P871" s="62" t="str">
        <f>IF(OR(D871="",NOT(AND(F871=1,G871="MPV"))),"",1+SUMPRODUCT(($F$2:$F$1001=1)*($G$2:$G$1001="MPV")*($D$2:$D$1001&gt;D871))+COUNTIFS($F$2:F871,1,$G$2:G871,"MPV",$D$2:D871,D871)-1)</f>
        <v/>
      </c>
      <c r="Q871" s="62" t="str">
        <f>IF(OR(D871="",NOT(AND(F871=1,G871="SUV"))),"",1+SUMPRODUCT(($F$2:$F$1001=1)*($G$2:$G$1001="SUV")*($D$2:$D$1001&gt;D871))+COUNTIFS($F$2:F871,1,$G$2:G871,"SUV",$D$2:D871,D871)-1)</f>
        <v/>
      </c>
    </row>
    <row r="872" spans="1:17">
      <c r="A872" s="62" t="str">
        <f>IFERROR(INDEX($H$2:$H$3000,MATCH(0,INDEX(COUNTIF($A$1:A871,$H$2:$H$3000)+($H$2:$H$3000=""),0,0),0)),"")</f>
        <v/>
      </c>
      <c r="B872" s="62" t="str">
        <f t="shared" si="52"/>
        <v/>
      </c>
      <c r="C872" s="62" t="str">
        <f t="shared" si="53"/>
        <v/>
      </c>
      <c r="D872" s="63" t="str">
        <f t="shared" si="54"/>
        <v/>
      </c>
      <c r="E872" s="62" t="str">
        <f>IF(D872="","",_xlfn.RANK.EQ(D872,$D$2:$D$1001,0)+COUNTIF($D$2:D872,D872)-1)</f>
        <v/>
      </c>
      <c r="F872" s="62" t="str">
        <f>IF(B872="","",--(COUNTIF(CN_Brands!$A$2:$A$300,UPPER(B872))&gt;0))</f>
        <v/>
      </c>
      <c r="G872" s="62" t="str">
        <f t="shared" si="55"/>
        <v/>
      </c>
      <c r="H872" s="62" t="str">
        <f>IF(AND('Data Export'!A872=前十整体车型排名!$B$2,'Data Export'!B872=前十整体车型排名!$B$3,'Data Export'!D872&lt;&gt;""),UPPER('Data Export'!C872)&amp;"♦"&amp;'Data Export'!D872,"")</f>
        <v>TOYOTA♦LAND CRUISER 250</v>
      </c>
      <c r="I872" s="63">
        <f>IF(H872="","",IFERROR(INDEX('Data Export'!G872:CZ872,1,MATCH(前十整体车型排名!$B$4,'Data Export'!$G$1:$CZ$1,0)),0))</f>
        <v>6</v>
      </c>
      <c r="J872" s="62" t="str">
        <f>IF(H872="","",IF(OR('Data Export'!F872="三厢轿车",'Data Export'!F872="掀背轿车",'Data Export'!F872="旅行车",'Data Export'!F872="微型车",'Data Export'!F872="硬顶跑车",'Data Export'!F872="敞蓬车",'Data Export'!F872="Targa"),"轿车",IF(OR('Data Export'!F872="小型MPV",'Data Export'!F872="客车"),"MPV",IF('Data Export'!F872="运动型多功能车","SUV","其他"))))</f>
        <v>SUV</v>
      </c>
      <c r="K872" s="62" t="str">
        <f>IF(OR(D872="",NOT(F872=1)),"",1+SUMPRODUCT(($F$2:$F$1001=1)*($D$2:$D$1001&gt;D872))+COUNTIFS($F$2:F872,1,$D$2:D872,D872)-1)</f>
        <v/>
      </c>
      <c r="L872" s="62" t="str">
        <f>IF(OR(D872="",NOT(G872="轿车")),"",1+SUMPRODUCT(($G$2:$G$1001="轿车")*($D$2:$D$1001&gt;D872))+COUNTIFS($G$2:G872,"轿车",$D$2:D872,D872)-1)</f>
        <v/>
      </c>
      <c r="M872" s="62" t="str">
        <f>IF(OR(D872="",NOT(G872="MPV")),"",1+SUMPRODUCT(($G$2:$G$1001="MPV")*($D$2:$D$1001&gt;D872))+COUNTIFS($G$2:G872,"MPV",$D$2:D872,D872)-1)</f>
        <v/>
      </c>
      <c r="N872" s="62" t="str">
        <f>IF(OR(D872="",NOT(G872="SUV")),"",1+SUMPRODUCT(($G$2:$G$1001="SUV")*($D$2:$D$1001&gt;D872))+COUNTIFS($G$2:G872,"SUV",$D$2:D872,D872)-1)</f>
        <v/>
      </c>
      <c r="O872" s="62" t="str">
        <f>IF(OR(D872="",NOT(AND(F872=1,G872="轿车"))),"",1+SUMPRODUCT(($F$2:$F$1001=1)*($G$2:$G$1001="轿车")*($D$2:$D$1001&gt;D872))+COUNTIFS($F$2:F872,1,$G$2:G872,"轿车",$D$2:D872,D872)-1)</f>
        <v/>
      </c>
      <c r="P872" s="62" t="str">
        <f>IF(OR(D872="",NOT(AND(F872=1,G872="MPV"))),"",1+SUMPRODUCT(($F$2:$F$1001=1)*($G$2:$G$1001="MPV")*($D$2:$D$1001&gt;D872))+COUNTIFS($F$2:F872,1,$G$2:G872,"MPV",$D$2:D872,D872)-1)</f>
        <v/>
      </c>
      <c r="Q872" s="62" t="str">
        <f>IF(OR(D872="",NOT(AND(F872=1,G872="SUV"))),"",1+SUMPRODUCT(($F$2:$F$1001=1)*($G$2:$G$1001="SUV")*($D$2:$D$1001&gt;D872))+COUNTIFS($F$2:F872,1,$G$2:G872,"SUV",$D$2:D872,D872)-1)</f>
        <v/>
      </c>
    </row>
    <row r="873" spans="1:17">
      <c r="A873" s="62" t="str">
        <f>IFERROR(INDEX($H$2:$H$3000,MATCH(0,INDEX(COUNTIF($A$1:A872,$H$2:$H$3000)+($H$2:$H$3000=""),0,0),0)),"")</f>
        <v/>
      </c>
      <c r="B873" s="62" t="str">
        <f t="shared" si="52"/>
        <v/>
      </c>
      <c r="C873" s="62" t="str">
        <f t="shared" si="53"/>
        <v/>
      </c>
      <c r="D873" s="63" t="str">
        <f t="shared" si="54"/>
        <v/>
      </c>
      <c r="E873" s="62" t="str">
        <f>IF(D873="","",_xlfn.RANK.EQ(D873,$D$2:$D$1001,0)+COUNTIF($D$2:D873,D873)-1)</f>
        <v/>
      </c>
      <c r="F873" s="62" t="str">
        <f>IF(B873="","",--(COUNTIF(CN_Brands!$A$2:$A$300,UPPER(B873))&gt;0))</f>
        <v/>
      </c>
      <c r="G873" s="62" t="str">
        <f t="shared" si="55"/>
        <v/>
      </c>
      <c r="H873" s="62" t="str">
        <f>IF(AND('Data Export'!A873=前十整体车型排名!$B$2,'Data Export'!B873=前十整体车型排名!$B$3,'Data Export'!D873&lt;&gt;""),UPPER('Data Export'!C873)&amp;"♦"&amp;'Data Export'!D873,"")</f>
        <v>TOYOTA♦LAND CRUISER FJ</v>
      </c>
      <c r="I873" s="63">
        <f>IF(H873="","",IFERROR(INDEX('Data Export'!G873:CZ873,1,MATCH(前十整体车型排名!$B$4,'Data Export'!$G$1:$CZ$1,0)),0))</f>
        <v>380</v>
      </c>
      <c r="J873" s="62" t="str">
        <f>IF(H873="","",IF(OR('Data Export'!F873="三厢轿车",'Data Export'!F873="掀背轿车",'Data Export'!F873="旅行车",'Data Export'!F873="微型车",'Data Export'!F873="硬顶跑车",'Data Export'!F873="敞蓬车",'Data Export'!F873="Targa"),"轿车",IF(OR('Data Export'!F873="小型MPV",'Data Export'!F873="客车"),"MPV",IF('Data Export'!F873="运动型多功能车","SUV","其他"))))</f>
        <v>SUV</v>
      </c>
      <c r="K873" s="62" t="str">
        <f>IF(OR(D873="",NOT(F873=1)),"",1+SUMPRODUCT(($F$2:$F$1001=1)*($D$2:$D$1001&gt;D873))+COUNTIFS($F$2:F873,1,$D$2:D873,D873)-1)</f>
        <v/>
      </c>
      <c r="L873" s="62" t="str">
        <f>IF(OR(D873="",NOT(G873="轿车")),"",1+SUMPRODUCT(($G$2:$G$1001="轿车")*($D$2:$D$1001&gt;D873))+COUNTIFS($G$2:G873,"轿车",$D$2:D873,D873)-1)</f>
        <v/>
      </c>
      <c r="M873" s="62" t="str">
        <f>IF(OR(D873="",NOT(G873="MPV")),"",1+SUMPRODUCT(($G$2:$G$1001="MPV")*($D$2:$D$1001&gt;D873))+COUNTIFS($G$2:G873,"MPV",$D$2:D873,D873)-1)</f>
        <v/>
      </c>
      <c r="N873" s="62" t="str">
        <f>IF(OR(D873="",NOT(G873="SUV")),"",1+SUMPRODUCT(($G$2:$G$1001="SUV")*($D$2:$D$1001&gt;D873))+COUNTIFS($G$2:G873,"SUV",$D$2:D873,D873)-1)</f>
        <v/>
      </c>
      <c r="O873" s="62" t="str">
        <f>IF(OR(D873="",NOT(AND(F873=1,G873="轿车"))),"",1+SUMPRODUCT(($F$2:$F$1001=1)*($G$2:$G$1001="轿车")*($D$2:$D$1001&gt;D873))+COUNTIFS($F$2:F873,1,$G$2:G873,"轿车",$D$2:D873,D873)-1)</f>
        <v/>
      </c>
      <c r="P873" s="62" t="str">
        <f>IF(OR(D873="",NOT(AND(F873=1,G873="MPV"))),"",1+SUMPRODUCT(($F$2:$F$1001=1)*($G$2:$G$1001="MPV")*($D$2:$D$1001&gt;D873))+COUNTIFS($F$2:F873,1,$G$2:G873,"MPV",$D$2:D873,D873)-1)</f>
        <v/>
      </c>
      <c r="Q873" s="62" t="str">
        <f>IF(OR(D873="",NOT(AND(F873=1,G873="SUV"))),"",1+SUMPRODUCT(($F$2:$F$1001=1)*($G$2:$G$1001="SUV")*($D$2:$D$1001&gt;D873))+COUNTIFS($F$2:F873,1,$G$2:G873,"SUV",$D$2:D873,D873)-1)</f>
        <v/>
      </c>
    </row>
    <row r="874" spans="1:17">
      <c r="A874" s="62" t="str">
        <f>IFERROR(INDEX($H$2:$H$3000,MATCH(0,INDEX(COUNTIF($A$1:A873,$H$2:$H$3000)+($H$2:$H$3000=""),0,0),0)),"")</f>
        <v/>
      </c>
      <c r="B874" s="62" t="str">
        <f t="shared" si="52"/>
        <v/>
      </c>
      <c r="C874" s="62" t="str">
        <f t="shared" si="53"/>
        <v/>
      </c>
      <c r="D874" s="63" t="str">
        <f t="shared" si="54"/>
        <v/>
      </c>
      <c r="E874" s="62" t="str">
        <f>IF(D874="","",_xlfn.RANK.EQ(D874,$D$2:$D$1001,0)+COUNTIF($D$2:D874,D874)-1)</f>
        <v/>
      </c>
      <c r="F874" s="62" t="str">
        <f>IF(B874="","",--(COUNTIF(CN_Brands!$A$2:$A$300,UPPER(B874))&gt;0))</f>
        <v/>
      </c>
      <c r="G874" s="62" t="str">
        <f t="shared" si="55"/>
        <v/>
      </c>
      <c r="H874" s="62" t="str">
        <f>IF(AND('Data Export'!A874=前十整体车型排名!$B$2,'Data Export'!B874=前十整体车型排名!$B$3,'Data Export'!D874&lt;&gt;""),UPPER('Data Export'!C874)&amp;"♦"&amp;'Data Export'!D874,"")</f>
        <v>TOYOTA♦LANDCRUISER</v>
      </c>
      <c r="I874" s="63">
        <f>IF(H874="","",IFERROR(INDEX('Data Export'!G874:CZ874,1,MATCH(前十整体车型排名!$B$4,'Data Export'!$G$1:$CZ$1,0)),0))</f>
        <v>0</v>
      </c>
      <c r="J874" s="62" t="str">
        <f>IF(H874="","",IF(OR('Data Export'!F874="三厢轿车",'Data Export'!F874="掀背轿车",'Data Export'!F874="旅行车",'Data Export'!F874="微型车",'Data Export'!F874="硬顶跑车",'Data Export'!F874="敞蓬车",'Data Export'!F874="Targa"),"轿车",IF(OR('Data Export'!F874="小型MPV",'Data Export'!F874="客车"),"MPV",IF('Data Export'!F874="运动型多功能车","SUV","其他"))))</f>
        <v>SUV</v>
      </c>
      <c r="K874" s="62" t="str">
        <f>IF(OR(D874="",NOT(F874=1)),"",1+SUMPRODUCT(($F$2:$F$1001=1)*($D$2:$D$1001&gt;D874))+COUNTIFS($F$2:F874,1,$D$2:D874,D874)-1)</f>
        <v/>
      </c>
      <c r="L874" s="62" t="str">
        <f>IF(OR(D874="",NOT(G874="轿车")),"",1+SUMPRODUCT(($G$2:$G$1001="轿车")*($D$2:$D$1001&gt;D874))+COUNTIFS($G$2:G874,"轿车",$D$2:D874,D874)-1)</f>
        <v/>
      </c>
      <c r="M874" s="62" t="str">
        <f>IF(OR(D874="",NOT(G874="MPV")),"",1+SUMPRODUCT(($G$2:$G$1001="MPV")*($D$2:$D$1001&gt;D874))+COUNTIFS($G$2:G874,"MPV",$D$2:D874,D874)-1)</f>
        <v/>
      </c>
      <c r="N874" s="62" t="str">
        <f>IF(OR(D874="",NOT(G874="SUV")),"",1+SUMPRODUCT(($G$2:$G$1001="SUV")*($D$2:$D$1001&gt;D874))+COUNTIFS($G$2:G874,"SUV",$D$2:D874,D874)-1)</f>
        <v/>
      </c>
      <c r="O874" s="62" t="str">
        <f>IF(OR(D874="",NOT(AND(F874=1,G874="轿车"))),"",1+SUMPRODUCT(($F$2:$F$1001=1)*($G$2:$G$1001="轿车")*($D$2:$D$1001&gt;D874))+COUNTIFS($F$2:F874,1,$G$2:G874,"轿车",$D$2:D874,D874)-1)</f>
        <v/>
      </c>
      <c r="P874" s="62" t="str">
        <f>IF(OR(D874="",NOT(AND(F874=1,G874="MPV"))),"",1+SUMPRODUCT(($F$2:$F$1001=1)*($G$2:$G$1001="MPV")*($D$2:$D$1001&gt;D874))+COUNTIFS($F$2:F874,1,$G$2:G874,"MPV",$D$2:D874,D874)-1)</f>
        <v/>
      </c>
      <c r="Q874" s="62" t="str">
        <f>IF(OR(D874="",NOT(AND(F874=1,G874="SUV"))),"",1+SUMPRODUCT(($F$2:$F$1001=1)*($G$2:$G$1001="SUV")*($D$2:$D$1001&gt;D874))+COUNTIFS($F$2:F874,1,$G$2:G874,"SUV",$D$2:D874,D874)-1)</f>
        <v/>
      </c>
    </row>
    <row r="875" spans="1:17">
      <c r="A875" s="62" t="str">
        <f>IFERROR(INDEX($H$2:$H$3000,MATCH(0,INDEX(COUNTIF($A$1:A874,$H$2:$H$3000)+($H$2:$H$3000=""),0,0),0)),"")</f>
        <v/>
      </c>
      <c r="B875" s="62" t="str">
        <f t="shared" si="52"/>
        <v/>
      </c>
      <c r="C875" s="62" t="str">
        <f t="shared" si="53"/>
        <v/>
      </c>
      <c r="D875" s="63" t="str">
        <f t="shared" si="54"/>
        <v/>
      </c>
      <c r="E875" s="62" t="str">
        <f>IF(D875="","",_xlfn.RANK.EQ(D875,$D$2:$D$1001,0)+COUNTIF($D$2:D875,D875)-1)</f>
        <v/>
      </c>
      <c r="F875" s="62" t="str">
        <f>IF(B875="","",--(COUNTIF(CN_Brands!$A$2:$A$300,UPPER(B875))&gt;0))</f>
        <v/>
      </c>
      <c r="G875" s="62" t="str">
        <f t="shared" si="55"/>
        <v/>
      </c>
      <c r="H875" s="62" t="str">
        <f>IF(AND('Data Export'!A875=前十整体车型排名!$B$2,'Data Export'!B875=前十整体车型排名!$B$3,'Data Export'!D875&lt;&gt;""),UPPER('Data Export'!C875)&amp;"♦"&amp;'Data Export'!D875,"")</f>
        <v>TOYOTA♦LANDCRUISER</v>
      </c>
      <c r="I875" s="63">
        <f>IF(H875="","",IFERROR(INDEX('Data Export'!G875:CZ875,1,MATCH(前十整体车型排名!$B$4,'Data Export'!$G$1:$CZ$1,0)),0))</f>
        <v>0</v>
      </c>
      <c r="J875" s="62" t="str">
        <f>IF(H875="","",IF(OR('Data Export'!F875="三厢轿车",'Data Export'!F875="掀背轿车",'Data Export'!F875="旅行车",'Data Export'!F875="微型车",'Data Export'!F875="硬顶跑车",'Data Export'!F875="敞蓬车",'Data Export'!F875="Targa"),"轿车",IF(OR('Data Export'!F875="小型MPV",'Data Export'!F875="客车"),"MPV",IF('Data Export'!F875="运动型多功能车","SUV","其他"))))</f>
        <v>SUV</v>
      </c>
      <c r="K875" s="62" t="str">
        <f>IF(OR(D875="",NOT(F875=1)),"",1+SUMPRODUCT(($F$2:$F$1001=1)*($D$2:$D$1001&gt;D875))+COUNTIFS($F$2:F875,1,$D$2:D875,D875)-1)</f>
        <v/>
      </c>
      <c r="L875" s="62" t="str">
        <f>IF(OR(D875="",NOT(G875="轿车")),"",1+SUMPRODUCT(($G$2:$G$1001="轿车")*($D$2:$D$1001&gt;D875))+COUNTIFS($G$2:G875,"轿车",$D$2:D875,D875)-1)</f>
        <v/>
      </c>
      <c r="M875" s="62" t="str">
        <f>IF(OR(D875="",NOT(G875="MPV")),"",1+SUMPRODUCT(($G$2:$G$1001="MPV")*($D$2:$D$1001&gt;D875))+COUNTIFS($G$2:G875,"MPV",$D$2:D875,D875)-1)</f>
        <v/>
      </c>
      <c r="N875" s="62" t="str">
        <f>IF(OR(D875="",NOT(G875="SUV")),"",1+SUMPRODUCT(($G$2:$G$1001="SUV")*($D$2:$D$1001&gt;D875))+COUNTIFS($G$2:G875,"SUV",$D$2:D875,D875)-1)</f>
        <v/>
      </c>
      <c r="O875" s="62" t="str">
        <f>IF(OR(D875="",NOT(AND(F875=1,G875="轿车"))),"",1+SUMPRODUCT(($F$2:$F$1001=1)*($G$2:$G$1001="轿车")*($D$2:$D$1001&gt;D875))+COUNTIFS($F$2:F875,1,$G$2:G875,"轿车",$D$2:D875,D875)-1)</f>
        <v/>
      </c>
      <c r="P875" s="62" t="str">
        <f>IF(OR(D875="",NOT(AND(F875=1,G875="MPV"))),"",1+SUMPRODUCT(($F$2:$F$1001=1)*($G$2:$G$1001="MPV")*($D$2:$D$1001&gt;D875))+COUNTIFS($F$2:F875,1,$G$2:G875,"MPV",$D$2:D875,D875)-1)</f>
        <v/>
      </c>
      <c r="Q875" s="62" t="str">
        <f>IF(OR(D875="",NOT(AND(F875=1,G875="SUV"))),"",1+SUMPRODUCT(($F$2:$F$1001=1)*($G$2:$G$1001="SUV")*($D$2:$D$1001&gt;D875))+COUNTIFS($F$2:F875,1,$G$2:G875,"SUV",$D$2:D875,D875)-1)</f>
        <v/>
      </c>
    </row>
    <row r="876" spans="1:17">
      <c r="A876" s="62" t="str">
        <f>IFERROR(INDEX($H$2:$H$3000,MATCH(0,INDEX(COUNTIF($A$1:A875,$H$2:$H$3000)+($H$2:$H$3000=""),0,0),0)),"")</f>
        <v/>
      </c>
      <c r="B876" s="62" t="str">
        <f t="shared" si="52"/>
        <v/>
      </c>
      <c r="C876" s="62" t="str">
        <f t="shared" si="53"/>
        <v/>
      </c>
      <c r="D876" s="63" t="str">
        <f t="shared" si="54"/>
        <v/>
      </c>
      <c r="E876" s="62" t="str">
        <f>IF(D876="","",_xlfn.RANK.EQ(D876,$D$2:$D$1001,0)+COUNTIF($D$2:D876,D876)-1)</f>
        <v/>
      </c>
      <c r="F876" s="62" t="str">
        <f>IF(B876="","",--(COUNTIF(CN_Brands!$A$2:$A$300,UPPER(B876))&gt;0))</f>
        <v/>
      </c>
      <c r="G876" s="62" t="str">
        <f t="shared" si="55"/>
        <v/>
      </c>
      <c r="H876" s="62" t="str">
        <f>IF(AND('Data Export'!A876=前十整体车型排名!$B$2,'Data Export'!B876=前十整体车型排名!$B$3,'Data Export'!D876&lt;&gt;""),UPPER('Data Export'!C876)&amp;"♦"&amp;'Data Export'!D876,"")</f>
        <v>TOYOTA♦LANDCRUISER 250</v>
      </c>
      <c r="I876" s="63">
        <f>IF(H876="","",IFERROR(INDEX('Data Export'!G876:CZ876,1,MATCH(前十整体车型排名!$B$4,'Data Export'!$G$1:$CZ$1,0)),0))</f>
        <v>0</v>
      </c>
      <c r="J876" s="62" t="str">
        <f>IF(H876="","",IF(OR('Data Export'!F876="三厢轿车",'Data Export'!F876="掀背轿车",'Data Export'!F876="旅行车",'Data Export'!F876="微型车",'Data Export'!F876="硬顶跑车",'Data Export'!F876="敞蓬车",'Data Export'!F876="Targa"),"轿车",IF(OR('Data Export'!F876="小型MPV",'Data Export'!F876="客车"),"MPV",IF('Data Export'!F876="运动型多功能车","SUV","其他"))))</f>
        <v>其他</v>
      </c>
      <c r="K876" s="62" t="str">
        <f>IF(OR(D876="",NOT(F876=1)),"",1+SUMPRODUCT(($F$2:$F$1001=1)*($D$2:$D$1001&gt;D876))+COUNTIFS($F$2:F876,1,$D$2:D876,D876)-1)</f>
        <v/>
      </c>
      <c r="L876" s="62" t="str">
        <f>IF(OR(D876="",NOT(G876="轿车")),"",1+SUMPRODUCT(($G$2:$G$1001="轿车")*($D$2:$D$1001&gt;D876))+COUNTIFS($G$2:G876,"轿车",$D$2:D876,D876)-1)</f>
        <v/>
      </c>
      <c r="M876" s="62" t="str">
        <f>IF(OR(D876="",NOT(G876="MPV")),"",1+SUMPRODUCT(($G$2:$G$1001="MPV")*($D$2:$D$1001&gt;D876))+COUNTIFS($G$2:G876,"MPV",$D$2:D876,D876)-1)</f>
        <v/>
      </c>
      <c r="N876" s="62" t="str">
        <f>IF(OR(D876="",NOT(G876="SUV")),"",1+SUMPRODUCT(($G$2:$G$1001="SUV")*($D$2:$D$1001&gt;D876))+COUNTIFS($G$2:G876,"SUV",$D$2:D876,D876)-1)</f>
        <v/>
      </c>
      <c r="O876" s="62" t="str">
        <f>IF(OR(D876="",NOT(AND(F876=1,G876="轿车"))),"",1+SUMPRODUCT(($F$2:$F$1001=1)*($G$2:$G$1001="轿车")*($D$2:$D$1001&gt;D876))+COUNTIFS($F$2:F876,1,$G$2:G876,"轿车",$D$2:D876,D876)-1)</f>
        <v/>
      </c>
      <c r="P876" s="62" t="str">
        <f>IF(OR(D876="",NOT(AND(F876=1,G876="MPV"))),"",1+SUMPRODUCT(($F$2:$F$1001=1)*($G$2:$G$1001="MPV")*($D$2:$D$1001&gt;D876))+COUNTIFS($F$2:F876,1,$G$2:G876,"MPV",$D$2:D876,D876)-1)</f>
        <v/>
      </c>
      <c r="Q876" s="62" t="str">
        <f>IF(OR(D876="",NOT(AND(F876=1,G876="SUV"))),"",1+SUMPRODUCT(($F$2:$F$1001=1)*($G$2:$G$1001="SUV")*($D$2:$D$1001&gt;D876))+COUNTIFS($F$2:F876,1,$G$2:G876,"SUV",$D$2:D876,D876)-1)</f>
        <v/>
      </c>
    </row>
    <row r="877" spans="1:17">
      <c r="A877" s="62" t="str">
        <f>IFERROR(INDEX($H$2:$H$3000,MATCH(0,INDEX(COUNTIF($A$1:A876,$H$2:$H$3000)+($H$2:$H$3000=""),0,0),0)),"")</f>
        <v/>
      </c>
      <c r="B877" s="62" t="str">
        <f t="shared" si="52"/>
        <v/>
      </c>
      <c r="C877" s="62" t="str">
        <f t="shared" si="53"/>
        <v/>
      </c>
      <c r="D877" s="63" t="str">
        <f t="shared" si="54"/>
        <v/>
      </c>
      <c r="E877" s="62" t="str">
        <f>IF(D877="","",_xlfn.RANK.EQ(D877,$D$2:$D$1001,0)+COUNTIF($D$2:D877,D877)-1)</f>
        <v/>
      </c>
      <c r="F877" s="62" t="str">
        <f>IF(B877="","",--(COUNTIF(CN_Brands!$A$2:$A$300,UPPER(B877))&gt;0))</f>
        <v/>
      </c>
      <c r="G877" s="62" t="str">
        <f t="shared" si="55"/>
        <v/>
      </c>
      <c r="H877" s="62" t="str">
        <f>IF(AND('Data Export'!A877=前十整体车型排名!$B$2,'Data Export'!B877=前十整体车型排名!$B$3,'Data Export'!D877&lt;&gt;""),UPPER('Data Export'!C877)&amp;"♦"&amp;'Data Export'!D877,"")</f>
        <v>TOYOTA♦LANDCRUISER 250</v>
      </c>
      <c r="I877" s="63">
        <f>IF(H877="","",IFERROR(INDEX('Data Export'!G877:CZ877,1,MATCH(前十整体车型排名!$B$4,'Data Export'!$G$1:$CZ$1,0)),0))</f>
        <v>0</v>
      </c>
      <c r="J877" s="62" t="str">
        <f>IF(H877="","",IF(OR('Data Export'!F877="三厢轿车",'Data Export'!F877="掀背轿车",'Data Export'!F877="旅行车",'Data Export'!F877="微型车",'Data Export'!F877="硬顶跑车",'Data Export'!F877="敞蓬车",'Data Export'!F877="Targa"),"轿车",IF(OR('Data Export'!F877="小型MPV",'Data Export'!F877="客车"),"MPV",IF('Data Export'!F877="运动型多功能车","SUV","其他"))))</f>
        <v>其他</v>
      </c>
      <c r="K877" s="62" t="str">
        <f>IF(OR(D877="",NOT(F877=1)),"",1+SUMPRODUCT(($F$2:$F$1001=1)*($D$2:$D$1001&gt;D877))+COUNTIFS($F$2:F877,1,$D$2:D877,D877)-1)</f>
        <v/>
      </c>
      <c r="L877" s="62" t="str">
        <f>IF(OR(D877="",NOT(G877="轿车")),"",1+SUMPRODUCT(($G$2:$G$1001="轿车")*($D$2:$D$1001&gt;D877))+COUNTIFS($G$2:G877,"轿车",$D$2:D877,D877)-1)</f>
        <v/>
      </c>
      <c r="M877" s="62" t="str">
        <f>IF(OR(D877="",NOT(G877="MPV")),"",1+SUMPRODUCT(($G$2:$G$1001="MPV")*($D$2:$D$1001&gt;D877))+COUNTIFS($G$2:G877,"MPV",$D$2:D877,D877)-1)</f>
        <v/>
      </c>
      <c r="N877" s="62" t="str">
        <f>IF(OR(D877="",NOT(G877="SUV")),"",1+SUMPRODUCT(($G$2:$G$1001="SUV")*($D$2:$D$1001&gt;D877))+COUNTIFS($G$2:G877,"SUV",$D$2:D877,D877)-1)</f>
        <v/>
      </c>
      <c r="O877" s="62" t="str">
        <f>IF(OR(D877="",NOT(AND(F877=1,G877="轿车"))),"",1+SUMPRODUCT(($F$2:$F$1001=1)*($G$2:$G$1001="轿车")*($D$2:$D$1001&gt;D877))+COUNTIFS($F$2:F877,1,$G$2:G877,"轿车",$D$2:D877,D877)-1)</f>
        <v/>
      </c>
      <c r="P877" s="62" t="str">
        <f>IF(OR(D877="",NOT(AND(F877=1,G877="MPV"))),"",1+SUMPRODUCT(($F$2:$F$1001=1)*($G$2:$G$1001="MPV")*($D$2:$D$1001&gt;D877))+COUNTIFS($F$2:F877,1,$G$2:G877,"MPV",$D$2:D877,D877)-1)</f>
        <v/>
      </c>
      <c r="Q877" s="62" t="str">
        <f>IF(OR(D877="",NOT(AND(F877=1,G877="SUV"))),"",1+SUMPRODUCT(($F$2:$F$1001=1)*($G$2:$G$1001="SUV")*($D$2:$D$1001&gt;D877))+COUNTIFS($F$2:F877,1,$G$2:G877,"SUV",$D$2:D877,D877)-1)</f>
        <v/>
      </c>
    </row>
    <row r="878" spans="1:17">
      <c r="A878" s="62" t="str">
        <f>IFERROR(INDEX($H$2:$H$3000,MATCH(0,INDEX(COUNTIF($A$1:A877,$H$2:$H$3000)+($H$2:$H$3000=""),0,0),0)),"")</f>
        <v/>
      </c>
      <c r="B878" s="62" t="str">
        <f t="shared" si="52"/>
        <v/>
      </c>
      <c r="C878" s="62" t="str">
        <f t="shared" si="53"/>
        <v/>
      </c>
      <c r="D878" s="63" t="str">
        <f t="shared" si="54"/>
        <v/>
      </c>
      <c r="E878" s="62" t="str">
        <f>IF(D878="","",_xlfn.RANK.EQ(D878,$D$2:$D$1001,0)+COUNTIF($D$2:D878,D878)-1)</f>
        <v/>
      </c>
      <c r="F878" s="62" t="str">
        <f>IF(B878="","",--(COUNTIF(CN_Brands!$A$2:$A$300,UPPER(B878))&gt;0))</f>
        <v/>
      </c>
      <c r="G878" s="62" t="str">
        <f t="shared" si="55"/>
        <v/>
      </c>
      <c r="H878" s="62" t="str">
        <f>IF(AND('Data Export'!A878=前十整体车型排名!$B$2,'Data Export'!B878=前十整体车型排名!$B$3,'Data Export'!D878&lt;&gt;""),UPPER('Data Export'!C878)&amp;"♦"&amp;'Data Export'!D878,"")</f>
        <v>TOYOTA♦LANDCRUISER 250</v>
      </c>
      <c r="I878" s="63">
        <f>IF(H878="","",IFERROR(INDEX('Data Export'!G878:CZ878,1,MATCH(前十整体车型排名!$B$4,'Data Export'!$G$1:$CZ$1,0)),0))</f>
        <v>3</v>
      </c>
      <c r="J878" s="62" t="str">
        <f>IF(H878="","",IF(OR('Data Export'!F878="三厢轿车",'Data Export'!F878="掀背轿车",'Data Export'!F878="旅行车",'Data Export'!F878="微型车",'Data Export'!F878="硬顶跑车",'Data Export'!F878="敞蓬车",'Data Export'!F878="Targa"),"轿车",IF(OR('Data Export'!F878="小型MPV",'Data Export'!F878="客车"),"MPV",IF('Data Export'!F878="运动型多功能车","SUV","其他"))))</f>
        <v>其他</v>
      </c>
      <c r="K878" s="62" t="str">
        <f>IF(OR(D878="",NOT(F878=1)),"",1+SUMPRODUCT(($F$2:$F$1001=1)*($D$2:$D$1001&gt;D878))+COUNTIFS($F$2:F878,1,$D$2:D878,D878)-1)</f>
        <v/>
      </c>
      <c r="L878" s="62" t="str">
        <f>IF(OR(D878="",NOT(G878="轿车")),"",1+SUMPRODUCT(($G$2:$G$1001="轿车")*($D$2:$D$1001&gt;D878))+COUNTIFS($G$2:G878,"轿车",$D$2:D878,D878)-1)</f>
        <v/>
      </c>
      <c r="M878" s="62" t="str">
        <f>IF(OR(D878="",NOT(G878="MPV")),"",1+SUMPRODUCT(($G$2:$G$1001="MPV")*($D$2:$D$1001&gt;D878))+COUNTIFS($G$2:G878,"MPV",$D$2:D878,D878)-1)</f>
        <v/>
      </c>
      <c r="N878" s="62" t="str">
        <f>IF(OR(D878="",NOT(G878="SUV")),"",1+SUMPRODUCT(($G$2:$G$1001="SUV")*($D$2:$D$1001&gt;D878))+COUNTIFS($G$2:G878,"SUV",$D$2:D878,D878)-1)</f>
        <v/>
      </c>
      <c r="O878" s="62" t="str">
        <f>IF(OR(D878="",NOT(AND(F878=1,G878="轿车"))),"",1+SUMPRODUCT(($F$2:$F$1001=1)*($G$2:$G$1001="轿车")*($D$2:$D$1001&gt;D878))+COUNTIFS($F$2:F878,1,$G$2:G878,"轿车",$D$2:D878,D878)-1)</f>
        <v/>
      </c>
      <c r="P878" s="62" t="str">
        <f>IF(OR(D878="",NOT(AND(F878=1,G878="MPV"))),"",1+SUMPRODUCT(($F$2:$F$1001=1)*($G$2:$G$1001="MPV")*($D$2:$D$1001&gt;D878))+COUNTIFS($F$2:F878,1,$G$2:G878,"MPV",$D$2:D878,D878)-1)</f>
        <v/>
      </c>
      <c r="Q878" s="62" t="str">
        <f>IF(OR(D878="",NOT(AND(F878=1,G878="SUV"))),"",1+SUMPRODUCT(($F$2:$F$1001=1)*($G$2:$G$1001="SUV")*($D$2:$D$1001&gt;D878))+COUNTIFS($F$2:F878,1,$G$2:G878,"SUV",$D$2:D878,D878)-1)</f>
        <v/>
      </c>
    </row>
    <row r="879" spans="1:17">
      <c r="A879" s="62" t="str">
        <f>IFERROR(INDEX($H$2:$H$3000,MATCH(0,INDEX(COUNTIF($A$1:A878,$H$2:$H$3000)+($H$2:$H$3000=""),0,0),0)),"")</f>
        <v/>
      </c>
      <c r="B879" s="62" t="str">
        <f t="shared" si="52"/>
        <v/>
      </c>
      <c r="C879" s="62" t="str">
        <f t="shared" si="53"/>
        <v/>
      </c>
      <c r="D879" s="63" t="str">
        <f t="shared" si="54"/>
        <v/>
      </c>
      <c r="E879" s="62" t="str">
        <f>IF(D879="","",_xlfn.RANK.EQ(D879,$D$2:$D$1001,0)+COUNTIF($D$2:D879,D879)-1)</f>
        <v/>
      </c>
      <c r="F879" s="62" t="str">
        <f>IF(B879="","",--(COUNTIF(CN_Brands!$A$2:$A$300,UPPER(B879))&gt;0))</f>
        <v/>
      </c>
      <c r="G879" s="62" t="str">
        <f t="shared" si="55"/>
        <v/>
      </c>
      <c r="H879" s="62" t="str">
        <f>IF(AND('Data Export'!A879=前十整体车型排名!$B$2,'Data Export'!B879=前十整体车型排名!$B$3,'Data Export'!D879&lt;&gt;""),UPPER('Data Export'!C879)&amp;"♦"&amp;'Data Export'!D879,"")</f>
        <v>TOYOTA♦LANDCRUISER 250</v>
      </c>
      <c r="I879" s="63">
        <f>IF(H879="","",IFERROR(INDEX('Data Export'!G879:CZ879,1,MATCH(前十整体车型排名!$B$4,'Data Export'!$G$1:$CZ$1,0)),0))</f>
        <v>0</v>
      </c>
      <c r="J879" s="62" t="str">
        <f>IF(H879="","",IF(OR('Data Export'!F879="三厢轿车",'Data Export'!F879="掀背轿车",'Data Export'!F879="旅行车",'Data Export'!F879="微型车",'Data Export'!F879="硬顶跑车",'Data Export'!F879="敞蓬车",'Data Export'!F879="Targa"),"轿车",IF(OR('Data Export'!F879="小型MPV",'Data Export'!F879="客车"),"MPV",IF('Data Export'!F879="运动型多功能车","SUV","其他"))))</f>
        <v>其他</v>
      </c>
      <c r="K879" s="62" t="str">
        <f>IF(OR(D879="",NOT(F879=1)),"",1+SUMPRODUCT(($F$2:$F$1001=1)*($D$2:$D$1001&gt;D879))+COUNTIFS($F$2:F879,1,$D$2:D879,D879)-1)</f>
        <v/>
      </c>
      <c r="L879" s="62" t="str">
        <f>IF(OR(D879="",NOT(G879="轿车")),"",1+SUMPRODUCT(($G$2:$G$1001="轿车")*($D$2:$D$1001&gt;D879))+COUNTIFS($G$2:G879,"轿车",$D$2:D879,D879)-1)</f>
        <v/>
      </c>
      <c r="M879" s="62" t="str">
        <f>IF(OR(D879="",NOT(G879="MPV")),"",1+SUMPRODUCT(($G$2:$G$1001="MPV")*($D$2:$D$1001&gt;D879))+COUNTIFS($G$2:G879,"MPV",$D$2:D879,D879)-1)</f>
        <v/>
      </c>
      <c r="N879" s="62" t="str">
        <f>IF(OR(D879="",NOT(G879="SUV")),"",1+SUMPRODUCT(($G$2:$G$1001="SUV")*($D$2:$D$1001&gt;D879))+COUNTIFS($G$2:G879,"SUV",$D$2:D879,D879)-1)</f>
        <v/>
      </c>
      <c r="O879" s="62" t="str">
        <f>IF(OR(D879="",NOT(AND(F879=1,G879="轿车"))),"",1+SUMPRODUCT(($F$2:$F$1001=1)*($G$2:$G$1001="轿车")*($D$2:$D$1001&gt;D879))+COUNTIFS($F$2:F879,1,$G$2:G879,"轿车",$D$2:D879,D879)-1)</f>
        <v/>
      </c>
      <c r="P879" s="62" t="str">
        <f>IF(OR(D879="",NOT(AND(F879=1,G879="MPV"))),"",1+SUMPRODUCT(($F$2:$F$1001=1)*($G$2:$G$1001="MPV")*($D$2:$D$1001&gt;D879))+COUNTIFS($F$2:F879,1,$G$2:G879,"MPV",$D$2:D879,D879)-1)</f>
        <v/>
      </c>
      <c r="Q879" s="62" t="str">
        <f>IF(OR(D879="",NOT(AND(F879=1,G879="SUV"))),"",1+SUMPRODUCT(($F$2:$F$1001=1)*($G$2:$G$1001="SUV")*($D$2:$D$1001&gt;D879))+COUNTIFS($F$2:F879,1,$G$2:G879,"SUV",$D$2:D879,D879)-1)</f>
        <v/>
      </c>
    </row>
    <row r="880" spans="1:17">
      <c r="A880" s="62" t="str">
        <f>IFERROR(INDEX($H$2:$H$3000,MATCH(0,INDEX(COUNTIF($A$1:A879,$H$2:$H$3000)+($H$2:$H$3000=""),0,0),0)),"")</f>
        <v/>
      </c>
      <c r="B880" s="62" t="str">
        <f t="shared" si="52"/>
        <v/>
      </c>
      <c r="C880" s="62" t="str">
        <f t="shared" si="53"/>
        <v/>
      </c>
      <c r="D880" s="63" t="str">
        <f t="shared" si="54"/>
        <v/>
      </c>
      <c r="E880" s="62" t="str">
        <f>IF(D880="","",_xlfn.RANK.EQ(D880,$D$2:$D$1001,0)+COUNTIF($D$2:D880,D880)-1)</f>
        <v/>
      </c>
      <c r="F880" s="62" t="str">
        <f>IF(B880="","",--(COUNTIF(CN_Brands!$A$2:$A$300,UPPER(B880))&gt;0))</f>
        <v/>
      </c>
      <c r="G880" s="62" t="str">
        <f t="shared" si="55"/>
        <v/>
      </c>
      <c r="H880" s="62" t="str">
        <f>IF(AND('Data Export'!A880=前十整体车型排名!$B$2,'Data Export'!B880=前十整体车型排名!$B$3,'Data Export'!D880&lt;&gt;""),UPPER('Data Export'!C880)&amp;"♦"&amp;'Data Export'!D880,"")</f>
        <v>TOYOTA♦LANDCRUISER 300</v>
      </c>
      <c r="I880" s="63">
        <f>IF(H880="","",IFERROR(INDEX('Data Export'!G880:CZ880,1,MATCH(前十整体车型排名!$B$4,'Data Export'!$G$1:$CZ$1,0)),0))</f>
        <v>0</v>
      </c>
      <c r="J880" s="62" t="str">
        <f>IF(H880="","",IF(OR('Data Export'!F880="三厢轿车",'Data Export'!F880="掀背轿车",'Data Export'!F880="旅行车",'Data Export'!F880="微型车",'Data Export'!F880="硬顶跑车",'Data Export'!F880="敞蓬车",'Data Export'!F880="Targa"),"轿车",IF(OR('Data Export'!F880="小型MPV",'Data Export'!F880="客车"),"MPV",IF('Data Export'!F880="运动型多功能车","SUV","其他"))))</f>
        <v>SUV</v>
      </c>
      <c r="K880" s="62" t="str">
        <f>IF(OR(D880="",NOT(F880=1)),"",1+SUMPRODUCT(($F$2:$F$1001=1)*($D$2:$D$1001&gt;D880))+COUNTIFS($F$2:F880,1,$D$2:D880,D880)-1)</f>
        <v/>
      </c>
      <c r="L880" s="62" t="str">
        <f>IF(OR(D880="",NOT(G880="轿车")),"",1+SUMPRODUCT(($G$2:$G$1001="轿车")*($D$2:$D$1001&gt;D880))+COUNTIFS($G$2:G880,"轿车",$D$2:D880,D880)-1)</f>
        <v/>
      </c>
      <c r="M880" s="62" t="str">
        <f>IF(OR(D880="",NOT(G880="MPV")),"",1+SUMPRODUCT(($G$2:$G$1001="MPV")*($D$2:$D$1001&gt;D880))+COUNTIFS($G$2:G880,"MPV",$D$2:D880,D880)-1)</f>
        <v/>
      </c>
      <c r="N880" s="62" t="str">
        <f>IF(OR(D880="",NOT(G880="SUV")),"",1+SUMPRODUCT(($G$2:$G$1001="SUV")*($D$2:$D$1001&gt;D880))+COUNTIFS($G$2:G880,"SUV",$D$2:D880,D880)-1)</f>
        <v/>
      </c>
      <c r="O880" s="62" t="str">
        <f>IF(OR(D880="",NOT(AND(F880=1,G880="轿车"))),"",1+SUMPRODUCT(($F$2:$F$1001=1)*($G$2:$G$1001="轿车")*($D$2:$D$1001&gt;D880))+COUNTIFS($F$2:F880,1,$G$2:G880,"轿车",$D$2:D880,D880)-1)</f>
        <v/>
      </c>
      <c r="P880" s="62" t="str">
        <f>IF(OR(D880="",NOT(AND(F880=1,G880="MPV"))),"",1+SUMPRODUCT(($F$2:$F$1001=1)*($G$2:$G$1001="MPV")*($D$2:$D$1001&gt;D880))+COUNTIFS($F$2:F880,1,$G$2:G880,"MPV",$D$2:D880,D880)-1)</f>
        <v/>
      </c>
      <c r="Q880" s="62" t="str">
        <f>IF(OR(D880="",NOT(AND(F880=1,G880="SUV"))),"",1+SUMPRODUCT(($F$2:$F$1001=1)*($G$2:$G$1001="SUV")*($D$2:$D$1001&gt;D880))+COUNTIFS($F$2:F880,1,$G$2:G880,"SUV",$D$2:D880,D880)-1)</f>
        <v/>
      </c>
    </row>
    <row r="881" spans="1:17">
      <c r="A881" s="62" t="str">
        <f>IFERROR(INDEX($H$2:$H$3000,MATCH(0,INDEX(COUNTIF($A$1:A880,$H$2:$H$3000)+($H$2:$H$3000=""),0,0),0)),"")</f>
        <v/>
      </c>
      <c r="B881" s="62" t="str">
        <f t="shared" si="52"/>
        <v/>
      </c>
      <c r="C881" s="62" t="str">
        <f t="shared" si="53"/>
        <v/>
      </c>
      <c r="D881" s="63" t="str">
        <f t="shared" si="54"/>
        <v/>
      </c>
      <c r="E881" s="62" t="str">
        <f>IF(D881="","",_xlfn.RANK.EQ(D881,$D$2:$D$1001,0)+COUNTIF($D$2:D881,D881)-1)</f>
        <v/>
      </c>
      <c r="F881" s="62" t="str">
        <f>IF(B881="","",--(COUNTIF(CN_Brands!$A$2:$A$300,UPPER(B881))&gt;0))</f>
        <v/>
      </c>
      <c r="G881" s="62" t="str">
        <f t="shared" si="55"/>
        <v/>
      </c>
      <c r="H881" s="62" t="str">
        <f>IF(AND('Data Export'!A881=前十整体车型排名!$B$2,'Data Export'!B881=前十整体车型排名!$B$3,'Data Export'!D881&lt;&gt;""),UPPER('Data Export'!C881)&amp;"♦"&amp;'Data Export'!D881,"")</f>
        <v>TOYOTA♦LANDCRUISER 300</v>
      </c>
      <c r="I881" s="63">
        <f>IF(H881="","",IFERROR(INDEX('Data Export'!G881:CZ881,1,MATCH(前十整体车型排名!$B$4,'Data Export'!$G$1:$CZ$1,0)),0))</f>
        <v>1</v>
      </c>
      <c r="J881" s="62" t="str">
        <f>IF(H881="","",IF(OR('Data Export'!F881="三厢轿车",'Data Export'!F881="掀背轿车",'Data Export'!F881="旅行车",'Data Export'!F881="微型车",'Data Export'!F881="硬顶跑车",'Data Export'!F881="敞蓬车",'Data Export'!F881="Targa"),"轿车",IF(OR('Data Export'!F881="小型MPV",'Data Export'!F881="客车"),"MPV",IF('Data Export'!F881="运动型多功能车","SUV","其他"))))</f>
        <v>SUV</v>
      </c>
      <c r="K881" s="62" t="str">
        <f>IF(OR(D881="",NOT(F881=1)),"",1+SUMPRODUCT(($F$2:$F$1001=1)*($D$2:$D$1001&gt;D881))+COUNTIFS($F$2:F881,1,$D$2:D881,D881)-1)</f>
        <v/>
      </c>
      <c r="L881" s="62" t="str">
        <f>IF(OR(D881="",NOT(G881="轿车")),"",1+SUMPRODUCT(($G$2:$G$1001="轿车")*($D$2:$D$1001&gt;D881))+COUNTIFS($G$2:G881,"轿车",$D$2:D881,D881)-1)</f>
        <v/>
      </c>
      <c r="M881" s="62" t="str">
        <f>IF(OR(D881="",NOT(G881="MPV")),"",1+SUMPRODUCT(($G$2:$G$1001="MPV")*($D$2:$D$1001&gt;D881))+COUNTIFS($G$2:G881,"MPV",$D$2:D881,D881)-1)</f>
        <v/>
      </c>
      <c r="N881" s="62" t="str">
        <f>IF(OR(D881="",NOT(G881="SUV")),"",1+SUMPRODUCT(($G$2:$G$1001="SUV")*($D$2:$D$1001&gt;D881))+COUNTIFS($G$2:G881,"SUV",$D$2:D881,D881)-1)</f>
        <v/>
      </c>
      <c r="O881" s="62" t="str">
        <f>IF(OR(D881="",NOT(AND(F881=1,G881="轿车"))),"",1+SUMPRODUCT(($F$2:$F$1001=1)*($G$2:$G$1001="轿车")*($D$2:$D$1001&gt;D881))+COUNTIFS($F$2:F881,1,$G$2:G881,"轿车",$D$2:D881,D881)-1)</f>
        <v/>
      </c>
      <c r="P881" s="62" t="str">
        <f>IF(OR(D881="",NOT(AND(F881=1,G881="MPV"))),"",1+SUMPRODUCT(($F$2:$F$1001=1)*($G$2:$G$1001="MPV")*($D$2:$D$1001&gt;D881))+COUNTIFS($F$2:F881,1,$G$2:G881,"MPV",$D$2:D881,D881)-1)</f>
        <v/>
      </c>
      <c r="Q881" s="62" t="str">
        <f>IF(OR(D881="",NOT(AND(F881=1,G881="SUV"))),"",1+SUMPRODUCT(($F$2:$F$1001=1)*($G$2:$G$1001="SUV")*($D$2:$D$1001&gt;D881))+COUNTIFS($F$2:F881,1,$G$2:G881,"SUV",$D$2:D881,D881)-1)</f>
        <v/>
      </c>
    </row>
    <row r="882" spans="1:17">
      <c r="A882" s="62" t="str">
        <f>IFERROR(INDEX($H$2:$H$3000,MATCH(0,INDEX(COUNTIF($A$1:A881,$H$2:$H$3000)+($H$2:$H$3000=""),0,0),0)),"")</f>
        <v/>
      </c>
      <c r="B882" s="62" t="str">
        <f t="shared" si="52"/>
        <v/>
      </c>
      <c r="C882" s="62" t="str">
        <f t="shared" si="53"/>
        <v/>
      </c>
      <c r="D882" s="63" t="str">
        <f t="shared" si="54"/>
        <v/>
      </c>
      <c r="E882" s="62" t="str">
        <f>IF(D882="","",_xlfn.RANK.EQ(D882,$D$2:$D$1001,0)+COUNTIF($D$2:D882,D882)-1)</f>
        <v/>
      </c>
      <c r="F882" s="62" t="str">
        <f>IF(B882="","",--(COUNTIF(CN_Brands!$A$2:$A$300,UPPER(B882))&gt;0))</f>
        <v/>
      </c>
      <c r="G882" s="62" t="str">
        <f t="shared" si="55"/>
        <v/>
      </c>
      <c r="H882" s="62" t="str">
        <f>IF(AND('Data Export'!A882=前十整体车型排名!$B$2,'Data Export'!B882=前十整体车型排名!$B$3,'Data Export'!D882&lt;&gt;""),UPPER('Data Export'!C882)&amp;"♦"&amp;'Data Export'!D882,"")</f>
        <v>TOYOTA♦LANDCRUISER 300</v>
      </c>
      <c r="I882" s="63">
        <f>IF(H882="","",IFERROR(INDEX('Data Export'!G882:CZ882,1,MATCH(前十整体车型排名!$B$4,'Data Export'!$G$1:$CZ$1,0)),0))</f>
        <v>2</v>
      </c>
      <c r="J882" s="62" t="str">
        <f>IF(H882="","",IF(OR('Data Export'!F882="三厢轿车",'Data Export'!F882="掀背轿车",'Data Export'!F882="旅行车",'Data Export'!F882="微型车",'Data Export'!F882="硬顶跑车",'Data Export'!F882="敞蓬车",'Data Export'!F882="Targa"),"轿车",IF(OR('Data Export'!F882="小型MPV",'Data Export'!F882="客车"),"MPV",IF('Data Export'!F882="运动型多功能车","SUV","其他"))))</f>
        <v>SUV</v>
      </c>
      <c r="K882" s="62" t="str">
        <f>IF(OR(D882="",NOT(F882=1)),"",1+SUMPRODUCT(($F$2:$F$1001=1)*($D$2:$D$1001&gt;D882))+COUNTIFS($F$2:F882,1,$D$2:D882,D882)-1)</f>
        <v/>
      </c>
      <c r="L882" s="62" t="str">
        <f>IF(OR(D882="",NOT(G882="轿车")),"",1+SUMPRODUCT(($G$2:$G$1001="轿车")*($D$2:$D$1001&gt;D882))+COUNTIFS($G$2:G882,"轿车",$D$2:D882,D882)-1)</f>
        <v/>
      </c>
      <c r="M882" s="62" t="str">
        <f>IF(OR(D882="",NOT(G882="MPV")),"",1+SUMPRODUCT(($G$2:$G$1001="MPV")*($D$2:$D$1001&gt;D882))+COUNTIFS($G$2:G882,"MPV",$D$2:D882,D882)-1)</f>
        <v/>
      </c>
      <c r="N882" s="62" t="str">
        <f>IF(OR(D882="",NOT(G882="SUV")),"",1+SUMPRODUCT(($G$2:$G$1001="SUV")*($D$2:$D$1001&gt;D882))+COUNTIFS($G$2:G882,"SUV",$D$2:D882,D882)-1)</f>
        <v/>
      </c>
      <c r="O882" s="62" t="str">
        <f>IF(OR(D882="",NOT(AND(F882=1,G882="轿车"))),"",1+SUMPRODUCT(($F$2:$F$1001=1)*($G$2:$G$1001="轿车")*($D$2:$D$1001&gt;D882))+COUNTIFS($F$2:F882,1,$G$2:G882,"轿车",$D$2:D882,D882)-1)</f>
        <v/>
      </c>
      <c r="P882" s="62" t="str">
        <f>IF(OR(D882="",NOT(AND(F882=1,G882="MPV"))),"",1+SUMPRODUCT(($F$2:$F$1001=1)*($G$2:$G$1001="MPV")*($D$2:$D$1001&gt;D882))+COUNTIFS($F$2:F882,1,$G$2:G882,"MPV",$D$2:D882,D882)-1)</f>
        <v/>
      </c>
      <c r="Q882" s="62" t="str">
        <f>IF(OR(D882="",NOT(AND(F882=1,G882="SUV"))),"",1+SUMPRODUCT(($F$2:$F$1001=1)*($G$2:$G$1001="SUV")*($D$2:$D$1001&gt;D882))+COUNTIFS($F$2:F882,1,$G$2:G882,"SUV",$D$2:D882,D882)-1)</f>
        <v/>
      </c>
    </row>
    <row r="883" spans="1:17">
      <c r="A883" s="62" t="str">
        <f>IFERROR(INDEX($H$2:$H$3000,MATCH(0,INDEX(COUNTIF($A$1:A882,$H$2:$H$3000)+($H$2:$H$3000=""),0,0),0)),"")</f>
        <v/>
      </c>
      <c r="B883" s="62" t="str">
        <f t="shared" si="52"/>
        <v/>
      </c>
      <c r="C883" s="62" t="str">
        <f t="shared" si="53"/>
        <v/>
      </c>
      <c r="D883" s="63" t="str">
        <f t="shared" si="54"/>
        <v/>
      </c>
      <c r="E883" s="62" t="str">
        <f>IF(D883="","",_xlfn.RANK.EQ(D883,$D$2:$D$1001,0)+COUNTIF($D$2:D883,D883)-1)</f>
        <v/>
      </c>
      <c r="F883" s="62" t="str">
        <f>IF(B883="","",--(COUNTIF(CN_Brands!$A$2:$A$300,UPPER(B883))&gt;0))</f>
        <v/>
      </c>
      <c r="G883" s="62" t="str">
        <f t="shared" si="55"/>
        <v/>
      </c>
      <c r="H883" s="62" t="str">
        <f>IF(AND('Data Export'!A883=前十整体车型排名!$B$2,'Data Export'!B883=前十整体车型排名!$B$3,'Data Export'!D883&lt;&gt;""),UPPER('Data Export'!C883)&amp;"♦"&amp;'Data Export'!D883,"")</f>
        <v>TOYOTA♦LANDCRUISER 300</v>
      </c>
      <c r="I883" s="63">
        <f>IF(H883="","",IFERROR(INDEX('Data Export'!G883:CZ883,1,MATCH(前十整体车型排名!$B$4,'Data Export'!$G$1:$CZ$1,0)),0))</f>
        <v>1</v>
      </c>
      <c r="J883" s="62" t="str">
        <f>IF(H883="","",IF(OR('Data Export'!F883="三厢轿车",'Data Export'!F883="掀背轿车",'Data Export'!F883="旅行车",'Data Export'!F883="微型车",'Data Export'!F883="硬顶跑车",'Data Export'!F883="敞蓬车",'Data Export'!F883="Targa"),"轿车",IF(OR('Data Export'!F883="小型MPV",'Data Export'!F883="客车"),"MPV",IF('Data Export'!F883="运动型多功能车","SUV","其他"))))</f>
        <v>SUV</v>
      </c>
      <c r="K883" s="62" t="str">
        <f>IF(OR(D883="",NOT(F883=1)),"",1+SUMPRODUCT(($F$2:$F$1001=1)*($D$2:$D$1001&gt;D883))+COUNTIFS($F$2:F883,1,$D$2:D883,D883)-1)</f>
        <v/>
      </c>
      <c r="L883" s="62" t="str">
        <f>IF(OR(D883="",NOT(G883="轿车")),"",1+SUMPRODUCT(($G$2:$G$1001="轿车")*($D$2:$D$1001&gt;D883))+COUNTIFS($G$2:G883,"轿车",$D$2:D883,D883)-1)</f>
        <v/>
      </c>
      <c r="M883" s="62" t="str">
        <f>IF(OR(D883="",NOT(G883="MPV")),"",1+SUMPRODUCT(($G$2:$G$1001="MPV")*($D$2:$D$1001&gt;D883))+COUNTIFS($G$2:G883,"MPV",$D$2:D883,D883)-1)</f>
        <v/>
      </c>
      <c r="N883" s="62" t="str">
        <f>IF(OR(D883="",NOT(G883="SUV")),"",1+SUMPRODUCT(($G$2:$G$1001="SUV")*($D$2:$D$1001&gt;D883))+COUNTIFS($G$2:G883,"SUV",$D$2:D883,D883)-1)</f>
        <v/>
      </c>
      <c r="O883" s="62" t="str">
        <f>IF(OR(D883="",NOT(AND(F883=1,G883="轿车"))),"",1+SUMPRODUCT(($F$2:$F$1001=1)*($G$2:$G$1001="轿车")*($D$2:$D$1001&gt;D883))+COUNTIFS($F$2:F883,1,$G$2:G883,"轿车",$D$2:D883,D883)-1)</f>
        <v/>
      </c>
      <c r="P883" s="62" t="str">
        <f>IF(OR(D883="",NOT(AND(F883=1,G883="MPV"))),"",1+SUMPRODUCT(($F$2:$F$1001=1)*($G$2:$G$1001="MPV")*($D$2:$D$1001&gt;D883))+COUNTIFS($F$2:F883,1,$G$2:G883,"MPV",$D$2:D883,D883)-1)</f>
        <v/>
      </c>
      <c r="Q883" s="62" t="str">
        <f>IF(OR(D883="",NOT(AND(F883=1,G883="SUV"))),"",1+SUMPRODUCT(($F$2:$F$1001=1)*($G$2:$G$1001="SUV")*($D$2:$D$1001&gt;D883))+COUNTIFS($F$2:F883,1,$G$2:G883,"SUV",$D$2:D883,D883)-1)</f>
        <v/>
      </c>
    </row>
    <row r="884" spans="1:17">
      <c r="A884" s="62" t="str">
        <f>IFERROR(INDEX($H$2:$H$3000,MATCH(0,INDEX(COUNTIF($A$1:A883,$H$2:$H$3000)+($H$2:$H$3000=""),0,0),0)),"")</f>
        <v/>
      </c>
      <c r="B884" s="62" t="str">
        <f t="shared" si="52"/>
        <v/>
      </c>
      <c r="C884" s="62" t="str">
        <f t="shared" si="53"/>
        <v/>
      </c>
      <c r="D884" s="63" t="str">
        <f t="shared" si="54"/>
        <v/>
      </c>
      <c r="E884" s="62" t="str">
        <f>IF(D884="","",_xlfn.RANK.EQ(D884,$D$2:$D$1001,0)+COUNTIF($D$2:D884,D884)-1)</f>
        <v/>
      </c>
      <c r="F884" s="62" t="str">
        <f>IF(B884="","",--(COUNTIF(CN_Brands!$A$2:$A$300,UPPER(B884))&gt;0))</f>
        <v/>
      </c>
      <c r="G884" s="62" t="str">
        <f t="shared" si="55"/>
        <v/>
      </c>
      <c r="H884" s="62" t="str">
        <f>IF(AND('Data Export'!A884=前十整体车型排名!$B$2,'Data Export'!B884=前十整体车型排名!$B$3,'Data Export'!D884&lt;&gt;""),UPPER('Data Export'!C884)&amp;"♦"&amp;'Data Export'!D884,"")</f>
        <v>TOYOTA♦LANDCRUISER 70</v>
      </c>
      <c r="I884" s="63">
        <f>IF(H884="","",IFERROR(INDEX('Data Export'!G884:CZ884,1,MATCH(前十整体车型排名!$B$4,'Data Export'!$G$1:$CZ$1,0)),0))</f>
        <v>0</v>
      </c>
      <c r="J884" s="62" t="str">
        <f>IF(H884="","",IF(OR('Data Export'!F884="三厢轿车",'Data Export'!F884="掀背轿车",'Data Export'!F884="旅行车",'Data Export'!F884="微型车",'Data Export'!F884="硬顶跑车",'Data Export'!F884="敞蓬车",'Data Export'!F884="Targa"),"轿车",IF(OR('Data Export'!F884="小型MPV",'Data Export'!F884="客车"),"MPV",IF('Data Export'!F884="运动型多功能车","SUV","其他"))))</f>
        <v>其他</v>
      </c>
      <c r="K884" s="62" t="str">
        <f>IF(OR(D884="",NOT(F884=1)),"",1+SUMPRODUCT(($F$2:$F$1001=1)*($D$2:$D$1001&gt;D884))+COUNTIFS($F$2:F884,1,$D$2:D884,D884)-1)</f>
        <v/>
      </c>
      <c r="L884" s="62" t="str">
        <f>IF(OR(D884="",NOT(G884="轿车")),"",1+SUMPRODUCT(($G$2:$G$1001="轿车")*($D$2:$D$1001&gt;D884))+COUNTIFS($G$2:G884,"轿车",$D$2:D884,D884)-1)</f>
        <v/>
      </c>
      <c r="M884" s="62" t="str">
        <f>IF(OR(D884="",NOT(G884="MPV")),"",1+SUMPRODUCT(($G$2:$G$1001="MPV")*($D$2:$D$1001&gt;D884))+COUNTIFS($G$2:G884,"MPV",$D$2:D884,D884)-1)</f>
        <v/>
      </c>
      <c r="N884" s="62" t="str">
        <f>IF(OR(D884="",NOT(G884="SUV")),"",1+SUMPRODUCT(($G$2:$G$1001="SUV")*($D$2:$D$1001&gt;D884))+COUNTIFS($G$2:G884,"SUV",$D$2:D884,D884)-1)</f>
        <v/>
      </c>
      <c r="O884" s="62" t="str">
        <f>IF(OR(D884="",NOT(AND(F884=1,G884="轿车"))),"",1+SUMPRODUCT(($F$2:$F$1001=1)*($G$2:$G$1001="轿车")*($D$2:$D$1001&gt;D884))+COUNTIFS($F$2:F884,1,$G$2:G884,"轿车",$D$2:D884,D884)-1)</f>
        <v/>
      </c>
      <c r="P884" s="62" t="str">
        <f>IF(OR(D884="",NOT(AND(F884=1,G884="MPV"))),"",1+SUMPRODUCT(($F$2:$F$1001=1)*($G$2:$G$1001="MPV")*($D$2:$D$1001&gt;D884))+COUNTIFS($F$2:F884,1,$G$2:G884,"MPV",$D$2:D884,D884)-1)</f>
        <v/>
      </c>
      <c r="Q884" s="62" t="str">
        <f>IF(OR(D884="",NOT(AND(F884=1,G884="SUV"))),"",1+SUMPRODUCT(($F$2:$F$1001=1)*($G$2:$G$1001="SUV")*($D$2:$D$1001&gt;D884))+COUNTIFS($F$2:F884,1,$G$2:G884,"SUV",$D$2:D884,D884)-1)</f>
        <v/>
      </c>
    </row>
    <row r="885" spans="1:17">
      <c r="A885" s="62" t="str">
        <f>IFERROR(INDEX($H$2:$H$3000,MATCH(0,INDEX(COUNTIF($A$1:A884,$H$2:$H$3000)+($H$2:$H$3000=""),0,0),0)),"")</f>
        <v/>
      </c>
      <c r="B885" s="62" t="str">
        <f t="shared" si="52"/>
        <v/>
      </c>
      <c r="C885" s="62" t="str">
        <f t="shared" si="53"/>
        <v/>
      </c>
      <c r="D885" s="63" t="str">
        <f t="shared" si="54"/>
        <v/>
      </c>
      <c r="E885" s="62" t="str">
        <f>IF(D885="","",_xlfn.RANK.EQ(D885,$D$2:$D$1001,0)+COUNTIF($D$2:D885,D885)-1)</f>
        <v/>
      </c>
      <c r="F885" s="62" t="str">
        <f>IF(B885="","",--(COUNTIF(CN_Brands!$A$2:$A$300,UPPER(B885))&gt;0))</f>
        <v/>
      </c>
      <c r="G885" s="62" t="str">
        <f t="shared" si="55"/>
        <v/>
      </c>
      <c r="H885" s="62" t="str">
        <f>IF(AND('Data Export'!A885=前十整体车型排名!$B$2,'Data Export'!B885=前十整体车型排名!$B$3,'Data Export'!D885&lt;&gt;""),UPPER('Data Export'!C885)&amp;"♦"&amp;'Data Export'!D885,"")</f>
        <v>TOYOTA♦LANDCRUISER 70</v>
      </c>
      <c r="I885" s="63">
        <f>IF(H885="","",IFERROR(INDEX('Data Export'!G885:CZ885,1,MATCH(前十整体车型排名!$B$4,'Data Export'!$G$1:$CZ$1,0)),0))</f>
        <v>7</v>
      </c>
      <c r="J885" s="62" t="str">
        <f>IF(H885="","",IF(OR('Data Export'!F885="三厢轿车",'Data Export'!F885="掀背轿车",'Data Export'!F885="旅行车",'Data Export'!F885="微型车",'Data Export'!F885="硬顶跑车",'Data Export'!F885="敞蓬车",'Data Export'!F885="Targa"),"轿车",IF(OR('Data Export'!F885="小型MPV",'Data Export'!F885="客车"),"MPV",IF('Data Export'!F885="运动型多功能车","SUV","其他"))))</f>
        <v>其他</v>
      </c>
      <c r="K885" s="62" t="str">
        <f>IF(OR(D885="",NOT(F885=1)),"",1+SUMPRODUCT(($F$2:$F$1001=1)*($D$2:$D$1001&gt;D885))+COUNTIFS($F$2:F885,1,$D$2:D885,D885)-1)</f>
        <v/>
      </c>
      <c r="L885" s="62" t="str">
        <f>IF(OR(D885="",NOT(G885="轿车")),"",1+SUMPRODUCT(($G$2:$G$1001="轿车")*($D$2:$D$1001&gt;D885))+COUNTIFS($G$2:G885,"轿车",$D$2:D885,D885)-1)</f>
        <v/>
      </c>
      <c r="M885" s="62" t="str">
        <f>IF(OR(D885="",NOT(G885="MPV")),"",1+SUMPRODUCT(($G$2:$G$1001="MPV")*($D$2:$D$1001&gt;D885))+COUNTIFS($G$2:G885,"MPV",$D$2:D885,D885)-1)</f>
        <v/>
      </c>
      <c r="N885" s="62" t="str">
        <f>IF(OR(D885="",NOT(G885="SUV")),"",1+SUMPRODUCT(($G$2:$G$1001="SUV")*($D$2:$D$1001&gt;D885))+COUNTIFS($G$2:G885,"SUV",$D$2:D885,D885)-1)</f>
        <v/>
      </c>
      <c r="O885" s="62" t="str">
        <f>IF(OR(D885="",NOT(AND(F885=1,G885="轿车"))),"",1+SUMPRODUCT(($F$2:$F$1001=1)*($G$2:$G$1001="轿车")*($D$2:$D$1001&gt;D885))+COUNTIFS($F$2:F885,1,$G$2:G885,"轿车",$D$2:D885,D885)-1)</f>
        <v/>
      </c>
      <c r="P885" s="62" t="str">
        <f>IF(OR(D885="",NOT(AND(F885=1,G885="MPV"))),"",1+SUMPRODUCT(($F$2:$F$1001=1)*($G$2:$G$1001="MPV")*($D$2:$D$1001&gt;D885))+COUNTIFS($F$2:F885,1,$G$2:G885,"MPV",$D$2:D885,D885)-1)</f>
        <v/>
      </c>
      <c r="Q885" s="62" t="str">
        <f>IF(OR(D885="",NOT(AND(F885=1,G885="SUV"))),"",1+SUMPRODUCT(($F$2:$F$1001=1)*($G$2:$G$1001="SUV")*($D$2:$D$1001&gt;D885))+COUNTIFS($F$2:F885,1,$G$2:G885,"SUV",$D$2:D885,D885)-1)</f>
        <v/>
      </c>
    </row>
    <row r="886" spans="1:17">
      <c r="A886" s="62" t="str">
        <f>IFERROR(INDEX($H$2:$H$3000,MATCH(0,INDEX(COUNTIF($A$1:A885,$H$2:$H$3000)+($H$2:$H$3000=""),0,0),0)),"")</f>
        <v/>
      </c>
      <c r="B886" s="62" t="str">
        <f t="shared" si="52"/>
        <v/>
      </c>
      <c r="C886" s="62" t="str">
        <f t="shared" si="53"/>
        <v/>
      </c>
      <c r="D886" s="63" t="str">
        <f t="shared" si="54"/>
        <v/>
      </c>
      <c r="E886" s="62" t="str">
        <f>IF(D886="","",_xlfn.RANK.EQ(D886,$D$2:$D$1001,0)+COUNTIF($D$2:D886,D886)-1)</f>
        <v/>
      </c>
      <c r="F886" s="62" t="str">
        <f>IF(B886="","",--(COUNTIF(CN_Brands!$A$2:$A$300,UPPER(B886))&gt;0))</f>
        <v/>
      </c>
      <c r="G886" s="62" t="str">
        <f t="shared" si="55"/>
        <v/>
      </c>
      <c r="H886" s="62" t="str">
        <f>IF(AND('Data Export'!A886=前十整体车型排名!$B$2,'Data Export'!B886=前十整体车型排名!$B$3,'Data Export'!D886&lt;&gt;""),UPPER('Data Export'!C886)&amp;"♦"&amp;'Data Export'!D886,"")</f>
        <v>TOYOTA♦LANDCRUISER 76</v>
      </c>
      <c r="I886" s="63">
        <f>IF(H886="","",IFERROR(INDEX('Data Export'!G886:CZ886,1,MATCH(前十整体车型排名!$B$4,'Data Export'!$G$1:$CZ$1,0)),0))</f>
        <v>1</v>
      </c>
      <c r="J886" s="62" t="str">
        <f>IF(H886="","",IF(OR('Data Export'!F886="三厢轿车",'Data Export'!F886="掀背轿车",'Data Export'!F886="旅行车",'Data Export'!F886="微型车",'Data Export'!F886="硬顶跑车",'Data Export'!F886="敞蓬车",'Data Export'!F886="Targa"),"轿车",IF(OR('Data Export'!F886="小型MPV",'Data Export'!F886="客车"),"MPV",IF('Data Export'!F886="运动型多功能车","SUV","其他"))))</f>
        <v>其他</v>
      </c>
      <c r="K886" s="62" t="str">
        <f>IF(OR(D886="",NOT(F886=1)),"",1+SUMPRODUCT(($F$2:$F$1001=1)*($D$2:$D$1001&gt;D886))+COUNTIFS($F$2:F886,1,$D$2:D886,D886)-1)</f>
        <v/>
      </c>
      <c r="L886" s="62" t="str">
        <f>IF(OR(D886="",NOT(G886="轿车")),"",1+SUMPRODUCT(($G$2:$G$1001="轿车")*($D$2:$D$1001&gt;D886))+COUNTIFS($G$2:G886,"轿车",$D$2:D886,D886)-1)</f>
        <v/>
      </c>
      <c r="M886" s="62" t="str">
        <f>IF(OR(D886="",NOT(G886="MPV")),"",1+SUMPRODUCT(($G$2:$G$1001="MPV")*($D$2:$D$1001&gt;D886))+COUNTIFS($G$2:G886,"MPV",$D$2:D886,D886)-1)</f>
        <v/>
      </c>
      <c r="N886" s="62" t="str">
        <f>IF(OR(D886="",NOT(G886="SUV")),"",1+SUMPRODUCT(($G$2:$G$1001="SUV")*($D$2:$D$1001&gt;D886))+COUNTIFS($G$2:G886,"SUV",$D$2:D886,D886)-1)</f>
        <v/>
      </c>
      <c r="O886" s="62" t="str">
        <f>IF(OR(D886="",NOT(AND(F886=1,G886="轿车"))),"",1+SUMPRODUCT(($F$2:$F$1001=1)*($G$2:$G$1001="轿车")*($D$2:$D$1001&gt;D886))+COUNTIFS($F$2:F886,1,$G$2:G886,"轿车",$D$2:D886,D886)-1)</f>
        <v/>
      </c>
      <c r="P886" s="62" t="str">
        <f>IF(OR(D886="",NOT(AND(F886=1,G886="MPV"))),"",1+SUMPRODUCT(($F$2:$F$1001=1)*($G$2:$G$1001="MPV")*($D$2:$D$1001&gt;D886))+COUNTIFS($F$2:F886,1,$G$2:G886,"MPV",$D$2:D886,D886)-1)</f>
        <v/>
      </c>
      <c r="Q886" s="62" t="str">
        <f>IF(OR(D886="",NOT(AND(F886=1,G886="SUV"))),"",1+SUMPRODUCT(($F$2:$F$1001=1)*($G$2:$G$1001="SUV")*($D$2:$D$1001&gt;D886))+COUNTIFS($F$2:F886,1,$G$2:G886,"SUV",$D$2:D886,D886)-1)</f>
        <v/>
      </c>
    </row>
    <row r="887" spans="1:17">
      <c r="A887" s="62" t="str">
        <f>IFERROR(INDEX($H$2:$H$3000,MATCH(0,INDEX(COUNTIF($A$1:A886,$H$2:$H$3000)+($H$2:$H$3000=""),0,0),0)),"")</f>
        <v/>
      </c>
      <c r="B887" s="62" t="str">
        <f t="shared" si="52"/>
        <v/>
      </c>
      <c r="C887" s="62" t="str">
        <f t="shared" si="53"/>
        <v/>
      </c>
      <c r="D887" s="63" t="str">
        <f t="shared" si="54"/>
        <v/>
      </c>
      <c r="E887" s="62" t="str">
        <f>IF(D887="","",_xlfn.RANK.EQ(D887,$D$2:$D$1001,0)+COUNTIF($D$2:D887,D887)-1)</f>
        <v/>
      </c>
      <c r="F887" s="62" t="str">
        <f>IF(B887="","",--(COUNTIF(CN_Brands!$A$2:$A$300,UPPER(B887))&gt;0))</f>
        <v/>
      </c>
      <c r="G887" s="62" t="str">
        <f t="shared" si="55"/>
        <v/>
      </c>
      <c r="H887" s="62" t="str">
        <f>IF(AND('Data Export'!A887=前十整体车型排名!$B$2,'Data Export'!B887=前十整体车型排名!$B$3,'Data Export'!D887&lt;&gt;""),UPPER('Data Export'!C887)&amp;"♦"&amp;'Data Export'!D887,"")</f>
        <v>TOYOTA♦LANDCRUISER PRADO</v>
      </c>
      <c r="I887" s="63">
        <f>IF(H887="","",IFERROR(INDEX('Data Export'!G887:CZ887,1,MATCH(前十整体车型排名!$B$4,'Data Export'!$G$1:$CZ$1,0)),0))</f>
        <v>1</v>
      </c>
      <c r="J887" s="62" t="str">
        <f>IF(H887="","",IF(OR('Data Export'!F887="三厢轿车",'Data Export'!F887="掀背轿车",'Data Export'!F887="旅行车",'Data Export'!F887="微型车",'Data Export'!F887="硬顶跑车",'Data Export'!F887="敞蓬车",'Data Export'!F887="Targa"),"轿车",IF(OR('Data Export'!F887="小型MPV",'Data Export'!F887="客车"),"MPV",IF('Data Export'!F887="运动型多功能车","SUV","其他"))))</f>
        <v>SUV</v>
      </c>
      <c r="K887" s="62" t="str">
        <f>IF(OR(D887="",NOT(F887=1)),"",1+SUMPRODUCT(($F$2:$F$1001=1)*($D$2:$D$1001&gt;D887))+COUNTIFS($F$2:F887,1,$D$2:D887,D887)-1)</f>
        <v/>
      </c>
      <c r="L887" s="62" t="str">
        <f>IF(OR(D887="",NOT(G887="轿车")),"",1+SUMPRODUCT(($G$2:$G$1001="轿车")*($D$2:$D$1001&gt;D887))+COUNTIFS($G$2:G887,"轿车",$D$2:D887,D887)-1)</f>
        <v/>
      </c>
      <c r="M887" s="62" t="str">
        <f>IF(OR(D887="",NOT(G887="MPV")),"",1+SUMPRODUCT(($G$2:$G$1001="MPV")*($D$2:$D$1001&gt;D887))+COUNTIFS($G$2:G887,"MPV",$D$2:D887,D887)-1)</f>
        <v/>
      </c>
      <c r="N887" s="62" t="str">
        <f>IF(OR(D887="",NOT(G887="SUV")),"",1+SUMPRODUCT(($G$2:$G$1001="SUV")*($D$2:$D$1001&gt;D887))+COUNTIFS($G$2:G887,"SUV",$D$2:D887,D887)-1)</f>
        <v/>
      </c>
      <c r="O887" s="62" t="str">
        <f>IF(OR(D887="",NOT(AND(F887=1,G887="轿车"))),"",1+SUMPRODUCT(($F$2:$F$1001=1)*($G$2:$G$1001="轿车")*($D$2:$D$1001&gt;D887))+COUNTIFS($F$2:F887,1,$G$2:G887,"轿车",$D$2:D887,D887)-1)</f>
        <v/>
      </c>
      <c r="P887" s="62" t="str">
        <f>IF(OR(D887="",NOT(AND(F887=1,G887="MPV"))),"",1+SUMPRODUCT(($F$2:$F$1001=1)*($G$2:$G$1001="MPV")*($D$2:$D$1001&gt;D887))+COUNTIFS($F$2:F887,1,$G$2:G887,"MPV",$D$2:D887,D887)-1)</f>
        <v/>
      </c>
      <c r="Q887" s="62" t="str">
        <f>IF(OR(D887="",NOT(AND(F887=1,G887="SUV"))),"",1+SUMPRODUCT(($F$2:$F$1001=1)*($G$2:$G$1001="SUV")*($D$2:$D$1001&gt;D887))+COUNTIFS($F$2:F887,1,$G$2:G887,"SUV",$D$2:D887,D887)-1)</f>
        <v/>
      </c>
    </row>
    <row r="888" spans="1:17">
      <c r="A888" s="62" t="str">
        <f>IFERROR(INDEX($H$2:$H$3000,MATCH(0,INDEX(COUNTIF($A$1:A887,$H$2:$H$3000)+($H$2:$H$3000=""),0,0),0)),"")</f>
        <v/>
      </c>
      <c r="B888" s="62" t="str">
        <f t="shared" si="52"/>
        <v/>
      </c>
      <c r="C888" s="62" t="str">
        <f t="shared" si="53"/>
        <v/>
      </c>
      <c r="D888" s="63" t="str">
        <f t="shared" si="54"/>
        <v/>
      </c>
      <c r="E888" s="62" t="str">
        <f>IF(D888="","",_xlfn.RANK.EQ(D888,$D$2:$D$1001,0)+COUNTIF($D$2:D888,D888)-1)</f>
        <v/>
      </c>
      <c r="F888" s="62" t="str">
        <f>IF(B888="","",--(COUNTIF(CN_Brands!$A$2:$A$300,UPPER(B888))&gt;0))</f>
        <v/>
      </c>
      <c r="G888" s="62" t="str">
        <f t="shared" si="55"/>
        <v/>
      </c>
      <c r="H888" s="62" t="str">
        <f>IF(AND('Data Export'!A888=前十整体车型排名!$B$2,'Data Export'!B888=前十整体车型排名!$B$3,'Data Export'!D888&lt;&gt;""),UPPER('Data Export'!C888)&amp;"♦"&amp;'Data Export'!D888,"")</f>
        <v>TOYOTA♦MAJESTY</v>
      </c>
      <c r="I888" s="63">
        <f>IF(H888="","",IFERROR(INDEX('Data Export'!G888:CZ888,1,MATCH(前十整体车型排名!$B$4,'Data Export'!$G$1:$CZ$1,0)),0))</f>
        <v>147</v>
      </c>
      <c r="J888" s="62" t="str">
        <f>IF(H888="","",IF(OR('Data Export'!F888="三厢轿车",'Data Export'!F888="掀背轿车",'Data Export'!F888="旅行车",'Data Export'!F888="微型车",'Data Export'!F888="硬顶跑车",'Data Export'!F888="敞蓬车",'Data Export'!F888="Targa"),"轿车",IF(OR('Data Export'!F888="小型MPV",'Data Export'!F888="客车"),"MPV",IF('Data Export'!F888="运动型多功能车","SUV","其他"))))</f>
        <v>其他</v>
      </c>
      <c r="K888" s="62" t="str">
        <f>IF(OR(D888="",NOT(F888=1)),"",1+SUMPRODUCT(($F$2:$F$1001=1)*($D$2:$D$1001&gt;D888))+COUNTIFS($F$2:F888,1,$D$2:D888,D888)-1)</f>
        <v/>
      </c>
      <c r="L888" s="62" t="str">
        <f>IF(OR(D888="",NOT(G888="轿车")),"",1+SUMPRODUCT(($G$2:$G$1001="轿车")*($D$2:$D$1001&gt;D888))+COUNTIFS($G$2:G888,"轿车",$D$2:D888,D888)-1)</f>
        <v/>
      </c>
      <c r="M888" s="62" t="str">
        <f>IF(OR(D888="",NOT(G888="MPV")),"",1+SUMPRODUCT(($G$2:$G$1001="MPV")*($D$2:$D$1001&gt;D888))+COUNTIFS($G$2:G888,"MPV",$D$2:D888,D888)-1)</f>
        <v/>
      </c>
      <c r="N888" s="62" t="str">
        <f>IF(OR(D888="",NOT(G888="SUV")),"",1+SUMPRODUCT(($G$2:$G$1001="SUV")*($D$2:$D$1001&gt;D888))+COUNTIFS($G$2:G888,"SUV",$D$2:D888,D888)-1)</f>
        <v/>
      </c>
      <c r="O888" s="62" t="str">
        <f>IF(OR(D888="",NOT(AND(F888=1,G888="轿车"))),"",1+SUMPRODUCT(($F$2:$F$1001=1)*($G$2:$G$1001="轿车")*($D$2:$D$1001&gt;D888))+COUNTIFS($F$2:F888,1,$G$2:G888,"轿车",$D$2:D888,D888)-1)</f>
        <v/>
      </c>
      <c r="P888" s="62" t="str">
        <f>IF(OR(D888="",NOT(AND(F888=1,G888="MPV"))),"",1+SUMPRODUCT(($F$2:$F$1001=1)*($G$2:$G$1001="MPV")*($D$2:$D$1001&gt;D888))+COUNTIFS($F$2:F888,1,$G$2:G888,"MPV",$D$2:D888,D888)-1)</f>
        <v/>
      </c>
      <c r="Q888" s="62" t="str">
        <f>IF(OR(D888="",NOT(AND(F888=1,G888="SUV"))),"",1+SUMPRODUCT(($F$2:$F$1001=1)*($G$2:$G$1001="SUV")*($D$2:$D$1001&gt;D888))+COUNTIFS($F$2:F888,1,$G$2:G888,"SUV",$D$2:D888,D888)-1)</f>
        <v/>
      </c>
    </row>
    <row r="889" spans="1:17">
      <c r="A889" s="62" t="str">
        <f>IFERROR(INDEX($H$2:$H$3000,MATCH(0,INDEX(COUNTIF($A$1:A888,$H$2:$H$3000)+($H$2:$H$3000=""),0,0),0)),"")</f>
        <v/>
      </c>
      <c r="B889" s="62" t="str">
        <f t="shared" si="52"/>
        <v/>
      </c>
      <c r="C889" s="62" t="str">
        <f t="shared" si="53"/>
        <v/>
      </c>
      <c r="D889" s="63" t="str">
        <f t="shared" si="54"/>
        <v/>
      </c>
      <c r="E889" s="62" t="str">
        <f>IF(D889="","",_xlfn.RANK.EQ(D889,$D$2:$D$1001,0)+COUNTIF($D$2:D889,D889)-1)</f>
        <v/>
      </c>
      <c r="F889" s="62" t="str">
        <f>IF(B889="","",--(COUNTIF(CN_Brands!$A$2:$A$300,UPPER(B889))&gt;0))</f>
        <v/>
      </c>
      <c r="G889" s="62" t="str">
        <f t="shared" si="55"/>
        <v/>
      </c>
      <c r="H889" s="62" t="str">
        <f>IF(AND('Data Export'!A889=前十整体车型排名!$B$2,'Data Export'!B889=前十整体车型排名!$B$3,'Data Export'!D889&lt;&gt;""),UPPER('Data Export'!C889)&amp;"♦"&amp;'Data Export'!D889,"")</f>
        <v>TOYOTA♦NOAH</v>
      </c>
      <c r="I889" s="63">
        <f>IF(H889="","",IFERROR(INDEX('Data Export'!G889:CZ889,1,MATCH(前十整体车型排名!$B$4,'Data Export'!$G$1:$CZ$1,0)),0))</f>
        <v>0</v>
      </c>
      <c r="J889" s="62" t="str">
        <f>IF(H889="","",IF(OR('Data Export'!F889="三厢轿车",'Data Export'!F889="掀背轿车",'Data Export'!F889="旅行车",'Data Export'!F889="微型车",'Data Export'!F889="硬顶跑车",'Data Export'!F889="敞蓬车",'Data Export'!F889="Targa"),"轿车",IF(OR('Data Export'!F889="小型MPV",'Data Export'!F889="客车"),"MPV",IF('Data Export'!F889="运动型多功能车","SUV","其他"))))</f>
        <v>其他</v>
      </c>
      <c r="K889" s="62" t="str">
        <f>IF(OR(D889="",NOT(F889=1)),"",1+SUMPRODUCT(($F$2:$F$1001=1)*($D$2:$D$1001&gt;D889))+COUNTIFS($F$2:F889,1,$D$2:D889,D889)-1)</f>
        <v/>
      </c>
      <c r="L889" s="62" t="str">
        <f>IF(OR(D889="",NOT(G889="轿车")),"",1+SUMPRODUCT(($G$2:$G$1001="轿车")*($D$2:$D$1001&gt;D889))+COUNTIFS($G$2:G889,"轿车",$D$2:D889,D889)-1)</f>
        <v/>
      </c>
      <c r="M889" s="62" t="str">
        <f>IF(OR(D889="",NOT(G889="MPV")),"",1+SUMPRODUCT(($G$2:$G$1001="MPV")*($D$2:$D$1001&gt;D889))+COUNTIFS($G$2:G889,"MPV",$D$2:D889,D889)-1)</f>
        <v/>
      </c>
      <c r="N889" s="62" t="str">
        <f>IF(OR(D889="",NOT(G889="SUV")),"",1+SUMPRODUCT(($G$2:$G$1001="SUV")*($D$2:$D$1001&gt;D889))+COUNTIFS($G$2:G889,"SUV",$D$2:D889,D889)-1)</f>
        <v/>
      </c>
      <c r="O889" s="62" t="str">
        <f>IF(OR(D889="",NOT(AND(F889=1,G889="轿车"))),"",1+SUMPRODUCT(($F$2:$F$1001=1)*($G$2:$G$1001="轿车")*($D$2:$D$1001&gt;D889))+COUNTIFS($F$2:F889,1,$G$2:G889,"轿车",$D$2:D889,D889)-1)</f>
        <v/>
      </c>
      <c r="P889" s="62" t="str">
        <f>IF(OR(D889="",NOT(AND(F889=1,G889="MPV"))),"",1+SUMPRODUCT(($F$2:$F$1001=1)*($G$2:$G$1001="MPV")*($D$2:$D$1001&gt;D889))+COUNTIFS($F$2:F889,1,$G$2:G889,"MPV",$D$2:D889,D889)-1)</f>
        <v/>
      </c>
      <c r="Q889" s="62" t="str">
        <f>IF(OR(D889="",NOT(AND(F889=1,G889="SUV"))),"",1+SUMPRODUCT(($F$2:$F$1001=1)*($G$2:$G$1001="SUV")*($D$2:$D$1001&gt;D889))+COUNTIFS($F$2:F889,1,$G$2:G889,"SUV",$D$2:D889,D889)-1)</f>
        <v/>
      </c>
    </row>
    <row r="890" spans="1:17">
      <c r="A890" s="62" t="str">
        <f>IFERROR(INDEX($H$2:$H$3000,MATCH(0,INDEX(COUNTIF($A$1:A889,$H$2:$H$3000)+($H$2:$H$3000=""),0,0),0)),"")</f>
        <v/>
      </c>
      <c r="B890" s="62" t="str">
        <f t="shared" si="52"/>
        <v/>
      </c>
      <c r="C890" s="62" t="str">
        <f t="shared" si="53"/>
        <v/>
      </c>
      <c r="D890" s="63" t="str">
        <f t="shared" si="54"/>
        <v/>
      </c>
      <c r="E890" s="62" t="str">
        <f>IF(D890="","",_xlfn.RANK.EQ(D890,$D$2:$D$1001,0)+COUNTIF($D$2:D890,D890)-1)</f>
        <v/>
      </c>
      <c r="F890" s="62" t="str">
        <f>IF(B890="","",--(COUNTIF(CN_Brands!$A$2:$A$300,UPPER(B890))&gt;0))</f>
        <v/>
      </c>
      <c r="G890" s="62" t="str">
        <f t="shared" si="55"/>
        <v/>
      </c>
      <c r="H890" s="62" t="str">
        <f>IF(AND('Data Export'!A890=前十整体车型排名!$B$2,'Data Export'!B890=前十整体车型排名!$B$3,'Data Export'!D890&lt;&gt;""),UPPER('Data Export'!C890)&amp;"♦"&amp;'Data Export'!D890,"")</f>
        <v>TOYOTA♦NOAH</v>
      </c>
      <c r="I890" s="63">
        <f>IF(H890="","",IFERROR(INDEX('Data Export'!G890:CZ890,1,MATCH(前十整体车型排名!$B$4,'Data Export'!$G$1:$CZ$1,0)),0))</f>
        <v>0</v>
      </c>
      <c r="J890" s="62" t="str">
        <f>IF(H890="","",IF(OR('Data Export'!F890="三厢轿车",'Data Export'!F890="掀背轿车",'Data Export'!F890="旅行车",'Data Export'!F890="微型车",'Data Export'!F890="硬顶跑车",'Data Export'!F890="敞蓬车",'Data Export'!F890="Targa"),"轿车",IF(OR('Data Export'!F890="小型MPV",'Data Export'!F890="客车"),"MPV",IF('Data Export'!F890="运动型多功能车","SUV","其他"))))</f>
        <v>其他</v>
      </c>
      <c r="K890" s="62" t="str">
        <f>IF(OR(D890="",NOT(F890=1)),"",1+SUMPRODUCT(($F$2:$F$1001=1)*($D$2:$D$1001&gt;D890))+COUNTIFS($F$2:F890,1,$D$2:D890,D890)-1)</f>
        <v/>
      </c>
      <c r="L890" s="62" t="str">
        <f>IF(OR(D890="",NOT(G890="轿车")),"",1+SUMPRODUCT(($G$2:$G$1001="轿车")*($D$2:$D$1001&gt;D890))+COUNTIFS($G$2:G890,"轿车",$D$2:D890,D890)-1)</f>
        <v/>
      </c>
      <c r="M890" s="62" t="str">
        <f>IF(OR(D890="",NOT(G890="MPV")),"",1+SUMPRODUCT(($G$2:$G$1001="MPV")*($D$2:$D$1001&gt;D890))+COUNTIFS($G$2:G890,"MPV",$D$2:D890,D890)-1)</f>
        <v/>
      </c>
      <c r="N890" s="62" t="str">
        <f>IF(OR(D890="",NOT(G890="SUV")),"",1+SUMPRODUCT(($G$2:$G$1001="SUV")*($D$2:$D$1001&gt;D890))+COUNTIFS($G$2:G890,"SUV",$D$2:D890,D890)-1)</f>
        <v/>
      </c>
      <c r="O890" s="62" t="str">
        <f>IF(OR(D890="",NOT(AND(F890=1,G890="轿车"))),"",1+SUMPRODUCT(($F$2:$F$1001=1)*($G$2:$G$1001="轿车")*($D$2:$D$1001&gt;D890))+COUNTIFS($F$2:F890,1,$G$2:G890,"轿车",$D$2:D890,D890)-1)</f>
        <v/>
      </c>
      <c r="P890" s="62" t="str">
        <f>IF(OR(D890="",NOT(AND(F890=1,G890="MPV"))),"",1+SUMPRODUCT(($F$2:$F$1001=1)*($G$2:$G$1001="MPV")*($D$2:$D$1001&gt;D890))+COUNTIFS($F$2:F890,1,$G$2:G890,"MPV",$D$2:D890,D890)-1)</f>
        <v/>
      </c>
      <c r="Q890" s="62" t="str">
        <f>IF(OR(D890="",NOT(AND(F890=1,G890="SUV"))),"",1+SUMPRODUCT(($F$2:$F$1001=1)*($G$2:$G$1001="SUV")*($D$2:$D$1001&gt;D890))+COUNTIFS($F$2:F890,1,$G$2:G890,"SUV",$D$2:D890,D890)-1)</f>
        <v/>
      </c>
    </row>
    <row r="891" spans="1:17">
      <c r="A891" s="62" t="str">
        <f>IFERROR(INDEX($H$2:$H$3000,MATCH(0,INDEX(COUNTIF($A$1:A890,$H$2:$H$3000)+($H$2:$H$3000=""),0,0),0)),"")</f>
        <v/>
      </c>
      <c r="B891" s="62" t="str">
        <f t="shared" si="52"/>
        <v/>
      </c>
      <c r="C891" s="62" t="str">
        <f t="shared" si="53"/>
        <v/>
      </c>
      <c r="D891" s="63" t="str">
        <f t="shared" si="54"/>
        <v/>
      </c>
      <c r="E891" s="62" t="str">
        <f>IF(D891="","",_xlfn.RANK.EQ(D891,$D$2:$D$1001,0)+COUNTIF($D$2:D891,D891)-1)</f>
        <v/>
      </c>
      <c r="F891" s="62" t="str">
        <f>IF(B891="","",--(COUNTIF(CN_Brands!$A$2:$A$300,UPPER(B891))&gt;0))</f>
        <v/>
      </c>
      <c r="G891" s="62" t="str">
        <f t="shared" si="55"/>
        <v/>
      </c>
      <c r="H891" s="62" t="str">
        <f>IF(AND('Data Export'!A891=前十整体车型排名!$B$2,'Data Export'!B891=前十整体车型排名!$B$3,'Data Export'!D891&lt;&gt;""),UPPER('Data Export'!C891)&amp;"♦"&amp;'Data Export'!D891,"")</f>
        <v>TOYOTA♦NOAH</v>
      </c>
      <c r="I891" s="63">
        <f>IF(H891="","",IFERROR(INDEX('Data Export'!G891:CZ891,1,MATCH(前十整体车型排名!$B$4,'Data Export'!$G$1:$CZ$1,0)),0))</f>
        <v>3</v>
      </c>
      <c r="J891" s="62" t="str">
        <f>IF(H891="","",IF(OR('Data Export'!F891="三厢轿车",'Data Export'!F891="掀背轿车",'Data Export'!F891="旅行车",'Data Export'!F891="微型车",'Data Export'!F891="硬顶跑车",'Data Export'!F891="敞蓬车",'Data Export'!F891="Targa"),"轿车",IF(OR('Data Export'!F891="小型MPV",'Data Export'!F891="客车"),"MPV",IF('Data Export'!F891="运动型多功能车","SUV","其他"))))</f>
        <v>其他</v>
      </c>
      <c r="K891" s="62" t="str">
        <f>IF(OR(D891="",NOT(F891=1)),"",1+SUMPRODUCT(($F$2:$F$1001=1)*($D$2:$D$1001&gt;D891))+COUNTIFS($F$2:F891,1,$D$2:D891,D891)-1)</f>
        <v/>
      </c>
      <c r="L891" s="62" t="str">
        <f>IF(OR(D891="",NOT(G891="轿车")),"",1+SUMPRODUCT(($G$2:$G$1001="轿车")*($D$2:$D$1001&gt;D891))+COUNTIFS($G$2:G891,"轿车",$D$2:D891,D891)-1)</f>
        <v/>
      </c>
      <c r="M891" s="62" t="str">
        <f>IF(OR(D891="",NOT(G891="MPV")),"",1+SUMPRODUCT(($G$2:$G$1001="MPV")*($D$2:$D$1001&gt;D891))+COUNTIFS($G$2:G891,"MPV",$D$2:D891,D891)-1)</f>
        <v/>
      </c>
      <c r="N891" s="62" t="str">
        <f>IF(OR(D891="",NOT(G891="SUV")),"",1+SUMPRODUCT(($G$2:$G$1001="SUV")*($D$2:$D$1001&gt;D891))+COUNTIFS($G$2:G891,"SUV",$D$2:D891,D891)-1)</f>
        <v/>
      </c>
      <c r="O891" s="62" t="str">
        <f>IF(OR(D891="",NOT(AND(F891=1,G891="轿车"))),"",1+SUMPRODUCT(($F$2:$F$1001=1)*($G$2:$G$1001="轿车")*($D$2:$D$1001&gt;D891))+COUNTIFS($F$2:F891,1,$G$2:G891,"轿车",$D$2:D891,D891)-1)</f>
        <v/>
      </c>
      <c r="P891" s="62" t="str">
        <f>IF(OR(D891="",NOT(AND(F891=1,G891="MPV"))),"",1+SUMPRODUCT(($F$2:$F$1001=1)*($G$2:$G$1001="MPV")*($D$2:$D$1001&gt;D891))+COUNTIFS($F$2:F891,1,$G$2:G891,"MPV",$D$2:D891,D891)-1)</f>
        <v/>
      </c>
      <c r="Q891" s="62" t="str">
        <f>IF(OR(D891="",NOT(AND(F891=1,G891="SUV"))),"",1+SUMPRODUCT(($F$2:$F$1001=1)*($G$2:$G$1001="SUV")*($D$2:$D$1001&gt;D891))+COUNTIFS($F$2:F891,1,$G$2:G891,"SUV",$D$2:D891,D891)-1)</f>
        <v/>
      </c>
    </row>
    <row r="892" spans="1:17">
      <c r="A892" s="62" t="str">
        <f>IFERROR(INDEX($H$2:$H$3000,MATCH(0,INDEX(COUNTIF($A$1:A891,$H$2:$H$3000)+($H$2:$H$3000=""),0,0),0)),"")</f>
        <v/>
      </c>
      <c r="B892" s="62" t="str">
        <f t="shared" si="52"/>
        <v/>
      </c>
      <c r="C892" s="62" t="str">
        <f t="shared" si="53"/>
        <v/>
      </c>
      <c r="D892" s="63" t="str">
        <f t="shared" si="54"/>
        <v/>
      </c>
      <c r="E892" s="62" t="str">
        <f>IF(D892="","",_xlfn.RANK.EQ(D892,$D$2:$D$1001,0)+COUNTIF($D$2:D892,D892)-1)</f>
        <v/>
      </c>
      <c r="F892" s="62" t="str">
        <f>IF(B892="","",--(COUNTIF(CN_Brands!$A$2:$A$300,UPPER(B892))&gt;0))</f>
        <v/>
      </c>
      <c r="G892" s="62" t="str">
        <f t="shared" si="55"/>
        <v/>
      </c>
      <c r="H892" s="62" t="str">
        <f>IF(AND('Data Export'!A892=前十整体车型排名!$B$2,'Data Export'!B892=前十整体车型排名!$B$3,'Data Export'!D892&lt;&gt;""),UPPER('Data Export'!C892)&amp;"♦"&amp;'Data Export'!D892,"")</f>
        <v>TOYOTA♦OTHER</v>
      </c>
      <c r="I892" s="63">
        <f>IF(H892="","",IFERROR(INDEX('Data Export'!G892:CZ892,1,MATCH(前十整体车型排名!$B$4,'Data Export'!$G$1:$CZ$1,0)),0))</f>
        <v>0</v>
      </c>
      <c r="J892" s="62" t="str">
        <f>IF(H892="","",IF(OR('Data Export'!F892="三厢轿车",'Data Export'!F892="掀背轿车",'Data Export'!F892="旅行车",'Data Export'!F892="微型车",'Data Export'!F892="硬顶跑车",'Data Export'!F892="敞蓬车",'Data Export'!F892="Targa"),"轿车",IF(OR('Data Export'!F892="小型MPV",'Data Export'!F892="客车"),"MPV",IF('Data Export'!F892="运动型多功能车","SUV","其他"))))</f>
        <v>其他</v>
      </c>
      <c r="K892" s="62" t="str">
        <f>IF(OR(D892="",NOT(F892=1)),"",1+SUMPRODUCT(($F$2:$F$1001=1)*($D$2:$D$1001&gt;D892))+COUNTIFS($F$2:F892,1,$D$2:D892,D892)-1)</f>
        <v/>
      </c>
      <c r="L892" s="62" t="str">
        <f>IF(OR(D892="",NOT(G892="轿车")),"",1+SUMPRODUCT(($G$2:$G$1001="轿车")*($D$2:$D$1001&gt;D892))+COUNTIFS($G$2:G892,"轿车",$D$2:D892,D892)-1)</f>
        <v/>
      </c>
      <c r="M892" s="62" t="str">
        <f>IF(OR(D892="",NOT(G892="MPV")),"",1+SUMPRODUCT(($G$2:$G$1001="MPV")*($D$2:$D$1001&gt;D892))+COUNTIFS($G$2:G892,"MPV",$D$2:D892,D892)-1)</f>
        <v/>
      </c>
      <c r="N892" s="62" t="str">
        <f>IF(OR(D892="",NOT(G892="SUV")),"",1+SUMPRODUCT(($G$2:$G$1001="SUV")*($D$2:$D$1001&gt;D892))+COUNTIFS($G$2:G892,"SUV",$D$2:D892,D892)-1)</f>
        <v/>
      </c>
      <c r="O892" s="62" t="str">
        <f>IF(OR(D892="",NOT(AND(F892=1,G892="轿车"))),"",1+SUMPRODUCT(($F$2:$F$1001=1)*($G$2:$G$1001="轿车")*($D$2:$D$1001&gt;D892))+COUNTIFS($F$2:F892,1,$G$2:G892,"轿车",$D$2:D892,D892)-1)</f>
        <v/>
      </c>
      <c r="P892" s="62" t="str">
        <f>IF(OR(D892="",NOT(AND(F892=1,G892="MPV"))),"",1+SUMPRODUCT(($F$2:$F$1001=1)*($G$2:$G$1001="MPV")*($D$2:$D$1001&gt;D892))+COUNTIFS($F$2:F892,1,$G$2:G892,"MPV",$D$2:D892,D892)-1)</f>
        <v/>
      </c>
      <c r="Q892" s="62" t="str">
        <f>IF(OR(D892="",NOT(AND(F892=1,G892="SUV"))),"",1+SUMPRODUCT(($F$2:$F$1001=1)*($G$2:$G$1001="SUV")*($D$2:$D$1001&gt;D892))+COUNTIFS($F$2:F892,1,$G$2:G892,"SUV",$D$2:D892,D892)-1)</f>
        <v/>
      </c>
    </row>
    <row r="893" spans="1:17">
      <c r="A893" s="62" t="str">
        <f>IFERROR(INDEX($H$2:$H$3000,MATCH(0,INDEX(COUNTIF($A$1:A892,$H$2:$H$3000)+($H$2:$H$3000=""),0,0),0)),"")</f>
        <v/>
      </c>
      <c r="B893" s="62" t="str">
        <f t="shared" si="52"/>
        <v/>
      </c>
      <c r="C893" s="62" t="str">
        <f t="shared" si="53"/>
        <v/>
      </c>
      <c r="D893" s="63" t="str">
        <f t="shared" si="54"/>
        <v/>
      </c>
      <c r="E893" s="62" t="str">
        <f>IF(D893="","",_xlfn.RANK.EQ(D893,$D$2:$D$1001,0)+COUNTIF($D$2:D893,D893)-1)</f>
        <v/>
      </c>
      <c r="F893" s="62" t="str">
        <f>IF(B893="","",--(COUNTIF(CN_Brands!$A$2:$A$300,UPPER(B893))&gt;0))</f>
        <v/>
      </c>
      <c r="G893" s="62" t="str">
        <f t="shared" si="55"/>
        <v/>
      </c>
      <c r="H893" s="62" t="str">
        <f>IF(AND('Data Export'!A893=前十整体车型排名!$B$2,'Data Export'!B893=前十整体车型排名!$B$3,'Data Export'!D893&lt;&gt;""),UPPER('Data Export'!C893)&amp;"♦"&amp;'Data Export'!D893,"")</f>
        <v>TOYOTA♦PRIUS</v>
      </c>
      <c r="I893" s="63">
        <f>IF(H893="","",IFERROR(INDEX('Data Export'!G893:CZ893,1,MATCH(前十整体车型排名!$B$4,'Data Export'!$G$1:$CZ$1,0)),0))</f>
        <v>0</v>
      </c>
      <c r="J893" s="62" t="str">
        <f>IF(H893="","",IF(OR('Data Export'!F893="三厢轿车",'Data Export'!F893="掀背轿车",'Data Export'!F893="旅行车",'Data Export'!F893="微型车",'Data Export'!F893="硬顶跑车",'Data Export'!F893="敞蓬车",'Data Export'!F893="Targa"),"轿车",IF(OR('Data Export'!F893="小型MPV",'Data Export'!F893="客车"),"MPV",IF('Data Export'!F893="运动型多功能车","SUV","其他"))))</f>
        <v>轿车</v>
      </c>
      <c r="K893" s="62" t="str">
        <f>IF(OR(D893="",NOT(F893=1)),"",1+SUMPRODUCT(($F$2:$F$1001=1)*($D$2:$D$1001&gt;D893))+COUNTIFS($F$2:F893,1,$D$2:D893,D893)-1)</f>
        <v/>
      </c>
      <c r="L893" s="62" t="str">
        <f>IF(OR(D893="",NOT(G893="轿车")),"",1+SUMPRODUCT(($G$2:$G$1001="轿车")*($D$2:$D$1001&gt;D893))+COUNTIFS($G$2:G893,"轿车",$D$2:D893,D893)-1)</f>
        <v/>
      </c>
      <c r="M893" s="62" t="str">
        <f>IF(OR(D893="",NOT(G893="MPV")),"",1+SUMPRODUCT(($G$2:$G$1001="MPV")*($D$2:$D$1001&gt;D893))+COUNTIFS($G$2:G893,"MPV",$D$2:D893,D893)-1)</f>
        <v/>
      </c>
      <c r="N893" s="62" t="str">
        <f>IF(OR(D893="",NOT(G893="SUV")),"",1+SUMPRODUCT(($G$2:$G$1001="SUV")*($D$2:$D$1001&gt;D893))+COUNTIFS($G$2:G893,"SUV",$D$2:D893,D893)-1)</f>
        <v/>
      </c>
      <c r="O893" s="62" t="str">
        <f>IF(OR(D893="",NOT(AND(F893=1,G893="轿车"))),"",1+SUMPRODUCT(($F$2:$F$1001=1)*($G$2:$G$1001="轿车")*($D$2:$D$1001&gt;D893))+COUNTIFS($F$2:F893,1,$G$2:G893,"轿车",$D$2:D893,D893)-1)</f>
        <v/>
      </c>
      <c r="P893" s="62" t="str">
        <f>IF(OR(D893="",NOT(AND(F893=1,G893="MPV"))),"",1+SUMPRODUCT(($F$2:$F$1001=1)*($G$2:$G$1001="MPV")*($D$2:$D$1001&gt;D893))+COUNTIFS($F$2:F893,1,$G$2:G893,"MPV",$D$2:D893,D893)-1)</f>
        <v/>
      </c>
      <c r="Q893" s="62" t="str">
        <f>IF(OR(D893="",NOT(AND(F893=1,G893="SUV"))),"",1+SUMPRODUCT(($F$2:$F$1001=1)*($G$2:$G$1001="SUV")*($D$2:$D$1001&gt;D893))+COUNTIFS($F$2:F893,1,$G$2:G893,"SUV",$D$2:D893,D893)-1)</f>
        <v/>
      </c>
    </row>
    <row r="894" spans="1:17">
      <c r="A894" s="62" t="str">
        <f>IFERROR(INDEX($H$2:$H$3000,MATCH(0,INDEX(COUNTIF($A$1:A893,$H$2:$H$3000)+($H$2:$H$3000=""),0,0),0)),"")</f>
        <v/>
      </c>
      <c r="B894" s="62" t="str">
        <f t="shared" si="52"/>
        <v/>
      </c>
      <c r="C894" s="62" t="str">
        <f t="shared" si="53"/>
        <v/>
      </c>
      <c r="D894" s="63" t="str">
        <f t="shared" si="54"/>
        <v/>
      </c>
      <c r="E894" s="62" t="str">
        <f>IF(D894="","",_xlfn.RANK.EQ(D894,$D$2:$D$1001,0)+COUNTIF($D$2:D894,D894)-1)</f>
        <v/>
      </c>
      <c r="F894" s="62" t="str">
        <f>IF(B894="","",--(COUNTIF(CN_Brands!$A$2:$A$300,UPPER(B894))&gt;0))</f>
        <v/>
      </c>
      <c r="G894" s="62" t="str">
        <f t="shared" si="55"/>
        <v/>
      </c>
      <c r="H894" s="62" t="str">
        <f>IF(AND('Data Export'!A894=前十整体车型排名!$B$2,'Data Export'!B894=前十整体车型排名!$B$3,'Data Export'!D894&lt;&gt;""),UPPER('Data Export'!C894)&amp;"♦"&amp;'Data Export'!D894,"")</f>
        <v>TOYOTA♦PRIUS</v>
      </c>
      <c r="I894" s="63">
        <f>IF(H894="","",IFERROR(INDEX('Data Export'!G894:CZ894,1,MATCH(前十整体车型排名!$B$4,'Data Export'!$G$1:$CZ$1,0)),0))</f>
        <v>1</v>
      </c>
      <c r="J894" s="62" t="str">
        <f>IF(H894="","",IF(OR('Data Export'!F894="三厢轿车",'Data Export'!F894="掀背轿车",'Data Export'!F894="旅行车",'Data Export'!F894="微型车",'Data Export'!F894="硬顶跑车",'Data Export'!F894="敞蓬车",'Data Export'!F894="Targa"),"轿车",IF(OR('Data Export'!F894="小型MPV",'Data Export'!F894="客车"),"MPV",IF('Data Export'!F894="运动型多功能车","SUV","其他"))))</f>
        <v>轿车</v>
      </c>
      <c r="K894" s="62" t="str">
        <f>IF(OR(D894="",NOT(F894=1)),"",1+SUMPRODUCT(($F$2:$F$1001=1)*($D$2:$D$1001&gt;D894))+COUNTIFS($F$2:F894,1,$D$2:D894,D894)-1)</f>
        <v/>
      </c>
      <c r="L894" s="62" t="str">
        <f>IF(OR(D894="",NOT(G894="轿车")),"",1+SUMPRODUCT(($G$2:$G$1001="轿车")*($D$2:$D$1001&gt;D894))+COUNTIFS($G$2:G894,"轿车",$D$2:D894,D894)-1)</f>
        <v/>
      </c>
      <c r="M894" s="62" t="str">
        <f>IF(OR(D894="",NOT(G894="MPV")),"",1+SUMPRODUCT(($G$2:$G$1001="MPV")*($D$2:$D$1001&gt;D894))+COUNTIFS($G$2:G894,"MPV",$D$2:D894,D894)-1)</f>
        <v/>
      </c>
      <c r="N894" s="62" t="str">
        <f>IF(OR(D894="",NOT(G894="SUV")),"",1+SUMPRODUCT(($G$2:$G$1001="SUV")*($D$2:$D$1001&gt;D894))+COUNTIFS($G$2:G894,"SUV",$D$2:D894,D894)-1)</f>
        <v/>
      </c>
      <c r="O894" s="62" t="str">
        <f>IF(OR(D894="",NOT(AND(F894=1,G894="轿车"))),"",1+SUMPRODUCT(($F$2:$F$1001=1)*($G$2:$G$1001="轿车")*($D$2:$D$1001&gt;D894))+COUNTIFS($F$2:F894,1,$G$2:G894,"轿车",$D$2:D894,D894)-1)</f>
        <v/>
      </c>
      <c r="P894" s="62" t="str">
        <f>IF(OR(D894="",NOT(AND(F894=1,G894="MPV"))),"",1+SUMPRODUCT(($F$2:$F$1001=1)*($G$2:$G$1001="MPV")*($D$2:$D$1001&gt;D894))+COUNTIFS($F$2:F894,1,$G$2:G894,"MPV",$D$2:D894,D894)-1)</f>
        <v/>
      </c>
      <c r="Q894" s="62" t="str">
        <f>IF(OR(D894="",NOT(AND(F894=1,G894="SUV"))),"",1+SUMPRODUCT(($F$2:$F$1001=1)*($G$2:$G$1001="SUV")*($D$2:$D$1001&gt;D894))+COUNTIFS($F$2:F894,1,$G$2:G894,"SUV",$D$2:D894,D894)-1)</f>
        <v/>
      </c>
    </row>
    <row r="895" spans="1:17">
      <c r="A895" s="62" t="str">
        <f>IFERROR(INDEX($H$2:$H$3000,MATCH(0,INDEX(COUNTIF($A$1:A894,$H$2:$H$3000)+($H$2:$H$3000=""),0,0),0)),"")</f>
        <v/>
      </c>
      <c r="B895" s="62" t="str">
        <f t="shared" si="52"/>
        <v/>
      </c>
      <c r="C895" s="62" t="str">
        <f t="shared" si="53"/>
        <v/>
      </c>
      <c r="D895" s="63" t="str">
        <f t="shared" si="54"/>
        <v/>
      </c>
      <c r="E895" s="62" t="str">
        <f>IF(D895="","",_xlfn.RANK.EQ(D895,$D$2:$D$1001,0)+COUNTIF($D$2:D895,D895)-1)</f>
        <v/>
      </c>
      <c r="F895" s="62" t="str">
        <f>IF(B895="","",--(COUNTIF(CN_Brands!$A$2:$A$300,UPPER(B895))&gt;0))</f>
        <v/>
      </c>
      <c r="G895" s="62" t="str">
        <f t="shared" si="55"/>
        <v/>
      </c>
      <c r="H895" s="62" t="str">
        <f>IF(AND('Data Export'!A895=前十整体车型排名!$B$2,'Data Export'!B895=前十整体车型排名!$B$3,'Data Export'!D895&lt;&gt;""),UPPER('Data Export'!C895)&amp;"♦"&amp;'Data Export'!D895,"")</f>
        <v>TOYOTA♦ROOMY</v>
      </c>
      <c r="I895" s="63">
        <f>IF(H895="","",IFERROR(INDEX('Data Export'!G895:CZ895,1,MATCH(前十整体车型排名!$B$4,'Data Export'!$G$1:$CZ$1,0)),0))</f>
        <v>0</v>
      </c>
      <c r="J895" s="62" t="str">
        <f>IF(H895="","",IF(OR('Data Export'!F895="三厢轿车",'Data Export'!F895="掀背轿车",'Data Export'!F895="旅行车",'Data Export'!F895="微型车",'Data Export'!F895="硬顶跑车",'Data Export'!F895="敞蓬车",'Data Export'!F895="Targa"),"轿车",IF(OR('Data Export'!F895="小型MPV",'Data Export'!F895="客车"),"MPV",IF('Data Export'!F895="运动型多功能车","SUV","其他"))))</f>
        <v>其他</v>
      </c>
      <c r="K895" s="62" t="str">
        <f>IF(OR(D895="",NOT(F895=1)),"",1+SUMPRODUCT(($F$2:$F$1001=1)*($D$2:$D$1001&gt;D895))+COUNTIFS($F$2:F895,1,$D$2:D895,D895)-1)</f>
        <v/>
      </c>
      <c r="L895" s="62" t="str">
        <f>IF(OR(D895="",NOT(G895="轿车")),"",1+SUMPRODUCT(($G$2:$G$1001="轿车")*($D$2:$D$1001&gt;D895))+COUNTIFS($G$2:G895,"轿车",$D$2:D895,D895)-1)</f>
        <v/>
      </c>
      <c r="M895" s="62" t="str">
        <f>IF(OR(D895="",NOT(G895="MPV")),"",1+SUMPRODUCT(($G$2:$G$1001="MPV")*($D$2:$D$1001&gt;D895))+COUNTIFS($G$2:G895,"MPV",$D$2:D895,D895)-1)</f>
        <v/>
      </c>
      <c r="N895" s="62" t="str">
        <f>IF(OR(D895="",NOT(G895="SUV")),"",1+SUMPRODUCT(($G$2:$G$1001="SUV")*($D$2:$D$1001&gt;D895))+COUNTIFS($G$2:G895,"SUV",$D$2:D895,D895)-1)</f>
        <v/>
      </c>
      <c r="O895" s="62" t="str">
        <f>IF(OR(D895="",NOT(AND(F895=1,G895="轿车"))),"",1+SUMPRODUCT(($F$2:$F$1001=1)*($G$2:$G$1001="轿车")*($D$2:$D$1001&gt;D895))+COUNTIFS($F$2:F895,1,$G$2:G895,"轿车",$D$2:D895,D895)-1)</f>
        <v/>
      </c>
      <c r="P895" s="62" t="str">
        <f>IF(OR(D895="",NOT(AND(F895=1,G895="MPV"))),"",1+SUMPRODUCT(($F$2:$F$1001=1)*($G$2:$G$1001="MPV")*($D$2:$D$1001&gt;D895))+COUNTIFS($F$2:F895,1,$G$2:G895,"MPV",$D$2:D895,D895)-1)</f>
        <v/>
      </c>
      <c r="Q895" s="62" t="str">
        <f>IF(OR(D895="",NOT(AND(F895=1,G895="SUV"))),"",1+SUMPRODUCT(($F$2:$F$1001=1)*($G$2:$G$1001="SUV")*($D$2:$D$1001&gt;D895))+COUNTIFS($F$2:F895,1,$G$2:G895,"SUV",$D$2:D895,D895)-1)</f>
        <v/>
      </c>
    </row>
    <row r="896" spans="1:17">
      <c r="A896" s="62" t="str">
        <f>IFERROR(INDEX($H$2:$H$3000,MATCH(0,INDEX(COUNTIF($A$1:A895,$H$2:$H$3000)+($H$2:$H$3000=""),0,0),0)),"")</f>
        <v/>
      </c>
      <c r="B896" s="62" t="str">
        <f t="shared" si="52"/>
        <v/>
      </c>
      <c r="C896" s="62" t="str">
        <f t="shared" si="53"/>
        <v/>
      </c>
      <c r="D896" s="63" t="str">
        <f t="shared" si="54"/>
        <v/>
      </c>
      <c r="E896" s="62" t="str">
        <f>IF(D896="","",_xlfn.RANK.EQ(D896,$D$2:$D$1001,0)+COUNTIF($D$2:D896,D896)-1)</f>
        <v/>
      </c>
      <c r="F896" s="62" t="str">
        <f>IF(B896="","",--(COUNTIF(CN_Brands!$A$2:$A$300,UPPER(B896))&gt;0))</f>
        <v/>
      </c>
      <c r="G896" s="62" t="str">
        <f t="shared" si="55"/>
        <v/>
      </c>
      <c r="H896" s="62" t="str">
        <f>IF(AND('Data Export'!A896=前十整体车型排名!$B$2,'Data Export'!B896=前十整体车型排名!$B$3,'Data Export'!D896&lt;&gt;""),UPPER('Data Export'!C896)&amp;"♦"&amp;'Data Export'!D896,"")</f>
        <v>TOYOTA♦SIENTA</v>
      </c>
      <c r="I896" s="63">
        <f>IF(H896="","",IFERROR(INDEX('Data Export'!G896:CZ896,1,MATCH(前十整体车型排名!$B$4,'Data Export'!$G$1:$CZ$1,0)),0))</f>
        <v>0</v>
      </c>
      <c r="J896" s="62" t="str">
        <f>IF(H896="","",IF(OR('Data Export'!F896="三厢轿车",'Data Export'!F896="掀背轿车",'Data Export'!F896="旅行车",'Data Export'!F896="微型车",'Data Export'!F896="硬顶跑车",'Data Export'!F896="敞蓬车",'Data Export'!F896="Targa"),"轿车",IF(OR('Data Export'!F896="小型MPV",'Data Export'!F896="客车"),"MPV",IF('Data Export'!F896="运动型多功能车","SUV","其他"))))</f>
        <v>MPV</v>
      </c>
      <c r="K896" s="62" t="str">
        <f>IF(OR(D896="",NOT(F896=1)),"",1+SUMPRODUCT(($F$2:$F$1001=1)*($D$2:$D$1001&gt;D896))+COUNTIFS($F$2:F896,1,$D$2:D896,D896)-1)</f>
        <v/>
      </c>
      <c r="L896" s="62" t="str">
        <f>IF(OR(D896="",NOT(G896="轿车")),"",1+SUMPRODUCT(($G$2:$G$1001="轿车")*($D$2:$D$1001&gt;D896))+COUNTIFS($G$2:G896,"轿车",$D$2:D896,D896)-1)</f>
        <v/>
      </c>
      <c r="M896" s="62" t="str">
        <f>IF(OR(D896="",NOT(G896="MPV")),"",1+SUMPRODUCT(($G$2:$G$1001="MPV")*($D$2:$D$1001&gt;D896))+COUNTIFS($G$2:G896,"MPV",$D$2:D896,D896)-1)</f>
        <v/>
      </c>
      <c r="N896" s="62" t="str">
        <f>IF(OR(D896="",NOT(G896="SUV")),"",1+SUMPRODUCT(($G$2:$G$1001="SUV")*($D$2:$D$1001&gt;D896))+COUNTIFS($G$2:G896,"SUV",$D$2:D896,D896)-1)</f>
        <v/>
      </c>
      <c r="O896" s="62" t="str">
        <f>IF(OR(D896="",NOT(AND(F896=1,G896="轿车"))),"",1+SUMPRODUCT(($F$2:$F$1001=1)*($G$2:$G$1001="轿车")*($D$2:$D$1001&gt;D896))+COUNTIFS($F$2:F896,1,$G$2:G896,"轿车",$D$2:D896,D896)-1)</f>
        <v/>
      </c>
      <c r="P896" s="62" t="str">
        <f>IF(OR(D896="",NOT(AND(F896=1,G896="MPV"))),"",1+SUMPRODUCT(($F$2:$F$1001=1)*($G$2:$G$1001="MPV")*($D$2:$D$1001&gt;D896))+COUNTIFS($F$2:F896,1,$G$2:G896,"MPV",$D$2:D896,D896)-1)</f>
        <v/>
      </c>
      <c r="Q896" s="62" t="str">
        <f>IF(OR(D896="",NOT(AND(F896=1,G896="SUV"))),"",1+SUMPRODUCT(($F$2:$F$1001=1)*($G$2:$G$1001="SUV")*($D$2:$D$1001&gt;D896))+COUNTIFS($F$2:F896,1,$G$2:G896,"SUV",$D$2:D896,D896)-1)</f>
        <v/>
      </c>
    </row>
    <row r="897" spans="1:17">
      <c r="A897" s="62" t="str">
        <f>IFERROR(INDEX($H$2:$H$3000,MATCH(0,INDEX(COUNTIF($A$1:A896,$H$2:$H$3000)+($H$2:$H$3000=""),0,0),0)),"")</f>
        <v/>
      </c>
      <c r="B897" s="62" t="str">
        <f t="shared" si="52"/>
        <v/>
      </c>
      <c r="C897" s="62" t="str">
        <f t="shared" si="53"/>
        <v/>
      </c>
      <c r="D897" s="63" t="str">
        <f t="shared" si="54"/>
        <v/>
      </c>
      <c r="E897" s="62" t="str">
        <f>IF(D897="","",_xlfn.RANK.EQ(D897,$D$2:$D$1001,0)+COUNTIF($D$2:D897,D897)-1)</f>
        <v/>
      </c>
      <c r="F897" s="62" t="str">
        <f>IF(B897="","",--(COUNTIF(CN_Brands!$A$2:$A$300,UPPER(B897))&gt;0))</f>
        <v/>
      </c>
      <c r="G897" s="62" t="str">
        <f t="shared" si="55"/>
        <v/>
      </c>
      <c r="H897" s="62" t="str">
        <f>IF(AND('Data Export'!A897=前十整体车型排名!$B$2,'Data Export'!B897=前十整体车型排名!$B$3,'Data Export'!D897&lt;&gt;""),UPPER('Data Export'!C897)&amp;"♦"&amp;'Data Export'!D897,"")</f>
        <v>TOYOTA♦SUPRA</v>
      </c>
      <c r="I897" s="63">
        <f>IF(H897="","",IFERROR(INDEX('Data Export'!G897:CZ897,1,MATCH(前十整体车型排名!$B$4,'Data Export'!$G$1:$CZ$1,0)),0))</f>
        <v>1</v>
      </c>
      <c r="J897" s="62" t="str">
        <f>IF(H897="","",IF(OR('Data Export'!F897="三厢轿车",'Data Export'!F897="掀背轿车",'Data Export'!F897="旅行车",'Data Export'!F897="微型车",'Data Export'!F897="硬顶跑车",'Data Export'!F897="敞蓬车",'Data Export'!F897="Targa"),"轿车",IF(OR('Data Export'!F897="小型MPV",'Data Export'!F897="客车"),"MPV",IF('Data Export'!F897="运动型多功能车","SUV","其他"))))</f>
        <v>轿车</v>
      </c>
      <c r="K897" s="62" t="str">
        <f>IF(OR(D897="",NOT(F897=1)),"",1+SUMPRODUCT(($F$2:$F$1001=1)*($D$2:$D$1001&gt;D897))+COUNTIFS($F$2:F897,1,$D$2:D897,D897)-1)</f>
        <v/>
      </c>
      <c r="L897" s="62" t="str">
        <f>IF(OR(D897="",NOT(G897="轿车")),"",1+SUMPRODUCT(($G$2:$G$1001="轿车")*($D$2:$D$1001&gt;D897))+COUNTIFS($G$2:G897,"轿车",$D$2:D897,D897)-1)</f>
        <v/>
      </c>
      <c r="M897" s="62" t="str">
        <f>IF(OR(D897="",NOT(G897="MPV")),"",1+SUMPRODUCT(($G$2:$G$1001="MPV")*($D$2:$D$1001&gt;D897))+COUNTIFS($G$2:G897,"MPV",$D$2:D897,D897)-1)</f>
        <v/>
      </c>
      <c r="N897" s="62" t="str">
        <f>IF(OR(D897="",NOT(G897="SUV")),"",1+SUMPRODUCT(($G$2:$G$1001="SUV")*($D$2:$D$1001&gt;D897))+COUNTIFS($G$2:G897,"SUV",$D$2:D897,D897)-1)</f>
        <v/>
      </c>
      <c r="O897" s="62" t="str">
        <f>IF(OR(D897="",NOT(AND(F897=1,G897="轿车"))),"",1+SUMPRODUCT(($F$2:$F$1001=1)*($G$2:$G$1001="轿车")*($D$2:$D$1001&gt;D897))+COUNTIFS($F$2:F897,1,$G$2:G897,"轿车",$D$2:D897,D897)-1)</f>
        <v/>
      </c>
      <c r="P897" s="62" t="str">
        <f>IF(OR(D897="",NOT(AND(F897=1,G897="MPV"))),"",1+SUMPRODUCT(($F$2:$F$1001=1)*($G$2:$G$1001="MPV")*($D$2:$D$1001&gt;D897))+COUNTIFS($F$2:F897,1,$G$2:G897,"MPV",$D$2:D897,D897)-1)</f>
        <v/>
      </c>
      <c r="Q897" s="62" t="str">
        <f>IF(OR(D897="",NOT(AND(F897=1,G897="SUV"))),"",1+SUMPRODUCT(($F$2:$F$1001=1)*($G$2:$G$1001="SUV")*($D$2:$D$1001&gt;D897))+COUNTIFS($F$2:F897,1,$G$2:G897,"SUV",$D$2:D897,D897)-1)</f>
        <v/>
      </c>
    </row>
    <row r="898" spans="1:17">
      <c r="A898" s="62" t="str">
        <f>IFERROR(INDEX($H$2:$H$3000,MATCH(0,INDEX(COUNTIF($A$1:A897,$H$2:$H$3000)+($H$2:$H$3000=""),0,0),0)),"")</f>
        <v/>
      </c>
      <c r="B898" s="62" t="str">
        <f t="shared" ref="B898:B961" si="56">IF(A898="","",LEFT(A898,FIND("♦",A898)-1))</f>
        <v/>
      </c>
      <c r="C898" s="62" t="str">
        <f t="shared" ref="C898:C961" si="57">IF(A898="","",MID(A898,FIND("♦",A898)+1,999))</f>
        <v/>
      </c>
      <c r="D898" s="63" t="str">
        <f t="shared" ref="D898:D961" si="58">IF(A898="","",SUMIF($H$2:$H$3000,A898,$I$2:$I$3000))</f>
        <v/>
      </c>
      <c r="E898" s="62" t="str">
        <f>IF(D898="","",_xlfn.RANK.EQ(D898,$D$2:$D$1001,0)+COUNTIF($D$2:D898,D898)-1)</f>
        <v/>
      </c>
      <c r="F898" s="62" t="str">
        <f>IF(B898="","",--(COUNTIF(CN_Brands!$A$2:$A$300,UPPER(B898))&gt;0))</f>
        <v/>
      </c>
      <c r="G898" s="62" t="str">
        <f t="shared" ref="G898:G961" si="59">IF(A898="","",IFERROR(INDEX($J$2:$J$3000,MATCH(A898,$H$2:$H$3000,0)),"其他"))</f>
        <v/>
      </c>
      <c r="H898" s="62" t="str">
        <f>IF(AND('Data Export'!A898=前十整体车型排名!$B$2,'Data Export'!B898=前十整体车型排名!$B$3,'Data Export'!D898&lt;&gt;""),UPPER('Data Export'!C898)&amp;"♦"&amp;'Data Export'!D898,"")</f>
        <v>TOYOTA♦SUPRA</v>
      </c>
      <c r="I898" s="63">
        <f>IF(H898="","",IFERROR(INDEX('Data Export'!G898:CZ898,1,MATCH(前十整体车型排名!$B$4,'Data Export'!$G$1:$CZ$1,0)),0))</f>
        <v>1</v>
      </c>
      <c r="J898" s="62" t="str">
        <f>IF(H898="","",IF(OR('Data Export'!F898="三厢轿车",'Data Export'!F898="掀背轿车",'Data Export'!F898="旅行车",'Data Export'!F898="微型车",'Data Export'!F898="硬顶跑车",'Data Export'!F898="敞蓬车",'Data Export'!F898="Targa"),"轿车",IF(OR('Data Export'!F898="小型MPV",'Data Export'!F898="客车"),"MPV",IF('Data Export'!F898="运动型多功能车","SUV","其他"))))</f>
        <v>轿车</v>
      </c>
      <c r="K898" s="62" t="str">
        <f>IF(OR(D898="",NOT(F898=1)),"",1+SUMPRODUCT(($F$2:$F$1001=1)*($D$2:$D$1001&gt;D898))+COUNTIFS($F$2:F898,1,$D$2:D898,D898)-1)</f>
        <v/>
      </c>
      <c r="L898" s="62" t="str">
        <f>IF(OR(D898="",NOT(G898="轿车")),"",1+SUMPRODUCT(($G$2:$G$1001="轿车")*($D$2:$D$1001&gt;D898))+COUNTIFS($G$2:G898,"轿车",$D$2:D898,D898)-1)</f>
        <v/>
      </c>
      <c r="M898" s="62" t="str">
        <f>IF(OR(D898="",NOT(G898="MPV")),"",1+SUMPRODUCT(($G$2:$G$1001="MPV")*($D$2:$D$1001&gt;D898))+COUNTIFS($G$2:G898,"MPV",$D$2:D898,D898)-1)</f>
        <v/>
      </c>
      <c r="N898" s="62" t="str">
        <f>IF(OR(D898="",NOT(G898="SUV")),"",1+SUMPRODUCT(($G$2:$G$1001="SUV")*($D$2:$D$1001&gt;D898))+COUNTIFS($G$2:G898,"SUV",$D$2:D898,D898)-1)</f>
        <v/>
      </c>
      <c r="O898" s="62" t="str">
        <f>IF(OR(D898="",NOT(AND(F898=1,G898="轿车"))),"",1+SUMPRODUCT(($F$2:$F$1001=1)*($G$2:$G$1001="轿车")*($D$2:$D$1001&gt;D898))+COUNTIFS($F$2:F898,1,$G$2:G898,"轿车",$D$2:D898,D898)-1)</f>
        <v/>
      </c>
      <c r="P898" s="62" t="str">
        <f>IF(OR(D898="",NOT(AND(F898=1,G898="MPV"))),"",1+SUMPRODUCT(($F$2:$F$1001=1)*($G$2:$G$1001="MPV")*($D$2:$D$1001&gt;D898))+COUNTIFS($F$2:F898,1,$G$2:G898,"MPV",$D$2:D898,D898)-1)</f>
        <v/>
      </c>
      <c r="Q898" s="62" t="str">
        <f>IF(OR(D898="",NOT(AND(F898=1,G898="SUV"))),"",1+SUMPRODUCT(($F$2:$F$1001=1)*($G$2:$G$1001="SUV")*($D$2:$D$1001&gt;D898))+COUNTIFS($F$2:F898,1,$G$2:G898,"SUV",$D$2:D898,D898)-1)</f>
        <v/>
      </c>
    </row>
    <row r="899" spans="1:17">
      <c r="A899" s="62" t="str">
        <f>IFERROR(INDEX($H$2:$H$3000,MATCH(0,INDEX(COUNTIF($A$1:A898,$H$2:$H$3000)+($H$2:$H$3000=""),0,0),0)),"")</f>
        <v/>
      </c>
      <c r="B899" s="62" t="str">
        <f t="shared" si="56"/>
        <v/>
      </c>
      <c r="C899" s="62" t="str">
        <f t="shared" si="57"/>
        <v/>
      </c>
      <c r="D899" s="63" t="str">
        <f t="shared" si="58"/>
        <v/>
      </c>
      <c r="E899" s="62" t="str">
        <f>IF(D899="","",_xlfn.RANK.EQ(D899,$D$2:$D$1001,0)+COUNTIF($D$2:D899,D899)-1)</f>
        <v/>
      </c>
      <c r="F899" s="62" t="str">
        <f>IF(B899="","",--(COUNTIF(CN_Brands!$A$2:$A$300,UPPER(B899))&gt;0))</f>
        <v/>
      </c>
      <c r="G899" s="62" t="str">
        <f t="shared" si="59"/>
        <v/>
      </c>
      <c r="H899" s="62" t="str">
        <f>IF(AND('Data Export'!A899=前十整体车型排名!$B$2,'Data Export'!B899=前十整体车型排名!$B$3,'Data Export'!D899&lt;&gt;""),UPPER('Data Export'!C899)&amp;"♦"&amp;'Data Export'!D899,"")</f>
        <v>TOYOTA♦SUPRA</v>
      </c>
      <c r="I899" s="63">
        <f>IF(H899="","",IFERROR(INDEX('Data Export'!G899:CZ899,1,MATCH(前十整体车型排名!$B$4,'Data Export'!$G$1:$CZ$1,0)),0))</f>
        <v>0</v>
      </c>
      <c r="J899" s="62" t="str">
        <f>IF(H899="","",IF(OR('Data Export'!F899="三厢轿车",'Data Export'!F899="掀背轿车",'Data Export'!F899="旅行车",'Data Export'!F899="微型车",'Data Export'!F899="硬顶跑车",'Data Export'!F899="敞蓬车",'Data Export'!F899="Targa"),"轿车",IF(OR('Data Export'!F899="小型MPV",'Data Export'!F899="客车"),"MPV",IF('Data Export'!F899="运动型多功能车","SUV","其他"))))</f>
        <v>轿车</v>
      </c>
      <c r="K899" s="62" t="str">
        <f>IF(OR(D899="",NOT(F899=1)),"",1+SUMPRODUCT(($F$2:$F$1001=1)*($D$2:$D$1001&gt;D899))+COUNTIFS($F$2:F899,1,$D$2:D899,D899)-1)</f>
        <v/>
      </c>
      <c r="L899" s="62" t="str">
        <f>IF(OR(D899="",NOT(G899="轿车")),"",1+SUMPRODUCT(($G$2:$G$1001="轿车")*($D$2:$D$1001&gt;D899))+COUNTIFS($G$2:G899,"轿车",$D$2:D899,D899)-1)</f>
        <v/>
      </c>
      <c r="M899" s="62" t="str">
        <f>IF(OR(D899="",NOT(G899="MPV")),"",1+SUMPRODUCT(($G$2:$G$1001="MPV")*($D$2:$D$1001&gt;D899))+COUNTIFS($G$2:G899,"MPV",$D$2:D899,D899)-1)</f>
        <v/>
      </c>
      <c r="N899" s="62" t="str">
        <f>IF(OR(D899="",NOT(G899="SUV")),"",1+SUMPRODUCT(($G$2:$G$1001="SUV")*($D$2:$D$1001&gt;D899))+COUNTIFS($G$2:G899,"SUV",$D$2:D899,D899)-1)</f>
        <v/>
      </c>
      <c r="O899" s="62" t="str">
        <f>IF(OR(D899="",NOT(AND(F899=1,G899="轿车"))),"",1+SUMPRODUCT(($F$2:$F$1001=1)*($G$2:$G$1001="轿车")*($D$2:$D$1001&gt;D899))+COUNTIFS($F$2:F899,1,$G$2:G899,"轿车",$D$2:D899,D899)-1)</f>
        <v/>
      </c>
      <c r="P899" s="62" t="str">
        <f>IF(OR(D899="",NOT(AND(F899=1,G899="MPV"))),"",1+SUMPRODUCT(($F$2:$F$1001=1)*($G$2:$G$1001="MPV")*($D$2:$D$1001&gt;D899))+COUNTIFS($F$2:F899,1,$G$2:G899,"MPV",$D$2:D899,D899)-1)</f>
        <v/>
      </c>
      <c r="Q899" s="62" t="str">
        <f>IF(OR(D899="",NOT(AND(F899=1,G899="SUV"))),"",1+SUMPRODUCT(($F$2:$F$1001=1)*($G$2:$G$1001="SUV")*($D$2:$D$1001&gt;D899))+COUNTIFS($F$2:F899,1,$G$2:G899,"SUV",$D$2:D899,D899)-1)</f>
        <v/>
      </c>
    </row>
    <row r="900" spans="1:17">
      <c r="A900" s="62" t="str">
        <f>IFERROR(INDEX($H$2:$H$3000,MATCH(0,INDEX(COUNTIF($A$1:A899,$H$2:$H$3000)+($H$2:$H$3000=""),0,0),0)),"")</f>
        <v/>
      </c>
      <c r="B900" s="62" t="str">
        <f t="shared" si="56"/>
        <v/>
      </c>
      <c r="C900" s="62" t="str">
        <f t="shared" si="57"/>
        <v/>
      </c>
      <c r="D900" s="63" t="str">
        <f t="shared" si="58"/>
        <v/>
      </c>
      <c r="E900" s="62" t="str">
        <f>IF(D900="","",_xlfn.RANK.EQ(D900,$D$2:$D$1001,0)+COUNTIF($D$2:D900,D900)-1)</f>
        <v/>
      </c>
      <c r="F900" s="62" t="str">
        <f>IF(B900="","",--(COUNTIF(CN_Brands!$A$2:$A$300,UPPER(B900))&gt;0))</f>
        <v/>
      </c>
      <c r="G900" s="62" t="str">
        <f t="shared" si="59"/>
        <v/>
      </c>
      <c r="H900" s="62" t="str">
        <f>IF(AND('Data Export'!A900=前十整体车型排名!$B$2,'Data Export'!B900=前十整体车型排名!$B$3,'Data Export'!D900&lt;&gt;""),UPPER('Data Export'!C900)&amp;"♦"&amp;'Data Export'!D900,"")</f>
        <v>TOYOTA♦SUPRA</v>
      </c>
      <c r="I900" s="63">
        <f>IF(H900="","",IFERROR(INDEX('Data Export'!G900:CZ900,1,MATCH(前十整体车型排名!$B$4,'Data Export'!$G$1:$CZ$1,0)),0))</f>
        <v>0</v>
      </c>
      <c r="J900" s="62" t="str">
        <f>IF(H900="","",IF(OR('Data Export'!F900="三厢轿车",'Data Export'!F900="掀背轿车",'Data Export'!F900="旅行车",'Data Export'!F900="微型车",'Data Export'!F900="硬顶跑车",'Data Export'!F900="敞蓬车",'Data Export'!F900="Targa"),"轿车",IF(OR('Data Export'!F900="小型MPV",'Data Export'!F900="客车"),"MPV",IF('Data Export'!F900="运动型多功能车","SUV","其他"))))</f>
        <v>轿车</v>
      </c>
      <c r="K900" s="62" t="str">
        <f>IF(OR(D900="",NOT(F900=1)),"",1+SUMPRODUCT(($F$2:$F$1001=1)*($D$2:$D$1001&gt;D900))+COUNTIFS($F$2:F900,1,$D$2:D900,D900)-1)</f>
        <v/>
      </c>
      <c r="L900" s="62" t="str">
        <f>IF(OR(D900="",NOT(G900="轿车")),"",1+SUMPRODUCT(($G$2:$G$1001="轿车")*($D$2:$D$1001&gt;D900))+COUNTIFS($G$2:G900,"轿车",$D$2:D900,D900)-1)</f>
        <v/>
      </c>
      <c r="M900" s="62" t="str">
        <f>IF(OR(D900="",NOT(G900="MPV")),"",1+SUMPRODUCT(($G$2:$G$1001="MPV")*($D$2:$D$1001&gt;D900))+COUNTIFS($G$2:G900,"MPV",$D$2:D900,D900)-1)</f>
        <v/>
      </c>
      <c r="N900" s="62" t="str">
        <f>IF(OR(D900="",NOT(G900="SUV")),"",1+SUMPRODUCT(($G$2:$G$1001="SUV")*($D$2:$D$1001&gt;D900))+COUNTIFS($G$2:G900,"SUV",$D$2:D900,D900)-1)</f>
        <v/>
      </c>
      <c r="O900" s="62" t="str">
        <f>IF(OR(D900="",NOT(AND(F900=1,G900="轿车"))),"",1+SUMPRODUCT(($F$2:$F$1001=1)*($G$2:$G$1001="轿车")*($D$2:$D$1001&gt;D900))+COUNTIFS($F$2:F900,1,$G$2:G900,"轿车",$D$2:D900,D900)-1)</f>
        <v/>
      </c>
      <c r="P900" s="62" t="str">
        <f>IF(OR(D900="",NOT(AND(F900=1,G900="MPV"))),"",1+SUMPRODUCT(($F$2:$F$1001=1)*($G$2:$G$1001="MPV")*($D$2:$D$1001&gt;D900))+COUNTIFS($F$2:F900,1,$G$2:G900,"MPV",$D$2:D900,D900)-1)</f>
        <v/>
      </c>
      <c r="Q900" s="62" t="str">
        <f>IF(OR(D900="",NOT(AND(F900=1,G900="SUV"))),"",1+SUMPRODUCT(($F$2:$F$1001=1)*($G$2:$G$1001="SUV")*($D$2:$D$1001&gt;D900))+COUNTIFS($F$2:F900,1,$G$2:G900,"SUV",$D$2:D900,D900)-1)</f>
        <v/>
      </c>
    </row>
    <row r="901" spans="1:17">
      <c r="A901" s="62" t="str">
        <f>IFERROR(INDEX($H$2:$H$3000,MATCH(0,INDEX(COUNTIF($A$1:A900,$H$2:$H$3000)+($H$2:$H$3000=""),0,0),0)),"")</f>
        <v/>
      </c>
      <c r="B901" s="62" t="str">
        <f t="shared" si="56"/>
        <v/>
      </c>
      <c r="C901" s="62" t="str">
        <f t="shared" si="57"/>
        <v/>
      </c>
      <c r="D901" s="63" t="str">
        <f t="shared" si="58"/>
        <v/>
      </c>
      <c r="E901" s="62" t="str">
        <f>IF(D901="","",_xlfn.RANK.EQ(D901,$D$2:$D$1001,0)+COUNTIF($D$2:D901,D901)-1)</f>
        <v/>
      </c>
      <c r="F901" s="62" t="str">
        <f>IF(B901="","",--(COUNTIF(CN_Brands!$A$2:$A$300,UPPER(B901))&gt;0))</f>
        <v/>
      </c>
      <c r="G901" s="62" t="str">
        <f t="shared" si="59"/>
        <v/>
      </c>
      <c r="H901" s="62" t="str">
        <f>IF(AND('Data Export'!A901=前十整体车型排名!$B$2,'Data Export'!B901=前十整体车型排名!$B$3,'Data Export'!D901&lt;&gt;""),UPPER('Data Export'!C901)&amp;"♦"&amp;'Data Export'!D901,"")</f>
        <v>TOYOTA♦SUPRA</v>
      </c>
      <c r="I901" s="63">
        <f>IF(H901="","",IFERROR(INDEX('Data Export'!G901:CZ901,1,MATCH(前十整体车型排名!$B$4,'Data Export'!$G$1:$CZ$1,0)),0))</f>
        <v>1</v>
      </c>
      <c r="J901" s="62" t="str">
        <f>IF(H901="","",IF(OR('Data Export'!F901="三厢轿车",'Data Export'!F901="掀背轿车",'Data Export'!F901="旅行车",'Data Export'!F901="微型车",'Data Export'!F901="硬顶跑车",'Data Export'!F901="敞蓬车",'Data Export'!F901="Targa"),"轿车",IF(OR('Data Export'!F901="小型MPV",'Data Export'!F901="客车"),"MPV",IF('Data Export'!F901="运动型多功能车","SUV","其他"))))</f>
        <v>轿车</v>
      </c>
      <c r="K901" s="62" t="str">
        <f>IF(OR(D901="",NOT(F901=1)),"",1+SUMPRODUCT(($F$2:$F$1001=1)*($D$2:$D$1001&gt;D901))+COUNTIFS($F$2:F901,1,$D$2:D901,D901)-1)</f>
        <v/>
      </c>
      <c r="L901" s="62" t="str">
        <f>IF(OR(D901="",NOT(G901="轿车")),"",1+SUMPRODUCT(($G$2:$G$1001="轿车")*($D$2:$D$1001&gt;D901))+COUNTIFS($G$2:G901,"轿车",$D$2:D901,D901)-1)</f>
        <v/>
      </c>
      <c r="M901" s="62" t="str">
        <f>IF(OR(D901="",NOT(G901="MPV")),"",1+SUMPRODUCT(($G$2:$G$1001="MPV")*($D$2:$D$1001&gt;D901))+COUNTIFS($G$2:G901,"MPV",$D$2:D901,D901)-1)</f>
        <v/>
      </c>
      <c r="N901" s="62" t="str">
        <f>IF(OR(D901="",NOT(G901="SUV")),"",1+SUMPRODUCT(($G$2:$G$1001="SUV")*($D$2:$D$1001&gt;D901))+COUNTIFS($G$2:G901,"SUV",$D$2:D901,D901)-1)</f>
        <v/>
      </c>
      <c r="O901" s="62" t="str">
        <f>IF(OR(D901="",NOT(AND(F901=1,G901="轿车"))),"",1+SUMPRODUCT(($F$2:$F$1001=1)*($G$2:$G$1001="轿车")*($D$2:$D$1001&gt;D901))+COUNTIFS($F$2:F901,1,$G$2:G901,"轿车",$D$2:D901,D901)-1)</f>
        <v/>
      </c>
      <c r="P901" s="62" t="str">
        <f>IF(OR(D901="",NOT(AND(F901=1,G901="MPV"))),"",1+SUMPRODUCT(($F$2:$F$1001=1)*($G$2:$G$1001="MPV")*($D$2:$D$1001&gt;D901))+COUNTIFS($F$2:F901,1,$G$2:G901,"MPV",$D$2:D901,D901)-1)</f>
        <v/>
      </c>
      <c r="Q901" s="62" t="str">
        <f>IF(OR(D901="",NOT(AND(F901=1,G901="SUV"))),"",1+SUMPRODUCT(($F$2:$F$1001=1)*($G$2:$G$1001="SUV")*($D$2:$D$1001&gt;D901))+COUNTIFS($F$2:F901,1,$G$2:G901,"SUV",$D$2:D901,D901)-1)</f>
        <v/>
      </c>
    </row>
    <row r="902" spans="1:17">
      <c r="A902" s="62" t="str">
        <f>IFERROR(INDEX($H$2:$H$3000,MATCH(0,INDEX(COUNTIF($A$1:A901,$H$2:$H$3000)+($H$2:$H$3000=""),0,0),0)),"")</f>
        <v/>
      </c>
      <c r="B902" s="62" t="str">
        <f t="shared" si="56"/>
        <v/>
      </c>
      <c r="C902" s="62" t="str">
        <f t="shared" si="57"/>
        <v/>
      </c>
      <c r="D902" s="63" t="str">
        <f t="shared" si="58"/>
        <v/>
      </c>
      <c r="E902" s="62" t="str">
        <f>IF(D902="","",_xlfn.RANK.EQ(D902,$D$2:$D$1001,0)+COUNTIF($D$2:D902,D902)-1)</f>
        <v/>
      </c>
      <c r="F902" s="62" t="str">
        <f>IF(B902="","",--(COUNTIF(CN_Brands!$A$2:$A$300,UPPER(B902))&gt;0))</f>
        <v/>
      </c>
      <c r="G902" s="62" t="str">
        <f t="shared" si="59"/>
        <v/>
      </c>
      <c r="H902" s="62" t="str">
        <f>IF(AND('Data Export'!A902=前十整体车型排名!$B$2,'Data Export'!B902=前十整体车型排名!$B$3,'Data Export'!D902&lt;&gt;""),UPPER('Data Export'!C902)&amp;"♦"&amp;'Data Export'!D902,"")</f>
        <v>TOYOTA♦VELLFIRE</v>
      </c>
      <c r="I902" s="63">
        <f>IF(H902="","",IFERROR(INDEX('Data Export'!G902:CZ902,1,MATCH(前十整体车型排名!$B$4,'Data Export'!$G$1:$CZ$1,0)),0))</f>
        <v>0</v>
      </c>
      <c r="J902" s="62" t="str">
        <f>IF(H902="","",IF(OR('Data Export'!F902="三厢轿车",'Data Export'!F902="掀背轿车",'Data Export'!F902="旅行车",'Data Export'!F902="微型车",'Data Export'!F902="硬顶跑车",'Data Export'!F902="敞蓬车",'Data Export'!F902="Targa"),"轿车",IF(OR('Data Export'!F902="小型MPV",'Data Export'!F902="客车"),"MPV",IF('Data Export'!F902="运动型多功能车","SUV","其他"))))</f>
        <v>其他</v>
      </c>
      <c r="K902" s="62" t="str">
        <f>IF(OR(D902="",NOT(F902=1)),"",1+SUMPRODUCT(($F$2:$F$1001=1)*($D$2:$D$1001&gt;D902))+COUNTIFS($F$2:F902,1,$D$2:D902,D902)-1)</f>
        <v/>
      </c>
      <c r="L902" s="62" t="str">
        <f>IF(OR(D902="",NOT(G902="轿车")),"",1+SUMPRODUCT(($G$2:$G$1001="轿车")*($D$2:$D$1001&gt;D902))+COUNTIFS($G$2:G902,"轿车",$D$2:D902,D902)-1)</f>
        <v/>
      </c>
      <c r="M902" s="62" t="str">
        <f>IF(OR(D902="",NOT(G902="MPV")),"",1+SUMPRODUCT(($G$2:$G$1001="MPV")*($D$2:$D$1001&gt;D902))+COUNTIFS($G$2:G902,"MPV",$D$2:D902,D902)-1)</f>
        <v/>
      </c>
      <c r="N902" s="62" t="str">
        <f>IF(OR(D902="",NOT(G902="SUV")),"",1+SUMPRODUCT(($G$2:$G$1001="SUV")*($D$2:$D$1001&gt;D902))+COUNTIFS($G$2:G902,"SUV",$D$2:D902,D902)-1)</f>
        <v/>
      </c>
      <c r="O902" s="62" t="str">
        <f>IF(OR(D902="",NOT(AND(F902=1,G902="轿车"))),"",1+SUMPRODUCT(($F$2:$F$1001=1)*($G$2:$G$1001="轿车")*($D$2:$D$1001&gt;D902))+COUNTIFS($F$2:F902,1,$G$2:G902,"轿车",$D$2:D902,D902)-1)</f>
        <v/>
      </c>
      <c r="P902" s="62" t="str">
        <f>IF(OR(D902="",NOT(AND(F902=1,G902="MPV"))),"",1+SUMPRODUCT(($F$2:$F$1001=1)*($G$2:$G$1001="MPV")*($D$2:$D$1001&gt;D902))+COUNTIFS($F$2:F902,1,$G$2:G902,"MPV",$D$2:D902,D902)-1)</f>
        <v/>
      </c>
      <c r="Q902" s="62" t="str">
        <f>IF(OR(D902="",NOT(AND(F902=1,G902="SUV"))),"",1+SUMPRODUCT(($F$2:$F$1001=1)*($G$2:$G$1001="SUV")*($D$2:$D$1001&gt;D902))+COUNTIFS($F$2:F902,1,$G$2:G902,"SUV",$D$2:D902,D902)-1)</f>
        <v/>
      </c>
    </row>
    <row r="903" spans="1:17">
      <c r="A903" s="62" t="str">
        <f>IFERROR(INDEX($H$2:$H$3000,MATCH(0,INDEX(COUNTIF($A$1:A902,$H$2:$H$3000)+($H$2:$H$3000=""),0,0),0)),"")</f>
        <v/>
      </c>
      <c r="B903" s="62" t="str">
        <f t="shared" si="56"/>
        <v/>
      </c>
      <c r="C903" s="62" t="str">
        <f t="shared" si="57"/>
        <v/>
      </c>
      <c r="D903" s="63" t="str">
        <f t="shared" si="58"/>
        <v/>
      </c>
      <c r="E903" s="62" t="str">
        <f>IF(D903="","",_xlfn.RANK.EQ(D903,$D$2:$D$1001,0)+COUNTIF($D$2:D903,D903)-1)</f>
        <v/>
      </c>
      <c r="F903" s="62" t="str">
        <f>IF(B903="","",--(COUNTIF(CN_Brands!$A$2:$A$300,UPPER(B903))&gt;0))</f>
        <v/>
      </c>
      <c r="G903" s="62" t="str">
        <f t="shared" si="59"/>
        <v/>
      </c>
      <c r="H903" s="62" t="str">
        <f>IF(AND('Data Export'!A903=前十整体车型排名!$B$2,'Data Export'!B903=前十整体车型排名!$B$3,'Data Export'!D903&lt;&gt;""),UPPER('Data Export'!C903)&amp;"♦"&amp;'Data Export'!D903,"")</f>
        <v>TOYOTA♦VELLFIRE</v>
      </c>
      <c r="I903" s="63">
        <f>IF(H903="","",IFERROR(INDEX('Data Export'!G903:CZ903,1,MATCH(前十整体车型排名!$B$4,'Data Export'!$G$1:$CZ$1,0)),0))</f>
        <v>0</v>
      </c>
      <c r="J903" s="62" t="str">
        <f>IF(H903="","",IF(OR('Data Export'!F903="三厢轿车",'Data Export'!F903="掀背轿车",'Data Export'!F903="旅行车",'Data Export'!F903="微型车",'Data Export'!F903="硬顶跑车",'Data Export'!F903="敞蓬车",'Data Export'!F903="Targa"),"轿车",IF(OR('Data Export'!F903="小型MPV",'Data Export'!F903="客车"),"MPV",IF('Data Export'!F903="运动型多功能车","SUV","其他"))))</f>
        <v>其他</v>
      </c>
      <c r="K903" s="62" t="str">
        <f>IF(OR(D903="",NOT(F903=1)),"",1+SUMPRODUCT(($F$2:$F$1001=1)*($D$2:$D$1001&gt;D903))+COUNTIFS($F$2:F903,1,$D$2:D903,D903)-1)</f>
        <v/>
      </c>
      <c r="L903" s="62" t="str">
        <f>IF(OR(D903="",NOT(G903="轿车")),"",1+SUMPRODUCT(($G$2:$G$1001="轿车")*($D$2:$D$1001&gt;D903))+COUNTIFS($G$2:G903,"轿车",$D$2:D903,D903)-1)</f>
        <v/>
      </c>
      <c r="M903" s="62" t="str">
        <f>IF(OR(D903="",NOT(G903="MPV")),"",1+SUMPRODUCT(($G$2:$G$1001="MPV")*($D$2:$D$1001&gt;D903))+COUNTIFS($G$2:G903,"MPV",$D$2:D903,D903)-1)</f>
        <v/>
      </c>
      <c r="N903" s="62" t="str">
        <f>IF(OR(D903="",NOT(G903="SUV")),"",1+SUMPRODUCT(($G$2:$G$1001="SUV")*($D$2:$D$1001&gt;D903))+COUNTIFS($G$2:G903,"SUV",$D$2:D903,D903)-1)</f>
        <v/>
      </c>
      <c r="O903" s="62" t="str">
        <f>IF(OR(D903="",NOT(AND(F903=1,G903="轿车"))),"",1+SUMPRODUCT(($F$2:$F$1001=1)*($G$2:$G$1001="轿车")*($D$2:$D$1001&gt;D903))+COUNTIFS($F$2:F903,1,$G$2:G903,"轿车",$D$2:D903,D903)-1)</f>
        <v/>
      </c>
      <c r="P903" s="62" t="str">
        <f>IF(OR(D903="",NOT(AND(F903=1,G903="MPV"))),"",1+SUMPRODUCT(($F$2:$F$1001=1)*($G$2:$G$1001="MPV")*($D$2:$D$1001&gt;D903))+COUNTIFS($F$2:F903,1,$G$2:G903,"MPV",$D$2:D903,D903)-1)</f>
        <v/>
      </c>
      <c r="Q903" s="62" t="str">
        <f>IF(OR(D903="",NOT(AND(F903=1,G903="SUV"))),"",1+SUMPRODUCT(($F$2:$F$1001=1)*($G$2:$G$1001="SUV")*($D$2:$D$1001&gt;D903))+COUNTIFS($F$2:F903,1,$G$2:G903,"SUV",$D$2:D903,D903)-1)</f>
        <v/>
      </c>
    </row>
    <row r="904" spans="1:17">
      <c r="A904" s="62" t="str">
        <f>IFERROR(INDEX($H$2:$H$3000,MATCH(0,INDEX(COUNTIF($A$1:A903,$H$2:$H$3000)+($H$2:$H$3000=""),0,0),0)),"")</f>
        <v/>
      </c>
      <c r="B904" s="62" t="str">
        <f t="shared" si="56"/>
        <v/>
      </c>
      <c r="C904" s="62" t="str">
        <f t="shared" si="57"/>
        <v/>
      </c>
      <c r="D904" s="63" t="str">
        <f t="shared" si="58"/>
        <v/>
      </c>
      <c r="E904" s="62" t="str">
        <f>IF(D904="","",_xlfn.RANK.EQ(D904,$D$2:$D$1001,0)+COUNTIF($D$2:D904,D904)-1)</f>
        <v/>
      </c>
      <c r="F904" s="62" t="str">
        <f>IF(B904="","",--(COUNTIF(CN_Brands!$A$2:$A$300,UPPER(B904))&gt;0))</f>
        <v/>
      </c>
      <c r="G904" s="62" t="str">
        <f t="shared" si="59"/>
        <v/>
      </c>
      <c r="H904" s="62" t="str">
        <f>IF(AND('Data Export'!A904=前十整体车型排名!$B$2,'Data Export'!B904=前十整体车型排名!$B$3,'Data Export'!D904&lt;&gt;""),UPPER('Data Export'!C904)&amp;"♦"&amp;'Data Export'!D904,"")</f>
        <v>TOYOTA♦VELLFIRE</v>
      </c>
      <c r="I904" s="63">
        <f>IF(H904="","",IFERROR(INDEX('Data Export'!G904:CZ904,1,MATCH(前十整体车型排名!$B$4,'Data Export'!$G$1:$CZ$1,0)),0))</f>
        <v>8</v>
      </c>
      <c r="J904" s="62" t="str">
        <f>IF(H904="","",IF(OR('Data Export'!F904="三厢轿车",'Data Export'!F904="掀背轿车",'Data Export'!F904="旅行车",'Data Export'!F904="微型车",'Data Export'!F904="硬顶跑车",'Data Export'!F904="敞蓬车",'Data Export'!F904="Targa"),"轿车",IF(OR('Data Export'!F904="小型MPV",'Data Export'!F904="客车"),"MPV",IF('Data Export'!F904="运动型多功能车","SUV","其他"))))</f>
        <v>其他</v>
      </c>
      <c r="K904" s="62" t="str">
        <f>IF(OR(D904="",NOT(F904=1)),"",1+SUMPRODUCT(($F$2:$F$1001=1)*($D$2:$D$1001&gt;D904))+COUNTIFS($F$2:F904,1,$D$2:D904,D904)-1)</f>
        <v/>
      </c>
      <c r="L904" s="62" t="str">
        <f>IF(OR(D904="",NOT(G904="轿车")),"",1+SUMPRODUCT(($G$2:$G$1001="轿车")*($D$2:$D$1001&gt;D904))+COUNTIFS($G$2:G904,"轿车",$D$2:D904,D904)-1)</f>
        <v/>
      </c>
      <c r="M904" s="62" t="str">
        <f>IF(OR(D904="",NOT(G904="MPV")),"",1+SUMPRODUCT(($G$2:$G$1001="MPV")*($D$2:$D$1001&gt;D904))+COUNTIFS($G$2:G904,"MPV",$D$2:D904,D904)-1)</f>
        <v/>
      </c>
      <c r="N904" s="62" t="str">
        <f>IF(OR(D904="",NOT(G904="SUV")),"",1+SUMPRODUCT(($G$2:$G$1001="SUV")*($D$2:$D$1001&gt;D904))+COUNTIFS($G$2:G904,"SUV",$D$2:D904,D904)-1)</f>
        <v/>
      </c>
      <c r="O904" s="62" t="str">
        <f>IF(OR(D904="",NOT(AND(F904=1,G904="轿车"))),"",1+SUMPRODUCT(($F$2:$F$1001=1)*($G$2:$G$1001="轿车")*($D$2:$D$1001&gt;D904))+COUNTIFS($F$2:F904,1,$G$2:G904,"轿车",$D$2:D904,D904)-1)</f>
        <v/>
      </c>
      <c r="P904" s="62" t="str">
        <f>IF(OR(D904="",NOT(AND(F904=1,G904="MPV"))),"",1+SUMPRODUCT(($F$2:$F$1001=1)*($G$2:$G$1001="MPV")*($D$2:$D$1001&gt;D904))+COUNTIFS($F$2:F904,1,$G$2:G904,"MPV",$D$2:D904,D904)-1)</f>
        <v/>
      </c>
      <c r="Q904" s="62" t="str">
        <f>IF(OR(D904="",NOT(AND(F904=1,G904="SUV"))),"",1+SUMPRODUCT(($F$2:$F$1001=1)*($G$2:$G$1001="SUV")*($D$2:$D$1001&gt;D904))+COUNTIFS($F$2:F904,1,$G$2:G904,"SUV",$D$2:D904,D904)-1)</f>
        <v/>
      </c>
    </row>
    <row r="905" spans="1:17">
      <c r="A905" s="62" t="str">
        <f>IFERROR(INDEX($H$2:$H$3000,MATCH(0,INDEX(COUNTIF($A$1:A904,$H$2:$H$3000)+($H$2:$H$3000=""),0,0),0)),"")</f>
        <v/>
      </c>
      <c r="B905" s="62" t="str">
        <f t="shared" si="56"/>
        <v/>
      </c>
      <c r="C905" s="62" t="str">
        <f t="shared" si="57"/>
        <v/>
      </c>
      <c r="D905" s="63" t="str">
        <f t="shared" si="58"/>
        <v/>
      </c>
      <c r="E905" s="62" t="str">
        <f>IF(D905="","",_xlfn.RANK.EQ(D905,$D$2:$D$1001,0)+COUNTIF($D$2:D905,D905)-1)</f>
        <v/>
      </c>
      <c r="F905" s="62" t="str">
        <f>IF(B905="","",--(COUNTIF(CN_Brands!$A$2:$A$300,UPPER(B905))&gt;0))</f>
        <v/>
      </c>
      <c r="G905" s="62" t="str">
        <f t="shared" si="59"/>
        <v/>
      </c>
      <c r="H905" s="62" t="str">
        <f>IF(AND('Data Export'!A905=前十整体车型排名!$B$2,'Data Export'!B905=前十整体车型排名!$B$3,'Data Export'!D905&lt;&gt;""),UPPER('Data Export'!C905)&amp;"♦"&amp;'Data Export'!D905,"")</f>
        <v>TOYOTA♦VELLFIRE</v>
      </c>
      <c r="I905" s="63">
        <f>IF(H905="","",IFERROR(INDEX('Data Export'!G905:CZ905,1,MATCH(前十整体车型排名!$B$4,'Data Export'!$G$1:$CZ$1,0)),0))</f>
        <v>13</v>
      </c>
      <c r="J905" s="62" t="str">
        <f>IF(H905="","",IF(OR('Data Export'!F905="三厢轿车",'Data Export'!F905="掀背轿车",'Data Export'!F905="旅行车",'Data Export'!F905="微型车",'Data Export'!F905="硬顶跑车",'Data Export'!F905="敞蓬车",'Data Export'!F905="Targa"),"轿车",IF(OR('Data Export'!F905="小型MPV",'Data Export'!F905="客车"),"MPV",IF('Data Export'!F905="运动型多功能车","SUV","其他"))))</f>
        <v>其他</v>
      </c>
      <c r="K905" s="62" t="str">
        <f>IF(OR(D905="",NOT(F905=1)),"",1+SUMPRODUCT(($F$2:$F$1001=1)*($D$2:$D$1001&gt;D905))+COUNTIFS($F$2:F905,1,$D$2:D905,D905)-1)</f>
        <v/>
      </c>
      <c r="L905" s="62" t="str">
        <f>IF(OR(D905="",NOT(G905="轿车")),"",1+SUMPRODUCT(($G$2:$G$1001="轿车")*($D$2:$D$1001&gt;D905))+COUNTIFS($G$2:G905,"轿车",$D$2:D905,D905)-1)</f>
        <v/>
      </c>
      <c r="M905" s="62" t="str">
        <f>IF(OR(D905="",NOT(G905="MPV")),"",1+SUMPRODUCT(($G$2:$G$1001="MPV")*($D$2:$D$1001&gt;D905))+COUNTIFS($G$2:G905,"MPV",$D$2:D905,D905)-1)</f>
        <v/>
      </c>
      <c r="N905" s="62" t="str">
        <f>IF(OR(D905="",NOT(G905="SUV")),"",1+SUMPRODUCT(($G$2:$G$1001="SUV")*($D$2:$D$1001&gt;D905))+COUNTIFS($G$2:G905,"SUV",$D$2:D905,D905)-1)</f>
        <v/>
      </c>
      <c r="O905" s="62" t="str">
        <f>IF(OR(D905="",NOT(AND(F905=1,G905="轿车"))),"",1+SUMPRODUCT(($F$2:$F$1001=1)*($G$2:$G$1001="轿车")*($D$2:$D$1001&gt;D905))+COUNTIFS($F$2:F905,1,$G$2:G905,"轿车",$D$2:D905,D905)-1)</f>
        <v/>
      </c>
      <c r="P905" s="62" t="str">
        <f>IF(OR(D905="",NOT(AND(F905=1,G905="MPV"))),"",1+SUMPRODUCT(($F$2:$F$1001=1)*($G$2:$G$1001="MPV")*($D$2:$D$1001&gt;D905))+COUNTIFS($F$2:F905,1,$G$2:G905,"MPV",$D$2:D905,D905)-1)</f>
        <v/>
      </c>
      <c r="Q905" s="62" t="str">
        <f>IF(OR(D905="",NOT(AND(F905=1,G905="SUV"))),"",1+SUMPRODUCT(($F$2:$F$1001=1)*($G$2:$G$1001="SUV")*($D$2:$D$1001&gt;D905))+COUNTIFS($F$2:F905,1,$G$2:G905,"SUV",$D$2:D905,D905)-1)</f>
        <v/>
      </c>
    </row>
    <row r="906" spans="1:17">
      <c r="A906" s="62" t="str">
        <f>IFERROR(INDEX($H$2:$H$3000,MATCH(0,INDEX(COUNTIF($A$1:A905,$H$2:$H$3000)+($H$2:$H$3000=""),0,0),0)),"")</f>
        <v/>
      </c>
      <c r="B906" s="62" t="str">
        <f t="shared" si="56"/>
        <v/>
      </c>
      <c r="C906" s="62" t="str">
        <f t="shared" si="57"/>
        <v/>
      </c>
      <c r="D906" s="63" t="str">
        <f t="shared" si="58"/>
        <v/>
      </c>
      <c r="E906" s="62" t="str">
        <f>IF(D906="","",_xlfn.RANK.EQ(D906,$D$2:$D$1001,0)+COUNTIF($D$2:D906,D906)-1)</f>
        <v/>
      </c>
      <c r="F906" s="62" t="str">
        <f>IF(B906="","",--(COUNTIF(CN_Brands!$A$2:$A$300,UPPER(B906))&gt;0))</f>
        <v/>
      </c>
      <c r="G906" s="62" t="str">
        <f t="shared" si="59"/>
        <v/>
      </c>
      <c r="H906" s="62" t="str">
        <f>IF(AND('Data Export'!A906=前十整体车型排名!$B$2,'Data Export'!B906=前十整体车型排名!$B$3,'Data Export'!D906&lt;&gt;""),UPPER('Data Export'!C906)&amp;"♦"&amp;'Data Export'!D906,"")</f>
        <v>TOYOTA♦VELLFIRE</v>
      </c>
      <c r="I906" s="63">
        <f>IF(H906="","",IFERROR(INDEX('Data Export'!G906:CZ906,1,MATCH(前十整体车型排名!$B$4,'Data Export'!$G$1:$CZ$1,0)),0))</f>
        <v>1</v>
      </c>
      <c r="J906" s="62" t="str">
        <f>IF(H906="","",IF(OR('Data Export'!F906="三厢轿车",'Data Export'!F906="掀背轿车",'Data Export'!F906="旅行车",'Data Export'!F906="微型车",'Data Export'!F906="硬顶跑车",'Data Export'!F906="敞蓬车",'Data Export'!F906="Targa"),"轿车",IF(OR('Data Export'!F906="小型MPV",'Data Export'!F906="客车"),"MPV",IF('Data Export'!F906="运动型多功能车","SUV","其他"))))</f>
        <v>其他</v>
      </c>
      <c r="K906" s="62" t="str">
        <f>IF(OR(D906="",NOT(F906=1)),"",1+SUMPRODUCT(($F$2:$F$1001=1)*($D$2:$D$1001&gt;D906))+COUNTIFS($F$2:F906,1,$D$2:D906,D906)-1)</f>
        <v/>
      </c>
      <c r="L906" s="62" t="str">
        <f>IF(OR(D906="",NOT(G906="轿车")),"",1+SUMPRODUCT(($G$2:$G$1001="轿车")*($D$2:$D$1001&gt;D906))+COUNTIFS($G$2:G906,"轿车",$D$2:D906,D906)-1)</f>
        <v/>
      </c>
      <c r="M906" s="62" t="str">
        <f>IF(OR(D906="",NOT(G906="MPV")),"",1+SUMPRODUCT(($G$2:$G$1001="MPV")*($D$2:$D$1001&gt;D906))+COUNTIFS($G$2:G906,"MPV",$D$2:D906,D906)-1)</f>
        <v/>
      </c>
      <c r="N906" s="62" t="str">
        <f>IF(OR(D906="",NOT(G906="SUV")),"",1+SUMPRODUCT(($G$2:$G$1001="SUV")*($D$2:$D$1001&gt;D906))+COUNTIFS($G$2:G906,"SUV",$D$2:D906,D906)-1)</f>
        <v/>
      </c>
      <c r="O906" s="62" t="str">
        <f>IF(OR(D906="",NOT(AND(F906=1,G906="轿车"))),"",1+SUMPRODUCT(($F$2:$F$1001=1)*($G$2:$G$1001="轿车")*($D$2:$D$1001&gt;D906))+COUNTIFS($F$2:F906,1,$G$2:G906,"轿车",$D$2:D906,D906)-1)</f>
        <v/>
      </c>
      <c r="P906" s="62" t="str">
        <f>IF(OR(D906="",NOT(AND(F906=1,G906="MPV"))),"",1+SUMPRODUCT(($F$2:$F$1001=1)*($G$2:$G$1001="MPV")*($D$2:$D$1001&gt;D906))+COUNTIFS($F$2:F906,1,$G$2:G906,"MPV",$D$2:D906,D906)-1)</f>
        <v/>
      </c>
      <c r="Q906" s="62" t="str">
        <f>IF(OR(D906="",NOT(AND(F906=1,G906="SUV"))),"",1+SUMPRODUCT(($F$2:$F$1001=1)*($G$2:$G$1001="SUV")*($D$2:$D$1001&gt;D906))+COUNTIFS($F$2:F906,1,$G$2:G906,"SUV",$D$2:D906,D906)-1)</f>
        <v/>
      </c>
    </row>
    <row r="907" spans="1:17">
      <c r="A907" s="62" t="str">
        <f>IFERROR(INDEX($H$2:$H$3000,MATCH(0,INDEX(COUNTIF($A$1:A906,$H$2:$H$3000)+($H$2:$H$3000=""),0,0),0)),"")</f>
        <v/>
      </c>
      <c r="B907" s="62" t="str">
        <f t="shared" si="56"/>
        <v/>
      </c>
      <c r="C907" s="62" t="str">
        <f t="shared" si="57"/>
        <v/>
      </c>
      <c r="D907" s="63" t="str">
        <f t="shared" si="58"/>
        <v/>
      </c>
      <c r="E907" s="62" t="str">
        <f>IF(D907="","",_xlfn.RANK.EQ(D907,$D$2:$D$1001,0)+COUNTIF($D$2:D907,D907)-1)</f>
        <v/>
      </c>
      <c r="F907" s="62" t="str">
        <f>IF(B907="","",--(COUNTIF(CN_Brands!$A$2:$A$300,UPPER(B907))&gt;0))</f>
        <v/>
      </c>
      <c r="G907" s="62" t="str">
        <f t="shared" si="59"/>
        <v/>
      </c>
      <c r="H907" s="62" t="str">
        <f>IF(AND('Data Export'!A907=前十整体车型排名!$B$2,'Data Export'!B907=前十整体车型排名!$B$3,'Data Export'!D907&lt;&gt;""),UPPER('Data Export'!C907)&amp;"♦"&amp;'Data Export'!D907,"")</f>
        <v>TOYOTA♦VELLFIRE</v>
      </c>
      <c r="I907" s="63">
        <f>IF(H907="","",IFERROR(INDEX('Data Export'!G907:CZ907,1,MATCH(前十整体车型排名!$B$4,'Data Export'!$G$1:$CZ$1,0)),0))</f>
        <v>0</v>
      </c>
      <c r="J907" s="62" t="str">
        <f>IF(H907="","",IF(OR('Data Export'!F907="三厢轿车",'Data Export'!F907="掀背轿车",'Data Export'!F907="旅行车",'Data Export'!F907="微型车",'Data Export'!F907="硬顶跑车",'Data Export'!F907="敞蓬车",'Data Export'!F907="Targa"),"轿车",IF(OR('Data Export'!F907="小型MPV",'Data Export'!F907="客车"),"MPV",IF('Data Export'!F907="运动型多功能车","SUV","其他"))))</f>
        <v>其他</v>
      </c>
      <c r="K907" s="62" t="str">
        <f>IF(OR(D907="",NOT(F907=1)),"",1+SUMPRODUCT(($F$2:$F$1001=1)*($D$2:$D$1001&gt;D907))+COUNTIFS($F$2:F907,1,$D$2:D907,D907)-1)</f>
        <v/>
      </c>
      <c r="L907" s="62" t="str">
        <f>IF(OR(D907="",NOT(G907="轿车")),"",1+SUMPRODUCT(($G$2:$G$1001="轿车")*($D$2:$D$1001&gt;D907))+COUNTIFS($G$2:G907,"轿车",$D$2:D907,D907)-1)</f>
        <v/>
      </c>
      <c r="M907" s="62" t="str">
        <f>IF(OR(D907="",NOT(G907="MPV")),"",1+SUMPRODUCT(($G$2:$G$1001="MPV")*($D$2:$D$1001&gt;D907))+COUNTIFS($G$2:G907,"MPV",$D$2:D907,D907)-1)</f>
        <v/>
      </c>
      <c r="N907" s="62" t="str">
        <f>IF(OR(D907="",NOT(G907="SUV")),"",1+SUMPRODUCT(($G$2:$G$1001="SUV")*($D$2:$D$1001&gt;D907))+COUNTIFS($G$2:G907,"SUV",$D$2:D907,D907)-1)</f>
        <v/>
      </c>
      <c r="O907" s="62" t="str">
        <f>IF(OR(D907="",NOT(AND(F907=1,G907="轿车"))),"",1+SUMPRODUCT(($F$2:$F$1001=1)*($G$2:$G$1001="轿车")*($D$2:$D$1001&gt;D907))+COUNTIFS($F$2:F907,1,$G$2:G907,"轿车",$D$2:D907,D907)-1)</f>
        <v/>
      </c>
      <c r="P907" s="62" t="str">
        <f>IF(OR(D907="",NOT(AND(F907=1,G907="MPV"))),"",1+SUMPRODUCT(($F$2:$F$1001=1)*($G$2:$G$1001="MPV")*($D$2:$D$1001&gt;D907))+COUNTIFS($F$2:F907,1,$G$2:G907,"MPV",$D$2:D907,D907)-1)</f>
        <v/>
      </c>
      <c r="Q907" s="62" t="str">
        <f>IF(OR(D907="",NOT(AND(F907=1,G907="SUV"))),"",1+SUMPRODUCT(($F$2:$F$1001=1)*($G$2:$G$1001="SUV")*($D$2:$D$1001&gt;D907))+COUNTIFS($F$2:F907,1,$G$2:G907,"SUV",$D$2:D907,D907)-1)</f>
        <v/>
      </c>
    </row>
    <row r="908" spans="1:17">
      <c r="A908" s="62" t="str">
        <f>IFERROR(INDEX($H$2:$H$3000,MATCH(0,INDEX(COUNTIF($A$1:A907,$H$2:$H$3000)+($H$2:$H$3000=""),0,0),0)),"")</f>
        <v/>
      </c>
      <c r="B908" s="62" t="str">
        <f t="shared" si="56"/>
        <v/>
      </c>
      <c r="C908" s="62" t="str">
        <f t="shared" si="57"/>
        <v/>
      </c>
      <c r="D908" s="63" t="str">
        <f t="shared" si="58"/>
        <v/>
      </c>
      <c r="E908" s="62" t="str">
        <f>IF(D908="","",_xlfn.RANK.EQ(D908,$D$2:$D$1001,0)+COUNTIF($D$2:D908,D908)-1)</f>
        <v/>
      </c>
      <c r="F908" s="62" t="str">
        <f>IF(B908="","",--(COUNTIF(CN_Brands!$A$2:$A$300,UPPER(B908))&gt;0))</f>
        <v/>
      </c>
      <c r="G908" s="62" t="str">
        <f t="shared" si="59"/>
        <v/>
      </c>
      <c r="H908" s="62" t="str">
        <f>IF(AND('Data Export'!A908=前十整体车型排名!$B$2,'Data Export'!B908=前十整体车型排名!$B$3,'Data Export'!D908&lt;&gt;""),UPPER('Data Export'!C908)&amp;"♦"&amp;'Data Export'!D908,"")</f>
        <v>TOYOTA♦VELLFIRE</v>
      </c>
      <c r="I908" s="63">
        <f>IF(H908="","",IFERROR(INDEX('Data Export'!G908:CZ908,1,MATCH(前十整体车型排名!$B$4,'Data Export'!$G$1:$CZ$1,0)),0))</f>
        <v>0</v>
      </c>
      <c r="J908" s="62" t="str">
        <f>IF(H908="","",IF(OR('Data Export'!F908="三厢轿车",'Data Export'!F908="掀背轿车",'Data Export'!F908="旅行车",'Data Export'!F908="微型车",'Data Export'!F908="硬顶跑车",'Data Export'!F908="敞蓬车",'Data Export'!F908="Targa"),"轿车",IF(OR('Data Export'!F908="小型MPV",'Data Export'!F908="客车"),"MPV",IF('Data Export'!F908="运动型多功能车","SUV","其他"))))</f>
        <v>其他</v>
      </c>
      <c r="K908" s="62" t="str">
        <f>IF(OR(D908="",NOT(F908=1)),"",1+SUMPRODUCT(($F$2:$F$1001=1)*($D$2:$D$1001&gt;D908))+COUNTIFS($F$2:F908,1,$D$2:D908,D908)-1)</f>
        <v/>
      </c>
      <c r="L908" s="62" t="str">
        <f>IF(OR(D908="",NOT(G908="轿车")),"",1+SUMPRODUCT(($G$2:$G$1001="轿车")*($D$2:$D$1001&gt;D908))+COUNTIFS($G$2:G908,"轿车",$D$2:D908,D908)-1)</f>
        <v/>
      </c>
      <c r="M908" s="62" t="str">
        <f>IF(OR(D908="",NOT(G908="MPV")),"",1+SUMPRODUCT(($G$2:$G$1001="MPV")*($D$2:$D$1001&gt;D908))+COUNTIFS($G$2:G908,"MPV",$D$2:D908,D908)-1)</f>
        <v/>
      </c>
      <c r="N908" s="62" t="str">
        <f>IF(OR(D908="",NOT(G908="SUV")),"",1+SUMPRODUCT(($G$2:$G$1001="SUV")*($D$2:$D$1001&gt;D908))+COUNTIFS($G$2:G908,"SUV",$D$2:D908,D908)-1)</f>
        <v/>
      </c>
      <c r="O908" s="62" t="str">
        <f>IF(OR(D908="",NOT(AND(F908=1,G908="轿车"))),"",1+SUMPRODUCT(($F$2:$F$1001=1)*($G$2:$G$1001="轿车")*($D$2:$D$1001&gt;D908))+COUNTIFS($F$2:F908,1,$G$2:G908,"轿车",$D$2:D908,D908)-1)</f>
        <v/>
      </c>
      <c r="P908" s="62" t="str">
        <f>IF(OR(D908="",NOT(AND(F908=1,G908="MPV"))),"",1+SUMPRODUCT(($F$2:$F$1001=1)*($G$2:$G$1001="MPV")*($D$2:$D$1001&gt;D908))+COUNTIFS($F$2:F908,1,$G$2:G908,"MPV",$D$2:D908,D908)-1)</f>
        <v/>
      </c>
      <c r="Q908" s="62" t="str">
        <f>IF(OR(D908="",NOT(AND(F908=1,G908="SUV"))),"",1+SUMPRODUCT(($F$2:$F$1001=1)*($G$2:$G$1001="SUV")*($D$2:$D$1001&gt;D908))+COUNTIFS($F$2:F908,1,$G$2:G908,"SUV",$D$2:D908,D908)-1)</f>
        <v/>
      </c>
    </row>
    <row r="909" spans="1:17">
      <c r="A909" s="62" t="str">
        <f>IFERROR(INDEX($H$2:$H$3000,MATCH(0,INDEX(COUNTIF($A$1:A908,$H$2:$H$3000)+($H$2:$H$3000=""),0,0),0)),"")</f>
        <v/>
      </c>
      <c r="B909" s="62" t="str">
        <f t="shared" si="56"/>
        <v/>
      </c>
      <c r="C909" s="62" t="str">
        <f t="shared" si="57"/>
        <v/>
      </c>
      <c r="D909" s="63" t="str">
        <f t="shared" si="58"/>
        <v/>
      </c>
      <c r="E909" s="62" t="str">
        <f>IF(D909="","",_xlfn.RANK.EQ(D909,$D$2:$D$1001,0)+COUNTIF($D$2:D909,D909)-1)</f>
        <v/>
      </c>
      <c r="F909" s="62" t="str">
        <f>IF(B909="","",--(COUNTIF(CN_Brands!$A$2:$A$300,UPPER(B909))&gt;0))</f>
        <v/>
      </c>
      <c r="G909" s="62" t="str">
        <f t="shared" si="59"/>
        <v/>
      </c>
      <c r="H909" s="62" t="str">
        <f>IF(AND('Data Export'!A909=前十整体车型排名!$B$2,'Data Export'!B909=前十整体车型排名!$B$3,'Data Export'!D909&lt;&gt;""),UPPER('Data Export'!C909)&amp;"♦"&amp;'Data Export'!D909,"")</f>
        <v>TOYOTA♦VELLFIRE</v>
      </c>
      <c r="I909" s="63">
        <f>IF(H909="","",IFERROR(INDEX('Data Export'!G909:CZ909,1,MATCH(前十整体车型排名!$B$4,'Data Export'!$G$1:$CZ$1,0)),0))</f>
        <v>2</v>
      </c>
      <c r="J909" s="62" t="str">
        <f>IF(H909="","",IF(OR('Data Export'!F909="三厢轿车",'Data Export'!F909="掀背轿车",'Data Export'!F909="旅行车",'Data Export'!F909="微型车",'Data Export'!F909="硬顶跑车",'Data Export'!F909="敞蓬车",'Data Export'!F909="Targa"),"轿车",IF(OR('Data Export'!F909="小型MPV",'Data Export'!F909="客车"),"MPV",IF('Data Export'!F909="运动型多功能车","SUV","其他"))))</f>
        <v>其他</v>
      </c>
      <c r="K909" s="62" t="str">
        <f>IF(OR(D909="",NOT(F909=1)),"",1+SUMPRODUCT(($F$2:$F$1001=1)*($D$2:$D$1001&gt;D909))+COUNTIFS($F$2:F909,1,$D$2:D909,D909)-1)</f>
        <v/>
      </c>
      <c r="L909" s="62" t="str">
        <f>IF(OR(D909="",NOT(G909="轿车")),"",1+SUMPRODUCT(($G$2:$G$1001="轿车")*($D$2:$D$1001&gt;D909))+COUNTIFS($G$2:G909,"轿车",$D$2:D909,D909)-1)</f>
        <v/>
      </c>
      <c r="M909" s="62" t="str">
        <f>IF(OR(D909="",NOT(G909="MPV")),"",1+SUMPRODUCT(($G$2:$G$1001="MPV")*($D$2:$D$1001&gt;D909))+COUNTIFS($G$2:G909,"MPV",$D$2:D909,D909)-1)</f>
        <v/>
      </c>
      <c r="N909" s="62" t="str">
        <f>IF(OR(D909="",NOT(G909="SUV")),"",1+SUMPRODUCT(($G$2:$G$1001="SUV")*($D$2:$D$1001&gt;D909))+COUNTIFS($G$2:G909,"SUV",$D$2:D909,D909)-1)</f>
        <v/>
      </c>
      <c r="O909" s="62" t="str">
        <f>IF(OR(D909="",NOT(AND(F909=1,G909="轿车"))),"",1+SUMPRODUCT(($F$2:$F$1001=1)*($G$2:$G$1001="轿车")*($D$2:$D$1001&gt;D909))+COUNTIFS($F$2:F909,1,$G$2:G909,"轿车",$D$2:D909,D909)-1)</f>
        <v/>
      </c>
      <c r="P909" s="62" t="str">
        <f>IF(OR(D909="",NOT(AND(F909=1,G909="MPV"))),"",1+SUMPRODUCT(($F$2:$F$1001=1)*($G$2:$G$1001="MPV")*($D$2:$D$1001&gt;D909))+COUNTIFS($F$2:F909,1,$G$2:G909,"MPV",$D$2:D909,D909)-1)</f>
        <v/>
      </c>
      <c r="Q909" s="62" t="str">
        <f>IF(OR(D909="",NOT(AND(F909=1,G909="SUV"))),"",1+SUMPRODUCT(($F$2:$F$1001=1)*($G$2:$G$1001="SUV")*($D$2:$D$1001&gt;D909))+COUNTIFS($F$2:F909,1,$G$2:G909,"SUV",$D$2:D909,D909)-1)</f>
        <v/>
      </c>
    </row>
    <row r="910" spans="1:17">
      <c r="A910" s="62" t="str">
        <f>IFERROR(INDEX($H$2:$H$3000,MATCH(0,INDEX(COUNTIF($A$1:A909,$H$2:$H$3000)+($H$2:$H$3000=""),0,0),0)),"")</f>
        <v/>
      </c>
      <c r="B910" s="62" t="str">
        <f t="shared" si="56"/>
        <v/>
      </c>
      <c r="C910" s="62" t="str">
        <f t="shared" si="57"/>
        <v/>
      </c>
      <c r="D910" s="63" t="str">
        <f t="shared" si="58"/>
        <v/>
      </c>
      <c r="E910" s="62" t="str">
        <f>IF(D910="","",_xlfn.RANK.EQ(D910,$D$2:$D$1001,0)+COUNTIF($D$2:D910,D910)-1)</f>
        <v/>
      </c>
      <c r="F910" s="62" t="str">
        <f>IF(B910="","",--(COUNTIF(CN_Brands!$A$2:$A$300,UPPER(B910))&gt;0))</f>
        <v/>
      </c>
      <c r="G910" s="62" t="str">
        <f t="shared" si="59"/>
        <v/>
      </c>
      <c r="H910" s="62" t="str">
        <f>IF(AND('Data Export'!A910=前十整体车型排名!$B$2,'Data Export'!B910=前十整体车型排名!$B$3,'Data Export'!D910&lt;&gt;""),UPPER('Data Export'!C910)&amp;"♦"&amp;'Data Export'!D910,"")</f>
        <v>TOYOTA♦VELLFIRE</v>
      </c>
      <c r="I910" s="63">
        <f>IF(H910="","",IFERROR(INDEX('Data Export'!G910:CZ910,1,MATCH(前十整体车型排名!$B$4,'Data Export'!$G$1:$CZ$1,0)),0))</f>
        <v>135</v>
      </c>
      <c r="J910" s="62" t="str">
        <f>IF(H910="","",IF(OR('Data Export'!F910="三厢轿车",'Data Export'!F910="掀背轿车",'Data Export'!F910="旅行车",'Data Export'!F910="微型车",'Data Export'!F910="硬顶跑车",'Data Export'!F910="敞蓬车",'Data Export'!F910="Targa"),"轿车",IF(OR('Data Export'!F910="小型MPV",'Data Export'!F910="客车"),"MPV",IF('Data Export'!F910="运动型多功能车","SUV","其他"))))</f>
        <v>其他</v>
      </c>
      <c r="K910" s="62" t="str">
        <f>IF(OR(D910="",NOT(F910=1)),"",1+SUMPRODUCT(($F$2:$F$1001=1)*($D$2:$D$1001&gt;D910))+COUNTIFS($F$2:F910,1,$D$2:D910,D910)-1)</f>
        <v/>
      </c>
      <c r="L910" s="62" t="str">
        <f>IF(OR(D910="",NOT(G910="轿车")),"",1+SUMPRODUCT(($G$2:$G$1001="轿车")*($D$2:$D$1001&gt;D910))+COUNTIFS($G$2:G910,"轿车",$D$2:D910,D910)-1)</f>
        <v/>
      </c>
      <c r="M910" s="62" t="str">
        <f>IF(OR(D910="",NOT(G910="MPV")),"",1+SUMPRODUCT(($G$2:$G$1001="MPV")*($D$2:$D$1001&gt;D910))+COUNTIFS($G$2:G910,"MPV",$D$2:D910,D910)-1)</f>
        <v/>
      </c>
      <c r="N910" s="62" t="str">
        <f>IF(OR(D910="",NOT(G910="SUV")),"",1+SUMPRODUCT(($G$2:$G$1001="SUV")*($D$2:$D$1001&gt;D910))+COUNTIFS($G$2:G910,"SUV",$D$2:D910,D910)-1)</f>
        <v/>
      </c>
      <c r="O910" s="62" t="str">
        <f>IF(OR(D910="",NOT(AND(F910=1,G910="轿车"))),"",1+SUMPRODUCT(($F$2:$F$1001=1)*($G$2:$G$1001="轿车")*($D$2:$D$1001&gt;D910))+COUNTIFS($F$2:F910,1,$G$2:G910,"轿车",$D$2:D910,D910)-1)</f>
        <v/>
      </c>
      <c r="P910" s="62" t="str">
        <f>IF(OR(D910="",NOT(AND(F910=1,G910="MPV"))),"",1+SUMPRODUCT(($F$2:$F$1001=1)*($G$2:$G$1001="MPV")*($D$2:$D$1001&gt;D910))+COUNTIFS($F$2:F910,1,$G$2:G910,"MPV",$D$2:D910,D910)-1)</f>
        <v/>
      </c>
      <c r="Q910" s="62" t="str">
        <f>IF(OR(D910="",NOT(AND(F910=1,G910="SUV"))),"",1+SUMPRODUCT(($F$2:$F$1001=1)*($G$2:$G$1001="SUV")*($D$2:$D$1001&gt;D910))+COUNTIFS($F$2:F910,1,$G$2:G910,"SUV",$D$2:D910,D910)-1)</f>
        <v/>
      </c>
    </row>
    <row r="911" spans="1:17">
      <c r="A911" s="62" t="str">
        <f>IFERROR(INDEX($H$2:$H$3000,MATCH(0,INDEX(COUNTIF($A$1:A910,$H$2:$H$3000)+($H$2:$H$3000=""),0,0),0)),"")</f>
        <v/>
      </c>
      <c r="B911" s="62" t="str">
        <f t="shared" si="56"/>
        <v/>
      </c>
      <c r="C911" s="62" t="str">
        <f t="shared" si="57"/>
        <v/>
      </c>
      <c r="D911" s="63" t="str">
        <f t="shared" si="58"/>
        <v/>
      </c>
      <c r="E911" s="62" t="str">
        <f>IF(D911="","",_xlfn.RANK.EQ(D911,$D$2:$D$1001,0)+COUNTIF($D$2:D911,D911)-1)</f>
        <v/>
      </c>
      <c r="F911" s="62" t="str">
        <f>IF(B911="","",--(COUNTIF(CN_Brands!$A$2:$A$300,UPPER(B911))&gt;0))</f>
        <v/>
      </c>
      <c r="G911" s="62" t="str">
        <f t="shared" si="59"/>
        <v/>
      </c>
      <c r="H911" s="62" t="str">
        <f>IF(AND('Data Export'!A911=前十整体车型排名!$B$2,'Data Export'!B911=前十整体车型排名!$B$3,'Data Export'!D911&lt;&gt;""),UPPER('Data Export'!C911)&amp;"♦"&amp;'Data Export'!D911,"")</f>
        <v>TOYOTA♦VELLFIRE</v>
      </c>
      <c r="I911" s="63">
        <f>IF(H911="","",IFERROR(INDEX('Data Export'!G911:CZ911,1,MATCH(前十整体车型排名!$B$4,'Data Export'!$G$1:$CZ$1,0)),0))</f>
        <v>0</v>
      </c>
      <c r="J911" s="62" t="str">
        <f>IF(H911="","",IF(OR('Data Export'!F911="三厢轿车",'Data Export'!F911="掀背轿车",'Data Export'!F911="旅行车",'Data Export'!F911="微型车",'Data Export'!F911="硬顶跑车",'Data Export'!F911="敞蓬车",'Data Export'!F911="Targa"),"轿车",IF(OR('Data Export'!F911="小型MPV",'Data Export'!F911="客车"),"MPV",IF('Data Export'!F911="运动型多功能车","SUV","其他"))))</f>
        <v>其他</v>
      </c>
      <c r="K911" s="62" t="str">
        <f>IF(OR(D911="",NOT(F911=1)),"",1+SUMPRODUCT(($F$2:$F$1001=1)*($D$2:$D$1001&gt;D911))+COUNTIFS($F$2:F911,1,$D$2:D911,D911)-1)</f>
        <v/>
      </c>
      <c r="L911" s="62" t="str">
        <f>IF(OR(D911="",NOT(G911="轿车")),"",1+SUMPRODUCT(($G$2:$G$1001="轿车")*($D$2:$D$1001&gt;D911))+COUNTIFS($G$2:G911,"轿车",$D$2:D911,D911)-1)</f>
        <v/>
      </c>
      <c r="M911" s="62" t="str">
        <f>IF(OR(D911="",NOT(G911="MPV")),"",1+SUMPRODUCT(($G$2:$G$1001="MPV")*($D$2:$D$1001&gt;D911))+COUNTIFS($G$2:G911,"MPV",$D$2:D911,D911)-1)</f>
        <v/>
      </c>
      <c r="N911" s="62" t="str">
        <f>IF(OR(D911="",NOT(G911="SUV")),"",1+SUMPRODUCT(($G$2:$G$1001="SUV")*($D$2:$D$1001&gt;D911))+COUNTIFS($G$2:G911,"SUV",$D$2:D911,D911)-1)</f>
        <v/>
      </c>
      <c r="O911" s="62" t="str">
        <f>IF(OR(D911="",NOT(AND(F911=1,G911="轿车"))),"",1+SUMPRODUCT(($F$2:$F$1001=1)*($G$2:$G$1001="轿车")*($D$2:$D$1001&gt;D911))+COUNTIFS($F$2:F911,1,$G$2:G911,"轿车",$D$2:D911,D911)-1)</f>
        <v/>
      </c>
      <c r="P911" s="62" t="str">
        <f>IF(OR(D911="",NOT(AND(F911=1,G911="MPV"))),"",1+SUMPRODUCT(($F$2:$F$1001=1)*($G$2:$G$1001="MPV")*($D$2:$D$1001&gt;D911))+COUNTIFS($F$2:F911,1,$G$2:G911,"MPV",$D$2:D911,D911)-1)</f>
        <v/>
      </c>
      <c r="Q911" s="62" t="str">
        <f>IF(OR(D911="",NOT(AND(F911=1,G911="SUV"))),"",1+SUMPRODUCT(($F$2:$F$1001=1)*($G$2:$G$1001="SUV")*($D$2:$D$1001&gt;D911))+COUNTIFS($F$2:F911,1,$G$2:G911,"SUV",$D$2:D911,D911)-1)</f>
        <v/>
      </c>
    </row>
    <row r="912" spans="1:17">
      <c r="A912" s="62" t="str">
        <f>IFERROR(INDEX($H$2:$H$3000,MATCH(0,INDEX(COUNTIF($A$1:A911,$H$2:$H$3000)+($H$2:$H$3000=""),0,0),0)),"")</f>
        <v/>
      </c>
      <c r="B912" s="62" t="str">
        <f t="shared" si="56"/>
        <v/>
      </c>
      <c r="C912" s="62" t="str">
        <f t="shared" si="57"/>
        <v/>
      </c>
      <c r="D912" s="63" t="str">
        <f t="shared" si="58"/>
        <v/>
      </c>
      <c r="E912" s="62" t="str">
        <f>IF(D912="","",_xlfn.RANK.EQ(D912,$D$2:$D$1001,0)+COUNTIF($D$2:D912,D912)-1)</f>
        <v/>
      </c>
      <c r="F912" s="62" t="str">
        <f>IF(B912="","",--(COUNTIF(CN_Brands!$A$2:$A$300,UPPER(B912))&gt;0))</f>
        <v/>
      </c>
      <c r="G912" s="62" t="str">
        <f t="shared" si="59"/>
        <v/>
      </c>
      <c r="H912" s="62" t="str">
        <f>IF(AND('Data Export'!A912=前十整体车型排名!$B$2,'Data Export'!B912=前十整体车型排名!$B$3,'Data Export'!D912&lt;&gt;""),UPPER('Data Export'!C912)&amp;"♦"&amp;'Data Export'!D912,"")</f>
        <v>TOYOTA♦VELLFIRE</v>
      </c>
      <c r="I912" s="63">
        <f>IF(H912="","",IFERROR(INDEX('Data Export'!G912:CZ912,1,MATCH(前十整体车型排名!$B$4,'Data Export'!$G$1:$CZ$1,0)),0))</f>
        <v>0</v>
      </c>
      <c r="J912" s="62" t="str">
        <f>IF(H912="","",IF(OR('Data Export'!F912="三厢轿车",'Data Export'!F912="掀背轿车",'Data Export'!F912="旅行车",'Data Export'!F912="微型车",'Data Export'!F912="硬顶跑车",'Data Export'!F912="敞蓬车",'Data Export'!F912="Targa"),"轿车",IF(OR('Data Export'!F912="小型MPV",'Data Export'!F912="客车"),"MPV",IF('Data Export'!F912="运动型多功能车","SUV","其他"))))</f>
        <v>其他</v>
      </c>
      <c r="K912" s="62" t="str">
        <f>IF(OR(D912="",NOT(F912=1)),"",1+SUMPRODUCT(($F$2:$F$1001=1)*($D$2:$D$1001&gt;D912))+COUNTIFS($F$2:F912,1,$D$2:D912,D912)-1)</f>
        <v/>
      </c>
      <c r="L912" s="62" t="str">
        <f>IF(OR(D912="",NOT(G912="轿车")),"",1+SUMPRODUCT(($G$2:$G$1001="轿车")*($D$2:$D$1001&gt;D912))+COUNTIFS($G$2:G912,"轿车",$D$2:D912,D912)-1)</f>
        <v/>
      </c>
      <c r="M912" s="62" t="str">
        <f>IF(OR(D912="",NOT(G912="MPV")),"",1+SUMPRODUCT(($G$2:$G$1001="MPV")*($D$2:$D$1001&gt;D912))+COUNTIFS($G$2:G912,"MPV",$D$2:D912,D912)-1)</f>
        <v/>
      </c>
      <c r="N912" s="62" t="str">
        <f>IF(OR(D912="",NOT(G912="SUV")),"",1+SUMPRODUCT(($G$2:$G$1001="SUV")*($D$2:$D$1001&gt;D912))+COUNTIFS($G$2:G912,"SUV",$D$2:D912,D912)-1)</f>
        <v/>
      </c>
      <c r="O912" s="62" t="str">
        <f>IF(OR(D912="",NOT(AND(F912=1,G912="轿车"))),"",1+SUMPRODUCT(($F$2:$F$1001=1)*($G$2:$G$1001="轿车")*($D$2:$D$1001&gt;D912))+COUNTIFS($F$2:F912,1,$G$2:G912,"轿车",$D$2:D912,D912)-1)</f>
        <v/>
      </c>
      <c r="P912" s="62" t="str">
        <f>IF(OR(D912="",NOT(AND(F912=1,G912="MPV"))),"",1+SUMPRODUCT(($F$2:$F$1001=1)*($G$2:$G$1001="MPV")*($D$2:$D$1001&gt;D912))+COUNTIFS($F$2:F912,1,$G$2:G912,"MPV",$D$2:D912,D912)-1)</f>
        <v/>
      </c>
      <c r="Q912" s="62" t="str">
        <f>IF(OR(D912="",NOT(AND(F912=1,G912="SUV"))),"",1+SUMPRODUCT(($F$2:$F$1001=1)*($G$2:$G$1001="SUV")*($D$2:$D$1001&gt;D912))+COUNTIFS($F$2:F912,1,$G$2:G912,"SUV",$D$2:D912,D912)-1)</f>
        <v/>
      </c>
    </row>
    <row r="913" spans="1:17">
      <c r="A913" s="62" t="str">
        <f>IFERROR(INDEX($H$2:$H$3000,MATCH(0,INDEX(COUNTIF($A$1:A912,$H$2:$H$3000)+($H$2:$H$3000=""),0,0),0)),"")</f>
        <v/>
      </c>
      <c r="B913" s="62" t="str">
        <f t="shared" si="56"/>
        <v/>
      </c>
      <c r="C913" s="62" t="str">
        <f t="shared" si="57"/>
        <v/>
      </c>
      <c r="D913" s="63" t="str">
        <f t="shared" si="58"/>
        <v/>
      </c>
      <c r="E913" s="62" t="str">
        <f>IF(D913="","",_xlfn.RANK.EQ(D913,$D$2:$D$1001,0)+COUNTIF($D$2:D913,D913)-1)</f>
        <v/>
      </c>
      <c r="F913" s="62" t="str">
        <f>IF(B913="","",--(COUNTIF(CN_Brands!$A$2:$A$300,UPPER(B913))&gt;0))</f>
        <v/>
      </c>
      <c r="G913" s="62" t="str">
        <f t="shared" si="59"/>
        <v/>
      </c>
      <c r="H913" s="62" t="str">
        <f>IF(AND('Data Export'!A913=前十整体车型排名!$B$2,'Data Export'!B913=前十整体车型排名!$B$3,'Data Export'!D913&lt;&gt;""),UPPER('Data Export'!C913)&amp;"♦"&amp;'Data Export'!D913,"")</f>
        <v>TOYOTA♦VELLFIRE</v>
      </c>
      <c r="I913" s="63">
        <f>IF(H913="","",IFERROR(INDEX('Data Export'!G913:CZ913,1,MATCH(前十整体车型排名!$B$4,'Data Export'!$G$1:$CZ$1,0)),0))</f>
        <v>1</v>
      </c>
      <c r="J913" s="62" t="str">
        <f>IF(H913="","",IF(OR('Data Export'!F913="三厢轿车",'Data Export'!F913="掀背轿车",'Data Export'!F913="旅行车",'Data Export'!F913="微型车",'Data Export'!F913="硬顶跑车",'Data Export'!F913="敞蓬车",'Data Export'!F913="Targa"),"轿车",IF(OR('Data Export'!F913="小型MPV",'Data Export'!F913="客车"),"MPV",IF('Data Export'!F913="运动型多功能车","SUV","其他"))))</f>
        <v>其他</v>
      </c>
      <c r="K913" s="62" t="str">
        <f>IF(OR(D913="",NOT(F913=1)),"",1+SUMPRODUCT(($F$2:$F$1001=1)*($D$2:$D$1001&gt;D913))+COUNTIFS($F$2:F913,1,$D$2:D913,D913)-1)</f>
        <v/>
      </c>
      <c r="L913" s="62" t="str">
        <f>IF(OR(D913="",NOT(G913="轿车")),"",1+SUMPRODUCT(($G$2:$G$1001="轿车")*($D$2:$D$1001&gt;D913))+COUNTIFS($G$2:G913,"轿车",$D$2:D913,D913)-1)</f>
        <v/>
      </c>
      <c r="M913" s="62" t="str">
        <f>IF(OR(D913="",NOT(G913="MPV")),"",1+SUMPRODUCT(($G$2:$G$1001="MPV")*($D$2:$D$1001&gt;D913))+COUNTIFS($G$2:G913,"MPV",$D$2:D913,D913)-1)</f>
        <v/>
      </c>
      <c r="N913" s="62" t="str">
        <f>IF(OR(D913="",NOT(G913="SUV")),"",1+SUMPRODUCT(($G$2:$G$1001="SUV")*($D$2:$D$1001&gt;D913))+COUNTIFS($G$2:G913,"SUV",$D$2:D913,D913)-1)</f>
        <v/>
      </c>
      <c r="O913" s="62" t="str">
        <f>IF(OR(D913="",NOT(AND(F913=1,G913="轿车"))),"",1+SUMPRODUCT(($F$2:$F$1001=1)*($G$2:$G$1001="轿车")*($D$2:$D$1001&gt;D913))+COUNTIFS($F$2:F913,1,$G$2:G913,"轿车",$D$2:D913,D913)-1)</f>
        <v/>
      </c>
      <c r="P913" s="62" t="str">
        <f>IF(OR(D913="",NOT(AND(F913=1,G913="MPV"))),"",1+SUMPRODUCT(($F$2:$F$1001=1)*($G$2:$G$1001="MPV")*($D$2:$D$1001&gt;D913))+COUNTIFS($F$2:F913,1,$G$2:G913,"MPV",$D$2:D913,D913)-1)</f>
        <v/>
      </c>
      <c r="Q913" s="62" t="str">
        <f>IF(OR(D913="",NOT(AND(F913=1,G913="SUV"))),"",1+SUMPRODUCT(($F$2:$F$1001=1)*($G$2:$G$1001="SUV")*($D$2:$D$1001&gt;D913))+COUNTIFS($F$2:F913,1,$G$2:G913,"SUV",$D$2:D913,D913)-1)</f>
        <v/>
      </c>
    </row>
    <row r="914" spans="1:17">
      <c r="A914" s="62" t="str">
        <f>IFERROR(INDEX($H$2:$H$3000,MATCH(0,INDEX(COUNTIF($A$1:A913,$H$2:$H$3000)+($H$2:$H$3000=""),0,0),0)),"")</f>
        <v/>
      </c>
      <c r="B914" s="62" t="str">
        <f t="shared" si="56"/>
        <v/>
      </c>
      <c r="C914" s="62" t="str">
        <f t="shared" si="57"/>
        <v/>
      </c>
      <c r="D914" s="63" t="str">
        <f t="shared" si="58"/>
        <v/>
      </c>
      <c r="E914" s="62" t="str">
        <f>IF(D914="","",_xlfn.RANK.EQ(D914,$D$2:$D$1001,0)+COUNTIF($D$2:D914,D914)-1)</f>
        <v/>
      </c>
      <c r="F914" s="62" t="str">
        <f>IF(B914="","",--(COUNTIF(CN_Brands!$A$2:$A$300,UPPER(B914))&gt;0))</f>
        <v/>
      </c>
      <c r="G914" s="62" t="str">
        <f t="shared" si="59"/>
        <v/>
      </c>
      <c r="H914" s="62" t="str">
        <f>IF(AND('Data Export'!A914=前十整体车型排名!$B$2,'Data Export'!B914=前十整体车型排名!$B$3,'Data Export'!D914&lt;&gt;""),UPPER('Data Export'!C914)&amp;"♦"&amp;'Data Export'!D914,"")</f>
        <v>TOYOTA♦VELLFIRE</v>
      </c>
      <c r="I914" s="63">
        <f>IF(H914="","",IFERROR(INDEX('Data Export'!G914:CZ914,1,MATCH(前十整体车型排名!$B$4,'Data Export'!$G$1:$CZ$1,0)),0))</f>
        <v>1</v>
      </c>
      <c r="J914" s="62" t="str">
        <f>IF(H914="","",IF(OR('Data Export'!F914="三厢轿车",'Data Export'!F914="掀背轿车",'Data Export'!F914="旅行车",'Data Export'!F914="微型车",'Data Export'!F914="硬顶跑车",'Data Export'!F914="敞蓬车",'Data Export'!F914="Targa"),"轿车",IF(OR('Data Export'!F914="小型MPV",'Data Export'!F914="客车"),"MPV",IF('Data Export'!F914="运动型多功能车","SUV","其他"))))</f>
        <v>其他</v>
      </c>
      <c r="K914" s="62" t="str">
        <f>IF(OR(D914="",NOT(F914=1)),"",1+SUMPRODUCT(($F$2:$F$1001=1)*($D$2:$D$1001&gt;D914))+COUNTIFS($F$2:F914,1,$D$2:D914,D914)-1)</f>
        <v/>
      </c>
      <c r="L914" s="62" t="str">
        <f>IF(OR(D914="",NOT(G914="轿车")),"",1+SUMPRODUCT(($G$2:$G$1001="轿车")*($D$2:$D$1001&gt;D914))+COUNTIFS($G$2:G914,"轿车",$D$2:D914,D914)-1)</f>
        <v/>
      </c>
      <c r="M914" s="62" t="str">
        <f>IF(OR(D914="",NOT(G914="MPV")),"",1+SUMPRODUCT(($G$2:$G$1001="MPV")*($D$2:$D$1001&gt;D914))+COUNTIFS($G$2:G914,"MPV",$D$2:D914,D914)-1)</f>
        <v/>
      </c>
      <c r="N914" s="62" t="str">
        <f>IF(OR(D914="",NOT(G914="SUV")),"",1+SUMPRODUCT(($G$2:$G$1001="SUV")*($D$2:$D$1001&gt;D914))+COUNTIFS($G$2:G914,"SUV",$D$2:D914,D914)-1)</f>
        <v/>
      </c>
      <c r="O914" s="62" t="str">
        <f>IF(OR(D914="",NOT(AND(F914=1,G914="轿车"))),"",1+SUMPRODUCT(($F$2:$F$1001=1)*($G$2:$G$1001="轿车")*($D$2:$D$1001&gt;D914))+COUNTIFS($F$2:F914,1,$G$2:G914,"轿车",$D$2:D914,D914)-1)</f>
        <v/>
      </c>
      <c r="P914" s="62" t="str">
        <f>IF(OR(D914="",NOT(AND(F914=1,G914="MPV"))),"",1+SUMPRODUCT(($F$2:$F$1001=1)*($G$2:$G$1001="MPV")*($D$2:$D$1001&gt;D914))+COUNTIFS($F$2:F914,1,$G$2:G914,"MPV",$D$2:D914,D914)-1)</f>
        <v/>
      </c>
      <c r="Q914" s="62" t="str">
        <f>IF(OR(D914="",NOT(AND(F914=1,G914="SUV"))),"",1+SUMPRODUCT(($F$2:$F$1001=1)*($G$2:$G$1001="SUV")*($D$2:$D$1001&gt;D914))+COUNTIFS($F$2:F914,1,$G$2:G914,"SUV",$D$2:D914,D914)-1)</f>
        <v/>
      </c>
    </row>
    <row r="915" spans="1:17">
      <c r="A915" s="62" t="str">
        <f>IFERROR(INDEX($H$2:$H$3000,MATCH(0,INDEX(COUNTIF($A$1:A914,$H$2:$H$3000)+($H$2:$H$3000=""),0,0),0)),"")</f>
        <v/>
      </c>
      <c r="B915" s="62" t="str">
        <f t="shared" si="56"/>
        <v/>
      </c>
      <c r="C915" s="62" t="str">
        <f t="shared" si="57"/>
        <v/>
      </c>
      <c r="D915" s="63" t="str">
        <f t="shared" si="58"/>
        <v/>
      </c>
      <c r="E915" s="62" t="str">
        <f>IF(D915="","",_xlfn.RANK.EQ(D915,$D$2:$D$1001,0)+COUNTIF($D$2:D915,D915)-1)</f>
        <v/>
      </c>
      <c r="F915" s="62" t="str">
        <f>IF(B915="","",--(COUNTIF(CN_Brands!$A$2:$A$300,UPPER(B915))&gt;0))</f>
        <v/>
      </c>
      <c r="G915" s="62" t="str">
        <f t="shared" si="59"/>
        <v/>
      </c>
      <c r="H915" s="62" t="str">
        <f>IF(AND('Data Export'!A915=前十整体车型排名!$B$2,'Data Export'!B915=前十整体车型排名!$B$3,'Data Export'!D915&lt;&gt;""),UPPER('Data Export'!C915)&amp;"♦"&amp;'Data Export'!D915,"")</f>
        <v>TOYOTA♦VELLFIRE</v>
      </c>
      <c r="I915" s="63">
        <f>IF(H915="","",IFERROR(INDEX('Data Export'!G915:CZ915,1,MATCH(前十整体车型排名!$B$4,'Data Export'!$G$1:$CZ$1,0)),0))</f>
        <v>3</v>
      </c>
      <c r="J915" s="62" t="str">
        <f>IF(H915="","",IF(OR('Data Export'!F915="三厢轿车",'Data Export'!F915="掀背轿车",'Data Export'!F915="旅行车",'Data Export'!F915="微型车",'Data Export'!F915="硬顶跑车",'Data Export'!F915="敞蓬车",'Data Export'!F915="Targa"),"轿车",IF(OR('Data Export'!F915="小型MPV",'Data Export'!F915="客车"),"MPV",IF('Data Export'!F915="运动型多功能车","SUV","其他"))))</f>
        <v>其他</v>
      </c>
      <c r="K915" s="62" t="str">
        <f>IF(OR(D915="",NOT(F915=1)),"",1+SUMPRODUCT(($F$2:$F$1001=1)*($D$2:$D$1001&gt;D915))+COUNTIFS($F$2:F915,1,$D$2:D915,D915)-1)</f>
        <v/>
      </c>
      <c r="L915" s="62" t="str">
        <f>IF(OR(D915="",NOT(G915="轿车")),"",1+SUMPRODUCT(($G$2:$G$1001="轿车")*($D$2:$D$1001&gt;D915))+COUNTIFS($G$2:G915,"轿车",$D$2:D915,D915)-1)</f>
        <v/>
      </c>
      <c r="M915" s="62" t="str">
        <f>IF(OR(D915="",NOT(G915="MPV")),"",1+SUMPRODUCT(($G$2:$G$1001="MPV")*($D$2:$D$1001&gt;D915))+COUNTIFS($G$2:G915,"MPV",$D$2:D915,D915)-1)</f>
        <v/>
      </c>
      <c r="N915" s="62" t="str">
        <f>IF(OR(D915="",NOT(G915="SUV")),"",1+SUMPRODUCT(($G$2:$G$1001="SUV")*($D$2:$D$1001&gt;D915))+COUNTIFS($G$2:G915,"SUV",$D$2:D915,D915)-1)</f>
        <v/>
      </c>
      <c r="O915" s="62" t="str">
        <f>IF(OR(D915="",NOT(AND(F915=1,G915="轿车"))),"",1+SUMPRODUCT(($F$2:$F$1001=1)*($G$2:$G$1001="轿车")*($D$2:$D$1001&gt;D915))+COUNTIFS($F$2:F915,1,$G$2:G915,"轿车",$D$2:D915,D915)-1)</f>
        <v/>
      </c>
      <c r="P915" s="62" t="str">
        <f>IF(OR(D915="",NOT(AND(F915=1,G915="MPV"))),"",1+SUMPRODUCT(($F$2:$F$1001=1)*($G$2:$G$1001="MPV")*($D$2:$D$1001&gt;D915))+COUNTIFS($F$2:F915,1,$G$2:G915,"MPV",$D$2:D915,D915)-1)</f>
        <v/>
      </c>
      <c r="Q915" s="62" t="str">
        <f>IF(OR(D915="",NOT(AND(F915=1,G915="SUV"))),"",1+SUMPRODUCT(($F$2:$F$1001=1)*($G$2:$G$1001="SUV")*($D$2:$D$1001&gt;D915))+COUNTIFS($F$2:F915,1,$G$2:G915,"SUV",$D$2:D915,D915)-1)</f>
        <v/>
      </c>
    </row>
    <row r="916" spans="1:17">
      <c r="A916" s="62" t="str">
        <f>IFERROR(INDEX($H$2:$H$3000,MATCH(0,INDEX(COUNTIF($A$1:A915,$H$2:$H$3000)+($H$2:$H$3000=""),0,0),0)),"")</f>
        <v/>
      </c>
      <c r="B916" s="62" t="str">
        <f t="shared" si="56"/>
        <v/>
      </c>
      <c r="C916" s="62" t="str">
        <f t="shared" si="57"/>
        <v/>
      </c>
      <c r="D916" s="63" t="str">
        <f t="shared" si="58"/>
        <v/>
      </c>
      <c r="E916" s="62" t="str">
        <f>IF(D916="","",_xlfn.RANK.EQ(D916,$D$2:$D$1001,0)+COUNTIF($D$2:D916,D916)-1)</f>
        <v/>
      </c>
      <c r="F916" s="62" t="str">
        <f>IF(B916="","",--(COUNTIF(CN_Brands!$A$2:$A$300,UPPER(B916))&gt;0))</f>
        <v/>
      </c>
      <c r="G916" s="62" t="str">
        <f t="shared" si="59"/>
        <v/>
      </c>
      <c r="H916" s="62" t="str">
        <f>IF(AND('Data Export'!A916=前十整体车型排名!$B$2,'Data Export'!B916=前十整体车型排名!$B$3,'Data Export'!D916&lt;&gt;""),UPPER('Data Export'!C916)&amp;"♦"&amp;'Data Export'!D916,"")</f>
        <v>TOYOTA♦VELOZ</v>
      </c>
      <c r="I916" s="63">
        <f>IF(H916="","",IFERROR(INDEX('Data Export'!G916:CZ916,1,MATCH(前十整体车型排名!$B$4,'Data Export'!$G$1:$CZ$1,0)),0))</f>
        <v>274</v>
      </c>
      <c r="J916" s="62" t="str">
        <f>IF(H916="","",IF(OR('Data Export'!F916="三厢轿车",'Data Export'!F916="掀背轿车",'Data Export'!F916="旅行车",'Data Export'!F916="微型车",'Data Export'!F916="硬顶跑车",'Data Export'!F916="敞蓬车",'Data Export'!F916="Targa"),"轿车",IF(OR('Data Export'!F916="小型MPV",'Data Export'!F916="客车"),"MPV",IF('Data Export'!F916="运动型多功能车","SUV","其他"))))</f>
        <v>MPV</v>
      </c>
      <c r="K916" s="62" t="str">
        <f>IF(OR(D916="",NOT(F916=1)),"",1+SUMPRODUCT(($F$2:$F$1001=1)*($D$2:$D$1001&gt;D916))+COUNTIFS($F$2:F916,1,$D$2:D916,D916)-1)</f>
        <v/>
      </c>
      <c r="L916" s="62" t="str">
        <f>IF(OR(D916="",NOT(G916="轿车")),"",1+SUMPRODUCT(($G$2:$G$1001="轿车")*($D$2:$D$1001&gt;D916))+COUNTIFS($G$2:G916,"轿车",$D$2:D916,D916)-1)</f>
        <v/>
      </c>
      <c r="M916" s="62" t="str">
        <f>IF(OR(D916="",NOT(G916="MPV")),"",1+SUMPRODUCT(($G$2:$G$1001="MPV")*($D$2:$D$1001&gt;D916))+COUNTIFS($G$2:G916,"MPV",$D$2:D916,D916)-1)</f>
        <v/>
      </c>
      <c r="N916" s="62" t="str">
        <f>IF(OR(D916="",NOT(G916="SUV")),"",1+SUMPRODUCT(($G$2:$G$1001="SUV")*($D$2:$D$1001&gt;D916))+COUNTIFS($G$2:G916,"SUV",$D$2:D916,D916)-1)</f>
        <v/>
      </c>
      <c r="O916" s="62" t="str">
        <f>IF(OR(D916="",NOT(AND(F916=1,G916="轿车"))),"",1+SUMPRODUCT(($F$2:$F$1001=1)*($G$2:$G$1001="轿车")*($D$2:$D$1001&gt;D916))+COUNTIFS($F$2:F916,1,$G$2:G916,"轿车",$D$2:D916,D916)-1)</f>
        <v/>
      </c>
      <c r="P916" s="62" t="str">
        <f>IF(OR(D916="",NOT(AND(F916=1,G916="MPV"))),"",1+SUMPRODUCT(($F$2:$F$1001=1)*($G$2:$G$1001="MPV")*($D$2:$D$1001&gt;D916))+COUNTIFS($F$2:F916,1,$G$2:G916,"MPV",$D$2:D916,D916)-1)</f>
        <v/>
      </c>
      <c r="Q916" s="62" t="str">
        <f>IF(OR(D916="",NOT(AND(F916=1,G916="SUV"))),"",1+SUMPRODUCT(($F$2:$F$1001=1)*($G$2:$G$1001="SUV")*($D$2:$D$1001&gt;D916))+COUNTIFS($F$2:F916,1,$G$2:G916,"SUV",$D$2:D916,D916)-1)</f>
        <v/>
      </c>
    </row>
    <row r="917" spans="1:17">
      <c r="A917" s="62" t="str">
        <f>IFERROR(INDEX($H$2:$H$3000,MATCH(0,INDEX(COUNTIF($A$1:A916,$H$2:$H$3000)+($H$2:$H$3000=""),0,0),0)),"")</f>
        <v/>
      </c>
      <c r="B917" s="62" t="str">
        <f t="shared" si="56"/>
        <v/>
      </c>
      <c r="C917" s="62" t="str">
        <f t="shared" si="57"/>
        <v/>
      </c>
      <c r="D917" s="63" t="str">
        <f t="shared" si="58"/>
        <v/>
      </c>
      <c r="E917" s="62" t="str">
        <f>IF(D917="","",_xlfn.RANK.EQ(D917,$D$2:$D$1001,0)+COUNTIF($D$2:D917,D917)-1)</f>
        <v/>
      </c>
      <c r="F917" s="62" t="str">
        <f>IF(B917="","",--(COUNTIF(CN_Brands!$A$2:$A$300,UPPER(B917))&gt;0))</f>
        <v/>
      </c>
      <c r="G917" s="62" t="str">
        <f t="shared" si="59"/>
        <v/>
      </c>
      <c r="H917" s="62" t="str">
        <f>IF(AND('Data Export'!A917=前十整体车型排名!$B$2,'Data Export'!B917=前十整体车型排名!$B$3,'Data Export'!D917&lt;&gt;""),UPPER('Data Export'!C917)&amp;"♦"&amp;'Data Export'!D917,"")</f>
        <v>TOYOTA♦VIOS</v>
      </c>
      <c r="I917" s="63">
        <f>IF(H917="","",IFERROR(INDEX('Data Export'!G917:CZ917,1,MATCH(前十整体车型排名!$B$4,'Data Export'!$G$1:$CZ$1,0)),0))</f>
        <v>0</v>
      </c>
      <c r="J917" s="62" t="str">
        <f>IF(H917="","",IF(OR('Data Export'!F917="三厢轿车",'Data Export'!F917="掀背轿车",'Data Export'!F917="旅行车",'Data Export'!F917="微型车",'Data Export'!F917="硬顶跑车",'Data Export'!F917="敞蓬车",'Data Export'!F917="Targa"),"轿车",IF(OR('Data Export'!F917="小型MPV",'Data Export'!F917="客车"),"MPV",IF('Data Export'!F917="运动型多功能车","SUV","其他"))))</f>
        <v>轿车</v>
      </c>
      <c r="K917" s="62" t="str">
        <f>IF(OR(D917="",NOT(F917=1)),"",1+SUMPRODUCT(($F$2:$F$1001=1)*($D$2:$D$1001&gt;D917))+COUNTIFS($F$2:F917,1,$D$2:D917,D917)-1)</f>
        <v/>
      </c>
      <c r="L917" s="62" t="str">
        <f>IF(OR(D917="",NOT(G917="轿车")),"",1+SUMPRODUCT(($G$2:$G$1001="轿车")*($D$2:$D$1001&gt;D917))+COUNTIFS($G$2:G917,"轿车",$D$2:D917,D917)-1)</f>
        <v/>
      </c>
      <c r="M917" s="62" t="str">
        <f>IF(OR(D917="",NOT(G917="MPV")),"",1+SUMPRODUCT(($G$2:$G$1001="MPV")*($D$2:$D$1001&gt;D917))+COUNTIFS($G$2:G917,"MPV",$D$2:D917,D917)-1)</f>
        <v/>
      </c>
      <c r="N917" s="62" t="str">
        <f>IF(OR(D917="",NOT(G917="SUV")),"",1+SUMPRODUCT(($G$2:$G$1001="SUV")*($D$2:$D$1001&gt;D917))+COUNTIFS($G$2:G917,"SUV",$D$2:D917,D917)-1)</f>
        <v/>
      </c>
      <c r="O917" s="62" t="str">
        <f>IF(OR(D917="",NOT(AND(F917=1,G917="轿车"))),"",1+SUMPRODUCT(($F$2:$F$1001=1)*($G$2:$G$1001="轿车")*($D$2:$D$1001&gt;D917))+COUNTIFS($F$2:F917,1,$G$2:G917,"轿车",$D$2:D917,D917)-1)</f>
        <v/>
      </c>
      <c r="P917" s="62" t="str">
        <f>IF(OR(D917="",NOT(AND(F917=1,G917="MPV"))),"",1+SUMPRODUCT(($F$2:$F$1001=1)*($G$2:$G$1001="MPV")*($D$2:$D$1001&gt;D917))+COUNTIFS($F$2:F917,1,$G$2:G917,"MPV",$D$2:D917,D917)-1)</f>
        <v/>
      </c>
      <c r="Q917" s="62" t="str">
        <f>IF(OR(D917="",NOT(AND(F917=1,G917="SUV"))),"",1+SUMPRODUCT(($F$2:$F$1001=1)*($G$2:$G$1001="SUV")*($D$2:$D$1001&gt;D917))+COUNTIFS($F$2:F917,1,$G$2:G917,"SUV",$D$2:D917,D917)-1)</f>
        <v/>
      </c>
    </row>
    <row r="918" spans="1:17">
      <c r="A918" s="62" t="str">
        <f>IFERROR(INDEX($H$2:$H$3000,MATCH(0,INDEX(COUNTIF($A$1:A917,$H$2:$H$3000)+($H$2:$H$3000=""),0,0),0)),"")</f>
        <v/>
      </c>
      <c r="B918" s="62" t="str">
        <f t="shared" si="56"/>
        <v/>
      </c>
      <c r="C918" s="62" t="str">
        <f t="shared" si="57"/>
        <v/>
      </c>
      <c r="D918" s="63" t="str">
        <f t="shared" si="58"/>
        <v/>
      </c>
      <c r="E918" s="62" t="str">
        <f>IF(D918="","",_xlfn.RANK.EQ(D918,$D$2:$D$1001,0)+COUNTIF($D$2:D918,D918)-1)</f>
        <v/>
      </c>
      <c r="F918" s="62" t="str">
        <f>IF(B918="","",--(COUNTIF(CN_Brands!$A$2:$A$300,UPPER(B918))&gt;0))</f>
        <v/>
      </c>
      <c r="G918" s="62" t="str">
        <f t="shared" si="59"/>
        <v/>
      </c>
      <c r="H918" s="62" t="str">
        <f>IF(AND('Data Export'!A918=前十整体车型排名!$B$2,'Data Export'!B918=前十整体车型排名!$B$3,'Data Export'!D918&lt;&gt;""),UPPER('Data Export'!C918)&amp;"♦"&amp;'Data Export'!D918,"")</f>
        <v>TOYOTA♦VOXY</v>
      </c>
      <c r="I918" s="63">
        <f>IF(H918="","",IFERROR(INDEX('Data Export'!G918:CZ918,1,MATCH(前十整体车型排名!$B$4,'Data Export'!$G$1:$CZ$1,0)),0))</f>
        <v>2</v>
      </c>
      <c r="J918" s="62" t="str">
        <f>IF(H918="","",IF(OR('Data Export'!F918="三厢轿车",'Data Export'!F918="掀背轿车",'Data Export'!F918="旅行车",'Data Export'!F918="微型车",'Data Export'!F918="硬顶跑车",'Data Export'!F918="敞蓬车",'Data Export'!F918="Targa"),"轿车",IF(OR('Data Export'!F918="小型MPV",'Data Export'!F918="客车"),"MPV",IF('Data Export'!F918="运动型多功能车","SUV","其他"))))</f>
        <v>其他</v>
      </c>
      <c r="K918" s="62" t="str">
        <f>IF(OR(D918="",NOT(F918=1)),"",1+SUMPRODUCT(($F$2:$F$1001=1)*($D$2:$D$1001&gt;D918))+COUNTIFS($F$2:F918,1,$D$2:D918,D918)-1)</f>
        <v/>
      </c>
      <c r="L918" s="62" t="str">
        <f>IF(OR(D918="",NOT(G918="轿车")),"",1+SUMPRODUCT(($G$2:$G$1001="轿车")*($D$2:$D$1001&gt;D918))+COUNTIFS($G$2:G918,"轿车",$D$2:D918,D918)-1)</f>
        <v/>
      </c>
      <c r="M918" s="62" t="str">
        <f>IF(OR(D918="",NOT(G918="MPV")),"",1+SUMPRODUCT(($G$2:$G$1001="MPV")*($D$2:$D$1001&gt;D918))+COUNTIFS($G$2:G918,"MPV",$D$2:D918,D918)-1)</f>
        <v/>
      </c>
      <c r="N918" s="62" t="str">
        <f>IF(OR(D918="",NOT(G918="SUV")),"",1+SUMPRODUCT(($G$2:$G$1001="SUV")*($D$2:$D$1001&gt;D918))+COUNTIFS($G$2:G918,"SUV",$D$2:D918,D918)-1)</f>
        <v/>
      </c>
      <c r="O918" s="62" t="str">
        <f>IF(OR(D918="",NOT(AND(F918=1,G918="轿车"))),"",1+SUMPRODUCT(($F$2:$F$1001=1)*($G$2:$G$1001="轿车")*($D$2:$D$1001&gt;D918))+COUNTIFS($F$2:F918,1,$G$2:G918,"轿车",$D$2:D918,D918)-1)</f>
        <v/>
      </c>
      <c r="P918" s="62" t="str">
        <f>IF(OR(D918="",NOT(AND(F918=1,G918="MPV"))),"",1+SUMPRODUCT(($F$2:$F$1001=1)*($G$2:$G$1001="MPV")*($D$2:$D$1001&gt;D918))+COUNTIFS($F$2:F918,1,$G$2:G918,"MPV",$D$2:D918,D918)-1)</f>
        <v/>
      </c>
      <c r="Q918" s="62" t="str">
        <f>IF(OR(D918="",NOT(AND(F918=1,G918="SUV"))),"",1+SUMPRODUCT(($F$2:$F$1001=1)*($G$2:$G$1001="SUV")*($D$2:$D$1001&gt;D918))+COUNTIFS($F$2:F918,1,$G$2:G918,"SUV",$D$2:D918,D918)-1)</f>
        <v/>
      </c>
    </row>
    <row r="919" spans="1:17">
      <c r="A919" s="62" t="str">
        <f>IFERROR(INDEX($H$2:$H$3000,MATCH(0,INDEX(COUNTIF($A$1:A918,$H$2:$H$3000)+($H$2:$H$3000=""),0,0),0)),"")</f>
        <v/>
      </c>
      <c r="B919" s="62" t="str">
        <f t="shared" si="56"/>
        <v/>
      </c>
      <c r="C919" s="62" t="str">
        <f t="shared" si="57"/>
        <v/>
      </c>
      <c r="D919" s="63" t="str">
        <f t="shared" si="58"/>
        <v/>
      </c>
      <c r="E919" s="62" t="str">
        <f>IF(D919="","",_xlfn.RANK.EQ(D919,$D$2:$D$1001,0)+COUNTIF($D$2:D919,D919)-1)</f>
        <v/>
      </c>
      <c r="F919" s="62" t="str">
        <f>IF(B919="","",--(COUNTIF(CN_Brands!$A$2:$A$300,UPPER(B919))&gt;0))</f>
        <v/>
      </c>
      <c r="G919" s="62" t="str">
        <f t="shared" si="59"/>
        <v/>
      </c>
      <c r="H919" s="62" t="str">
        <f>IF(AND('Data Export'!A919=前十整体车型排名!$B$2,'Data Export'!B919=前十整体车型排名!$B$3,'Data Export'!D919&lt;&gt;""),UPPER('Data Export'!C919)&amp;"♦"&amp;'Data Export'!D919,"")</f>
        <v>TOYOTA♦VOXY</v>
      </c>
      <c r="I919" s="63">
        <f>IF(H919="","",IFERROR(INDEX('Data Export'!G919:CZ919,1,MATCH(前十整体车型排名!$B$4,'Data Export'!$G$1:$CZ$1,0)),0))</f>
        <v>2</v>
      </c>
      <c r="J919" s="62" t="str">
        <f>IF(H919="","",IF(OR('Data Export'!F919="三厢轿车",'Data Export'!F919="掀背轿车",'Data Export'!F919="旅行车",'Data Export'!F919="微型车",'Data Export'!F919="硬顶跑车",'Data Export'!F919="敞蓬车",'Data Export'!F919="Targa"),"轿车",IF(OR('Data Export'!F919="小型MPV",'Data Export'!F919="客车"),"MPV",IF('Data Export'!F919="运动型多功能车","SUV","其他"))))</f>
        <v>其他</v>
      </c>
      <c r="K919" s="62" t="str">
        <f>IF(OR(D919="",NOT(F919=1)),"",1+SUMPRODUCT(($F$2:$F$1001=1)*($D$2:$D$1001&gt;D919))+COUNTIFS($F$2:F919,1,$D$2:D919,D919)-1)</f>
        <v/>
      </c>
      <c r="L919" s="62" t="str">
        <f>IF(OR(D919="",NOT(G919="轿车")),"",1+SUMPRODUCT(($G$2:$G$1001="轿车")*($D$2:$D$1001&gt;D919))+COUNTIFS($G$2:G919,"轿车",$D$2:D919,D919)-1)</f>
        <v/>
      </c>
      <c r="M919" s="62" t="str">
        <f>IF(OR(D919="",NOT(G919="MPV")),"",1+SUMPRODUCT(($G$2:$G$1001="MPV")*($D$2:$D$1001&gt;D919))+COUNTIFS($G$2:G919,"MPV",$D$2:D919,D919)-1)</f>
        <v/>
      </c>
      <c r="N919" s="62" t="str">
        <f>IF(OR(D919="",NOT(G919="SUV")),"",1+SUMPRODUCT(($G$2:$G$1001="SUV")*($D$2:$D$1001&gt;D919))+COUNTIFS($G$2:G919,"SUV",$D$2:D919,D919)-1)</f>
        <v/>
      </c>
      <c r="O919" s="62" t="str">
        <f>IF(OR(D919="",NOT(AND(F919=1,G919="轿车"))),"",1+SUMPRODUCT(($F$2:$F$1001=1)*($G$2:$G$1001="轿车")*($D$2:$D$1001&gt;D919))+COUNTIFS($F$2:F919,1,$G$2:G919,"轿车",$D$2:D919,D919)-1)</f>
        <v/>
      </c>
      <c r="P919" s="62" t="str">
        <f>IF(OR(D919="",NOT(AND(F919=1,G919="MPV"))),"",1+SUMPRODUCT(($F$2:$F$1001=1)*($G$2:$G$1001="MPV")*($D$2:$D$1001&gt;D919))+COUNTIFS($F$2:F919,1,$G$2:G919,"MPV",$D$2:D919,D919)-1)</f>
        <v/>
      </c>
      <c r="Q919" s="62" t="str">
        <f>IF(OR(D919="",NOT(AND(F919=1,G919="SUV"))),"",1+SUMPRODUCT(($F$2:$F$1001=1)*($G$2:$G$1001="SUV")*($D$2:$D$1001&gt;D919))+COUNTIFS($F$2:F919,1,$G$2:G919,"SUV",$D$2:D919,D919)-1)</f>
        <v/>
      </c>
    </row>
    <row r="920" spans="1:17">
      <c r="A920" s="62" t="str">
        <f>IFERROR(INDEX($H$2:$H$3000,MATCH(0,INDEX(COUNTIF($A$1:A919,$H$2:$H$3000)+($H$2:$H$3000=""),0,0),0)),"")</f>
        <v/>
      </c>
      <c r="B920" s="62" t="str">
        <f t="shared" si="56"/>
        <v/>
      </c>
      <c r="C920" s="62" t="str">
        <f t="shared" si="57"/>
        <v/>
      </c>
      <c r="D920" s="63" t="str">
        <f t="shared" si="58"/>
        <v/>
      </c>
      <c r="E920" s="62" t="str">
        <f>IF(D920="","",_xlfn.RANK.EQ(D920,$D$2:$D$1001,0)+COUNTIF($D$2:D920,D920)-1)</f>
        <v/>
      </c>
      <c r="F920" s="62" t="str">
        <f>IF(B920="","",--(COUNTIF(CN_Brands!$A$2:$A$300,UPPER(B920))&gt;0))</f>
        <v/>
      </c>
      <c r="G920" s="62" t="str">
        <f t="shared" si="59"/>
        <v/>
      </c>
      <c r="H920" s="62" t="str">
        <f>IF(AND('Data Export'!A920=前十整体车型排名!$B$2,'Data Export'!B920=前十整体车型排名!$B$3,'Data Export'!D920&lt;&gt;""),UPPER('Data Export'!C920)&amp;"♦"&amp;'Data Export'!D920,"")</f>
        <v>TOYOTA♦YARIS</v>
      </c>
      <c r="I920" s="63">
        <f>IF(H920="","",IFERROR(INDEX('Data Export'!G920:CZ920,1,MATCH(前十整体车型排名!$B$4,'Data Export'!$G$1:$CZ$1,0)),0))</f>
        <v>328</v>
      </c>
      <c r="J920" s="62" t="str">
        <f>IF(H920="","",IF(OR('Data Export'!F920="三厢轿车",'Data Export'!F920="掀背轿车",'Data Export'!F920="旅行车",'Data Export'!F920="微型车",'Data Export'!F920="硬顶跑车",'Data Export'!F920="敞蓬车",'Data Export'!F920="Targa"),"轿车",IF(OR('Data Export'!F920="小型MPV",'Data Export'!F920="客车"),"MPV",IF('Data Export'!F920="运动型多功能车","SUV","其他"))))</f>
        <v>轿车</v>
      </c>
      <c r="K920" s="62" t="str">
        <f>IF(OR(D920="",NOT(F920=1)),"",1+SUMPRODUCT(($F$2:$F$1001=1)*($D$2:$D$1001&gt;D920))+COUNTIFS($F$2:F920,1,$D$2:D920,D920)-1)</f>
        <v/>
      </c>
      <c r="L920" s="62" t="str">
        <f>IF(OR(D920="",NOT(G920="轿车")),"",1+SUMPRODUCT(($G$2:$G$1001="轿车")*($D$2:$D$1001&gt;D920))+COUNTIFS($G$2:G920,"轿车",$D$2:D920,D920)-1)</f>
        <v/>
      </c>
      <c r="M920" s="62" t="str">
        <f>IF(OR(D920="",NOT(G920="MPV")),"",1+SUMPRODUCT(($G$2:$G$1001="MPV")*($D$2:$D$1001&gt;D920))+COUNTIFS($G$2:G920,"MPV",$D$2:D920,D920)-1)</f>
        <v/>
      </c>
      <c r="N920" s="62" t="str">
        <f>IF(OR(D920="",NOT(G920="SUV")),"",1+SUMPRODUCT(($G$2:$G$1001="SUV")*($D$2:$D$1001&gt;D920))+COUNTIFS($G$2:G920,"SUV",$D$2:D920,D920)-1)</f>
        <v/>
      </c>
      <c r="O920" s="62" t="str">
        <f>IF(OR(D920="",NOT(AND(F920=1,G920="轿车"))),"",1+SUMPRODUCT(($F$2:$F$1001=1)*($G$2:$G$1001="轿车")*($D$2:$D$1001&gt;D920))+COUNTIFS($F$2:F920,1,$G$2:G920,"轿车",$D$2:D920,D920)-1)</f>
        <v/>
      </c>
      <c r="P920" s="62" t="str">
        <f>IF(OR(D920="",NOT(AND(F920=1,G920="MPV"))),"",1+SUMPRODUCT(($F$2:$F$1001=1)*($G$2:$G$1001="MPV")*($D$2:$D$1001&gt;D920))+COUNTIFS($F$2:F920,1,$G$2:G920,"MPV",$D$2:D920,D920)-1)</f>
        <v/>
      </c>
      <c r="Q920" s="62" t="str">
        <f>IF(OR(D920="",NOT(AND(F920=1,G920="SUV"))),"",1+SUMPRODUCT(($F$2:$F$1001=1)*($G$2:$G$1001="SUV")*($D$2:$D$1001&gt;D920))+COUNTIFS($F$2:F920,1,$G$2:G920,"SUV",$D$2:D920,D920)-1)</f>
        <v/>
      </c>
    </row>
    <row r="921" spans="1:17">
      <c r="A921" s="62" t="str">
        <f>IFERROR(INDEX($H$2:$H$3000,MATCH(0,INDEX(COUNTIF($A$1:A920,$H$2:$H$3000)+($H$2:$H$3000=""),0,0),0)),"")</f>
        <v/>
      </c>
      <c r="B921" s="62" t="str">
        <f t="shared" si="56"/>
        <v/>
      </c>
      <c r="C921" s="62" t="str">
        <f t="shared" si="57"/>
        <v/>
      </c>
      <c r="D921" s="63" t="str">
        <f t="shared" si="58"/>
        <v/>
      </c>
      <c r="E921" s="62" t="str">
        <f>IF(D921="","",_xlfn.RANK.EQ(D921,$D$2:$D$1001,0)+COUNTIF($D$2:D921,D921)-1)</f>
        <v/>
      </c>
      <c r="F921" s="62" t="str">
        <f>IF(B921="","",--(COUNTIF(CN_Brands!$A$2:$A$300,UPPER(B921))&gt;0))</f>
        <v/>
      </c>
      <c r="G921" s="62" t="str">
        <f t="shared" si="59"/>
        <v/>
      </c>
      <c r="H921" s="62" t="str">
        <f>IF(AND('Data Export'!A921=前十整体车型排名!$B$2,'Data Export'!B921=前十整体车型排名!$B$3,'Data Export'!D921&lt;&gt;""),UPPER('Data Export'!C921)&amp;"♦"&amp;'Data Export'!D921,"")</f>
        <v>TOYOTA♦YARIS</v>
      </c>
      <c r="I921" s="63">
        <f>IF(H921="","",IFERROR(INDEX('Data Export'!G921:CZ921,1,MATCH(前十整体车型排名!$B$4,'Data Export'!$G$1:$CZ$1,0)),0))</f>
        <v>0</v>
      </c>
      <c r="J921" s="62" t="str">
        <f>IF(H921="","",IF(OR('Data Export'!F921="三厢轿车",'Data Export'!F921="掀背轿车",'Data Export'!F921="旅行车",'Data Export'!F921="微型车",'Data Export'!F921="硬顶跑车",'Data Export'!F921="敞蓬车",'Data Export'!F921="Targa"),"轿车",IF(OR('Data Export'!F921="小型MPV",'Data Export'!F921="客车"),"MPV",IF('Data Export'!F921="运动型多功能车","SUV","其他"))))</f>
        <v>轿车</v>
      </c>
      <c r="K921" s="62" t="str">
        <f>IF(OR(D921="",NOT(F921=1)),"",1+SUMPRODUCT(($F$2:$F$1001=1)*($D$2:$D$1001&gt;D921))+COUNTIFS($F$2:F921,1,$D$2:D921,D921)-1)</f>
        <v/>
      </c>
      <c r="L921" s="62" t="str">
        <f>IF(OR(D921="",NOT(G921="轿车")),"",1+SUMPRODUCT(($G$2:$G$1001="轿车")*($D$2:$D$1001&gt;D921))+COUNTIFS($G$2:G921,"轿车",$D$2:D921,D921)-1)</f>
        <v/>
      </c>
      <c r="M921" s="62" t="str">
        <f>IF(OR(D921="",NOT(G921="MPV")),"",1+SUMPRODUCT(($G$2:$G$1001="MPV")*($D$2:$D$1001&gt;D921))+COUNTIFS($G$2:G921,"MPV",$D$2:D921,D921)-1)</f>
        <v/>
      </c>
      <c r="N921" s="62" t="str">
        <f>IF(OR(D921="",NOT(G921="SUV")),"",1+SUMPRODUCT(($G$2:$G$1001="SUV")*($D$2:$D$1001&gt;D921))+COUNTIFS($G$2:G921,"SUV",$D$2:D921,D921)-1)</f>
        <v/>
      </c>
      <c r="O921" s="62" t="str">
        <f>IF(OR(D921="",NOT(AND(F921=1,G921="轿车"))),"",1+SUMPRODUCT(($F$2:$F$1001=1)*($G$2:$G$1001="轿车")*($D$2:$D$1001&gt;D921))+COUNTIFS($F$2:F921,1,$G$2:G921,"轿车",$D$2:D921,D921)-1)</f>
        <v/>
      </c>
      <c r="P921" s="62" t="str">
        <f>IF(OR(D921="",NOT(AND(F921=1,G921="MPV"))),"",1+SUMPRODUCT(($F$2:$F$1001=1)*($G$2:$G$1001="MPV")*($D$2:$D$1001&gt;D921))+COUNTIFS($F$2:F921,1,$G$2:G921,"MPV",$D$2:D921,D921)-1)</f>
        <v/>
      </c>
      <c r="Q921" s="62" t="str">
        <f>IF(OR(D921="",NOT(AND(F921=1,G921="SUV"))),"",1+SUMPRODUCT(($F$2:$F$1001=1)*($G$2:$G$1001="SUV")*($D$2:$D$1001&gt;D921))+COUNTIFS($F$2:F921,1,$G$2:G921,"SUV",$D$2:D921,D921)-1)</f>
        <v/>
      </c>
    </row>
    <row r="922" spans="1:17">
      <c r="A922" s="62" t="str">
        <f>IFERROR(INDEX($H$2:$H$3000,MATCH(0,INDEX(COUNTIF($A$1:A921,$H$2:$H$3000)+($H$2:$H$3000=""),0,0),0)),"")</f>
        <v/>
      </c>
      <c r="B922" s="62" t="str">
        <f t="shared" si="56"/>
        <v/>
      </c>
      <c r="C922" s="62" t="str">
        <f t="shared" si="57"/>
        <v/>
      </c>
      <c r="D922" s="63" t="str">
        <f t="shared" si="58"/>
        <v/>
      </c>
      <c r="E922" s="62" t="str">
        <f>IF(D922="","",_xlfn.RANK.EQ(D922,$D$2:$D$1001,0)+COUNTIF($D$2:D922,D922)-1)</f>
        <v/>
      </c>
      <c r="F922" s="62" t="str">
        <f>IF(B922="","",--(COUNTIF(CN_Brands!$A$2:$A$300,UPPER(B922))&gt;0))</f>
        <v/>
      </c>
      <c r="G922" s="62" t="str">
        <f t="shared" si="59"/>
        <v/>
      </c>
      <c r="H922" s="62" t="str">
        <f>IF(AND('Data Export'!A922=前十整体车型排名!$B$2,'Data Export'!B922=前十整体车型排名!$B$3,'Data Export'!D922&lt;&gt;""),UPPER('Data Export'!C922)&amp;"♦"&amp;'Data Export'!D922,"")</f>
        <v>TOYOTA♦YARIS</v>
      </c>
      <c r="I922" s="63">
        <f>IF(H922="","",IFERROR(INDEX('Data Export'!G922:CZ922,1,MATCH(前十整体车型排名!$B$4,'Data Export'!$G$1:$CZ$1,0)),0))</f>
        <v>0</v>
      </c>
      <c r="J922" s="62" t="str">
        <f>IF(H922="","",IF(OR('Data Export'!F922="三厢轿车",'Data Export'!F922="掀背轿车",'Data Export'!F922="旅行车",'Data Export'!F922="微型车",'Data Export'!F922="硬顶跑车",'Data Export'!F922="敞蓬车",'Data Export'!F922="Targa"),"轿车",IF(OR('Data Export'!F922="小型MPV",'Data Export'!F922="客车"),"MPV",IF('Data Export'!F922="运动型多功能车","SUV","其他"))))</f>
        <v>轿车</v>
      </c>
      <c r="K922" s="62" t="str">
        <f>IF(OR(D922="",NOT(F922=1)),"",1+SUMPRODUCT(($F$2:$F$1001=1)*($D$2:$D$1001&gt;D922))+COUNTIFS($F$2:F922,1,$D$2:D922,D922)-1)</f>
        <v/>
      </c>
      <c r="L922" s="62" t="str">
        <f>IF(OR(D922="",NOT(G922="轿车")),"",1+SUMPRODUCT(($G$2:$G$1001="轿车")*($D$2:$D$1001&gt;D922))+COUNTIFS($G$2:G922,"轿车",$D$2:D922,D922)-1)</f>
        <v/>
      </c>
      <c r="M922" s="62" t="str">
        <f>IF(OR(D922="",NOT(G922="MPV")),"",1+SUMPRODUCT(($G$2:$G$1001="MPV")*($D$2:$D$1001&gt;D922))+COUNTIFS($G$2:G922,"MPV",$D$2:D922,D922)-1)</f>
        <v/>
      </c>
      <c r="N922" s="62" t="str">
        <f>IF(OR(D922="",NOT(G922="SUV")),"",1+SUMPRODUCT(($G$2:$G$1001="SUV")*($D$2:$D$1001&gt;D922))+COUNTIFS($G$2:G922,"SUV",$D$2:D922,D922)-1)</f>
        <v/>
      </c>
      <c r="O922" s="62" t="str">
        <f>IF(OR(D922="",NOT(AND(F922=1,G922="轿车"))),"",1+SUMPRODUCT(($F$2:$F$1001=1)*($G$2:$G$1001="轿车")*($D$2:$D$1001&gt;D922))+COUNTIFS($F$2:F922,1,$G$2:G922,"轿车",$D$2:D922,D922)-1)</f>
        <v/>
      </c>
      <c r="P922" s="62" t="str">
        <f>IF(OR(D922="",NOT(AND(F922=1,G922="MPV"))),"",1+SUMPRODUCT(($F$2:$F$1001=1)*($G$2:$G$1001="MPV")*($D$2:$D$1001&gt;D922))+COUNTIFS($F$2:F922,1,$G$2:G922,"MPV",$D$2:D922,D922)-1)</f>
        <v/>
      </c>
      <c r="Q922" s="62" t="str">
        <f>IF(OR(D922="",NOT(AND(F922=1,G922="SUV"))),"",1+SUMPRODUCT(($F$2:$F$1001=1)*($G$2:$G$1001="SUV")*($D$2:$D$1001&gt;D922))+COUNTIFS($F$2:F922,1,$G$2:G922,"SUV",$D$2:D922,D922)-1)</f>
        <v/>
      </c>
    </row>
    <row r="923" spans="1:17">
      <c r="A923" s="62" t="str">
        <f>IFERROR(INDEX($H$2:$H$3000,MATCH(0,INDEX(COUNTIF($A$1:A922,$H$2:$H$3000)+($H$2:$H$3000=""),0,0),0)),"")</f>
        <v/>
      </c>
      <c r="B923" s="62" t="str">
        <f t="shared" si="56"/>
        <v/>
      </c>
      <c r="C923" s="62" t="str">
        <f t="shared" si="57"/>
        <v/>
      </c>
      <c r="D923" s="63" t="str">
        <f t="shared" si="58"/>
        <v/>
      </c>
      <c r="E923" s="62" t="str">
        <f>IF(D923="","",_xlfn.RANK.EQ(D923,$D$2:$D$1001,0)+COUNTIF($D$2:D923,D923)-1)</f>
        <v/>
      </c>
      <c r="F923" s="62" t="str">
        <f>IF(B923="","",--(COUNTIF(CN_Brands!$A$2:$A$300,UPPER(B923))&gt;0))</f>
        <v/>
      </c>
      <c r="G923" s="62" t="str">
        <f t="shared" si="59"/>
        <v/>
      </c>
      <c r="H923" s="62" t="str">
        <f>IF(AND('Data Export'!A923=前十整体车型排名!$B$2,'Data Export'!B923=前十整体车型排名!$B$3,'Data Export'!D923&lt;&gt;""),UPPER('Data Export'!C923)&amp;"♦"&amp;'Data Export'!D923,"")</f>
        <v>TOYOTA♦YARIS</v>
      </c>
      <c r="I923" s="63">
        <f>IF(H923="","",IFERROR(INDEX('Data Export'!G923:CZ923,1,MATCH(前十整体车型排名!$B$4,'Data Export'!$G$1:$CZ$1,0)),0))</f>
        <v>0</v>
      </c>
      <c r="J923" s="62" t="str">
        <f>IF(H923="","",IF(OR('Data Export'!F923="三厢轿车",'Data Export'!F923="掀背轿车",'Data Export'!F923="旅行车",'Data Export'!F923="微型车",'Data Export'!F923="硬顶跑车",'Data Export'!F923="敞蓬车",'Data Export'!F923="Targa"),"轿车",IF(OR('Data Export'!F923="小型MPV",'Data Export'!F923="客车"),"MPV",IF('Data Export'!F923="运动型多功能车","SUV","其他"))))</f>
        <v>轿车</v>
      </c>
      <c r="K923" s="62" t="str">
        <f>IF(OR(D923="",NOT(F923=1)),"",1+SUMPRODUCT(($F$2:$F$1001=1)*($D$2:$D$1001&gt;D923))+COUNTIFS($F$2:F923,1,$D$2:D923,D923)-1)</f>
        <v/>
      </c>
      <c r="L923" s="62" t="str">
        <f>IF(OR(D923="",NOT(G923="轿车")),"",1+SUMPRODUCT(($G$2:$G$1001="轿车")*($D$2:$D$1001&gt;D923))+COUNTIFS($G$2:G923,"轿车",$D$2:D923,D923)-1)</f>
        <v/>
      </c>
      <c r="M923" s="62" t="str">
        <f>IF(OR(D923="",NOT(G923="MPV")),"",1+SUMPRODUCT(($G$2:$G$1001="MPV")*($D$2:$D$1001&gt;D923))+COUNTIFS($G$2:G923,"MPV",$D$2:D923,D923)-1)</f>
        <v/>
      </c>
      <c r="N923" s="62" t="str">
        <f>IF(OR(D923="",NOT(G923="SUV")),"",1+SUMPRODUCT(($G$2:$G$1001="SUV")*($D$2:$D$1001&gt;D923))+COUNTIFS($G$2:G923,"SUV",$D$2:D923,D923)-1)</f>
        <v/>
      </c>
      <c r="O923" s="62" t="str">
        <f>IF(OR(D923="",NOT(AND(F923=1,G923="轿车"))),"",1+SUMPRODUCT(($F$2:$F$1001=1)*($G$2:$G$1001="轿车")*($D$2:$D$1001&gt;D923))+COUNTIFS($F$2:F923,1,$G$2:G923,"轿车",$D$2:D923,D923)-1)</f>
        <v/>
      </c>
      <c r="P923" s="62" t="str">
        <f>IF(OR(D923="",NOT(AND(F923=1,G923="MPV"))),"",1+SUMPRODUCT(($F$2:$F$1001=1)*($G$2:$G$1001="MPV")*($D$2:$D$1001&gt;D923))+COUNTIFS($F$2:F923,1,$G$2:G923,"MPV",$D$2:D923,D923)-1)</f>
        <v/>
      </c>
      <c r="Q923" s="62" t="str">
        <f>IF(OR(D923="",NOT(AND(F923=1,G923="SUV"))),"",1+SUMPRODUCT(($F$2:$F$1001=1)*($G$2:$G$1001="SUV")*($D$2:$D$1001&gt;D923))+COUNTIFS($F$2:F923,1,$G$2:G923,"SUV",$D$2:D923,D923)-1)</f>
        <v/>
      </c>
    </row>
    <row r="924" spans="1:17">
      <c r="A924" s="62" t="str">
        <f>IFERROR(INDEX($H$2:$H$3000,MATCH(0,INDEX(COUNTIF($A$1:A923,$H$2:$H$3000)+($H$2:$H$3000=""),0,0),0)),"")</f>
        <v/>
      </c>
      <c r="B924" s="62" t="str">
        <f t="shared" si="56"/>
        <v/>
      </c>
      <c r="C924" s="62" t="str">
        <f t="shared" si="57"/>
        <v/>
      </c>
      <c r="D924" s="63" t="str">
        <f t="shared" si="58"/>
        <v/>
      </c>
      <c r="E924" s="62" t="str">
        <f>IF(D924="","",_xlfn.RANK.EQ(D924,$D$2:$D$1001,0)+COUNTIF($D$2:D924,D924)-1)</f>
        <v/>
      </c>
      <c r="F924" s="62" t="str">
        <f>IF(B924="","",--(COUNTIF(CN_Brands!$A$2:$A$300,UPPER(B924))&gt;0))</f>
        <v/>
      </c>
      <c r="G924" s="62" t="str">
        <f t="shared" si="59"/>
        <v/>
      </c>
      <c r="H924" s="62" t="str">
        <f>IF(AND('Data Export'!A924=前十整体车型排名!$B$2,'Data Export'!B924=前十整体车型排名!$B$3,'Data Export'!D924&lt;&gt;""),UPPER('Data Export'!C924)&amp;"♦"&amp;'Data Export'!D924,"")</f>
        <v>TOYOTA♦YARIS</v>
      </c>
      <c r="I924" s="63">
        <f>IF(H924="","",IFERROR(INDEX('Data Export'!G924:CZ924,1,MATCH(前十整体车型排名!$B$4,'Data Export'!$G$1:$CZ$1,0)),0))</f>
        <v>0</v>
      </c>
      <c r="J924" s="62" t="str">
        <f>IF(H924="","",IF(OR('Data Export'!F924="三厢轿车",'Data Export'!F924="掀背轿车",'Data Export'!F924="旅行车",'Data Export'!F924="微型车",'Data Export'!F924="硬顶跑车",'Data Export'!F924="敞蓬车",'Data Export'!F924="Targa"),"轿车",IF(OR('Data Export'!F924="小型MPV",'Data Export'!F924="客车"),"MPV",IF('Data Export'!F924="运动型多功能车","SUV","其他"))))</f>
        <v>轿车</v>
      </c>
      <c r="K924" s="62" t="str">
        <f>IF(OR(D924="",NOT(F924=1)),"",1+SUMPRODUCT(($F$2:$F$1001=1)*($D$2:$D$1001&gt;D924))+COUNTIFS($F$2:F924,1,$D$2:D924,D924)-1)</f>
        <v/>
      </c>
      <c r="L924" s="62" t="str">
        <f>IF(OR(D924="",NOT(G924="轿车")),"",1+SUMPRODUCT(($G$2:$G$1001="轿车")*($D$2:$D$1001&gt;D924))+COUNTIFS($G$2:G924,"轿车",$D$2:D924,D924)-1)</f>
        <v/>
      </c>
      <c r="M924" s="62" t="str">
        <f>IF(OR(D924="",NOT(G924="MPV")),"",1+SUMPRODUCT(($G$2:$G$1001="MPV")*($D$2:$D$1001&gt;D924))+COUNTIFS($G$2:G924,"MPV",$D$2:D924,D924)-1)</f>
        <v/>
      </c>
      <c r="N924" s="62" t="str">
        <f>IF(OR(D924="",NOT(G924="SUV")),"",1+SUMPRODUCT(($G$2:$G$1001="SUV")*($D$2:$D$1001&gt;D924))+COUNTIFS($G$2:G924,"SUV",$D$2:D924,D924)-1)</f>
        <v/>
      </c>
      <c r="O924" s="62" t="str">
        <f>IF(OR(D924="",NOT(AND(F924=1,G924="轿车"))),"",1+SUMPRODUCT(($F$2:$F$1001=1)*($G$2:$G$1001="轿车")*($D$2:$D$1001&gt;D924))+COUNTIFS($F$2:F924,1,$G$2:G924,"轿车",$D$2:D924,D924)-1)</f>
        <v/>
      </c>
      <c r="P924" s="62" t="str">
        <f>IF(OR(D924="",NOT(AND(F924=1,G924="MPV"))),"",1+SUMPRODUCT(($F$2:$F$1001=1)*($G$2:$G$1001="MPV")*($D$2:$D$1001&gt;D924))+COUNTIFS($F$2:F924,1,$G$2:G924,"MPV",$D$2:D924,D924)-1)</f>
        <v/>
      </c>
      <c r="Q924" s="62" t="str">
        <f>IF(OR(D924="",NOT(AND(F924=1,G924="SUV"))),"",1+SUMPRODUCT(($F$2:$F$1001=1)*($G$2:$G$1001="SUV")*($D$2:$D$1001&gt;D924))+COUNTIFS($F$2:F924,1,$G$2:G924,"SUV",$D$2:D924,D924)-1)</f>
        <v/>
      </c>
    </row>
    <row r="925" spans="1:17">
      <c r="A925" s="62" t="str">
        <f>IFERROR(INDEX($H$2:$H$3000,MATCH(0,INDEX(COUNTIF($A$1:A924,$H$2:$H$3000)+($H$2:$H$3000=""),0,0),0)),"")</f>
        <v/>
      </c>
      <c r="B925" s="62" t="str">
        <f t="shared" si="56"/>
        <v/>
      </c>
      <c r="C925" s="62" t="str">
        <f t="shared" si="57"/>
        <v/>
      </c>
      <c r="D925" s="63" t="str">
        <f t="shared" si="58"/>
        <v/>
      </c>
      <c r="E925" s="62" t="str">
        <f>IF(D925="","",_xlfn.RANK.EQ(D925,$D$2:$D$1001,0)+COUNTIF($D$2:D925,D925)-1)</f>
        <v/>
      </c>
      <c r="F925" s="62" t="str">
        <f>IF(B925="","",--(COUNTIF(CN_Brands!$A$2:$A$300,UPPER(B925))&gt;0))</f>
        <v/>
      </c>
      <c r="G925" s="62" t="str">
        <f t="shared" si="59"/>
        <v/>
      </c>
      <c r="H925" s="62" t="str">
        <f>IF(AND('Data Export'!A925=前十整体车型排名!$B$2,'Data Export'!B925=前十整体车型排名!$B$3,'Data Export'!D925&lt;&gt;""),UPPER('Data Export'!C925)&amp;"♦"&amp;'Data Export'!D925,"")</f>
        <v>TOYOTA♦YARIS</v>
      </c>
      <c r="I925" s="63">
        <f>IF(H925="","",IFERROR(INDEX('Data Export'!G925:CZ925,1,MATCH(前十整体车型排名!$B$4,'Data Export'!$G$1:$CZ$1,0)),0))</f>
        <v>0</v>
      </c>
      <c r="J925" s="62" t="str">
        <f>IF(H925="","",IF(OR('Data Export'!F925="三厢轿车",'Data Export'!F925="掀背轿车",'Data Export'!F925="旅行车",'Data Export'!F925="微型车",'Data Export'!F925="硬顶跑车",'Data Export'!F925="敞蓬车",'Data Export'!F925="Targa"),"轿车",IF(OR('Data Export'!F925="小型MPV",'Data Export'!F925="客车"),"MPV",IF('Data Export'!F925="运动型多功能车","SUV","其他"))))</f>
        <v>轿车</v>
      </c>
      <c r="K925" s="62" t="str">
        <f>IF(OR(D925="",NOT(F925=1)),"",1+SUMPRODUCT(($F$2:$F$1001=1)*($D$2:$D$1001&gt;D925))+COUNTIFS($F$2:F925,1,$D$2:D925,D925)-1)</f>
        <v/>
      </c>
      <c r="L925" s="62" t="str">
        <f>IF(OR(D925="",NOT(G925="轿车")),"",1+SUMPRODUCT(($G$2:$G$1001="轿车")*($D$2:$D$1001&gt;D925))+COUNTIFS($G$2:G925,"轿车",$D$2:D925,D925)-1)</f>
        <v/>
      </c>
      <c r="M925" s="62" t="str">
        <f>IF(OR(D925="",NOT(G925="MPV")),"",1+SUMPRODUCT(($G$2:$G$1001="MPV")*($D$2:$D$1001&gt;D925))+COUNTIFS($G$2:G925,"MPV",$D$2:D925,D925)-1)</f>
        <v/>
      </c>
      <c r="N925" s="62" t="str">
        <f>IF(OR(D925="",NOT(G925="SUV")),"",1+SUMPRODUCT(($G$2:$G$1001="SUV")*($D$2:$D$1001&gt;D925))+COUNTIFS($G$2:G925,"SUV",$D$2:D925,D925)-1)</f>
        <v/>
      </c>
      <c r="O925" s="62" t="str">
        <f>IF(OR(D925="",NOT(AND(F925=1,G925="轿车"))),"",1+SUMPRODUCT(($F$2:$F$1001=1)*($G$2:$G$1001="轿车")*($D$2:$D$1001&gt;D925))+COUNTIFS($F$2:F925,1,$G$2:G925,"轿车",$D$2:D925,D925)-1)</f>
        <v/>
      </c>
      <c r="P925" s="62" t="str">
        <f>IF(OR(D925="",NOT(AND(F925=1,G925="MPV"))),"",1+SUMPRODUCT(($F$2:$F$1001=1)*($G$2:$G$1001="MPV")*($D$2:$D$1001&gt;D925))+COUNTIFS($F$2:F925,1,$G$2:G925,"MPV",$D$2:D925,D925)-1)</f>
        <v/>
      </c>
      <c r="Q925" s="62" t="str">
        <f>IF(OR(D925="",NOT(AND(F925=1,G925="SUV"))),"",1+SUMPRODUCT(($F$2:$F$1001=1)*($G$2:$G$1001="SUV")*($D$2:$D$1001&gt;D925))+COUNTIFS($F$2:F925,1,$G$2:G925,"SUV",$D$2:D925,D925)-1)</f>
        <v/>
      </c>
    </row>
    <row r="926" spans="1:17">
      <c r="A926" s="62" t="str">
        <f>IFERROR(INDEX($H$2:$H$3000,MATCH(0,INDEX(COUNTIF($A$1:A925,$H$2:$H$3000)+($H$2:$H$3000=""),0,0),0)),"")</f>
        <v/>
      </c>
      <c r="B926" s="62" t="str">
        <f t="shared" si="56"/>
        <v/>
      </c>
      <c r="C926" s="62" t="str">
        <f t="shared" si="57"/>
        <v/>
      </c>
      <c r="D926" s="63" t="str">
        <f t="shared" si="58"/>
        <v/>
      </c>
      <c r="E926" s="62" t="str">
        <f>IF(D926="","",_xlfn.RANK.EQ(D926,$D$2:$D$1001,0)+COUNTIF($D$2:D926,D926)-1)</f>
        <v/>
      </c>
      <c r="F926" s="62" t="str">
        <f>IF(B926="","",--(COUNTIF(CN_Brands!$A$2:$A$300,UPPER(B926))&gt;0))</f>
        <v/>
      </c>
      <c r="G926" s="62" t="str">
        <f t="shared" si="59"/>
        <v/>
      </c>
      <c r="H926" s="62" t="str">
        <f>IF(AND('Data Export'!A926=前十整体车型排名!$B$2,'Data Export'!B926=前十整体车型排名!$B$3,'Data Export'!D926&lt;&gt;""),UPPER('Data Export'!C926)&amp;"♦"&amp;'Data Export'!D926,"")</f>
        <v>TOYOTA♦YARIS</v>
      </c>
      <c r="I926" s="63">
        <f>IF(H926="","",IFERROR(INDEX('Data Export'!G926:CZ926,1,MATCH(前十整体车型排名!$B$4,'Data Export'!$G$1:$CZ$1,0)),0))</f>
        <v>0</v>
      </c>
      <c r="J926" s="62" t="str">
        <f>IF(H926="","",IF(OR('Data Export'!F926="三厢轿车",'Data Export'!F926="掀背轿车",'Data Export'!F926="旅行车",'Data Export'!F926="微型车",'Data Export'!F926="硬顶跑车",'Data Export'!F926="敞蓬车",'Data Export'!F926="Targa"),"轿车",IF(OR('Data Export'!F926="小型MPV",'Data Export'!F926="客车"),"MPV",IF('Data Export'!F926="运动型多功能车","SUV","其他"))))</f>
        <v>轿车</v>
      </c>
      <c r="K926" s="62" t="str">
        <f>IF(OR(D926="",NOT(F926=1)),"",1+SUMPRODUCT(($F$2:$F$1001=1)*($D$2:$D$1001&gt;D926))+COUNTIFS($F$2:F926,1,$D$2:D926,D926)-1)</f>
        <v/>
      </c>
      <c r="L926" s="62" t="str">
        <f>IF(OR(D926="",NOT(G926="轿车")),"",1+SUMPRODUCT(($G$2:$G$1001="轿车")*($D$2:$D$1001&gt;D926))+COUNTIFS($G$2:G926,"轿车",$D$2:D926,D926)-1)</f>
        <v/>
      </c>
      <c r="M926" s="62" t="str">
        <f>IF(OR(D926="",NOT(G926="MPV")),"",1+SUMPRODUCT(($G$2:$G$1001="MPV")*($D$2:$D$1001&gt;D926))+COUNTIFS($G$2:G926,"MPV",$D$2:D926,D926)-1)</f>
        <v/>
      </c>
      <c r="N926" s="62" t="str">
        <f>IF(OR(D926="",NOT(G926="SUV")),"",1+SUMPRODUCT(($G$2:$G$1001="SUV")*($D$2:$D$1001&gt;D926))+COUNTIFS($G$2:G926,"SUV",$D$2:D926,D926)-1)</f>
        <v/>
      </c>
      <c r="O926" s="62" t="str">
        <f>IF(OR(D926="",NOT(AND(F926=1,G926="轿车"))),"",1+SUMPRODUCT(($F$2:$F$1001=1)*($G$2:$G$1001="轿车")*($D$2:$D$1001&gt;D926))+COUNTIFS($F$2:F926,1,$G$2:G926,"轿车",$D$2:D926,D926)-1)</f>
        <v/>
      </c>
      <c r="P926" s="62" t="str">
        <f>IF(OR(D926="",NOT(AND(F926=1,G926="MPV"))),"",1+SUMPRODUCT(($F$2:$F$1001=1)*($G$2:$G$1001="MPV")*($D$2:$D$1001&gt;D926))+COUNTIFS($F$2:F926,1,$G$2:G926,"MPV",$D$2:D926,D926)-1)</f>
        <v/>
      </c>
      <c r="Q926" s="62" t="str">
        <f>IF(OR(D926="",NOT(AND(F926=1,G926="SUV"))),"",1+SUMPRODUCT(($F$2:$F$1001=1)*($G$2:$G$1001="SUV")*($D$2:$D$1001&gt;D926))+COUNTIFS($F$2:F926,1,$G$2:G926,"SUV",$D$2:D926,D926)-1)</f>
        <v/>
      </c>
    </row>
    <row r="927" spans="1:17">
      <c r="A927" s="62" t="str">
        <f>IFERROR(INDEX($H$2:$H$3000,MATCH(0,INDEX(COUNTIF($A$1:A926,$H$2:$H$3000)+($H$2:$H$3000=""),0,0),0)),"")</f>
        <v/>
      </c>
      <c r="B927" s="62" t="str">
        <f t="shared" si="56"/>
        <v/>
      </c>
      <c r="C927" s="62" t="str">
        <f t="shared" si="57"/>
        <v/>
      </c>
      <c r="D927" s="63" t="str">
        <f t="shared" si="58"/>
        <v/>
      </c>
      <c r="E927" s="62" t="str">
        <f>IF(D927="","",_xlfn.RANK.EQ(D927,$D$2:$D$1001,0)+COUNTIF($D$2:D927,D927)-1)</f>
        <v/>
      </c>
      <c r="F927" s="62" t="str">
        <f>IF(B927="","",--(COUNTIF(CN_Brands!$A$2:$A$300,UPPER(B927))&gt;0))</f>
        <v/>
      </c>
      <c r="G927" s="62" t="str">
        <f t="shared" si="59"/>
        <v/>
      </c>
      <c r="H927" s="62" t="str">
        <f>IF(AND('Data Export'!A927=前十整体车型排名!$B$2,'Data Export'!B927=前十整体车型排名!$B$3,'Data Export'!D927&lt;&gt;""),UPPER('Data Export'!C927)&amp;"♦"&amp;'Data Export'!D927,"")</f>
        <v>TOYOTA♦YARIS</v>
      </c>
      <c r="I927" s="63">
        <f>IF(H927="","",IFERROR(INDEX('Data Export'!G927:CZ927,1,MATCH(前十整体车型排名!$B$4,'Data Export'!$G$1:$CZ$1,0)),0))</f>
        <v>4</v>
      </c>
      <c r="J927" s="62" t="str">
        <f>IF(H927="","",IF(OR('Data Export'!F927="三厢轿车",'Data Export'!F927="掀背轿车",'Data Export'!F927="旅行车",'Data Export'!F927="微型车",'Data Export'!F927="硬顶跑车",'Data Export'!F927="敞蓬车",'Data Export'!F927="Targa"),"轿车",IF(OR('Data Export'!F927="小型MPV",'Data Export'!F927="客车"),"MPV",IF('Data Export'!F927="运动型多功能车","SUV","其他"))))</f>
        <v>轿车</v>
      </c>
      <c r="K927" s="62" t="str">
        <f>IF(OR(D927="",NOT(F927=1)),"",1+SUMPRODUCT(($F$2:$F$1001=1)*($D$2:$D$1001&gt;D927))+COUNTIFS($F$2:F927,1,$D$2:D927,D927)-1)</f>
        <v/>
      </c>
      <c r="L927" s="62" t="str">
        <f>IF(OR(D927="",NOT(G927="轿车")),"",1+SUMPRODUCT(($G$2:$G$1001="轿车")*($D$2:$D$1001&gt;D927))+COUNTIFS($G$2:G927,"轿车",$D$2:D927,D927)-1)</f>
        <v/>
      </c>
      <c r="M927" s="62" t="str">
        <f>IF(OR(D927="",NOT(G927="MPV")),"",1+SUMPRODUCT(($G$2:$G$1001="MPV")*($D$2:$D$1001&gt;D927))+COUNTIFS($G$2:G927,"MPV",$D$2:D927,D927)-1)</f>
        <v/>
      </c>
      <c r="N927" s="62" t="str">
        <f>IF(OR(D927="",NOT(G927="SUV")),"",1+SUMPRODUCT(($G$2:$G$1001="SUV")*($D$2:$D$1001&gt;D927))+COUNTIFS($G$2:G927,"SUV",$D$2:D927,D927)-1)</f>
        <v/>
      </c>
      <c r="O927" s="62" t="str">
        <f>IF(OR(D927="",NOT(AND(F927=1,G927="轿车"))),"",1+SUMPRODUCT(($F$2:$F$1001=1)*($G$2:$G$1001="轿车")*($D$2:$D$1001&gt;D927))+COUNTIFS($F$2:F927,1,$G$2:G927,"轿车",$D$2:D927,D927)-1)</f>
        <v/>
      </c>
      <c r="P927" s="62" t="str">
        <f>IF(OR(D927="",NOT(AND(F927=1,G927="MPV"))),"",1+SUMPRODUCT(($F$2:$F$1001=1)*($G$2:$G$1001="MPV")*($D$2:$D$1001&gt;D927))+COUNTIFS($F$2:F927,1,$G$2:G927,"MPV",$D$2:D927,D927)-1)</f>
        <v/>
      </c>
      <c r="Q927" s="62" t="str">
        <f>IF(OR(D927="",NOT(AND(F927=1,G927="SUV"))),"",1+SUMPRODUCT(($F$2:$F$1001=1)*($G$2:$G$1001="SUV")*($D$2:$D$1001&gt;D927))+COUNTIFS($F$2:F927,1,$G$2:G927,"SUV",$D$2:D927,D927)-1)</f>
        <v/>
      </c>
    </row>
    <row r="928" spans="1:17">
      <c r="A928" s="62" t="str">
        <f>IFERROR(INDEX($H$2:$H$3000,MATCH(0,INDEX(COUNTIF($A$1:A927,$H$2:$H$3000)+($H$2:$H$3000=""),0,0),0)),"")</f>
        <v/>
      </c>
      <c r="B928" s="62" t="str">
        <f t="shared" si="56"/>
        <v/>
      </c>
      <c r="C928" s="62" t="str">
        <f t="shared" si="57"/>
        <v/>
      </c>
      <c r="D928" s="63" t="str">
        <f t="shared" si="58"/>
        <v/>
      </c>
      <c r="E928" s="62" t="str">
        <f>IF(D928="","",_xlfn.RANK.EQ(D928,$D$2:$D$1001,0)+COUNTIF($D$2:D928,D928)-1)</f>
        <v/>
      </c>
      <c r="F928" s="62" t="str">
        <f>IF(B928="","",--(COUNTIF(CN_Brands!$A$2:$A$300,UPPER(B928))&gt;0))</f>
        <v/>
      </c>
      <c r="G928" s="62" t="str">
        <f t="shared" si="59"/>
        <v/>
      </c>
      <c r="H928" s="62" t="str">
        <f>IF(AND('Data Export'!A928=前十整体车型排名!$B$2,'Data Export'!B928=前十整体车型排名!$B$3,'Data Export'!D928&lt;&gt;""),UPPER('Data Export'!C928)&amp;"♦"&amp;'Data Export'!D928,"")</f>
        <v>TOYOTA♦YARIS</v>
      </c>
      <c r="I928" s="63">
        <f>IF(H928="","",IFERROR(INDEX('Data Export'!G928:CZ928,1,MATCH(前十整体车型排名!$B$4,'Data Export'!$G$1:$CZ$1,0)),0))</f>
        <v>0</v>
      </c>
      <c r="J928" s="62" t="str">
        <f>IF(H928="","",IF(OR('Data Export'!F928="三厢轿车",'Data Export'!F928="掀背轿车",'Data Export'!F928="旅行车",'Data Export'!F928="微型车",'Data Export'!F928="硬顶跑车",'Data Export'!F928="敞蓬车",'Data Export'!F928="Targa"),"轿车",IF(OR('Data Export'!F928="小型MPV",'Data Export'!F928="客车"),"MPV",IF('Data Export'!F928="运动型多功能车","SUV","其他"))))</f>
        <v>轿车</v>
      </c>
      <c r="K928" s="62" t="str">
        <f>IF(OR(D928="",NOT(F928=1)),"",1+SUMPRODUCT(($F$2:$F$1001=1)*($D$2:$D$1001&gt;D928))+COUNTIFS($F$2:F928,1,$D$2:D928,D928)-1)</f>
        <v/>
      </c>
      <c r="L928" s="62" t="str">
        <f>IF(OR(D928="",NOT(G928="轿车")),"",1+SUMPRODUCT(($G$2:$G$1001="轿车")*($D$2:$D$1001&gt;D928))+COUNTIFS($G$2:G928,"轿车",$D$2:D928,D928)-1)</f>
        <v/>
      </c>
      <c r="M928" s="62" t="str">
        <f>IF(OR(D928="",NOT(G928="MPV")),"",1+SUMPRODUCT(($G$2:$G$1001="MPV")*($D$2:$D$1001&gt;D928))+COUNTIFS($G$2:G928,"MPV",$D$2:D928,D928)-1)</f>
        <v/>
      </c>
      <c r="N928" s="62" t="str">
        <f>IF(OR(D928="",NOT(G928="SUV")),"",1+SUMPRODUCT(($G$2:$G$1001="SUV")*($D$2:$D$1001&gt;D928))+COUNTIFS($G$2:G928,"SUV",$D$2:D928,D928)-1)</f>
        <v/>
      </c>
      <c r="O928" s="62" t="str">
        <f>IF(OR(D928="",NOT(AND(F928=1,G928="轿车"))),"",1+SUMPRODUCT(($F$2:$F$1001=1)*($G$2:$G$1001="轿车")*($D$2:$D$1001&gt;D928))+COUNTIFS($F$2:F928,1,$G$2:G928,"轿车",$D$2:D928,D928)-1)</f>
        <v/>
      </c>
      <c r="P928" s="62" t="str">
        <f>IF(OR(D928="",NOT(AND(F928=1,G928="MPV"))),"",1+SUMPRODUCT(($F$2:$F$1001=1)*($G$2:$G$1001="MPV")*($D$2:$D$1001&gt;D928))+COUNTIFS($F$2:F928,1,$G$2:G928,"MPV",$D$2:D928,D928)-1)</f>
        <v/>
      </c>
      <c r="Q928" s="62" t="str">
        <f>IF(OR(D928="",NOT(AND(F928=1,G928="SUV"))),"",1+SUMPRODUCT(($F$2:$F$1001=1)*($G$2:$G$1001="SUV")*($D$2:$D$1001&gt;D928))+COUNTIFS($F$2:F928,1,$G$2:G928,"SUV",$D$2:D928,D928)-1)</f>
        <v/>
      </c>
    </row>
    <row r="929" spans="1:17">
      <c r="A929" s="62" t="str">
        <f>IFERROR(INDEX($H$2:$H$3000,MATCH(0,INDEX(COUNTIF($A$1:A928,$H$2:$H$3000)+($H$2:$H$3000=""),0,0),0)),"")</f>
        <v/>
      </c>
      <c r="B929" s="62" t="str">
        <f t="shared" si="56"/>
        <v/>
      </c>
      <c r="C929" s="62" t="str">
        <f t="shared" si="57"/>
        <v/>
      </c>
      <c r="D929" s="63" t="str">
        <f t="shared" si="58"/>
        <v/>
      </c>
      <c r="E929" s="62" t="str">
        <f>IF(D929="","",_xlfn.RANK.EQ(D929,$D$2:$D$1001,0)+COUNTIF($D$2:D929,D929)-1)</f>
        <v/>
      </c>
      <c r="F929" s="62" t="str">
        <f>IF(B929="","",--(COUNTIF(CN_Brands!$A$2:$A$300,UPPER(B929))&gt;0))</f>
        <v/>
      </c>
      <c r="G929" s="62" t="str">
        <f t="shared" si="59"/>
        <v/>
      </c>
      <c r="H929" s="62" t="str">
        <f>IF(AND('Data Export'!A929=前十整体车型排名!$B$2,'Data Export'!B929=前十整体车型排名!$B$3,'Data Export'!D929&lt;&gt;""),UPPER('Data Export'!C929)&amp;"♦"&amp;'Data Export'!D929,"")</f>
        <v>TOYOTA♦YARIS ATIV</v>
      </c>
      <c r="I929" s="63">
        <f>IF(H929="","",IFERROR(INDEX('Data Export'!G929:CZ929,1,MATCH(前十整体车型排名!$B$4,'Data Export'!$G$1:$CZ$1,0)),0))</f>
        <v>5691</v>
      </c>
      <c r="J929" s="62" t="str">
        <f>IF(H929="","",IF(OR('Data Export'!F929="三厢轿车",'Data Export'!F929="掀背轿车",'Data Export'!F929="旅行车",'Data Export'!F929="微型车",'Data Export'!F929="硬顶跑车",'Data Export'!F929="敞蓬车",'Data Export'!F929="Targa"),"轿车",IF(OR('Data Export'!F929="小型MPV",'Data Export'!F929="客车"),"MPV",IF('Data Export'!F929="运动型多功能车","SUV","其他"))))</f>
        <v>轿车</v>
      </c>
      <c r="K929" s="62" t="str">
        <f>IF(OR(D929="",NOT(F929=1)),"",1+SUMPRODUCT(($F$2:$F$1001=1)*($D$2:$D$1001&gt;D929))+COUNTIFS($F$2:F929,1,$D$2:D929,D929)-1)</f>
        <v/>
      </c>
      <c r="L929" s="62" t="str">
        <f>IF(OR(D929="",NOT(G929="轿车")),"",1+SUMPRODUCT(($G$2:$G$1001="轿车")*($D$2:$D$1001&gt;D929))+COUNTIFS($G$2:G929,"轿车",$D$2:D929,D929)-1)</f>
        <v/>
      </c>
      <c r="M929" s="62" t="str">
        <f>IF(OR(D929="",NOT(G929="MPV")),"",1+SUMPRODUCT(($G$2:$G$1001="MPV")*($D$2:$D$1001&gt;D929))+COUNTIFS($G$2:G929,"MPV",$D$2:D929,D929)-1)</f>
        <v/>
      </c>
      <c r="N929" s="62" t="str">
        <f>IF(OR(D929="",NOT(G929="SUV")),"",1+SUMPRODUCT(($G$2:$G$1001="SUV")*($D$2:$D$1001&gt;D929))+COUNTIFS($G$2:G929,"SUV",$D$2:D929,D929)-1)</f>
        <v/>
      </c>
      <c r="O929" s="62" t="str">
        <f>IF(OR(D929="",NOT(AND(F929=1,G929="轿车"))),"",1+SUMPRODUCT(($F$2:$F$1001=1)*($G$2:$G$1001="轿车")*($D$2:$D$1001&gt;D929))+COUNTIFS($F$2:F929,1,$G$2:G929,"轿车",$D$2:D929,D929)-1)</f>
        <v/>
      </c>
      <c r="P929" s="62" t="str">
        <f>IF(OR(D929="",NOT(AND(F929=1,G929="MPV"))),"",1+SUMPRODUCT(($F$2:$F$1001=1)*($G$2:$G$1001="MPV")*($D$2:$D$1001&gt;D929))+COUNTIFS($F$2:F929,1,$G$2:G929,"MPV",$D$2:D929,D929)-1)</f>
        <v/>
      </c>
      <c r="Q929" s="62" t="str">
        <f>IF(OR(D929="",NOT(AND(F929=1,G929="SUV"))),"",1+SUMPRODUCT(($F$2:$F$1001=1)*($G$2:$G$1001="SUV")*($D$2:$D$1001&gt;D929))+COUNTIFS($F$2:F929,1,$G$2:G929,"SUV",$D$2:D929,D929)-1)</f>
        <v/>
      </c>
    </row>
    <row r="930" spans="1:17">
      <c r="A930" s="62" t="str">
        <f>IFERROR(INDEX($H$2:$H$3000,MATCH(0,INDEX(COUNTIF($A$1:A929,$H$2:$H$3000)+($H$2:$H$3000=""),0,0),0)),"")</f>
        <v/>
      </c>
      <c r="B930" s="62" t="str">
        <f t="shared" si="56"/>
        <v/>
      </c>
      <c r="C930" s="62" t="str">
        <f t="shared" si="57"/>
        <v/>
      </c>
      <c r="D930" s="63" t="str">
        <f t="shared" si="58"/>
        <v/>
      </c>
      <c r="E930" s="62" t="str">
        <f>IF(D930="","",_xlfn.RANK.EQ(D930,$D$2:$D$1001,0)+COUNTIF($D$2:D930,D930)-1)</f>
        <v/>
      </c>
      <c r="F930" s="62" t="str">
        <f>IF(B930="","",--(COUNTIF(CN_Brands!$A$2:$A$300,UPPER(B930))&gt;0))</f>
        <v/>
      </c>
      <c r="G930" s="62" t="str">
        <f t="shared" si="59"/>
        <v/>
      </c>
      <c r="H930" s="62" t="str">
        <f>IF(AND('Data Export'!A930=前十整体车型排名!$B$2,'Data Export'!B930=前十整体车型排名!$B$3,'Data Export'!D930&lt;&gt;""),UPPER('Data Export'!C930)&amp;"♦"&amp;'Data Export'!D930,"")</f>
        <v>TOYOTA♦YARIS CROSS</v>
      </c>
      <c r="I930" s="63">
        <f>IF(H930="","",IFERROR(INDEX('Data Export'!G930:CZ930,1,MATCH(前十整体车型排名!$B$4,'Data Export'!$G$1:$CZ$1,0)),0))</f>
        <v>2671</v>
      </c>
      <c r="J930" s="62" t="str">
        <f>IF(H930="","",IF(OR('Data Export'!F930="三厢轿车",'Data Export'!F930="掀背轿车",'Data Export'!F930="旅行车",'Data Export'!F930="微型车",'Data Export'!F930="硬顶跑车",'Data Export'!F930="敞蓬车",'Data Export'!F930="Targa"),"轿车",IF(OR('Data Export'!F930="小型MPV",'Data Export'!F930="客车"),"MPV",IF('Data Export'!F930="运动型多功能车","SUV","其他"))))</f>
        <v>SUV</v>
      </c>
      <c r="K930" s="62" t="str">
        <f>IF(OR(D930="",NOT(F930=1)),"",1+SUMPRODUCT(($F$2:$F$1001=1)*($D$2:$D$1001&gt;D930))+COUNTIFS($F$2:F930,1,$D$2:D930,D930)-1)</f>
        <v/>
      </c>
      <c r="L930" s="62" t="str">
        <f>IF(OR(D930="",NOT(G930="轿车")),"",1+SUMPRODUCT(($G$2:$G$1001="轿车")*($D$2:$D$1001&gt;D930))+COUNTIFS($G$2:G930,"轿车",$D$2:D930,D930)-1)</f>
        <v/>
      </c>
      <c r="M930" s="62" t="str">
        <f>IF(OR(D930="",NOT(G930="MPV")),"",1+SUMPRODUCT(($G$2:$G$1001="MPV")*($D$2:$D$1001&gt;D930))+COUNTIFS($G$2:G930,"MPV",$D$2:D930,D930)-1)</f>
        <v/>
      </c>
      <c r="N930" s="62" t="str">
        <f>IF(OR(D930="",NOT(G930="SUV")),"",1+SUMPRODUCT(($G$2:$G$1001="SUV")*($D$2:$D$1001&gt;D930))+COUNTIFS($G$2:G930,"SUV",$D$2:D930,D930)-1)</f>
        <v/>
      </c>
      <c r="O930" s="62" t="str">
        <f>IF(OR(D930="",NOT(AND(F930=1,G930="轿车"))),"",1+SUMPRODUCT(($F$2:$F$1001=1)*($G$2:$G$1001="轿车")*($D$2:$D$1001&gt;D930))+COUNTIFS($F$2:F930,1,$G$2:G930,"轿车",$D$2:D930,D930)-1)</f>
        <v/>
      </c>
      <c r="P930" s="62" t="str">
        <f>IF(OR(D930="",NOT(AND(F930=1,G930="MPV"))),"",1+SUMPRODUCT(($F$2:$F$1001=1)*($G$2:$G$1001="MPV")*($D$2:$D$1001&gt;D930))+COUNTIFS($F$2:F930,1,$G$2:G930,"MPV",$D$2:D930,D930)-1)</f>
        <v/>
      </c>
      <c r="Q930" s="62" t="str">
        <f>IF(OR(D930="",NOT(AND(F930=1,G930="SUV"))),"",1+SUMPRODUCT(($F$2:$F$1001=1)*($G$2:$G$1001="SUV")*($D$2:$D$1001&gt;D930))+COUNTIFS($F$2:F930,1,$G$2:G930,"SUV",$D$2:D930,D930)-1)</f>
        <v/>
      </c>
    </row>
    <row r="931" spans="1:17">
      <c r="A931" s="62" t="str">
        <f>IFERROR(INDEX($H$2:$H$3000,MATCH(0,INDEX(COUNTIF($A$1:A930,$H$2:$H$3000)+($H$2:$H$3000=""),0,0),0)),"")</f>
        <v/>
      </c>
      <c r="B931" s="62" t="str">
        <f t="shared" si="56"/>
        <v/>
      </c>
      <c r="C931" s="62" t="str">
        <f t="shared" si="57"/>
        <v/>
      </c>
      <c r="D931" s="63" t="str">
        <f t="shared" si="58"/>
        <v/>
      </c>
      <c r="E931" s="62" t="str">
        <f>IF(D931="","",_xlfn.RANK.EQ(D931,$D$2:$D$1001,0)+COUNTIF($D$2:D931,D931)-1)</f>
        <v/>
      </c>
      <c r="F931" s="62" t="str">
        <f>IF(B931="","",--(COUNTIF(CN_Brands!$A$2:$A$300,UPPER(B931))&gt;0))</f>
        <v/>
      </c>
      <c r="G931" s="62" t="str">
        <f t="shared" si="59"/>
        <v/>
      </c>
      <c r="H931" s="62" t="str">
        <f>IF(AND('Data Export'!A931=前十整体车型排名!$B$2,'Data Export'!B931=前十整体车型排名!$B$3,'Data Export'!D931&lt;&gt;""),UPPER('Data Export'!C931)&amp;"♦"&amp;'Data Export'!D931,"")</f>
        <v>VIAUTO♦BOMA</v>
      </c>
      <c r="I931" s="63">
        <f>IF(H931="","",IFERROR(INDEX('Data Export'!G931:CZ931,1,MATCH(前十整体车型排名!$B$4,'Data Export'!$G$1:$CZ$1,0)),0))</f>
        <v>1</v>
      </c>
      <c r="J931" s="62" t="str">
        <f>IF(H931="","",IF(OR('Data Export'!F931="三厢轿车",'Data Export'!F931="掀背轿车",'Data Export'!F931="旅行车",'Data Export'!F931="微型车",'Data Export'!F931="硬顶跑车",'Data Export'!F931="敞蓬车",'Data Export'!F931="Targa"),"轿车",IF(OR('Data Export'!F931="小型MPV",'Data Export'!F931="客车"),"MPV",IF('Data Export'!F931="运动型多功能车","SUV","其他"))))</f>
        <v>其他</v>
      </c>
      <c r="K931" s="62" t="str">
        <f>IF(OR(D931="",NOT(F931=1)),"",1+SUMPRODUCT(($F$2:$F$1001=1)*($D$2:$D$1001&gt;D931))+COUNTIFS($F$2:F931,1,$D$2:D931,D931)-1)</f>
        <v/>
      </c>
      <c r="L931" s="62" t="str">
        <f>IF(OR(D931="",NOT(G931="轿车")),"",1+SUMPRODUCT(($G$2:$G$1001="轿车")*($D$2:$D$1001&gt;D931))+COUNTIFS($G$2:G931,"轿车",$D$2:D931,D931)-1)</f>
        <v/>
      </c>
      <c r="M931" s="62" t="str">
        <f>IF(OR(D931="",NOT(G931="MPV")),"",1+SUMPRODUCT(($G$2:$G$1001="MPV")*($D$2:$D$1001&gt;D931))+COUNTIFS($G$2:G931,"MPV",$D$2:D931,D931)-1)</f>
        <v/>
      </c>
      <c r="N931" s="62" t="str">
        <f>IF(OR(D931="",NOT(G931="SUV")),"",1+SUMPRODUCT(($G$2:$G$1001="SUV")*($D$2:$D$1001&gt;D931))+COUNTIFS($G$2:G931,"SUV",$D$2:D931,D931)-1)</f>
        <v/>
      </c>
      <c r="O931" s="62" t="str">
        <f>IF(OR(D931="",NOT(AND(F931=1,G931="轿车"))),"",1+SUMPRODUCT(($F$2:$F$1001=1)*($G$2:$G$1001="轿车")*($D$2:$D$1001&gt;D931))+COUNTIFS($F$2:F931,1,$G$2:G931,"轿车",$D$2:D931,D931)-1)</f>
        <v/>
      </c>
      <c r="P931" s="62" t="str">
        <f>IF(OR(D931="",NOT(AND(F931=1,G931="MPV"))),"",1+SUMPRODUCT(($F$2:$F$1001=1)*($G$2:$G$1001="MPV")*($D$2:$D$1001&gt;D931))+COUNTIFS($F$2:F931,1,$G$2:G931,"MPV",$D$2:D931,D931)-1)</f>
        <v/>
      </c>
      <c r="Q931" s="62" t="str">
        <f>IF(OR(D931="",NOT(AND(F931=1,G931="SUV"))),"",1+SUMPRODUCT(($F$2:$F$1001=1)*($G$2:$G$1001="SUV")*($D$2:$D$1001&gt;D931))+COUNTIFS($F$2:F931,1,$G$2:G931,"SUV",$D$2:D931,D931)-1)</f>
        <v/>
      </c>
    </row>
    <row r="932" spans="1:17">
      <c r="A932" s="62" t="str">
        <f>IFERROR(INDEX($H$2:$H$3000,MATCH(0,INDEX(COUNTIF($A$1:A931,$H$2:$H$3000)+($H$2:$H$3000=""),0,0),0)),"")</f>
        <v/>
      </c>
      <c r="B932" s="62" t="str">
        <f t="shared" si="56"/>
        <v/>
      </c>
      <c r="C932" s="62" t="str">
        <f t="shared" si="57"/>
        <v/>
      </c>
      <c r="D932" s="63" t="str">
        <f t="shared" si="58"/>
        <v/>
      </c>
      <c r="E932" s="62" t="str">
        <f>IF(D932="","",_xlfn.RANK.EQ(D932,$D$2:$D$1001,0)+COUNTIF($D$2:D932,D932)-1)</f>
        <v/>
      </c>
      <c r="F932" s="62" t="str">
        <f>IF(B932="","",--(COUNTIF(CN_Brands!$A$2:$A$300,UPPER(B932))&gt;0))</f>
        <v/>
      </c>
      <c r="G932" s="62" t="str">
        <f t="shared" si="59"/>
        <v/>
      </c>
      <c r="H932" s="62" t="str">
        <f>IF(AND('Data Export'!A932=前十整体车型排名!$B$2,'Data Export'!B932=前十整体车型排名!$B$3,'Data Export'!D932&lt;&gt;""),UPPER('Data Export'!C932)&amp;"♦"&amp;'Data Export'!D932,"")</f>
        <v>VOLKSWAGEN♦CADDY</v>
      </c>
      <c r="I932" s="63">
        <f>IF(H932="","",IFERROR(INDEX('Data Export'!G932:CZ932,1,MATCH(前十整体车型排名!$B$4,'Data Export'!$G$1:$CZ$1,0)),0))</f>
        <v>0</v>
      </c>
      <c r="J932" s="62" t="str">
        <f>IF(H932="","",IF(OR('Data Export'!F932="三厢轿车",'Data Export'!F932="掀背轿车",'Data Export'!F932="旅行车",'Data Export'!F932="微型车",'Data Export'!F932="硬顶跑车",'Data Export'!F932="敞蓬车",'Data Export'!F932="Targa"),"轿车",IF(OR('Data Export'!F932="小型MPV",'Data Export'!F932="客车"),"MPV",IF('Data Export'!F932="运动型多功能车","SUV","其他"))))</f>
        <v>其他</v>
      </c>
      <c r="K932" s="62" t="str">
        <f>IF(OR(D932="",NOT(F932=1)),"",1+SUMPRODUCT(($F$2:$F$1001=1)*($D$2:$D$1001&gt;D932))+COUNTIFS($F$2:F932,1,$D$2:D932,D932)-1)</f>
        <v/>
      </c>
      <c r="L932" s="62" t="str">
        <f>IF(OR(D932="",NOT(G932="轿车")),"",1+SUMPRODUCT(($G$2:$G$1001="轿车")*($D$2:$D$1001&gt;D932))+COUNTIFS($G$2:G932,"轿车",$D$2:D932,D932)-1)</f>
        <v/>
      </c>
      <c r="M932" s="62" t="str">
        <f>IF(OR(D932="",NOT(G932="MPV")),"",1+SUMPRODUCT(($G$2:$G$1001="MPV")*($D$2:$D$1001&gt;D932))+COUNTIFS($G$2:G932,"MPV",$D$2:D932,D932)-1)</f>
        <v/>
      </c>
      <c r="N932" s="62" t="str">
        <f>IF(OR(D932="",NOT(G932="SUV")),"",1+SUMPRODUCT(($G$2:$G$1001="SUV")*($D$2:$D$1001&gt;D932))+COUNTIFS($G$2:G932,"SUV",$D$2:D932,D932)-1)</f>
        <v/>
      </c>
      <c r="O932" s="62" t="str">
        <f>IF(OR(D932="",NOT(AND(F932=1,G932="轿车"))),"",1+SUMPRODUCT(($F$2:$F$1001=1)*($G$2:$G$1001="轿车")*($D$2:$D$1001&gt;D932))+COUNTIFS($F$2:F932,1,$G$2:G932,"轿车",$D$2:D932,D932)-1)</f>
        <v/>
      </c>
      <c r="P932" s="62" t="str">
        <f>IF(OR(D932="",NOT(AND(F932=1,G932="MPV"))),"",1+SUMPRODUCT(($F$2:$F$1001=1)*($G$2:$G$1001="MPV")*($D$2:$D$1001&gt;D932))+COUNTIFS($F$2:F932,1,$G$2:G932,"MPV",$D$2:D932,D932)-1)</f>
        <v/>
      </c>
      <c r="Q932" s="62" t="str">
        <f>IF(OR(D932="",NOT(AND(F932=1,G932="SUV"))),"",1+SUMPRODUCT(($F$2:$F$1001=1)*($G$2:$G$1001="SUV")*($D$2:$D$1001&gt;D932))+COUNTIFS($F$2:F932,1,$G$2:G932,"SUV",$D$2:D932,D932)-1)</f>
        <v/>
      </c>
    </row>
    <row r="933" spans="1:17">
      <c r="A933" s="62" t="str">
        <f>IFERROR(INDEX($H$2:$H$3000,MATCH(0,INDEX(COUNTIF($A$1:A932,$H$2:$H$3000)+($H$2:$H$3000=""),0,0),0)),"")</f>
        <v/>
      </c>
      <c r="B933" s="62" t="str">
        <f t="shared" si="56"/>
        <v/>
      </c>
      <c r="C933" s="62" t="str">
        <f t="shared" si="57"/>
        <v/>
      </c>
      <c r="D933" s="63" t="str">
        <f t="shared" si="58"/>
        <v/>
      </c>
      <c r="E933" s="62" t="str">
        <f>IF(D933="","",_xlfn.RANK.EQ(D933,$D$2:$D$1001,0)+COUNTIF($D$2:D933,D933)-1)</f>
        <v/>
      </c>
      <c r="F933" s="62" t="str">
        <f>IF(B933="","",--(COUNTIF(CN_Brands!$A$2:$A$300,UPPER(B933))&gt;0))</f>
        <v/>
      </c>
      <c r="G933" s="62" t="str">
        <f t="shared" si="59"/>
        <v/>
      </c>
      <c r="H933" s="62" t="str">
        <f>IF(AND('Data Export'!A933=前十整体车型排名!$B$2,'Data Export'!B933=前十整体车型排名!$B$3,'Data Export'!D933&lt;&gt;""),UPPER('Data Export'!C933)&amp;"♦"&amp;'Data Export'!D933,"")</f>
        <v>VOLKSWAGEN♦CADDY</v>
      </c>
      <c r="I933" s="63">
        <f>IF(H933="","",IFERROR(INDEX('Data Export'!G933:CZ933,1,MATCH(前十整体车型排名!$B$4,'Data Export'!$G$1:$CZ$1,0)),0))</f>
        <v>2</v>
      </c>
      <c r="J933" s="62" t="str">
        <f>IF(H933="","",IF(OR('Data Export'!F933="三厢轿车",'Data Export'!F933="掀背轿车",'Data Export'!F933="旅行车",'Data Export'!F933="微型车",'Data Export'!F933="硬顶跑车",'Data Export'!F933="敞蓬车",'Data Export'!F933="Targa"),"轿车",IF(OR('Data Export'!F933="小型MPV",'Data Export'!F933="客车"),"MPV",IF('Data Export'!F933="运动型多功能车","SUV","其他"))))</f>
        <v>其他</v>
      </c>
      <c r="K933" s="62" t="str">
        <f>IF(OR(D933="",NOT(F933=1)),"",1+SUMPRODUCT(($F$2:$F$1001=1)*($D$2:$D$1001&gt;D933))+COUNTIFS($F$2:F933,1,$D$2:D933,D933)-1)</f>
        <v/>
      </c>
      <c r="L933" s="62" t="str">
        <f>IF(OR(D933="",NOT(G933="轿车")),"",1+SUMPRODUCT(($G$2:$G$1001="轿车")*($D$2:$D$1001&gt;D933))+COUNTIFS($G$2:G933,"轿车",$D$2:D933,D933)-1)</f>
        <v/>
      </c>
      <c r="M933" s="62" t="str">
        <f>IF(OR(D933="",NOT(G933="MPV")),"",1+SUMPRODUCT(($G$2:$G$1001="MPV")*($D$2:$D$1001&gt;D933))+COUNTIFS($G$2:G933,"MPV",$D$2:D933,D933)-1)</f>
        <v/>
      </c>
      <c r="N933" s="62" t="str">
        <f>IF(OR(D933="",NOT(G933="SUV")),"",1+SUMPRODUCT(($G$2:$G$1001="SUV")*($D$2:$D$1001&gt;D933))+COUNTIFS($G$2:G933,"SUV",$D$2:D933,D933)-1)</f>
        <v/>
      </c>
      <c r="O933" s="62" t="str">
        <f>IF(OR(D933="",NOT(AND(F933=1,G933="轿车"))),"",1+SUMPRODUCT(($F$2:$F$1001=1)*($G$2:$G$1001="轿车")*($D$2:$D$1001&gt;D933))+COUNTIFS($F$2:F933,1,$G$2:G933,"轿车",$D$2:D933,D933)-1)</f>
        <v/>
      </c>
      <c r="P933" s="62" t="str">
        <f>IF(OR(D933="",NOT(AND(F933=1,G933="MPV"))),"",1+SUMPRODUCT(($F$2:$F$1001=1)*($G$2:$G$1001="MPV")*($D$2:$D$1001&gt;D933))+COUNTIFS($F$2:F933,1,$G$2:G933,"MPV",$D$2:D933,D933)-1)</f>
        <v/>
      </c>
      <c r="Q933" s="62" t="str">
        <f>IF(OR(D933="",NOT(AND(F933=1,G933="SUV"))),"",1+SUMPRODUCT(($F$2:$F$1001=1)*($G$2:$G$1001="SUV")*($D$2:$D$1001&gt;D933))+COUNTIFS($F$2:F933,1,$G$2:G933,"SUV",$D$2:D933,D933)-1)</f>
        <v/>
      </c>
    </row>
    <row r="934" spans="1:17">
      <c r="A934" s="62" t="str">
        <f>IFERROR(INDEX($H$2:$H$3000,MATCH(0,INDEX(COUNTIF($A$1:A933,$H$2:$H$3000)+($H$2:$H$3000=""),0,0),0)),"")</f>
        <v/>
      </c>
      <c r="B934" s="62" t="str">
        <f t="shared" si="56"/>
        <v/>
      </c>
      <c r="C934" s="62" t="str">
        <f t="shared" si="57"/>
        <v/>
      </c>
      <c r="D934" s="63" t="str">
        <f t="shared" si="58"/>
        <v/>
      </c>
      <c r="E934" s="62" t="str">
        <f>IF(D934="","",_xlfn.RANK.EQ(D934,$D$2:$D$1001,0)+COUNTIF($D$2:D934,D934)-1)</f>
        <v/>
      </c>
      <c r="F934" s="62" t="str">
        <f>IF(B934="","",--(COUNTIF(CN_Brands!$A$2:$A$300,UPPER(B934))&gt;0))</f>
        <v/>
      </c>
      <c r="G934" s="62" t="str">
        <f t="shared" si="59"/>
        <v/>
      </c>
      <c r="H934" s="62" t="str">
        <f>IF(AND('Data Export'!A934=前十整体车型排名!$B$2,'Data Export'!B934=前十整体车型排名!$B$3,'Data Export'!D934&lt;&gt;""),UPPER('Data Export'!C934)&amp;"♦"&amp;'Data Export'!D934,"")</f>
        <v>VOLKSWAGEN♦CARAVELLE</v>
      </c>
      <c r="I934" s="63">
        <f>IF(H934="","",IFERROR(INDEX('Data Export'!G934:CZ934,1,MATCH(前十整体车型排名!$B$4,'Data Export'!$G$1:$CZ$1,0)),0))</f>
        <v>2</v>
      </c>
      <c r="J934" s="62" t="str">
        <f>IF(H934="","",IF(OR('Data Export'!F934="三厢轿车",'Data Export'!F934="掀背轿车",'Data Export'!F934="旅行车",'Data Export'!F934="微型车",'Data Export'!F934="硬顶跑车",'Data Export'!F934="敞蓬车",'Data Export'!F934="Targa"),"轿车",IF(OR('Data Export'!F934="小型MPV",'Data Export'!F934="客车"),"MPV",IF('Data Export'!F934="运动型多功能车","SUV","其他"))))</f>
        <v>其他</v>
      </c>
      <c r="K934" s="62" t="str">
        <f>IF(OR(D934="",NOT(F934=1)),"",1+SUMPRODUCT(($F$2:$F$1001=1)*($D$2:$D$1001&gt;D934))+COUNTIFS($F$2:F934,1,$D$2:D934,D934)-1)</f>
        <v/>
      </c>
      <c r="L934" s="62" t="str">
        <f>IF(OR(D934="",NOT(G934="轿车")),"",1+SUMPRODUCT(($G$2:$G$1001="轿车")*($D$2:$D$1001&gt;D934))+COUNTIFS($G$2:G934,"轿车",$D$2:D934,D934)-1)</f>
        <v/>
      </c>
      <c r="M934" s="62" t="str">
        <f>IF(OR(D934="",NOT(G934="MPV")),"",1+SUMPRODUCT(($G$2:$G$1001="MPV")*($D$2:$D$1001&gt;D934))+COUNTIFS($G$2:G934,"MPV",$D$2:D934,D934)-1)</f>
        <v/>
      </c>
      <c r="N934" s="62" t="str">
        <f>IF(OR(D934="",NOT(G934="SUV")),"",1+SUMPRODUCT(($G$2:$G$1001="SUV")*($D$2:$D$1001&gt;D934))+COUNTIFS($G$2:G934,"SUV",$D$2:D934,D934)-1)</f>
        <v/>
      </c>
      <c r="O934" s="62" t="str">
        <f>IF(OR(D934="",NOT(AND(F934=1,G934="轿车"))),"",1+SUMPRODUCT(($F$2:$F$1001=1)*($G$2:$G$1001="轿车")*($D$2:$D$1001&gt;D934))+COUNTIFS($F$2:F934,1,$G$2:G934,"轿车",$D$2:D934,D934)-1)</f>
        <v/>
      </c>
      <c r="P934" s="62" t="str">
        <f>IF(OR(D934="",NOT(AND(F934=1,G934="MPV"))),"",1+SUMPRODUCT(($F$2:$F$1001=1)*($G$2:$G$1001="MPV")*($D$2:$D$1001&gt;D934))+COUNTIFS($F$2:F934,1,$G$2:G934,"MPV",$D$2:D934,D934)-1)</f>
        <v/>
      </c>
      <c r="Q934" s="62" t="str">
        <f>IF(OR(D934="",NOT(AND(F934=1,G934="SUV"))),"",1+SUMPRODUCT(($F$2:$F$1001=1)*($G$2:$G$1001="SUV")*($D$2:$D$1001&gt;D934))+COUNTIFS($F$2:F934,1,$G$2:G934,"SUV",$D$2:D934,D934)-1)</f>
        <v/>
      </c>
    </row>
    <row r="935" spans="1:17">
      <c r="A935" s="62" t="str">
        <f>IFERROR(INDEX($H$2:$H$3000,MATCH(0,INDEX(COUNTIF($A$1:A934,$H$2:$H$3000)+($H$2:$H$3000=""),0,0),0)),"")</f>
        <v/>
      </c>
      <c r="B935" s="62" t="str">
        <f t="shared" si="56"/>
        <v/>
      </c>
      <c r="C935" s="62" t="str">
        <f t="shared" si="57"/>
        <v/>
      </c>
      <c r="D935" s="63" t="str">
        <f t="shared" si="58"/>
        <v/>
      </c>
      <c r="E935" s="62" t="str">
        <f>IF(D935="","",_xlfn.RANK.EQ(D935,$D$2:$D$1001,0)+COUNTIF($D$2:D935,D935)-1)</f>
        <v/>
      </c>
      <c r="F935" s="62" t="str">
        <f>IF(B935="","",--(COUNTIF(CN_Brands!$A$2:$A$300,UPPER(B935))&gt;0))</f>
        <v/>
      </c>
      <c r="G935" s="62" t="str">
        <f t="shared" si="59"/>
        <v/>
      </c>
      <c r="H935" s="62" t="str">
        <f>IF(AND('Data Export'!A935=前十整体车型排名!$B$2,'Data Export'!B935=前十整体车型排名!$B$3,'Data Export'!D935&lt;&gt;""),UPPER('Data Export'!C935)&amp;"♦"&amp;'Data Export'!D935,"")</f>
        <v>VOLKSWAGEN♦CARAVELLE</v>
      </c>
      <c r="I935" s="63">
        <f>IF(H935="","",IFERROR(INDEX('Data Export'!G935:CZ935,1,MATCH(前十整体车型排名!$B$4,'Data Export'!$G$1:$CZ$1,0)),0))</f>
        <v>0</v>
      </c>
      <c r="J935" s="62" t="str">
        <f>IF(H935="","",IF(OR('Data Export'!F935="三厢轿车",'Data Export'!F935="掀背轿车",'Data Export'!F935="旅行车",'Data Export'!F935="微型车",'Data Export'!F935="硬顶跑车",'Data Export'!F935="敞蓬车",'Data Export'!F935="Targa"),"轿车",IF(OR('Data Export'!F935="小型MPV",'Data Export'!F935="客车"),"MPV",IF('Data Export'!F935="运动型多功能车","SUV","其他"))))</f>
        <v>其他</v>
      </c>
      <c r="K935" s="62" t="str">
        <f>IF(OR(D935="",NOT(F935=1)),"",1+SUMPRODUCT(($F$2:$F$1001=1)*($D$2:$D$1001&gt;D935))+COUNTIFS($F$2:F935,1,$D$2:D935,D935)-1)</f>
        <v/>
      </c>
      <c r="L935" s="62" t="str">
        <f>IF(OR(D935="",NOT(G935="轿车")),"",1+SUMPRODUCT(($G$2:$G$1001="轿车")*($D$2:$D$1001&gt;D935))+COUNTIFS($G$2:G935,"轿车",$D$2:D935,D935)-1)</f>
        <v/>
      </c>
      <c r="M935" s="62" t="str">
        <f>IF(OR(D935="",NOT(G935="MPV")),"",1+SUMPRODUCT(($G$2:$G$1001="MPV")*($D$2:$D$1001&gt;D935))+COUNTIFS($G$2:G935,"MPV",$D$2:D935,D935)-1)</f>
        <v/>
      </c>
      <c r="N935" s="62" t="str">
        <f>IF(OR(D935="",NOT(G935="SUV")),"",1+SUMPRODUCT(($G$2:$G$1001="SUV")*($D$2:$D$1001&gt;D935))+COUNTIFS($G$2:G935,"SUV",$D$2:D935,D935)-1)</f>
        <v/>
      </c>
      <c r="O935" s="62" t="str">
        <f>IF(OR(D935="",NOT(AND(F935=1,G935="轿车"))),"",1+SUMPRODUCT(($F$2:$F$1001=1)*($G$2:$G$1001="轿车")*($D$2:$D$1001&gt;D935))+COUNTIFS($F$2:F935,1,$G$2:G935,"轿车",$D$2:D935,D935)-1)</f>
        <v/>
      </c>
      <c r="P935" s="62" t="str">
        <f>IF(OR(D935="",NOT(AND(F935=1,G935="MPV"))),"",1+SUMPRODUCT(($F$2:$F$1001=1)*($G$2:$G$1001="MPV")*($D$2:$D$1001&gt;D935))+COUNTIFS($F$2:F935,1,$G$2:G935,"MPV",$D$2:D935,D935)-1)</f>
        <v/>
      </c>
      <c r="Q935" s="62" t="str">
        <f>IF(OR(D935="",NOT(AND(F935=1,G935="SUV"))),"",1+SUMPRODUCT(($F$2:$F$1001=1)*($G$2:$G$1001="SUV")*($D$2:$D$1001&gt;D935))+COUNTIFS($F$2:F935,1,$G$2:G935,"SUV",$D$2:D935,D935)-1)</f>
        <v/>
      </c>
    </row>
    <row r="936" spans="1:17">
      <c r="A936" s="62" t="str">
        <f>IFERROR(INDEX($H$2:$H$3000,MATCH(0,INDEX(COUNTIF($A$1:A935,$H$2:$H$3000)+($H$2:$H$3000=""),0,0),0)),"")</f>
        <v/>
      </c>
      <c r="B936" s="62" t="str">
        <f t="shared" si="56"/>
        <v/>
      </c>
      <c r="C936" s="62" t="str">
        <f t="shared" si="57"/>
        <v/>
      </c>
      <c r="D936" s="63" t="str">
        <f t="shared" si="58"/>
        <v/>
      </c>
      <c r="E936" s="62" t="str">
        <f>IF(D936="","",_xlfn.RANK.EQ(D936,$D$2:$D$1001,0)+COUNTIF($D$2:D936,D936)-1)</f>
        <v/>
      </c>
      <c r="F936" s="62" t="str">
        <f>IF(B936="","",--(COUNTIF(CN_Brands!$A$2:$A$300,UPPER(B936))&gt;0))</f>
        <v/>
      </c>
      <c r="G936" s="62" t="str">
        <f t="shared" si="59"/>
        <v/>
      </c>
      <c r="H936" s="62" t="str">
        <f>IF(AND('Data Export'!A936=前十整体车型排名!$B$2,'Data Export'!B936=前十整体车型排名!$B$3,'Data Export'!D936&lt;&gt;""),UPPER('Data Export'!C936)&amp;"♦"&amp;'Data Export'!D936,"")</f>
        <v>VOLKSWAGEN♦CARAVELLE</v>
      </c>
      <c r="I936" s="63">
        <f>IF(H936="","",IFERROR(INDEX('Data Export'!G936:CZ936,1,MATCH(前十整体车型排名!$B$4,'Data Export'!$G$1:$CZ$1,0)),0))</f>
        <v>0</v>
      </c>
      <c r="J936" s="62" t="str">
        <f>IF(H936="","",IF(OR('Data Export'!F936="三厢轿车",'Data Export'!F936="掀背轿车",'Data Export'!F936="旅行车",'Data Export'!F936="微型车",'Data Export'!F936="硬顶跑车",'Data Export'!F936="敞蓬车",'Data Export'!F936="Targa"),"轿车",IF(OR('Data Export'!F936="小型MPV",'Data Export'!F936="客车"),"MPV",IF('Data Export'!F936="运动型多功能车","SUV","其他"))))</f>
        <v>其他</v>
      </c>
      <c r="K936" s="62" t="str">
        <f>IF(OR(D936="",NOT(F936=1)),"",1+SUMPRODUCT(($F$2:$F$1001=1)*($D$2:$D$1001&gt;D936))+COUNTIFS($F$2:F936,1,$D$2:D936,D936)-1)</f>
        <v/>
      </c>
      <c r="L936" s="62" t="str">
        <f>IF(OR(D936="",NOT(G936="轿车")),"",1+SUMPRODUCT(($G$2:$G$1001="轿车")*($D$2:$D$1001&gt;D936))+COUNTIFS($G$2:G936,"轿车",$D$2:D936,D936)-1)</f>
        <v/>
      </c>
      <c r="M936" s="62" t="str">
        <f>IF(OR(D936="",NOT(G936="MPV")),"",1+SUMPRODUCT(($G$2:$G$1001="MPV")*($D$2:$D$1001&gt;D936))+COUNTIFS($G$2:G936,"MPV",$D$2:D936,D936)-1)</f>
        <v/>
      </c>
      <c r="N936" s="62" t="str">
        <f>IF(OR(D936="",NOT(G936="SUV")),"",1+SUMPRODUCT(($G$2:$G$1001="SUV")*($D$2:$D$1001&gt;D936))+COUNTIFS($G$2:G936,"SUV",$D$2:D936,D936)-1)</f>
        <v/>
      </c>
      <c r="O936" s="62" t="str">
        <f>IF(OR(D936="",NOT(AND(F936=1,G936="轿车"))),"",1+SUMPRODUCT(($F$2:$F$1001=1)*($G$2:$G$1001="轿车")*($D$2:$D$1001&gt;D936))+COUNTIFS($F$2:F936,1,$G$2:G936,"轿车",$D$2:D936,D936)-1)</f>
        <v/>
      </c>
      <c r="P936" s="62" t="str">
        <f>IF(OR(D936="",NOT(AND(F936=1,G936="MPV"))),"",1+SUMPRODUCT(($F$2:$F$1001=1)*($G$2:$G$1001="MPV")*($D$2:$D$1001&gt;D936))+COUNTIFS($F$2:F936,1,$G$2:G936,"MPV",$D$2:D936,D936)-1)</f>
        <v/>
      </c>
      <c r="Q936" s="62" t="str">
        <f>IF(OR(D936="",NOT(AND(F936=1,G936="SUV"))),"",1+SUMPRODUCT(($F$2:$F$1001=1)*($G$2:$G$1001="SUV")*($D$2:$D$1001&gt;D936))+COUNTIFS($F$2:F936,1,$G$2:G936,"SUV",$D$2:D936,D936)-1)</f>
        <v/>
      </c>
    </row>
    <row r="937" spans="1:17">
      <c r="A937" s="62" t="str">
        <f>IFERROR(INDEX($H$2:$H$3000,MATCH(0,INDEX(COUNTIF($A$1:A936,$H$2:$H$3000)+($H$2:$H$3000=""),0,0),0)),"")</f>
        <v/>
      </c>
      <c r="B937" s="62" t="str">
        <f t="shared" si="56"/>
        <v/>
      </c>
      <c r="C937" s="62" t="str">
        <f t="shared" si="57"/>
        <v/>
      </c>
      <c r="D937" s="63" t="str">
        <f t="shared" si="58"/>
        <v/>
      </c>
      <c r="E937" s="62" t="str">
        <f>IF(D937="","",_xlfn.RANK.EQ(D937,$D$2:$D$1001,0)+COUNTIF($D$2:D937,D937)-1)</f>
        <v/>
      </c>
      <c r="F937" s="62" t="str">
        <f>IF(B937="","",--(COUNTIF(CN_Brands!$A$2:$A$300,UPPER(B937))&gt;0))</f>
        <v/>
      </c>
      <c r="G937" s="62" t="str">
        <f t="shared" si="59"/>
        <v/>
      </c>
      <c r="H937" s="62" t="str">
        <f>IF(AND('Data Export'!A937=前十整体车型排名!$B$2,'Data Export'!B937=前十整体车型排名!$B$3,'Data Export'!D937&lt;&gt;""),UPPER('Data Export'!C937)&amp;"♦"&amp;'Data Export'!D937,"")</f>
        <v>VOLKSWAGEN♦GOLF</v>
      </c>
      <c r="I937" s="63">
        <f>IF(H937="","",IFERROR(INDEX('Data Export'!G937:CZ937,1,MATCH(前十整体车型排名!$B$4,'Data Export'!$G$1:$CZ$1,0)),0))</f>
        <v>1</v>
      </c>
      <c r="J937" s="62" t="str">
        <f>IF(H937="","",IF(OR('Data Export'!F937="三厢轿车",'Data Export'!F937="掀背轿车",'Data Export'!F937="旅行车",'Data Export'!F937="微型车",'Data Export'!F937="硬顶跑车",'Data Export'!F937="敞蓬车",'Data Export'!F937="Targa"),"轿车",IF(OR('Data Export'!F937="小型MPV",'Data Export'!F937="客车"),"MPV",IF('Data Export'!F937="运动型多功能车","SUV","其他"))))</f>
        <v>轿车</v>
      </c>
      <c r="K937" s="62" t="str">
        <f>IF(OR(D937="",NOT(F937=1)),"",1+SUMPRODUCT(($F$2:$F$1001=1)*($D$2:$D$1001&gt;D937))+COUNTIFS($F$2:F937,1,$D$2:D937,D937)-1)</f>
        <v/>
      </c>
      <c r="L937" s="62" t="str">
        <f>IF(OR(D937="",NOT(G937="轿车")),"",1+SUMPRODUCT(($G$2:$G$1001="轿车")*($D$2:$D$1001&gt;D937))+COUNTIFS($G$2:G937,"轿车",$D$2:D937,D937)-1)</f>
        <v/>
      </c>
      <c r="M937" s="62" t="str">
        <f>IF(OR(D937="",NOT(G937="MPV")),"",1+SUMPRODUCT(($G$2:$G$1001="MPV")*($D$2:$D$1001&gt;D937))+COUNTIFS($G$2:G937,"MPV",$D$2:D937,D937)-1)</f>
        <v/>
      </c>
      <c r="N937" s="62" t="str">
        <f>IF(OR(D937="",NOT(G937="SUV")),"",1+SUMPRODUCT(($G$2:$G$1001="SUV")*($D$2:$D$1001&gt;D937))+COUNTIFS($G$2:G937,"SUV",$D$2:D937,D937)-1)</f>
        <v/>
      </c>
      <c r="O937" s="62" t="str">
        <f>IF(OR(D937="",NOT(AND(F937=1,G937="轿车"))),"",1+SUMPRODUCT(($F$2:$F$1001=1)*($G$2:$G$1001="轿车")*($D$2:$D$1001&gt;D937))+COUNTIFS($F$2:F937,1,$G$2:G937,"轿车",$D$2:D937,D937)-1)</f>
        <v/>
      </c>
      <c r="P937" s="62" t="str">
        <f>IF(OR(D937="",NOT(AND(F937=1,G937="MPV"))),"",1+SUMPRODUCT(($F$2:$F$1001=1)*($G$2:$G$1001="MPV")*($D$2:$D$1001&gt;D937))+COUNTIFS($F$2:F937,1,$G$2:G937,"MPV",$D$2:D937,D937)-1)</f>
        <v/>
      </c>
      <c r="Q937" s="62" t="str">
        <f>IF(OR(D937="",NOT(AND(F937=1,G937="SUV"))),"",1+SUMPRODUCT(($F$2:$F$1001=1)*($G$2:$G$1001="SUV")*($D$2:$D$1001&gt;D937))+COUNTIFS($F$2:F937,1,$G$2:G937,"SUV",$D$2:D937,D937)-1)</f>
        <v/>
      </c>
    </row>
    <row r="938" spans="1:17">
      <c r="A938" s="62" t="str">
        <f>IFERROR(INDEX($H$2:$H$3000,MATCH(0,INDEX(COUNTIF($A$1:A937,$H$2:$H$3000)+($H$2:$H$3000=""),0,0),0)),"")</f>
        <v/>
      </c>
      <c r="B938" s="62" t="str">
        <f t="shared" si="56"/>
        <v/>
      </c>
      <c r="C938" s="62" t="str">
        <f t="shared" si="57"/>
        <v/>
      </c>
      <c r="D938" s="63" t="str">
        <f t="shared" si="58"/>
        <v/>
      </c>
      <c r="E938" s="62" t="str">
        <f>IF(D938="","",_xlfn.RANK.EQ(D938,$D$2:$D$1001,0)+COUNTIF($D$2:D938,D938)-1)</f>
        <v/>
      </c>
      <c r="F938" s="62" t="str">
        <f>IF(B938="","",--(COUNTIF(CN_Brands!$A$2:$A$300,UPPER(B938))&gt;0))</f>
        <v/>
      </c>
      <c r="G938" s="62" t="str">
        <f t="shared" si="59"/>
        <v/>
      </c>
      <c r="H938" s="62" t="str">
        <f>IF(AND('Data Export'!A938=前十整体车型排名!$B$2,'Data Export'!B938=前十整体车型排名!$B$3,'Data Export'!D938&lt;&gt;""),UPPER('Data Export'!C938)&amp;"♦"&amp;'Data Export'!D938,"")</f>
        <v>VOLKSWAGEN♦GOLF</v>
      </c>
      <c r="I938" s="63">
        <f>IF(H938="","",IFERROR(INDEX('Data Export'!G938:CZ938,1,MATCH(前十整体车型排名!$B$4,'Data Export'!$G$1:$CZ$1,0)),0))</f>
        <v>0</v>
      </c>
      <c r="J938" s="62" t="str">
        <f>IF(H938="","",IF(OR('Data Export'!F938="三厢轿车",'Data Export'!F938="掀背轿车",'Data Export'!F938="旅行车",'Data Export'!F938="微型车",'Data Export'!F938="硬顶跑车",'Data Export'!F938="敞蓬车",'Data Export'!F938="Targa"),"轿车",IF(OR('Data Export'!F938="小型MPV",'Data Export'!F938="客车"),"MPV",IF('Data Export'!F938="运动型多功能车","SUV","其他"))))</f>
        <v>轿车</v>
      </c>
      <c r="K938" s="62" t="str">
        <f>IF(OR(D938="",NOT(F938=1)),"",1+SUMPRODUCT(($F$2:$F$1001=1)*($D$2:$D$1001&gt;D938))+COUNTIFS($F$2:F938,1,$D$2:D938,D938)-1)</f>
        <v/>
      </c>
      <c r="L938" s="62" t="str">
        <f>IF(OR(D938="",NOT(G938="轿车")),"",1+SUMPRODUCT(($G$2:$G$1001="轿车")*($D$2:$D$1001&gt;D938))+COUNTIFS($G$2:G938,"轿车",$D$2:D938,D938)-1)</f>
        <v/>
      </c>
      <c r="M938" s="62" t="str">
        <f>IF(OR(D938="",NOT(G938="MPV")),"",1+SUMPRODUCT(($G$2:$G$1001="MPV")*($D$2:$D$1001&gt;D938))+COUNTIFS($G$2:G938,"MPV",$D$2:D938,D938)-1)</f>
        <v/>
      </c>
      <c r="N938" s="62" t="str">
        <f>IF(OR(D938="",NOT(G938="SUV")),"",1+SUMPRODUCT(($G$2:$G$1001="SUV")*($D$2:$D$1001&gt;D938))+COUNTIFS($G$2:G938,"SUV",$D$2:D938,D938)-1)</f>
        <v/>
      </c>
      <c r="O938" s="62" t="str">
        <f>IF(OR(D938="",NOT(AND(F938=1,G938="轿车"))),"",1+SUMPRODUCT(($F$2:$F$1001=1)*($G$2:$G$1001="轿车")*($D$2:$D$1001&gt;D938))+COUNTIFS($F$2:F938,1,$G$2:G938,"轿车",$D$2:D938,D938)-1)</f>
        <v/>
      </c>
      <c r="P938" s="62" t="str">
        <f>IF(OR(D938="",NOT(AND(F938=1,G938="MPV"))),"",1+SUMPRODUCT(($F$2:$F$1001=1)*($G$2:$G$1001="MPV")*($D$2:$D$1001&gt;D938))+COUNTIFS($F$2:F938,1,$G$2:G938,"MPV",$D$2:D938,D938)-1)</f>
        <v/>
      </c>
      <c r="Q938" s="62" t="str">
        <f>IF(OR(D938="",NOT(AND(F938=1,G938="SUV"))),"",1+SUMPRODUCT(($F$2:$F$1001=1)*($G$2:$G$1001="SUV")*($D$2:$D$1001&gt;D938))+COUNTIFS($F$2:F938,1,$G$2:G938,"SUV",$D$2:D938,D938)-1)</f>
        <v/>
      </c>
    </row>
    <row r="939" spans="1:17">
      <c r="A939" s="62" t="str">
        <f>IFERROR(INDEX($H$2:$H$3000,MATCH(0,INDEX(COUNTIF($A$1:A938,$H$2:$H$3000)+($H$2:$H$3000=""),0,0),0)),"")</f>
        <v/>
      </c>
      <c r="B939" s="62" t="str">
        <f t="shared" si="56"/>
        <v/>
      </c>
      <c r="C939" s="62" t="str">
        <f t="shared" si="57"/>
        <v/>
      </c>
      <c r="D939" s="63" t="str">
        <f t="shared" si="58"/>
        <v/>
      </c>
      <c r="E939" s="62" t="str">
        <f>IF(D939="","",_xlfn.RANK.EQ(D939,$D$2:$D$1001,0)+COUNTIF($D$2:D939,D939)-1)</f>
        <v/>
      </c>
      <c r="F939" s="62" t="str">
        <f>IF(B939="","",--(COUNTIF(CN_Brands!$A$2:$A$300,UPPER(B939))&gt;0))</f>
        <v/>
      </c>
      <c r="G939" s="62" t="str">
        <f t="shared" si="59"/>
        <v/>
      </c>
      <c r="H939" s="62" t="str">
        <f>IF(AND('Data Export'!A939=前十整体车型排名!$B$2,'Data Export'!B939=前十整体车型排名!$B$3,'Data Export'!D939&lt;&gt;""),UPPER('Data Export'!C939)&amp;"♦"&amp;'Data Export'!D939,"")</f>
        <v>VOLKSWAGEN♦ID. BUZZ</v>
      </c>
      <c r="I939" s="63">
        <f>IF(H939="","",IFERROR(INDEX('Data Export'!G939:CZ939,1,MATCH(前十整体车型排名!$B$4,'Data Export'!$G$1:$CZ$1,0)),0))</f>
        <v>0</v>
      </c>
      <c r="J939" s="62" t="str">
        <f>IF(H939="","",IF(OR('Data Export'!F939="三厢轿车",'Data Export'!F939="掀背轿车",'Data Export'!F939="旅行车",'Data Export'!F939="微型车",'Data Export'!F939="硬顶跑车",'Data Export'!F939="敞蓬车",'Data Export'!F939="Targa"),"轿车",IF(OR('Data Export'!F939="小型MPV",'Data Export'!F939="客车"),"MPV",IF('Data Export'!F939="运动型多功能车","SUV","其他"))))</f>
        <v>其他</v>
      </c>
      <c r="K939" s="62" t="str">
        <f>IF(OR(D939="",NOT(F939=1)),"",1+SUMPRODUCT(($F$2:$F$1001=1)*($D$2:$D$1001&gt;D939))+COUNTIFS($F$2:F939,1,$D$2:D939,D939)-1)</f>
        <v/>
      </c>
      <c r="L939" s="62" t="str">
        <f>IF(OR(D939="",NOT(G939="轿车")),"",1+SUMPRODUCT(($G$2:$G$1001="轿车")*($D$2:$D$1001&gt;D939))+COUNTIFS($G$2:G939,"轿车",$D$2:D939,D939)-1)</f>
        <v/>
      </c>
      <c r="M939" s="62" t="str">
        <f>IF(OR(D939="",NOT(G939="MPV")),"",1+SUMPRODUCT(($G$2:$G$1001="MPV")*($D$2:$D$1001&gt;D939))+COUNTIFS($G$2:G939,"MPV",$D$2:D939,D939)-1)</f>
        <v/>
      </c>
      <c r="N939" s="62" t="str">
        <f>IF(OR(D939="",NOT(G939="SUV")),"",1+SUMPRODUCT(($G$2:$G$1001="SUV")*($D$2:$D$1001&gt;D939))+COUNTIFS($G$2:G939,"SUV",$D$2:D939,D939)-1)</f>
        <v/>
      </c>
      <c r="O939" s="62" t="str">
        <f>IF(OR(D939="",NOT(AND(F939=1,G939="轿车"))),"",1+SUMPRODUCT(($F$2:$F$1001=1)*($G$2:$G$1001="轿车")*($D$2:$D$1001&gt;D939))+COUNTIFS($F$2:F939,1,$G$2:G939,"轿车",$D$2:D939,D939)-1)</f>
        <v/>
      </c>
      <c r="P939" s="62" t="str">
        <f>IF(OR(D939="",NOT(AND(F939=1,G939="MPV"))),"",1+SUMPRODUCT(($F$2:$F$1001=1)*($G$2:$G$1001="MPV")*($D$2:$D$1001&gt;D939))+COUNTIFS($F$2:F939,1,$G$2:G939,"MPV",$D$2:D939,D939)-1)</f>
        <v/>
      </c>
      <c r="Q939" s="62" t="str">
        <f>IF(OR(D939="",NOT(AND(F939=1,G939="SUV"))),"",1+SUMPRODUCT(($F$2:$F$1001=1)*($G$2:$G$1001="SUV")*($D$2:$D$1001&gt;D939))+COUNTIFS($F$2:F939,1,$G$2:G939,"SUV",$D$2:D939,D939)-1)</f>
        <v/>
      </c>
    </row>
    <row r="940" spans="1:17">
      <c r="A940" s="62" t="str">
        <f>IFERROR(INDEX($H$2:$H$3000,MATCH(0,INDEX(COUNTIF($A$1:A939,$H$2:$H$3000)+($H$2:$H$3000=""),0,0),0)),"")</f>
        <v/>
      </c>
      <c r="B940" s="62" t="str">
        <f t="shared" si="56"/>
        <v/>
      </c>
      <c r="C940" s="62" t="str">
        <f t="shared" si="57"/>
        <v/>
      </c>
      <c r="D940" s="63" t="str">
        <f t="shared" si="58"/>
        <v/>
      </c>
      <c r="E940" s="62" t="str">
        <f>IF(D940="","",_xlfn.RANK.EQ(D940,$D$2:$D$1001,0)+COUNTIF($D$2:D940,D940)-1)</f>
        <v/>
      </c>
      <c r="F940" s="62" t="str">
        <f>IF(B940="","",--(COUNTIF(CN_Brands!$A$2:$A$300,UPPER(B940))&gt;0))</f>
        <v/>
      </c>
      <c r="G940" s="62" t="str">
        <f t="shared" si="59"/>
        <v/>
      </c>
      <c r="H940" s="62" t="str">
        <f>IF(AND('Data Export'!A940=前十整体车型排名!$B$2,'Data Export'!B940=前十整体车型排名!$B$3,'Data Export'!D940&lt;&gt;""),UPPER('Data Export'!C940)&amp;"♦"&amp;'Data Export'!D940,"")</f>
        <v>VOLKSWAGEN♦MULTIVAN</v>
      </c>
      <c r="I940" s="63">
        <f>IF(H940="","",IFERROR(INDEX('Data Export'!G940:CZ940,1,MATCH(前十整体车型排名!$B$4,'Data Export'!$G$1:$CZ$1,0)),0))</f>
        <v>0</v>
      </c>
      <c r="J940" s="62" t="str">
        <f>IF(H940="","",IF(OR('Data Export'!F940="三厢轿车",'Data Export'!F940="掀背轿车",'Data Export'!F940="旅行车",'Data Export'!F940="微型车",'Data Export'!F940="硬顶跑车",'Data Export'!F940="敞蓬车",'Data Export'!F940="Targa"),"轿车",IF(OR('Data Export'!F940="小型MPV",'Data Export'!F940="客车"),"MPV",IF('Data Export'!F940="运动型多功能车","SUV","其他"))))</f>
        <v>其他</v>
      </c>
      <c r="K940" s="62" t="str">
        <f>IF(OR(D940="",NOT(F940=1)),"",1+SUMPRODUCT(($F$2:$F$1001=1)*($D$2:$D$1001&gt;D940))+COUNTIFS($F$2:F940,1,$D$2:D940,D940)-1)</f>
        <v/>
      </c>
      <c r="L940" s="62" t="str">
        <f>IF(OR(D940="",NOT(G940="轿车")),"",1+SUMPRODUCT(($G$2:$G$1001="轿车")*($D$2:$D$1001&gt;D940))+COUNTIFS($G$2:G940,"轿车",$D$2:D940,D940)-1)</f>
        <v/>
      </c>
      <c r="M940" s="62" t="str">
        <f>IF(OR(D940="",NOT(G940="MPV")),"",1+SUMPRODUCT(($G$2:$G$1001="MPV")*($D$2:$D$1001&gt;D940))+COUNTIFS($G$2:G940,"MPV",$D$2:D940,D940)-1)</f>
        <v/>
      </c>
      <c r="N940" s="62" t="str">
        <f>IF(OR(D940="",NOT(G940="SUV")),"",1+SUMPRODUCT(($G$2:$G$1001="SUV")*($D$2:$D$1001&gt;D940))+COUNTIFS($G$2:G940,"SUV",$D$2:D940,D940)-1)</f>
        <v/>
      </c>
      <c r="O940" s="62" t="str">
        <f>IF(OR(D940="",NOT(AND(F940=1,G940="轿车"))),"",1+SUMPRODUCT(($F$2:$F$1001=1)*($G$2:$G$1001="轿车")*($D$2:$D$1001&gt;D940))+COUNTIFS($F$2:F940,1,$G$2:G940,"轿车",$D$2:D940,D940)-1)</f>
        <v/>
      </c>
      <c r="P940" s="62" t="str">
        <f>IF(OR(D940="",NOT(AND(F940=1,G940="MPV"))),"",1+SUMPRODUCT(($F$2:$F$1001=1)*($G$2:$G$1001="MPV")*($D$2:$D$1001&gt;D940))+COUNTIFS($F$2:F940,1,$G$2:G940,"MPV",$D$2:D940,D940)-1)</f>
        <v/>
      </c>
      <c r="Q940" s="62" t="str">
        <f>IF(OR(D940="",NOT(AND(F940=1,G940="SUV"))),"",1+SUMPRODUCT(($F$2:$F$1001=1)*($G$2:$G$1001="SUV")*($D$2:$D$1001&gt;D940))+COUNTIFS($F$2:F940,1,$G$2:G940,"SUV",$D$2:D940,D940)-1)</f>
        <v/>
      </c>
    </row>
    <row r="941" spans="1:17">
      <c r="A941" s="62" t="str">
        <f>IFERROR(INDEX($H$2:$H$3000,MATCH(0,INDEX(COUNTIF($A$1:A940,$H$2:$H$3000)+($H$2:$H$3000=""),0,0),0)),"")</f>
        <v/>
      </c>
      <c r="B941" s="62" t="str">
        <f t="shared" si="56"/>
        <v/>
      </c>
      <c r="C941" s="62" t="str">
        <f t="shared" si="57"/>
        <v/>
      </c>
      <c r="D941" s="63" t="str">
        <f t="shared" si="58"/>
        <v/>
      </c>
      <c r="E941" s="62" t="str">
        <f>IF(D941="","",_xlfn.RANK.EQ(D941,$D$2:$D$1001,0)+COUNTIF($D$2:D941,D941)-1)</f>
        <v/>
      </c>
      <c r="F941" s="62" t="str">
        <f>IF(B941="","",--(COUNTIF(CN_Brands!$A$2:$A$300,UPPER(B941))&gt;0))</f>
        <v/>
      </c>
      <c r="G941" s="62" t="str">
        <f t="shared" si="59"/>
        <v/>
      </c>
      <c r="H941" s="62" t="str">
        <f>IF(AND('Data Export'!A941=前十整体车型排名!$B$2,'Data Export'!B941=前十整体车型排名!$B$3,'Data Export'!D941&lt;&gt;""),UPPER('Data Export'!C941)&amp;"♦"&amp;'Data Export'!D941,"")</f>
        <v>VOLKSWAGEN♦T-CROSS</v>
      </c>
      <c r="I941" s="63">
        <f>IF(H941="","",IFERROR(INDEX('Data Export'!G941:CZ941,1,MATCH(前十整体车型排名!$B$4,'Data Export'!$G$1:$CZ$1,0)),0))</f>
        <v>0</v>
      </c>
      <c r="J941" s="62" t="str">
        <f>IF(H941="","",IF(OR('Data Export'!F941="三厢轿车",'Data Export'!F941="掀背轿车",'Data Export'!F941="旅行车",'Data Export'!F941="微型车",'Data Export'!F941="硬顶跑车",'Data Export'!F941="敞蓬车",'Data Export'!F941="Targa"),"轿车",IF(OR('Data Export'!F941="小型MPV",'Data Export'!F941="客车"),"MPV",IF('Data Export'!F941="运动型多功能车","SUV","其他"))))</f>
        <v>SUV</v>
      </c>
      <c r="K941" s="62" t="str">
        <f>IF(OR(D941="",NOT(F941=1)),"",1+SUMPRODUCT(($F$2:$F$1001=1)*($D$2:$D$1001&gt;D941))+COUNTIFS($F$2:F941,1,$D$2:D941,D941)-1)</f>
        <v/>
      </c>
      <c r="L941" s="62" t="str">
        <f>IF(OR(D941="",NOT(G941="轿车")),"",1+SUMPRODUCT(($G$2:$G$1001="轿车")*($D$2:$D$1001&gt;D941))+COUNTIFS($G$2:G941,"轿车",$D$2:D941,D941)-1)</f>
        <v/>
      </c>
      <c r="M941" s="62" t="str">
        <f>IF(OR(D941="",NOT(G941="MPV")),"",1+SUMPRODUCT(($G$2:$G$1001="MPV")*($D$2:$D$1001&gt;D941))+COUNTIFS($G$2:G941,"MPV",$D$2:D941,D941)-1)</f>
        <v/>
      </c>
      <c r="N941" s="62" t="str">
        <f>IF(OR(D941="",NOT(G941="SUV")),"",1+SUMPRODUCT(($G$2:$G$1001="SUV")*($D$2:$D$1001&gt;D941))+COUNTIFS($G$2:G941,"SUV",$D$2:D941,D941)-1)</f>
        <v/>
      </c>
      <c r="O941" s="62" t="str">
        <f>IF(OR(D941="",NOT(AND(F941=1,G941="轿车"))),"",1+SUMPRODUCT(($F$2:$F$1001=1)*($G$2:$G$1001="轿车")*($D$2:$D$1001&gt;D941))+COUNTIFS($F$2:F941,1,$G$2:G941,"轿车",$D$2:D941,D941)-1)</f>
        <v/>
      </c>
      <c r="P941" s="62" t="str">
        <f>IF(OR(D941="",NOT(AND(F941=1,G941="MPV"))),"",1+SUMPRODUCT(($F$2:$F$1001=1)*($G$2:$G$1001="MPV")*($D$2:$D$1001&gt;D941))+COUNTIFS($F$2:F941,1,$G$2:G941,"MPV",$D$2:D941,D941)-1)</f>
        <v/>
      </c>
      <c r="Q941" s="62" t="str">
        <f>IF(OR(D941="",NOT(AND(F941=1,G941="SUV"))),"",1+SUMPRODUCT(($F$2:$F$1001=1)*($G$2:$G$1001="SUV")*($D$2:$D$1001&gt;D941))+COUNTIFS($F$2:F941,1,$G$2:G941,"SUV",$D$2:D941,D941)-1)</f>
        <v/>
      </c>
    </row>
    <row r="942" spans="1:17">
      <c r="A942" s="62" t="str">
        <f>IFERROR(INDEX($H$2:$H$3000,MATCH(0,INDEX(COUNTIF($A$1:A941,$H$2:$H$3000)+($H$2:$H$3000=""),0,0),0)),"")</f>
        <v/>
      </c>
      <c r="B942" s="62" t="str">
        <f t="shared" si="56"/>
        <v/>
      </c>
      <c r="C942" s="62" t="str">
        <f t="shared" si="57"/>
        <v/>
      </c>
      <c r="D942" s="63" t="str">
        <f t="shared" si="58"/>
        <v/>
      </c>
      <c r="E942" s="62" t="str">
        <f>IF(D942="","",_xlfn.RANK.EQ(D942,$D$2:$D$1001,0)+COUNTIF($D$2:D942,D942)-1)</f>
        <v/>
      </c>
      <c r="F942" s="62" t="str">
        <f>IF(B942="","",--(COUNTIF(CN_Brands!$A$2:$A$300,UPPER(B942))&gt;0))</f>
        <v/>
      </c>
      <c r="G942" s="62" t="str">
        <f t="shared" si="59"/>
        <v/>
      </c>
      <c r="H942" s="62" t="str">
        <f>IF(AND('Data Export'!A942=前十整体车型排名!$B$2,'Data Export'!B942=前十整体车型排名!$B$3,'Data Export'!D942&lt;&gt;""),UPPER('Data Export'!C942)&amp;"♦"&amp;'Data Export'!D942,"")</f>
        <v>VOLKSWAGEN♦TOUAREG</v>
      </c>
      <c r="I942" s="63">
        <f>IF(H942="","",IFERROR(INDEX('Data Export'!G942:CZ942,1,MATCH(前十整体车型排名!$B$4,'Data Export'!$G$1:$CZ$1,0)),0))</f>
        <v>0</v>
      </c>
      <c r="J942" s="62" t="str">
        <f>IF(H942="","",IF(OR('Data Export'!F942="三厢轿车",'Data Export'!F942="掀背轿车",'Data Export'!F942="旅行车",'Data Export'!F942="微型车",'Data Export'!F942="硬顶跑车",'Data Export'!F942="敞蓬车",'Data Export'!F942="Targa"),"轿车",IF(OR('Data Export'!F942="小型MPV",'Data Export'!F942="客车"),"MPV",IF('Data Export'!F942="运动型多功能车","SUV","其他"))))</f>
        <v>其他</v>
      </c>
      <c r="K942" s="62" t="str">
        <f>IF(OR(D942="",NOT(F942=1)),"",1+SUMPRODUCT(($F$2:$F$1001=1)*($D$2:$D$1001&gt;D942))+COUNTIFS($F$2:F942,1,$D$2:D942,D942)-1)</f>
        <v/>
      </c>
      <c r="L942" s="62" t="str">
        <f>IF(OR(D942="",NOT(G942="轿车")),"",1+SUMPRODUCT(($G$2:$G$1001="轿车")*($D$2:$D$1001&gt;D942))+COUNTIFS($G$2:G942,"轿车",$D$2:D942,D942)-1)</f>
        <v/>
      </c>
      <c r="M942" s="62" t="str">
        <f>IF(OR(D942="",NOT(G942="MPV")),"",1+SUMPRODUCT(($G$2:$G$1001="MPV")*($D$2:$D$1001&gt;D942))+COUNTIFS($G$2:G942,"MPV",$D$2:D942,D942)-1)</f>
        <v/>
      </c>
      <c r="N942" s="62" t="str">
        <f>IF(OR(D942="",NOT(G942="SUV")),"",1+SUMPRODUCT(($G$2:$G$1001="SUV")*($D$2:$D$1001&gt;D942))+COUNTIFS($G$2:G942,"SUV",$D$2:D942,D942)-1)</f>
        <v/>
      </c>
      <c r="O942" s="62" t="str">
        <f>IF(OR(D942="",NOT(AND(F942=1,G942="轿车"))),"",1+SUMPRODUCT(($F$2:$F$1001=1)*($G$2:$G$1001="轿车")*($D$2:$D$1001&gt;D942))+COUNTIFS($F$2:F942,1,$G$2:G942,"轿车",$D$2:D942,D942)-1)</f>
        <v/>
      </c>
      <c r="P942" s="62" t="str">
        <f>IF(OR(D942="",NOT(AND(F942=1,G942="MPV"))),"",1+SUMPRODUCT(($F$2:$F$1001=1)*($G$2:$G$1001="MPV")*($D$2:$D$1001&gt;D942))+COUNTIFS($F$2:F942,1,$G$2:G942,"MPV",$D$2:D942,D942)-1)</f>
        <v/>
      </c>
      <c r="Q942" s="62" t="str">
        <f>IF(OR(D942="",NOT(AND(F942=1,G942="SUV"))),"",1+SUMPRODUCT(($F$2:$F$1001=1)*($G$2:$G$1001="SUV")*($D$2:$D$1001&gt;D942))+COUNTIFS($F$2:F942,1,$G$2:G942,"SUV",$D$2:D942,D942)-1)</f>
        <v/>
      </c>
    </row>
    <row r="943" spans="1:17">
      <c r="A943" s="62" t="str">
        <f>IFERROR(INDEX($H$2:$H$3000,MATCH(0,INDEX(COUNTIF($A$1:A942,$H$2:$H$3000)+($H$2:$H$3000=""),0,0),0)),"")</f>
        <v/>
      </c>
      <c r="B943" s="62" t="str">
        <f t="shared" si="56"/>
        <v/>
      </c>
      <c r="C943" s="62" t="str">
        <f t="shared" si="57"/>
        <v/>
      </c>
      <c r="D943" s="63" t="str">
        <f t="shared" si="58"/>
        <v/>
      </c>
      <c r="E943" s="62" t="str">
        <f>IF(D943="","",_xlfn.RANK.EQ(D943,$D$2:$D$1001,0)+COUNTIF($D$2:D943,D943)-1)</f>
        <v/>
      </c>
      <c r="F943" s="62" t="str">
        <f>IF(B943="","",--(COUNTIF(CN_Brands!$A$2:$A$300,UPPER(B943))&gt;0))</f>
        <v/>
      </c>
      <c r="G943" s="62" t="str">
        <f t="shared" si="59"/>
        <v/>
      </c>
      <c r="H943" s="62" t="str">
        <f>IF(AND('Data Export'!A943=前十整体车型排名!$B$2,'Data Export'!B943=前十整体车型排名!$B$3,'Data Export'!D943&lt;&gt;""),UPPER('Data Export'!C943)&amp;"♦"&amp;'Data Export'!D943,"")</f>
        <v>VOLKSWAGEN♦T-ROC</v>
      </c>
      <c r="I943" s="63">
        <f>IF(H943="","",IFERROR(INDEX('Data Export'!G943:CZ943,1,MATCH(前十整体车型排名!$B$4,'Data Export'!$G$1:$CZ$1,0)),0))</f>
        <v>0</v>
      </c>
      <c r="J943" s="62" t="str">
        <f>IF(H943="","",IF(OR('Data Export'!F943="三厢轿车",'Data Export'!F943="掀背轿车",'Data Export'!F943="旅行车",'Data Export'!F943="微型车",'Data Export'!F943="硬顶跑车",'Data Export'!F943="敞蓬车",'Data Export'!F943="Targa"),"轿车",IF(OR('Data Export'!F943="小型MPV",'Data Export'!F943="客车"),"MPV",IF('Data Export'!F943="运动型多功能车","SUV","其他"))))</f>
        <v>SUV</v>
      </c>
      <c r="K943" s="62" t="str">
        <f>IF(OR(D943="",NOT(F943=1)),"",1+SUMPRODUCT(($F$2:$F$1001=1)*($D$2:$D$1001&gt;D943))+COUNTIFS($F$2:F943,1,$D$2:D943,D943)-1)</f>
        <v/>
      </c>
      <c r="L943" s="62" t="str">
        <f>IF(OR(D943="",NOT(G943="轿车")),"",1+SUMPRODUCT(($G$2:$G$1001="轿车")*($D$2:$D$1001&gt;D943))+COUNTIFS($G$2:G943,"轿车",$D$2:D943,D943)-1)</f>
        <v/>
      </c>
      <c r="M943" s="62" t="str">
        <f>IF(OR(D943="",NOT(G943="MPV")),"",1+SUMPRODUCT(($G$2:$G$1001="MPV")*($D$2:$D$1001&gt;D943))+COUNTIFS($G$2:G943,"MPV",$D$2:D943,D943)-1)</f>
        <v/>
      </c>
      <c r="N943" s="62" t="str">
        <f>IF(OR(D943="",NOT(G943="SUV")),"",1+SUMPRODUCT(($G$2:$G$1001="SUV")*($D$2:$D$1001&gt;D943))+COUNTIFS($G$2:G943,"SUV",$D$2:D943,D943)-1)</f>
        <v/>
      </c>
      <c r="O943" s="62" t="str">
        <f>IF(OR(D943="",NOT(AND(F943=1,G943="轿车"))),"",1+SUMPRODUCT(($F$2:$F$1001=1)*($G$2:$G$1001="轿车")*($D$2:$D$1001&gt;D943))+COUNTIFS($F$2:F943,1,$G$2:G943,"轿车",$D$2:D943,D943)-1)</f>
        <v/>
      </c>
      <c r="P943" s="62" t="str">
        <f>IF(OR(D943="",NOT(AND(F943=1,G943="MPV"))),"",1+SUMPRODUCT(($F$2:$F$1001=1)*($G$2:$G$1001="MPV")*($D$2:$D$1001&gt;D943))+COUNTIFS($F$2:F943,1,$G$2:G943,"MPV",$D$2:D943,D943)-1)</f>
        <v/>
      </c>
      <c r="Q943" s="62" t="str">
        <f>IF(OR(D943="",NOT(AND(F943=1,G943="SUV"))),"",1+SUMPRODUCT(($F$2:$F$1001=1)*($G$2:$G$1001="SUV")*($D$2:$D$1001&gt;D943))+COUNTIFS($F$2:F943,1,$G$2:G943,"SUV",$D$2:D943,D943)-1)</f>
        <v/>
      </c>
    </row>
    <row r="944" spans="1:17">
      <c r="A944" s="62" t="str">
        <f>IFERROR(INDEX($H$2:$H$3000,MATCH(0,INDEX(COUNTIF($A$1:A943,$H$2:$H$3000)+($H$2:$H$3000=""),0,0),0)),"")</f>
        <v/>
      </c>
      <c r="B944" s="62" t="str">
        <f t="shared" si="56"/>
        <v/>
      </c>
      <c r="C944" s="62" t="str">
        <f t="shared" si="57"/>
        <v/>
      </c>
      <c r="D944" s="63" t="str">
        <f t="shared" si="58"/>
        <v/>
      </c>
      <c r="E944" s="62" t="str">
        <f>IF(D944="","",_xlfn.RANK.EQ(D944,$D$2:$D$1001,0)+COUNTIF($D$2:D944,D944)-1)</f>
        <v/>
      </c>
      <c r="F944" s="62" t="str">
        <f>IF(B944="","",--(COUNTIF(CN_Brands!$A$2:$A$300,UPPER(B944))&gt;0))</f>
        <v/>
      </c>
      <c r="G944" s="62" t="str">
        <f t="shared" si="59"/>
        <v/>
      </c>
      <c r="H944" s="62" t="str">
        <f>IF(AND('Data Export'!A944=前十整体车型排名!$B$2,'Data Export'!B944=前十整体车型排名!$B$3,'Data Export'!D944&lt;&gt;""),UPPER('Data Export'!C944)&amp;"♦"&amp;'Data Export'!D944,"")</f>
        <v>VOLKSWAGEN♦T-ROC</v>
      </c>
      <c r="I944" s="63">
        <f>IF(H944="","",IFERROR(INDEX('Data Export'!G944:CZ944,1,MATCH(前十整体车型排名!$B$4,'Data Export'!$G$1:$CZ$1,0)),0))</f>
        <v>0</v>
      </c>
      <c r="J944" s="62" t="str">
        <f>IF(H944="","",IF(OR('Data Export'!F944="三厢轿车",'Data Export'!F944="掀背轿车",'Data Export'!F944="旅行车",'Data Export'!F944="微型车",'Data Export'!F944="硬顶跑车",'Data Export'!F944="敞蓬车",'Data Export'!F944="Targa"),"轿车",IF(OR('Data Export'!F944="小型MPV",'Data Export'!F944="客车"),"MPV",IF('Data Export'!F944="运动型多功能车","SUV","其他"))))</f>
        <v>SUV</v>
      </c>
      <c r="K944" s="62" t="str">
        <f>IF(OR(D944="",NOT(F944=1)),"",1+SUMPRODUCT(($F$2:$F$1001=1)*($D$2:$D$1001&gt;D944))+COUNTIFS($F$2:F944,1,$D$2:D944,D944)-1)</f>
        <v/>
      </c>
      <c r="L944" s="62" t="str">
        <f>IF(OR(D944="",NOT(G944="轿车")),"",1+SUMPRODUCT(($G$2:$G$1001="轿车")*($D$2:$D$1001&gt;D944))+COUNTIFS($G$2:G944,"轿车",$D$2:D944,D944)-1)</f>
        <v/>
      </c>
      <c r="M944" s="62" t="str">
        <f>IF(OR(D944="",NOT(G944="MPV")),"",1+SUMPRODUCT(($G$2:$G$1001="MPV")*($D$2:$D$1001&gt;D944))+COUNTIFS($G$2:G944,"MPV",$D$2:D944,D944)-1)</f>
        <v/>
      </c>
      <c r="N944" s="62" t="str">
        <f>IF(OR(D944="",NOT(G944="SUV")),"",1+SUMPRODUCT(($G$2:$G$1001="SUV")*($D$2:$D$1001&gt;D944))+COUNTIFS($G$2:G944,"SUV",$D$2:D944,D944)-1)</f>
        <v/>
      </c>
      <c r="O944" s="62" t="str">
        <f>IF(OR(D944="",NOT(AND(F944=1,G944="轿车"))),"",1+SUMPRODUCT(($F$2:$F$1001=1)*($G$2:$G$1001="轿车")*($D$2:$D$1001&gt;D944))+COUNTIFS($F$2:F944,1,$G$2:G944,"轿车",$D$2:D944,D944)-1)</f>
        <v/>
      </c>
      <c r="P944" s="62" t="str">
        <f>IF(OR(D944="",NOT(AND(F944=1,G944="MPV"))),"",1+SUMPRODUCT(($F$2:$F$1001=1)*($G$2:$G$1001="MPV")*($D$2:$D$1001&gt;D944))+COUNTIFS($F$2:F944,1,$G$2:G944,"MPV",$D$2:D944,D944)-1)</f>
        <v/>
      </c>
      <c r="Q944" s="62" t="str">
        <f>IF(OR(D944="",NOT(AND(F944=1,G944="SUV"))),"",1+SUMPRODUCT(($F$2:$F$1001=1)*($G$2:$G$1001="SUV")*($D$2:$D$1001&gt;D944))+COUNTIFS($F$2:F944,1,$G$2:G944,"SUV",$D$2:D944,D944)-1)</f>
        <v/>
      </c>
    </row>
    <row r="945" spans="1:17">
      <c r="A945" s="62" t="str">
        <f>IFERROR(INDEX($H$2:$H$3000,MATCH(0,INDEX(COUNTIF($A$1:A944,$H$2:$H$3000)+($H$2:$H$3000=""),0,0),0)),"")</f>
        <v/>
      </c>
      <c r="B945" s="62" t="str">
        <f t="shared" si="56"/>
        <v/>
      </c>
      <c r="C945" s="62" t="str">
        <f t="shared" si="57"/>
        <v/>
      </c>
      <c r="D945" s="63" t="str">
        <f t="shared" si="58"/>
        <v/>
      </c>
      <c r="E945" s="62" t="str">
        <f>IF(D945="","",_xlfn.RANK.EQ(D945,$D$2:$D$1001,0)+COUNTIF($D$2:D945,D945)-1)</f>
        <v/>
      </c>
      <c r="F945" s="62" t="str">
        <f>IF(B945="","",--(COUNTIF(CN_Brands!$A$2:$A$300,UPPER(B945))&gt;0))</f>
        <v/>
      </c>
      <c r="G945" s="62" t="str">
        <f t="shared" si="59"/>
        <v/>
      </c>
      <c r="H945" s="62" t="str">
        <f>IF(AND('Data Export'!A945=前十整体车型排名!$B$2,'Data Export'!B945=前十整体车型排名!$B$3,'Data Export'!D945&lt;&gt;""),UPPER('Data Export'!C945)&amp;"♦"&amp;'Data Export'!D945,"")</f>
        <v>VOLT♦FOR-FOUR</v>
      </c>
      <c r="I945" s="63">
        <f>IF(H945="","",IFERROR(INDEX('Data Export'!G945:CZ945,1,MATCH(前十整体车型排名!$B$4,'Data Export'!$G$1:$CZ$1,0)),0))</f>
        <v>0</v>
      </c>
      <c r="J945" s="62" t="str">
        <f>IF(H945="","",IF(OR('Data Export'!F945="三厢轿车",'Data Export'!F945="掀背轿车",'Data Export'!F945="旅行车",'Data Export'!F945="微型车",'Data Export'!F945="硬顶跑车",'Data Export'!F945="敞蓬车",'Data Export'!F945="Targa"),"轿车",IF(OR('Data Export'!F945="小型MPV",'Data Export'!F945="客车"),"MPV",IF('Data Export'!F945="运动型多功能车","SUV","其他"))))</f>
        <v>其他</v>
      </c>
      <c r="K945" s="62" t="str">
        <f>IF(OR(D945="",NOT(F945=1)),"",1+SUMPRODUCT(($F$2:$F$1001=1)*($D$2:$D$1001&gt;D945))+COUNTIFS($F$2:F945,1,$D$2:D945,D945)-1)</f>
        <v/>
      </c>
      <c r="L945" s="62" t="str">
        <f>IF(OR(D945="",NOT(G945="轿车")),"",1+SUMPRODUCT(($G$2:$G$1001="轿车")*($D$2:$D$1001&gt;D945))+COUNTIFS($G$2:G945,"轿车",$D$2:D945,D945)-1)</f>
        <v/>
      </c>
      <c r="M945" s="62" t="str">
        <f>IF(OR(D945="",NOT(G945="MPV")),"",1+SUMPRODUCT(($G$2:$G$1001="MPV")*($D$2:$D$1001&gt;D945))+COUNTIFS($G$2:G945,"MPV",$D$2:D945,D945)-1)</f>
        <v/>
      </c>
      <c r="N945" s="62" t="str">
        <f>IF(OR(D945="",NOT(G945="SUV")),"",1+SUMPRODUCT(($G$2:$G$1001="SUV")*($D$2:$D$1001&gt;D945))+COUNTIFS($G$2:G945,"SUV",$D$2:D945,D945)-1)</f>
        <v/>
      </c>
      <c r="O945" s="62" t="str">
        <f>IF(OR(D945="",NOT(AND(F945=1,G945="轿车"))),"",1+SUMPRODUCT(($F$2:$F$1001=1)*($G$2:$G$1001="轿车")*($D$2:$D$1001&gt;D945))+COUNTIFS($F$2:F945,1,$G$2:G945,"轿车",$D$2:D945,D945)-1)</f>
        <v/>
      </c>
      <c r="P945" s="62" t="str">
        <f>IF(OR(D945="",NOT(AND(F945=1,G945="MPV"))),"",1+SUMPRODUCT(($F$2:$F$1001=1)*($G$2:$G$1001="MPV")*($D$2:$D$1001&gt;D945))+COUNTIFS($F$2:F945,1,$G$2:G945,"MPV",$D$2:D945,D945)-1)</f>
        <v/>
      </c>
      <c r="Q945" s="62" t="str">
        <f>IF(OR(D945="",NOT(AND(F945=1,G945="SUV"))),"",1+SUMPRODUCT(($F$2:$F$1001=1)*($G$2:$G$1001="SUV")*($D$2:$D$1001&gt;D945))+COUNTIFS($F$2:F945,1,$G$2:G945,"SUV",$D$2:D945,D945)-1)</f>
        <v/>
      </c>
    </row>
    <row r="946" spans="1:17">
      <c r="A946" s="62" t="str">
        <f>IFERROR(INDEX($H$2:$H$3000,MATCH(0,INDEX(COUNTIF($A$1:A945,$H$2:$H$3000)+($H$2:$H$3000=""),0,0),0)),"")</f>
        <v/>
      </c>
      <c r="B946" s="62" t="str">
        <f t="shared" si="56"/>
        <v/>
      </c>
      <c r="C946" s="62" t="str">
        <f t="shared" si="57"/>
        <v/>
      </c>
      <c r="D946" s="63" t="str">
        <f t="shared" si="58"/>
        <v/>
      </c>
      <c r="E946" s="62" t="str">
        <f>IF(D946="","",_xlfn.RANK.EQ(D946,$D$2:$D$1001,0)+COUNTIF($D$2:D946,D946)-1)</f>
        <v/>
      </c>
      <c r="F946" s="62" t="str">
        <f>IF(B946="","",--(COUNTIF(CN_Brands!$A$2:$A$300,UPPER(B946))&gt;0))</f>
        <v/>
      </c>
      <c r="G946" s="62" t="str">
        <f t="shared" si="59"/>
        <v/>
      </c>
      <c r="H946" s="62" t="str">
        <f>IF(AND('Data Export'!A946=前十整体车型排名!$B$2,'Data Export'!B946=前十整体车型排名!$B$3,'Data Export'!D946&lt;&gt;""),UPPER('Data Export'!C946)&amp;"♦"&amp;'Data Export'!D946,"")</f>
        <v>VOLVO♦C40</v>
      </c>
      <c r="I946" s="63">
        <f>IF(H946="","",IFERROR(INDEX('Data Export'!G946:CZ946,1,MATCH(前十整体车型排名!$B$4,'Data Export'!$G$1:$CZ$1,0)),0))</f>
        <v>1</v>
      </c>
      <c r="J946" s="62" t="str">
        <f>IF(H946="","",IF(OR('Data Export'!F946="三厢轿车",'Data Export'!F946="掀背轿车",'Data Export'!F946="旅行车",'Data Export'!F946="微型车",'Data Export'!F946="硬顶跑车",'Data Export'!F946="敞蓬车",'Data Export'!F946="Targa"),"轿车",IF(OR('Data Export'!F946="小型MPV",'Data Export'!F946="客车"),"MPV",IF('Data Export'!F946="运动型多功能车","SUV","其他"))))</f>
        <v>SUV</v>
      </c>
      <c r="K946" s="62" t="str">
        <f>IF(OR(D946="",NOT(F946=1)),"",1+SUMPRODUCT(($F$2:$F$1001=1)*($D$2:$D$1001&gt;D946))+COUNTIFS($F$2:F946,1,$D$2:D946,D946)-1)</f>
        <v/>
      </c>
      <c r="L946" s="62" t="str">
        <f>IF(OR(D946="",NOT(G946="轿车")),"",1+SUMPRODUCT(($G$2:$G$1001="轿车")*($D$2:$D$1001&gt;D946))+COUNTIFS($G$2:G946,"轿车",$D$2:D946,D946)-1)</f>
        <v/>
      </c>
      <c r="M946" s="62" t="str">
        <f>IF(OR(D946="",NOT(G946="MPV")),"",1+SUMPRODUCT(($G$2:$G$1001="MPV")*($D$2:$D$1001&gt;D946))+COUNTIFS($G$2:G946,"MPV",$D$2:D946,D946)-1)</f>
        <v/>
      </c>
      <c r="N946" s="62" t="str">
        <f>IF(OR(D946="",NOT(G946="SUV")),"",1+SUMPRODUCT(($G$2:$G$1001="SUV")*($D$2:$D$1001&gt;D946))+COUNTIFS($G$2:G946,"SUV",$D$2:D946,D946)-1)</f>
        <v/>
      </c>
      <c r="O946" s="62" t="str">
        <f>IF(OR(D946="",NOT(AND(F946=1,G946="轿车"))),"",1+SUMPRODUCT(($F$2:$F$1001=1)*($G$2:$G$1001="轿车")*($D$2:$D$1001&gt;D946))+COUNTIFS($F$2:F946,1,$G$2:G946,"轿车",$D$2:D946,D946)-1)</f>
        <v/>
      </c>
      <c r="P946" s="62" t="str">
        <f>IF(OR(D946="",NOT(AND(F946=1,G946="MPV"))),"",1+SUMPRODUCT(($F$2:$F$1001=1)*($G$2:$G$1001="MPV")*($D$2:$D$1001&gt;D946))+COUNTIFS($F$2:F946,1,$G$2:G946,"MPV",$D$2:D946,D946)-1)</f>
        <v/>
      </c>
      <c r="Q946" s="62" t="str">
        <f>IF(OR(D946="",NOT(AND(F946=1,G946="SUV"))),"",1+SUMPRODUCT(($F$2:$F$1001=1)*($G$2:$G$1001="SUV")*($D$2:$D$1001&gt;D946))+COUNTIFS($F$2:F946,1,$G$2:G946,"SUV",$D$2:D946,D946)-1)</f>
        <v/>
      </c>
    </row>
    <row r="947" spans="1:17">
      <c r="A947" s="62" t="str">
        <f>IFERROR(INDEX($H$2:$H$3000,MATCH(0,INDEX(COUNTIF($A$1:A946,$H$2:$H$3000)+($H$2:$H$3000=""),0,0),0)),"")</f>
        <v/>
      </c>
      <c r="B947" s="62" t="str">
        <f t="shared" si="56"/>
        <v/>
      </c>
      <c r="C947" s="62" t="str">
        <f t="shared" si="57"/>
        <v/>
      </c>
      <c r="D947" s="63" t="str">
        <f t="shared" si="58"/>
        <v/>
      </c>
      <c r="E947" s="62" t="str">
        <f>IF(D947="","",_xlfn.RANK.EQ(D947,$D$2:$D$1001,0)+COUNTIF($D$2:D947,D947)-1)</f>
        <v/>
      </c>
      <c r="F947" s="62" t="str">
        <f>IF(B947="","",--(COUNTIF(CN_Brands!$A$2:$A$300,UPPER(B947))&gt;0))</f>
        <v/>
      </c>
      <c r="G947" s="62" t="str">
        <f t="shared" si="59"/>
        <v/>
      </c>
      <c r="H947" s="62" t="str">
        <f>IF(AND('Data Export'!A947=前十整体车型排名!$B$2,'Data Export'!B947=前十整体车型排名!$B$3,'Data Export'!D947&lt;&gt;""),UPPER('Data Export'!C947)&amp;"♦"&amp;'Data Export'!D947,"")</f>
        <v>VOLVO♦EC40</v>
      </c>
      <c r="I947" s="63">
        <f>IF(H947="","",IFERROR(INDEX('Data Export'!G947:CZ947,1,MATCH(前十整体车型排名!$B$4,'Data Export'!$G$1:$CZ$1,0)),0))</f>
        <v>21</v>
      </c>
      <c r="J947" s="62" t="str">
        <f>IF(H947="","",IF(OR('Data Export'!F947="三厢轿车",'Data Export'!F947="掀背轿车",'Data Export'!F947="旅行车",'Data Export'!F947="微型车",'Data Export'!F947="硬顶跑车",'Data Export'!F947="敞蓬车",'Data Export'!F947="Targa"),"轿车",IF(OR('Data Export'!F947="小型MPV",'Data Export'!F947="客车"),"MPV",IF('Data Export'!F947="运动型多功能车","SUV","其他"))))</f>
        <v>SUV</v>
      </c>
      <c r="K947" s="62" t="str">
        <f>IF(OR(D947="",NOT(F947=1)),"",1+SUMPRODUCT(($F$2:$F$1001=1)*($D$2:$D$1001&gt;D947))+COUNTIFS($F$2:F947,1,$D$2:D947,D947)-1)</f>
        <v/>
      </c>
      <c r="L947" s="62" t="str">
        <f>IF(OR(D947="",NOT(G947="轿车")),"",1+SUMPRODUCT(($G$2:$G$1001="轿车")*($D$2:$D$1001&gt;D947))+COUNTIFS($G$2:G947,"轿车",$D$2:D947,D947)-1)</f>
        <v/>
      </c>
      <c r="M947" s="62" t="str">
        <f>IF(OR(D947="",NOT(G947="MPV")),"",1+SUMPRODUCT(($G$2:$G$1001="MPV")*($D$2:$D$1001&gt;D947))+COUNTIFS($G$2:G947,"MPV",$D$2:D947,D947)-1)</f>
        <v/>
      </c>
      <c r="N947" s="62" t="str">
        <f>IF(OR(D947="",NOT(G947="SUV")),"",1+SUMPRODUCT(($G$2:$G$1001="SUV")*($D$2:$D$1001&gt;D947))+COUNTIFS($G$2:G947,"SUV",$D$2:D947,D947)-1)</f>
        <v/>
      </c>
      <c r="O947" s="62" t="str">
        <f>IF(OR(D947="",NOT(AND(F947=1,G947="轿车"))),"",1+SUMPRODUCT(($F$2:$F$1001=1)*($G$2:$G$1001="轿车")*($D$2:$D$1001&gt;D947))+COUNTIFS($F$2:F947,1,$G$2:G947,"轿车",$D$2:D947,D947)-1)</f>
        <v/>
      </c>
      <c r="P947" s="62" t="str">
        <f>IF(OR(D947="",NOT(AND(F947=1,G947="MPV"))),"",1+SUMPRODUCT(($F$2:$F$1001=1)*($G$2:$G$1001="MPV")*($D$2:$D$1001&gt;D947))+COUNTIFS($F$2:F947,1,$G$2:G947,"MPV",$D$2:D947,D947)-1)</f>
        <v/>
      </c>
      <c r="Q947" s="62" t="str">
        <f>IF(OR(D947="",NOT(AND(F947=1,G947="SUV"))),"",1+SUMPRODUCT(($F$2:$F$1001=1)*($G$2:$G$1001="SUV")*($D$2:$D$1001&gt;D947))+COUNTIFS($F$2:F947,1,$G$2:G947,"SUV",$D$2:D947,D947)-1)</f>
        <v/>
      </c>
    </row>
    <row r="948" spans="1:17">
      <c r="A948" s="62" t="str">
        <f>IFERROR(INDEX($H$2:$H$3000,MATCH(0,INDEX(COUNTIF($A$1:A947,$H$2:$H$3000)+($H$2:$H$3000=""),0,0),0)),"")</f>
        <v/>
      </c>
      <c r="B948" s="62" t="str">
        <f t="shared" si="56"/>
        <v/>
      </c>
      <c r="C948" s="62" t="str">
        <f t="shared" si="57"/>
        <v/>
      </c>
      <c r="D948" s="63" t="str">
        <f t="shared" si="58"/>
        <v/>
      </c>
      <c r="E948" s="62" t="str">
        <f>IF(D948="","",_xlfn.RANK.EQ(D948,$D$2:$D$1001,0)+COUNTIF($D$2:D948,D948)-1)</f>
        <v/>
      </c>
      <c r="F948" s="62" t="str">
        <f>IF(B948="","",--(COUNTIF(CN_Brands!$A$2:$A$300,UPPER(B948))&gt;0))</f>
        <v/>
      </c>
      <c r="G948" s="62" t="str">
        <f t="shared" si="59"/>
        <v/>
      </c>
      <c r="H948" s="62" t="str">
        <f>IF(AND('Data Export'!A948=前十整体车型排名!$B$2,'Data Export'!B948=前十整体车型排名!$B$3,'Data Export'!D948&lt;&gt;""),UPPER('Data Export'!C948)&amp;"♦"&amp;'Data Export'!D948,"")</f>
        <v>VOLVO♦ES90</v>
      </c>
      <c r="I948" s="63">
        <f>IF(H948="","",IFERROR(INDEX('Data Export'!G948:CZ948,1,MATCH(前十整体车型排名!$B$4,'Data Export'!$G$1:$CZ$1,0)),0))</f>
        <v>18</v>
      </c>
      <c r="J948" s="62" t="str">
        <f>IF(H948="","",IF(OR('Data Export'!F948="三厢轿车",'Data Export'!F948="掀背轿车",'Data Export'!F948="旅行车",'Data Export'!F948="微型车",'Data Export'!F948="硬顶跑车",'Data Export'!F948="敞蓬车",'Data Export'!F948="Targa"),"轿车",IF(OR('Data Export'!F948="小型MPV",'Data Export'!F948="客车"),"MPV",IF('Data Export'!F948="运动型多功能车","SUV","其他"))))</f>
        <v>轿车</v>
      </c>
      <c r="K948" s="62" t="str">
        <f>IF(OR(D948="",NOT(F948=1)),"",1+SUMPRODUCT(($F$2:$F$1001=1)*($D$2:$D$1001&gt;D948))+COUNTIFS($F$2:F948,1,$D$2:D948,D948)-1)</f>
        <v/>
      </c>
      <c r="L948" s="62" t="str">
        <f>IF(OR(D948="",NOT(G948="轿车")),"",1+SUMPRODUCT(($G$2:$G$1001="轿车")*($D$2:$D$1001&gt;D948))+COUNTIFS($G$2:G948,"轿车",$D$2:D948,D948)-1)</f>
        <v/>
      </c>
      <c r="M948" s="62" t="str">
        <f>IF(OR(D948="",NOT(G948="MPV")),"",1+SUMPRODUCT(($G$2:$G$1001="MPV")*($D$2:$D$1001&gt;D948))+COUNTIFS($G$2:G948,"MPV",$D$2:D948,D948)-1)</f>
        <v/>
      </c>
      <c r="N948" s="62" t="str">
        <f>IF(OR(D948="",NOT(G948="SUV")),"",1+SUMPRODUCT(($G$2:$G$1001="SUV")*($D$2:$D$1001&gt;D948))+COUNTIFS($G$2:G948,"SUV",$D$2:D948,D948)-1)</f>
        <v/>
      </c>
      <c r="O948" s="62" t="str">
        <f>IF(OR(D948="",NOT(AND(F948=1,G948="轿车"))),"",1+SUMPRODUCT(($F$2:$F$1001=1)*($G$2:$G$1001="轿车")*($D$2:$D$1001&gt;D948))+COUNTIFS($F$2:F948,1,$G$2:G948,"轿车",$D$2:D948,D948)-1)</f>
        <v/>
      </c>
      <c r="P948" s="62" t="str">
        <f>IF(OR(D948="",NOT(AND(F948=1,G948="MPV"))),"",1+SUMPRODUCT(($F$2:$F$1001=1)*($G$2:$G$1001="MPV")*($D$2:$D$1001&gt;D948))+COUNTIFS($F$2:F948,1,$G$2:G948,"MPV",$D$2:D948,D948)-1)</f>
        <v/>
      </c>
      <c r="Q948" s="62" t="str">
        <f>IF(OR(D948="",NOT(AND(F948=1,G948="SUV"))),"",1+SUMPRODUCT(($F$2:$F$1001=1)*($G$2:$G$1001="SUV")*($D$2:$D$1001&gt;D948))+COUNTIFS($F$2:F948,1,$G$2:G948,"SUV",$D$2:D948,D948)-1)</f>
        <v/>
      </c>
    </row>
    <row r="949" spans="1:17">
      <c r="A949" s="62" t="str">
        <f>IFERROR(INDEX($H$2:$H$3000,MATCH(0,INDEX(COUNTIF($A$1:A948,$H$2:$H$3000)+($H$2:$H$3000=""),0,0),0)),"")</f>
        <v/>
      </c>
      <c r="B949" s="62" t="str">
        <f t="shared" si="56"/>
        <v/>
      </c>
      <c r="C949" s="62" t="str">
        <f t="shared" si="57"/>
        <v/>
      </c>
      <c r="D949" s="63" t="str">
        <f t="shared" si="58"/>
        <v/>
      </c>
      <c r="E949" s="62" t="str">
        <f>IF(D949="","",_xlfn.RANK.EQ(D949,$D$2:$D$1001,0)+COUNTIF($D$2:D949,D949)-1)</f>
        <v/>
      </c>
      <c r="F949" s="62" t="str">
        <f>IF(B949="","",--(COUNTIF(CN_Brands!$A$2:$A$300,UPPER(B949))&gt;0))</f>
        <v/>
      </c>
      <c r="G949" s="62" t="str">
        <f t="shared" si="59"/>
        <v/>
      </c>
      <c r="H949" s="62" t="str">
        <f>IF(AND('Data Export'!A949=前十整体车型排名!$B$2,'Data Export'!B949=前十整体车型排名!$B$3,'Data Export'!D949&lt;&gt;""),UPPER('Data Export'!C949)&amp;"♦"&amp;'Data Export'!D949,"")</f>
        <v>VOLVO♦EX30</v>
      </c>
      <c r="I949" s="63">
        <f>IF(H949="","",IFERROR(INDEX('Data Export'!G949:CZ949,1,MATCH(前十整体车型排名!$B$4,'Data Export'!$G$1:$CZ$1,0)),0))</f>
        <v>6</v>
      </c>
      <c r="J949" s="62" t="str">
        <f>IF(H949="","",IF(OR('Data Export'!F949="三厢轿车",'Data Export'!F949="掀背轿车",'Data Export'!F949="旅行车",'Data Export'!F949="微型车",'Data Export'!F949="硬顶跑车",'Data Export'!F949="敞蓬车",'Data Export'!F949="Targa"),"轿车",IF(OR('Data Export'!F949="小型MPV",'Data Export'!F949="客车"),"MPV",IF('Data Export'!F949="运动型多功能车","SUV","其他"))))</f>
        <v>SUV</v>
      </c>
      <c r="K949" s="62" t="str">
        <f>IF(OR(D949="",NOT(F949=1)),"",1+SUMPRODUCT(($F$2:$F$1001=1)*($D$2:$D$1001&gt;D949))+COUNTIFS($F$2:F949,1,$D$2:D949,D949)-1)</f>
        <v/>
      </c>
      <c r="L949" s="62" t="str">
        <f>IF(OR(D949="",NOT(G949="轿车")),"",1+SUMPRODUCT(($G$2:$G$1001="轿车")*($D$2:$D$1001&gt;D949))+COUNTIFS($G$2:G949,"轿车",$D$2:D949,D949)-1)</f>
        <v/>
      </c>
      <c r="M949" s="62" t="str">
        <f>IF(OR(D949="",NOT(G949="MPV")),"",1+SUMPRODUCT(($G$2:$G$1001="MPV")*($D$2:$D$1001&gt;D949))+COUNTIFS($G$2:G949,"MPV",$D$2:D949,D949)-1)</f>
        <v/>
      </c>
      <c r="N949" s="62" t="str">
        <f>IF(OR(D949="",NOT(G949="SUV")),"",1+SUMPRODUCT(($G$2:$G$1001="SUV")*($D$2:$D$1001&gt;D949))+COUNTIFS($G$2:G949,"SUV",$D$2:D949,D949)-1)</f>
        <v/>
      </c>
      <c r="O949" s="62" t="str">
        <f>IF(OR(D949="",NOT(AND(F949=1,G949="轿车"))),"",1+SUMPRODUCT(($F$2:$F$1001=1)*($G$2:$G$1001="轿车")*($D$2:$D$1001&gt;D949))+COUNTIFS($F$2:F949,1,$G$2:G949,"轿车",$D$2:D949,D949)-1)</f>
        <v/>
      </c>
      <c r="P949" s="62" t="str">
        <f>IF(OR(D949="",NOT(AND(F949=1,G949="MPV"))),"",1+SUMPRODUCT(($F$2:$F$1001=1)*($G$2:$G$1001="MPV")*($D$2:$D$1001&gt;D949))+COUNTIFS($F$2:F949,1,$G$2:G949,"MPV",$D$2:D949,D949)-1)</f>
        <v/>
      </c>
      <c r="Q949" s="62" t="str">
        <f>IF(OR(D949="",NOT(AND(F949=1,G949="SUV"))),"",1+SUMPRODUCT(($F$2:$F$1001=1)*($G$2:$G$1001="SUV")*($D$2:$D$1001&gt;D949))+COUNTIFS($F$2:F949,1,$G$2:G949,"SUV",$D$2:D949,D949)-1)</f>
        <v/>
      </c>
    </row>
    <row r="950" spans="1:17">
      <c r="A950" s="62" t="str">
        <f>IFERROR(INDEX($H$2:$H$3000,MATCH(0,INDEX(COUNTIF($A$1:A949,$H$2:$H$3000)+($H$2:$H$3000=""),0,0),0)),"")</f>
        <v/>
      </c>
      <c r="B950" s="62" t="str">
        <f t="shared" si="56"/>
        <v/>
      </c>
      <c r="C950" s="62" t="str">
        <f t="shared" si="57"/>
        <v/>
      </c>
      <c r="D950" s="63" t="str">
        <f t="shared" si="58"/>
        <v/>
      </c>
      <c r="E950" s="62" t="str">
        <f>IF(D950="","",_xlfn.RANK.EQ(D950,$D$2:$D$1001,0)+COUNTIF($D$2:D950,D950)-1)</f>
        <v/>
      </c>
      <c r="F950" s="62" t="str">
        <f>IF(B950="","",--(COUNTIF(CN_Brands!$A$2:$A$300,UPPER(B950))&gt;0))</f>
        <v/>
      </c>
      <c r="G950" s="62" t="str">
        <f t="shared" si="59"/>
        <v/>
      </c>
      <c r="H950" s="62" t="str">
        <f>IF(AND('Data Export'!A950=前十整体车型排名!$B$2,'Data Export'!B950=前十整体车型排名!$B$3,'Data Export'!D950&lt;&gt;""),UPPER('Data Export'!C950)&amp;"♦"&amp;'Data Export'!D950,"")</f>
        <v>VOLVO♦EX40</v>
      </c>
      <c r="I950" s="63">
        <f>IF(H950="","",IFERROR(INDEX('Data Export'!G950:CZ950,1,MATCH(前十整体车型排名!$B$4,'Data Export'!$G$1:$CZ$1,0)),0))</f>
        <v>22</v>
      </c>
      <c r="J950" s="62" t="str">
        <f>IF(H950="","",IF(OR('Data Export'!F950="三厢轿车",'Data Export'!F950="掀背轿车",'Data Export'!F950="旅行车",'Data Export'!F950="微型车",'Data Export'!F950="硬顶跑车",'Data Export'!F950="敞蓬车",'Data Export'!F950="Targa"),"轿车",IF(OR('Data Export'!F950="小型MPV",'Data Export'!F950="客车"),"MPV",IF('Data Export'!F950="运动型多功能车","SUV","其他"))))</f>
        <v>SUV</v>
      </c>
      <c r="K950" s="62" t="str">
        <f>IF(OR(D950="",NOT(F950=1)),"",1+SUMPRODUCT(($F$2:$F$1001=1)*($D$2:$D$1001&gt;D950))+COUNTIFS($F$2:F950,1,$D$2:D950,D950)-1)</f>
        <v/>
      </c>
      <c r="L950" s="62" t="str">
        <f>IF(OR(D950="",NOT(G950="轿车")),"",1+SUMPRODUCT(($G$2:$G$1001="轿车")*($D$2:$D$1001&gt;D950))+COUNTIFS($G$2:G950,"轿车",$D$2:D950,D950)-1)</f>
        <v/>
      </c>
      <c r="M950" s="62" t="str">
        <f>IF(OR(D950="",NOT(G950="MPV")),"",1+SUMPRODUCT(($G$2:$G$1001="MPV")*($D$2:$D$1001&gt;D950))+COUNTIFS($G$2:G950,"MPV",$D$2:D950,D950)-1)</f>
        <v/>
      </c>
      <c r="N950" s="62" t="str">
        <f>IF(OR(D950="",NOT(G950="SUV")),"",1+SUMPRODUCT(($G$2:$G$1001="SUV")*($D$2:$D$1001&gt;D950))+COUNTIFS($G$2:G950,"SUV",$D$2:D950,D950)-1)</f>
        <v/>
      </c>
      <c r="O950" s="62" t="str">
        <f>IF(OR(D950="",NOT(AND(F950=1,G950="轿车"))),"",1+SUMPRODUCT(($F$2:$F$1001=1)*($G$2:$G$1001="轿车")*($D$2:$D$1001&gt;D950))+COUNTIFS($F$2:F950,1,$G$2:G950,"轿车",$D$2:D950,D950)-1)</f>
        <v/>
      </c>
      <c r="P950" s="62" t="str">
        <f>IF(OR(D950="",NOT(AND(F950=1,G950="MPV"))),"",1+SUMPRODUCT(($F$2:$F$1001=1)*($G$2:$G$1001="MPV")*($D$2:$D$1001&gt;D950))+COUNTIFS($F$2:F950,1,$G$2:G950,"MPV",$D$2:D950,D950)-1)</f>
        <v/>
      </c>
      <c r="Q950" s="62" t="str">
        <f>IF(OR(D950="",NOT(AND(F950=1,G950="SUV"))),"",1+SUMPRODUCT(($F$2:$F$1001=1)*($G$2:$G$1001="SUV")*($D$2:$D$1001&gt;D950))+COUNTIFS($F$2:F950,1,$G$2:G950,"SUV",$D$2:D950,D950)-1)</f>
        <v/>
      </c>
    </row>
    <row r="951" spans="1:17">
      <c r="A951" s="62" t="str">
        <f>IFERROR(INDEX($H$2:$H$3000,MATCH(0,INDEX(COUNTIF($A$1:A950,$H$2:$H$3000)+($H$2:$H$3000=""),0,0),0)),"")</f>
        <v/>
      </c>
      <c r="B951" s="62" t="str">
        <f t="shared" si="56"/>
        <v/>
      </c>
      <c r="C951" s="62" t="str">
        <f t="shared" si="57"/>
        <v/>
      </c>
      <c r="D951" s="63" t="str">
        <f t="shared" si="58"/>
        <v/>
      </c>
      <c r="E951" s="62" t="str">
        <f>IF(D951="","",_xlfn.RANK.EQ(D951,$D$2:$D$1001,0)+COUNTIF($D$2:D951,D951)-1)</f>
        <v/>
      </c>
      <c r="F951" s="62" t="str">
        <f>IF(B951="","",--(COUNTIF(CN_Brands!$A$2:$A$300,UPPER(B951))&gt;0))</f>
        <v/>
      </c>
      <c r="G951" s="62" t="str">
        <f t="shared" si="59"/>
        <v/>
      </c>
      <c r="H951" s="62" t="str">
        <f>IF(AND('Data Export'!A951=前十整体车型排名!$B$2,'Data Export'!B951=前十整体车型排名!$B$3,'Data Export'!D951&lt;&gt;""),UPPER('Data Export'!C951)&amp;"♦"&amp;'Data Export'!D951,"")</f>
        <v>VOLVO♦EX90</v>
      </c>
      <c r="I951" s="63">
        <f>IF(H951="","",IFERROR(INDEX('Data Export'!G951:CZ951,1,MATCH(前十整体车型排名!$B$4,'Data Export'!$G$1:$CZ$1,0)),0))</f>
        <v>9</v>
      </c>
      <c r="J951" s="62" t="str">
        <f>IF(H951="","",IF(OR('Data Export'!F951="三厢轿车",'Data Export'!F951="掀背轿车",'Data Export'!F951="旅行车",'Data Export'!F951="微型车",'Data Export'!F951="硬顶跑车",'Data Export'!F951="敞蓬车",'Data Export'!F951="Targa"),"轿车",IF(OR('Data Export'!F951="小型MPV",'Data Export'!F951="客车"),"MPV",IF('Data Export'!F951="运动型多功能车","SUV","其他"))))</f>
        <v>SUV</v>
      </c>
      <c r="K951" s="62" t="str">
        <f>IF(OR(D951="",NOT(F951=1)),"",1+SUMPRODUCT(($F$2:$F$1001=1)*($D$2:$D$1001&gt;D951))+COUNTIFS($F$2:F951,1,$D$2:D951,D951)-1)</f>
        <v/>
      </c>
      <c r="L951" s="62" t="str">
        <f>IF(OR(D951="",NOT(G951="轿车")),"",1+SUMPRODUCT(($G$2:$G$1001="轿车")*($D$2:$D$1001&gt;D951))+COUNTIFS($G$2:G951,"轿车",$D$2:D951,D951)-1)</f>
        <v/>
      </c>
      <c r="M951" s="62" t="str">
        <f>IF(OR(D951="",NOT(G951="MPV")),"",1+SUMPRODUCT(($G$2:$G$1001="MPV")*($D$2:$D$1001&gt;D951))+COUNTIFS($G$2:G951,"MPV",$D$2:D951,D951)-1)</f>
        <v/>
      </c>
      <c r="N951" s="62" t="str">
        <f>IF(OR(D951="",NOT(G951="SUV")),"",1+SUMPRODUCT(($G$2:$G$1001="SUV")*($D$2:$D$1001&gt;D951))+COUNTIFS($G$2:G951,"SUV",$D$2:D951,D951)-1)</f>
        <v/>
      </c>
      <c r="O951" s="62" t="str">
        <f>IF(OR(D951="",NOT(AND(F951=1,G951="轿车"))),"",1+SUMPRODUCT(($F$2:$F$1001=1)*($G$2:$G$1001="轿车")*($D$2:$D$1001&gt;D951))+COUNTIFS($F$2:F951,1,$G$2:G951,"轿车",$D$2:D951,D951)-1)</f>
        <v/>
      </c>
      <c r="P951" s="62" t="str">
        <f>IF(OR(D951="",NOT(AND(F951=1,G951="MPV"))),"",1+SUMPRODUCT(($F$2:$F$1001=1)*($G$2:$G$1001="MPV")*($D$2:$D$1001&gt;D951))+COUNTIFS($F$2:F951,1,$G$2:G951,"MPV",$D$2:D951,D951)-1)</f>
        <v/>
      </c>
      <c r="Q951" s="62" t="str">
        <f>IF(OR(D951="",NOT(AND(F951=1,G951="SUV"))),"",1+SUMPRODUCT(($F$2:$F$1001=1)*($G$2:$G$1001="SUV")*($D$2:$D$1001&gt;D951))+COUNTIFS($F$2:F951,1,$G$2:G951,"SUV",$D$2:D951,D951)-1)</f>
        <v/>
      </c>
    </row>
    <row r="952" spans="1:17">
      <c r="A952" s="62" t="str">
        <f>IFERROR(INDEX($H$2:$H$3000,MATCH(0,INDEX(COUNTIF($A$1:A951,$H$2:$H$3000)+($H$2:$H$3000=""),0,0),0)),"")</f>
        <v/>
      </c>
      <c r="B952" s="62" t="str">
        <f t="shared" si="56"/>
        <v/>
      </c>
      <c r="C952" s="62" t="str">
        <f t="shared" si="57"/>
        <v/>
      </c>
      <c r="D952" s="63" t="str">
        <f t="shared" si="58"/>
        <v/>
      </c>
      <c r="E952" s="62" t="str">
        <f>IF(D952="","",_xlfn.RANK.EQ(D952,$D$2:$D$1001,0)+COUNTIF($D$2:D952,D952)-1)</f>
        <v/>
      </c>
      <c r="F952" s="62" t="str">
        <f>IF(B952="","",--(COUNTIF(CN_Brands!$A$2:$A$300,UPPER(B952))&gt;0))</f>
        <v/>
      </c>
      <c r="G952" s="62" t="str">
        <f t="shared" si="59"/>
        <v/>
      </c>
      <c r="H952" s="62" t="str">
        <f>IF(AND('Data Export'!A952=前十整体车型排名!$B$2,'Data Export'!B952=前十整体车型排名!$B$3,'Data Export'!D952&lt;&gt;""),UPPER('Data Export'!C952)&amp;"♦"&amp;'Data Export'!D952,"")</f>
        <v>VOLVO♦OTHER</v>
      </c>
      <c r="I952" s="63">
        <f>IF(H952="","",IFERROR(INDEX('Data Export'!G952:CZ952,1,MATCH(前十整体车型排名!$B$4,'Data Export'!$G$1:$CZ$1,0)),0))</f>
        <v>0</v>
      </c>
      <c r="J952" s="62" t="str">
        <f>IF(H952="","",IF(OR('Data Export'!F952="三厢轿车",'Data Export'!F952="掀背轿车",'Data Export'!F952="旅行车",'Data Export'!F952="微型车",'Data Export'!F952="硬顶跑车",'Data Export'!F952="敞蓬车",'Data Export'!F952="Targa"),"轿车",IF(OR('Data Export'!F952="小型MPV",'Data Export'!F952="客车"),"MPV",IF('Data Export'!F952="运动型多功能车","SUV","其他"))))</f>
        <v>其他</v>
      </c>
      <c r="K952" s="62" t="str">
        <f>IF(OR(D952="",NOT(F952=1)),"",1+SUMPRODUCT(($F$2:$F$1001=1)*($D$2:$D$1001&gt;D952))+COUNTIFS($F$2:F952,1,$D$2:D952,D952)-1)</f>
        <v/>
      </c>
      <c r="L952" s="62" t="str">
        <f>IF(OR(D952="",NOT(G952="轿车")),"",1+SUMPRODUCT(($G$2:$G$1001="轿车")*($D$2:$D$1001&gt;D952))+COUNTIFS($G$2:G952,"轿车",$D$2:D952,D952)-1)</f>
        <v/>
      </c>
      <c r="M952" s="62" t="str">
        <f>IF(OR(D952="",NOT(G952="MPV")),"",1+SUMPRODUCT(($G$2:$G$1001="MPV")*($D$2:$D$1001&gt;D952))+COUNTIFS($G$2:G952,"MPV",$D$2:D952,D952)-1)</f>
        <v/>
      </c>
      <c r="N952" s="62" t="str">
        <f>IF(OR(D952="",NOT(G952="SUV")),"",1+SUMPRODUCT(($G$2:$G$1001="SUV")*($D$2:$D$1001&gt;D952))+COUNTIFS($G$2:G952,"SUV",$D$2:D952,D952)-1)</f>
        <v/>
      </c>
      <c r="O952" s="62" t="str">
        <f>IF(OR(D952="",NOT(AND(F952=1,G952="轿车"))),"",1+SUMPRODUCT(($F$2:$F$1001=1)*($G$2:$G$1001="轿车")*($D$2:$D$1001&gt;D952))+COUNTIFS($F$2:F952,1,$G$2:G952,"轿车",$D$2:D952,D952)-1)</f>
        <v/>
      </c>
      <c r="P952" s="62" t="str">
        <f>IF(OR(D952="",NOT(AND(F952=1,G952="MPV"))),"",1+SUMPRODUCT(($F$2:$F$1001=1)*($G$2:$G$1001="MPV")*($D$2:$D$1001&gt;D952))+COUNTIFS($F$2:F952,1,$G$2:G952,"MPV",$D$2:D952,D952)-1)</f>
        <v/>
      </c>
      <c r="Q952" s="62" t="str">
        <f>IF(OR(D952="",NOT(AND(F952=1,G952="SUV"))),"",1+SUMPRODUCT(($F$2:$F$1001=1)*($G$2:$G$1001="SUV")*($D$2:$D$1001&gt;D952))+COUNTIFS($F$2:F952,1,$G$2:G952,"SUV",$D$2:D952,D952)-1)</f>
        <v/>
      </c>
    </row>
    <row r="953" spans="1:17">
      <c r="A953" s="62" t="str">
        <f>IFERROR(INDEX($H$2:$H$3000,MATCH(0,INDEX(COUNTIF($A$1:A952,$H$2:$H$3000)+($H$2:$H$3000=""),0,0),0)),"")</f>
        <v/>
      </c>
      <c r="B953" s="62" t="str">
        <f t="shared" si="56"/>
        <v/>
      </c>
      <c r="C953" s="62" t="str">
        <f t="shared" si="57"/>
        <v/>
      </c>
      <c r="D953" s="63" t="str">
        <f t="shared" si="58"/>
        <v/>
      </c>
      <c r="E953" s="62" t="str">
        <f>IF(D953="","",_xlfn.RANK.EQ(D953,$D$2:$D$1001,0)+COUNTIF($D$2:D953,D953)-1)</f>
        <v/>
      </c>
      <c r="F953" s="62" t="str">
        <f>IF(B953="","",--(COUNTIF(CN_Brands!$A$2:$A$300,UPPER(B953))&gt;0))</f>
        <v/>
      </c>
      <c r="G953" s="62" t="str">
        <f t="shared" si="59"/>
        <v/>
      </c>
      <c r="H953" s="62" t="str">
        <f>IF(AND('Data Export'!A953=前十整体车型排名!$B$2,'Data Export'!B953=前十整体车型排名!$B$3,'Data Export'!D953&lt;&gt;""),UPPER('Data Export'!C953)&amp;"♦"&amp;'Data Export'!D953,"")</f>
        <v>VOLVO♦S60</v>
      </c>
      <c r="I953" s="63">
        <f>IF(H953="","",IFERROR(INDEX('Data Export'!G953:CZ953,1,MATCH(前十整体车型排名!$B$4,'Data Export'!$G$1:$CZ$1,0)),0))</f>
        <v>2</v>
      </c>
      <c r="J953" s="62" t="str">
        <f>IF(H953="","",IF(OR('Data Export'!F953="三厢轿车",'Data Export'!F953="掀背轿车",'Data Export'!F953="旅行车",'Data Export'!F953="微型车",'Data Export'!F953="硬顶跑车",'Data Export'!F953="敞蓬车",'Data Export'!F953="Targa"),"轿车",IF(OR('Data Export'!F953="小型MPV",'Data Export'!F953="客车"),"MPV",IF('Data Export'!F953="运动型多功能车","SUV","其他"))))</f>
        <v>轿车</v>
      </c>
      <c r="K953" s="62" t="str">
        <f>IF(OR(D953="",NOT(F953=1)),"",1+SUMPRODUCT(($F$2:$F$1001=1)*($D$2:$D$1001&gt;D953))+COUNTIFS($F$2:F953,1,$D$2:D953,D953)-1)</f>
        <v/>
      </c>
      <c r="L953" s="62" t="str">
        <f>IF(OR(D953="",NOT(G953="轿车")),"",1+SUMPRODUCT(($G$2:$G$1001="轿车")*($D$2:$D$1001&gt;D953))+COUNTIFS($G$2:G953,"轿车",$D$2:D953,D953)-1)</f>
        <v/>
      </c>
      <c r="M953" s="62" t="str">
        <f>IF(OR(D953="",NOT(G953="MPV")),"",1+SUMPRODUCT(($G$2:$G$1001="MPV")*($D$2:$D$1001&gt;D953))+COUNTIFS($G$2:G953,"MPV",$D$2:D953,D953)-1)</f>
        <v/>
      </c>
      <c r="N953" s="62" t="str">
        <f>IF(OR(D953="",NOT(G953="SUV")),"",1+SUMPRODUCT(($G$2:$G$1001="SUV")*($D$2:$D$1001&gt;D953))+COUNTIFS($G$2:G953,"SUV",$D$2:D953,D953)-1)</f>
        <v/>
      </c>
      <c r="O953" s="62" t="str">
        <f>IF(OR(D953="",NOT(AND(F953=1,G953="轿车"))),"",1+SUMPRODUCT(($F$2:$F$1001=1)*($G$2:$G$1001="轿车")*($D$2:$D$1001&gt;D953))+COUNTIFS($F$2:F953,1,$G$2:G953,"轿车",$D$2:D953,D953)-1)</f>
        <v/>
      </c>
      <c r="P953" s="62" t="str">
        <f>IF(OR(D953="",NOT(AND(F953=1,G953="MPV"))),"",1+SUMPRODUCT(($F$2:$F$1001=1)*($G$2:$G$1001="MPV")*($D$2:$D$1001&gt;D953))+COUNTIFS($F$2:F953,1,$G$2:G953,"MPV",$D$2:D953,D953)-1)</f>
        <v/>
      </c>
      <c r="Q953" s="62" t="str">
        <f>IF(OR(D953="",NOT(AND(F953=1,G953="SUV"))),"",1+SUMPRODUCT(($F$2:$F$1001=1)*($G$2:$G$1001="SUV")*($D$2:$D$1001&gt;D953))+COUNTIFS($F$2:F953,1,$G$2:G953,"SUV",$D$2:D953,D953)-1)</f>
        <v/>
      </c>
    </row>
    <row r="954" spans="1:17">
      <c r="A954" s="62" t="str">
        <f>IFERROR(INDEX($H$2:$H$3000,MATCH(0,INDEX(COUNTIF($A$1:A953,$H$2:$H$3000)+($H$2:$H$3000=""),0,0),0)),"")</f>
        <v/>
      </c>
      <c r="B954" s="62" t="str">
        <f t="shared" si="56"/>
        <v/>
      </c>
      <c r="C954" s="62" t="str">
        <f t="shared" si="57"/>
        <v/>
      </c>
      <c r="D954" s="63" t="str">
        <f t="shared" si="58"/>
        <v/>
      </c>
      <c r="E954" s="62" t="str">
        <f>IF(D954="","",_xlfn.RANK.EQ(D954,$D$2:$D$1001,0)+COUNTIF($D$2:D954,D954)-1)</f>
        <v/>
      </c>
      <c r="F954" s="62" t="str">
        <f>IF(B954="","",--(COUNTIF(CN_Brands!$A$2:$A$300,UPPER(B954))&gt;0))</f>
        <v/>
      </c>
      <c r="G954" s="62" t="str">
        <f t="shared" si="59"/>
        <v/>
      </c>
      <c r="H954" s="62" t="str">
        <f>IF(AND('Data Export'!A954=前十整体车型排名!$B$2,'Data Export'!B954=前十整体车型排名!$B$3,'Data Export'!D954&lt;&gt;""),UPPER('Data Export'!C954)&amp;"♦"&amp;'Data Export'!D954,"")</f>
        <v>VOLVO♦S90</v>
      </c>
      <c r="I954" s="63">
        <f>IF(H954="","",IFERROR(INDEX('Data Export'!G954:CZ954,1,MATCH(前十整体车型排名!$B$4,'Data Export'!$G$1:$CZ$1,0)),0))</f>
        <v>3</v>
      </c>
      <c r="J954" s="62" t="str">
        <f>IF(H954="","",IF(OR('Data Export'!F954="三厢轿车",'Data Export'!F954="掀背轿车",'Data Export'!F954="旅行车",'Data Export'!F954="微型车",'Data Export'!F954="硬顶跑车",'Data Export'!F954="敞蓬车",'Data Export'!F954="Targa"),"轿车",IF(OR('Data Export'!F954="小型MPV",'Data Export'!F954="客车"),"MPV",IF('Data Export'!F954="运动型多功能车","SUV","其他"))))</f>
        <v>轿车</v>
      </c>
      <c r="K954" s="62" t="str">
        <f>IF(OR(D954="",NOT(F954=1)),"",1+SUMPRODUCT(($F$2:$F$1001=1)*($D$2:$D$1001&gt;D954))+COUNTIFS($F$2:F954,1,$D$2:D954,D954)-1)</f>
        <v/>
      </c>
      <c r="L954" s="62" t="str">
        <f>IF(OR(D954="",NOT(G954="轿车")),"",1+SUMPRODUCT(($G$2:$G$1001="轿车")*($D$2:$D$1001&gt;D954))+COUNTIFS($G$2:G954,"轿车",$D$2:D954,D954)-1)</f>
        <v/>
      </c>
      <c r="M954" s="62" t="str">
        <f>IF(OR(D954="",NOT(G954="MPV")),"",1+SUMPRODUCT(($G$2:$G$1001="MPV")*($D$2:$D$1001&gt;D954))+COUNTIFS($G$2:G954,"MPV",$D$2:D954,D954)-1)</f>
        <v/>
      </c>
      <c r="N954" s="62" t="str">
        <f>IF(OR(D954="",NOT(G954="SUV")),"",1+SUMPRODUCT(($G$2:$G$1001="SUV")*($D$2:$D$1001&gt;D954))+COUNTIFS($G$2:G954,"SUV",$D$2:D954,D954)-1)</f>
        <v/>
      </c>
      <c r="O954" s="62" t="str">
        <f>IF(OR(D954="",NOT(AND(F954=1,G954="轿车"))),"",1+SUMPRODUCT(($F$2:$F$1001=1)*($G$2:$G$1001="轿车")*($D$2:$D$1001&gt;D954))+COUNTIFS($F$2:F954,1,$G$2:G954,"轿车",$D$2:D954,D954)-1)</f>
        <v/>
      </c>
      <c r="P954" s="62" t="str">
        <f>IF(OR(D954="",NOT(AND(F954=1,G954="MPV"))),"",1+SUMPRODUCT(($F$2:$F$1001=1)*($G$2:$G$1001="MPV")*($D$2:$D$1001&gt;D954))+COUNTIFS($F$2:F954,1,$G$2:G954,"MPV",$D$2:D954,D954)-1)</f>
        <v/>
      </c>
      <c r="Q954" s="62" t="str">
        <f>IF(OR(D954="",NOT(AND(F954=1,G954="SUV"))),"",1+SUMPRODUCT(($F$2:$F$1001=1)*($G$2:$G$1001="SUV")*($D$2:$D$1001&gt;D954))+COUNTIFS($F$2:F954,1,$G$2:G954,"SUV",$D$2:D954,D954)-1)</f>
        <v/>
      </c>
    </row>
    <row r="955" spans="1:17">
      <c r="A955" s="62" t="str">
        <f>IFERROR(INDEX($H$2:$H$3000,MATCH(0,INDEX(COUNTIF($A$1:A954,$H$2:$H$3000)+($H$2:$H$3000=""),0,0),0)),"")</f>
        <v/>
      </c>
      <c r="B955" s="62" t="str">
        <f t="shared" si="56"/>
        <v/>
      </c>
      <c r="C955" s="62" t="str">
        <f t="shared" si="57"/>
        <v/>
      </c>
      <c r="D955" s="63" t="str">
        <f t="shared" si="58"/>
        <v/>
      </c>
      <c r="E955" s="62" t="str">
        <f>IF(D955="","",_xlfn.RANK.EQ(D955,$D$2:$D$1001,0)+COUNTIF($D$2:D955,D955)-1)</f>
        <v/>
      </c>
      <c r="F955" s="62" t="str">
        <f>IF(B955="","",--(COUNTIF(CN_Brands!$A$2:$A$300,UPPER(B955))&gt;0))</f>
        <v/>
      </c>
      <c r="G955" s="62" t="str">
        <f t="shared" si="59"/>
        <v/>
      </c>
      <c r="H955" s="62" t="str">
        <f>IF(AND('Data Export'!A955=前十整体车型排名!$B$2,'Data Export'!B955=前十整体车型排名!$B$3,'Data Export'!D955&lt;&gt;""),UPPER('Data Export'!C955)&amp;"♦"&amp;'Data Export'!D955,"")</f>
        <v>VOLVO♦V60</v>
      </c>
      <c r="I955" s="63">
        <f>IF(H955="","",IFERROR(INDEX('Data Export'!G955:CZ955,1,MATCH(前十整体车型排名!$B$4,'Data Export'!$G$1:$CZ$1,0)),0))</f>
        <v>2</v>
      </c>
      <c r="J955" s="62" t="str">
        <f>IF(H955="","",IF(OR('Data Export'!F955="三厢轿车",'Data Export'!F955="掀背轿车",'Data Export'!F955="旅行车",'Data Export'!F955="微型车",'Data Export'!F955="硬顶跑车",'Data Export'!F955="敞蓬车",'Data Export'!F955="Targa"),"轿车",IF(OR('Data Export'!F955="小型MPV",'Data Export'!F955="客车"),"MPV",IF('Data Export'!F955="运动型多功能车","SUV","其他"))))</f>
        <v>轿车</v>
      </c>
      <c r="K955" s="62" t="str">
        <f>IF(OR(D955="",NOT(F955=1)),"",1+SUMPRODUCT(($F$2:$F$1001=1)*($D$2:$D$1001&gt;D955))+COUNTIFS($F$2:F955,1,$D$2:D955,D955)-1)</f>
        <v/>
      </c>
      <c r="L955" s="62" t="str">
        <f>IF(OR(D955="",NOT(G955="轿车")),"",1+SUMPRODUCT(($G$2:$G$1001="轿车")*($D$2:$D$1001&gt;D955))+COUNTIFS($G$2:G955,"轿车",$D$2:D955,D955)-1)</f>
        <v/>
      </c>
      <c r="M955" s="62" t="str">
        <f>IF(OR(D955="",NOT(G955="MPV")),"",1+SUMPRODUCT(($G$2:$G$1001="MPV")*($D$2:$D$1001&gt;D955))+COUNTIFS($G$2:G955,"MPV",$D$2:D955,D955)-1)</f>
        <v/>
      </c>
      <c r="N955" s="62" t="str">
        <f>IF(OR(D955="",NOT(G955="SUV")),"",1+SUMPRODUCT(($G$2:$G$1001="SUV")*($D$2:$D$1001&gt;D955))+COUNTIFS($G$2:G955,"SUV",$D$2:D955,D955)-1)</f>
        <v/>
      </c>
      <c r="O955" s="62" t="str">
        <f>IF(OR(D955="",NOT(AND(F955=1,G955="轿车"))),"",1+SUMPRODUCT(($F$2:$F$1001=1)*($G$2:$G$1001="轿车")*($D$2:$D$1001&gt;D955))+COUNTIFS($F$2:F955,1,$G$2:G955,"轿车",$D$2:D955,D955)-1)</f>
        <v/>
      </c>
      <c r="P955" s="62" t="str">
        <f>IF(OR(D955="",NOT(AND(F955=1,G955="MPV"))),"",1+SUMPRODUCT(($F$2:$F$1001=1)*($G$2:$G$1001="MPV")*($D$2:$D$1001&gt;D955))+COUNTIFS($F$2:F955,1,$G$2:G955,"MPV",$D$2:D955,D955)-1)</f>
        <v/>
      </c>
      <c r="Q955" s="62" t="str">
        <f>IF(OR(D955="",NOT(AND(F955=1,G955="SUV"))),"",1+SUMPRODUCT(($F$2:$F$1001=1)*($G$2:$G$1001="SUV")*($D$2:$D$1001&gt;D955))+COUNTIFS($F$2:F955,1,$G$2:G955,"SUV",$D$2:D955,D955)-1)</f>
        <v/>
      </c>
    </row>
    <row r="956" spans="1:17">
      <c r="A956" s="62" t="str">
        <f>IFERROR(INDEX($H$2:$H$3000,MATCH(0,INDEX(COUNTIF($A$1:A955,$H$2:$H$3000)+($H$2:$H$3000=""),0,0),0)),"")</f>
        <v/>
      </c>
      <c r="B956" s="62" t="str">
        <f t="shared" si="56"/>
        <v/>
      </c>
      <c r="C956" s="62" t="str">
        <f t="shared" si="57"/>
        <v/>
      </c>
      <c r="D956" s="63" t="str">
        <f t="shared" si="58"/>
        <v/>
      </c>
      <c r="E956" s="62" t="str">
        <f>IF(D956="","",_xlfn.RANK.EQ(D956,$D$2:$D$1001,0)+COUNTIF($D$2:D956,D956)-1)</f>
        <v/>
      </c>
      <c r="F956" s="62" t="str">
        <f>IF(B956="","",--(COUNTIF(CN_Brands!$A$2:$A$300,UPPER(B956))&gt;0))</f>
        <v/>
      </c>
      <c r="G956" s="62" t="str">
        <f t="shared" si="59"/>
        <v/>
      </c>
      <c r="H956" s="62" t="str">
        <f>IF(AND('Data Export'!A956=前十整体车型排名!$B$2,'Data Export'!B956=前十整体车型排名!$B$3,'Data Export'!D956&lt;&gt;""),UPPER('Data Export'!C956)&amp;"♦"&amp;'Data Export'!D956,"")</f>
        <v>VOLVO♦XC40</v>
      </c>
      <c r="I956" s="63">
        <f>IF(H956="","",IFERROR(INDEX('Data Export'!G956:CZ956,1,MATCH(前十整体车型排名!$B$4,'Data Export'!$G$1:$CZ$1,0)),0))</f>
        <v>1</v>
      </c>
      <c r="J956" s="62" t="str">
        <f>IF(H956="","",IF(OR('Data Export'!F956="三厢轿车",'Data Export'!F956="掀背轿车",'Data Export'!F956="旅行车",'Data Export'!F956="微型车",'Data Export'!F956="硬顶跑车",'Data Export'!F956="敞蓬车",'Data Export'!F956="Targa"),"轿车",IF(OR('Data Export'!F956="小型MPV",'Data Export'!F956="客车"),"MPV",IF('Data Export'!F956="运动型多功能车","SUV","其他"))))</f>
        <v>SUV</v>
      </c>
      <c r="K956" s="62" t="str">
        <f>IF(OR(D956="",NOT(F956=1)),"",1+SUMPRODUCT(($F$2:$F$1001=1)*($D$2:$D$1001&gt;D956))+COUNTIFS($F$2:F956,1,$D$2:D956,D956)-1)</f>
        <v/>
      </c>
      <c r="L956" s="62" t="str">
        <f>IF(OR(D956="",NOT(G956="轿车")),"",1+SUMPRODUCT(($G$2:$G$1001="轿车")*($D$2:$D$1001&gt;D956))+COUNTIFS($G$2:G956,"轿车",$D$2:D956,D956)-1)</f>
        <v/>
      </c>
      <c r="M956" s="62" t="str">
        <f>IF(OR(D956="",NOT(G956="MPV")),"",1+SUMPRODUCT(($G$2:$G$1001="MPV")*($D$2:$D$1001&gt;D956))+COUNTIFS($G$2:G956,"MPV",$D$2:D956,D956)-1)</f>
        <v/>
      </c>
      <c r="N956" s="62" t="str">
        <f>IF(OR(D956="",NOT(G956="SUV")),"",1+SUMPRODUCT(($G$2:$G$1001="SUV")*($D$2:$D$1001&gt;D956))+COUNTIFS($G$2:G956,"SUV",$D$2:D956,D956)-1)</f>
        <v/>
      </c>
      <c r="O956" s="62" t="str">
        <f>IF(OR(D956="",NOT(AND(F956=1,G956="轿车"))),"",1+SUMPRODUCT(($F$2:$F$1001=1)*($G$2:$G$1001="轿车")*($D$2:$D$1001&gt;D956))+COUNTIFS($F$2:F956,1,$G$2:G956,"轿车",$D$2:D956,D956)-1)</f>
        <v/>
      </c>
      <c r="P956" s="62" t="str">
        <f>IF(OR(D956="",NOT(AND(F956=1,G956="MPV"))),"",1+SUMPRODUCT(($F$2:$F$1001=1)*($G$2:$G$1001="MPV")*($D$2:$D$1001&gt;D956))+COUNTIFS($F$2:F956,1,$G$2:G956,"MPV",$D$2:D956,D956)-1)</f>
        <v/>
      </c>
      <c r="Q956" s="62" t="str">
        <f>IF(OR(D956="",NOT(AND(F956=1,G956="SUV"))),"",1+SUMPRODUCT(($F$2:$F$1001=1)*($G$2:$G$1001="SUV")*($D$2:$D$1001&gt;D956))+COUNTIFS($F$2:F956,1,$G$2:G956,"SUV",$D$2:D956,D956)-1)</f>
        <v/>
      </c>
    </row>
    <row r="957" spans="1:17">
      <c r="A957" s="62" t="str">
        <f>IFERROR(INDEX($H$2:$H$3000,MATCH(0,INDEX(COUNTIF($A$1:A956,$H$2:$H$3000)+($H$2:$H$3000=""),0,0),0)),"")</f>
        <v/>
      </c>
      <c r="B957" s="62" t="str">
        <f t="shared" si="56"/>
        <v/>
      </c>
      <c r="C957" s="62" t="str">
        <f t="shared" si="57"/>
        <v/>
      </c>
      <c r="D957" s="63" t="str">
        <f t="shared" si="58"/>
        <v/>
      </c>
      <c r="E957" s="62" t="str">
        <f>IF(D957="","",_xlfn.RANK.EQ(D957,$D$2:$D$1001,0)+COUNTIF($D$2:D957,D957)-1)</f>
        <v/>
      </c>
      <c r="F957" s="62" t="str">
        <f>IF(B957="","",--(COUNTIF(CN_Brands!$A$2:$A$300,UPPER(B957))&gt;0))</f>
        <v/>
      </c>
      <c r="G957" s="62" t="str">
        <f t="shared" si="59"/>
        <v/>
      </c>
      <c r="H957" s="62" t="str">
        <f>IF(AND('Data Export'!A957=前十整体车型排名!$B$2,'Data Export'!B957=前十整体车型排名!$B$3,'Data Export'!D957&lt;&gt;""),UPPER('Data Export'!C957)&amp;"♦"&amp;'Data Export'!D957,"")</f>
        <v>VOLVO♦XC60</v>
      </c>
      <c r="I957" s="63">
        <f>IF(H957="","",IFERROR(INDEX('Data Export'!G957:CZ957,1,MATCH(前十整体车型排名!$B$4,'Data Export'!$G$1:$CZ$1,0)),0))</f>
        <v>11</v>
      </c>
      <c r="J957" s="62" t="str">
        <f>IF(H957="","",IF(OR('Data Export'!F957="三厢轿车",'Data Export'!F957="掀背轿车",'Data Export'!F957="旅行车",'Data Export'!F957="微型车",'Data Export'!F957="硬顶跑车",'Data Export'!F957="敞蓬车",'Data Export'!F957="Targa"),"轿车",IF(OR('Data Export'!F957="小型MPV",'Data Export'!F957="客车"),"MPV",IF('Data Export'!F957="运动型多功能车","SUV","其他"))))</f>
        <v>SUV</v>
      </c>
      <c r="K957" s="62" t="str">
        <f>IF(OR(D957="",NOT(F957=1)),"",1+SUMPRODUCT(($F$2:$F$1001=1)*($D$2:$D$1001&gt;D957))+COUNTIFS($F$2:F957,1,$D$2:D957,D957)-1)</f>
        <v/>
      </c>
      <c r="L957" s="62" t="str">
        <f>IF(OR(D957="",NOT(G957="轿车")),"",1+SUMPRODUCT(($G$2:$G$1001="轿车")*($D$2:$D$1001&gt;D957))+COUNTIFS($G$2:G957,"轿车",$D$2:D957,D957)-1)</f>
        <v/>
      </c>
      <c r="M957" s="62" t="str">
        <f>IF(OR(D957="",NOT(G957="MPV")),"",1+SUMPRODUCT(($G$2:$G$1001="MPV")*($D$2:$D$1001&gt;D957))+COUNTIFS($G$2:G957,"MPV",$D$2:D957,D957)-1)</f>
        <v/>
      </c>
      <c r="N957" s="62" t="str">
        <f>IF(OR(D957="",NOT(G957="SUV")),"",1+SUMPRODUCT(($G$2:$G$1001="SUV")*($D$2:$D$1001&gt;D957))+COUNTIFS($G$2:G957,"SUV",$D$2:D957,D957)-1)</f>
        <v/>
      </c>
      <c r="O957" s="62" t="str">
        <f>IF(OR(D957="",NOT(AND(F957=1,G957="轿车"))),"",1+SUMPRODUCT(($F$2:$F$1001=1)*($G$2:$G$1001="轿车")*($D$2:$D$1001&gt;D957))+COUNTIFS($F$2:F957,1,$G$2:G957,"轿车",$D$2:D957,D957)-1)</f>
        <v/>
      </c>
      <c r="P957" s="62" t="str">
        <f>IF(OR(D957="",NOT(AND(F957=1,G957="MPV"))),"",1+SUMPRODUCT(($F$2:$F$1001=1)*($G$2:$G$1001="MPV")*($D$2:$D$1001&gt;D957))+COUNTIFS($F$2:F957,1,$G$2:G957,"MPV",$D$2:D957,D957)-1)</f>
        <v/>
      </c>
      <c r="Q957" s="62" t="str">
        <f>IF(OR(D957="",NOT(AND(F957=1,G957="SUV"))),"",1+SUMPRODUCT(($F$2:$F$1001=1)*($G$2:$G$1001="SUV")*($D$2:$D$1001&gt;D957))+COUNTIFS($F$2:F957,1,$G$2:G957,"SUV",$D$2:D957,D957)-1)</f>
        <v/>
      </c>
    </row>
    <row r="958" spans="1:17">
      <c r="A958" s="62" t="str">
        <f>IFERROR(INDEX($H$2:$H$3000,MATCH(0,INDEX(COUNTIF($A$1:A957,$H$2:$H$3000)+($H$2:$H$3000=""),0,0),0)),"")</f>
        <v/>
      </c>
      <c r="B958" s="62" t="str">
        <f t="shared" si="56"/>
        <v/>
      </c>
      <c r="C958" s="62" t="str">
        <f t="shared" si="57"/>
        <v/>
      </c>
      <c r="D958" s="63" t="str">
        <f t="shared" si="58"/>
        <v/>
      </c>
      <c r="E958" s="62" t="str">
        <f>IF(D958="","",_xlfn.RANK.EQ(D958,$D$2:$D$1001,0)+COUNTIF($D$2:D958,D958)-1)</f>
        <v/>
      </c>
      <c r="F958" s="62" t="str">
        <f>IF(B958="","",--(COUNTIF(CN_Brands!$A$2:$A$300,UPPER(B958))&gt;0))</f>
        <v/>
      </c>
      <c r="G958" s="62" t="str">
        <f t="shared" si="59"/>
        <v/>
      </c>
      <c r="H958" s="62" t="str">
        <f>IF(AND('Data Export'!A958=前十整体车型排名!$B$2,'Data Export'!B958=前十整体车型排名!$B$3,'Data Export'!D958&lt;&gt;""),UPPER('Data Export'!C958)&amp;"♦"&amp;'Data Export'!D958,"")</f>
        <v>VOLVO♦XC90</v>
      </c>
      <c r="I958" s="63">
        <f>IF(H958="","",IFERROR(INDEX('Data Export'!G958:CZ958,1,MATCH(前十整体车型排名!$B$4,'Data Export'!$G$1:$CZ$1,0)),0))</f>
        <v>0</v>
      </c>
      <c r="J958" s="62" t="str">
        <f>IF(H958="","",IF(OR('Data Export'!F958="三厢轿车",'Data Export'!F958="掀背轿车",'Data Export'!F958="旅行车",'Data Export'!F958="微型车",'Data Export'!F958="硬顶跑车",'Data Export'!F958="敞蓬车",'Data Export'!F958="Targa"),"轿车",IF(OR('Data Export'!F958="小型MPV",'Data Export'!F958="客车"),"MPV",IF('Data Export'!F958="运动型多功能车","SUV","其他"))))</f>
        <v>SUV</v>
      </c>
      <c r="K958" s="62" t="str">
        <f>IF(OR(D958="",NOT(F958=1)),"",1+SUMPRODUCT(($F$2:$F$1001=1)*($D$2:$D$1001&gt;D958))+COUNTIFS($F$2:F958,1,$D$2:D958,D958)-1)</f>
        <v/>
      </c>
      <c r="L958" s="62" t="str">
        <f>IF(OR(D958="",NOT(G958="轿车")),"",1+SUMPRODUCT(($G$2:$G$1001="轿车")*($D$2:$D$1001&gt;D958))+COUNTIFS($G$2:G958,"轿车",$D$2:D958,D958)-1)</f>
        <v/>
      </c>
      <c r="M958" s="62" t="str">
        <f>IF(OR(D958="",NOT(G958="MPV")),"",1+SUMPRODUCT(($G$2:$G$1001="MPV")*($D$2:$D$1001&gt;D958))+COUNTIFS($G$2:G958,"MPV",$D$2:D958,D958)-1)</f>
        <v/>
      </c>
      <c r="N958" s="62" t="str">
        <f>IF(OR(D958="",NOT(G958="SUV")),"",1+SUMPRODUCT(($G$2:$G$1001="SUV")*($D$2:$D$1001&gt;D958))+COUNTIFS($G$2:G958,"SUV",$D$2:D958,D958)-1)</f>
        <v/>
      </c>
      <c r="O958" s="62" t="str">
        <f>IF(OR(D958="",NOT(AND(F958=1,G958="轿车"))),"",1+SUMPRODUCT(($F$2:$F$1001=1)*($G$2:$G$1001="轿车")*($D$2:$D$1001&gt;D958))+COUNTIFS($F$2:F958,1,$G$2:G958,"轿车",$D$2:D958,D958)-1)</f>
        <v/>
      </c>
      <c r="P958" s="62" t="str">
        <f>IF(OR(D958="",NOT(AND(F958=1,G958="MPV"))),"",1+SUMPRODUCT(($F$2:$F$1001=1)*($G$2:$G$1001="MPV")*($D$2:$D$1001&gt;D958))+COUNTIFS($F$2:F958,1,$G$2:G958,"MPV",$D$2:D958,D958)-1)</f>
        <v/>
      </c>
      <c r="Q958" s="62" t="str">
        <f>IF(OR(D958="",NOT(AND(F958=1,G958="SUV"))),"",1+SUMPRODUCT(($F$2:$F$1001=1)*($G$2:$G$1001="SUV")*($D$2:$D$1001&gt;D958))+COUNTIFS($F$2:F958,1,$G$2:G958,"SUV",$D$2:D958,D958)-1)</f>
        <v/>
      </c>
    </row>
    <row r="959" spans="1:17">
      <c r="A959" s="62" t="str">
        <f>IFERROR(INDEX($H$2:$H$3000,MATCH(0,INDEX(COUNTIF($A$1:A958,$H$2:$H$3000)+($H$2:$H$3000=""),0,0),0)),"")</f>
        <v/>
      </c>
      <c r="B959" s="62" t="str">
        <f t="shared" si="56"/>
        <v/>
      </c>
      <c r="C959" s="62" t="str">
        <f t="shared" si="57"/>
        <v/>
      </c>
      <c r="D959" s="63" t="str">
        <f t="shared" si="58"/>
        <v/>
      </c>
      <c r="E959" s="62" t="str">
        <f>IF(D959="","",_xlfn.RANK.EQ(D959,$D$2:$D$1001,0)+COUNTIF($D$2:D959,D959)-1)</f>
        <v/>
      </c>
      <c r="F959" s="62" t="str">
        <f>IF(B959="","",--(COUNTIF(CN_Brands!$A$2:$A$300,UPPER(B959))&gt;0))</f>
        <v/>
      </c>
      <c r="G959" s="62" t="str">
        <f t="shared" si="59"/>
        <v/>
      </c>
      <c r="H959" s="62" t="str">
        <f>IF(AND('Data Export'!A959=前十整体车型排名!$B$2,'Data Export'!B959=前十整体车型排名!$B$3,'Data Export'!D959&lt;&gt;""),UPPER('Data Export'!C959)&amp;"♦"&amp;'Data Export'!D959,"")</f>
        <v>VOLVO♦XC90</v>
      </c>
      <c r="I959" s="63">
        <f>IF(H959="","",IFERROR(INDEX('Data Export'!G959:CZ959,1,MATCH(前十整体车型排名!$B$4,'Data Export'!$G$1:$CZ$1,0)),0))</f>
        <v>1</v>
      </c>
      <c r="J959" s="62" t="str">
        <f>IF(H959="","",IF(OR('Data Export'!F959="三厢轿车",'Data Export'!F959="掀背轿车",'Data Export'!F959="旅行车",'Data Export'!F959="微型车",'Data Export'!F959="硬顶跑车",'Data Export'!F959="敞蓬车",'Data Export'!F959="Targa"),"轿车",IF(OR('Data Export'!F959="小型MPV",'Data Export'!F959="客车"),"MPV",IF('Data Export'!F959="运动型多功能车","SUV","其他"))))</f>
        <v>SUV</v>
      </c>
      <c r="K959" s="62" t="str">
        <f>IF(OR(D959="",NOT(F959=1)),"",1+SUMPRODUCT(($F$2:$F$1001=1)*($D$2:$D$1001&gt;D959))+COUNTIFS($F$2:F959,1,$D$2:D959,D959)-1)</f>
        <v/>
      </c>
      <c r="L959" s="62" t="str">
        <f>IF(OR(D959="",NOT(G959="轿车")),"",1+SUMPRODUCT(($G$2:$G$1001="轿车")*($D$2:$D$1001&gt;D959))+COUNTIFS($G$2:G959,"轿车",$D$2:D959,D959)-1)</f>
        <v/>
      </c>
      <c r="M959" s="62" t="str">
        <f>IF(OR(D959="",NOT(G959="MPV")),"",1+SUMPRODUCT(($G$2:$G$1001="MPV")*($D$2:$D$1001&gt;D959))+COUNTIFS($G$2:G959,"MPV",$D$2:D959,D959)-1)</f>
        <v/>
      </c>
      <c r="N959" s="62" t="str">
        <f>IF(OR(D959="",NOT(G959="SUV")),"",1+SUMPRODUCT(($G$2:$G$1001="SUV")*($D$2:$D$1001&gt;D959))+COUNTIFS($G$2:G959,"SUV",$D$2:D959,D959)-1)</f>
        <v/>
      </c>
      <c r="O959" s="62" t="str">
        <f>IF(OR(D959="",NOT(AND(F959=1,G959="轿车"))),"",1+SUMPRODUCT(($F$2:$F$1001=1)*($G$2:$G$1001="轿车")*($D$2:$D$1001&gt;D959))+COUNTIFS($F$2:F959,1,$G$2:G959,"轿车",$D$2:D959,D959)-1)</f>
        <v/>
      </c>
      <c r="P959" s="62" t="str">
        <f>IF(OR(D959="",NOT(AND(F959=1,G959="MPV"))),"",1+SUMPRODUCT(($F$2:$F$1001=1)*($G$2:$G$1001="MPV")*($D$2:$D$1001&gt;D959))+COUNTIFS($F$2:F959,1,$G$2:G959,"MPV",$D$2:D959,D959)-1)</f>
        <v/>
      </c>
      <c r="Q959" s="62" t="str">
        <f>IF(OR(D959="",NOT(AND(F959=1,G959="SUV"))),"",1+SUMPRODUCT(($F$2:$F$1001=1)*($G$2:$G$1001="SUV")*($D$2:$D$1001&gt;D959))+COUNTIFS($F$2:F959,1,$G$2:G959,"SUV",$D$2:D959,D959)-1)</f>
        <v/>
      </c>
    </row>
    <row r="960" spans="1:17">
      <c r="A960" s="62" t="str">
        <f>IFERROR(INDEX($H$2:$H$3000,MATCH(0,INDEX(COUNTIF($A$1:A959,$H$2:$H$3000)+($H$2:$H$3000=""),0,0),0)),"")</f>
        <v/>
      </c>
      <c r="B960" s="62" t="str">
        <f t="shared" si="56"/>
        <v/>
      </c>
      <c r="C960" s="62" t="str">
        <f t="shared" si="57"/>
        <v/>
      </c>
      <c r="D960" s="63" t="str">
        <f t="shared" si="58"/>
        <v/>
      </c>
      <c r="E960" s="62" t="str">
        <f>IF(D960="","",_xlfn.RANK.EQ(D960,$D$2:$D$1001,0)+COUNTIF($D$2:D960,D960)-1)</f>
        <v/>
      </c>
      <c r="F960" s="62" t="str">
        <f>IF(B960="","",--(COUNTIF(CN_Brands!$A$2:$A$300,UPPER(B960))&gt;0))</f>
        <v/>
      </c>
      <c r="G960" s="62" t="str">
        <f t="shared" si="59"/>
        <v/>
      </c>
      <c r="H960" s="62" t="str">
        <f>IF(AND('Data Export'!A960=前十整体车型排名!$B$2,'Data Export'!B960=前十整体车型排名!$B$3,'Data Export'!D960&lt;&gt;""),UPPER('Data Export'!C960)&amp;"♦"&amp;'Data Export'!D960,"")</f>
        <v>WEY♦G9</v>
      </c>
      <c r="I960" s="63">
        <f>IF(H960="","",IFERROR(INDEX('Data Export'!G960:CZ960,1,MATCH(前十整体车型排名!$B$4,'Data Export'!$G$1:$CZ$1,0)),0))</f>
        <v>53</v>
      </c>
      <c r="J960" s="62" t="str">
        <f>IF(H960="","",IF(OR('Data Export'!F960="三厢轿车",'Data Export'!F960="掀背轿车",'Data Export'!F960="旅行车",'Data Export'!F960="微型车",'Data Export'!F960="硬顶跑车",'Data Export'!F960="敞蓬车",'Data Export'!F960="Targa"),"轿车",IF(OR('Data Export'!F960="小型MPV",'Data Export'!F960="客车"),"MPV",IF('Data Export'!F960="运动型多功能车","SUV","其他"))))</f>
        <v>其他</v>
      </c>
      <c r="K960" s="62" t="str">
        <f>IF(OR(D960="",NOT(F960=1)),"",1+SUMPRODUCT(($F$2:$F$1001=1)*($D$2:$D$1001&gt;D960))+COUNTIFS($F$2:F960,1,$D$2:D960,D960)-1)</f>
        <v/>
      </c>
      <c r="L960" s="62" t="str">
        <f>IF(OR(D960="",NOT(G960="轿车")),"",1+SUMPRODUCT(($G$2:$G$1001="轿车")*($D$2:$D$1001&gt;D960))+COUNTIFS($G$2:G960,"轿车",$D$2:D960,D960)-1)</f>
        <v/>
      </c>
      <c r="M960" s="62" t="str">
        <f>IF(OR(D960="",NOT(G960="MPV")),"",1+SUMPRODUCT(($G$2:$G$1001="MPV")*($D$2:$D$1001&gt;D960))+COUNTIFS($G$2:G960,"MPV",$D$2:D960,D960)-1)</f>
        <v/>
      </c>
      <c r="N960" s="62" t="str">
        <f>IF(OR(D960="",NOT(G960="SUV")),"",1+SUMPRODUCT(($G$2:$G$1001="SUV")*($D$2:$D$1001&gt;D960))+COUNTIFS($G$2:G960,"SUV",$D$2:D960,D960)-1)</f>
        <v/>
      </c>
      <c r="O960" s="62" t="str">
        <f>IF(OR(D960="",NOT(AND(F960=1,G960="轿车"))),"",1+SUMPRODUCT(($F$2:$F$1001=1)*($G$2:$G$1001="轿车")*($D$2:$D$1001&gt;D960))+COUNTIFS($F$2:F960,1,$G$2:G960,"轿车",$D$2:D960,D960)-1)</f>
        <v/>
      </c>
      <c r="P960" s="62" t="str">
        <f>IF(OR(D960="",NOT(AND(F960=1,G960="MPV"))),"",1+SUMPRODUCT(($F$2:$F$1001=1)*($G$2:$G$1001="MPV")*($D$2:$D$1001&gt;D960))+COUNTIFS($F$2:F960,1,$G$2:G960,"MPV",$D$2:D960,D960)-1)</f>
        <v/>
      </c>
      <c r="Q960" s="62" t="str">
        <f>IF(OR(D960="",NOT(AND(F960=1,G960="SUV"))),"",1+SUMPRODUCT(($F$2:$F$1001=1)*($G$2:$G$1001="SUV")*($D$2:$D$1001&gt;D960))+COUNTIFS($F$2:F960,1,$G$2:G960,"SUV",$D$2:D960,D960)-1)</f>
        <v/>
      </c>
    </row>
    <row r="961" spans="1:17">
      <c r="A961" s="62" t="str">
        <f>IFERROR(INDEX($H$2:$H$3000,MATCH(0,INDEX(COUNTIF($A$1:A960,$H$2:$H$3000)+($H$2:$H$3000=""),0,0),0)),"")</f>
        <v/>
      </c>
      <c r="B961" s="62" t="str">
        <f t="shared" si="56"/>
        <v/>
      </c>
      <c r="C961" s="62" t="str">
        <f t="shared" si="57"/>
        <v/>
      </c>
      <c r="D961" s="63" t="str">
        <f t="shared" si="58"/>
        <v/>
      </c>
      <c r="E961" s="62" t="str">
        <f>IF(D961="","",_xlfn.RANK.EQ(D961,$D$2:$D$1001,0)+COUNTIF($D$2:D961,D961)-1)</f>
        <v/>
      </c>
      <c r="F961" s="62" t="str">
        <f>IF(B961="","",--(COUNTIF(CN_Brands!$A$2:$A$300,UPPER(B961))&gt;0))</f>
        <v/>
      </c>
      <c r="G961" s="62" t="str">
        <f t="shared" si="59"/>
        <v/>
      </c>
      <c r="H961" s="62" t="str">
        <f>IF(AND('Data Export'!A961=前十整体车型排名!$B$2,'Data Export'!B961=前十整体车型排名!$B$3,'Data Export'!D961&lt;&gt;""),UPPER('Data Export'!C961)&amp;"♦"&amp;'Data Export'!D961,"")</f>
        <v>WULING♦AIR EV</v>
      </c>
      <c r="I961" s="63">
        <f>IF(H961="","",IFERROR(INDEX('Data Export'!G961:CZ961,1,MATCH(前十整体车型排名!$B$4,'Data Export'!$G$1:$CZ$1,0)),0))</f>
        <v>1</v>
      </c>
      <c r="J961" s="62" t="str">
        <f>IF(H961="","",IF(OR('Data Export'!F961="三厢轿车",'Data Export'!F961="掀背轿车",'Data Export'!F961="旅行车",'Data Export'!F961="微型车",'Data Export'!F961="硬顶跑车",'Data Export'!F961="敞蓬车",'Data Export'!F961="Targa"),"轿车",IF(OR('Data Export'!F961="小型MPV",'Data Export'!F961="客车"),"MPV",IF('Data Export'!F961="运动型多功能车","SUV","其他"))))</f>
        <v>轿车</v>
      </c>
      <c r="K961" s="62" t="str">
        <f>IF(OR(D961="",NOT(F961=1)),"",1+SUMPRODUCT(($F$2:$F$1001=1)*($D$2:$D$1001&gt;D961))+COUNTIFS($F$2:F961,1,$D$2:D961,D961)-1)</f>
        <v/>
      </c>
      <c r="L961" s="62" t="str">
        <f>IF(OR(D961="",NOT(G961="轿车")),"",1+SUMPRODUCT(($G$2:$G$1001="轿车")*($D$2:$D$1001&gt;D961))+COUNTIFS($G$2:G961,"轿车",$D$2:D961,D961)-1)</f>
        <v/>
      </c>
      <c r="M961" s="62" t="str">
        <f>IF(OR(D961="",NOT(G961="MPV")),"",1+SUMPRODUCT(($G$2:$G$1001="MPV")*($D$2:$D$1001&gt;D961))+COUNTIFS($G$2:G961,"MPV",$D$2:D961,D961)-1)</f>
        <v/>
      </c>
      <c r="N961" s="62" t="str">
        <f>IF(OR(D961="",NOT(G961="SUV")),"",1+SUMPRODUCT(($G$2:$G$1001="SUV")*($D$2:$D$1001&gt;D961))+COUNTIFS($G$2:G961,"SUV",$D$2:D961,D961)-1)</f>
        <v/>
      </c>
      <c r="O961" s="62" t="str">
        <f>IF(OR(D961="",NOT(AND(F961=1,G961="轿车"))),"",1+SUMPRODUCT(($F$2:$F$1001=1)*($G$2:$G$1001="轿车")*($D$2:$D$1001&gt;D961))+COUNTIFS($F$2:F961,1,$G$2:G961,"轿车",$D$2:D961,D961)-1)</f>
        <v/>
      </c>
      <c r="P961" s="62" t="str">
        <f>IF(OR(D961="",NOT(AND(F961=1,G961="MPV"))),"",1+SUMPRODUCT(($F$2:$F$1001=1)*($G$2:$G$1001="MPV")*($D$2:$D$1001&gt;D961))+COUNTIFS($F$2:F961,1,$G$2:G961,"MPV",$D$2:D961,D961)-1)</f>
        <v/>
      </c>
      <c r="Q961" s="62" t="str">
        <f>IF(OR(D961="",NOT(AND(F961=1,G961="SUV"))),"",1+SUMPRODUCT(($F$2:$F$1001=1)*($G$2:$G$1001="SUV")*($D$2:$D$1001&gt;D961))+COUNTIFS($F$2:F961,1,$G$2:G961,"SUV",$D$2:D961,D961)-1)</f>
        <v/>
      </c>
    </row>
    <row r="962" spans="1:17">
      <c r="A962" s="62" t="str">
        <f>IFERROR(INDEX($H$2:$H$3000,MATCH(0,INDEX(COUNTIF($A$1:A961,$H$2:$H$3000)+($H$2:$H$3000=""),0,0),0)),"")</f>
        <v/>
      </c>
      <c r="B962" s="62" t="str">
        <f t="shared" ref="B962:B1001" si="60">IF(A962="","",LEFT(A962,FIND("♦",A962)-1))</f>
        <v/>
      </c>
      <c r="C962" s="62" t="str">
        <f t="shared" ref="C962:C1001" si="61">IF(A962="","",MID(A962,FIND("♦",A962)+1,999))</f>
        <v/>
      </c>
      <c r="D962" s="63" t="str">
        <f t="shared" ref="D962:D1001" si="62">IF(A962="","",SUMIF($H$2:$H$3000,A962,$I$2:$I$3000))</f>
        <v/>
      </c>
      <c r="E962" s="62" t="str">
        <f>IF(D962="","",_xlfn.RANK.EQ(D962,$D$2:$D$1001,0)+COUNTIF($D$2:D962,D962)-1)</f>
        <v/>
      </c>
      <c r="F962" s="62" t="str">
        <f>IF(B962="","",--(COUNTIF(CN_Brands!$A$2:$A$300,UPPER(B962))&gt;0))</f>
        <v/>
      </c>
      <c r="G962" s="62" t="str">
        <f t="shared" ref="G962:G1001" si="63">IF(A962="","",IFERROR(INDEX($J$2:$J$3000,MATCH(A962,$H$2:$H$3000,0)),"其他"))</f>
        <v/>
      </c>
      <c r="H962" s="62" t="str">
        <f>IF(AND('Data Export'!A962=前十整体车型排名!$B$2,'Data Export'!B962=前十整体车型排名!$B$3,'Data Export'!D962&lt;&gt;""),UPPER('Data Export'!C962)&amp;"♦"&amp;'Data Export'!D962,"")</f>
        <v>WULING♦AIR EV</v>
      </c>
      <c r="I962" s="63">
        <f>IF(H962="","",IFERROR(INDEX('Data Export'!G962:CZ962,1,MATCH(前十整体车型排名!$B$4,'Data Export'!$G$1:$CZ$1,0)),0))</f>
        <v>4</v>
      </c>
      <c r="J962" s="62" t="str">
        <f>IF(H962="","",IF(OR('Data Export'!F962="三厢轿车",'Data Export'!F962="掀背轿车",'Data Export'!F962="旅行车",'Data Export'!F962="微型车",'Data Export'!F962="硬顶跑车",'Data Export'!F962="敞蓬车",'Data Export'!F962="Targa"),"轿车",IF(OR('Data Export'!F962="小型MPV",'Data Export'!F962="客车"),"MPV",IF('Data Export'!F962="运动型多功能车","SUV","其他"))))</f>
        <v>轿车</v>
      </c>
      <c r="K962" s="62" t="str">
        <f>IF(OR(D962="",NOT(F962=1)),"",1+SUMPRODUCT(($F$2:$F$1001=1)*($D$2:$D$1001&gt;D962))+COUNTIFS($F$2:F962,1,$D$2:D962,D962)-1)</f>
        <v/>
      </c>
      <c r="L962" s="62" t="str">
        <f>IF(OR(D962="",NOT(G962="轿车")),"",1+SUMPRODUCT(($G$2:$G$1001="轿车")*($D$2:$D$1001&gt;D962))+COUNTIFS($G$2:G962,"轿车",$D$2:D962,D962)-1)</f>
        <v/>
      </c>
      <c r="M962" s="62" t="str">
        <f>IF(OR(D962="",NOT(G962="MPV")),"",1+SUMPRODUCT(($G$2:$G$1001="MPV")*($D$2:$D$1001&gt;D962))+COUNTIFS($G$2:G962,"MPV",$D$2:D962,D962)-1)</f>
        <v/>
      </c>
      <c r="N962" s="62" t="str">
        <f>IF(OR(D962="",NOT(G962="SUV")),"",1+SUMPRODUCT(($G$2:$G$1001="SUV")*($D$2:$D$1001&gt;D962))+COUNTIFS($G$2:G962,"SUV",$D$2:D962,D962)-1)</f>
        <v/>
      </c>
      <c r="O962" s="62" t="str">
        <f>IF(OR(D962="",NOT(AND(F962=1,G962="轿车"))),"",1+SUMPRODUCT(($F$2:$F$1001=1)*($G$2:$G$1001="轿车")*($D$2:$D$1001&gt;D962))+COUNTIFS($F$2:F962,1,$G$2:G962,"轿车",$D$2:D962,D962)-1)</f>
        <v/>
      </c>
      <c r="P962" s="62" t="str">
        <f>IF(OR(D962="",NOT(AND(F962=1,G962="MPV"))),"",1+SUMPRODUCT(($F$2:$F$1001=1)*($G$2:$G$1001="MPV")*($D$2:$D$1001&gt;D962))+COUNTIFS($F$2:F962,1,$G$2:G962,"MPV",$D$2:D962,D962)-1)</f>
        <v/>
      </c>
      <c r="Q962" s="62" t="str">
        <f>IF(OR(D962="",NOT(AND(F962=1,G962="SUV"))),"",1+SUMPRODUCT(($F$2:$F$1001=1)*($G$2:$G$1001="SUV")*($D$2:$D$1001&gt;D962))+COUNTIFS($F$2:F962,1,$G$2:G962,"SUV",$D$2:D962,D962)-1)</f>
        <v/>
      </c>
    </row>
    <row r="963" spans="1:17">
      <c r="A963" s="62" t="str">
        <f>IFERROR(INDEX($H$2:$H$3000,MATCH(0,INDEX(COUNTIF($A$1:A962,$H$2:$H$3000)+($H$2:$H$3000=""),0,0),0)),"")</f>
        <v/>
      </c>
      <c r="B963" s="62" t="str">
        <f t="shared" si="60"/>
        <v/>
      </c>
      <c r="C963" s="62" t="str">
        <f t="shared" si="61"/>
        <v/>
      </c>
      <c r="D963" s="63" t="str">
        <f t="shared" si="62"/>
        <v/>
      </c>
      <c r="E963" s="62" t="str">
        <f>IF(D963="","",_xlfn.RANK.EQ(D963,$D$2:$D$1001,0)+COUNTIF($D$2:D963,D963)-1)</f>
        <v/>
      </c>
      <c r="F963" s="62" t="str">
        <f>IF(B963="","",--(COUNTIF(CN_Brands!$A$2:$A$300,UPPER(B963))&gt;0))</f>
        <v/>
      </c>
      <c r="G963" s="62" t="str">
        <f t="shared" si="63"/>
        <v/>
      </c>
      <c r="H963" s="62" t="str">
        <f>IF(AND('Data Export'!A963=前十整体车型排名!$B$2,'Data Export'!B963=前十整体车型排名!$B$3,'Data Export'!D963&lt;&gt;""),UPPER('Data Export'!C963)&amp;"♦"&amp;'Data Export'!D963,"")</f>
        <v>WULING♦BINGUO EV</v>
      </c>
      <c r="I963" s="63">
        <f>IF(H963="","",IFERROR(INDEX('Data Export'!G963:CZ963,1,MATCH(前十整体车型排名!$B$4,'Data Export'!$G$1:$CZ$1,0)),0))</f>
        <v>0</v>
      </c>
      <c r="J963" s="62" t="str">
        <f>IF(H963="","",IF(OR('Data Export'!F963="三厢轿车",'Data Export'!F963="掀背轿车",'Data Export'!F963="旅行车",'Data Export'!F963="微型车",'Data Export'!F963="硬顶跑车",'Data Export'!F963="敞蓬车",'Data Export'!F963="Targa"),"轿车",IF(OR('Data Export'!F963="小型MPV",'Data Export'!F963="客车"),"MPV",IF('Data Export'!F963="运动型多功能车","SUV","其他"))))</f>
        <v>轿车</v>
      </c>
      <c r="K963" s="62" t="str">
        <f>IF(OR(D963="",NOT(F963=1)),"",1+SUMPRODUCT(($F$2:$F$1001=1)*($D$2:$D$1001&gt;D963))+COUNTIFS($F$2:F963,1,$D$2:D963,D963)-1)</f>
        <v/>
      </c>
      <c r="L963" s="62" t="str">
        <f>IF(OR(D963="",NOT(G963="轿车")),"",1+SUMPRODUCT(($G$2:$G$1001="轿车")*($D$2:$D$1001&gt;D963))+COUNTIFS($G$2:G963,"轿车",$D$2:D963,D963)-1)</f>
        <v/>
      </c>
      <c r="M963" s="62" t="str">
        <f>IF(OR(D963="",NOT(G963="MPV")),"",1+SUMPRODUCT(($G$2:$G$1001="MPV")*($D$2:$D$1001&gt;D963))+COUNTIFS($G$2:G963,"MPV",$D$2:D963,D963)-1)</f>
        <v/>
      </c>
      <c r="N963" s="62" t="str">
        <f>IF(OR(D963="",NOT(G963="SUV")),"",1+SUMPRODUCT(($G$2:$G$1001="SUV")*($D$2:$D$1001&gt;D963))+COUNTIFS($G$2:G963,"SUV",$D$2:D963,D963)-1)</f>
        <v/>
      </c>
      <c r="O963" s="62" t="str">
        <f>IF(OR(D963="",NOT(AND(F963=1,G963="轿车"))),"",1+SUMPRODUCT(($F$2:$F$1001=1)*($G$2:$G$1001="轿车")*($D$2:$D$1001&gt;D963))+COUNTIFS($F$2:F963,1,$G$2:G963,"轿车",$D$2:D963,D963)-1)</f>
        <v/>
      </c>
      <c r="P963" s="62" t="str">
        <f>IF(OR(D963="",NOT(AND(F963=1,G963="MPV"))),"",1+SUMPRODUCT(($F$2:$F$1001=1)*($G$2:$G$1001="MPV")*($D$2:$D$1001&gt;D963))+COUNTIFS($F$2:F963,1,$G$2:G963,"MPV",$D$2:D963,D963)-1)</f>
        <v/>
      </c>
      <c r="Q963" s="62" t="str">
        <f>IF(OR(D963="",NOT(AND(F963=1,G963="SUV"))),"",1+SUMPRODUCT(($F$2:$F$1001=1)*($G$2:$G$1001="SUV")*($D$2:$D$1001&gt;D963))+COUNTIFS($F$2:F963,1,$G$2:G963,"SUV",$D$2:D963,D963)-1)</f>
        <v/>
      </c>
    </row>
    <row r="964" spans="1:17">
      <c r="A964" s="62" t="str">
        <f>IFERROR(INDEX($H$2:$H$3000,MATCH(0,INDEX(COUNTIF($A$1:A963,$H$2:$H$3000)+($H$2:$H$3000=""),0,0),0)),"")</f>
        <v/>
      </c>
      <c r="B964" s="62" t="str">
        <f t="shared" si="60"/>
        <v/>
      </c>
      <c r="C964" s="62" t="str">
        <f t="shared" si="61"/>
        <v/>
      </c>
      <c r="D964" s="63" t="str">
        <f t="shared" si="62"/>
        <v/>
      </c>
      <c r="E964" s="62" t="str">
        <f>IF(D964="","",_xlfn.RANK.EQ(D964,$D$2:$D$1001,0)+COUNTIF($D$2:D964,D964)-1)</f>
        <v/>
      </c>
      <c r="F964" s="62" t="str">
        <f>IF(B964="","",--(COUNTIF(CN_Brands!$A$2:$A$300,UPPER(B964))&gt;0))</f>
        <v/>
      </c>
      <c r="G964" s="62" t="str">
        <f t="shared" si="63"/>
        <v/>
      </c>
      <c r="H964" s="62" t="str">
        <f>IF(AND('Data Export'!A964=前十整体车型排名!$B$2,'Data Export'!B964=前十整体车型排名!$B$3,'Data Export'!D964&lt;&gt;""),UPPER('Data Export'!C964)&amp;"♦"&amp;'Data Export'!D964,"")</f>
        <v>WULING♦BINGUO EV</v>
      </c>
      <c r="I964" s="63">
        <f>IF(H964="","",IFERROR(INDEX('Data Export'!G964:CZ964,1,MATCH(前十整体车型排名!$B$4,'Data Export'!$G$1:$CZ$1,0)),0))</f>
        <v>0</v>
      </c>
      <c r="J964" s="62" t="str">
        <f>IF(H964="","",IF(OR('Data Export'!F964="三厢轿车",'Data Export'!F964="掀背轿车",'Data Export'!F964="旅行车",'Data Export'!F964="微型车",'Data Export'!F964="硬顶跑车",'Data Export'!F964="敞蓬车",'Data Export'!F964="Targa"),"轿车",IF(OR('Data Export'!F964="小型MPV",'Data Export'!F964="客车"),"MPV",IF('Data Export'!F964="运动型多功能车","SUV","其他"))))</f>
        <v>轿车</v>
      </c>
      <c r="K964" s="62" t="str">
        <f>IF(OR(D964="",NOT(F964=1)),"",1+SUMPRODUCT(($F$2:$F$1001=1)*($D$2:$D$1001&gt;D964))+COUNTIFS($F$2:F964,1,$D$2:D964,D964)-1)</f>
        <v/>
      </c>
      <c r="L964" s="62" t="str">
        <f>IF(OR(D964="",NOT(G964="轿车")),"",1+SUMPRODUCT(($G$2:$G$1001="轿车")*($D$2:$D$1001&gt;D964))+COUNTIFS($G$2:G964,"轿车",$D$2:D964,D964)-1)</f>
        <v/>
      </c>
      <c r="M964" s="62" t="str">
        <f>IF(OR(D964="",NOT(G964="MPV")),"",1+SUMPRODUCT(($G$2:$G$1001="MPV")*($D$2:$D$1001&gt;D964))+COUNTIFS($G$2:G964,"MPV",$D$2:D964,D964)-1)</f>
        <v/>
      </c>
      <c r="N964" s="62" t="str">
        <f>IF(OR(D964="",NOT(G964="SUV")),"",1+SUMPRODUCT(($G$2:$G$1001="SUV")*($D$2:$D$1001&gt;D964))+COUNTIFS($G$2:G964,"SUV",$D$2:D964,D964)-1)</f>
        <v/>
      </c>
      <c r="O964" s="62" t="str">
        <f>IF(OR(D964="",NOT(AND(F964=1,G964="轿车"))),"",1+SUMPRODUCT(($F$2:$F$1001=1)*($G$2:$G$1001="轿车")*($D$2:$D$1001&gt;D964))+COUNTIFS($F$2:F964,1,$G$2:G964,"轿车",$D$2:D964,D964)-1)</f>
        <v/>
      </c>
      <c r="P964" s="62" t="str">
        <f>IF(OR(D964="",NOT(AND(F964=1,G964="MPV"))),"",1+SUMPRODUCT(($F$2:$F$1001=1)*($G$2:$G$1001="MPV")*($D$2:$D$1001&gt;D964))+COUNTIFS($F$2:F964,1,$G$2:G964,"MPV",$D$2:D964,D964)-1)</f>
        <v/>
      </c>
      <c r="Q964" s="62" t="str">
        <f>IF(OR(D964="",NOT(AND(F964=1,G964="SUV"))),"",1+SUMPRODUCT(($F$2:$F$1001=1)*($G$2:$G$1001="SUV")*($D$2:$D$1001&gt;D964))+COUNTIFS($F$2:F964,1,$G$2:G964,"SUV",$D$2:D964,D964)-1)</f>
        <v/>
      </c>
    </row>
    <row r="965" spans="1:17">
      <c r="A965" s="62" t="str">
        <f>IFERROR(INDEX($H$2:$H$3000,MATCH(0,INDEX(COUNTIF($A$1:A964,$H$2:$H$3000)+($H$2:$H$3000=""),0,0),0)),"")</f>
        <v/>
      </c>
      <c r="B965" s="62" t="str">
        <f t="shared" si="60"/>
        <v/>
      </c>
      <c r="C965" s="62" t="str">
        <f t="shared" si="61"/>
        <v/>
      </c>
      <c r="D965" s="63" t="str">
        <f t="shared" si="62"/>
        <v/>
      </c>
      <c r="E965" s="62" t="str">
        <f>IF(D965="","",_xlfn.RANK.EQ(D965,$D$2:$D$1001,0)+COUNTIF($D$2:D965,D965)-1)</f>
        <v/>
      </c>
      <c r="F965" s="62" t="str">
        <f>IF(B965="","",--(COUNTIF(CN_Brands!$A$2:$A$300,UPPER(B965))&gt;0))</f>
        <v/>
      </c>
      <c r="G965" s="62" t="str">
        <f t="shared" si="63"/>
        <v/>
      </c>
      <c r="H965" s="62" t="str">
        <f>IF(AND('Data Export'!A965=前十整体车型排名!$B$2,'Data Export'!B965=前十整体车型排名!$B$3,'Data Export'!D965&lt;&gt;""),UPPER('Data Export'!C965)&amp;"♦"&amp;'Data Export'!D965,"")</f>
        <v>WULING♦BINGUO EV</v>
      </c>
      <c r="I965" s="63">
        <f>IF(H965="","",IFERROR(INDEX('Data Export'!G965:CZ965,1,MATCH(前十整体车型排名!$B$4,'Data Export'!$G$1:$CZ$1,0)),0))</f>
        <v>0</v>
      </c>
      <c r="J965" s="62" t="str">
        <f>IF(H965="","",IF(OR('Data Export'!F965="三厢轿车",'Data Export'!F965="掀背轿车",'Data Export'!F965="旅行车",'Data Export'!F965="微型车",'Data Export'!F965="硬顶跑车",'Data Export'!F965="敞蓬车",'Data Export'!F965="Targa"),"轿车",IF(OR('Data Export'!F965="小型MPV",'Data Export'!F965="客车"),"MPV",IF('Data Export'!F965="运动型多功能车","SUV","其他"))))</f>
        <v>轿车</v>
      </c>
      <c r="K965" s="62" t="str">
        <f>IF(OR(D965="",NOT(F965=1)),"",1+SUMPRODUCT(($F$2:$F$1001=1)*($D$2:$D$1001&gt;D965))+COUNTIFS($F$2:F965,1,$D$2:D965,D965)-1)</f>
        <v/>
      </c>
      <c r="L965" s="62" t="str">
        <f>IF(OR(D965="",NOT(G965="轿车")),"",1+SUMPRODUCT(($G$2:$G$1001="轿车")*($D$2:$D$1001&gt;D965))+COUNTIFS($G$2:G965,"轿车",$D$2:D965,D965)-1)</f>
        <v/>
      </c>
      <c r="M965" s="62" t="str">
        <f>IF(OR(D965="",NOT(G965="MPV")),"",1+SUMPRODUCT(($G$2:$G$1001="MPV")*($D$2:$D$1001&gt;D965))+COUNTIFS($G$2:G965,"MPV",$D$2:D965,D965)-1)</f>
        <v/>
      </c>
      <c r="N965" s="62" t="str">
        <f>IF(OR(D965="",NOT(G965="SUV")),"",1+SUMPRODUCT(($G$2:$G$1001="SUV")*($D$2:$D$1001&gt;D965))+COUNTIFS($G$2:G965,"SUV",$D$2:D965,D965)-1)</f>
        <v/>
      </c>
      <c r="O965" s="62" t="str">
        <f>IF(OR(D965="",NOT(AND(F965=1,G965="轿车"))),"",1+SUMPRODUCT(($F$2:$F$1001=1)*($G$2:$G$1001="轿车")*($D$2:$D$1001&gt;D965))+COUNTIFS($F$2:F965,1,$G$2:G965,"轿车",$D$2:D965,D965)-1)</f>
        <v/>
      </c>
      <c r="P965" s="62" t="str">
        <f>IF(OR(D965="",NOT(AND(F965=1,G965="MPV"))),"",1+SUMPRODUCT(($F$2:$F$1001=1)*($G$2:$G$1001="MPV")*($D$2:$D$1001&gt;D965))+COUNTIFS($F$2:F965,1,$G$2:G965,"MPV",$D$2:D965,D965)-1)</f>
        <v/>
      </c>
      <c r="Q965" s="62" t="str">
        <f>IF(OR(D965="",NOT(AND(F965=1,G965="SUV"))),"",1+SUMPRODUCT(($F$2:$F$1001=1)*($G$2:$G$1001="SUV")*($D$2:$D$1001&gt;D965))+COUNTIFS($F$2:F965,1,$G$2:G965,"SUV",$D$2:D965,D965)-1)</f>
        <v/>
      </c>
    </row>
    <row r="966" spans="1:17">
      <c r="A966" s="62" t="str">
        <f>IFERROR(INDEX($H$2:$H$3000,MATCH(0,INDEX(COUNTIF($A$1:A965,$H$2:$H$3000)+($H$2:$H$3000=""),0,0),0)),"")</f>
        <v/>
      </c>
      <c r="B966" s="62" t="str">
        <f t="shared" si="60"/>
        <v/>
      </c>
      <c r="C966" s="62" t="str">
        <f t="shared" si="61"/>
        <v/>
      </c>
      <c r="D966" s="63" t="str">
        <f t="shared" si="62"/>
        <v/>
      </c>
      <c r="E966" s="62" t="str">
        <f>IF(D966="","",_xlfn.RANK.EQ(D966,$D$2:$D$1001,0)+COUNTIF($D$2:D966,D966)-1)</f>
        <v/>
      </c>
      <c r="F966" s="62" t="str">
        <f>IF(B966="","",--(COUNTIF(CN_Brands!$A$2:$A$300,UPPER(B966))&gt;0))</f>
        <v/>
      </c>
      <c r="G966" s="62" t="str">
        <f t="shared" si="63"/>
        <v/>
      </c>
      <c r="H966" s="62" t="str">
        <f>IF(AND('Data Export'!A966=前十整体车型排名!$B$2,'Data Export'!B966=前十整体车型排名!$B$3,'Data Export'!D966&lt;&gt;""),UPPER('Data Export'!C966)&amp;"♦"&amp;'Data Export'!D966,"")</f>
        <v>WULING♦BINGUO EV</v>
      </c>
      <c r="I966" s="63">
        <f>IF(H966="","",IFERROR(INDEX('Data Export'!G966:CZ966,1,MATCH(前十整体车型排名!$B$4,'Data Export'!$G$1:$CZ$1,0)),0))</f>
        <v>1</v>
      </c>
      <c r="J966" s="62" t="str">
        <f>IF(H966="","",IF(OR('Data Export'!F966="三厢轿车",'Data Export'!F966="掀背轿车",'Data Export'!F966="旅行车",'Data Export'!F966="微型车",'Data Export'!F966="硬顶跑车",'Data Export'!F966="敞蓬车",'Data Export'!F966="Targa"),"轿车",IF(OR('Data Export'!F966="小型MPV",'Data Export'!F966="客车"),"MPV",IF('Data Export'!F966="运动型多功能车","SUV","其他"))))</f>
        <v>轿车</v>
      </c>
      <c r="K966" s="62" t="str">
        <f>IF(OR(D966="",NOT(F966=1)),"",1+SUMPRODUCT(($F$2:$F$1001=1)*($D$2:$D$1001&gt;D966))+COUNTIFS($F$2:F966,1,$D$2:D966,D966)-1)</f>
        <v/>
      </c>
      <c r="L966" s="62" t="str">
        <f>IF(OR(D966="",NOT(G966="轿车")),"",1+SUMPRODUCT(($G$2:$G$1001="轿车")*($D$2:$D$1001&gt;D966))+COUNTIFS($G$2:G966,"轿车",$D$2:D966,D966)-1)</f>
        <v/>
      </c>
      <c r="M966" s="62" t="str">
        <f>IF(OR(D966="",NOT(G966="MPV")),"",1+SUMPRODUCT(($G$2:$G$1001="MPV")*($D$2:$D$1001&gt;D966))+COUNTIFS($G$2:G966,"MPV",$D$2:D966,D966)-1)</f>
        <v/>
      </c>
      <c r="N966" s="62" t="str">
        <f>IF(OR(D966="",NOT(G966="SUV")),"",1+SUMPRODUCT(($G$2:$G$1001="SUV")*($D$2:$D$1001&gt;D966))+COUNTIFS($G$2:G966,"SUV",$D$2:D966,D966)-1)</f>
        <v/>
      </c>
      <c r="O966" s="62" t="str">
        <f>IF(OR(D966="",NOT(AND(F966=1,G966="轿车"))),"",1+SUMPRODUCT(($F$2:$F$1001=1)*($G$2:$G$1001="轿车")*($D$2:$D$1001&gt;D966))+COUNTIFS($F$2:F966,1,$G$2:G966,"轿车",$D$2:D966,D966)-1)</f>
        <v/>
      </c>
      <c r="P966" s="62" t="str">
        <f>IF(OR(D966="",NOT(AND(F966=1,G966="MPV"))),"",1+SUMPRODUCT(($F$2:$F$1001=1)*($G$2:$G$1001="MPV")*($D$2:$D$1001&gt;D966))+COUNTIFS($F$2:F966,1,$G$2:G966,"MPV",$D$2:D966,D966)-1)</f>
        <v/>
      </c>
      <c r="Q966" s="62" t="str">
        <f>IF(OR(D966="",NOT(AND(F966=1,G966="SUV"))),"",1+SUMPRODUCT(($F$2:$F$1001=1)*($G$2:$G$1001="SUV")*($D$2:$D$1001&gt;D966))+COUNTIFS($F$2:F966,1,$G$2:G966,"SUV",$D$2:D966,D966)-1)</f>
        <v/>
      </c>
    </row>
    <row r="967" spans="1:17">
      <c r="A967" s="62" t="str">
        <f>IFERROR(INDEX($H$2:$H$3000,MATCH(0,INDEX(COUNTIF($A$1:A966,$H$2:$H$3000)+($H$2:$H$3000=""),0,0),0)),"")</f>
        <v/>
      </c>
      <c r="B967" s="62" t="str">
        <f t="shared" si="60"/>
        <v/>
      </c>
      <c r="C967" s="62" t="str">
        <f t="shared" si="61"/>
        <v/>
      </c>
      <c r="D967" s="63" t="str">
        <f t="shared" si="62"/>
        <v/>
      </c>
      <c r="E967" s="62" t="str">
        <f>IF(D967="","",_xlfn.RANK.EQ(D967,$D$2:$D$1001,0)+COUNTIF($D$2:D967,D967)-1)</f>
        <v/>
      </c>
      <c r="F967" s="62" t="str">
        <f>IF(B967="","",--(COUNTIF(CN_Brands!$A$2:$A$300,UPPER(B967))&gt;0))</f>
        <v/>
      </c>
      <c r="G967" s="62" t="str">
        <f t="shared" si="63"/>
        <v/>
      </c>
      <c r="H967" s="62" t="str">
        <f>IF(AND('Data Export'!A967=前十整体车型排名!$B$2,'Data Export'!B967=前十整体车型排名!$B$3,'Data Export'!D967&lt;&gt;""),UPPER('Data Export'!C967)&amp;"♦"&amp;'Data Export'!D967,"")</f>
        <v>WULING♦BINGUO EV</v>
      </c>
      <c r="I967" s="63">
        <f>IF(H967="","",IFERROR(INDEX('Data Export'!G967:CZ967,1,MATCH(前十整体车型排名!$B$4,'Data Export'!$G$1:$CZ$1,0)),0))</f>
        <v>0</v>
      </c>
      <c r="J967" s="62" t="str">
        <f>IF(H967="","",IF(OR('Data Export'!F967="三厢轿车",'Data Export'!F967="掀背轿车",'Data Export'!F967="旅行车",'Data Export'!F967="微型车",'Data Export'!F967="硬顶跑车",'Data Export'!F967="敞蓬车",'Data Export'!F967="Targa"),"轿车",IF(OR('Data Export'!F967="小型MPV",'Data Export'!F967="客车"),"MPV",IF('Data Export'!F967="运动型多功能车","SUV","其他"))))</f>
        <v>轿车</v>
      </c>
      <c r="K967" s="62" t="str">
        <f>IF(OR(D967="",NOT(F967=1)),"",1+SUMPRODUCT(($F$2:$F$1001=1)*($D$2:$D$1001&gt;D967))+COUNTIFS($F$2:F967,1,$D$2:D967,D967)-1)</f>
        <v/>
      </c>
      <c r="L967" s="62" t="str">
        <f>IF(OR(D967="",NOT(G967="轿车")),"",1+SUMPRODUCT(($G$2:$G$1001="轿车")*($D$2:$D$1001&gt;D967))+COUNTIFS($G$2:G967,"轿车",$D$2:D967,D967)-1)</f>
        <v/>
      </c>
      <c r="M967" s="62" t="str">
        <f>IF(OR(D967="",NOT(G967="MPV")),"",1+SUMPRODUCT(($G$2:$G$1001="MPV")*($D$2:$D$1001&gt;D967))+COUNTIFS($G$2:G967,"MPV",$D$2:D967,D967)-1)</f>
        <v/>
      </c>
      <c r="N967" s="62" t="str">
        <f>IF(OR(D967="",NOT(G967="SUV")),"",1+SUMPRODUCT(($G$2:$G$1001="SUV")*($D$2:$D$1001&gt;D967))+COUNTIFS($G$2:G967,"SUV",$D$2:D967,D967)-1)</f>
        <v/>
      </c>
      <c r="O967" s="62" t="str">
        <f>IF(OR(D967="",NOT(AND(F967=1,G967="轿车"))),"",1+SUMPRODUCT(($F$2:$F$1001=1)*($G$2:$G$1001="轿车")*($D$2:$D$1001&gt;D967))+COUNTIFS($F$2:F967,1,$G$2:G967,"轿车",$D$2:D967,D967)-1)</f>
        <v/>
      </c>
      <c r="P967" s="62" t="str">
        <f>IF(OR(D967="",NOT(AND(F967=1,G967="MPV"))),"",1+SUMPRODUCT(($F$2:$F$1001=1)*($G$2:$G$1001="MPV")*($D$2:$D$1001&gt;D967))+COUNTIFS($F$2:F967,1,$G$2:G967,"MPV",$D$2:D967,D967)-1)</f>
        <v/>
      </c>
      <c r="Q967" s="62" t="str">
        <f>IF(OR(D967="",NOT(AND(F967=1,G967="SUV"))),"",1+SUMPRODUCT(($F$2:$F$1001=1)*($G$2:$G$1001="SUV")*($D$2:$D$1001&gt;D967))+COUNTIFS($F$2:F967,1,$G$2:G967,"SUV",$D$2:D967,D967)-1)</f>
        <v/>
      </c>
    </row>
    <row r="968" spans="1:17">
      <c r="A968" s="62" t="str">
        <f>IFERROR(INDEX($H$2:$H$3000,MATCH(0,INDEX(COUNTIF($A$1:A967,$H$2:$H$3000)+($H$2:$H$3000=""),0,0),0)),"")</f>
        <v/>
      </c>
      <c r="B968" s="62" t="str">
        <f t="shared" si="60"/>
        <v/>
      </c>
      <c r="C968" s="62" t="str">
        <f t="shared" si="61"/>
        <v/>
      </c>
      <c r="D968" s="63" t="str">
        <f t="shared" si="62"/>
        <v/>
      </c>
      <c r="E968" s="62" t="str">
        <f>IF(D968="","",_xlfn.RANK.EQ(D968,$D$2:$D$1001,0)+COUNTIF($D$2:D968,D968)-1)</f>
        <v/>
      </c>
      <c r="F968" s="62" t="str">
        <f>IF(B968="","",--(COUNTIF(CN_Brands!$A$2:$A$300,UPPER(B968))&gt;0))</f>
        <v/>
      </c>
      <c r="G968" s="62" t="str">
        <f t="shared" si="63"/>
        <v/>
      </c>
      <c r="H968" s="62" t="str">
        <f>IF(AND('Data Export'!A968=前十整体车型排名!$B$2,'Data Export'!B968=前十整体车型排名!$B$3,'Data Export'!D968&lt;&gt;""),UPPER('Data Export'!C968)&amp;"♦"&amp;'Data Export'!D968,"")</f>
        <v>WULING♦BINGUO EV</v>
      </c>
      <c r="I968" s="63">
        <f>IF(H968="","",IFERROR(INDEX('Data Export'!G968:CZ968,1,MATCH(前十整体车型排名!$B$4,'Data Export'!$G$1:$CZ$1,0)),0))</f>
        <v>8</v>
      </c>
      <c r="J968" s="62" t="str">
        <f>IF(H968="","",IF(OR('Data Export'!F968="三厢轿车",'Data Export'!F968="掀背轿车",'Data Export'!F968="旅行车",'Data Export'!F968="微型车",'Data Export'!F968="硬顶跑车",'Data Export'!F968="敞蓬车",'Data Export'!F968="Targa"),"轿车",IF(OR('Data Export'!F968="小型MPV",'Data Export'!F968="客车"),"MPV",IF('Data Export'!F968="运动型多功能车","SUV","其他"))))</f>
        <v>轿车</v>
      </c>
      <c r="K968" s="62" t="str">
        <f>IF(OR(D968="",NOT(F968=1)),"",1+SUMPRODUCT(($F$2:$F$1001=1)*($D$2:$D$1001&gt;D968))+COUNTIFS($F$2:F968,1,$D$2:D968,D968)-1)</f>
        <v/>
      </c>
      <c r="L968" s="62" t="str">
        <f>IF(OR(D968="",NOT(G968="轿车")),"",1+SUMPRODUCT(($G$2:$G$1001="轿车")*($D$2:$D$1001&gt;D968))+COUNTIFS($G$2:G968,"轿车",$D$2:D968,D968)-1)</f>
        <v/>
      </c>
      <c r="M968" s="62" t="str">
        <f>IF(OR(D968="",NOT(G968="MPV")),"",1+SUMPRODUCT(($G$2:$G$1001="MPV")*($D$2:$D$1001&gt;D968))+COUNTIFS($G$2:G968,"MPV",$D$2:D968,D968)-1)</f>
        <v/>
      </c>
      <c r="N968" s="62" t="str">
        <f>IF(OR(D968="",NOT(G968="SUV")),"",1+SUMPRODUCT(($G$2:$G$1001="SUV")*($D$2:$D$1001&gt;D968))+COUNTIFS($G$2:G968,"SUV",$D$2:D968,D968)-1)</f>
        <v/>
      </c>
      <c r="O968" s="62" t="str">
        <f>IF(OR(D968="",NOT(AND(F968=1,G968="轿车"))),"",1+SUMPRODUCT(($F$2:$F$1001=1)*($G$2:$G$1001="轿车")*($D$2:$D$1001&gt;D968))+COUNTIFS($F$2:F968,1,$G$2:G968,"轿车",$D$2:D968,D968)-1)</f>
        <v/>
      </c>
      <c r="P968" s="62" t="str">
        <f>IF(OR(D968="",NOT(AND(F968=1,G968="MPV"))),"",1+SUMPRODUCT(($F$2:$F$1001=1)*($G$2:$G$1001="MPV")*($D$2:$D$1001&gt;D968))+COUNTIFS($F$2:F968,1,$G$2:G968,"MPV",$D$2:D968,D968)-1)</f>
        <v/>
      </c>
      <c r="Q968" s="62" t="str">
        <f>IF(OR(D968="",NOT(AND(F968=1,G968="SUV"))),"",1+SUMPRODUCT(($F$2:$F$1001=1)*($G$2:$G$1001="SUV")*($D$2:$D$1001&gt;D968))+COUNTIFS($F$2:F968,1,$G$2:G968,"SUV",$D$2:D968,D968)-1)</f>
        <v/>
      </c>
    </row>
    <row r="969" spans="1:17">
      <c r="A969" s="62" t="str">
        <f>IFERROR(INDEX($H$2:$H$3000,MATCH(0,INDEX(COUNTIF($A$1:A968,$H$2:$H$3000)+($H$2:$H$3000=""),0,0),0)),"")</f>
        <v/>
      </c>
      <c r="B969" s="62" t="str">
        <f t="shared" si="60"/>
        <v/>
      </c>
      <c r="C969" s="62" t="str">
        <f t="shared" si="61"/>
        <v/>
      </c>
      <c r="D969" s="63" t="str">
        <f t="shared" si="62"/>
        <v/>
      </c>
      <c r="E969" s="62" t="str">
        <f>IF(D969="","",_xlfn.RANK.EQ(D969,$D$2:$D$1001,0)+COUNTIF($D$2:D969,D969)-1)</f>
        <v/>
      </c>
      <c r="F969" s="62" t="str">
        <f>IF(B969="","",--(COUNTIF(CN_Brands!$A$2:$A$300,UPPER(B969))&gt;0))</f>
        <v/>
      </c>
      <c r="G969" s="62" t="str">
        <f t="shared" si="63"/>
        <v/>
      </c>
      <c r="H969" s="62" t="str">
        <f>IF(AND('Data Export'!A969=前十整体车型排名!$B$2,'Data Export'!B969=前十整体车型排名!$B$3,'Data Export'!D969&lt;&gt;""),UPPER('Data Export'!C969)&amp;"♦"&amp;'Data Export'!D969,"")</f>
        <v>WULING♦DARION</v>
      </c>
      <c r="I969" s="63">
        <f>IF(H969="","",IFERROR(INDEX('Data Export'!G969:CZ969,1,MATCH(前十整体车型排名!$B$4,'Data Export'!$G$1:$CZ$1,0)),0))</f>
        <v>157</v>
      </c>
      <c r="J969" s="62" t="str">
        <f>IF(H969="","",IF(OR('Data Export'!F969="三厢轿车",'Data Export'!F969="掀背轿车",'Data Export'!F969="旅行车",'Data Export'!F969="微型车",'Data Export'!F969="硬顶跑车",'Data Export'!F969="敞蓬车",'Data Export'!F969="Targa"),"轿车",IF(OR('Data Export'!F969="小型MPV",'Data Export'!F969="客车"),"MPV",IF('Data Export'!F969="运动型多功能车","SUV","其他"))))</f>
        <v>其他</v>
      </c>
      <c r="K969" s="62" t="str">
        <f>IF(OR(D969="",NOT(F969=1)),"",1+SUMPRODUCT(($F$2:$F$1001=1)*($D$2:$D$1001&gt;D969))+COUNTIFS($F$2:F969,1,$D$2:D969,D969)-1)</f>
        <v/>
      </c>
      <c r="L969" s="62" t="str">
        <f>IF(OR(D969="",NOT(G969="轿车")),"",1+SUMPRODUCT(($G$2:$G$1001="轿车")*($D$2:$D$1001&gt;D969))+COUNTIFS($G$2:G969,"轿车",$D$2:D969,D969)-1)</f>
        <v/>
      </c>
      <c r="M969" s="62" t="str">
        <f>IF(OR(D969="",NOT(G969="MPV")),"",1+SUMPRODUCT(($G$2:$G$1001="MPV")*($D$2:$D$1001&gt;D969))+COUNTIFS($G$2:G969,"MPV",$D$2:D969,D969)-1)</f>
        <v/>
      </c>
      <c r="N969" s="62" t="str">
        <f>IF(OR(D969="",NOT(G969="SUV")),"",1+SUMPRODUCT(($G$2:$G$1001="SUV")*($D$2:$D$1001&gt;D969))+COUNTIFS($G$2:G969,"SUV",$D$2:D969,D969)-1)</f>
        <v/>
      </c>
      <c r="O969" s="62" t="str">
        <f>IF(OR(D969="",NOT(AND(F969=1,G969="轿车"))),"",1+SUMPRODUCT(($F$2:$F$1001=1)*($G$2:$G$1001="轿车")*($D$2:$D$1001&gt;D969))+COUNTIFS($F$2:F969,1,$G$2:G969,"轿车",$D$2:D969,D969)-1)</f>
        <v/>
      </c>
      <c r="P969" s="62" t="str">
        <f>IF(OR(D969="",NOT(AND(F969=1,G969="MPV"))),"",1+SUMPRODUCT(($F$2:$F$1001=1)*($G$2:$G$1001="MPV")*($D$2:$D$1001&gt;D969))+COUNTIFS($F$2:F969,1,$G$2:G969,"MPV",$D$2:D969,D969)-1)</f>
        <v/>
      </c>
      <c r="Q969" s="62" t="str">
        <f>IF(OR(D969="",NOT(AND(F969=1,G969="SUV"))),"",1+SUMPRODUCT(($F$2:$F$1001=1)*($G$2:$G$1001="SUV")*($D$2:$D$1001&gt;D969))+COUNTIFS($F$2:F969,1,$G$2:G969,"SUV",$D$2:D969,D969)-1)</f>
        <v/>
      </c>
    </row>
    <row r="970" spans="1:17">
      <c r="A970" s="62" t="str">
        <f>IFERROR(INDEX($H$2:$H$3000,MATCH(0,INDEX(COUNTIF($A$1:A969,$H$2:$H$3000)+($H$2:$H$3000=""),0,0),0)),"")</f>
        <v/>
      </c>
      <c r="B970" s="62" t="str">
        <f t="shared" si="60"/>
        <v/>
      </c>
      <c r="C970" s="62" t="str">
        <f t="shared" si="61"/>
        <v/>
      </c>
      <c r="D970" s="63" t="str">
        <f t="shared" si="62"/>
        <v/>
      </c>
      <c r="E970" s="62" t="str">
        <f>IF(D970="","",_xlfn.RANK.EQ(D970,$D$2:$D$1001,0)+COUNTIF($D$2:D970,D970)-1)</f>
        <v/>
      </c>
      <c r="F970" s="62" t="str">
        <f>IF(B970="","",--(COUNTIF(CN_Brands!$A$2:$A$300,UPPER(B970))&gt;0))</f>
        <v/>
      </c>
      <c r="G970" s="62" t="str">
        <f t="shared" si="63"/>
        <v/>
      </c>
      <c r="H970" s="62" t="str">
        <f>IF(AND('Data Export'!A970=前十整体车型排名!$B$2,'Data Export'!B970=前十整体车型排名!$B$3,'Data Export'!D970&lt;&gt;""),UPPER('Data Export'!C970)&amp;"♦"&amp;'Data Export'!D970,"")</f>
        <v>XPENG♦G6</v>
      </c>
      <c r="I970" s="63">
        <f>IF(H970="","",IFERROR(INDEX('Data Export'!G970:CZ970,1,MATCH(前十整体车型排名!$B$4,'Data Export'!$G$1:$CZ$1,0)),0))</f>
        <v>0</v>
      </c>
      <c r="J970" s="62" t="str">
        <f>IF(H970="","",IF(OR('Data Export'!F970="三厢轿车",'Data Export'!F970="掀背轿车",'Data Export'!F970="旅行车",'Data Export'!F970="微型车",'Data Export'!F970="硬顶跑车",'Data Export'!F970="敞蓬车",'Data Export'!F970="Targa"),"轿车",IF(OR('Data Export'!F970="小型MPV",'Data Export'!F970="客车"),"MPV",IF('Data Export'!F970="运动型多功能车","SUV","其他"))))</f>
        <v>SUV</v>
      </c>
      <c r="K970" s="62" t="str">
        <f>IF(OR(D970="",NOT(F970=1)),"",1+SUMPRODUCT(($F$2:$F$1001=1)*($D$2:$D$1001&gt;D970))+COUNTIFS($F$2:F970,1,$D$2:D970,D970)-1)</f>
        <v/>
      </c>
      <c r="L970" s="62" t="str">
        <f>IF(OR(D970="",NOT(G970="轿车")),"",1+SUMPRODUCT(($G$2:$G$1001="轿车")*($D$2:$D$1001&gt;D970))+COUNTIFS($G$2:G970,"轿车",$D$2:D970,D970)-1)</f>
        <v/>
      </c>
      <c r="M970" s="62" t="str">
        <f>IF(OR(D970="",NOT(G970="MPV")),"",1+SUMPRODUCT(($G$2:$G$1001="MPV")*($D$2:$D$1001&gt;D970))+COUNTIFS($G$2:G970,"MPV",$D$2:D970,D970)-1)</f>
        <v/>
      </c>
      <c r="N970" s="62" t="str">
        <f>IF(OR(D970="",NOT(G970="SUV")),"",1+SUMPRODUCT(($G$2:$G$1001="SUV")*($D$2:$D$1001&gt;D970))+COUNTIFS($G$2:G970,"SUV",$D$2:D970,D970)-1)</f>
        <v/>
      </c>
      <c r="O970" s="62" t="str">
        <f>IF(OR(D970="",NOT(AND(F970=1,G970="轿车"))),"",1+SUMPRODUCT(($F$2:$F$1001=1)*($G$2:$G$1001="轿车")*($D$2:$D$1001&gt;D970))+COUNTIFS($F$2:F970,1,$G$2:G970,"轿车",$D$2:D970,D970)-1)</f>
        <v/>
      </c>
      <c r="P970" s="62" t="str">
        <f>IF(OR(D970="",NOT(AND(F970=1,G970="MPV"))),"",1+SUMPRODUCT(($F$2:$F$1001=1)*($G$2:$G$1001="MPV")*($D$2:$D$1001&gt;D970))+COUNTIFS($F$2:F970,1,$G$2:G970,"MPV",$D$2:D970,D970)-1)</f>
        <v/>
      </c>
      <c r="Q970" s="62" t="str">
        <f>IF(OR(D970="",NOT(AND(F970=1,G970="SUV"))),"",1+SUMPRODUCT(($F$2:$F$1001=1)*($G$2:$G$1001="SUV")*($D$2:$D$1001&gt;D970))+COUNTIFS($F$2:F970,1,$G$2:G970,"SUV",$D$2:D970,D970)-1)</f>
        <v/>
      </c>
    </row>
    <row r="971" spans="1:17">
      <c r="A971" s="62" t="str">
        <f>IFERROR(INDEX($H$2:$H$3000,MATCH(0,INDEX(COUNTIF($A$1:A970,$H$2:$H$3000)+($H$2:$H$3000=""),0,0),0)),"")</f>
        <v/>
      </c>
      <c r="B971" s="62" t="str">
        <f t="shared" si="60"/>
        <v/>
      </c>
      <c r="C971" s="62" t="str">
        <f t="shared" si="61"/>
        <v/>
      </c>
      <c r="D971" s="63" t="str">
        <f t="shared" si="62"/>
        <v/>
      </c>
      <c r="E971" s="62" t="str">
        <f>IF(D971="","",_xlfn.RANK.EQ(D971,$D$2:$D$1001,0)+COUNTIF($D$2:D971,D971)-1)</f>
        <v/>
      </c>
      <c r="F971" s="62" t="str">
        <f>IF(B971="","",--(COUNTIF(CN_Brands!$A$2:$A$300,UPPER(B971))&gt;0))</f>
        <v/>
      </c>
      <c r="G971" s="62" t="str">
        <f t="shared" si="63"/>
        <v/>
      </c>
      <c r="H971" s="62" t="str">
        <f>IF(AND('Data Export'!A971=前十整体车型排名!$B$2,'Data Export'!B971=前十整体车型排名!$B$3,'Data Export'!D971&lt;&gt;""),UPPER('Data Export'!C971)&amp;"♦"&amp;'Data Export'!D971,"")</f>
        <v>XPENG♦G6</v>
      </c>
      <c r="I971" s="63">
        <f>IF(H971="","",IFERROR(INDEX('Data Export'!G971:CZ971,1,MATCH(前十整体车型排名!$B$4,'Data Export'!$G$1:$CZ$1,0)),0))</f>
        <v>0</v>
      </c>
      <c r="J971" s="62" t="str">
        <f>IF(H971="","",IF(OR('Data Export'!F971="三厢轿车",'Data Export'!F971="掀背轿车",'Data Export'!F971="旅行车",'Data Export'!F971="微型车",'Data Export'!F971="硬顶跑车",'Data Export'!F971="敞蓬车",'Data Export'!F971="Targa"),"轿车",IF(OR('Data Export'!F971="小型MPV",'Data Export'!F971="客车"),"MPV",IF('Data Export'!F971="运动型多功能车","SUV","其他"))))</f>
        <v>SUV</v>
      </c>
      <c r="K971" s="62" t="str">
        <f>IF(OR(D971="",NOT(F971=1)),"",1+SUMPRODUCT(($F$2:$F$1001=1)*($D$2:$D$1001&gt;D971))+COUNTIFS($F$2:F971,1,$D$2:D971,D971)-1)</f>
        <v/>
      </c>
      <c r="L971" s="62" t="str">
        <f>IF(OR(D971="",NOT(G971="轿车")),"",1+SUMPRODUCT(($G$2:$G$1001="轿车")*($D$2:$D$1001&gt;D971))+COUNTIFS($G$2:G971,"轿车",$D$2:D971,D971)-1)</f>
        <v/>
      </c>
      <c r="M971" s="62" t="str">
        <f>IF(OR(D971="",NOT(G971="MPV")),"",1+SUMPRODUCT(($G$2:$G$1001="MPV")*($D$2:$D$1001&gt;D971))+COUNTIFS($G$2:G971,"MPV",$D$2:D971,D971)-1)</f>
        <v/>
      </c>
      <c r="N971" s="62" t="str">
        <f>IF(OR(D971="",NOT(G971="SUV")),"",1+SUMPRODUCT(($G$2:$G$1001="SUV")*($D$2:$D$1001&gt;D971))+COUNTIFS($G$2:G971,"SUV",$D$2:D971,D971)-1)</f>
        <v/>
      </c>
      <c r="O971" s="62" t="str">
        <f>IF(OR(D971="",NOT(AND(F971=1,G971="轿车"))),"",1+SUMPRODUCT(($F$2:$F$1001=1)*($G$2:$G$1001="轿车")*($D$2:$D$1001&gt;D971))+COUNTIFS($F$2:F971,1,$G$2:G971,"轿车",$D$2:D971,D971)-1)</f>
        <v/>
      </c>
      <c r="P971" s="62" t="str">
        <f>IF(OR(D971="",NOT(AND(F971=1,G971="MPV"))),"",1+SUMPRODUCT(($F$2:$F$1001=1)*($G$2:$G$1001="MPV")*($D$2:$D$1001&gt;D971))+COUNTIFS($F$2:F971,1,$G$2:G971,"MPV",$D$2:D971,D971)-1)</f>
        <v/>
      </c>
      <c r="Q971" s="62" t="str">
        <f>IF(OR(D971="",NOT(AND(F971=1,G971="SUV"))),"",1+SUMPRODUCT(($F$2:$F$1001=1)*($G$2:$G$1001="SUV")*($D$2:$D$1001&gt;D971))+COUNTIFS($F$2:F971,1,$G$2:G971,"SUV",$D$2:D971,D971)-1)</f>
        <v/>
      </c>
    </row>
    <row r="972" spans="1:17">
      <c r="A972" s="62" t="str">
        <f>IFERROR(INDEX($H$2:$H$3000,MATCH(0,INDEX(COUNTIF($A$1:A971,$H$2:$H$3000)+($H$2:$H$3000=""),0,0),0)),"")</f>
        <v/>
      </c>
      <c r="B972" s="62" t="str">
        <f t="shared" si="60"/>
        <v/>
      </c>
      <c r="C972" s="62" t="str">
        <f t="shared" si="61"/>
        <v/>
      </c>
      <c r="D972" s="63" t="str">
        <f t="shared" si="62"/>
        <v/>
      </c>
      <c r="E972" s="62" t="str">
        <f>IF(D972="","",_xlfn.RANK.EQ(D972,$D$2:$D$1001,0)+COUNTIF($D$2:D972,D972)-1)</f>
        <v/>
      </c>
      <c r="F972" s="62" t="str">
        <f>IF(B972="","",--(COUNTIF(CN_Brands!$A$2:$A$300,UPPER(B972))&gt;0))</f>
        <v/>
      </c>
      <c r="G972" s="62" t="str">
        <f t="shared" si="63"/>
        <v/>
      </c>
      <c r="H972" s="62" t="str">
        <f>IF(AND('Data Export'!A972=前十整体车型排名!$B$2,'Data Export'!B972=前十整体车型排名!$B$3,'Data Export'!D972&lt;&gt;""),UPPER('Data Export'!C972)&amp;"♦"&amp;'Data Export'!D972,"")</f>
        <v>XPENG♦G6</v>
      </c>
      <c r="I972" s="63">
        <f>IF(H972="","",IFERROR(INDEX('Data Export'!G972:CZ972,1,MATCH(前十整体车型排名!$B$4,'Data Export'!$G$1:$CZ$1,0)),0))</f>
        <v>54</v>
      </c>
      <c r="J972" s="62" t="str">
        <f>IF(H972="","",IF(OR('Data Export'!F972="三厢轿车",'Data Export'!F972="掀背轿车",'Data Export'!F972="旅行车",'Data Export'!F972="微型车",'Data Export'!F972="硬顶跑车",'Data Export'!F972="敞蓬车",'Data Export'!F972="Targa"),"轿车",IF(OR('Data Export'!F972="小型MPV",'Data Export'!F972="客车"),"MPV",IF('Data Export'!F972="运动型多功能车","SUV","其他"))))</f>
        <v>SUV</v>
      </c>
      <c r="K972" s="62" t="str">
        <f>IF(OR(D972="",NOT(F972=1)),"",1+SUMPRODUCT(($F$2:$F$1001=1)*($D$2:$D$1001&gt;D972))+COUNTIFS($F$2:F972,1,$D$2:D972,D972)-1)</f>
        <v/>
      </c>
      <c r="L972" s="62" t="str">
        <f>IF(OR(D972="",NOT(G972="轿车")),"",1+SUMPRODUCT(($G$2:$G$1001="轿车")*($D$2:$D$1001&gt;D972))+COUNTIFS($G$2:G972,"轿车",$D$2:D972,D972)-1)</f>
        <v/>
      </c>
      <c r="M972" s="62" t="str">
        <f>IF(OR(D972="",NOT(G972="MPV")),"",1+SUMPRODUCT(($G$2:$G$1001="MPV")*($D$2:$D$1001&gt;D972))+COUNTIFS($G$2:G972,"MPV",$D$2:D972,D972)-1)</f>
        <v/>
      </c>
      <c r="N972" s="62" t="str">
        <f>IF(OR(D972="",NOT(G972="SUV")),"",1+SUMPRODUCT(($G$2:$G$1001="SUV")*($D$2:$D$1001&gt;D972))+COUNTIFS($G$2:G972,"SUV",$D$2:D972,D972)-1)</f>
        <v/>
      </c>
      <c r="O972" s="62" t="str">
        <f>IF(OR(D972="",NOT(AND(F972=1,G972="轿车"))),"",1+SUMPRODUCT(($F$2:$F$1001=1)*($G$2:$G$1001="轿车")*($D$2:$D$1001&gt;D972))+COUNTIFS($F$2:F972,1,$G$2:G972,"轿车",$D$2:D972,D972)-1)</f>
        <v/>
      </c>
      <c r="P972" s="62" t="str">
        <f>IF(OR(D972="",NOT(AND(F972=1,G972="MPV"))),"",1+SUMPRODUCT(($F$2:$F$1001=1)*($G$2:$G$1001="MPV")*($D$2:$D$1001&gt;D972))+COUNTIFS($F$2:F972,1,$G$2:G972,"MPV",$D$2:D972,D972)-1)</f>
        <v/>
      </c>
      <c r="Q972" s="62" t="str">
        <f>IF(OR(D972="",NOT(AND(F972=1,G972="SUV"))),"",1+SUMPRODUCT(($F$2:$F$1001=1)*($G$2:$G$1001="SUV")*($D$2:$D$1001&gt;D972))+COUNTIFS($F$2:F972,1,$G$2:G972,"SUV",$D$2:D972,D972)-1)</f>
        <v/>
      </c>
    </row>
    <row r="973" spans="1:17">
      <c r="A973" s="62" t="str">
        <f>IFERROR(INDEX($H$2:$H$3000,MATCH(0,INDEX(COUNTIF($A$1:A972,$H$2:$H$3000)+($H$2:$H$3000=""),0,0),0)),"")</f>
        <v/>
      </c>
      <c r="B973" s="62" t="str">
        <f t="shared" si="60"/>
        <v/>
      </c>
      <c r="C973" s="62" t="str">
        <f t="shared" si="61"/>
        <v/>
      </c>
      <c r="D973" s="63" t="str">
        <f t="shared" si="62"/>
        <v/>
      </c>
      <c r="E973" s="62" t="str">
        <f>IF(D973="","",_xlfn.RANK.EQ(D973,$D$2:$D$1001,0)+COUNTIF($D$2:D973,D973)-1)</f>
        <v/>
      </c>
      <c r="F973" s="62" t="str">
        <f>IF(B973="","",--(COUNTIF(CN_Brands!$A$2:$A$300,UPPER(B973))&gt;0))</f>
        <v/>
      </c>
      <c r="G973" s="62" t="str">
        <f t="shared" si="63"/>
        <v/>
      </c>
      <c r="H973" s="62" t="str">
        <f>IF(AND('Data Export'!A973=前十整体车型排名!$B$2,'Data Export'!B973=前十整体车型排名!$B$3,'Data Export'!D973&lt;&gt;""),UPPER('Data Export'!C973)&amp;"♦"&amp;'Data Export'!D973,"")</f>
        <v>XPENG♦G6</v>
      </c>
      <c r="I973" s="63">
        <f>IF(H973="","",IFERROR(INDEX('Data Export'!G973:CZ973,1,MATCH(前十整体车型排名!$B$4,'Data Export'!$G$1:$CZ$1,0)),0))</f>
        <v>26</v>
      </c>
      <c r="J973" s="62" t="str">
        <f>IF(H973="","",IF(OR('Data Export'!F973="三厢轿车",'Data Export'!F973="掀背轿车",'Data Export'!F973="旅行车",'Data Export'!F973="微型车",'Data Export'!F973="硬顶跑车",'Data Export'!F973="敞蓬车",'Data Export'!F973="Targa"),"轿车",IF(OR('Data Export'!F973="小型MPV",'Data Export'!F973="客车"),"MPV",IF('Data Export'!F973="运动型多功能车","SUV","其他"))))</f>
        <v>SUV</v>
      </c>
      <c r="K973" s="62" t="str">
        <f>IF(OR(D973="",NOT(F973=1)),"",1+SUMPRODUCT(($F$2:$F$1001=1)*($D$2:$D$1001&gt;D973))+COUNTIFS($F$2:F973,1,$D$2:D973,D973)-1)</f>
        <v/>
      </c>
      <c r="L973" s="62" t="str">
        <f>IF(OR(D973="",NOT(G973="轿车")),"",1+SUMPRODUCT(($G$2:$G$1001="轿车")*($D$2:$D$1001&gt;D973))+COUNTIFS($G$2:G973,"轿车",$D$2:D973,D973)-1)</f>
        <v/>
      </c>
      <c r="M973" s="62" t="str">
        <f>IF(OR(D973="",NOT(G973="MPV")),"",1+SUMPRODUCT(($G$2:$G$1001="MPV")*($D$2:$D$1001&gt;D973))+COUNTIFS($G$2:G973,"MPV",$D$2:D973,D973)-1)</f>
        <v/>
      </c>
      <c r="N973" s="62" t="str">
        <f>IF(OR(D973="",NOT(G973="SUV")),"",1+SUMPRODUCT(($G$2:$G$1001="SUV")*($D$2:$D$1001&gt;D973))+COUNTIFS($G$2:G973,"SUV",$D$2:D973,D973)-1)</f>
        <v/>
      </c>
      <c r="O973" s="62" t="str">
        <f>IF(OR(D973="",NOT(AND(F973=1,G973="轿车"))),"",1+SUMPRODUCT(($F$2:$F$1001=1)*($G$2:$G$1001="轿车")*($D$2:$D$1001&gt;D973))+COUNTIFS($F$2:F973,1,$G$2:G973,"轿车",$D$2:D973,D973)-1)</f>
        <v/>
      </c>
      <c r="P973" s="62" t="str">
        <f>IF(OR(D973="",NOT(AND(F973=1,G973="MPV"))),"",1+SUMPRODUCT(($F$2:$F$1001=1)*($G$2:$G$1001="MPV")*($D$2:$D$1001&gt;D973))+COUNTIFS($F$2:F973,1,$G$2:G973,"MPV",$D$2:D973,D973)-1)</f>
        <v/>
      </c>
      <c r="Q973" s="62" t="str">
        <f>IF(OR(D973="",NOT(AND(F973=1,G973="SUV"))),"",1+SUMPRODUCT(($F$2:$F$1001=1)*($G$2:$G$1001="SUV")*($D$2:$D$1001&gt;D973))+COUNTIFS($F$2:F973,1,$G$2:G973,"SUV",$D$2:D973,D973)-1)</f>
        <v/>
      </c>
    </row>
    <row r="974" spans="1:17">
      <c r="A974" s="62" t="str">
        <f>IFERROR(INDEX($H$2:$H$3000,MATCH(0,INDEX(COUNTIF($A$1:A973,$H$2:$H$3000)+($H$2:$H$3000=""),0,0),0)),"")</f>
        <v/>
      </c>
      <c r="B974" s="62" t="str">
        <f t="shared" si="60"/>
        <v/>
      </c>
      <c r="C974" s="62" t="str">
        <f t="shared" si="61"/>
        <v/>
      </c>
      <c r="D974" s="63" t="str">
        <f t="shared" si="62"/>
        <v/>
      </c>
      <c r="E974" s="62" t="str">
        <f>IF(D974="","",_xlfn.RANK.EQ(D974,$D$2:$D$1001,0)+COUNTIF($D$2:D974,D974)-1)</f>
        <v/>
      </c>
      <c r="F974" s="62" t="str">
        <f>IF(B974="","",--(COUNTIF(CN_Brands!$A$2:$A$300,UPPER(B974))&gt;0))</f>
        <v/>
      </c>
      <c r="G974" s="62" t="str">
        <f t="shared" si="63"/>
        <v/>
      </c>
      <c r="H974" s="62" t="str">
        <f>IF(AND('Data Export'!A974=前十整体车型排名!$B$2,'Data Export'!B974=前十整体车型排名!$B$3,'Data Export'!D974&lt;&gt;""),UPPER('Data Export'!C974)&amp;"♦"&amp;'Data Export'!D974,"")</f>
        <v>XPENG♦G6</v>
      </c>
      <c r="I974" s="63">
        <f>IF(H974="","",IFERROR(INDEX('Data Export'!G974:CZ974,1,MATCH(前十整体车型排名!$B$4,'Data Export'!$G$1:$CZ$1,0)),0))</f>
        <v>0</v>
      </c>
      <c r="J974" s="62" t="str">
        <f>IF(H974="","",IF(OR('Data Export'!F974="三厢轿车",'Data Export'!F974="掀背轿车",'Data Export'!F974="旅行车",'Data Export'!F974="微型车",'Data Export'!F974="硬顶跑车",'Data Export'!F974="敞蓬车",'Data Export'!F974="Targa"),"轿车",IF(OR('Data Export'!F974="小型MPV",'Data Export'!F974="客车"),"MPV",IF('Data Export'!F974="运动型多功能车","SUV","其他"))))</f>
        <v>SUV</v>
      </c>
      <c r="K974" s="62" t="str">
        <f>IF(OR(D974="",NOT(F974=1)),"",1+SUMPRODUCT(($F$2:$F$1001=1)*($D$2:$D$1001&gt;D974))+COUNTIFS($F$2:F974,1,$D$2:D974,D974)-1)</f>
        <v/>
      </c>
      <c r="L974" s="62" t="str">
        <f>IF(OR(D974="",NOT(G974="轿车")),"",1+SUMPRODUCT(($G$2:$G$1001="轿车")*($D$2:$D$1001&gt;D974))+COUNTIFS($G$2:G974,"轿车",$D$2:D974,D974)-1)</f>
        <v/>
      </c>
      <c r="M974" s="62" t="str">
        <f>IF(OR(D974="",NOT(G974="MPV")),"",1+SUMPRODUCT(($G$2:$G$1001="MPV")*($D$2:$D$1001&gt;D974))+COUNTIFS($G$2:G974,"MPV",$D$2:D974,D974)-1)</f>
        <v/>
      </c>
      <c r="N974" s="62" t="str">
        <f>IF(OR(D974="",NOT(G974="SUV")),"",1+SUMPRODUCT(($G$2:$G$1001="SUV")*($D$2:$D$1001&gt;D974))+COUNTIFS($G$2:G974,"SUV",$D$2:D974,D974)-1)</f>
        <v/>
      </c>
      <c r="O974" s="62" t="str">
        <f>IF(OR(D974="",NOT(AND(F974=1,G974="轿车"))),"",1+SUMPRODUCT(($F$2:$F$1001=1)*($G$2:$G$1001="轿车")*($D$2:$D$1001&gt;D974))+COUNTIFS($F$2:F974,1,$G$2:G974,"轿车",$D$2:D974,D974)-1)</f>
        <v/>
      </c>
      <c r="P974" s="62" t="str">
        <f>IF(OR(D974="",NOT(AND(F974=1,G974="MPV"))),"",1+SUMPRODUCT(($F$2:$F$1001=1)*($G$2:$G$1001="MPV")*($D$2:$D$1001&gt;D974))+COUNTIFS($F$2:F974,1,$G$2:G974,"MPV",$D$2:D974,D974)-1)</f>
        <v/>
      </c>
      <c r="Q974" s="62" t="str">
        <f>IF(OR(D974="",NOT(AND(F974=1,G974="SUV"))),"",1+SUMPRODUCT(($F$2:$F$1001=1)*($G$2:$G$1001="SUV")*($D$2:$D$1001&gt;D974))+COUNTIFS($F$2:F974,1,$G$2:G974,"SUV",$D$2:D974,D974)-1)</f>
        <v/>
      </c>
    </row>
    <row r="975" spans="1:17">
      <c r="A975" s="62" t="str">
        <f>IFERROR(INDEX($H$2:$H$3000,MATCH(0,INDEX(COUNTIF($A$1:A974,$H$2:$H$3000)+($H$2:$H$3000=""),0,0),0)),"")</f>
        <v/>
      </c>
      <c r="B975" s="62" t="str">
        <f t="shared" si="60"/>
        <v/>
      </c>
      <c r="C975" s="62" t="str">
        <f t="shared" si="61"/>
        <v/>
      </c>
      <c r="D975" s="63" t="str">
        <f t="shared" si="62"/>
        <v/>
      </c>
      <c r="E975" s="62" t="str">
        <f>IF(D975="","",_xlfn.RANK.EQ(D975,$D$2:$D$1001,0)+COUNTIF($D$2:D975,D975)-1)</f>
        <v/>
      </c>
      <c r="F975" s="62" t="str">
        <f>IF(B975="","",--(COUNTIF(CN_Brands!$A$2:$A$300,UPPER(B975))&gt;0))</f>
        <v/>
      </c>
      <c r="G975" s="62" t="str">
        <f t="shared" si="63"/>
        <v/>
      </c>
      <c r="H975" s="62" t="str">
        <f>IF(AND('Data Export'!A975=前十整体车型排名!$B$2,'Data Export'!B975=前十整体车型排名!$B$3,'Data Export'!D975&lt;&gt;""),UPPER('Data Export'!C975)&amp;"♦"&amp;'Data Export'!D975,"")</f>
        <v>XPENG♦G6</v>
      </c>
      <c r="I975" s="63">
        <f>IF(H975="","",IFERROR(INDEX('Data Export'!G975:CZ975,1,MATCH(前十整体车型排名!$B$4,'Data Export'!$G$1:$CZ$1,0)),0))</f>
        <v>264</v>
      </c>
      <c r="J975" s="62" t="str">
        <f>IF(H975="","",IF(OR('Data Export'!F975="三厢轿车",'Data Export'!F975="掀背轿车",'Data Export'!F975="旅行车",'Data Export'!F975="微型车",'Data Export'!F975="硬顶跑车",'Data Export'!F975="敞蓬车",'Data Export'!F975="Targa"),"轿车",IF(OR('Data Export'!F975="小型MPV",'Data Export'!F975="客车"),"MPV",IF('Data Export'!F975="运动型多功能车","SUV","其他"))))</f>
        <v>SUV</v>
      </c>
      <c r="K975" s="62" t="str">
        <f>IF(OR(D975="",NOT(F975=1)),"",1+SUMPRODUCT(($F$2:$F$1001=1)*($D$2:$D$1001&gt;D975))+COUNTIFS($F$2:F975,1,$D$2:D975,D975)-1)</f>
        <v/>
      </c>
      <c r="L975" s="62" t="str">
        <f>IF(OR(D975="",NOT(G975="轿车")),"",1+SUMPRODUCT(($G$2:$G$1001="轿车")*($D$2:$D$1001&gt;D975))+COUNTIFS($G$2:G975,"轿车",$D$2:D975,D975)-1)</f>
        <v/>
      </c>
      <c r="M975" s="62" t="str">
        <f>IF(OR(D975="",NOT(G975="MPV")),"",1+SUMPRODUCT(($G$2:$G$1001="MPV")*($D$2:$D$1001&gt;D975))+COUNTIFS($G$2:G975,"MPV",$D$2:D975,D975)-1)</f>
        <v/>
      </c>
      <c r="N975" s="62" t="str">
        <f>IF(OR(D975="",NOT(G975="SUV")),"",1+SUMPRODUCT(($G$2:$G$1001="SUV")*($D$2:$D$1001&gt;D975))+COUNTIFS($G$2:G975,"SUV",$D$2:D975,D975)-1)</f>
        <v/>
      </c>
      <c r="O975" s="62" t="str">
        <f>IF(OR(D975="",NOT(AND(F975=1,G975="轿车"))),"",1+SUMPRODUCT(($F$2:$F$1001=1)*($G$2:$G$1001="轿车")*($D$2:$D$1001&gt;D975))+COUNTIFS($F$2:F975,1,$G$2:G975,"轿车",$D$2:D975,D975)-1)</f>
        <v/>
      </c>
      <c r="P975" s="62" t="str">
        <f>IF(OR(D975="",NOT(AND(F975=1,G975="MPV"))),"",1+SUMPRODUCT(($F$2:$F$1001=1)*($G$2:$G$1001="MPV")*($D$2:$D$1001&gt;D975))+COUNTIFS($F$2:F975,1,$G$2:G975,"MPV",$D$2:D975,D975)-1)</f>
        <v/>
      </c>
      <c r="Q975" s="62" t="str">
        <f>IF(OR(D975="",NOT(AND(F975=1,G975="SUV"))),"",1+SUMPRODUCT(($F$2:$F$1001=1)*($G$2:$G$1001="SUV")*($D$2:$D$1001&gt;D975))+COUNTIFS($F$2:F975,1,$G$2:G975,"SUV",$D$2:D975,D975)-1)</f>
        <v/>
      </c>
    </row>
    <row r="976" spans="1:17">
      <c r="A976" s="62" t="str">
        <f>IFERROR(INDEX($H$2:$H$3000,MATCH(0,INDEX(COUNTIF($A$1:A975,$H$2:$H$3000)+($H$2:$H$3000=""),0,0),0)),"")</f>
        <v/>
      </c>
      <c r="B976" s="62" t="str">
        <f t="shared" si="60"/>
        <v/>
      </c>
      <c r="C976" s="62" t="str">
        <f t="shared" si="61"/>
        <v/>
      </c>
      <c r="D976" s="63" t="str">
        <f t="shared" si="62"/>
        <v/>
      </c>
      <c r="E976" s="62" t="str">
        <f>IF(D976="","",_xlfn.RANK.EQ(D976,$D$2:$D$1001,0)+COUNTIF($D$2:D976,D976)-1)</f>
        <v/>
      </c>
      <c r="F976" s="62" t="str">
        <f>IF(B976="","",--(COUNTIF(CN_Brands!$A$2:$A$300,UPPER(B976))&gt;0))</f>
        <v/>
      </c>
      <c r="G976" s="62" t="str">
        <f t="shared" si="63"/>
        <v/>
      </c>
      <c r="H976" s="62" t="str">
        <f>IF(AND('Data Export'!A976=前十整体车型排名!$B$2,'Data Export'!B976=前十整体车型排名!$B$3,'Data Export'!D976&lt;&gt;""),UPPER('Data Export'!C976)&amp;"♦"&amp;'Data Export'!D976,"")</f>
        <v>XPENG♦G6</v>
      </c>
      <c r="I976" s="63">
        <f>IF(H976="","",IFERROR(INDEX('Data Export'!G976:CZ976,1,MATCH(前十整体车型排名!$B$4,'Data Export'!$G$1:$CZ$1,0)),0))</f>
        <v>0</v>
      </c>
      <c r="J976" s="62" t="str">
        <f>IF(H976="","",IF(OR('Data Export'!F976="三厢轿车",'Data Export'!F976="掀背轿车",'Data Export'!F976="旅行车",'Data Export'!F976="微型车",'Data Export'!F976="硬顶跑车",'Data Export'!F976="敞蓬车",'Data Export'!F976="Targa"),"轿车",IF(OR('Data Export'!F976="小型MPV",'Data Export'!F976="客车"),"MPV",IF('Data Export'!F976="运动型多功能车","SUV","其他"))))</f>
        <v>SUV</v>
      </c>
      <c r="K976" s="62" t="str">
        <f>IF(OR(D976="",NOT(F976=1)),"",1+SUMPRODUCT(($F$2:$F$1001=1)*($D$2:$D$1001&gt;D976))+COUNTIFS($F$2:F976,1,$D$2:D976,D976)-1)</f>
        <v/>
      </c>
      <c r="L976" s="62" t="str">
        <f>IF(OR(D976="",NOT(G976="轿车")),"",1+SUMPRODUCT(($G$2:$G$1001="轿车")*($D$2:$D$1001&gt;D976))+COUNTIFS($G$2:G976,"轿车",$D$2:D976,D976)-1)</f>
        <v/>
      </c>
      <c r="M976" s="62" t="str">
        <f>IF(OR(D976="",NOT(G976="MPV")),"",1+SUMPRODUCT(($G$2:$G$1001="MPV")*($D$2:$D$1001&gt;D976))+COUNTIFS($G$2:G976,"MPV",$D$2:D976,D976)-1)</f>
        <v/>
      </c>
      <c r="N976" s="62" t="str">
        <f>IF(OR(D976="",NOT(G976="SUV")),"",1+SUMPRODUCT(($G$2:$G$1001="SUV")*($D$2:$D$1001&gt;D976))+COUNTIFS($G$2:G976,"SUV",$D$2:D976,D976)-1)</f>
        <v/>
      </c>
      <c r="O976" s="62" t="str">
        <f>IF(OR(D976="",NOT(AND(F976=1,G976="轿车"))),"",1+SUMPRODUCT(($F$2:$F$1001=1)*($G$2:$G$1001="轿车")*($D$2:$D$1001&gt;D976))+COUNTIFS($F$2:F976,1,$G$2:G976,"轿车",$D$2:D976,D976)-1)</f>
        <v/>
      </c>
      <c r="P976" s="62" t="str">
        <f>IF(OR(D976="",NOT(AND(F976=1,G976="MPV"))),"",1+SUMPRODUCT(($F$2:$F$1001=1)*($G$2:$G$1001="MPV")*($D$2:$D$1001&gt;D976))+COUNTIFS($F$2:F976,1,$G$2:G976,"MPV",$D$2:D976,D976)-1)</f>
        <v/>
      </c>
      <c r="Q976" s="62" t="str">
        <f>IF(OR(D976="",NOT(AND(F976=1,G976="SUV"))),"",1+SUMPRODUCT(($F$2:$F$1001=1)*($G$2:$G$1001="SUV")*($D$2:$D$1001&gt;D976))+COUNTIFS($F$2:F976,1,$G$2:G976,"SUV",$D$2:D976,D976)-1)</f>
        <v/>
      </c>
    </row>
    <row r="977" spans="1:17">
      <c r="A977" s="62" t="str">
        <f>IFERROR(INDEX($H$2:$H$3000,MATCH(0,INDEX(COUNTIF($A$1:A976,$H$2:$H$3000)+($H$2:$H$3000=""),0,0),0)),"")</f>
        <v/>
      </c>
      <c r="B977" s="62" t="str">
        <f t="shared" si="60"/>
        <v/>
      </c>
      <c r="C977" s="62" t="str">
        <f t="shared" si="61"/>
        <v/>
      </c>
      <c r="D977" s="63" t="str">
        <f t="shared" si="62"/>
        <v/>
      </c>
      <c r="E977" s="62" t="str">
        <f>IF(D977="","",_xlfn.RANK.EQ(D977,$D$2:$D$1001,0)+COUNTIF($D$2:D977,D977)-1)</f>
        <v/>
      </c>
      <c r="F977" s="62" t="str">
        <f>IF(B977="","",--(COUNTIF(CN_Brands!$A$2:$A$300,UPPER(B977))&gt;0))</f>
        <v/>
      </c>
      <c r="G977" s="62" t="str">
        <f t="shared" si="63"/>
        <v/>
      </c>
      <c r="H977" s="62" t="str">
        <f>IF(AND('Data Export'!A977=前十整体车型排名!$B$2,'Data Export'!B977=前十整体车型排名!$B$3,'Data Export'!D977&lt;&gt;""),UPPER('Data Export'!C977)&amp;"♦"&amp;'Data Export'!D977,"")</f>
        <v>XPENG♦G6</v>
      </c>
      <c r="I977" s="63">
        <f>IF(H977="","",IFERROR(INDEX('Data Export'!G977:CZ977,1,MATCH(前十整体车型排名!$B$4,'Data Export'!$G$1:$CZ$1,0)),0))</f>
        <v>0</v>
      </c>
      <c r="J977" s="62" t="str">
        <f>IF(H977="","",IF(OR('Data Export'!F977="三厢轿车",'Data Export'!F977="掀背轿车",'Data Export'!F977="旅行车",'Data Export'!F977="微型车",'Data Export'!F977="硬顶跑车",'Data Export'!F977="敞蓬车",'Data Export'!F977="Targa"),"轿车",IF(OR('Data Export'!F977="小型MPV",'Data Export'!F977="客车"),"MPV",IF('Data Export'!F977="运动型多功能车","SUV","其他"))))</f>
        <v>SUV</v>
      </c>
      <c r="K977" s="62" t="str">
        <f>IF(OR(D977="",NOT(F977=1)),"",1+SUMPRODUCT(($F$2:$F$1001=1)*($D$2:$D$1001&gt;D977))+COUNTIFS($F$2:F977,1,$D$2:D977,D977)-1)</f>
        <v/>
      </c>
      <c r="L977" s="62" t="str">
        <f>IF(OR(D977="",NOT(G977="轿车")),"",1+SUMPRODUCT(($G$2:$G$1001="轿车")*($D$2:$D$1001&gt;D977))+COUNTIFS($G$2:G977,"轿车",$D$2:D977,D977)-1)</f>
        <v/>
      </c>
      <c r="M977" s="62" t="str">
        <f>IF(OR(D977="",NOT(G977="MPV")),"",1+SUMPRODUCT(($G$2:$G$1001="MPV")*($D$2:$D$1001&gt;D977))+COUNTIFS($G$2:G977,"MPV",$D$2:D977,D977)-1)</f>
        <v/>
      </c>
      <c r="N977" s="62" t="str">
        <f>IF(OR(D977="",NOT(G977="SUV")),"",1+SUMPRODUCT(($G$2:$G$1001="SUV")*($D$2:$D$1001&gt;D977))+COUNTIFS($G$2:G977,"SUV",$D$2:D977,D977)-1)</f>
        <v/>
      </c>
      <c r="O977" s="62" t="str">
        <f>IF(OR(D977="",NOT(AND(F977=1,G977="轿车"))),"",1+SUMPRODUCT(($F$2:$F$1001=1)*($G$2:$G$1001="轿车")*($D$2:$D$1001&gt;D977))+COUNTIFS($F$2:F977,1,$G$2:G977,"轿车",$D$2:D977,D977)-1)</f>
        <v/>
      </c>
      <c r="P977" s="62" t="str">
        <f>IF(OR(D977="",NOT(AND(F977=1,G977="MPV"))),"",1+SUMPRODUCT(($F$2:$F$1001=1)*($G$2:$G$1001="MPV")*($D$2:$D$1001&gt;D977))+COUNTIFS($F$2:F977,1,$G$2:G977,"MPV",$D$2:D977,D977)-1)</f>
        <v/>
      </c>
      <c r="Q977" s="62" t="str">
        <f>IF(OR(D977="",NOT(AND(F977=1,G977="SUV"))),"",1+SUMPRODUCT(($F$2:$F$1001=1)*($G$2:$G$1001="SUV")*($D$2:$D$1001&gt;D977))+COUNTIFS($F$2:F977,1,$G$2:G977,"SUV",$D$2:D977,D977)-1)</f>
        <v/>
      </c>
    </row>
    <row r="978" spans="1:17">
      <c r="A978" s="62" t="str">
        <f>IFERROR(INDEX($H$2:$H$3000,MATCH(0,INDEX(COUNTIF($A$1:A977,$H$2:$H$3000)+($H$2:$H$3000=""),0,0),0)),"")</f>
        <v/>
      </c>
      <c r="B978" s="62" t="str">
        <f t="shared" si="60"/>
        <v/>
      </c>
      <c r="C978" s="62" t="str">
        <f t="shared" si="61"/>
        <v/>
      </c>
      <c r="D978" s="63" t="str">
        <f t="shared" si="62"/>
        <v/>
      </c>
      <c r="E978" s="62" t="str">
        <f>IF(D978="","",_xlfn.RANK.EQ(D978,$D$2:$D$1001,0)+COUNTIF($D$2:D978,D978)-1)</f>
        <v/>
      </c>
      <c r="F978" s="62" t="str">
        <f>IF(B978="","",--(COUNTIF(CN_Brands!$A$2:$A$300,UPPER(B978))&gt;0))</f>
        <v/>
      </c>
      <c r="G978" s="62" t="str">
        <f t="shared" si="63"/>
        <v/>
      </c>
      <c r="H978" s="62" t="str">
        <f>IF(AND('Data Export'!A978=前十整体车型排名!$B$2,'Data Export'!B978=前十整体车型排名!$B$3,'Data Export'!D978&lt;&gt;""),UPPER('Data Export'!C978)&amp;"♦"&amp;'Data Export'!D978,"")</f>
        <v>XPENG♦X9</v>
      </c>
      <c r="I978" s="63">
        <f>IF(H978="","",IFERROR(INDEX('Data Export'!G978:CZ978,1,MATCH(前十整体车型排名!$B$4,'Data Export'!$G$1:$CZ$1,0)),0))</f>
        <v>0</v>
      </c>
      <c r="J978" s="62" t="str">
        <f>IF(H978="","",IF(OR('Data Export'!F978="三厢轿车",'Data Export'!F978="掀背轿车",'Data Export'!F978="旅行车",'Data Export'!F978="微型车",'Data Export'!F978="硬顶跑车",'Data Export'!F978="敞蓬车",'Data Export'!F978="Targa"),"轿车",IF(OR('Data Export'!F978="小型MPV",'Data Export'!F978="客车"),"MPV",IF('Data Export'!F978="运动型多功能车","SUV","其他"))))</f>
        <v>其他</v>
      </c>
      <c r="K978" s="62" t="str">
        <f>IF(OR(D978="",NOT(F978=1)),"",1+SUMPRODUCT(($F$2:$F$1001=1)*($D$2:$D$1001&gt;D978))+COUNTIFS($F$2:F978,1,$D$2:D978,D978)-1)</f>
        <v/>
      </c>
      <c r="L978" s="62" t="str">
        <f>IF(OR(D978="",NOT(G978="轿车")),"",1+SUMPRODUCT(($G$2:$G$1001="轿车")*($D$2:$D$1001&gt;D978))+COUNTIFS($G$2:G978,"轿车",$D$2:D978,D978)-1)</f>
        <v/>
      </c>
      <c r="M978" s="62" t="str">
        <f>IF(OR(D978="",NOT(G978="MPV")),"",1+SUMPRODUCT(($G$2:$G$1001="MPV")*($D$2:$D$1001&gt;D978))+COUNTIFS($G$2:G978,"MPV",$D$2:D978,D978)-1)</f>
        <v/>
      </c>
      <c r="N978" s="62" t="str">
        <f>IF(OR(D978="",NOT(G978="SUV")),"",1+SUMPRODUCT(($G$2:$G$1001="SUV")*($D$2:$D$1001&gt;D978))+COUNTIFS($G$2:G978,"SUV",$D$2:D978,D978)-1)</f>
        <v/>
      </c>
      <c r="O978" s="62" t="str">
        <f>IF(OR(D978="",NOT(AND(F978=1,G978="轿车"))),"",1+SUMPRODUCT(($F$2:$F$1001=1)*($G$2:$G$1001="轿车")*($D$2:$D$1001&gt;D978))+COUNTIFS($F$2:F978,1,$G$2:G978,"轿车",$D$2:D978,D978)-1)</f>
        <v/>
      </c>
      <c r="P978" s="62" t="str">
        <f>IF(OR(D978="",NOT(AND(F978=1,G978="MPV"))),"",1+SUMPRODUCT(($F$2:$F$1001=1)*($G$2:$G$1001="MPV")*($D$2:$D$1001&gt;D978))+COUNTIFS($F$2:F978,1,$G$2:G978,"MPV",$D$2:D978,D978)-1)</f>
        <v/>
      </c>
      <c r="Q978" s="62" t="str">
        <f>IF(OR(D978="",NOT(AND(F978=1,G978="SUV"))),"",1+SUMPRODUCT(($F$2:$F$1001=1)*($G$2:$G$1001="SUV")*($D$2:$D$1001&gt;D978))+COUNTIFS($F$2:F978,1,$G$2:G978,"SUV",$D$2:D978,D978)-1)</f>
        <v/>
      </c>
    </row>
    <row r="979" spans="1:17">
      <c r="A979" s="62" t="str">
        <f>IFERROR(INDEX($H$2:$H$3000,MATCH(0,INDEX(COUNTIF($A$1:A978,$H$2:$H$3000)+($H$2:$H$3000=""),0,0),0)),"")</f>
        <v/>
      </c>
      <c r="B979" s="62" t="str">
        <f t="shared" si="60"/>
        <v/>
      </c>
      <c r="C979" s="62" t="str">
        <f t="shared" si="61"/>
        <v/>
      </c>
      <c r="D979" s="63" t="str">
        <f t="shared" si="62"/>
        <v/>
      </c>
      <c r="E979" s="62" t="str">
        <f>IF(D979="","",_xlfn.RANK.EQ(D979,$D$2:$D$1001,0)+COUNTIF($D$2:D979,D979)-1)</f>
        <v/>
      </c>
      <c r="F979" s="62" t="str">
        <f>IF(B979="","",--(COUNTIF(CN_Brands!$A$2:$A$300,UPPER(B979))&gt;0))</f>
        <v/>
      </c>
      <c r="G979" s="62" t="str">
        <f t="shared" si="63"/>
        <v/>
      </c>
      <c r="H979" s="62" t="str">
        <f>IF(AND('Data Export'!A979=前十整体车型排名!$B$2,'Data Export'!B979=前十整体车型排名!$B$3,'Data Export'!D979&lt;&gt;""),UPPER('Data Export'!C979)&amp;"♦"&amp;'Data Export'!D979,"")</f>
        <v>XPENG♦X9</v>
      </c>
      <c r="I979" s="63">
        <f>IF(H979="","",IFERROR(INDEX('Data Export'!G979:CZ979,1,MATCH(前十整体车型排名!$B$4,'Data Export'!$G$1:$CZ$1,0)),0))</f>
        <v>2</v>
      </c>
      <c r="J979" s="62" t="str">
        <f>IF(H979="","",IF(OR('Data Export'!F979="三厢轿车",'Data Export'!F979="掀背轿车",'Data Export'!F979="旅行车",'Data Export'!F979="微型车",'Data Export'!F979="硬顶跑车",'Data Export'!F979="敞蓬车",'Data Export'!F979="Targa"),"轿车",IF(OR('Data Export'!F979="小型MPV",'Data Export'!F979="客车"),"MPV",IF('Data Export'!F979="运动型多功能车","SUV","其他"))))</f>
        <v>其他</v>
      </c>
      <c r="K979" s="62" t="str">
        <f>IF(OR(D979="",NOT(F979=1)),"",1+SUMPRODUCT(($F$2:$F$1001=1)*($D$2:$D$1001&gt;D979))+COUNTIFS($F$2:F979,1,$D$2:D979,D979)-1)</f>
        <v/>
      </c>
      <c r="L979" s="62" t="str">
        <f>IF(OR(D979="",NOT(G979="轿车")),"",1+SUMPRODUCT(($G$2:$G$1001="轿车")*($D$2:$D$1001&gt;D979))+COUNTIFS($G$2:G979,"轿车",$D$2:D979,D979)-1)</f>
        <v/>
      </c>
      <c r="M979" s="62" t="str">
        <f>IF(OR(D979="",NOT(G979="MPV")),"",1+SUMPRODUCT(($G$2:$G$1001="MPV")*($D$2:$D$1001&gt;D979))+COUNTIFS($G$2:G979,"MPV",$D$2:D979,D979)-1)</f>
        <v/>
      </c>
      <c r="N979" s="62" t="str">
        <f>IF(OR(D979="",NOT(G979="SUV")),"",1+SUMPRODUCT(($G$2:$G$1001="SUV")*($D$2:$D$1001&gt;D979))+COUNTIFS($G$2:G979,"SUV",$D$2:D979,D979)-1)</f>
        <v/>
      </c>
      <c r="O979" s="62" t="str">
        <f>IF(OR(D979="",NOT(AND(F979=1,G979="轿车"))),"",1+SUMPRODUCT(($F$2:$F$1001=1)*($G$2:$G$1001="轿车")*($D$2:$D$1001&gt;D979))+COUNTIFS($F$2:F979,1,$G$2:G979,"轿车",$D$2:D979,D979)-1)</f>
        <v/>
      </c>
      <c r="P979" s="62" t="str">
        <f>IF(OR(D979="",NOT(AND(F979=1,G979="MPV"))),"",1+SUMPRODUCT(($F$2:$F$1001=1)*($G$2:$G$1001="MPV")*($D$2:$D$1001&gt;D979))+COUNTIFS($F$2:F979,1,$G$2:G979,"MPV",$D$2:D979,D979)-1)</f>
        <v/>
      </c>
      <c r="Q979" s="62" t="str">
        <f>IF(OR(D979="",NOT(AND(F979=1,G979="SUV"))),"",1+SUMPRODUCT(($F$2:$F$1001=1)*($G$2:$G$1001="SUV")*($D$2:$D$1001&gt;D979))+COUNTIFS($F$2:F979,1,$G$2:G979,"SUV",$D$2:D979,D979)-1)</f>
        <v/>
      </c>
    </row>
    <row r="980" spans="1:17">
      <c r="A980" s="62" t="str">
        <f>IFERROR(INDEX($H$2:$H$3000,MATCH(0,INDEX(COUNTIF($A$1:A979,$H$2:$H$3000)+($H$2:$H$3000=""),0,0),0)),"")</f>
        <v/>
      </c>
      <c r="B980" s="62" t="str">
        <f t="shared" si="60"/>
        <v/>
      </c>
      <c r="C980" s="62" t="str">
        <f t="shared" si="61"/>
        <v/>
      </c>
      <c r="D980" s="63" t="str">
        <f t="shared" si="62"/>
        <v/>
      </c>
      <c r="E980" s="62" t="str">
        <f>IF(D980="","",_xlfn.RANK.EQ(D980,$D$2:$D$1001,0)+COUNTIF($D$2:D980,D980)-1)</f>
        <v/>
      </c>
      <c r="F980" s="62" t="str">
        <f>IF(B980="","",--(COUNTIF(CN_Brands!$A$2:$A$300,UPPER(B980))&gt;0))</f>
        <v/>
      </c>
      <c r="G980" s="62" t="str">
        <f t="shared" si="63"/>
        <v/>
      </c>
      <c r="H980" s="62" t="str">
        <f>IF(AND('Data Export'!A980=前十整体车型排名!$B$2,'Data Export'!B980=前十整体车型排名!$B$3,'Data Export'!D980&lt;&gt;""),UPPER('Data Export'!C980)&amp;"♦"&amp;'Data Export'!D980,"")</f>
        <v>XPENG♦X9</v>
      </c>
      <c r="I980" s="63">
        <f>IF(H980="","",IFERROR(INDEX('Data Export'!G980:CZ980,1,MATCH(前十整体车型排名!$B$4,'Data Export'!$G$1:$CZ$1,0)),0))</f>
        <v>0</v>
      </c>
      <c r="J980" s="62" t="str">
        <f>IF(H980="","",IF(OR('Data Export'!F980="三厢轿车",'Data Export'!F980="掀背轿车",'Data Export'!F980="旅行车",'Data Export'!F980="微型车",'Data Export'!F980="硬顶跑车",'Data Export'!F980="敞蓬车",'Data Export'!F980="Targa"),"轿车",IF(OR('Data Export'!F980="小型MPV",'Data Export'!F980="客车"),"MPV",IF('Data Export'!F980="运动型多功能车","SUV","其他"))))</f>
        <v>其他</v>
      </c>
      <c r="K980" s="62" t="str">
        <f>IF(OR(D980="",NOT(F980=1)),"",1+SUMPRODUCT(($F$2:$F$1001=1)*($D$2:$D$1001&gt;D980))+COUNTIFS($F$2:F980,1,$D$2:D980,D980)-1)</f>
        <v/>
      </c>
      <c r="L980" s="62" t="str">
        <f>IF(OR(D980="",NOT(G980="轿车")),"",1+SUMPRODUCT(($G$2:$G$1001="轿车")*($D$2:$D$1001&gt;D980))+COUNTIFS($G$2:G980,"轿车",$D$2:D980,D980)-1)</f>
        <v/>
      </c>
      <c r="M980" s="62" t="str">
        <f>IF(OR(D980="",NOT(G980="MPV")),"",1+SUMPRODUCT(($G$2:$G$1001="MPV")*($D$2:$D$1001&gt;D980))+COUNTIFS($G$2:G980,"MPV",$D$2:D980,D980)-1)</f>
        <v/>
      </c>
      <c r="N980" s="62" t="str">
        <f>IF(OR(D980="",NOT(G980="SUV")),"",1+SUMPRODUCT(($G$2:$G$1001="SUV")*($D$2:$D$1001&gt;D980))+COUNTIFS($G$2:G980,"SUV",$D$2:D980,D980)-1)</f>
        <v/>
      </c>
      <c r="O980" s="62" t="str">
        <f>IF(OR(D980="",NOT(AND(F980=1,G980="轿车"))),"",1+SUMPRODUCT(($F$2:$F$1001=1)*($G$2:$G$1001="轿车")*($D$2:$D$1001&gt;D980))+COUNTIFS($F$2:F980,1,$G$2:G980,"轿车",$D$2:D980,D980)-1)</f>
        <v/>
      </c>
      <c r="P980" s="62" t="str">
        <f>IF(OR(D980="",NOT(AND(F980=1,G980="MPV"))),"",1+SUMPRODUCT(($F$2:$F$1001=1)*($G$2:$G$1001="MPV")*($D$2:$D$1001&gt;D980))+COUNTIFS($F$2:F980,1,$G$2:G980,"MPV",$D$2:D980,D980)-1)</f>
        <v/>
      </c>
      <c r="Q980" s="62" t="str">
        <f>IF(OR(D980="",NOT(AND(F980=1,G980="SUV"))),"",1+SUMPRODUCT(($F$2:$F$1001=1)*($G$2:$G$1001="SUV")*($D$2:$D$1001&gt;D980))+COUNTIFS($F$2:F980,1,$G$2:G980,"SUV",$D$2:D980,D980)-1)</f>
        <v/>
      </c>
    </row>
    <row r="981" spans="1:17">
      <c r="A981" s="62" t="str">
        <f>IFERROR(INDEX($H$2:$H$3000,MATCH(0,INDEX(COUNTIF($A$1:A980,$H$2:$H$3000)+($H$2:$H$3000=""),0,0),0)),"")</f>
        <v/>
      </c>
      <c r="B981" s="62" t="str">
        <f t="shared" si="60"/>
        <v/>
      </c>
      <c r="C981" s="62" t="str">
        <f t="shared" si="61"/>
        <v/>
      </c>
      <c r="D981" s="63" t="str">
        <f t="shared" si="62"/>
        <v/>
      </c>
      <c r="E981" s="62" t="str">
        <f>IF(D981="","",_xlfn.RANK.EQ(D981,$D$2:$D$1001,0)+COUNTIF($D$2:D981,D981)-1)</f>
        <v/>
      </c>
      <c r="F981" s="62" t="str">
        <f>IF(B981="","",--(COUNTIF(CN_Brands!$A$2:$A$300,UPPER(B981))&gt;0))</f>
        <v/>
      </c>
      <c r="G981" s="62" t="str">
        <f t="shared" si="63"/>
        <v/>
      </c>
      <c r="H981" s="62" t="str">
        <f>IF(AND('Data Export'!A981=前十整体车型排名!$B$2,'Data Export'!B981=前十整体车型排名!$B$3,'Data Export'!D981&lt;&gt;""),UPPER('Data Export'!C981)&amp;"♦"&amp;'Data Export'!D981,"")</f>
        <v>XPENG♦X9</v>
      </c>
      <c r="I981" s="63">
        <f>IF(H981="","",IFERROR(INDEX('Data Export'!G981:CZ981,1,MATCH(前十整体车型排名!$B$4,'Data Export'!$G$1:$CZ$1,0)),0))</f>
        <v>35</v>
      </c>
      <c r="J981" s="62" t="str">
        <f>IF(H981="","",IF(OR('Data Export'!F981="三厢轿车",'Data Export'!F981="掀背轿车",'Data Export'!F981="旅行车",'Data Export'!F981="微型车",'Data Export'!F981="硬顶跑车",'Data Export'!F981="敞蓬车",'Data Export'!F981="Targa"),"轿车",IF(OR('Data Export'!F981="小型MPV",'Data Export'!F981="客车"),"MPV",IF('Data Export'!F981="运动型多功能车","SUV","其他"))))</f>
        <v>其他</v>
      </c>
      <c r="K981" s="62" t="str">
        <f>IF(OR(D981="",NOT(F981=1)),"",1+SUMPRODUCT(($F$2:$F$1001=1)*($D$2:$D$1001&gt;D981))+COUNTIFS($F$2:F981,1,$D$2:D981,D981)-1)</f>
        <v/>
      </c>
      <c r="L981" s="62" t="str">
        <f>IF(OR(D981="",NOT(G981="轿车")),"",1+SUMPRODUCT(($G$2:$G$1001="轿车")*($D$2:$D$1001&gt;D981))+COUNTIFS($G$2:G981,"轿车",$D$2:D981,D981)-1)</f>
        <v/>
      </c>
      <c r="M981" s="62" t="str">
        <f>IF(OR(D981="",NOT(G981="MPV")),"",1+SUMPRODUCT(($G$2:$G$1001="MPV")*($D$2:$D$1001&gt;D981))+COUNTIFS($G$2:G981,"MPV",$D$2:D981,D981)-1)</f>
        <v/>
      </c>
      <c r="N981" s="62" t="str">
        <f>IF(OR(D981="",NOT(G981="SUV")),"",1+SUMPRODUCT(($G$2:$G$1001="SUV")*($D$2:$D$1001&gt;D981))+COUNTIFS($G$2:G981,"SUV",$D$2:D981,D981)-1)</f>
        <v/>
      </c>
      <c r="O981" s="62" t="str">
        <f>IF(OR(D981="",NOT(AND(F981=1,G981="轿车"))),"",1+SUMPRODUCT(($F$2:$F$1001=1)*($G$2:$G$1001="轿车")*($D$2:$D$1001&gt;D981))+COUNTIFS($F$2:F981,1,$G$2:G981,"轿车",$D$2:D981,D981)-1)</f>
        <v/>
      </c>
      <c r="P981" s="62" t="str">
        <f>IF(OR(D981="",NOT(AND(F981=1,G981="MPV"))),"",1+SUMPRODUCT(($F$2:$F$1001=1)*($G$2:$G$1001="MPV")*($D$2:$D$1001&gt;D981))+COUNTIFS($F$2:F981,1,$G$2:G981,"MPV",$D$2:D981,D981)-1)</f>
        <v/>
      </c>
      <c r="Q981" s="62" t="str">
        <f>IF(OR(D981="",NOT(AND(F981=1,G981="SUV"))),"",1+SUMPRODUCT(($F$2:$F$1001=1)*($G$2:$G$1001="SUV")*($D$2:$D$1001&gt;D981))+COUNTIFS($F$2:F981,1,$G$2:G981,"SUV",$D$2:D981,D981)-1)</f>
        <v/>
      </c>
    </row>
    <row r="982" spans="1:17">
      <c r="A982" s="62" t="str">
        <f>IFERROR(INDEX($H$2:$H$3000,MATCH(0,INDEX(COUNTIF($A$1:A981,$H$2:$H$3000)+($H$2:$H$3000=""),0,0),0)),"")</f>
        <v/>
      </c>
      <c r="B982" s="62" t="str">
        <f t="shared" si="60"/>
        <v/>
      </c>
      <c r="C982" s="62" t="str">
        <f t="shared" si="61"/>
        <v/>
      </c>
      <c r="D982" s="63" t="str">
        <f t="shared" si="62"/>
        <v/>
      </c>
      <c r="E982" s="62" t="str">
        <f>IF(D982="","",_xlfn.RANK.EQ(D982,$D$2:$D$1001,0)+COUNTIF($D$2:D982,D982)-1)</f>
        <v/>
      </c>
      <c r="F982" s="62" t="str">
        <f>IF(B982="","",--(COUNTIF(CN_Brands!$A$2:$A$300,UPPER(B982))&gt;0))</f>
        <v/>
      </c>
      <c r="G982" s="62" t="str">
        <f t="shared" si="63"/>
        <v/>
      </c>
      <c r="H982" s="62" t="str">
        <f>IF(AND('Data Export'!A982=前十整体车型排名!$B$2,'Data Export'!B982=前十整体车型排名!$B$3,'Data Export'!D982&lt;&gt;""),UPPER('Data Export'!C982)&amp;"♦"&amp;'Data Export'!D982,"")</f>
        <v>XPENG♦X9</v>
      </c>
      <c r="I982" s="63">
        <f>IF(H982="","",IFERROR(INDEX('Data Export'!G982:CZ982,1,MATCH(前十整体车型排名!$B$4,'Data Export'!$G$1:$CZ$1,0)),0))</f>
        <v>25</v>
      </c>
      <c r="J982" s="62" t="str">
        <f>IF(H982="","",IF(OR('Data Export'!F982="三厢轿车",'Data Export'!F982="掀背轿车",'Data Export'!F982="旅行车",'Data Export'!F982="微型车",'Data Export'!F982="硬顶跑车",'Data Export'!F982="敞蓬车",'Data Export'!F982="Targa"),"轿车",IF(OR('Data Export'!F982="小型MPV",'Data Export'!F982="客车"),"MPV",IF('Data Export'!F982="运动型多功能车","SUV","其他"))))</f>
        <v>其他</v>
      </c>
      <c r="K982" s="62" t="str">
        <f>IF(OR(D982="",NOT(F982=1)),"",1+SUMPRODUCT(($F$2:$F$1001=1)*($D$2:$D$1001&gt;D982))+COUNTIFS($F$2:F982,1,$D$2:D982,D982)-1)</f>
        <v/>
      </c>
      <c r="L982" s="62" t="str">
        <f>IF(OR(D982="",NOT(G982="轿车")),"",1+SUMPRODUCT(($G$2:$G$1001="轿车")*($D$2:$D$1001&gt;D982))+COUNTIFS($G$2:G982,"轿车",$D$2:D982,D982)-1)</f>
        <v/>
      </c>
      <c r="M982" s="62" t="str">
        <f>IF(OR(D982="",NOT(G982="MPV")),"",1+SUMPRODUCT(($G$2:$G$1001="MPV")*($D$2:$D$1001&gt;D982))+COUNTIFS($G$2:G982,"MPV",$D$2:D982,D982)-1)</f>
        <v/>
      </c>
      <c r="N982" s="62" t="str">
        <f>IF(OR(D982="",NOT(G982="SUV")),"",1+SUMPRODUCT(($G$2:$G$1001="SUV")*($D$2:$D$1001&gt;D982))+COUNTIFS($G$2:G982,"SUV",$D$2:D982,D982)-1)</f>
        <v/>
      </c>
      <c r="O982" s="62" t="str">
        <f>IF(OR(D982="",NOT(AND(F982=1,G982="轿车"))),"",1+SUMPRODUCT(($F$2:$F$1001=1)*($G$2:$G$1001="轿车")*($D$2:$D$1001&gt;D982))+COUNTIFS($F$2:F982,1,$G$2:G982,"轿车",$D$2:D982,D982)-1)</f>
        <v/>
      </c>
      <c r="P982" s="62" t="str">
        <f>IF(OR(D982="",NOT(AND(F982=1,G982="MPV"))),"",1+SUMPRODUCT(($F$2:$F$1001=1)*($G$2:$G$1001="MPV")*($D$2:$D$1001&gt;D982))+COUNTIFS($F$2:F982,1,$G$2:G982,"MPV",$D$2:D982,D982)-1)</f>
        <v/>
      </c>
      <c r="Q982" s="62" t="str">
        <f>IF(OR(D982="",NOT(AND(F982=1,G982="SUV"))),"",1+SUMPRODUCT(($F$2:$F$1001=1)*($G$2:$G$1001="SUV")*($D$2:$D$1001&gt;D982))+COUNTIFS($F$2:F982,1,$G$2:G982,"SUV",$D$2:D982,D982)-1)</f>
        <v/>
      </c>
    </row>
    <row r="983" spans="1:17">
      <c r="A983" s="62" t="str">
        <f>IFERROR(INDEX($H$2:$H$3000,MATCH(0,INDEX(COUNTIF($A$1:A982,$H$2:$H$3000)+($H$2:$H$3000=""),0,0),0)),"")</f>
        <v/>
      </c>
      <c r="B983" s="62" t="str">
        <f t="shared" si="60"/>
        <v/>
      </c>
      <c r="C983" s="62" t="str">
        <f t="shared" si="61"/>
        <v/>
      </c>
      <c r="D983" s="63" t="str">
        <f t="shared" si="62"/>
        <v/>
      </c>
      <c r="E983" s="62" t="str">
        <f>IF(D983="","",_xlfn.RANK.EQ(D983,$D$2:$D$1001,0)+COUNTIF($D$2:D983,D983)-1)</f>
        <v/>
      </c>
      <c r="F983" s="62" t="str">
        <f>IF(B983="","",--(COUNTIF(CN_Brands!$A$2:$A$300,UPPER(B983))&gt;0))</f>
        <v/>
      </c>
      <c r="G983" s="62" t="str">
        <f t="shared" si="63"/>
        <v/>
      </c>
      <c r="H983" s="62" t="str">
        <f>IF(AND('Data Export'!A983=前十整体车型排名!$B$2,'Data Export'!B983=前十整体车型排名!$B$3,'Data Export'!D983&lt;&gt;""),UPPER('Data Export'!C983)&amp;"♦"&amp;'Data Export'!D983,"")</f>
        <v>XPENG♦X9</v>
      </c>
      <c r="I983" s="63">
        <f>IF(H983="","",IFERROR(INDEX('Data Export'!G983:CZ983,1,MATCH(前十整体车型排名!$B$4,'Data Export'!$G$1:$CZ$1,0)),0))</f>
        <v>136</v>
      </c>
      <c r="J983" s="62" t="str">
        <f>IF(H983="","",IF(OR('Data Export'!F983="三厢轿车",'Data Export'!F983="掀背轿车",'Data Export'!F983="旅行车",'Data Export'!F983="微型车",'Data Export'!F983="硬顶跑车",'Data Export'!F983="敞蓬车",'Data Export'!F983="Targa"),"轿车",IF(OR('Data Export'!F983="小型MPV",'Data Export'!F983="客车"),"MPV",IF('Data Export'!F983="运动型多功能车","SUV","其他"))))</f>
        <v>其他</v>
      </c>
      <c r="K983" s="62" t="str">
        <f>IF(OR(D983="",NOT(F983=1)),"",1+SUMPRODUCT(($F$2:$F$1001=1)*($D$2:$D$1001&gt;D983))+COUNTIFS($F$2:F983,1,$D$2:D983,D983)-1)</f>
        <v/>
      </c>
      <c r="L983" s="62" t="str">
        <f>IF(OR(D983="",NOT(G983="轿车")),"",1+SUMPRODUCT(($G$2:$G$1001="轿车")*($D$2:$D$1001&gt;D983))+COUNTIFS($G$2:G983,"轿车",$D$2:D983,D983)-1)</f>
        <v/>
      </c>
      <c r="M983" s="62" t="str">
        <f>IF(OR(D983="",NOT(G983="MPV")),"",1+SUMPRODUCT(($G$2:$G$1001="MPV")*($D$2:$D$1001&gt;D983))+COUNTIFS($G$2:G983,"MPV",$D$2:D983,D983)-1)</f>
        <v/>
      </c>
      <c r="N983" s="62" t="str">
        <f>IF(OR(D983="",NOT(G983="SUV")),"",1+SUMPRODUCT(($G$2:$G$1001="SUV")*($D$2:$D$1001&gt;D983))+COUNTIFS($G$2:G983,"SUV",$D$2:D983,D983)-1)</f>
        <v/>
      </c>
      <c r="O983" s="62" t="str">
        <f>IF(OR(D983="",NOT(AND(F983=1,G983="轿车"))),"",1+SUMPRODUCT(($F$2:$F$1001=1)*($G$2:$G$1001="轿车")*($D$2:$D$1001&gt;D983))+COUNTIFS($F$2:F983,1,$G$2:G983,"轿车",$D$2:D983,D983)-1)</f>
        <v/>
      </c>
      <c r="P983" s="62" t="str">
        <f>IF(OR(D983="",NOT(AND(F983=1,G983="MPV"))),"",1+SUMPRODUCT(($F$2:$F$1001=1)*($G$2:$G$1001="MPV")*($D$2:$D$1001&gt;D983))+COUNTIFS($F$2:F983,1,$G$2:G983,"MPV",$D$2:D983,D983)-1)</f>
        <v/>
      </c>
      <c r="Q983" s="62" t="str">
        <f>IF(OR(D983="",NOT(AND(F983=1,G983="SUV"))),"",1+SUMPRODUCT(($F$2:$F$1001=1)*($G$2:$G$1001="SUV")*($D$2:$D$1001&gt;D983))+COUNTIFS($F$2:F983,1,$G$2:G983,"SUV",$D$2:D983,D983)-1)</f>
        <v/>
      </c>
    </row>
    <row r="984" spans="1:17">
      <c r="A984" s="62" t="str">
        <f>IFERROR(INDEX($H$2:$H$3000,MATCH(0,INDEX(COUNTIF($A$1:A983,$H$2:$H$3000)+($H$2:$H$3000=""),0,0),0)),"")</f>
        <v/>
      </c>
      <c r="B984" s="62" t="str">
        <f t="shared" si="60"/>
        <v/>
      </c>
      <c r="C984" s="62" t="str">
        <f t="shared" si="61"/>
        <v/>
      </c>
      <c r="D984" s="63" t="str">
        <f t="shared" si="62"/>
        <v/>
      </c>
      <c r="E984" s="62" t="str">
        <f>IF(D984="","",_xlfn.RANK.EQ(D984,$D$2:$D$1001,0)+COUNTIF($D$2:D984,D984)-1)</f>
        <v/>
      </c>
      <c r="F984" s="62" t="str">
        <f>IF(B984="","",--(COUNTIF(CN_Brands!$A$2:$A$300,UPPER(B984))&gt;0))</f>
        <v/>
      </c>
      <c r="G984" s="62" t="str">
        <f t="shared" si="63"/>
        <v/>
      </c>
      <c r="H984" s="62" t="str">
        <f>IF(AND('Data Export'!A984=前十整体车型排名!$B$2,'Data Export'!B984=前十整体车型排名!$B$3,'Data Export'!D984&lt;&gt;""),UPPER('Data Export'!C984)&amp;"♦"&amp;'Data Export'!D984,"")</f>
        <v>XPENG♦X9</v>
      </c>
      <c r="I984" s="63">
        <f>IF(H984="","",IFERROR(INDEX('Data Export'!G984:CZ984,1,MATCH(前十整体车型排名!$B$4,'Data Export'!$G$1:$CZ$1,0)),0))</f>
        <v>95</v>
      </c>
      <c r="J984" s="62" t="str">
        <f>IF(H984="","",IF(OR('Data Export'!F984="三厢轿车",'Data Export'!F984="掀背轿车",'Data Export'!F984="旅行车",'Data Export'!F984="微型车",'Data Export'!F984="硬顶跑车",'Data Export'!F984="敞蓬车",'Data Export'!F984="Targa"),"轿车",IF(OR('Data Export'!F984="小型MPV",'Data Export'!F984="客车"),"MPV",IF('Data Export'!F984="运动型多功能车","SUV","其他"))))</f>
        <v>其他</v>
      </c>
      <c r="K984" s="62" t="str">
        <f>IF(OR(D984="",NOT(F984=1)),"",1+SUMPRODUCT(($F$2:$F$1001=1)*($D$2:$D$1001&gt;D984))+COUNTIFS($F$2:F984,1,$D$2:D984,D984)-1)</f>
        <v/>
      </c>
      <c r="L984" s="62" t="str">
        <f>IF(OR(D984="",NOT(G984="轿车")),"",1+SUMPRODUCT(($G$2:$G$1001="轿车")*($D$2:$D$1001&gt;D984))+COUNTIFS($G$2:G984,"轿车",$D$2:D984,D984)-1)</f>
        <v/>
      </c>
      <c r="M984" s="62" t="str">
        <f>IF(OR(D984="",NOT(G984="MPV")),"",1+SUMPRODUCT(($G$2:$G$1001="MPV")*($D$2:$D$1001&gt;D984))+COUNTIFS($G$2:G984,"MPV",$D$2:D984,D984)-1)</f>
        <v/>
      </c>
      <c r="N984" s="62" t="str">
        <f>IF(OR(D984="",NOT(G984="SUV")),"",1+SUMPRODUCT(($G$2:$G$1001="SUV")*($D$2:$D$1001&gt;D984))+COUNTIFS($G$2:G984,"SUV",$D$2:D984,D984)-1)</f>
        <v/>
      </c>
      <c r="O984" s="62" t="str">
        <f>IF(OR(D984="",NOT(AND(F984=1,G984="轿车"))),"",1+SUMPRODUCT(($F$2:$F$1001=1)*($G$2:$G$1001="轿车")*($D$2:$D$1001&gt;D984))+COUNTIFS($F$2:F984,1,$G$2:G984,"轿车",$D$2:D984,D984)-1)</f>
        <v/>
      </c>
      <c r="P984" s="62" t="str">
        <f>IF(OR(D984="",NOT(AND(F984=1,G984="MPV"))),"",1+SUMPRODUCT(($F$2:$F$1001=1)*($G$2:$G$1001="MPV")*($D$2:$D$1001&gt;D984))+COUNTIFS($F$2:F984,1,$G$2:G984,"MPV",$D$2:D984,D984)-1)</f>
        <v/>
      </c>
      <c r="Q984" s="62" t="str">
        <f>IF(OR(D984="",NOT(AND(F984=1,G984="SUV"))),"",1+SUMPRODUCT(($F$2:$F$1001=1)*($G$2:$G$1001="SUV")*($D$2:$D$1001&gt;D984))+COUNTIFS($F$2:F984,1,$G$2:G984,"SUV",$D$2:D984,D984)-1)</f>
        <v/>
      </c>
    </row>
    <row r="985" spans="1:17">
      <c r="A985" s="62" t="str">
        <f>IFERROR(INDEX($H$2:$H$3000,MATCH(0,INDEX(COUNTIF($A$1:A984,$H$2:$H$3000)+($H$2:$H$3000=""),0,0),0)),"")</f>
        <v/>
      </c>
      <c r="B985" s="62" t="str">
        <f t="shared" si="60"/>
        <v/>
      </c>
      <c r="C985" s="62" t="str">
        <f t="shared" si="61"/>
        <v/>
      </c>
      <c r="D985" s="63" t="str">
        <f t="shared" si="62"/>
        <v/>
      </c>
      <c r="E985" s="62" t="str">
        <f>IF(D985="","",_xlfn.RANK.EQ(D985,$D$2:$D$1001,0)+COUNTIF($D$2:D985,D985)-1)</f>
        <v/>
      </c>
      <c r="F985" s="62" t="str">
        <f>IF(B985="","",--(COUNTIF(CN_Brands!$A$2:$A$300,UPPER(B985))&gt;0))</f>
        <v/>
      </c>
      <c r="G985" s="62" t="str">
        <f t="shared" si="63"/>
        <v/>
      </c>
      <c r="H985" s="62" t="str">
        <f>IF(AND('Data Export'!A985=前十整体车型排名!$B$2,'Data Export'!B985=前十整体车型排名!$B$3,'Data Export'!D985&lt;&gt;""),UPPER('Data Export'!C985)&amp;"♦"&amp;'Data Export'!D985,"")</f>
        <v>XPENG♦X9</v>
      </c>
      <c r="I985" s="63">
        <f>IF(H985="","",IFERROR(INDEX('Data Export'!G985:CZ985,1,MATCH(前十整体车型排名!$B$4,'Data Export'!$G$1:$CZ$1,0)),0))</f>
        <v>5</v>
      </c>
      <c r="J985" s="62" t="str">
        <f>IF(H985="","",IF(OR('Data Export'!F985="三厢轿车",'Data Export'!F985="掀背轿车",'Data Export'!F985="旅行车",'Data Export'!F985="微型车",'Data Export'!F985="硬顶跑车",'Data Export'!F985="敞蓬车",'Data Export'!F985="Targa"),"轿车",IF(OR('Data Export'!F985="小型MPV",'Data Export'!F985="客车"),"MPV",IF('Data Export'!F985="运动型多功能车","SUV","其他"))))</f>
        <v>其他</v>
      </c>
      <c r="K985" s="62" t="str">
        <f>IF(OR(D985="",NOT(F985=1)),"",1+SUMPRODUCT(($F$2:$F$1001=1)*($D$2:$D$1001&gt;D985))+COUNTIFS($F$2:F985,1,$D$2:D985,D985)-1)</f>
        <v/>
      </c>
      <c r="L985" s="62" t="str">
        <f>IF(OR(D985="",NOT(G985="轿车")),"",1+SUMPRODUCT(($G$2:$G$1001="轿车")*($D$2:$D$1001&gt;D985))+COUNTIFS($G$2:G985,"轿车",$D$2:D985,D985)-1)</f>
        <v/>
      </c>
      <c r="M985" s="62" t="str">
        <f>IF(OR(D985="",NOT(G985="MPV")),"",1+SUMPRODUCT(($G$2:$G$1001="MPV")*($D$2:$D$1001&gt;D985))+COUNTIFS($G$2:G985,"MPV",$D$2:D985,D985)-1)</f>
        <v/>
      </c>
      <c r="N985" s="62" t="str">
        <f>IF(OR(D985="",NOT(G985="SUV")),"",1+SUMPRODUCT(($G$2:$G$1001="SUV")*($D$2:$D$1001&gt;D985))+COUNTIFS($G$2:G985,"SUV",$D$2:D985,D985)-1)</f>
        <v/>
      </c>
      <c r="O985" s="62" t="str">
        <f>IF(OR(D985="",NOT(AND(F985=1,G985="轿车"))),"",1+SUMPRODUCT(($F$2:$F$1001=1)*($G$2:$G$1001="轿车")*($D$2:$D$1001&gt;D985))+COUNTIFS($F$2:F985,1,$G$2:G985,"轿车",$D$2:D985,D985)-1)</f>
        <v/>
      </c>
      <c r="P985" s="62" t="str">
        <f>IF(OR(D985="",NOT(AND(F985=1,G985="MPV"))),"",1+SUMPRODUCT(($F$2:$F$1001=1)*($G$2:$G$1001="MPV")*($D$2:$D$1001&gt;D985))+COUNTIFS($F$2:F985,1,$G$2:G985,"MPV",$D$2:D985,D985)-1)</f>
        <v/>
      </c>
      <c r="Q985" s="62" t="str">
        <f>IF(OR(D985="",NOT(AND(F985=1,G985="SUV"))),"",1+SUMPRODUCT(($F$2:$F$1001=1)*($G$2:$G$1001="SUV")*($D$2:$D$1001&gt;D985))+COUNTIFS($F$2:F985,1,$G$2:G985,"SUV",$D$2:D985,D985)-1)</f>
        <v/>
      </c>
    </row>
    <row r="986" spans="1:17">
      <c r="A986" s="62" t="str">
        <f>IFERROR(INDEX($H$2:$H$3000,MATCH(0,INDEX(COUNTIF($A$1:A985,$H$2:$H$3000)+($H$2:$H$3000=""),0,0),0)),"")</f>
        <v/>
      </c>
      <c r="B986" s="62" t="str">
        <f t="shared" si="60"/>
        <v/>
      </c>
      <c r="C986" s="62" t="str">
        <f t="shared" si="61"/>
        <v/>
      </c>
      <c r="D986" s="63" t="str">
        <f t="shared" si="62"/>
        <v/>
      </c>
      <c r="E986" s="62" t="str">
        <f>IF(D986="","",_xlfn.RANK.EQ(D986,$D$2:$D$1001,0)+COUNTIF($D$2:D986,D986)-1)</f>
        <v/>
      </c>
      <c r="F986" s="62" t="str">
        <f>IF(B986="","",--(COUNTIF(CN_Brands!$A$2:$A$300,UPPER(B986))&gt;0))</f>
        <v/>
      </c>
      <c r="G986" s="62" t="str">
        <f t="shared" si="63"/>
        <v/>
      </c>
      <c r="H986" s="62" t="str">
        <f>IF(AND('Data Export'!A986=前十整体车型排名!$B$2,'Data Export'!B986=前十整体车型排名!$B$3,'Data Export'!D986&lt;&gt;""),UPPER('Data Export'!C986)&amp;"♦"&amp;'Data Export'!D986,"")</f>
        <v>XPENG♦X9</v>
      </c>
      <c r="I986" s="63">
        <f>IF(H986="","",IFERROR(INDEX('Data Export'!G986:CZ986,1,MATCH(前十整体车型排名!$B$4,'Data Export'!$G$1:$CZ$1,0)),0))</f>
        <v>15</v>
      </c>
      <c r="J986" s="62" t="str">
        <f>IF(H986="","",IF(OR('Data Export'!F986="三厢轿车",'Data Export'!F986="掀背轿车",'Data Export'!F986="旅行车",'Data Export'!F986="微型车",'Data Export'!F986="硬顶跑车",'Data Export'!F986="敞蓬车",'Data Export'!F986="Targa"),"轿车",IF(OR('Data Export'!F986="小型MPV",'Data Export'!F986="客车"),"MPV",IF('Data Export'!F986="运动型多功能车","SUV","其他"))))</f>
        <v>其他</v>
      </c>
      <c r="K986" s="62" t="str">
        <f>IF(OR(D986="",NOT(F986=1)),"",1+SUMPRODUCT(($F$2:$F$1001=1)*($D$2:$D$1001&gt;D986))+COUNTIFS($F$2:F986,1,$D$2:D986,D986)-1)</f>
        <v/>
      </c>
      <c r="L986" s="62" t="str">
        <f>IF(OR(D986="",NOT(G986="轿车")),"",1+SUMPRODUCT(($G$2:$G$1001="轿车")*($D$2:$D$1001&gt;D986))+COUNTIFS($G$2:G986,"轿车",$D$2:D986,D986)-1)</f>
        <v/>
      </c>
      <c r="M986" s="62" t="str">
        <f>IF(OR(D986="",NOT(G986="MPV")),"",1+SUMPRODUCT(($G$2:$G$1001="MPV")*($D$2:$D$1001&gt;D986))+COUNTIFS($G$2:G986,"MPV",$D$2:D986,D986)-1)</f>
        <v/>
      </c>
      <c r="N986" s="62" t="str">
        <f>IF(OR(D986="",NOT(G986="SUV")),"",1+SUMPRODUCT(($G$2:$G$1001="SUV")*($D$2:$D$1001&gt;D986))+COUNTIFS($G$2:G986,"SUV",$D$2:D986,D986)-1)</f>
        <v/>
      </c>
      <c r="O986" s="62" t="str">
        <f>IF(OR(D986="",NOT(AND(F986=1,G986="轿车"))),"",1+SUMPRODUCT(($F$2:$F$1001=1)*($G$2:$G$1001="轿车")*($D$2:$D$1001&gt;D986))+COUNTIFS($F$2:F986,1,$G$2:G986,"轿车",$D$2:D986,D986)-1)</f>
        <v/>
      </c>
      <c r="P986" s="62" t="str">
        <f>IF(OR(D986="",NOT(AND(F986=1,G986="MPV"))),"",1+SUMPRODUCT(($F$2:$F$1001=1)*($G$2:$G$1001="MPV")*($D$2:$D$1001&gt;D986))+COUNTIFS($F$2:F986,1,$G$2:G986,"MPV",$D$2:D986,D986)-1)</f>
        <v/>
      </c>
      <c r="Q986" s="62" t="str">
        <f>IF(OR(D986="",NOT(AND(F986=1,G986="SUV"))),"",1+SUMPRODUCT(($F$2:$F$1001=1)*($G$2:$G$1001="SUV")*($D$2:$D$1001&gt;D986))+COUNTIFS($F$2:F986,1,$G$2:G986,"SUV",$D$2:D986,D986)-1)</f>
        <v/>
      </c>
    </row>
    <row r="987" spans="1:17">
      <c r="A987" s="62" t="str">
        <f>IFERROR(INDEX($H$2:$H$3000,MATCH(0,INDEX(COUNTIF($A$1:A986,$H$2:$H$3000)+($H$2:$H$3000=""),0,0),0)),"")</f>
        <v/>
      </c>
      <c r="B987" s="62" t="str">
        <f t="shared" si="60"/>
        <v/>
      </c>
      <c r="C987" s="62" t="str">
        <f t="shared" si="61"/>
        <v/>
      </c>
      <c r="D987" s="63" t="str">
        <f t="shared" si="62"/>
        <v/>
      </c>
      <c r="E987" s="62" t="str">
        <f>IF(D987="","",_xlfn.RANK.EQ(D987,$D$2:$D$1001,0)+COUNTIF($D$2:D987,D987)-1)</f>
        <v/>
      </c>
      <c r="F987" s="62" t="str">
        <f>IF(B987="","",--(COUNTIF(CN_Brands!$A$2:$A$300,UPPER(B987))&gt;0))</f>
        <v/>
      </c>
      <c r="G987" s="62" t="str">
        <f t="shared" si="63"/>
        <v/>
      </c>
      <c r="H987" s="62" t="str">
        <f>IF(AND('Data Export'!A987=前十整体车型排名!$B$2,'Data Export'!B987=前十整体车型排名!$B$3,'Data Export'!D987&lt;&gt;""),UPPER('Data Export'!C987)&amp;"♦"&amp;'Data Export'!D987,"")</f>
        <v>XPENG♦X9</v>
      </c>
      <c r="I987" s="63">
        <f>IF(H987="","",IFERROR(INDEX('Data Export'!G987:CZ987,1,MATCH(前十整体车型排名!$B$4,'Data Export'!$G$1:$CZ$1,0)),0))</f>
        <v>1</v>
      </c>
      <c r="J987" s="62" t="str">
        <f>IF(H987="","",IF(OR('Data Export'!F987="三厢轿车",'Data Export'!F987="掀背轿车",'Data Export'!F987="旅行车",'Data Export'!F987="微型车",'Data Export'!F987="硬顶跑车",'Data Export'!F987="敞蓬车",'Data Export'!F987="Targa"),"轿车",IF(OR('Data Export'!F987="小型MPV",'Data Export'!F987="客车"),"MPV",IF('Data Export'!F987="运动型多功能车","SUV","其他"))))</f>
        <v>其他</v>
      </c>
      <c r="K987" s="62" t="str">
        <f>IF(OR(D987="",NOT(F987=1)),"",1+SUMPRODUCT(($F$2:$F$1001=1)*($D$2:$D$1001&gt;D987))+COUNTIFS($F$2:F987,1,$D$2:D987,D987)-1)</f>
        <v/>
      </c>
      <c r="L987" s="62" t="str">
        <f>IF(OR(D987="",NOT(G987="轿车")),"",1+SUMPRODUCT(($G$2:$G$1001="轿车")*($D$2:$D$1001&gt;D987))+COUNTIFS($G$2:G987,"轿车",$D$2:D987,D987)-1)</f>
        <v/>
      </c>
      <c r="M987" s="62" t="str">
        <f>IF(OR(D987="",NOT(G987="MPV")),"",1+SUMPRODUCT(($G$2:$G$1001="MPV")*($D$2:$D$1001&gt;D987))+COUNTIFS($G$2:G987,"MPV",$D$2:D987,D987)-1)</f>
        <v/>
      </c>
      <c r="N987" s="62" t="str">
        <f>IF(OR(D987="",NOT(G987="SUV")),"",1+SUMPRODUCT(($G$2:$G$1001="SUV")*($D$2:$D$1001&gt;D987))+COUNTIFS($G$2:G987,"SUV",$D$2:D987,D987)-1)</f>
        <v/>
      </c>
      <c r="O987" s="62" t="str">
        <f>IF(OR(D987="",NOT(AND(F987=1,G987="轿车"))),"",1+SUMPRODUCT(($F$2:$F$1001=1)*($G$2:$G$1001="轿车")*($D$2:$D$1001&gt;D987))+COUNTIFS($F$2:F987,1,$G$2:G987,"轿车",$D$2:D987,D987)-1)</f>
        <v/>
      </c>
      <c r="P987" s="62" t="str">
        <f>IF(OR(D987="",NOT(AND(F987=1,G987="MPV"))),"",1+SUMPRODUCT(($F$2:$F$1001=1)*($G$2:$G$1001="MPV")*($D$2:$D$1001&gt;D987))+COUNTIFS($F$2:F987,1,$G$2:G987,"MPV",$D$2:D987,D987)-1)</f>
        <v/>
      </c>
      <c r="Q987" s="62" t="str">
        <f>IF(OR(D987="",NOT(AND(F987=1,G987="SUV"))),"",1+SUMPRODUCT(($F$2:$F$1001=1)*($G$2:$G$1001="SUV")*($D$2:$D$1001&gt;D987))+COUNTIFS($F$2:F987,1,$G$2:G987,"SUV",$D$2:D987,D987)-1)</f>
        <v/>
      </c>
    </row>
    <row r="988" spans="1:17">
      <c r="A988" s="62" t="str">
        <f>IFERROR(INDEX($H$2:$H$3000,MATCH(0,INDEX(COUNTIF($A$1:A987,$H$2:$H$3000)+($H$2:$H$3000=""),0,0),0)),"")</f>
        <v/>
      </c>
      <c r="B988" s="62" t="str">
        <f t="shared" si="60"/>
        <v/>
      </c>
      <c r="C988" s="62" t="str">
        <f t="shared" si="61"/>
        <v/>
      </c>
      <c r="D988" s="63" t="str">
        <f t="shared" si="62"/>
        <v/>
      </c>
      <c r="E988" s="62" t="str">
        <f>IF(D988="","",_xlfn.RANK.EQ(D988,$D$2:$D$1001,0)+COUNTIF($D$2:D988,D988)-1)</f>
        <v/>
      </c>
      <c r="F988" s="62" t="str">
        <f>IF(B988="","",--(COUNTIF(CN_Brands!$A$2:$A$300,UPPER(B988))&gt;0))</f>
        <v/>
      </c>
      <c r="G988" s="62" t="str">
        <f t="shared" si="63"/>
        <v/>
      </c>
      <c r="H988" s="62" t="str">
        <f>IF(AND('Data Export'!A988=前十整体车型排名!$B$2,'Data Export'!B988=前十整体车型排名!$B$3,'Data Export'!D988&lt;&gt;""),UPPER('Data Export'!C988)&amp;"♦"&amp;'Data Export'!D988,"")</f>
        <v>XPENG♦X9</v>
      </c>
      <c r="I988" s="63">
        <f>IF(H988="","",IFERROR(INDEX('Data Export'!G988:CZ988,1,MATCH(前十整体车型排名!$B$4,'Data Export'!$G$1:$CZ$1,0)),0))</f>
        <v>0</v>
      </c>
      <c r="J988" s="62" t="str">
        <f>IF(H988="","",IF(OR('Data Export'!F988="三厢轿车",'Data Export'!F988="掀背轿车",'Data Export'!F988="旅行车",'Data Export'!F988="微型车",'Data Export'!F988="硬顶跑车",'Data Export'!F988="敞蓬车",'Data Export'!F988="Targa"),"轿车",IF(OR('Data Export'!F988="小型MPV",'Data Export'!F988="客车"),"MPV",IF('Data Export'!F988="运动型多功能车","SUV","其他"))))</f>
        <v>其他</v>
      </c>
      <c r="K988" s="62" t="str">
        <f>IF(OR(D988="",NOT(F988=1)),"",1+SUMPRODUCT(($F$2:$F$1001=1)*($D$2:$D$1001&gt;D988))+COUNTIFS($F$2:F988,1,$D$2:D988,D988)-1)</f>
        <v/>
      </c>
      <c r="L988" s="62" t="str">
        <f>IF(OR(D988="",NOT(G988="轿车")),"",1+SUMPRODUCT(($G$2:$G$1001="轿车")*($D$2:$D$1001&gt;D988))+COUNTIFS($G$2:G988,"轿车",$D$2:D988,D988)-1)</f>
        <v/>
      </c>
      <c r="M988" s="62" t="str">
        <f>IF(OR(D988="",NOT(G988="MPV")),"",1+SUMPRODUCT(($G$2:$G$1001="MPV")*($D$2:$D$1001&gt;D988))+COUNTIFS($G$2:G988,"MPV",$D$2:D988,D988)-1)</f>
        <v/>
      </c>
      <c r="N988" s="62" t="str">
        <f>IF(OR(D988="",NOT(G988="SUV")),"",1+SUMPRODUCT(($G$2:$G$1001="SUV")*($D$2:$D$1001&gt;D988))+COUNTIFS($G$2:G988,"SUV",$D$2:D988,D988)-1)</f>
        <v/>
      </c>
      <c r="O988" s="62" t="str">
        <f>IF(OR(D988="",NOT(AND(F988=1,G988="轿车"))),"",1+SUMPRODUCT(($F$2:$F$1001=1)*($G$2:$G$1001="轿车")*($D$2:$D$1001&gt;D988))+COUNTIFS($F$2:F988,1,$G$2:G988,"轿车",$D$2:D988,D988)-1)</f>
        <v/>
      </c>
      <c r="P988" s="62" t="str">
        <f>IF(OR(D988="",NOT(AND(F988=1,G988="MPV"))),"",1+SUMPRODUCT(($F$2:$F$1001=1)*($G$2:$G$1001="MPV")*($D$2:$D$1001&gt;D988))+COUNTIFS($F$2:F988,1,$G$2:G988,"MPV",$D$2:D988,D988)-1)</f>
        <v/>
      </c>
      <c r="Q988" s="62" t="str">
        <f>IF(OR(D988="",NOT(AND(F988=1,G988="SUV"))),"",1+SUMPRODUCT(($F$2:$F$1001=1)*($G$2:$G$1001="SUV")*($D$2:$D$1001&gt;D988))+COUNTIFS($F$2:F988,1,$G$2:G988,"SUV",$D$2:D988,D988)-1)</f>
        <v/>
      </c>
    </row>
    <row r="989" spans="1:17">
      <c r="A989" s="62" t="str">
        <f>IFERROR(INDEX($H$2:$H$3000,MATCH(0,INDEX(COUNTIF($A$1:A988,$H$2:$H$3000)+($H$2:$H$3000=""),0,0),0)),"")</f>
        <v/>
      </c>
      <c r="B989" s="62" t="str">
        <f t="shared" si="60"/>
        <v/>
      </c>
      <c r="C989" s="62" t="str">
        <f t="shared" si="61"/>
        <v/>
      </c>
      <c r="D989" s="63" t="str">
        <f t="shared" si="62"/>
        <v/>
      </c>
      <c r="E989" s="62" t="str">
        <f>IF(D989="","",_xlfn.RANK.EQ(D989,$D$2:$D$1001,0)+COUNTIF($D$2:D989,D989)-1)</f>
        <v/>
      </c>
      <c r="F989" s="62" t="str">
        <f>IF(B989="","",--(COUNTIF(CN_Brands!$A$2:$A$300,UPPER(B989))&gt;0))</f>
        <v/>
      </c>
      <c r="G989" s="62" t="str">
        <f t="shared" si="63"/>
        <v/>
      </c>
      <c r="H989" s="62" t="str">
        <f>IF(AND('Data Export'!A989=前十整体车型排名!$B$2,'Data Export'!B989=前十整体车型排名!$B$3,'Data Export'!D989&lt;&gt;""),UPPER('Data Export'!C989)&amp;"♦"&amp;'Data Export'!D989,"")</f>
        <v>ZEEKR♦009</v>
      </c>
      <c r="I989" s="63">
        <f>IF(H989="","",IFERROR(INDEX('Data Export'!G989:CZ989,1,MATCH(前十整体车型排名!$B$4,'Data Export'!$G$1:$CZ$1,0)),0))</f>
        <v>251</v>
      </c>
      <c r="J989" s="62" t="str">
        <f>IF(H989="","",IF(OR('Data Export'!F989="三厢轿车",'Data Export'!F989="掀背轿车",'Data Export'!F989="旅行车",'Data Export'!F989="微型车",'Data Export'!F989="硬顶跑车",'Data Export'!F989="敞蓬车",'Data Export'!F989="Targa"),"轿车",IF(OR('Data Export'!F989="小型MPV",'Data Export'!F989="客车"),"MPV",IF('Data Export'!F989="运动型多功能车","SUV","其他"))))</f>
        <v>其他</v>
      </c>
      <c r="K989" s="62" t="str">
        <f>IF(OR(D989="",NOT(F989=1)),"",1+SUMPRODUCT(($F$2:$F$1001=1)*($D$2:$D$1001&gt;D989))+COUNTIFS($F$2:F989,1,$D$2:D989,D989)-1)</f>
        <v/>
      </c>
      <c r="L989" s="62" t="str">
        <f>IF(OR(D989="",NOT(G989="轿车")),"",1+SUMPRODUCT(($G$2:$G$1001="轿车")*($D$2:$D$1001&gt;D989))+COUNTIFS($G$2:G989,"轿车",$D$2:D989,D989)-1)</f>
        <v/>
      </c>
      <c r="M989" s="62" t="str">
        <f>IF(OR(D989="",NOT(G989="MPV")),"",1+SUMPRODUCT(($G$2:$G$1001="MPV")*($D$2:$D$1001&gt;D989))+COUNTIFS($G$2:G989,"MPV",$D$2:D989,D989)-1)</f>
        <v/>
      </c>
      <c r="N989" s="62" t="str">
        <f>IF(OR(D989="",NOT(G989="SUV")),"",1+SUMPRODUCT(($G$2:$G$1001="SUV")*($D$2:$D$1001&gt;D989))+COUNTIFS($G$2:G989,"SUV",$D$2:D989,D989)-1)</f>
        <v/>
      </c>
      <c r="O989" s="62" t="str">
        <f>IF(OR(D989="",NOT(AND(F989=1,G989="轿车"))),"",1+SUMPRODUCT(($F$2:$F$1001=1)*($G$2:$G$1001="轿车")*($D$2:$D$1001&gt;D989))+COUNTIFS($F$2:F989,1,$G$2:G989,"轿车",$D$2:D989,D989)-1)</f>
        <v/>
      </c>
      <c r="P989" s="62" t="str">
        <f>IF(OR(D989="",NOT(AND(F989=1,G989="MPV"))),"",1+SUMPRODUCT(($F$2:$F$1001=1)*($G$2:$G$1001="MPV")*($D$2:$D$1001&gt;D989))+COUNTIFS($F$2:F989,1,$G$2:G989,"MPV",$D$2:D989,D989)-1)</f>
        <v/>
      </c>
      <c r="Q989" s="62" t="str">
        <f>IF(OR(D989="",NOT(AND(F989=1,G989="SUV"))),"",1+SUMPRODUCT(($F$2:$F$1001=1)*($G$2:$G$1001="SUV")*($D$2:$D$1001&gt;D989))+COUNTIFS($F$2:F989,1,$G$2:G989,"SUV",$D$2:D989,D989)-1)</f>
        <v/>
      </c>
    </row>
    <row r="990" spans="1:17">
      <c r="A990" s="62" t="str">
        <f>IFERROR(INDEX($H$2:$H$3000,MATCH(0,INDEX(COUNTIF($A$1:A989,$H$2:$H$3000)+($H$2:$H$3000=""),0,0),0)),"")</f>
        <v/>
      </c>
      <c r="B990" s="62" t="str">
        <f t="shared" si="60"/>
        <v/>
      </c>
      <c r="C990" s="62" t="str">
        <f t="shared" si="61"/>
        <v/>
      </c>
      <c r="D990" s="63" t="str">
        <f t="shared" si="62"/>
        <v/>
      </c>
      <c r="E990" s="62" t="str">
        <f>IF(D990="","",_xlfn.RANK.EQ(D990,$D$2:$D$1001,0)+COUNTIF($D$2:D990,D990)-1)</f>
        <v/>
      </c>
      <c r="F990" s="62" t="str">
        <f>IF(B990="","",--(COUNTIF(CN_Brands!$A$2:$A$300,UPPER(B990))&gt;0))</f>
        <v/>
      </c>
      <c r="G990" s="62" t="str">
        <f t="shared" si="63"/>
        <v/>
      </c>
      <c r="H990" s="62" t="str">
        <f>IF(AND('Data Export'!A990=前十整体车型排名!$B$2,'Data Export'!B990=前十整体车型排名!$B$3,'Data Export'!D990&lt;&gt;""),UPPER('Data Export'!C990)&amp;"♦"&amp;'Data Export'!D990,"")</f>
        <v>ZEEKR♦7X</v>
      </c>
      <c r="I990" s="63">
        <f>IF(H990="","",IFERROR(INDEX('Data Export'!G990:CZ990,1,MATCH(前十整体车型排名!$B$4,'Data Export'!$G$1:$CZ$1,0)),0))</f>
        <v>244</v>
      </c>
      <c r="J990" s="62" t="str">
        <f>IF(H990="","",IF(OR('Data Export'!F990="三厢轿车",'Data Export'!F990="掀背轿车",'Data Export'!F990="旅行车",'Data Export'!F990="微型车",'Data Export'!F990="硬顶跑车",'Data Export'!F990="敞蓬车",'Data Export'!F990="Targa"),"轿车",IF(OR('Data Export'!F990="小型MPV",'Data Export'!F990="客车"),"MPV",IF('Data Export'!F990="运动型多功能车","SUV","其他"))))</f>
        <v>SUV</v>
      </c>
      <c r="K990" s="62" t="str">
        <f>IF(OR(D990="",NOT(F990=1)),"",1+SUMPRODUCT(($F$2:$F$1001=1)*($D$2:$D$1001&gt;D990))+COUNTIFS($F$2:F990,1,$D$2:D990,D990)-1)</f>
        <v/>
      </c>
      <c r="L990" s="62" t="str">
        <f>IF(OR(D990="",NOT(G990="轿车")),"",1+SUMPRODUCT(($G$2:$G$1001="轿车")*($D$2:$D$1001&gt;D990))+COUNTIFS($G$2:G990,"轿车",$D$2:D990,D990)-1)</f>
        <v/>
      </c>
      <c r="M990" s="62" t="str">
        <f>IF(OR(D990="",NOT(G990="MPV")),"",1+SUMPRODUCT(($G$2:$G$1001="MPV")*($D$2:$D$1001&gt;D990))+COUNTIFS($G$2:G990,"MPV",$D$2:D990,D990)-1)</f>
        <v/>
      </c>
      <c r="N990" s="62" t="str">
        <f>IF(OR(D990="",NOT(G990="SUV")),"",1+SUMPRODUCT(($G$2:$G$1001="SUV")*($D$2:$D$1001&gt;D990))+COUNTIFS($G$2:G990,"SUV",$D$2:D990,D990)-1)</f>
        <v/>
      </c>
      <c r="O990" s="62" t="str">
        <f>IF(OR(D990="",NOT(AND(F990=1,G990="轿车"))),"",1+SUMPRODUCT(($F$2:$F$1001=1)*($G$2:$G$1001="轿车")*($D$2:$D$1001&gt;D990))+COUNTIFS($F$2:F990,1,$G$2:G990,"轿车",$D$2:D990,D990)-1)</f>
        <v/>
      </c>
      <c r="P990" s="62" t="str">
        <f>IF(OR(D990="",NOT(AND(F990=1,G990="MPV"))),"",1+SUMPRODUCT(($F$2:$F$1001=1)*($G$2:$G$1001="MPV")*($D$2:$D$1001&gt;D990))+COUNTIFS($F$2:F990,1,$G$2:G990,"MPV",$D$2:D990,D990)-1)</f>
        <v/>
      </c>
      <c r="Q990" s="62" t="str">
        <f>IF(OR(D990="",NOT(AND(F990=1,G990="SUV"))),"",1+SUMPRODUCT(($F$2:$F$1001=1)*($G$2:$G$1001="SUV")*($D$2:$D$1001&gt;D990))+COUNTIFS($F$2:F990,1,$G$2:G990,"SUV",$D$2:D990,D990)-1)</f>
        <v/>
      </c>
    </row>
    <row r="991" spans="1:17">
      <c r="A991" s="62" t="str">
        <f>IFERROR(INDEX($H$2:$H$3000,MATCH(0,INDEX(COUNTIF($A$1:A990,$H$2:$H$3000)+($H$2:$H$3000=""),0,0),0)),"")</f>
        <v/>
      </c>
      <c r="B991" s="62" t="str">
        <f t="shared" si="60"/>
        <v/>
      </c>
      <c r="C991" s="62" t="str">
        <f t="shared" si="61"/>
        <v/>
      </c>
      <c r="D991" s="63" t="str">
        <f t="shared" si="62"/>
        <v/>
      </c>
      <c r="E991" s="62" t="str">
        <f>IF(D991="","",_xlfn.RANK.EQ(D991,$D$2:$D$1001,0)+COUNTIF($D$2:D991,D991)-1)</f>
        <v/>
      </c>
      <c r="F991" s="62" t="str">
        <f>IF(B991="","",--(COUNTIF(CN_Brands!$A$2:$A$300,UPPER(B991))&gt;0))</f>
        <v/>
      </c>
      <c r="G991" s="62" t="str">
        <f t="shared" si="63"/>
        <v/>
      </c>
      <c r="H991" s="62" t="str">
        <f>IF(AND('Data Export'!A991=前十整体车型排名!$B$2,'Data Export'!B991=前十整体车型排名!$B$3,'Data Export'!D991&lt;&gt;""),UPPER('Data Export'!C991)&amp;"♦"&amp;'Data Export'!D991,"")</f>
        <v>ZEEKR♦X</v>
      </c>
      <c r="I991" s="63">
        <f>IF(H991="","",IFERROR(INDEX('Data Export'!G991:CZ991,1,MATCH(前十整体车型排名!$B$4,'Data Export'!$G$1:$CZ$1,0)),0))</f>
        <v>227</v>
      </c>
      <c r="J991" s="62" t="str">
        <f>IF(H991="","",IF(OR('Data Export'!F991="三厢轿车",'Data Export'!F991="掀背轿车",'Data Export'!F991="旅行车",'Data Export'!F991="微型车",'Data Export'!F991="硬顶跑车",'Data Export'!F991="敞蓬车",'Data Export'!F991="Targa"),"轿车",IF(OR('Data Export'!F991="小型MPV",'Data Export'!F991="客车"),"MPV",IF('Data Export'!F991="运动型多功能车","SUV","其他"))))</f>
        <v>SUV</v>
      </c>
      <c r="K991" s="62" t="str">
        <f>IF(OR(D991="",NOT(F991=1)),"",1+SUMPRODUCT(($F$2:$F$1001=1)*($D$2:$D$1001&gt;D991))+COUNTIFS($F$2:F991,1,$D$2:D991,D991)-1)</f>
        <v/>
      </c>
      <c r="L991" s="62" t="str">
        <f>IF(OR(D991="",NOT(G991="轿车")),"",1+SUMPRODUCT(($G$2:$G$1001="轿车")*($D$2:$D$1001&gt;D991))+COUNTIFS($G$2:G991,"轿车",$D$2:D991,D991)-1)</f>
        <v/>
      </c>
      <c r="M991" s="62" t="str">
        <f>IF(OR(D991="",NOT(G991="MPV")),"",1+SUMPRODUCT(($G$2:$G$1001="MPV")*($D$2:$D$1001&gt;D991))+COUNTIFS($G$2:G991,"MPV",$D$2:D991,D991)-1)</f>
        <v/>
      </c>
      <c r="N991" s="62" t="str">
        <f>IF(OR(D991="",NOT(G991="SUV")),"",1+SUMPRODUCT(($G$2:$G$1001="SUV")*($D$2:$D$1001&gt;D991))+COUNTIFS($G$2:G991,"SUV",$D$2:D991,D991)-1)</f>
        <v/>
      </c>
      <c r="O991" s="62" t="str">
        <f>IF(OR(D991="",NOT(AND(F991=1,G991="轿车"))),"",1+SUMPRODUCT(($F$2:$F$1001=1)*($G$2:$G$1001="轿车")*($D$2:$D$1001&gt;D991))+COUNTIFS($F$2:F991,1,$G$2:G991,"轿车",$D$2:D991,D991)-1)</f>
        <v/>
      </c>
      <c r="P991" s="62" t="str">
        <f>IF(OR(D991="",NOT(AND(F991=1,G991="MPV"))),"",1+SUMPRODUCT(($F$2:$F$1001=1)*($G$2:$G$1001="MPV")*($D$2:$D$1001&gt;D991))+COUNTIFS($F$2:F991,1,$G$2:G991,"MPV",$D$2:D991,D991)-1)</f>
        <v/>
      </c>
      <c r="Q991" s="62" t="str">
        <f>IF(OR(D991="",NOT(AND(F991=1,G991="SUV"))),"",1+SUMPRODUCT(($F$2:$F$1001=1)*($G$2:$G$1001="SUV")*($D$2:$D$1001&gt;D991))+COUNTIFS($F$2:F991,1,$G$2:G991,"SUV",$D$2:D991,D991)-1)</f>
        <v/>
      </c>
    </row>
    <row r="992" spans="1:17">
      <c r="A992" s="62" t="str">
        <f>IFERROR(INDEX($H$2:$H$3000,MATCH(0,INDEX(COUNTIF($A$1:A991,$H$2:$H$3000)+($H$2:$H$3000=""),0,0),0)),"")</f>
        <v/>
      </c>
      <c r="B992" s="62" t="str">
        <f t="shared" si="60"/>
        <v/>
      </c>
      <c r="C992" s="62" t="str">
        <f t="shared" si="61"/>
        <v/>
      </c>
      <c r="D992" s="63" t="str">
        <f t="shared" si="62"/>
        <v/>
      </c>
      <c r="E992" s="62" t="str">
        <f>IF(D992="","",_xlfn.RANK.EQ(D992,$D$2:$D$1001,0)+COUNTIF($D$2:D992,D992)-1)</f>
        <v/>
      </c>
      <c r="F992" s="62" t="str">
        <f>IF(B992="","",--(COUNTIF(CN_Brands!$A$2:$A$300,UPPER(B992))&gt;0))</f>
        <v/>
      </c>
      <c r="G992" s="62" t="str">
        <f t="shared" si="63"/>
        <v/>
      </c>
      <c r="H992" s="62" t="str">
        <f>IF(AND('Data Export'!A992=前十整体车型排名!$B$2,'Data Export'!B992=前十整体车型排名!$B$3,'Data Export'!D992&lt;&gt;""),UPPER('Data Export'!C992)&amp;"♦"&amp;'Data Export'!D992,"")</f>
        <v>ZXAUTO♦OTHER</v>
      </c>
      <c r="I992" s="63">
        <f>IF(H992="","",IFERROR(INDEX('Data Export'!G992:CZ992,1,MATCH(前十整体车型排名!$B$4,'Data Export'!$G$1:$CZ$1,0)),0))</f>
        <v>0</v>
      </c>
      <c r="J992" s="62" t="str">
        <f>IF(H992="","",IF(OR('Data Export'!F992="三厢轿车",'Data Export'!F992="掀背轿车",'Data Export'!F992="旅行车",'Data Export'!F992="微型车",'Data Export'!F992="硬顶跑车",'Data Export'!F992="敞蓬车",'Data Export'!F992="Targa"),"轿车",IF(OR('Data Export'!F992="小型MPV",'Data Export'!F992="客车"),"MPV",IF('Data Export'!F992="运动型多功能车","SUV","其他"))))</f>
        <v>其他</v>
      </c>
      <c r="K992" s="62" t="str">
        <f>IF(OR(D992="",NOT(F992=1)),"",1+SUMPRODUCT(($F$2:$F$1001=1)*($D$2:$D$1001&gt;D992))+COUNTIFS($F$2:F992,1,$D$2:D992,D992)-1)</f>
        <v/>
      </c>
      <c r="L992" s="62" t="str">
        <f>IF(OR(D992="",NOT(G992="轿车")),"",1+SUMPRODUCT(($G$2:$G$1001="轿车")*($D$2:$D$1001&gt;D992))+COUNTIFS($G$2:G992,"轿车",$D$2:D992,D992)-1)</f>
        <v/>
      </c>
      <c r="M992" s="62" t="str">
        <f>IF(OR(D992="",NOT(G992="MPV")),"",1+SUMPRODUCT(($G$2:$G$1001="MPV")*($D$2:$D$1001&gt;D992))+COUNTIFS($G$2:G992,"MPV",$D$2:D992,D992)-1)</f>
        <v/>
      </c>
      <c r="N992" s="62" t="str">
        <f>IF(OR(D992="",NOT(G992="SUV")),"",1+SUMPRODUCT(($G$2:$G$1001="SUV")*($D$2:$D$1001&gt;D992))+COUNTIFS($G$2:G992,"SUV",$D$2:D992,D992)-1)</f>
        <v/>
      </c>
      <c r="O992" s="62" t="str">
        <f>IF(OR(D992="",NOT(AND(F992=1,G992="轿车"))),"",1+SUMPRODUCT(($F$2:$F$1001=1)*($G$2:$G$1001="轿车")*($D$2:$D$1001&gt;D992))+COUNTIFS($F$2:F992,1,$G$2:G992,"轿车",$D$2:D992,D992)-1)</f>
        <v/>
      </c>
      <c r="P992" s="62" t="str">
        <f>IF(OR(D992="",NOT(AND(F992=1,G992="MPV"))),"",1+SUMPRODUCT(($F$2:$F$1001=1)*($G$2:$G$1001="MPV")*($D$2:$D$1001&gt;D992))+COUNTIFS($F$2:F992,1,$G$2:G992,"MPV",$D$2:D992,D992)-1)</f>
        <v/>
      </c>
      <c r="Q992" s="62" t="str">
        <f>IF(OR(D992="",NOT(AND(F992=1,G992="SUV"))),"",1+SUMPRODUCT(($F$2:$F$1001=1)*($G$2:$G$1001="SUV")*($D$2:$D$1001&gt;D992))+COUNTIFS($F$2:F992,1,$G$2:G992,"SUV",$D$2:D992,D992)-1)</f>
        <v/>
      </c>
    </row>
    <row r="993" spans="1:17">
      <c r="A993" s="62" t="str">
        <f>IFERROR(INDEX($H$2:$H$3000,MATCH(0,INDEX(COUNTIF($A$1:A992,$H$2:$H$3000)+($H$2:$H$3000=""),0,0),0)),"")</f>
        <v/>
      </c>
      <c r="B993" s="62" t="str">
        <f t="shared" si="60"/>
        <v/>
      </c>
      <c r="C993" s="62" t="str">
        <f t="shared" si="61"/>
        <v/>
      </c>
      <c r="D993" s="63" t="str">
        <f t="shared" si="62"/>
        <v/>
      </c>
      <c r="E993" s="62" t="str">
        <f>IF(D993="","",_xlfn.RANK.EQ(D993,$D$2:$D$1001,0)+COUNTIF($D$2:D993,D993)-1)</f>
        <v/>
      </c>
      <c r="F993" s="62" t="str">
        <f>IF(B993="","",--(COUNTIF(CN_Brands!$A$2:$A$300,UPPER(B993))&gt;0))</f>
        <v/>
      </c>
      <c r="G993" s="62" t="str">
        <f t="shared" si="63"/>
        <v/>
      </c>
      <c r="H993" s="62" t="str">
        <f>IF(AND('Data Export'!A993=前十整体车型排名!$B$2,'Data Export'!B993=前十整体车型排名!$B$3,'Data Export'!D993&lt;&gt;""),UPPER('Data Export'!C993)&amp;"♦"&amp;'Data Export'!D993,"")</f>
        <v/>
      </c>
      <c r="I993" s="63" t="str">
        <f>IF(H993="","",IFERROR(INDEX('Data Export'!G993:CZ993,1,MATCH(前十整体车型排名!$B$4,'Data Export'!$G$1:$CZ$1,0)),0))</f>
        <v/>
      </c>
      <c r="J993" s="62" t="str">
        <f>IF(H993="","",IF(OR('Data Export'!F993="三厢轿车",'Data Export'!F993="掀背轿车",'Data Export'!F993="旅行车",'Data Export'!F993="微型车",'Data Export'!F993="硬顶跑车",'Data Export'!F993="敞蓬车",'Data Export'!F993="Targa"),"轿车",IF(OR('Data Export'!F993="小型MPV",'Data Export'!F993="客车"),"MPV",IF('Data Export'!F993="运动型多功能车","SUV","其他"))))</f>
        <v/>
      </c>
      <c r="K993" s="62" t="str">
        <f>IF(OR(D993="",NOT(F993=1)),"",1+SUMPRODUCT(($F$2:$F$1001=1)*($D$2:$D$1001&gt;D993))+COUNTIFS($F$2:F993,1,$D$2:D993,D993)-1)</f>
        <v/>
      </c>
      <c r="L993" s="62" t="str">
        <f>IF(OR(D993="",NOT(G993="轿车")),"",1+SUMPRODUCT(($G$2:$G$1001="轿车")*($D$2:$D$1001&gt;D993))+COUNTIFS($G$2:G993,"轿车",$D$2:D993,D993)-1)</f>
        <v/>
      </c>
      <c r="M993" s="62" t="str">
        <f>IF(OR(D993="",NOT(G993="MPV")),"",1+SUMPRODUCT(($G$2:$G$1001="MPV")*($D$2:$D$1001&gt;D993))+COUNTIFS($G$2:G993,"MPV",$D$2:D993,D993)-1)</f>
        <v/>
      </c>
      <c r="N993" s="62" t="str">
        <f>IF(OR(D993="",NOT(G993="SUV")),"",1+SUMPRODUCT(($G$2:$G$1001="SUV")*($D$2:$D$1001&gt;D993))+COUNTIFS($G$2:G993,"SUV",$D$2:D993,D993)-1)</f>
        <v/>
      </c>
      <c r="O993" s="62" t="str">
        <f>IF(OR(D993="",NOT(AND(F993=1,G993="轿车"))),"",1+SUMPRODUCT(($F$2:$F$1001=1)*($G$2:$G$1001="轿车")*($D$2:$D$1001&gt;D993))+COUNTIFS($F$2:F993,1,$G$2:G993,"轿车",$D$2:D993,D993)-1)</f>
        <v/>
      </c>
      <c r="P993" s="62" t="str">
        <f>IF(OR(D993="",NOT(AND(F993=1,G993="MPV"))),"",1+SUMPRODUCT(($F$2:$F$1001=1)*($G$2:$G$1001="MPV")*($D$2:$D$1001&gt;D993))+COUNTIFS($F$2:F993,1,$G$2:G993,"MPV",$D$2:D993,D993)-1)</f>
        <v/>
      </c>
      <c r="Q993" s="62" t="str">
        <f>IF(OR(D993="",NOT(AND(F993=1,G993="SUV"))),"",1+SUMPRODUCT(($F$2:$F$1001=1)*($G$2:$G$1001="SUV")*($D$2:$D$1001&gt;D993))+COUNTIFS($F$2:F993,1,$G$2:G993,"SUV",$D$2:D993,D993)-1)</f>
        <v/>
      </c>
    </row>
    <row r="994" spans="1:17">
      <c r="A994" s="62" t="str">
        <f>IFERROR(INDEX($H$2:$H$3000,MATCH(0,INDEX(COUNTIF($A$1:A993,$H$2:$H$3000)+($H$2:$H$3000=""),0,0),0)),"")</f>
        <v/>
      </c>
      <c r="B994" s="62" t="str">
        <f t="shared" si="60"/>
        <v/>
      </c>
      <c r="C994" s="62" t="str">
        <f t="shared" si="61"/>
        <v/>
      </c>
      <c r="D994" s="63" t="str">
        <f t="shared" si="62"/>
        <v/>
      </c>
      <c r="E994" s="62" t="str">
        <f>IF(D994="","",_xlfn.RANK.EQ(D994,$D$2:$D$1001,0)+COUNTIF($D$2:D994,D994)-1)</f>
        <v/>
      </c>
      <c r="F994" s="62" t="str">
        <f>IF(B994="","",--(COUNTIF(CN_Brands!$A$2:$A$300,UPPER(B994))&gt;0))</f>
        <v/>
      </c>
      <c r="G994" s="62" t="str">
        <f t="shared" si="63"/>
        <v/>
      </c>
      <c r="H994" s="62" t="str">
        <f>IF(AND('Data Export'!A994=前十整体车型排名!$B$2,'Data Export'!B994=前十整体车型排名!$B$3,'Data Export'!D994&lt;&gt;""),UPPER('Data Export'!C994)&amp;"♦"&amp;'Data Export'!D994,"")</f>
        <v/>
      </c>
      <c r="I994" s="63" t="str">
        <f>IF(H994="","",IFERROR(INDEX('Data Export'!G994:CZ994,1,MATCH(前十整体车型排名!$B$4,'Data Export'!$G$1:$CZ$1,0)),0))</f>
        <v/>
      </c>
      <c r="J994" s="62" t="str">
        <f>IF(H994="","",IF(OR('Data Export'!F994="三厢轿车",'Data Export'!F994="掀背轿车",'Data Export'!F994="旅行车",'Data Export'!F994="微型车",'Data Export'!F994="硬顶跑车",'Data Export'!F994="敞蓬车",'Data Export'!F994="Targa"),"轿车",IF(OR('Data Export'!F994="小型MPV",'Data Export'!F994="客车"),"MPV",IF('Data Export'!F994="运动型多功能车","SUV","其他"))))</f>
        <v/>
      </c>
      <c r="K994" s="62" t="str">
        <f>IF(OR(D994="",NOT(F994=1)),"",1+SUMPRODUCT(($F$2:$F$1001=1)*($D$2:$D$1001&gt;D994))+COUNTIFS($F$2:F994,1,$D$2:D994,D994)-1)</f>
        <v/>
      </c>
      <c r="L994" s="62" t="str">
        <f>IF(OR(D994="",NOT(G994="轿车")),"",1+SUMPRODUCT(($G$2:$G$1001="轿车")*($D$2:$D$1001&gt;D994))+COUNTIFS($G$2:G994,"轿车",$D$2:D994,D994)-1)</f>
        <v/>
      </c>
      <c r="M994" s="62" t="str">
        <f>IF(OR(D994="",NOT(G994="MPV")),"",1+SUMPRODUCT(($G$2:$G$1001="MPV")*($D$2:$D$1001&gt;D994))+COUNTIFS($G$2:G994,"MPV",$D$2:D994,D994)-1)</f>
        <v/>
      </c>
      <c r="N994" s="62" t="str">
        <f>IF(OR(D994="",NOT(G994="SUV")),"",1+SUMPRODUCT(($G$2:$G$1001="SUV")*($D$2:$D$1001&gt;D994))+COUNTIFS($G$2:G994,"SUV",$D$2:D994,D994)-1)</f>
        <v/>
      </c>
      <c r="O994" s="62" t="str">
        <f>IF(OR(D994="",NOT(AND(F994=1,G994="轿车"))),"",1+SUMPRODUCT(($F$2:$F$1001=1)*($G$2:$G$1001="轿车")*($D$2:$D$1001&gt;D994))+COUNTIFS($F$2:F994,1,$G$2:G994,"轿车",$D$2:D994,D994)-1)</f>
        <v/>
      </c>
      <c r="P994" s="62" t="str">
        <f>IF(OR(D994="",NOT(AND(F994=1,G994="MPV"))),"",1+SUMPRODUCT(($F$2:$F$1001=1)*($G$2:$G$1001="MPV")*($D$2:$D$1001&gt;D994))+COUNTIFS($F$2:F994,1,$G$2:G994,"MPV",$D$2:D994,D994)-1)</f>
        <v/>
      </c>
      <c r="Q994" s="62" t="str">
        <f>IF(OR(D994="",NOT(AND(F994=1,G994="SUV"))),"",1+SUMPRODUCT(($F$2:$F$1001=1)*($G$2:$G$1001="SUV")*($D$2:$D$1001&gt;D994))+COUNTIFS($F$2:F994,1,$G$2:G994,"SUV",$D$2:D994,D994)-1)</f>
        <v/>
      </c>
    </row>
    <row r="995" spans="1:17">
      <c r="A995" s="62" t="str">
        <f>IFERROR(INDEX($H$2:$H$3000,MATCH(0,INDEX(COUNTIF($A$1:A994,$H$2:$H$3000)+($H$2:$H$3000=""),0,0),0)),"")</f>
        <v/>
      </c>
      <c r="B995" s="62" t="str">
        <f t="shared" si="60"/>
        <v/>
      </c>
      <c r="C995" s="62" t="str">
        <f t="shared" si="61"/>
        <v/>
      </c>
      <c r="D995" s="63" t="str">
        <f t="shared" si="62"/>
        <v/>
      </c>
      <c r="E995" s="62" t="str">
        <f>IF(D995="","",_xlfn.RANK.EQ(D995,$D$2:$D$1001,0)+COUNTIF($D$2:D995,D995)-1)</f>
        <v/>
      </c>
      <c r="F995" s="62" t="str">
        <f>IF(B995="","",--(COUNTIF(CN_Brands!$A$2:$A$300,UPPER(B995))&gt;0))</f>
        <v/>
      </c>
      <c r="G995" s="62" t="str">
        <f t="shared" si="63"/>
        <v/>
      </c>
      <c r="H995" s="62" t="str">
        <f>IF(AND('Data Export'!A995=前十整体车型排名!$B$2,'Data Export'!B995=前十整体车型排名!$B$3,'Data Export'!D995&lt;&gt;""),UPPER('Data Export'!C995)&amp;"♦"&amp;'Data Export'!D995,"")</f>
        <v/>
      </c>
      <c r="I995" s="63" t="str">
        <f>IF(H995="","",IFERROR(INDEX('Data Export'!G995:CZ995,1,MATCH(前十整体车型排名!$B$4,'Data Export'!$G$1:$CZ$1,0)),0))</f>
        <v/>
      </c>
      <c r="J995" s="62" t="str">
        <f>IF(H995="","",IF(OR('Data Export'!F995="三厢轿车",'Data Export'!F995="掀背轿车",'Data Export'!F995="旅行车",'Data Export'!F995="微型车",'Data Export'!F995="硬顶跑车",'Data Export'!F995="敞蓬车",'Data Export'!F995="Targa"),"轿车",IF(OR('Data Export'!F995="小型MPV",'Data Export'!F995="客车"),"MPV",IF('Data Export'!F995="运动型多功能车","SUV","其他"))))</f>
        <v/>
      </c>
      <c r="K995" s="62" t="str">
        <f>IF(OR(D995="",NOT(F995=1)),"",1+SUMPRODUCT(($F$2:$F$1001=1)*($D$2:$D$1001&gt;D995))+COUNTIFS($F$2:F995,1,$D$2:D995,D995)-1)</f>
        <v/>
      </c>
      <c r="L995" s="62" t="str">
        <f>IF(OR(D995="",NOT(G995="轿车")),"",1+SUMPRODUCT(($G$2:$G$1001="轿车")*($D$2:$D$1001&gt;D995))+COUNTIFS($G$2:G995,"轿车",$D$2:D995,D995)-1)</f>
        <v/>
      </c>
      <c r="M995" s="62" t="str">
        <f>IF(OR(D995="",NOT(G995="MPV")),"",1+SUMPRODUCT(($G$2:$G$1001="MPV")*($D$2:$D$1001&gt;D995))+COUNTIFS($G$2:G995,"MPV",$D$2:D995,D995)-1)</f>
        <v/>
      </c>
      <c r="N995" s="62" t="str">
        <f>IF(OR(D995="",NOT(G995="SUV")),"",1+SUMPRODUCT(($G$2:$G$1001="SUV")*($D$2:$D$1001&gt;D995))+COUNTIFS($G$2:G995,"SUV",$D$2:D995,D995)-1)</f>
        <v/>
      </c>
      <c r="O995" s="62" t="str">
        <f>IF(OR(D995="",NOT(AND(F995=1,G995="轿车"))),"",1+SUMPRODUCT(($F$2:$F$1001=1)*($G$2:$G$1001="轿车")*($D$2:$D$1001&gt;D995))+COUNTIFS($F$2:F995,1,$G$2:G995,"轿车",$D$2:D995,D995)-1)</f>
        <v/>
      </c>
      <c r="P995" s="62" t="str">
        <f>IF(OR(D995="",NOT(AND(F995=1,G995="MPV"))),"",1+SUMPRODUCT(($F$2:$F$1001=1)*($G$2:$G$1001="MPV")*($D$2:$D$1001&gt;D995))+COUNTIFS($F$2:F995,1,$G$2:G995,"MPV",$D$2:D995,D995)-1)</f>
        <v/>
      </c>
      <c r="Q995" s="62" t="str">
        <f>IF(OR(D995="",NOT(AND(F995=1,G995="SUV"))),"",1+SUMPRODUCT(($F$2:$F$1001=1)*($G$2:$G$1001="SUV")*($D$2:$D$1001&gt;D995))+COUNTIFS($F$2:F995,1,$G$2:G995,"SUV",$D$2:D995,D995)-1)</f>
        <v/>
      </c>
    </row>
    <row r="996" spans="1:17">
      <c r="A996" s="62" t="str">
        <f>IFERROR(INDEX($H$2:$H$3000,MATCH(0,INDEX(COUNTIF($A$1:A995,$H$2:$H$3000)+($H$2:$H$3000=""),0,0),0)),"")</f>
        <v/>
      </c>
      <c r="B996" s="62" t="str">
        <f t="shared" si="60"/>
        <v/>
      </c>
      <c r="C996" s="62" t="str">
        <f t="shared" si="61"/>
        <v/>
      </c>
      <c r="D996" s="63" t="str">
        <f t="shared" si="62"/>
        <v/>
      </c>
      <c r="E996" s="62" t="str">
        <f>IF(D996="","",_xlfn.RANK.EQ(D996,$D$2:$D$1001,0)+COUNTIF($D$2:D996,D996)-1)</f>
        <v/>
      </c>
      <c r="F996" s="62" t="str">
        <f>IF(B996="","",--(COUNTIF(CN_Brands!$A$2:$A$300,UPPER(B996))&gt;0))</f>
        <v/>
      </c>
      <c r="G996" s="62" t="str">
        <f t="shared" si="63"/>
        <v/>
      </c>
      <c r="H996" s="62" t="str">
        <f>IF(AND('Data Export'!A996=前十整体车型排名!$B$2,'Data Export'!B996=前十整体车型排名!$B$3,'Data Export'!D996&lt;&gt;""),UPPER('Data Export'!C996)&amp;"♦"&amp;'Data Export'!D996,"")</f>
        <v/>
      </c>
      <c r="I996" s="63" t="str">
        <f>IF(H996="","",IFERROR(INDEX('Data Export'!G996:CZ996,1,MATCH(前十整体车型排名!$B$4,'Data Export'!$G$1:$CZ$1,0)),0))</f>
        <v/>
      </c>
      <c r="J996" s="62" t="str">
        <f>IF(H996="","",IF(OR('Data Export'!F996="三厢轿车",'Data Export'!F996="掀背轿车",'Data Export'!F996="旅行车",'Data Export'!F996="微型车",'Data Export'!F996="硬顶跑车",'Data Export'!F996="敞蓬车",'Data Export'!F996="Targa"),"轿车",IF(OR('Data Export'!F996="小型MPV",'Data Export'!F996="客车"),"MPV",IF('Data Export'!F996="运动型多功能车","SUV","其他"))))</f>
        <v/>
      </c>
      <c r="K996" s="62" t="str">
        <f>IF(OR(D996="",NOT(F996=1)),"",1+SUMPRODUCT(($F$2:$F$1001=1)*($D$2:$D$1001&gt;D996))+COUNTIFS($F$2:F996,1,$D$2:D996,D996)-1)</f>
        <v/>
      </c>
      <c r="L996" s="62" t="str">
        <f>IF(OR(D996="",NOT(G996="轿车")),"",1+SUMPRODUCT(($G$2:$G$1001="轿车")*($D$2:$D$1001&gt;D996))+COUNTIFS($G$2:G996,"轿车",$D$2:D996,D996)-1)</f>
        <v/>
      </c>
      <c r="M996" s="62" t="str">
        <f>IF(OR(D996="",NOT(G996="MPV")),"",1+SUMPRODUCT(($G$2:$G$1001="MPV")*($D$2:$D$1001&gt;D996))+COUNTIFS($G$2:G996,"MPV",$D$2:D996,D996)-1)</f>
        <v/>
      </c>
      <c r="N996" s="62" t="str">
        <f>IF(OR(D996="",NOT(G996="SUV")),"",1+SUMPRODUCT(($G$2:$G$1001="SUV")*($D$2:$D$1001&gt;D996))+COUNTIFS($G$2:G996,"SUV",$D$2:D996,D996)-1)</f>
        <v/>
      </c>
      <c r="O996" s="62" t="str">
        <f>IF(OR(D996="",NOT(AND(F996=1,G996="轿车"))),"",1+SUMPRODUCT(($F$2:$F$1001=1)*($G$2:$G$1001="轿车")*($D$2:$D$1001&gt;D996))+COUNTIFS($F$2:F996,1,$G$2:G996,"轿车",$D$2:D996,D996)-1)</f>
        <v/>
      </c>
      <c r="P996" s="62" t="str">
        <f>IF(OR(D996="",NOT(AND(F996=1,G996="MPV"))),"",1+SUMPRODUCT(($F$2:$F$1001=1)*($G$2:$G$1001="MPV")*($D$2:$D$1001&gt;D996))+COUNTIFS($F$2:F996,1,$G$2:G996,"MPV",$D$2:D996,D996)-1)</f>
        <v/>
      </c>
      <c r="Q996" s="62" t="str">
        <f>IF(OR(D996="",NOT(AND(F996=1,G996="SUV"))),"",1+SUMPRODUCT(($F$2:$F$1001=1)*($G$2:$G$1001="SUV")*($D$2:$D$1001&gt;D996))+COUNTIFS($F$2:F996,1,$G$2:G996,"SUV",$D$2:D996,D996)-1)</f>
        <v/>
      </c>
    </row>
    <row r="997" spans="1:17">
      <c r="A997" s="62" t="str">
        <f>IFERROR(INDEX($H$2:$H$3000,MATCH(0,INDEX(COUNTIF($A$1:A996,$H$2:$H$3000)+($H$2:$H$3000=""),0,0),0)),"")</f>
        <v/>
      </c>
      <c r="B997" s="62" t="str">
        <f t="shared" si="60"/>
        <v/>
      </c>
      <c r="C997" s="62" t="str">
        <f t="shared" si="61"/>
        <v/>
      </c>
      <c r="D997" s="63" t="str">
        <f t="shared" si="62"/>
        <v/>
      </c>
      <c r="E997" s="62" t="str">
        <f>IF(D997="","",_xlfn.RANK.EQ(D997,$D$2:$D$1001,0)+COUNTIF($D$2:D997,D997)-1)</f>
        <v/>
      </c>
      <c r="F997" s="62" t="str">
        <f>IF(B997="","",--(COUNTIF(CN_Brands!$A$2:$A$300,UPPER(B997))&gt;0))</f>
        <v/>
      </c>
      <c r="G997" s="62" t="str">
        <f t="shared" si="63"/>
        <v/>
      </c>
      <c r="H997" s="62" t="str">
        <f>IF(AND('Data Export'!A997=前十整体车型排名!$B$2,'Data Export'!B997=前十整体车型排名!$B$3,'Data Export'!D997&lt;&gt;""),UPPER('Data Export'!C997)&amp;"♦"&amp;'Data Export'!D997,"")</f>
        <v/>
      </c>
      <c r="I997" s="63" t="str">
        <f>IF(H997="","",IFERROR(INDEX('Data Export'!G997:CZ997,1,MATCH(前十整体车型排名!$B$4,'Data Export'!$G$1:$CZ$1,0)),0))</f>
        <v/>
      </c>
      <c r="J997" s="62" t="str">
        <f>IF(H997="","",IF(OR('Data Export'!F997="三厢轿车",'Data Export'!F997="掀背轿车",'Data Export'!F997="旅行车",'Data Export'!F997="微型车",'Data Export'!F997="硬顶跑车",'Data Export'!F997="敞蓬车",'Data Export'!F997="Targa"),"轿车",IF(OR('Data Export'!F997="小型MPV",'Data Export'!F997="客车"),"MPV",IF('Data Export'!F997="运动型多功能车","SUV","其他"))))</f>
        <v/>
      </c>
      <c r="K997" s="62" t="str">
        <f>IF(OR(D997="",NOT(F997=1)),"",1+SUMPRODUCT(($F$2:$F$1001=1)*($D$2:$D$1001&gt;D997))+COUNTIFS($F$2:F997,1,$D$2:D997,D997)-1)</f>
        <v/>
      </c>
      <c r="L997" s="62" t="str">
        <f>IF(OR(D997="",NOT(G997="轿车")),"",1+SUMPRODUCT(($G$2:$G$1001="轿车")*($D$2:$D$1001&gt;D997))+COUNTIFS($G$2:G997,"轿车",$D$2:D997,D997)-1)</f>
        <v/>
      </c>
      <c r="M997" s="62" t="str">
        <f>IF(OR(D997="",NOT(G997="MPV")),"",1+SUMPRODUCT(($G$2:$G$1001="MPV")*($D$2:$D$1001&gt;D997))+COUNTIFS($G$2:G997,"MPV",$D$2:D997,D997)-1)</f>
        <v/>
      </c>
      <c r="N997" s="62" t="str">
        <f>IF(OR(D997="",NOT(G997="SUV")),"",1+SUMPRODUCT(($G$2:$G$1001="SUV")*($D$2:$D$1001&gt;D997))+COUNTIFS($G$2:G997,"SUV",$D$2:D997,D997)-1)</f>
        <v/>
      </c>
      <c r="O997" s="62" t="str">
        <f>IF(OR(D997="",NOT(AND(F997=1,G997="轿车"))),"",1+SUMPRODUCT(($F$2:$F$1001=1)*($G$2:$G$1001="轿车")*($D$2:$D$1001&gt;D997))+COUNTIFS($F$2:F997,1,$G$2:G997,"轿车",$D$2:D997,D997)-1)</f>
        <v/>
      </c>
      <c r="P997" s="62" t="str">
        <f>IF(OR(D997="",NOT(AND(F997=1,G997="MPV"))),"",1+SUMPRODUCT(($F$2:$F$1001=1)*($G$2:$G$1001="MPV")*($D$2:$D$1001&gt;D997))+COUNTIFS($F$2:F997,1,$G$2:G997,"MPV",$D$2:D997,D997)-1)</f>
        <v/>
      </c>
      <c r="Q997" s="62" t="str">
        <f>IF(OR(D997="",NOT(AND(F997=1,G997="SUV"))),"",1+SUMPRODUCT(($F$2:$F$1001=1)*($G$2:$G$1001="SUV")*($D$2:$D$1001&gt;D997))+COUNTIFS($F$2:F997,1,$G$2:G997,"SUV",$D$2:D997,D997)-1)</f>
        <v/>
      </c>
    </row>
    <row r="998" spans="1:17">
      <c r="A998" s="62" t="str">
        <f>IFERROR(INDEX($H$2:$H$3000,MATCH(0,INDEX(COUNTIF($A$1:A997,$H$2:$H$3000)+($H$2:$H$3000=""),0,0),0)),"")</f>
        <v/>
      </c>
      <c r="B998" s="62" t="str">
        <f t="shared" si="60"/>
        <v/>
      </c>
      <c r="C998" s="62" t="str">
        <f t="shared" si="61"/>
        <v/>
      </c>
      <c r="D998" s="63" t="str">
        <f t="shared" si="62"/>
        <v/>
      </c>
      <c r="E998" s="62" t="str">
        <f>IF(D998="","",_xlfn.RANK.EQ(D998,$D$2:$D$1001,0)+COUNTIF($D$2:D998,D998)-1)</f>
        <v/>
      </c>
      <c r="F998" s="62" t="str">
        <f>IF(B998="","",--(COUNTIF(CN_Brands!$A$2:$A$300,UPPER(B998))&gt;0))</f>
        <v/>
      </c>
      <c r="G998" s="62" t="str">
        <f t="shared" si="63"/>
        <v/>
      </c>
      <c r="H998" s="62" t="str">
        <f>IF(AND('Data Export'!A998=前十整体车型排名!$B$2,'Data Export'!B998=前十整体车型排名!$B$3,'Data Export'!D998&lt;&gt;""),UPPER('Data Export'!C998)&amp;"♦"&amp;'Data Export'!D998,"")</f>
        <v/>
      </c>
      <c r="I998" s="63" t="str">
        <f>IF(H998="","",IFERROR(INDEX('Data Export'!G998:CZ998,1,MATCH(前十整体车型排名!$B$4,'Data Export'!$G$1:$CZ$1,0)),0))</f>
        <v/>
      </c>
      <c r="J998" s="62" t="str">
        <f>IF(H998="","",IF(OR('Data Export'!F998="三厢轿车",'Data Export'!F998="掀背轿车",'Data Export'!F998="旅行车",'Data Export'!F998="微型车",'Data Export'!F998="硬顶跑车",'Data Export'!F998="敞蓬车",'Data Export'!F998="Targa"),"轿车",IF(OR('Data Export'!F998="小型MPV",'Data Export'!F998="客车"),"MPV",IF('Data Export'!F998="运动型多功能车","SUV","其他"))))</f>
        <v/>
      </c>
      <c r="K998" s="62" t="str">
        <f>IF(OR(D998="",NOT(F998=1)),"",1+SUMPRODUCT(($F$2:$F$1001=1)*($D$2:$D$1001&gt;D998))+COUNTIFS($F$2:F998,1,$D$2:D998,D998)-1)</f>
        <v/>
      </c>
      <c r="L998" s="62" t="str">
        <f>IF(OR(D998="",NOT(G998="轿车")),"",1+SUMPRODUCT(($G$2:$G$1001="轿车")*($D$2:$D$1001&gt;D998))+COUNTIFS($G$2:G998,"轿车",$D$2:D998,D998)-1)</f>
        <v/>
      </c>
      <c r="M998" s="62" t="str">
        <f>IF(OR(D998="",NOT(G998="MPV")),"",1+SUMPRODUCT(($G$2:$G$1001="MPV")*($D$2:$D$1001&gt;D998))+COUNTIFS($G$2:G998,"MPV",$D$2:D998,D998)-1)</f>
        <v/>
      </c>
      <c r="N998" s="62" t="str">
        <f>IF(OR(D998="",NOT(G998="SUV")),"",1+SUMPRODUCT(($G$2:$G$1001="SUV")*($D$2:$D$1001&gt;D998))+COUNTIFS($G$2:G998,"SUV",$D$2:D998,D998)-1)</f>
        <v/>
      </c>
      <c r="O998" s="62" t="str">
        <f>IF(OR(D998="",NOT(AND(F998=1,G998="轿车"))),"",1+SUMPRODUCT(($F$2:$F$1001=1)*($G$2:$G$1001="轿车")*($D$2:$D$1001&gt;D998))+COUNTIFS($F$2:F998,1,$G$2:G998,"轿车",$D$2:D998,D998)-1)</f>
        <v/>
      </c>
      <c r="P998" s="62" t="str">
        <f>IF(OR(D998="",NOT(AND(F998=1,G998="MPV"))),"",1+SUMPRODUCT(($F$2:$F$1001=1)*($G$2:$G$1001="MPV")*($D$2:$D$1001&gt;D998))+COUNTIFS($F$2:F998,1,$G$2:G998,"MPV",$D$2:D998,D998)-1)</f>
        <v/>
      </c>
      <c r="Q998" s="62" t="str">
        <f>IF(OR(D998="",NOT(AND(F998=1,G998="SUV"))),"",1+SUMPRODUCT(($F$2:$F$1001=1)*($G$2:$G$1001="SUV")*($D$2:$D$1001&gt;D998))+COUNTIFS($F$2:F998,1,$G$2:G998,"SUV",$D$2:D998,D998)-1)</f>
        <v/>
      </c>
    </row>
    <row r="999" spans="1:17">
      <c r="A999" s="62" t="str">
        <f>IFERROR(INDEX($H$2:$H$3000,MATCH(0,INDEX(COUNTIF($A$1:A998,$H$2:$H$3000)+($H$2:$H$3000=""),0,0),0)),"")</f>
        <v/>
      </c>
      <c r="B999" s="62" t="str">
        <f t="shared" si="60"/>
        <v/>
      </c>
      <c r="C999" s="62" t="str">
        <f t="shared" si="61"/>
        <v/>
      </c>
      <c r="D999" s="63" t="str">
        <f t="shared" si="62"/>
        <v/>
      </c>
      <c r="E999" s="62" t="str">
        <f>IF(D999="","",_xlfn.RANK.EQ(D999,$D$2:$D$1001,0)+COUNTIF($D$2:D999,D999)-1)</f>
        <v/>
      </c>
      <c r="F999" s="62" t="str">
        <f>IF(B999="","",--(COUNTIF(CN_Brands!$A$2:$A$300,UPPER(B999))&gt;0))</f>
        <v/>
      </c>
      <c r="G999" s="62" t="str">
        <f t="shared" si="63"/>
        <v/>
      </c>
      <c r="H999" s="62" t="str">
        <f>IF(AND('Data Export'!A999=前十整体车型排名!$B$2,'Data Export'!B999=前十整体车型排名!$B$3,'Data Export'!D999&lt;&gt;""),UPPER('Data Export'!C999)&amp;"♦"&amp;'Data Export'!D999,"")</f>
        <v/>
      </c>
      <c r="I999" s="63" t="str">
        <f>IF(H999="","",IFERROR(INDEX('Data Export'!G999:CZ999,1,MATCH(前十整体车型排名!$B$4,'Data Export'!$G$1:$CZ$1,0)),0))</f>
        <v/>
      </c>
      <c r="J999" s="62" t="str">
        <f>IF(H999="","",IF(OR('Data Export'!F999="三厢轿车",'Data Export'!F999="掀背轿车",'Data Export'!F999="旅行车",'Data Export'!F999="微型车",'Data Export'!F999="硬顶跑车",'Data Export'!F999="敞蓬车",'Data Export'!F999="Targa"),"轿车",IF(OR('Data Export'!F999="小型MPV",'Data Export'!F999="客车"),"MPV",IF('Data Export'!F999="运动型多功能车","SUV","其他"))))</f>
        <v/>
      </c>
      <c r="K999" s="62" t="str">
        <f>IF(OR(D999="",NOT(F999=1)),"",1+SUMPRODUCT(($F$2:$F$1001=1)*($D$2:$D$1001&gt;D999))+COUNTIFS($F$2:F999,1,$D$2:D999,D999)-1)</f>
        <v/>
      </c>
      <c r="L999" s="62" t="str">
        <f>IF(OR(D999="",NOT(G999="轿车")),"",1+SUMPRODUCT(($G$2:$G$1001="轿车")*($D$2:$D$1001&gt;D999))+COUNTIFS($G$2:G999,"轿车",$D$2:D999,D999)-1)</f>
        <v/>
      </c>
      <c r="M999" s="62" t="str">
        <f>IF(OR(D999="",NOT(G999="MPV")),"",1+SUMPRODUCT(($G$2:$G$1001="MPV")*($D$2:$D$1001&gt;D999))+COUNTIFS($G$2:G999,"MPV",$D$2:D999,D999)-1)</f>
        <v/>
      </c>
      <c r="N999" s="62" t="str">
        <f>IF(OR(D999="",NOT(G999="SUV")),"",1+SUMPRODUCT(($G$2:$G$1001="SUV")*($D$2:$D$1001&gt;D999))+COUNTIFS($G$2:G999,"SUV",$D$2:D999,D999)-1)</f>
        <v/>
      </c>
      <c r="O999" s="62" t="str">
        <f>IF(OR(D999="",NOT(AND(F999=1,G999="轿车"))),"",1+SUMPRODUCT(($F$2:$F$1001=1)*($G$2:$G$1001="轿车")*($D$2:$D$1001&gt;D999))+COUNTIFS($F$2:F999,1,$G$2:G999,"轿车",$D$2:D999,D999)-1)</f>
        <v/>
      </c>
      <c r="P999" s="62" t="str">
        <f>IF(OR(D999="",NOT(AND(F999=1,G999="MPV"))),"",1+SUMPRODUCT(($F$2:$F$1001=1)*($G$2:$G$1001="MPV")*($D$2:$D$1001&gt;D999))+COUNTIFS($F$2:F999,1,$G$2:G999,"MPV",$D$2:D999,D999)-1)</f>
        <v/>
      </c>
      <c r="Q999" s="62" t="str">
        <f>IF(OR(D999="",NOT(AND(F999=1,G999="SUV"))),"",1+SUMPRODUCT(($F$2:$F$1001=1)*($G$2:$G$1001="SUV")*($D$2:$D$1001&gt;D999))+COUNTIFS($F$2:F999,1,$G$2:G999,"SUV",$D$2:D999,D999)-1)</f>
        <v/>
      </c>
    </row>
    <row r="1000" spans="1:17">
      <c r="A1000" s="62" t="str">
        <f>IFERROR(INDEX($H$2:$H$3000,MATCH(0,INDEX(COUNTIF($A$1:A999,$H$2:$H$3000)+($H$2:$H$3000=""),0,0),0)),"")</f>
        <v/>
      </c>
      <c r="B1000" s="62" t="str">
        <f t="shared" si="60"/>
        <v/>
      </c>
      <c r="C1000" s="62" t="str">
        <f t="shared" si="61"/>
        <v/>
      </c>
      <c r="D1000" s="63" t="str">
        <f t="shared" si="62"/>
        <v/>
      </c>
      <c r="E1000" s="62" t="str">
        <f>IF(D1000="","",_xlfn.RANK.EQ(D1000,$D$2:$D$1001,0)+COUNTIF($D$2:D1000,D1000)-1)</f>
        <v/>
      </c>
      <c r="F1000" s="62" t="str">
        <f>IF(B1000="","",--(COUNTIF(CN_Brands!$A$2:$A$300,UPPER(B1000))&gt;0))</f>
        <v/>
      </c>
      <c r="G1000" s="62" t="str">
        <f t="shared" si="63"/>
        <v/>
      </c>
      <c r="H1000" s="62" t="str">
        <f>IF(AND('Data Export'!A1000=前十整体车型排名!$B$2,'Data Export'!B1000=前十整体车型排名!$B$3,'Data Export'!D1000&lt;&gt;""),UPPER('Data Export'!C1000)&amp;"♦"&amp;'Data Export'!D1000,"")</f>
        <v/>
      </c>
      <c r="I1000" s="63" t="str">
        <f>IF(H1000="","",IFERROR(INDEX('Data Export'!G1000:CZ1000,1,MATCH(前十整体车型排名!$B$4,'Data Export'!$G$1:$CZ$1,0)),0))</f>
        <v/>
      </c>
      <c r="J1000" s="62" t="str">
        <f>IF(H1000="","",IF(OR('Data Export'!F1000="三厢轿车",'Data Export'!F1000="掀背轿车",'Data Export'!F1000="旅行车",'Data Export'!F1000="微型车",'Data Export'!F1000="硬顶跑车",'Data Export'!F1000="敞蓬车",'Data Export'!F1000="Targa"),"轿车",IF(OR('Data Export'!F1000="小型MPV",'Data Export'!F1000="客车"),"MPV",IF('Data Export'!F1000="运动型多功能车","SUV","其他"))))</f>
        <v/>
      </c>
      <c r="K1000" s="62" t="str">
        <f>IF(OR(D1000="",NOT(F1000=1)),"",1+SUMPRODUCT(($F$2:$F$1001=1)*($D$2:$D$1001&gt;D1000))+COUNTIFS($F$2:F1000,1,$D$2:D1000,D1000)-1)</f>
        <v/>
      </c>
      <c r="L1000" s="62" t="str">
        <f>IF(OR(D1000="",NOT(G1000="轿车")),"",1+SUMPRODUCT(($G$2:$G$1001="轿车")*($D$2:$D$1001&gt;D1000))+COUNTIFS($G$2:G1000,"轿车",$D$2:D1000,D1000)-1)</f>
        <v/>
      </c>
      <c r="M1000" s="62" t="str">
        <f>IF(OR(D1000="",NOT(G1000="MPV")),"",1+SUMPRODUCT(($G$2:$G$1001="MPV")*($D$2:$D$1001&gt;D1000))+COUNTIFS($G$2:G1000,"MPV",$D$2:D1000,D1000)-1)</f>
        <v/>
      </c>
      <c r="N1000" s="62" t="str">
        <f>IF(OR(D1000="",NOT(G1000="SUV")),"",1+SUMPRODUCT(($G$2:$G$1001="SUV")*($D$2:$D$1001&gt;D1000))+COUNTIFS($G$2:G1000,"SUV",$D$2:D1000,D1000)-1)</f>
        <v/>
      </c>
      <c r="O1000" s="62" t="str">
        <f>IF(OR(D1000="",NOT(AND(F1000=1,G1000="轿车"))),"",1+SUMPRODUCT(($F$2:$F$1001=1)*($G$2:$G$1001="轿车")*($D$2:$D$1001&gt;D1000))+COUNTIFS($F$2:F1000,1,$G$2:G1000,"轿车",$D$2:D1000,D1000)-1)</f>
        <v/>
      </c>
      <c r="P1000" s="62" t="str">
        <f>IF(OR(D1000="",NOT(AND(F1000=1,G1000="MPV"))),"",1+SUMPRODUCT(($F$2:$F$1001=1)*($G$2:$G$1001="MPV")*($D$2:$D$1001&gt;D1000))+COUNTIFS($F$2:F1000,1,$G$2:G1000,"MPV",$D$2:D1000,D1000)-1)</f>
        <v/>
      </c>
      <c r="Q1000" s="62" t="str">
        <f>IF(OR(D1000="",NOT(AND(F1000=1,G1000="SUV"))),"",1+SUMPRODUCT(($F$2:$F$1001=1)*($G$2:$G$1001="SUV")*($D$2:$D$1001&gt;D1000))+COUNTIFS($F$2:F1000,1,$G$2:G1000,"SUV",$D$2:D1000,D1000)-1)</f>
        <v/>
      </c>
    </row>
    <row r="1001" spans="1:17">
      <c r="A1001" s="62" t="str">
        <f>IFERROR(INDEX($H$2:$H$3000,MATCH(0,INDEX(COUNTIF($A$1:A1000,$H$2:$H$3000)+($H$2:$H$3000=""),0,0),0)),"")</f>
        <v/>
      </c>
      <c r="B1001" s="62" t="str">
        <f t="shared" si="60"/>
        <v/>
      </c>
      <c r="C1001" s="62" t="str">
        <f t="shared" si="61"/>
        <v/>
      </c>
      <c r="D1001" s="63" t="str">
        <f t="shared" si="62"/>
        <v/>
      </c>
      <c r="E1001" s="62" t="str">
        <f>IF(D1001="","",_xlfn.RANK.EQ(D1001,$D$2:$D$1001,0)+COUNTIF($D$2:D1001,D1001)-1)</f>
        <v/>
      </c>
      <c r="F1001" s="62" t="str">
        <f>IF(B1001="","",--(COUNTIF(CN_Brands!$A$2:$A$300,UPPER(B1001))&gt;0))</f>
        <v/>
      </c>
      <c r="G1001" s="62" t="str">
        <f t="shared" si="63"/>
        <v/>
      </c>
      <c r="H1001" s="62" t="str">
        <f>IF(AND('Data Export'!A1001=前十整体车型排名!$B$2,'Data Export'!B1001=前十整体车型排名!$B$3,'Data Export'!D1001&lt;&gt;""),UPPER('Data Export'!C1001)&amp;"♦"&amp;'Data Export'!D1001,"")</f>
        <v/>
      </c>
      <c r="I1001" s="63" t="str">
        <f>IF(H1001="","",IFERROR(INDEX('Data Export'!G1001:CZ1001,1,MATCH(前十整体车型排名!$B$4,'Data Export'!$G$1:$CZ$1,0)),0))</f>
        <v/>
      </c>
      <c r="J1001" s="62" t="str">
        <f>IF(H1001="","",IF(OR('Data Export'!F1001="三厢轿车",'Data Export'!F1001="掀背轿车",'Data Export'!F1001="旅行车",'Data Export'!F1001="微型车",'Data Export'!F1001="硬顶跑车",'Data Export'!F1001="敞蓬车",'Data Export'!F1001="Targa"),"轿车",IF(OR('Data Export'!F1001="小型MPV",'Data Export'!F1001="客车"),"MPV",IF('Data Export'!F1001="运动型多功能车","SUV","其他"))))</f>
        <v/>
      </c>
      <c r="K1001" s="62" t="str">
        <f>IF(OR(D1001="",NOT(F1001=1)),"",1+SUMPRODUCT(($F$2:$F$1001=1)*($D$2:$D$1001&gt;D1001))+COUNTIFS($F$2:F1001,1,$D$2:D1001,D1001)-1)</f>
        <v/>
      </c>
      <c r="L1001" s="62" t="str">
        <f>IF(OR(D1001="",NOT(G1001="轿车")),"",1+SUMPRODUCT(($G$2:$G$1001="轿车")*($D$2:$D$1001&gt;D1001))+COUNTIFS($G$2:G1001,"轿车",$D$2:D1001,D1001)-1)</f>
        <v/>
      </c>
      <c r="M1001" s="62" t="str">
        <f>IF(OR(D1001="",NOT(G1001="MPV")),"",1+SUMPRODUCT(($G$2:$G$1001="MPV")*($D$2:$D$1001&gt;D1001))+COUNTIFS($G$2:G1001,"MPV",$D$2:D1001,D1001)-1)</f>
        <v/>
      </c>
      <c r="N1001" s="62" t="str">
        <f>IF(OR(D1001="",NOT(G1001="SUV")),"",1+SUMPRODUCT(($G$2:$G$1001="SUV")*($D$2:$D$1001&gt;D1001))+COUNTIFS($G$2:G1001,"SUV",$D$2:D1001,D1001)-1)</f>
        <v/>
      </c>
      <c r="O1001" s="62" t="str">
        <f>IF(OR(D1001="",NOT(AND(F1001=1,G1001="轿车"))),"",1+SUMPRODUCT(($F$2:$F$1001=1)*($G$2:$G$1001="轿车")*($D$2:$D$1001&gt;D1001))+COUNTIFS($F$2:F1001,1,$G$2:G1001,"轿车",$D$2:D1001,D1001)-1)</f>
        <v/>
      </c>
      <c r="P1001" s="62" t="str">
        <f>IF(OR(D1001="",NOT(AND(F1001=1,G1001="MPV"))),"",1+SUMPRODUCT(($F$2:$F$1001=1)*($G$2:$G$1001="MPV")*($D$2:$D$1001&gt;D1001))+COUNTIFS($F$2:F1001,1,$G$2:G1001,"MPV",$D$2:D1001,D1001)-1)</f>
        <v/>
      </c>
      <c r="Q1001" s="62" t="str">
        <f>IF(OR(D1001="",NOT(AND(F1001=1,G1001="SUV"))),"",1+SUMPRODUCT(($F$2:$F$1001=1)*($G$2:$G$1001="SUV")*($D$2:$D$1001&gt;D1001))+COUNTIFS($F$2:F1001,1,$G$2:G1001,"SUV",$D$2:D1001,D1001)-1)</f>
        <v/>
      </c>
    </row>
    <row r="1002" spans="1:17">
      <c r="A1002" s="62"/>
      <c r="B1002" s="62"/>
      <c r="C1002" s="62"/>
      <c r="D1002" s="62"/>
      <c r="E1002" s="62"/>
      <c r="F1002" s="62"/>
      <c r="G1002" s="62"/>
      <c r="H1002" s="62" t="str">
        <f>IF(AND('Data Export'!A1002=前十整体车型排名!$B$2,'Data Export'!B1002=前十整体车型排名!$B$3,'Data Export'!D1002&lt;&gt;""),UPPER('Data Export'!C1002)&amp;"♦"&amp;'Data Export'!D1002,"")</f>
        <v/>
      </c>
      <c r="I1002" s="63" t="str">
        <f>IF(H1002="","",IFERROR(INDEX('Data Export'!G1002:CZ1002,1,MATCH(前十整体车型排名!$B$4,'Data Export'!$G$1:$CZ$1,0)),0))</f>
        <v/>
      </c>
      <c r="J1002" s="62" t="str">
        <f>IF(H1002="","",IF(OR('Data Export'!F1002="三厢轿车",'Data Export'!F1002="掀背轿车",'Data Export'!F1002="旅行车",'Data Export'!F1002="微型车",'Data Export'!F1002="硬顶跑车",'Data Export'!F1002="敞蓬车",'Data Export'!F1002="Targa"),"轿车",IF(OR('Data Export'!F1002="小型MPV",'Data Export'!F1002="客车"),"MPV",IF('Data Export'!F1002="运动型多功能车","SUV","其他"))))</f>
        <v/>
      </c>
      <c r="K1002" s="62"/>
      <c r="L1002" s="62"/>
      <c r="M1002" s="62"/>
      <c r="N1002" s="62"/>
      <c r="O1002" s="62"/>
      <c r="P1002" s="62"/>
      <c r="Q1002" s="62"/>
    </row>
    <row r="1003" spans="1:17">
      <c r="A1003" s="62"/>
      <c r="B1003" s="62"/>
      <c r="C1003" s="62"/>
      <c r="D1003" s="62"/>
      <c r="E1003" s="62"/>
      <c r="F1003" s="62"/>
      <c r="G1003" s="62"/>
      <c r="H1003" s="62" t="str">
        <f>IF(AND('Data Export'!A1003=前十整体车型排名!$B$2,'Data Export'!B1003=前十整体车型排名!$B$3,'Data Export'!D1003&lt;&gt;""),UPPER('Data Export'!C1003)&amp;"♦"&amp;'Data Export'!D1003,"")</f>
        <v/>
      </c>
      <c r="I1003" s="63" t="str">
        <f>IF(H1003="","",IFERROR(INDEX('Data Export'!G1003:CZ1003,1,MATCH(前十整体车型排名!$B$4,'Data Export'!$G$1:$CZ$1,0)),0))</f>
        <v/>
      </c>
      <c r="J1003" s="62" t="str">
        <f>IF(H1003="","",IF(OR('Data Export'!F1003="三厢轿车",'Data Export'!F1003="掀背轿车",'Data Export'!F1003="旅行车",'Data Export'!F1003="微型车",'Data Export'!F1003="硬顶跑车",'Data Export'!F1003="敞蓬车",'Data Export'!F1003="Targa"),"轿车",IF(OR('Data Export'!F1003="小型MPV",'Data Export'!F1003="客车"),"MPV",IF('Data Export'!F1003="运动型多功能车","SUV","其他"))))</f>
        <v/>
      </c>
      <c r="K1003" s="62"/>
      <c r="L1003" s="62"/>
      <c r="M1003" s="62"/>
      <c r="N1003" s="62"/>
      <c r="O1003" s="62"/>
      <c r="P1003" s="62"/>
      <c r="Q1003" s="62"/>
    </row>
    <row r="1004" spans="1:17">
      <c r="A1004" s="62"/>
      <c r="B1004" s="62"/>
      <c r="C1004" s="62"/>
      <c r="D1004" s="62"/>
      <c r="E1004" s="62"/>
      <c r="F1004" s="62"/>
      <c r="G1004" s="62"/>
      <c r="H1004" s="62" t="str">
        <f>IF(AND('Data Export'!A1004=前十整体车型排名!$B$2,'Data Export'!B1004=前十整体车型排名!$B$3,'Data Export'!D1004&lt;&gt;""),UPPER('Data Export'!C1004)&amp;"♦"&amp;'Data Export'!D1004,"")</f>
        <v/>
      </c>
      <c r="I1004" s="63" t="str">
        <f>IF(H1004="","",IFERROR(INDEX('Data Export'!G1004:CZ1004,1,MATCH(前十整体车型排名!$B$4,'Data Export'!$G$1:$CZ$1,0)),0))</f>
        <v/>
      </c>
      <c r="J1004" s="62" t="str">
        <f>IF(H1004="","",IF(OR('Data Export'!F1004="三厢轿车",'Data Export'!F1004="掀背轿车",'Data Export'!F1004="旅行车",'Data Export'!F1004="微型车",'Data Export'!F1004="硬顶跑车",'Data Export'!F1004="敞蓬车",'Data Export'!F1004="Targa"),"轿车",IF(OR('Data Export'!F1004="小型MPV",'Data Export'!F1004="客车"),"MPV",IF('Data Export'!F1004="运动型多功能车","SUV","其他"))))</f>
        <v/>
      </c>
      <c r="K1004" s="62"/>
      <c r="L1004" s="62"/>
      <c r="M1004" s="62"/>
      <c r="N1004" s="62"/>
      <c r="O1004" s="62"/>
      <c r="P1004" s="62"/>
      <c r="Q1004" s="62"/>
    </row>
    <row r="1005" spans="1:17">
      <c r="A1005" s="62"/>
      <c r="B1005" s="62"/>
      <c r="C1005" s="62"/>
      <c r="D1005" s="62"/>
      <c r="E1005" s="62"/>
      <c r="F1005" s="62"/>
      <c r="G1005" s="62"/>
      <c r="H1005" s="62" t="str">
        <f>IF(AND('Data Export'!A1005=前十整体车型排名!$B$2,'Data Export'!B1005=前十整体车型排名!$B$3,'Data Export'!D1005&lt;&gt;""),UPPER('Data Export'!C1005)&amp;"♦"&amp;'Data Export'!D1005,"")</f>
        <v/>
      </c>
      <c r="I1005" s="63" t="str">
        <f>IF(H1005="","",IFERROR(INDEX('Data Export'!G1005:CZ1005,1,MATCH(前十整体车型排名!$B$4,'Data Export'!$G$1:$CZ$1,0)),0))</f>
        <v/>
      </c>
      <c r="J1005" s="62" t="str">
        <f>IF(H1005="","",IF(OR('Data Export'!F1005="三厢轿车",'Data Export'!F1005="掀背轿车",'Data Export'!F1005="旅行车",'Data Export'!F1005="微型车",'Data Export'!F1005="硬顶跑车",'Data Export'!F1005="敞蓬车",'Data Export'!F1005="Targa"),"轿车",IF(OR('Data Export'!F1005="小型MPV",'Data Export'!F1005="客车"),"MPV",IF('Data Export'!F1005="运动型多功能车","SUV","其他"))))</f>
        <v/>
      </c>
      <c r="K1005" s="62"/>
      <c r="L1005" s="62"/>
      <c r="M1005" s="62"/>
      <c r="N1005" s="62"/>
      <c r="O1005" s="62"/>
      <c r="P1005" s="62"/>
      <c r="Q1005" s="62"/>
    </row>
    <row r="1006" spans="1:17">
      <c r="A1006" s="62"/>
      <c r="B1006" s="62"/>
      <c r="C1006" s="62"/>
      <c r="D1006" s="62"/>
      <c r="E1006" s="62"/>
      <c r="F1006" s="62"/>
      <c r="G1006" s="62"/>
      <c r="H1006" s="62" t="str">
        <f>IF(AND('Data Export'!A1006=前十整体车型排名!$B$2,'Data Export'!B1006=前十整体车型排名!$B$3,'Data Export'!D1006&lt;&gt;""),UPPER('Data Export'!C1006)&amp;"♦"&amp;'Data Export'!D1006,"")</f>
        <v/>
      </c>
      <c r="I1006" s="63" t="str">
        <f>IF(H1006="","",IFERROR(INDEX('Data Export'!G1006:CZ1006,1,MATCH(前十整体车型排名!$B$4,'Data Export'!$G$1:$CZ$1,0)),0))</f>
        <v/>
      </c>
      <c r="J1006" s="62" t="str">
        <f>IF(H1006="","",IF(OR('Data Export'!F1006="三厢轿车",'Data Export'!F1006="掀背轿车",'Data Export'!F1006="旅行车",'Data Export'!F1006="微型车",'Data Export'!F1006="硬顶跑车",'Data Export'!F1006="敞蓬车",'Data Export'!F1006="Targa"),"轿车",IF(OR('Data Export'!F1006="小型MPV",'Data Export'!F1006="客车"),"MPV",IF('Data Export'!F1006="运动型多功能车","SUV","其他"))))</f>
        <v/>
      </c>
      <c r="K1006" s="62"/>
      <c r="L1006" s="62"/>
      <c r="M1006" s="62"/>
      <c r="N1006" s="62"/>
      <c r="O1006" s="62"/>
      <c r="P1006" s="62"/>
      <c r="Q1006" s="62"/>
    </row>
    <row r="1007" spans="1:17">
      <c r="A1007" s="62"/>
      <c r="B1007" s="62"/>
      <c r="C1007" s="62"/>
      <c r="D1007" s="62"/>
      <c r="E1007" s="62"/>
      <c r="F1007" s="62"/>
      <c r="G1007" s="62"/>
      <c r="H1007" s="62" t="str">
        <f>IF(AND('Data Export'!A1007=前十整体车型排名!$B$2,'Data Export'!B1007=前十整体车型排名!$B$3,'Data Export'!D1007&lt;&gt;""),UPPER('Data Export'!C1007)&amp;"♦"&amp;'Data Export'!D1007,"")</f>
        <v/>
      </c>
      <c r="I1007" s="63" t="str">
        <f>IF(H1007="","",IFERROR(INDEX('Data Export'!G1007:CZ1007,1,MATCH(前十整体车型排名!$B$4,'Data Export'!$G$1:$CZ$1,0)),0))</f>
        <v/>
      </c>
      <c r="J1007" s="62" t="str">
        <f>IF(H1007="","",IF(OR('Data Export'!F1007="三厢轿车",'Data Export'!F1007="掀背轿车",'Data Export'!F1007="旅行车",'Data Export'!F1007="微型车",'Data Export'!F1007="硬顶跑车",'Data Export'!F1007="敞蓬车",'Data Export'!F1007="Targa"),"轿车",IF(OR('Data Export'!F1007="小型MPV",'Data Export'!F1007="客车"),"MPV",IF('Data Export'!F1007="运动型多功能车","SUV","其他"))))</f>
        <v/>
      </c>
      <c r="K1007" s="62"/>
      <c r="L1007" s="62"/>
      <c r="M1007" s="62"/>
      <c r="N1007" s="62"/>
      <c r="O1007" s="62"/>
      <c r="P1007" s="62"/>
      <c r="Q1007" s="62"/>
    </row>
    <row r="1008" spans="1:17">
      <c r="A1008" s="62"/>
      <c r="B1008" s="62"/>
      <c r="C1008" s="62"/>
      <c r="D1008" s="62"/>
      <c r="E1008" s="62"/>
      <c r="F1008" s="62"/>
      <c r="G1008" s="62"/>
      <c r="H1008" s="62" t="str">
        <f>IF(AND('Data Export'!A1008=前十整体车型排名!$B$2,'Data Export'!B1008=前十整体车型排名!$B$3,'Data Export'!D1008&lt;&gt;""),UPPER('Data Export'!C1008)&amp;"♦"&amp;'Data Export'!D1008,"")</f>
        <v/>
      </c>
      <c r="I1008" s="63" t="str">
        <f>IF(H1008="","",IFERROR(INDEX('Data Export'!G1008:CZ1008,1,MATCH(前十整体车型排名!$B$4,'Data Export'!$G$1:$CZ$1,0)),0))</f>
        <v/>
      </c>
      <c r="J1008" s="62" t="str">
        <f>IF(H1008="","",IF(OR('Data Export'!F1008="三厢轿车",'Data Export'!F1008="掀背轿车",'Data Export'!F1008="旅行车",'Data Export'!F1008="微型车",'Data Export'!F1008="硬顶跑车",'Data Export'!F1008="敞蓬车",'Data Export'!F1008="Targa"),"轿车",IF(OR('Data Export'!F1008="小型MPV",'Data Export'!F1008="客车"),"MPV",IF('Data Export'!F1008="运动型多功能车","SUV","其他"))))</f>
        <v/>
      </c>
      <c r="K1008" s="62"/>
      <c r="L1008" s="62"/>
      <c r="M1008" s="62"/>
      <c r="N1008" s="62"/>
      <c r="O1008" s="62"/>
      <c r="P1008" s="62"/>
      <c r="Q1008" s="62"/>
    </row>
    <row r="1009" spans="1:17">
      <c r="A1009" s="62"/>
      <c r="B1009" s="62"/>
      <c r="C1009" s="62"/>
      <c r="D1009" s="62"/>
      <c r="E1009" s="62"/>
      <c r="F1009" s="62"/>
      <c r="G1009" s="62"/>
      <c r="H1009" s="62" t="str">
        <f>IF(AND('Data Export'!A1009=前十整体车型排名!$B$2,'Data Export'!B1009=前十整体车型排名!$B$3,'Data Export'!D1009&lt;&gt;""),UPPER('Data Export'!C1009)&amp;"♦"&amp;'Data Export'!D1009,"")</f>
        <v/>
      </c>
      <c r="I1009" s="63" t="str">
        <f>IF(H1009="","",IFERROR(INDEX('Data Export'!G1009:CZ1009,1,MATCH(前十整体车型排名!$B$4,'Data Export'!$G$1:$CZ$1,0)),0))</f>
        <v/>
      </c>
      <c r="J1009" s="62" t="str">
        <f>IF(H1009="","",IF(OR('Data Export'!F1009="三厢轿车",'Data Export'!F1009="掀背轿车",'Data Export'!F1009="旅行车",'Data Export'!F1009="微型车",'Data Export'!F1009="硬顶跑车",'Data Export'!F1009="敞蓬车",'Data Export'!F1009="Targa"),"轿车",IF(OR('Data Export'!F1009="小型MPV",'Data Export'!F1009="客车"),"MPV",IF('Data Export'!F1009="运动型多功能车","SUV","其他"))))</f>
        <v/>
      </c>
      <c r="K1009" s="62"/>
      <c r="L1009" s="62"/>
      <c r="M1009" s="62"/>
      <c r="N1009" s="62"/>
      <c r="O1009" s="62"/>
      <c r="P1009" s="62"/>
      <c r="Q1009" s="62"/>
    </row>
    <row r="1010" spans="1:17">
      <c r="A1010" s="62"/>
      <c r="B1010" s="62"/>
      <c r="C1010" s="62"/>
      <c r="D1010" s="62"/>
      <c r="E1010" s="62"/>
      <c r="F1010" s="62"/>
      <c r="G1010" s="62"/>
      <c r="H1010" s="62" t="str">
        <f>IF(AND('Data Export'!A1010=前十整体车型排名!$B$2,'Data Export'!B1010=前十整体车型排名!$B$3,'Data Export'!D1010&lt;&gt;""),UPPER('Data Export'!C1010)&amp;"♦"&amp;'Data Export'!D1010,"")</f>
        <v/>
      </c>
      <c r="I1010" s="63" t="str">
        <f>IF(H1010="","",IFERROR(INDEX('Data Export'!G1010:CZ1010,1,MATCH(前十整体车型排名!$B$4,'Data Export'!$G$1:$CZ$1,0)),0))</f>
        <v/>
      </c>
      <c r="J1010" s="62" t="str">
        <f>IF(H1010="","",IF(OR('Data Export'!F1010="三厢轿车",'Data Export'!F1010="掀背轿车",'Data Export'!F1010="旅行车",'Data Export'!F1010="微型车",'Data Export'!F1010="硬顶跑车",'Data Export'!F1010="敞蓬车",'Data Export'!F1010="Targa"),"轿车",IF(OR('Data Export'!F1010="小型MPV",'Data Export'!F1010="客车"),"MPV",IF('Data Export'!F1010="运动型多功能车","SUV","其他"))))</f>
        <v/>
      </c>
      <c r="K1010" s="62"/>
      <c r="L1010" s="62"/>
      <c r="M1010" s="62"/>
      <c r="N1010" s="62"/>
      <c r="O1010" s="62"/>
      <c r="P1010" s="62"/>
      <c r="Q1010" s="62"/>
    </row>
    <row r="1011" spans="1:17">
      <c r="A1011" s="62"/>
      <c r="B1011" s="62"/>
      <c r="C1011" s="62"/>
      <c r="D1011" s="62"/>
      <c r="E1011" s="62"/>
      <c r="F1011" s="62"/>
      <c r="G1011" s="62"/>
      <c r="H1011" s="62" t="str">
        <f>IF(AND('Data Export'!A1011=前十整体车型排名!$B$2,'Data Export'!B1011=前十整体车型排名!$B$3,'Data Export'!D1011&lt;&gt;""),UPPER('Data Export'!C1011)&amp;"♦"&amp;'Data Export'!D1011,"")</f>
        <v/>
      </c>
      <c r="I1011" s="63" t="str">
        <f>IF(H1011="","",IFERROR(INDEX('Data Export'!G1011:CZ1011,1,MATCH(前十整体车型排名!$B$4,'Data Export'!$G$1:$CZ$1,0)),0))</f>
        <v/>
      </c>
      <c r="J1011" s="62" t="str">
        <f>IF(H1011="","",IF(OR('Data Export'!F1011="三厢轿车",'Data Export'!F1011="掀背轿车",'Data Export'!F1011="旅行车",'Data Export'!F1011="微型车",'Data Export'!F1011="硬顶跑车",'Data Export'!F1011="敞蓬车",'Data Export'!F1011="Targa"),"轿车",IF(OR('Data Export'!F1011="小型MPV",'Data Export'!F1011="客车"),"MPV",IF('Data Export'!F1011="运动型多功能车","SUV","其他"))))</f>
        <v/>
      </c>
      <c r="K1011" s="62"/>
      <c r="L1011" s="62"/>
      <c r="M1011" s="62"/>
      <c r="N1011" s="62"/>
      <c r="O1011" s="62"/>
      <c r="P1011" s="62"/>
      <c r="Q1011" s="62"/>
    </row>
    <row r="1012" spans="1:17">
      <c r="A1012" s="62"/>
      <c r="B1012" s="62"/>
      <c r="C1012" s="62"/>
      <c r="D1012" s="62"/>
      <c r="E1012" s="62"/>
      <c r="F1012" s="62"/>
      <c r="G1012" s="62"/>
      <c r="H1012" s="62" t="str">
        <f>IF(AND('Data Export'!A1012=前十整体车型排名!$B$2,'Data Export'!B1012=前十整体车型排名!$B$3,'Data Export'!D1012&lt;&gt;""),UPPER('Data Export'!C1012)&amp;"♦"&amp;'Data Export'!D1012,"")</f>
        <v/>
      </c>
      <c r="I1012" s="63" t="str">
        <f>IF(H1012="","",IFERROR(INDEX('Data Export'!G1012:CZ1012,1,MATCH(前十整体车型排名!$B$4,'Data Export'!$G$1:$CZ$1,0)),0))</f>
        <v/>
      </c>
      <c r="J1012" s="62" t="str">
        <f>IF(H1012="","",IF(OR('Data Export'!F1012="三厢轿车",'Data Export'!F1012="掀背轿车",'Data Export'!F1012="旅行车",'Data Export'!F1012="微型车",'Data Export'!F1012="硬顶跑车",'Data Export'!F1012="敞蓬车",'Data Export'!F1012="Targa"),"轿车",IF(OR('Data Export'!F1012="小型MPV",'Data Export'!F1012="客车"),"MPV",IF('Data Export'!F1012="运动型多功能车","SUV","其他"))))</f>
        <v/>
      </c>
      <c r="K1012" s="62"/>
      <c r="L1012" s="62"/>
      <c r="M1012" s="62"/>
      <c r="N1012" s="62"/>
      <c r="O1012" s="62"/>
      <c r="P1012" s="62"/>
      <c r="Q1012" s="62"/>
    </row>
    <row r="1013" spans="1:17">
      <c r="A1013" s="62"/>
      <c r="B1013" s="62"/>
      <c r="C1013" s="62"/>
      <c r="D1013" s="62"/>
      <c r="E1013" s="62"/>
      <c r="F1013" s="62"/>
      <c r="G1013" s="62"/>
      <c r="H1013" s="62" t="str">
        <f>IF(AND('Data Export'!A1013=前十整体车型排名!$B$2,'Data Export'!B1013=前十整体车型排名!$B$3,'Data Export'!D1013&lt;&gt;""),UPPER('Data Export'!C1013)&amp;"♦"&amp;'Data Export'!D1013,"")</f>
        <v/>
      </c>
      <c r="I1013" s="63" t="str">
        <f>IF(H1013="","",IFERROR(INDEX('Data Export'!G1013:CZ1013,1,MATCH(前十整体车型排名!$B$4,'Data Export'!$G$1:$CZ$1,0)),0))</f>
        <v/>
      </c>
      <c r="J1013" s="62" t="str">
        <f>IF(H1013="","",IF(OR('Data Export'!F1013="三厢轿车",'Data Export'!F1013="掀背轿车",'Data Export'!F1013="旅行车",'Data Export'!F1013="微型车",'Data Export'!F1013="硬顶跑车",'Data Export'!F1013="敞蓬车",'Data Export'!F1013="Targa"),"轿车",IF(OR('Data Export'!F1013="小型MPV",'Data Export'!F1013="客车"),"MPV",IF('Data Export'!F1013="运动型多功能车","SUV","其他"))))</f>
        <v/>
      </c>
      <c r="K1013" s="62"/>
      <c r="L1013" s="62"/>
      <c r="M1013" s="62"/>
      <c r="N1013" s="62"/>
      <c r="O1013" s="62"/>
      <c r="P1013" s="62"/>
      <c r="Q1013" s="62"/>
    </row>
    <row r="1014" spans="1:17">
      <c r="A1014" s="62"/>
      <c r="B1014" s="62"/>
      <c r="C1014" s="62"/>
      <c r="D1014" s="62"/>
      <c r="E1014" s="62"/>
      <c r="F1014" s="62"/>
      <c r="G1014" s="62"/>
      <c r="H1014" s="62" t="str">
        <f>IF(AND('Data Export'!A1014=前十整体车型排名!$B$2,'Data Export'!B1014=前十整体车型排名!$B$3,'Data Export'!D1014&lt;&gt;""),UPPER('Data Export'!C1014)&amp;"♦"&amp;'Data Export'!D1014,"")</f>
        <v/>
      </c>
      <c r="I1014" s="63" t="str">
        <f>IF(H1014="","",IFERROR(INDEX('Data Export'!G1014:CZ1014,1,MATCH(前十整体车型排名!$B$4,'Data Export'!$G$1:$CZ$1,0)),0))</f>
        <v/>
      </c>
      <c r="J1014" s="62" t="str">
        <f>IF(H1014="","",IF(OR('Data Export'!F1014="三厢轿车",'Data Export'!F1014="掀背轿车",'Data Export'!F1014="旅行车",'Data Export'!F1014="微型车",'Data Export'!F1014="硬顶跑车",'Data Export'!F1014="敞蓬车",'Data Export'!F1014="Targa"),"轿车",IF(OR('Data Export'!F1014="小型MPV",'Data Export'!F1014="客车"),"MPV",IF('Data Export'!F1014="运动型多功能车","SUV","其他"))))</f>
        <v/>
      </c>
      <c r="K1014" s="62"/>
      <c r="L1014" s="62"/>
      <c r="M1014" s="62"/>
      <c r="N1014" s="62"/>
      <c r="O1014" s="62"/>
      <c r="P1014" s="62"/>
      <c r="Q1014" s="62"/>
    </row>
    <row r="1015" spans="1:17">
      <c r="A1015" s="62"/>
      <c r="B1015" s="62"/>
      <c r="C1015" s="62"/>
      <c r="D1015" s="62"/>
      <c r="E1015" s="62"/>
      <c r="F1015" s="62"/>
      <c r="G1015" s="62"/>
      <c r="H1015" s="62" t="str">
        <f>IF(AND('Data Export'!A1015=前十整体车型排名!$B$2,'Data Export'!B1015=前十整体车型排名!$B$3,'Data Export'!D1015&lt;&gt;""),UPPER('Data Export'!C1015)&amp;"♦"&amp;'Data Export'!D1015,"")</f>
        <v/>
      </c>
      <c r="I1015" s="63" t="str">
        <f>IF(H1015="","",IFERROR(INDEX('Data Export'!G1015:CZ1015,1,MATCH(前十整体车型排名!$B$4,'Data Export'!$G$1:$CZ$1,0)),0))</f>
        <v/>
      </c>
      <c r="J1015" s="62" t="str">
        <f>IF(H1015="","",IF(OR('Data Export'!F1015="三厢轿车",'Data Export'!F1015="掀背轿车",'Data Export'!F1015="旅行车",'Data Export'!F1015="微型车",'Data Export'!F1015="硬顶跑车",'Data Export'!F1015="敞蓬车",'Data Export'!F1015="Targa"),"轿车",IF(OR('Data Export'!F1015="小型MPV",'Data Export'!F1015="客车"),"MPV",IF('Data Export'!F1015="运动型多功能车","SUV","其他"))))</f>
        <v/>
      </c>
      <c r="K1015" s="62"/>
      <c r="L1015" s="62"/>
      <c r="M1015" s="62"/>
      <c r="N1015" s="62"/>
      <c r="O1015" s="62"/>
      <c r="P1015" s="62"/>
      <c r="Q1015" s="62"/>
    </row>
    <row r="1016" spans="1:17">
      <c r="A1016" s="62"/>
      <c r="B1016" s="62"/>
      <c r="C1016" s="62"/>
      <c r="D1016" s="62"/>
      <c r="E1016" s="62"/>
      <c r="F1016" s="62"/>
      <c r="G1016" s="62"/>
      <c r="H1016" s="62" t="str">
        <f>IF(AND('Data Export'!A1016=前十整体车型排名!$B$2,'Data Export'!B1016=前十整体车型排名!$B$3,'Data Export'!D1016&lt;&gt;""),UPPER('Data Export'!C1016)&amp;"♦"&amp;'Data Export'!D1016,"")</f>
        <v/>
      </c>
      <c r="I1016" s="63" t="str">
        <f>IF(H1016="","",IFERROR(INDEX('Data Export'!G1016:CZ1016,1,MATCH(前十整体车型排名!$B$4,'Data Export'!$G$1:$CZ$1,0)),0))</f>
        <v/>
      </c>
      <c r="J1016" s="62" t="str">
        <f>IF(H1016="","",IF(OR('Data Export'!F1016="三厢轿车",'Data Export'!F1016="掀背轿车",'Data Export'!F1016="旅行车",'Data Export'!F1016="微型车",'Data Export'!F1016="硬顶跑车",'Data Export'!F1016="敞蓬车",'Data Export'!F1016="Targa"),"轿车",IF(OR('Data Export'!F1016="小型MPV",'Data Export'!F1016="客车"),"MPV",IF('Data Export'!F1016="运动型多功能车","SUV","其他"))))</f>
        <v/>
      </c>
      <c r="K1016" s="62"/>
      <c r="L1016" s="62"/>
      <c r="M1016" s="62"/>
      <c r="N1016" s="62"/>
      <c r="O1016" s="62"/>
      <c r="P1016" s="62"/>
      <c r="Q1016" s="62"/>
    </row>
    <row r="1017" spans="1:17">
      <c r="A1017" s="62"/>
      <c r="B1017" s="62"/>
      <c r="C1017" s="62"/>
      <c r="D1017" s="62"/>
      <c r="E1017" s="62"/>
      <c r="F1017" s="62"/>
      <c r="G1017" s="62"/>
      <c r="H1017" s="62" t="str">
        <f>IF(AND('Data Export'!A1017=前十整体车型排名!$B$2,'Data Export'!B1017=前十整体车型排名!$B$3,'Data Export'!D1017&lt;&gt;""),UPPER('Data Export'!C1017)&amp;"♦"&amp;'Data Export'!D1017,"")</f>
        <v/>
      </c>
      <c r="I1017" s="63" t="str">
        <f>IF(H1017="","",IFERROR(INDEX('Data Export'!G1017:CZ1017,1,MATCH(前十整体车型排名!$B$4,'Data Export'!$G$1:$CZ$1,0)),0))</f>
        <v/>
      </c>
      <c r="J1017" s="62" t="str">
        <f>IF(H1017="","",IF(OR('Data Export'!F1017="三厢轿车",'Data Export'!F1017="掀背轿车",'Data Export'!F1017="旅行车",'Data Export'!F1017="微型车",'Data Export'!F1017="硬顶跑车",'Data Export'!F1017="敞蓬车",'Data Export'!F1017="Targa"),"轿车",IF(OR('Data Export'!F1017="小型MPV",'Data Export'!F1017="客车"),"MPV",IF('Data Export'!F1017="运动型多功能车","SUV","其他"))))</f>
        <v/>
      </c>
      <c r="K1017" s="62"/>
      <c r="L1017" s="62"/>
      <c r="M1017" s="62"/>
      <c r="N1017" s="62"/>
      <c r="O1017" s="62"/>
      <c r="P1017" s="62"/>
      <c r="Q1017" s="62"/>
    </row>
    <row r="1018" spans="1:17">
      <c r="A1018" s="62"/>
      <c r="B1018" s="62"/>
      <c r="C1018" s="62"/>
      <c r="D1018" s="62"/>
      <c r="E1018" s="62"/>
      <c r="F1018" s="62"/>
      <c r="G1018" s="62"/>
      <c r="H1018" s="62" t="str">
        <f>IF(AND('Data Export'!A1018=前十整体车型排名!$B$2,'Data Export'!B1018=前十整体车型排名!$B$3,'Data Export'!D1018&lt;&gt;""),UPPER('Data Export'!C1018)&amp;"♦"&amp;'Data Export'!D1018,"")</f>
        <v/>
      </c>
      <c r="I1018" s="63" t="str">
        <f>IF(H1018="","",IFERROR(INDEX('Data Export'!G1018:CZ1018,1,MATCH(前十整体车型排名!$B$4,'Data Export'!$G$1:$CZ$1,0)),0))</f>
        <v/>
      </c>
      <c r="J1018" s="62" t="str">
        <f>IF(H1018="","",IF(OR('Data Export'!F1018="三厢轿车",'Data Export'!F1018="掀背轿车",'Data Export'!F1018="旅行车",'Data Export'!F1018="微型车",'Data Export'!F1018="硬顶跑车",'Data Export'!F1018="敞蓬车",'Data Export'!F1018="Targa"),"轿车",IF(OR('Data Export'!F1018="小型MPV",'Data Export'!F1018="客车"),"MPV",IF('Data Export'!F1018="运动型多功能车","SUV","其他"))))</f>
        <v/>
      </c>
      <c r="K1018" s="62"/>
      <c r="L1018" s="62"/>
      <c r="M1018" s="62"/>
      <c r="N1018" s="62"/>
      <c r="O1018" s="62"/>
      <c r="P1018" s="62"/>
      <c r="Q1018" s="62"/>
    </row>
    <row r="1019" spans="1:17">
      <c r="A1019" s="62"/>
      <c r="B1019" s="62"/>
      <c r="C1019" s="62"/>
      <c r="D1019" s="62"/>
      <c r="E1019" s="62"/>
      <c r="F1019" s="62"/>
      <c r="G1019" s="62"/>
      <c r="H1019" s="62" t="str">
        <f>IF(AND('Data Export'!A1019=前十整体车型排名!$B$2,'Data Export'!B1019=前十整体车型排名!$B$3,'Data Export'!D1019&lt;&gt;""),UPPER('Data Export'!C1019)&amp;"♦"&amp;'Data Export'!D1019,"")</f>
        <v/>
      </c>
      <c r="I1019" s="63" t="str">
        <f>IF(H1019="","",IFERROR(INDEX('Data Export'!G1019:CZ1019,1,MATCH(前十整体车型排名!$B$4,'Data Export'!$G$1:$CZ$1,0)),0))</f>
        <v/>
      </c>
      <c r="J1019" s="62" t="str">
        <f>IF(H1019="","",IF(OR('Data Export'!F1019="三厢轿车",'Data Export'!F1019="掀背轿车",'Data Export'!F1019="旅行车",'Data Export'!F1019="微型车",'Data Export'!F1019="硬顶跑车",'Data Export'!F1019="敞蓬车",'Data Export'!F1019="Targa"),"轿车",IF(OR('Data Export'!F1019="小型MPV",'Data Export'!F1019="客车"),"MPV",IF('Data Export'!F1019="运动型多功能车","SUV","其他"))))</f>
        <v/>
      </c>
      <c r="K1019" s="62"/>
      <c r="L1019" s="62"/>
      <c r="M1019" s="62"/>
      <c r="N1019" s="62"/>
      <c r="O1019" s="62"/>
      <c r="P1019" s="62"/>
      <c r="Q1019" s="62"/>
    </row>
    <row r="1020" spans="1:17">
      <c r="A1020" s="62"/>
      <c r="B1020" s="62"/>
      <c r="C1020" s="62"/>
      <c r="D1020" s="62"/>
      <c r="E1020" s="62"/>
      <c r="F1020" s="62"/>
      <c r="G1020" s="62"/>
      <c r="H1020" s="62" t="str">
        <f>IF(AND('Data Export'!A1020=前十整体车型排名!$B$2,'Data Export'!B1020=前十整体车型排名!$B$3,'Data Export'!D1020&lt;&gt;""),UPPER('Data Export'!C1020)&amp;"♦"&amp;'Data Export'!D1020,"")</f>
        <v/>
      </c>
      <c r="I1020" s="63" t="str">
        <f>IF(H1020="","",IFERROR(INDEX('Data Export'!G1020:CZ1020,1,MATCH(前十整体车型排名!$B$4,'Data Export'!$G$1:$CZ$1,0)),0))</f>
        <v/>
      </c>
      <c r="J1020" s="62" t="str">
        <f>IF(H1020="","",IF(OR('Data Export'!F1020="三厢轿车",'Data Export'!F1020="掀背轿车",'Data Export'!F1020="旅行车",'Data Export'!F1020="微型车",'Data Export'!F1020="硬顶跑车",'Data Export'!F1020="敞蓬车",'Data Export'!F1020="Targa"),"轿车",IF(OR('Data Export'!F1020="小型MPV",'Data Export'!F1020="客车"),"MPV",IF('Data Export'!F1020="运动型多功能车","SUV","其他"))))</f>
        <v/>
      </c>
      <c r="K1020" s="62"/>
      <c r="L1020" s="62"/>
      <c r="M1020" s="62"/>
      <c r="N1020" s="62"/>
      <c r="O1020" s="62"/>
      <c r="P1020" s="62"/>
      <c r="Q1020" s="62"/>
    </row>
    <row r="1021" spans="1:17">
      <c r="A1021" s="62"/>
      <c r="B1021" s="62"/>
      <c r="C1021" s="62"/>
      <c r="D1021" s="62"/>
      <c r="E1021" s="62"/>
      <c r="F1021" s="62"/>
      <c r="G1021" s="62"/>
      <c r="H1021" s="62" t="str">
        <f>IF(AND('Data Export'!A1021=前十整体车型排名!$B$2,'Data Export'!B1021=前十整体车型排名!$B$3,'Data Export'!D1021&lt;&gt;""),UPPER('Data Export'!C1021)&amp;"♦"&amp;'Data Export'!D1021,"")</f>
        <v/>
      </c>
      <c r="I1021" s="63" t="str">
        <f>IF(H1021="","",IFERROR(INDEX('Data Export'!G1021:CZ1021,1,MATCH(前十整体车型排名!$B$4,'Data Export'!$G$1:$CZ$1,0)),0))</f>
        <v/>
      </c>
      <c r="J1021" s="62" t="str">
        <f>IF(H1021="","",IF(OR('Data Export'!F1021="三厢轿车",'Data Export'!F1021="掀背轿车",'Data Export'!F1021="旅行车",'Data Export'!F1021="微型车",'Data Export'!F1021="硬顶跑车",'Data Export'!F1021="敞蓬车",'Data Export'!F1021="Targa"),"轿车",IF(OR('Data Export'!F1021="小型MPV",'Data Export'!F1021="客车"),"MPV",IF('Data Export'!F1021="运动型多功能车","SUV","其他"))))</f>
        <v/>
      </c>
      <c r="K1021" s="62"/>
      <c r="L1021" s="62"/>
      <c r="M1021" s="62"/>
      <c r="N1021" s="62"/>
      <c r="O1021" s="62"/>
      <c r="P1021" s="62"/>
      <c r="Q1021" s="62"/>
    </row>
    <row r="1022" spans="1:17">
      <c r="A1022" s="62"/>
      <c r="B1022" s="62"/>
      <c r="C1022" s="62"/>
      <c r="D1022" s="62"/>
      <c r="E1022" s="62"/>
      <c r="F1022" s="62"/>
      <c r="G1022" s="62"/>
      <c r="H1022" s="62" t="str">
        <f>IF(AND('Data Export'!A1022=前十整体车型排名!$B$2,'Data Export'!B1022=前十整体车型排名!$B$3,'Data Export'!D1022&lt;&gt;""),UPPER('Data Export'!C1022)&amp;"♦"&amp;'Data Export'!D1022,"")</f>
        <v/>
      </c>
      <c r="I1022" s="63" t="str">
        <f>IF(H1022="","",IFERROR(INDEX('Data Export'!G1022:CZ1022,1,MATCH(前十整体车型排名!$B$4,'Data Export'!$G$1:$CZ$1,0)),0))</f>
        <v/>
      </c>
      <c r="J1022" s="62" t="str">
        <f>IF(H1022="","",IF(OR('Data Export'!F1022="三厢轿车",'Data Export'!F1022="掀背轿车",'Data Export'!F1022="旅行车",'Data Export'!F1022="微型车",'Data Export'!F1022="硬顶跑车",'Data Export'!F1022="敞蓬车",'Data Export'!F1022="Targa"),"轿车",IF(OR('Data Export'!F1022="小型MPV",'Data Export'!F1022="客车"),"MPV",IF('Data Export'!F1022="运动型多功能车","SUV","其他"))))</f>
        <v/>
      </c>
      <c r="K1022" s="62"/>
      <c r="L1022" s="62"/>
      <c r="M1022" s="62"/>
      <c r="N1022" s="62"/>
      <c r="O1022" s="62"/>
      <c r="P1022" s="62"/>
      <c r="Q1022" s="62"/>
    </row>
    <row r="1023" spans="1:17">
      <c r="A1023" s="62"/>
      <c r="B1023" s="62"/>
      <c r="C1023" s="62"/>
      <c r="D1023" s="62"/>
      <c r="E1023" s="62"/>
      <c r="F1023" s="62"/>
      <c r="G1023" s="62"/>
      <c r="H1023" s="62" t="str">
        <f>IF(AND('Data Export'!A1023=前十整体车型排名!$B$2,'Data Export'!B1023=前十整体车型排名!$B$3,'Data Export'!D1023&lt;&gt;""),UPPER('Data Export'!C1023)&amp;"♦"&amp;'Data Export'!D1023,"")</f>
        <v/>
      </c>
      <c r="I1023" s="63" t="str">
        <f>IF(H1023="","",IFERROR(INDEX('Data Export'!G1023:CZ1023,1,MATCH(前十整体车型排名!$B$4,'Data Export'!$G$1:$CZ$1,0)),0))</f>
        <v/>
      </c>
      <c r="J1023" s="62" t="str">
        <f>IF(H1023="","",IF(OR('Data Export'!F1023="三厢轿车",'Data Export'!F1023="掀背轿车",'Data Export'!F1023="旅行车",'Data Export'!F1023="微型车",'Data Export'!F1023="硬顶跑车",'Data Export'!F1023="敞蓬车",'Data Export'!F1023="Targa"),"轿车",IF(OR('Data Export'!F1023="小型MPV",'Data Export'!F1023="客车"),"MPV",IF('Data Export'!F1023="运动型多功能车","SUV","其他"))))</f>
        <v/>
      </c>
      <c r="K1023" s="62"/>
      <c r="L1023" s="62"/>
      <c r="M1023" s="62"/>
      <c r="N1023" s="62"/>
      <c r="O1023" s="62"/>
      <c r="P1023" s="62"/>
      <c r="Q1023" s="62"/>
    </row>
    <row r="1024" spans="1:17">
      <c r="A1024" s="62"/>
      <c r="B1024" s="62"/>
      <c r="C1024" s="62"/>
      <c r="D1024" s="62"/>
      <c r="E1024" s="62"/>
      <c r="F1024" s="62"/>
      <c r="G1024" s="62"/>
      <c r="H1024" s="62" t="str">
        <f>IF(AND('Data Export'!A1024=前十整体车型排名!$B$2,'Data Export'!B1024=前十整体车型排名!$B$3,'Data Export'!D1024&lt;&gt;""),UPPER('Data Export'!C1024)&amp;"♦"&amp;'Data Export'!D1024,"")</f>
        <v/>
      </c>
      <c r="I1024" s="63" t="str">
        <f>IF(H1024="","",IFERROR(INDEX('Data Export'!G1024:CZ1024,1,MATCH(前十整体车型排名!$B$4,'Data Export'!$G$1:$CZ$1,0)),0))</f>
        <v/>
      </c>
      <c r="J1024" s="62" t="str">
        <f>IF(H1024="","",IF(OR('Data Export'!F1024="三厢轿车",'Data Export'!F1024="掀背轿车",'Data Export'!F1024="旅行车",'Data Export'!F1024="微型车",'Data Export'!F1024="硬顶跑车",'Data Export'!F1024="敞蓬车",'Data Export'!F1024="Targa"),"轿车",IF(OR('Data Export'!F1024="小型MPV",'Data Export'!F1024="客车"),"MPV",IF('Data Export'!F1024="运动型多功能车","SUV","其他"))))</f>
        <v/>
      </c>
      <c r="K1024" s="62"/>
      <c r="L1024" s="62"/>
      <c r="M1024" s="62"/>
      <c r="N1024" s="62"/>
      <c r="O1024" s="62"/>
      <c r="P1024" s="62"/>
      <c r="Q1024" s="62"/>
    </row>
    <row r="1025" spans="1:17">
      <c r="A1025" s="62"/>
      <c r="B1025" s="62"/>
      <c r="C1025" s="62"/>
      <c r="D1025" s="62"/>
      <c r="E1025" s="62"/>
      <c r="F1025" s="62"/>
      <c r="G1025" s="62"/>
      <c r="H1025" s="62" t="str">
        <f>IF(AND('Data Export'!A1025=前十整体车型排名!$B$2,'Data Export'!B1025=前十整体车型排名!$B$3,'Data Export'!D1025&lt;&gt;""),UPPER('Data Export'!C1025)&amp;"♦"&amp;'Data Export'!D1025,"")</f>
        <v/>
      </c>
      <c r="I1025" s="63" t="str">
        <f>IF(H1025="","",IFERROR(INDEX('Data Export'!G1025:CZ1025,1,MATCH(前十整体车型排名!$B$4,'Data Export'!$G$1:$CZ$1,0)),0))</f>
        <v/>
      </c>
      <c r="J1025" s="62" t="str">
        <f>IF(H1025="","",IF(OR('Data Export'!F1025="三厢轿车",'Data Export'!F1025="掀背轿车",'Data Export'!F1025="旅行车",'Data Export'!F1025="微型车",'Data Export'!F1025="硬顶跑车",'Data Export'!F1025="敞蓬车",'Data Export'!F1025="Targa"),"轿车",IF(OR('Data Export'!F1025="小型MPV",'Data Export'!F1025="客车"),"MPV",IF('Data Export'!F1025="运动型多功能车","SUV","其他"))))</f>
        <v/>
      </c>
      <c r="K1025" s="62"/>
      <c r="L1025" s="62"/>
      <c r="M1025" s="62"/>
      <c r="N1025" s="62"/>
      <c r="O1025" s="62"/>
      <c r="P1025" s="62"/>
      <c r="Q1025" s="62"/>
    </row>
    <row r="1026" spans="1:17">
      <c r="A1026" s="62"/>
      <c r="B1026" s="62"/>
      <c r="C1026" s="62"/>
      <c r="D1026" s="62"/>
      <c r="E1026" s="62"/>
      <c r="F1026" s="62"/>
      <c r="G1026" s="62"/>
      <c r="H1026" s="62" t="str">
        <f>IF(AND('Data Export'!A1026=前十整体车型排名!$B$2,'Data Export'!B1026=前十整体车型排名!$B$3,'Data Export'!D1026&lt;&gt;""),UPPER('Data Export'!C1026)&amp;"♦"&amp;'Data Export'!D1026,"")</f>
        <v/>
      </c>
      <c r="I1026" s="63" t="str">
        <f>IF(H1026="","",IFERROR(INDEX('Data Export'!G1026:CZ1026,1,MATCH(前十整体车型排名!$B$4,'Data Export'!$G$1:$CZ$1,0)),0))</f>
        <v/>
      </c>
      <c r="J1026" s="62" t="str">
        <f>IF(H1026="","",IF(OR('Data Export'!F1026="三厢轿车",'Data Export'!F1026="掀背轿车",'Data Export'!F1026="旅行车",'Data Export'!F1026="微型车",'Data Export'!F1026="硬顶跑车",'Data Export'!F1026="敞蓬车",'Data Export'!F1026="Targa"),"轿车",IF(OR('Data Export'!F1026="小型MPV",'Data Export'!F1026="客车"),"MPV",IF('Data Export'!F1026="运动型多功能车","SUV","其他"))))</f>
        <v/>
      </c>
      <c r="K1026" s="62"/>
      <c r="L1026" s="62"/>
      <c r="M1026" s="62"/>
      <c r="N1026" s="62"/>
      <c r="O1026" s="62"/>
      <c r="P1026" s="62"/>
      <c r="Q1026" s="62"/>
    </row>
    <row r="1027" spans="1:17">
      <c r="A1027" s="62"/>
      <c r="B1027" s="62"/>
      <c r="C1027" s="62"/>
      <c r="D1027" s="62"/>
      <c r="E1027" s="62"/>
      <c r="F1027" s="62"/>
      <c r="G1027" s="62"/>
      <c r="H1027" s="62" t="str">
        <f>IF(AND('Data Export'!A1027=前十整体车型排名!$B$2,'Data Export'!B1027=前十整体车型排名!$B$3,'Data Export'!D1027&lt;&gt;""),UPPER('Data Export'!C1027)&amp;"♦"&amp;'Data Export'!D1027,"")</f>
        <v/>
      </c>
      <c r="I1027" s="63" t="str">
        <f>IF(H1027="","",IFERROR(INDEX('Data Export'!G1027:CZ1027,1,MATCH(前十整体车型排名!$B$4,'Data Export'!$G$1:$CZ$1,0)),0))</f>
        <v/>
      </c>
      <c r="J1027" s="62" t="str">
        <f>IF(H1027="","",IF(OR('Data Export'!F1027="三厢轿车",'Data Export'!F1027="掀背轿车",'Data Export'!F1027="旅行车",'Data Export'!F1027="微型车",'Data Export'!F1027="硬顶跑车",'Data Export'!F1027="敞蓬车",'Data Export'!F1027="Targa"),"轿车",IF(OR('Data Export'!F1027="小型MPV",'Data Export'!F1027="客车"),"MPV",IF('Data Export'!F1027="运动型多功能车","SUV","其他"))))</f>
        <v/>
      </c>
      <c r="K1027" s="62"/>
      <c r="L1027" s="62"/>
      <c r="M1027" s="62"/>
      <c r="N1027" s="62"/>
      <c r="O1027" s="62"/>
      <c r="P1027" s="62"/>
      <c r="Q1027" s="62"/>
    </row>
    <row r="1028" spans="1:17">
      <c r="A1028" s="62"/>
      <c r="B1028" s="62"/>
      <c r="C1028" s="62"/>
      <c r="D1028" s="62"/>
      <c r="E1028" s="62"/>
      <c r="F1028" s="62"/>
      <c r="G1028" s="62"/>
      <c r="H1028" s="62" t="str">
        <f>IF(AND('Data Export'!A1028=前十整体车型排名!$B$2,'Data Export'!B1028=前十整体车型排名!$B$3,'Data Export'!D1028&lt;&gt;""),UPPER('Data Export'!C1028)&amp;"♦"&amp;'Data Export'!D1028,"")</f>
        <v/>
      </c>
      <c r="I1028" s="63" t="str">
        <f>IF(H1028="","",IFERROR(INDEX('Data Export'!G1028:CZ1028,1,MATCH(前十整体车型排名!$B$4,'Data Export'!$G$1:$CZ$1,0)),0))</f>
        <v/>
      </c>
      <c r="J1028" s="62" t="str">
        <f>IF(H1028="","",IF(OR('Data Export'!F1028="三厢轿车",'Data Export'!F1028="掀背轿车",'Data Export'!F1028="旅行车",'Data Export'!F1028="微型车",'Data Export'!F1028="硬顶跑车",'Data Export'!F1028="敞蓬车",'Data Export'!F1028="Targa"),"轿车",IF(OR('Data Export'!F1028="小型MPV",'Data Export'!F1028="客车"),"MPV",IF('Data Export'!F1028="运动型多功能车","SUV","其他"))))</f>
        <v/>
      </c>
      <c r="K1028" s="62"/>
      <c r="L1028" s="62"/>
      <c r="M1028" s="62"/>
      <c r="N1028" s="62"/>
      <c r="O1028" s="62"/>
      <c r="P1028" s="62"/>
      <c r="Q1028" s="62"/>
    </row>
    <row r="1029" spans="1:17">
      <c r="A1029" s="62"/>
      <c r="B1029" s="62"/>
      <c r="C1029" s="62"/>
      <c r="D1029" s="62"/>
      <c r="E1029" s="62"/>
      <c r="F1029" s="62"/>
      <c r="G1029" s="62"/>
      <c r="H1029" s="62" t="str">
        <f>IF(AND('Data Export'!A1029=前十整体车型排名!$B$2,'Data Export'!B1029=前十整体车型排名!$B$3,'Data Export'!D1029&lt;&gt;""),UPPER('Data Export'!C1029)&amp;"♦"&amp;'Data Export'!D1029,"")</f>
        <v/>
      </c>
      <c r="I1029" s="63" t="str">
        <f>IF(H1029="","",IFERROR(INDEX('Data Export'!G1029:CZ1029,1,MATCH(前十整体车型排名!$B$4,'Data Export'!$G$1:$CZ$1,0)),0))</f>
        <v/>
      </c>
      <c r="J1029" s="62" t="str">
        <f>IF(H1029="","",IF(OR('Data Export'!F1029="三厢轿车",'Data Export'!F1029="掀背轿车",'Data Export'!F1029="旅行车",'Data Export'!F1029="微型车",'Data Export'!F1029="硬顶跑车",'Data Export'!F1029="敞蓬车",'Data Export'!F1029="Targa"),"轿车",IF(OR('Data Export'!F1029="小型MPV",'Data Export'!F1029="客车"),"MPV",IF('Data Export'!F1029="运动型多功能车","SUV","其他"))))</f>
        <v/>
      </c>
      <c r="K1029" s="62"/>
      <c r="L1029" s="62"/>
      <c r="M1029" s="62"/>
      <c r="N1029" s="62"/>
      <c r="O1029" s="62"/>
      <c r="P1029" s="62"/>
      <c r="Q1029" s="62"/>
    </row>
    <row r="1030" spans="1:17">
      <c r="A1030" s="62"/>
      <c r="B1030" s="62"/>
      <c r="C1030" s="62"/>
      <c r="D1030" s="62"/>
      <c r="E1030" s="62"/>
      <c r="F1030" s="62"/>
      <c r="G1030" s="62"/>
      <c r="H1030" s="62" t="str">
        <f>IF(AND('Data Export'!A1030=前十整体车型排名!$B$2,'Data Export'!B1030=前十整体车型排名!$B$3,'Data Export'!D1030&lt;&gt;""),UPPER('Data Export'!C1030)&amp;"♦"&amp;'Data Export'!D1030,"")</f>
        <v/>
      </c>
      <c r="I1030" s="63" t="str">
        <f>IF(H1030="","",IFERROR(INDEX('Data Export'!G1030:CZ1030,1,MATCH(前十整体车型排名!$B$4,'Data Export'!$G$1:$CZ$1,0)),0))</f>
        <v/>
      </c>
      <c r="J1030" s="62" t="str">
        <f>IF(H1030="","",IF(OR('Data Export'!F1030="三厢轿车",'Data Export'!F1030="掀背轿车",'Data Export'!F1030="旅行车",'Data Export'!F1030="微型车",'Data Export'!F1030="硬顶跑车",'Data Export'!F1030="敞蓬车",'Data Export'!F1030="Targa"),"轿车",IF(OR('Data Export'!F1030="小型MPV",'Data Export'!F1030="客车"),"MPV",IF('Data Export'!F1030="运动型多功能车","SUV","其他"))))</f>
        <v/>
      </c>
      <c r="K1030" s="62"/>
      <c r="L1030" s="62"/>
      <c r="M1030" s="62"/>
      <c r="N1030" s="62"/>
      <c r="O1030" s="62"/>
      <c r="P1030" s="62"/>
      <c r="Q1030" s="62"/>
    </row>
    <row r="1031" spans="1:17">
      <c r="A1031" s="62"/>
      <c r="B1031" s="62"/>
      <c r="C1031" s="62"/>
      <c r="D1031" s="62"/>
      <c r="E1031" s="62"/>
      <c r="F1031" s="62"/>
      <c r="G1031" s="62"/>
      <c r="H1031" s="62" t="str">
        <f>IF(AND('Data Export'!A1031=前十整体车型排名!$B$2,'Data Export'!B1031=前十整体车型排名!$B$3,'Data Export'!D1031&lt;&gt;""),UPPER('Data Export'!C1031)&amp;"♦"&amp;'Data Export'!D1031,"")</f>
        <v/>
      </c>
      <c r="I1031" s="63" t="str">
        <f>IF(H1031="","",IFERROR(INDEX('Data Export'!G1031:CZ1031,1,MATCH(前十整体车型排名!$B$4,'Data Export'!$G$1:$CZ$1,0)),0))</f>
        <v/>
      </c>
      <c r="J1031" s="62" t="str">
        <f>IF(H1031="","",IF(OR('Data Export'!F1031="三厢轿车",'Data Export'!F1031="掀背轿车",'Data Export'!F1031="旅行车",'Data Export'!F1031="微型车",'Data Export'!F1031="硬顶跑车",'Data Export'!F1031="敞蓬车",'Data Export'!F1031="Targa"),"轿车",IF(OR('Data Export'!F1031="小型MPV",'Data Export'!F1031="客车"),"MPV",IF('Data Export'!F1031="运动型多功能车","SUV","其他"))))</f>
        <v/>
      </c>
      <c r="K1031" s="62"/>
      <c r="L1031" s="62"/>
      <c r="M1031" s="62"/>
      <c r="N1031" s="62"/>
      <c r="O1031" s="62"/>
      <c r="P1031" s="62"/>
      <c r="Q1031" s="62"/>
    </row>
    <row r="1032" spans="1:17">
      <c r="A1032" s="62"/>
      <c r="B1032" s="62"/>
      <c r="C1032" s="62"/>
      <c r="D1032" s="62"/>
      <c r="E1032" s="62"/>
      <c r="F1032" s="62"/>
      <c r="G1032" s="62"/>
      <c r="H1032" s="62" t="str">
        <f>IF(AND('Data Export'!A1032=前十整体车型排名!$B$2,'Data Export'!B1032=前十整体车型排名!$B$3,'Data Export'!D1032&lt;&gt;""),UPPER('Data Export'!C1032)&amp;"♦"&amp;'Data Export'!D1032,"")</f>
        <v/>
      </c>
      <c r="I1032" s="63" t="str">
        <f>IF(H1032="","",IFERROR(INDEX('Data Export'!G1032:CZ1032,1,MATCH(前十整体车型排名!$B$4,'Data Export'!$G$1:$CZ$1,0)),0))</f>
        <v/>
      </c>
      <c r="J1032" s="62" t="str">
        <f>IF(H1032="","",IF(OR('Data Export'!F1032="三厢轿车",'Data Export'!F1032="掀背轿车",'Data Export'!F1032="旅行车",'Data Export'!F1032="微型车",'Data Export'!F1032="硬顶跑车",'Data Export'!F1032="敞蓬车",'Data Export'!F1032="Targa"),"轿车",IF(OR('Data Export'!F1032="小型MPV",'Data Export'!F1032="客车"),"MPV",IF('Data Export'!F1032="运动型多功能车","SUV","其他"))))</f>
        <v/>
      </c>
      <c r="K1032" s="62"/>
      <c r="L1032" s="62"/>
      <c r="M1032" s="62"/>
      <c r="N1032" s="62"/>
      <c r="O1032" s="62"/>
      <c r="P1032" s="62"/>
      <c r="Q1032" s="62"/>
    </row>
    <row r="1033" spans="1:17">
      <c r="A1033" s="62"/>
      <c r="B1033" s="62"/>
      <c r="C1033" s="62"/>
      <c r="D1033" s="62"/>
      <c r="E1033" s="62"/>
      <c r="F1033" s="62"/>
      <c r="G1033" s="62"/>
      <c r="H1033" s="62" t="str">
        <f>IF(AND('Data Export'!A1033=前十整体车型排名!$B$2,'Data Export'!B1033=前十整体车型排名!$B$3,'Data Export'!D1033&lt;&gt;""),UPPER('Data Export'!C1033)&amp;"♦"&amp;'Data Export'!D1033,"")</f>
        <v/>
      </c>
      <c r="I1033" s="63" t="str">
        <f>IF(H1033="","",IFERROR(INDEX('Data Export'!G1033:CZ1033,1,MATCH(前十整体车型排名!$B$4,'Data Export'!$G$1:$CZ$1,0)),0))</f>
        <v/>
      </c>
      <c r="J1033" s="62" t="str">
        <f>IF(H1033="","",IF(OR('Data Export'!F1033="三厢轿车",'Data Export'!F1033="掀背轿车",'Data Export'!F1033="旅行车",'Data Export'!F1033="微型车",'Data Export'!F1033="硬顶跑车",'Data Export'!F1033="敞蓬车",'Data Export'!F1033="Targa"),"轿车",IF(OR('Data Export'!F1033="小型MPV",'Data Export'!F1033="客车"),"MPV",IF('Data Export'!F1033="运动型多功能车","SUV","其他"))))</f>
        <v/>
      </c>
      <c r="K1033" s="62"/>
      <c r="L1033" s="62"/>
      <c r="M1033" s="62"/>
      <c r="N1033" s="62"/>
      <c r="O1033" s="62"/>
      <c r="P1033" s="62"/>
      <c r="Q1033" s="62"/>
    </row>
    <row r="1034" spans="1:17">
      <c r="A1034" s="62"/>
      <c r="B1034" s="62"/>
      <c r="C1034" s="62"/>
      <c r="D1034" s="62"/>
      <c r="E1034" s="62"/>
      <c r="F1034" s="62"/>
      <c r="G1034" s="62"/>
      <c r="H1034" s="62" t="str">
        <f>IF(AND('Data Export'!A1034=前十整体车型排名!$B$2,'Data Export'!B1034=前十整体车型排名!$B$3,'Data Export'!D1034&lt;&gt;""),UPPER('Data Export'!C1034)&amp;"♦"&amp;'Data Export'!D1034,"")</f>
        <v/>
      </c>
      <c r="I1034" s="63" t="str">
        <f>IF(H1034="","",IFERROR(INDEX('Data Export'!G1034:CZ1034,1,MATCH(前十整体车型排名!$B$4,'Data Export'!$G$1:$CZ$1,0)),0))</f>
        <v/>
      </c>
      <c r="J1034" s="62" t="str">
        <f>IF(H1034="","",IF(OR('Data Export'!F1034="三厢轿车",'Data Export'!F1034="掀背轿车",'Data Export'!F1034="旅行车",'Data Export'!F1034="微型车",'Data Export'!F1034="硬顶跑车",'Data Export'!F1034="敞蓬车",'Data Export'!F1034="Targa"),"轿车",IF(OR('Data Export'!F1034="小型MPV",'Data Export'!F1034="客车"),"MPV",IF('Data Export'!F1034="运动型多功能车","SUV","其他"))))</f>
        <v/>
      </c>
      <c r="K1034" s="62"/>
      <c r="L1034" s="62"/>
      <c r="M1034" s="62"/>
      <c r="N1034" s="62"/>
      <c r="O1034" s="62"/>
      <c r="P1034" s="62"/>
      <c r="Q1034" s="62"/>
    </row>
    <row r="1035" spans="1:17">
      <c r="A1035" s="62"/>
      <c r="B1035" s="62"/>
      <c r="C1035" s="62"/>
      <c r="D1035" s="62"/>
      <c r="E1035" s="62"/>
      <c r="F1035" s="62"/>
      <c r="G1035" s="62"/>
      <c r="H1035" s="62" t="str">
        <f>IF(AND('Data Export'!A1035=前十整体车型排名!$B$2,'Data Export'!B1035=前十整体车型排名!$B$3,'Data Export'!D1035&lt;&gt;""),UPPER('Data Export'!C1035)&amp;"♦"&amp;'Data Export'!D1035,"")</f>
        <v/>
      </c>
      <c r="I1035" s="63" t="str">
        <f>IF(H1035="","",IFERROR(INDEX('Data Export'!G1035:CZ1035,1,MATCH(前十整体车型排名!$B$4,'Data Export'!$G$1:$CZ$1,0)),0))</f>
        <v/>
      </c>
      <c r="J1035" s="62" t="str">
        <f>IF(H1035="","",IF(OR('Data Export'!F1035="三厢轿车",'Data Export'!F1035="掀背轿车",'Data Export'!F1035="旅行车",'Data Export'!F1035="微型车",'Data Export'!F1035="硬顶跑车",'Data Export'!F1035="敞蓬车",'Data Export'!F1035="Targa"),"轿车",IF(OR('Data Export'!F1035="小型MPV",'Data Export'!F1035="客车"),"MPV",IF('Data Export'!F1035="运动型多功能车","SUV","其他"))))</f>
        <v/>
      </c>
      <c r="K1035" s="62"/>
      <c r="L1035" s="62"/>
      <c r="M1035" s="62"/>
      <c r="N1035" s="62"/>
      <c r="O1035" s="62"/>
      <c r="P1035" s="62"/>
      <c r="Q1035" s="62"/>
    </row>
    <row r="1036" spans="1:17">
      <c r="A1036" s="62"/>
      <c r="B1036" s="62"/>
      <c r="C1036" s="62"/>
      <c r="D1036" s="62"/>
      <c r="E1036" s="62"/>
      <c r="F1036" s="62"/>
      <c r="G1036" s="62"/>
      <c r="H1036" s="62" t="str">
        <f>IF(AND('Data Export'!A1036=前十整体车型排名!$B$2,'Data Export'!B1036=前十整体车型排名!$B$3,'Data Export'!D1036&lt;&gt;""),UPPER('Data Export'!C1036)&amp;"♦"&amp;'Data Export'!D1036,"")</f>
        <v/>
      </c>
      <c r="I1036" s="63" t="str">
        <f>IF(H1036="","",IFERROR(INDEX('Data Export'!G1036:CZ1036,1,MATCH(前十整体车型排名!$B$4,'Data Export'!$G$1:$CZ$1,0)),0))</f>
        <v/>
      </c>
      <c r="J1036" s="62" t="str">
        <f>IF(H1036="","",IF(OR('Data Export'!F1036="三厢轿车",'Data Export'!F1036="掀背轿车",'Data Export'!F1036="旅行车",'Data Export'!F1036="微型车",'Data Export'!F1036="硬顶跑车",'Data Export'!F1036="敞蓬车",'Data Export'!F1036="Targa"),"轿车",IF(OR('Data Export'!F1036="小型MPV",'Data Export'!F1036="客车"),"MPV",IF('Data Export'!F1036="运动型多功能车","SUV","其他"))))</f>
        <v/>
      </c>
      <c r="K1036" s="62"/>
      <c r="L1036" s="62"/>
      <c r="M1036" s="62"/>
      <c r="N1036" s="62"/>
      <c r="O1036" s="62"/>
      <c r="P1036" s="62"/>
      <c r="Q1036" s="62"/>
    </row>
    <row r="1037" spans="1:17">
      <c r="A1037" s="62"/>
      <c r="B1037" s="62"/>
      <c r="C1037" s="62"/>
      <c r="D1037" s="62"/>
      <c r="E1037" s="62"/>
      <c r="F1037" s="62"/>
      <c r="G1037" s="62"/>
      <c r="H1037" s="62" t="str">
        <f>IF(AND('Data Export'!A1037=前十整体车型排名!$B$2,'Data Export'!B1037=前十整体车型排名!$B$3,'Data Export'!D1037&lt;&gt;""),UPPER('Data Export'!C1037)&amp;"♦"&amp;'Data Export'!D1037,"")</f>
        <v/>
      </c>
      <c r="I1037" s="63" t="str">
        <f>IF(H1037="","",IFERROR(INDEX('Data Export'!G1037:CZ1037,1,MATCH(前十整体车型排名!$B$4,'Data Export'!$G$1:$CZ$1,0)),0))</f>
        <v/>
      </c>
      <c r="J1037" s="62" t="str">
        <f>IF(H1037="","",IF(OR('Data Export'!F1037="三厢轿车",'Data Export'!F1037="掀背轿车",'Data Export'!F1037="旅行车",'Data Export'!F1037="微型车",'Data Export'!F1037="硬顶跑车",'Data Export'!F1037="敞蓬车",'Data Export'!F1037="Targa"),"轿车",IF(OR('Data Export'!F1037="小型MPV",'Data Export'!F1037="客车"),"MPV",IF('Data Export'!F1037="运动型多功能车","SUV","其他"))))</f>
        <v/>
      </c>
      <c r="K1037" s="62"/>
      <c r="L1037" s="62"/>
      <c r="M1037" s="62"/>
      <c r="N1037" s="62"/>
      <c r="O1037" s="62"/>
      <c r="P1037" s="62"/>
      <c r="Q1037" s="62"/>
    </row>
    <row r="1038" spans="1:17">
      <c r="A1038" s="62"/>
      <c r="B1038" s="62"/>
      <c r="C1038" s="62"/>
      <c r="D1038" s="62"/>
      <c r="E1038" s="62"/>
      <c r="F1038" s="62"/>
      <c r="G1038" s="62"/>
      <c r="H1038" s="62" t="str">
        <f>IF(AND('Data Export'!A1038=前十整体车型排名!$B$2,'Data Export'!B1038=前十整体车型排名!$B$3,'Data Export'!D1038&lt;&gt;""),UPPER('Data Export'!C1038)&amp;"♦"&amp;'Data Export'!D1038,"")</f>
        <v/>
      </c>
      <c r="I1038" s="63" t="str">
        <f>IF(H1038="","",IFERROR(INDEX('Data Export'!G1038:CZ1038,1,MATCH(前十整体车型排名!$B$4,'Data Export'!$G$1:$CZ$1,0)),0))</f>
        <v/>
      </c>
      <c r="J1038" s="62" t="str">
        <f>IF(H1038="","",IF(OR('Data Export'!F1038="三厢轿车",'Data Export'!F1038="掀背轿车",'Data Export'!F1038="旅行车",'Data Export'!F1038="微型车",'Data Export'!F1038="硬顶跑车",'Data Export'!F1038="敞蓬车",'Data Export'!F1038="Targa"),"轿车",IF(OR('Data Export'!F1038="小型MPV",'Data Export'!F1038="客车"),"MPV",IF('Data Export'!F1038="运动型多功能车","SUV","其他"))))</f>
        <v/>
      </c>
      <c r="K1038" s="62"/>
      <c r="L1038" s="62"/>
      <c r="M1038" s="62"/>
      <c r="N1038" s="62"/>
      <c r="O1038" s="62"/>
      <c r="P1038" s="62"/>
      <c r="Q1038" s="62"/>
    </row>
    <row r="1039" spans="1:17">
      <c r="A1039" s="62"/>
      <c r="B1039" s="62"/>
      <c r="C1039" s="62"/>
      <c r="D1039" s="62"/>
      <c r="E1039" s="62"/>
      <c r="F1039" s="62"/>
      <c r="G1039" s="62"/>
      <c r="H1039" s="62" t="str">
        <f>IF(AND('Data Export'!A1039=前十整体车型排名!$B$2,'Data Export'!B1039=前十整体车型排名!$B$3,'Data Export'!D1039&lt;&gt;""),UPPER('Data Export'!C1039)&amp;"♦"&amp;'Data Export'!D1039,"")</f>
        <v/>
      </c>
      <c r="I1039" s="63" t="str">
        <f>IF(H1039="","",IFERROR(INDEX('Data Export'!G1039:CZ1039,1,MATCH(前十整体车型排名!$B$4,'Data Export'!$G$1:$CZ$1,0)),0))</f>
        <v/>
      </c>
      <c r="J1039" s="62" t="str">
        <f>IF(H1039="","",IF(OR('Data Export'!F1039="三厢轿车",'Data Export'!F1039="掀背轿车",'Data Export'!F1039="旅行车",'Data Export'!F1039="微型车",'Data Export'!F1039="硬顶跑车",'Data Export'!F1039="敞蓬车",'Data Export'!F1039="Targa"),"轿车",IF(OR('Data Export'!F1039="小型MPV",'Data Export'!F1039="客车"),"MPV",IF('Data Export'!F1039="运动型多功能车","SUV","其他"))))</f>
        <v/>
      </c>
      <c r="K1039" s="62"/>
      <c r="L1039" s="62"/>
      <c r="M1039" s="62"/>
      <c r="N1039" s="62"/>
      <c r="O1039" s="62"/>
      <c r="P1039" s="62"/>
      <c r="Q1039" s="62"/>
    </row>
    <row r="1040" spans="1:17">
      <c r="A1040" s="62"/>
      <c r="B1040" s="62"/>
      <c r="C1040" s="62"/>
      <c r="D1040" s="62"/>
      <c r="E1040" s="62"/>
      <c r="F1040" s="62"/>
      <c r="G1040" s="62"/>
      <c r="H1040" s="62" t="str">
        <f>IF(AND('Data Export'!A1040=前十整体车型排名!$B$2,'Data Export'!B1040=前十整体车型排名!$B$3,'Data Export'!D1040&lt;&gt;""),UPPER('Data Export'!C1040)&amp;"♦"&amp;'Data Export'!D1040,"")</f>
        <v/>
      </c>
      <c r="I1040" s="63" t="str">
        <f>IF(H1040="","",IFERROR(INDEX('Data Export'!G1040:CZ1040,1,MATCH(前十整体车型排名!$B$4,'Data Export'!$G$1:$CZ$1,0)),0))</f>
        <v/>
      </c>
      <c r="J1040" s="62" t="str">
        <f>IF(H1040="","",IF(OR('Data Export'!F1040="三厢轿车",'Data Export'!F1040="掀背轿车",'Data Export'!F1040="旅行车",'Data Export'!F1040="微型车",'Data Export'!F1040="硬顶跑车",'Data Export'!F1040="敞蓬车",'Data Export'!F1040="Targa"),"轿车",IF(OR('Data Export'!F1040="小型MPV",'Data Export'!F1040="客车"),"MPV",IF('Data Export'!F1040="运动型多功能车","SUV","其他"))))</f>
        <v/>
      </c>
      <c r="K1040" s="62"/>
      <c r="L1040" s="62"/>
      <c r="M1040" s="62"/>
      <c r="N1040" s="62"/>
      <c r="O1040" s="62"/>
      <c r="P1040" s="62"/>
      <c r="Q1040" s="62"/>
    </row>
    <row r="1041" spans="1:17">
      <c r="A1041" s="62"/>
      <c r="B1041" s="62"/>
      <c r="C1041" s="62"/>
      <c r="D1041" s="62"/>
      <c r="E1041" s="62"/>
      <c r="F1041" s="62"/>
      <c r="G1041" s="62"/>
      <c r="H1041" s="62" t="str">
        <f>IF(AND('Data Export'!A1041=前十整体车型排名!$B$2,'Data Export'!B1041=前十整体车型排名!$B$3,'Data Export'!D1041&lt;&gt;""),UPPER('Data Export'!C1041)&amp;"♦"&amp;'Data Export'!D1041,"")</f>
        <v/>
      </c>
      <c r="I1041" s="63" t="str">
        <f>IF(H1041="","",IFERROR(INDEX('Data Export'!G1041:CZ1041,1,MATCH(前十整体车型排名!$B$4,'Data Export'!$G$1:$CZ$1,0)),0))</f>
        <v/>
      </c>
      <c r="J1041" s="62" t="str">
        <f>IF(H1041="","",IF(OR('Data Export'!F1041="三厢轿车",'Data Export'!F1041="掀背轿车",'Data Export'!F1041="旅行车",'Data Export'!F1041="微型车",'Data Export'!F1041="硬顶跑车",'Data Export'!F1041="敞蓬车",'Data Export'!F1041="Targa"),"轿车",IF(OR('Data Export'!F1041="小型MPV",'Data Export'!F1041="客车"),"MPV",IF('Data Export'!F1041="运动型多功能车","SUV","其他"))))</f>
        <v/>
      </c>
      <c r="K1041" s="62"/>
      <c r="L1041" s="62"/>
      <c r="M1041" s="62"/>
      <c r="N1041" s="62"/>
      <c r="O1041" s="62"/>
      <c r="P1041" s="62"/>
      <c r="Q1041" s="62"/>
    </row>
    <row r="1042" spans="1:17">
      <c r="A1042" s="62"/>
      <c r="B1042" s="62"/>
      <c r="C1042" s="62"/>
      <c r="D1042" s="62"/>
      <c r="E1042" s="62"/>
      <c r="F1042" s="62"/>
      <c r="G1042" s="62"/>
      <c r="H1042" s="62" t="str">
        <f>IF(AND('Data Export'!A1042=前十整体车型排名!$B$2,'Data Export'!B1042=前十整体车型排名!$B$3,'Data Export'!D1042&lt;&gt;""),UPPER('Data Export'!C1042)&amp;"♦"&amp;'Data Export'!D1042,"")</f>
        <v/>
      </c>
      <c r="I1042" s="63" t="str">
        <f>IF(H1042="","",IFERROR(INDEX('Data Export'!G1042:CZ1042,1,MATCH(前十整体车型排名!$B$4,'Data Export'!$G$1:$CZ$1,0)),0))</f>
        <v/>
      </c>
      <c r="J1042" s="62" t="str">
        <f>IF(H1042="","",IF(OR('Data Export'!F1042="三厢轿车",'Data Export'!F1042="掀背轿车",'Data Export'!F1042="旅行车",'Data Export'!F1042="微型车",'Data Export'!F1042="硬顶跑车",'Data Export'!F1042="敞蓬车",'Data Export'!F1042="Targa"),"轿车",IF(OR('Data Export'!F1042="小型MPV",'Data Export'!F1042="客车"),"MPV",IF('Data Export'!F1042="运动型多功能车","SUV","其他"))))</f>
        <v/>
      </c>
      <c r="K1042" s="62"/>
      <c r="L1042" s="62"/>
      <c r="M1042" s="62"/>
      <c r="N1042" s="62"/>
      <c r="O1042" s="62"/>
      <c r="P1042" s="62"/>
      <c r="Q1042" s="62"/>
    </row>
    <row r="1043" spans="1:17">
      <c r="A1043" s="62"/>
      <c r="B1043" s="62"/>
      <c r="C1043" s="62"/>
      <c r="D1043" s="62"/>
      <c r="E1043" s="62"/>
      <c r="F1043" s="62"/>
      <c r="G1043" s="62"/>
      <c r="H1043" s="62" t="str">
        <f>IF(AND('Data Export'!A1043=前十整体车型排名!$B$2,'Data Export'!B1043=前十整体车型排名!$B$3,'Data Export'!D1043&lt;&gt;""),UPPER('Data Export'!C1043)&amp;"♦"&amp;'Data Export'!D1043,"")</f>
        <v/>
      </c>
      <c r="I1043" s="63" t="str">
        <f>IF(H1043="","",IFERROR(INDEX('Data Export'!G1043:CZ1043,1,MATCH(前十整体车型排名!$B$4,'Data Export'!$G$1:$CZ$1,0)),0))</f>
        <v/>
      </c>
      <c r="J1043" s="62" t="str">
        <f>IF(H1043="","",IF(OR('Data Export'!F1043="三厢轿车",'Data Export'!F1043="掀背轿车",'Data Export'!F1043="旅行车",'Data Export'!F1043="微型车",'Data Export'!F1043="硬顶跑车",'Data Export'!F1043="敞蓬车",'Data Export'!F1043="Targa"),"轿车",IF(OR('Data Export'!F1043="小型MPV",'Data Export'!F1043="客车"),"MPV",IF('Data Export'!F1043="运动型多功能车","SUV","其他"))))</f>
        <v/>
      </c>
      <c r="K1043" s="62"/>
      <c r="L1043" s="62"/>
      <c r="M1043" s="62"/>
      <c r="N1043" s="62"/>
      <c r="O1043" s="62"/>
      <c r="P1043" s="62"/>
      <c r="Q1043" s="62"/>
    </row>
    <row r="1044" spans="1:17">
      <c r="A1044" s="62"/>
      <c r="B1044" s="62"/>
      <c r="C1044" s="62"/>
      <c r="D1044" s="62"/>
      <c r="E1044" s="62"/>
      <c r="F1044" s="62"/>
      <c r="G1044" s="62"/>
      <c r="H1044" s="62" t="str">
        <f>IF(AND('Data Export'!A1044=前十整体车型排名!$B$2,'Data Export'!B1044=前十整体车型排名!$B$3,'Data Export'!D1044&lt;&gt;""),UPPER('Data Export'!C1044)&amp;"♦"&amp;'Data Export'!D1044,"")</f>
        <v/>
      </c>
      <c r="I1044" s="63" t="str">
        <f>IF(H1044="","",IFERROR(INDEX('Data Export'!G1044:CZ1044,1,MATCH(前十整体车型排名!$B$4,'Data Export'!$G$1:$CZ$1,0)),0))</f>
        <v/>
      </c>
      <c r="J1044" s="62" t="str">
        <f>IF(H1044="","",IF(OR('Data Export'!F1044="三厢轿车",'Data Export'!F1044="掀背轿车",'Data Export'!F1044="旅行车",'Data Export'!F1044="微型车",'Data Export'!F1044="硬顶跑车",'Data Export'!F1044="敞蓬车",'Data Export'!F1044="Targa"),"轿车",IF(OR('Data Export'!F1044="小型MPV",'Data Export'!F1044="客车"),"MPV",IF('Data Export'!F1044="运动型多功能车","SUV","其他"))))</f>
        <v/>
      </c>
      <c r="K1044" s="62"/>
      <c r="L1044" s="62"/>
      <c r="M1044" s="62"/>
      <c r="N1044" s="62"/>
      <c r="O1044" s="62"/>
      <c r="P1044" s="62"/>
      <c r="Q1044" s="62"/>
    </row>
    <row r="1045" spans="1:17">
      <c r="A1045" s="62"/>
      <c r="B1045" s="62"/>
      <c r="C1045" s="62"/>
      <c r="D1045" s="62"/>
      <c r="E1045" s="62"/>
      <c r="F1045" s="62"/>
      <c r="G1045" s="62"/>
      <c r="H1045" s="62" t="str">
        <f>IF(AND('Data Export'!A1045=前十整体车型排名!$B$2,'Data Export'!B1045=前十整体车型排名!$B$3,'Data Export'!D1045&lt;&gt;""),UPPER('Data Export'!C1045)&amp;"♦"&amp;'Data Export'!D1045,"")</f>
        <v/>
      </c>
      <c r="I1045" s="63" t="str">
        <f>IF(H1045="","",IFERROR(INDEX('Data Export'!G1045:CZ1045,1,MATCH(前十整体车型排名!$B$4,'Data Export'!$G$1:$CZ$1,0)),0))</f>
        <v/>
      </c>
      <c r="J1045" s="62" t="str">
        <f>IF(H1045="","",IF(OR('Data Export'!F1045="三厢轿车",'Data Export'!F1045="掀背轿车",'Data Export'!F1045="旅行车",'Data Export'!F1045="微型车",'Data Export'!F1045="硬顶跑车",'Data Export'!F1045="敞蓬车",'Data Export'!F1045="Targa"),"轿车",IF(OR('Data Export'!F1045="小型MPV",'Data Export'!F1045="客车"),"MPV",IF('Data Export'!F1045="运动型多功能车","SUV","其他"))))</f>
        <v/>
      </c>
      <c r="K1045" s="62"/>
      <c r="L1045" s="62"/>
      <c r="M1045" s="62"/>
      <c r="N1045" s="62"/>
      <c r="O1045" s="62"/>
      <c r="P1045" s="62"/>
      <c r="Q1045" s="62"/>
    </row>
    <row r="1046" spans="1:17">
      <c r="A1046" s="62"/>
      <c r="B1046" s="62"/>
      <c r="C1046" s="62"/>
      <c r="D1046" s="62"/>
      <c r="E1046" s="62"/>
      <c r="F1046" s="62"/>
      <c r="G1046" s="62"/>
      <c r="H1046" s="62" t="str">
        <f>IF(AND('Data Export'!A1046=前十整体车型排名!$B$2,'Data Export'!B1046=前十整体车型排名!$B$3,'Data Export'!D1046&lt;&gt;""),UPPER('Data Export'!C1046)&amp;"♦"&amp;'Data Export'!D1046,"")</f>
        <v/>
      </c>
      <c r="I1046" s="63" t="str">
        <f>IF(H1046="","",IFERROR(INDEX('Data Export'!G1046:CZ1046,1,MATCH(前十整体车型排名!$B$4,'Data Export'!$G$1:$CZ$1,0)),0))</f>
        <v/>
      </c>
      <c r="J1046" s="62" t="str">
        <f>IF(H1046="","",IF(OR('Data Export'!F1046="三厢轿车",'Data Export'!F1046="掀背轿车",'Data Export'!F1046="旅行车",'Data Export'!F1046="微型车",'Data Export'!F1046="硬顶跑车",'Data Export'!F1046="敞蓬车",'Data Export'!F1046="Targa"),"轿车",IF(OR('Data Export'!F1046="小型MPV",'Data Export'!F1046="客车"),"MPV",IF('Data Export'!F1046="运动型多功能车","SUV","其他"))))</f>
        <v/>
      </c>
      <c r="K1046" s="62"/>
      <c r="L1046" s="62"/>
      <c r="M1046" s="62"/>
      <c r="N1046" s="62"/>
      <c r="O1046" s="62"/>
      <c r="P1046" s="62"/>
      <c r="Q1046" s="62"/>
    </row>
    <row r="1047" spans="1:17">
      <c r="A1047" s="62"/>
      <c r="B1047" s="62"/>
      <c r="C1047" s="62"/>
      <c r="D1047" s="62"/>
      <c r="E1047" s="62"/>
      <c r="F1047" s="62"/>
      <c r="G1047" s="62"/>
      <c r="H1047" s="62" t="str">
        <f>IF(AND('Data Export'!A1047=前十整体车型排名!$B$2,'Data Export'!B1047=前十整体车型排名!$B$3,'Data Export'!D1047&lt;&gt;""),UPPER('Data Export'!C1047)&amp;"♦"&amp;'Data Export'!D1047,"")</f>
        <v/>
      </c>
      <c r="I1047" s="63" t="str">
        <f>IF(H1047="","",IFERROR(INDEX('Data Export'!G1047:CZ1047,1,MATCH(前十整体车型排名!$B$4,'Data Export'!$G$1:$CZ$1,0)),0))</f>
        <v/>
      </c>
      <c r="J1047" s="62" t="str">
        <f>IF(H1047="","",IF(OR('Data Export'!F1047="三厢轿车",'Data Export'!F1047="掀背轿车",'Data Export'!F1047="旅行车",'Data Export'!F1047="微型车",'Data Export'!F1047="硬顶跑车",'Data Export'!F1047="敞蓬车",'Data Export'!F1047="Targa"),"轿车",IF(OR('Data Export'!F1047="小型MPV",'Data Export'!F1047="客车"),"MPV",IF('Data Export'!F1047="运动型多功能车","SUV","其他"))))</f>
        <v/>
      </c>
      <c r="K1047" s="62"/>
      <c r="L1047" s="62"/>
      <c r="M1047" s="62"/>
      <c r="N1047" s="62"/>
      <c r="O1047" s="62"/>
      <c r="P1047" s="62"/>
      <c r="Q1047" s="62"/>
    </row>
    <row r="1048" spans="1:17">
      <c r="A1048" s="62"/>
      <c r="B1048" s="62"/>
      <c r="C1048" s="62"/>
      <c r="D1048" s="62"/>
      <c r="E1048" s="62"/>
      <c r="F1048" s="62"/>
      <c r="G1048" s="62"/>
      <c r="H1048" s="62" t="str">
        <f>IF(AND('Data Export'!A1048=前十整体车型排名!$B$2,'Data Export'!B1048=前十整体车型排名!$B$3,'Data Export'!D1048&lt;&gt;""),UPPER('Data Export'!C1048)&amp;"♦"&amp;'Data Export'!D1048,"")</f>
        <v/>
      </c>
      <c r="I1048" s="63" t="str">
        <f>IF(H1048="","",IFERROR(INDEX('Data Export'!G1048:CZ1048,1,MATCH(前十整体车型排名!$B$4,'Data Export'!$G$1:$CZ$1,0)),0))</f>
        <v/>
      </c>
      <c r="J1048" s="62" t="str">
        <f>IF(H1048="","",IF(OR('Data Export'!F1048="三厢轿车",'Data Export'!F1048="掀背轿车",'Data Export'!F1048="旅行车",'Data Export'!F1048="微型车",'Data Export'!F1048="硬顶跑车",'Data Export'!F1048="敞蓬车",'Data Export'!F1048="Targa"),"轿车",IF(OR('Data Export'!F1048="小型MPV",'Data Export'!F1048="客车"),"MPV",IF('Data Export'!F1048="运动型多功能车","SUV","其他"))))</f>
        <v/>
      </c>
      <c r="K1048" s="62"/>
      <c r="L1048" s="62"/>
      <c r="M1048" s="62"/>
      <c r="N1048" s="62"/>
      <c r="O1048" s="62"/>
      <c r="P1048" s="62"/>
      <c r="Q1048" s="62"/>
    </row>
    <row r="1049" spans="1:17">
      <c r="A1049" s="62"/>
      <c r="B1049" s="62"/>
      <c r="C1049" s="62"/>
      <c r="D1049" s="62"/>
      <c r="E1049" s="62"/>
      <c r="F1049" s="62"/>
      <c r="G1049" s="62"/>
      <c r="H1049" s="62" t="str">
        <f>IF(AND('Data Export'!A1049=前十整体车型排名!$B$2,'Data Export'!B1049=前十整体车型排名!$B$3,'Data Export'!D1049&lt;&gt;""),UPPER('Data Export'!C1049)&amp;"♦"&amp;'Data Export'!D1049,"")</f>
        <v/>
      </c>
      <c r="I1049" s="63" t="str">
        <f>IF(H1049="","",IFERROR(INDEX('Data Export'!G1049:CZ1049,1,MATCH(前十整体车型排名!$B$4,'Data Export'!$G$1:$CZ$1,0)),0))</f>
        <v/>
      </c>
      <c r="J1049" s="62" t="str">
        <f>IF(H1049="","",IF(OR('Data Export'!F1049="三厢轿车",'Data Export'!F1049="掀背轿车",'Data Export'!F1049="旅行车",'Data Export'!F1049="微型车",'Data Export'!F1049="硬顶跑车",'Data Export'!F1049="敞蓬车",'Data Export'!F1049="Targa"),"轿车",IF(OR('Data Export'!F1049="小型MPV",'Data Export'!F1049="客车"),"MPV",IF('Data Export'!F1049="运动型多功能车","SUV","其他"))))</f>
        <v/>
      </c>
      <c r="K1049" s="62"/>
      <c r="L1049" s="62"/>
      <c r="M1049" s="62"/>
      <c r="N1049" s="62"/>
      <c r="O1049" s="62"/>
      <c r="P1049" s="62"/>
      <c r="Q1049" s="62"/>
    </row>
    <row r="1050" spans="1:17">
      <c r="A1050" s="62"/>
      <c r="B1050" s="62"/>
      <c r="C1050" s="62"/>
      <c r="D1050" s="62"/>
      <c r="E1050" s="62"/>
      <c r="F1050" s="62"/>
      <c r="G1050" s="62"/>
      <c r="H1050" s="62" t="str">
        <f>IF(AND('Data Export'!A1050=前十整体车型排名!$B$2,'Data Export'!B1050=前十整体车型排名!$B$3,'Data Export'!D1050&lt;&gt;""),UPPER('Data Export'!C1050)&amp;"♦"&amp;'Data Export'!D1050,"")</f>
        <v/>
      </c>
      <c r="I1050" s="63" t="str">
        <f>IF(H1050="","",IFERROR(INDEX('Data Export'!G1050:CZ1050,1,MATCH(前十整体车型排名!$B$4,'Data Export'!$G$1:$CZ$1,0)),0))</f>
        <v/>
      </c>
      <c r="J1050" s="62" t="str">
        <f>IF(H1050="","",IF(OR('Data Export'!F1050="三厢轿车",'Data Export'!F1050="掀背轿车",'Data Export'!F1050="旅行车",'Data Export'!F1050="微型车",'Data Export'!F1050="硬顶跑车",'Data Export'!F1050="敞蓬车",'Data Export'!F1050="Targa"),"轿车",IF(OR('Data Export'!F1050="小型MPV",'Data Export'!F1050="客车"),"MPV",IF('Data Export'!F1050="运动型多功能车","SUV","其他"))))</f>
        <v/>
      </c>
      <c r="K1050" s="62"/>
      <c r="L1050" s="62"/>
      <c r="M1050" s="62"/>
      <c r="N1050" s="62"/>
      <c r="O1050" s="62"/>
      <c r="P1050" s="62"/>
      <c r="Q1050" s="62"/>
    </row>
    <row r="1051" spans="1:17">
      <c r="A1051" s="62"/>
      <c r="B1051" s="62"/>
      <c r="C1051" s="62"/>
      <c r="D1051" s="62"/>
      <c r="E1051" s="62"/>
      <c r="F1051" s="62"/>
      <c r="G1051" s="62"/>
      <c r="H1051" s="62" t="str">
        <f>IF(AND('Data Export'!A1051=前十整体车型排名!$B$2,'Data Export'!B1051=前十整体车型排名!$B$3,'Data Export'!D1051&lt;&gt;""),UPPER('Data Export'!C1051)&amp;"♦"&amp;'Data Export'!D1051,"")</f>
        <v/>
      </c>
      <c r="I1051" s="63" t="str">
        <f>IF(H1051="","",IFERROR(INDEX('Data Export'!G1051:CZ1051,1,MATCH(前十整体车型排名!$B$4,'Data Export'!$G$1:$CZ$1,0)),0))</f>
        <v/>
      </c>
      <c r="J1051" s="62" t="str">
        <f>IF(H1051="","",IF(OR('Data Export'!F1051="三厢轿车",'Data Export'!F1051="掀背轿车",'Data Export'!F1051="旅行车",'Data Export'!F1051="微型车",'Data Export'!F1051="硬顶跑车",'Data Export'!F1051="敞蓬车",'Data Export'!F1051="Targa"),"轿车",IF(OR('Data Export'!F1051="小型MPV",'Data Export'!F1051="客车"),"MPV",IF('Data Export'!F1051="运动型多功能车","SUV","其他"))))</f>
        <v/>
      </c>
      <c r="K1051" s="62"/>
      <c r="L1051" s="62"/>
      <c r="M1051" s="62"/>
      <c r="N1051" s="62"/>
      <c r="O1051" s="62"/>
      <c r="P1051" s="62"/>
      <c r="Q1051" s="62"/>
    </row>
    <row r="1052" spans="1:17">
      <c r="A1052" s="62"/>
      <c r="B1052" s="62"/>
      <c r="C1052" s="62"/>
      <c r="D1052" s="62"/>
      <c r="E1052" s="62"/>
      <c r="F1052" s="62"/>
      <c r="G1052" s="62"/>
      <c r="H1052" s="62" t="str">
        <f>IF(AND('Data Export'!A1052=前十整体车型排名!$B$2,'Data Export'!B1052=前十整体车型排名!$B$3,'Data Export'!D1052&lt;&gt;""),UPPER('Data Export'!C1052)&amp;"♦"&amp;'Data Export'!D1052,"")</f>
        <v/>
      </c>
      <c r="I1052" s="63" t="str">
        <f>IF(H1052="","",IFERROR(INDEX('Data Export'!G1052:CZ1052,1,MATCH(前十整体车型排名!$B$4,'Data Export'!$G$1:$CZ$1,0)),0))</f>
        <v/>
      </c>
      <c r="J1052" s="62" t="str">
        <f>IF(H1052="","",IF(OR('Data Export'!F1052="三厢轿车",'Data Export'!F1052="掀背轿车",'Data Export'!F1052="旅行车",'Data Export'!F1052="微型车",'Data Export'!F1052="硬顶跑车",'Data Export'!F1052="敞蓬车",'Data Export'!F1052="Targa"),"轿车",IF(OR('Data Export'!F1052="小型MPV",'Data Export'!F1052="客车"),"MPV",IF('Data Export'!F1052="运动型多功能车","SUV","其他"))))</f>
        <v/>
      </c>
      <c r="K1052" s="62"/>
      <c r="L1052" s="62"/>
      <c r="M1052" s="62"/>
      <c r="N1052" s="62"/>
      <c r="O1052" s="62"/>
      <c r="P1052" s="62"/>
      <c r="Q1052" s="62"/>
    </row>
    <row r="1053" spans="1:17">
      <c r="A1053" s="62"/>
      <c r="B1053" s="62"/>
      <c r="C1053" s="62"/>
      <c r="D1053" s="62"/>
      <c r="E1053" s="62"/>
      <c r="F1053" s="62"/>
      <c r="G1053" s="62"/>
      <c r="H1053" s="62" t="str">
        <f>IF(AND('Data Export'!A1053=前十整体车型排名!$B$2,'Data Export'!B1053=前十整体车型排名!$B$3,'Data Export'!D1053&lt;&gt;""),UPPER('Data Export'!C1053)&amp;"♦"&amp;'Data Export'!D1053,"")</f>
        <v/>
      </c>
      <c r="I1053" s="63" t="str">
        <f>IF(H1053="","",IFERROR(INDEX('Data Export'!G1053:CZ1053,1,MATCH(前十整体车型排名!$B$4,'Data Export'!$G$1:$CZ$1,0)),0))</f>
        <v/>
      </c>
      <c r="J1053" s="62" t="str">
        <f>IF(H1053="","",IF(OR('Data Export'!F1053="三厢轿车",'Data Export'!F1053="掀背轿车",'Data Export'!F1053="旅行车",'Data Export'!F1053="微型车",'Data Export'!F1053="硬顶跑车",'Data Export'!F1053="敞蓬车",'Data Export'!F1053="Targa"),"轿车",IF(OR('Data Export'!F1053="小型MPV",'Data Export'!F1053="客车"),"MPV",IF('Data Export'!F1053="运动型多功能车","SUV","其他"))))</f>
        <v/>
      </c>
      <c r="K1053" s="62"/>
      <c r="L1053" s="62"/>
      <c r="M1053" s="62"/>
      <c r="N1053" s="62"/>
      <c r="O1053" s="62"/>
      <c r="P1053" s="62"/>
      <c r="Q1053" s="62"/>
    </row>
    <row r="1054" spans="1:17">
      <c r="A1054" s="62"/>
      <c r="B1054" s="62"/>
      <c r="C1054" s="62"/>
      <c r="D1054" s="62"/>
      <c r="E1054" s="62"/>
      <c r="F1054" s="62"/>
      <c r="G1054" s="62"/>
      <c r="H1054" s="62" t="str">
        <f>IF(AND('Data Export'!A1054=前十整体车型排名!$B$2,'Data Export'!B1054=前十整体车型排名!$B$3,'Data Export'!D1054&lt;&gt;""),UPPER('Data Export'!C1054)&amp;"♦"&amp;'Data Export'!D1054,"")</f>
        <v/>
      </c>
      <c r="I1054" s="63" t="str">
        <f>IF(H1054="","",IFERROR(INDEX('Data Export'!G1054:CZ1054,1,MATCH(前十整体车型排名!$B$4,'Data Export'!$G$1:$CZ$1,0)),0))</f>
        <v/>
      </c>
      <c r="J1054" s="62" t="str">
        <f>IF(H1054="","",IF(OR('Data Export'!F1054="三厢轿车",'Data Export'!F1054="掀背轿车",'Data Export'!F1054="旅行车",'Data Export'!F1054="微型车",'Data Export'!F1054="硬顶跑车",'Data Export'!F1054="敞蓬车",'Data Export'!F1054="Targa"),"轿车",IF(OR('Data Export'!F1054="小型MPV",'Data Export'!F1054="客车"),"MPV",IF('Data Export'!F1054="运动型多功能车","SUV","其他"))))</f>
        <v/>
      </c>
      <c r="K1054" s="62"/>
      <c r="L1054" s="62"/>
      <c r="M1054" s="62"/>
      <c r="N1054" s="62"/>
      <c r="O1054" s="62"/>
      <c r="P1054" s="62"/>
      <c r="Q1054" s="62"/>
    </row>
    <row r="1055" spans="1:17">
      <c r="A1055" s="62"/>
      <c r="B1055" s="62"/>
      <c r="C1055" s="62"/>
      <c r="D1055" s="62"/>
      <c r="E1055" s="62"/>
      <c r="F1055" s="62"/>
      <c r="G1055" s="62"/>
      <c r="H1055" s="62" t="str">
        <f>IF(AND('Data Export'!A1055=前十整体车型排名!$B$2,'Data Export'!B1055=前十整体车型排名!$B$3,'Data Export'!D1055&lt;&gt;""),UPPER('Data Export'!C1055)&amp;"♦"&amp;'Data Export'!D1055,"")</f>
        <v/>
      </c>
      <c r="I1055" s="63" t="str">
        <f>IF(H1055="","",IFERROR(INDEX('Data Export'!G1055:CZ1055,1,MATCH(前十整体车型排名!$B$4,'Data Export'!$G$1:$CZ$1,0)),0))</f>
        <v/>
      </c>
      <c r="J1055" s="62" t="str">
        <f>IF(H1055="","",IF(OR('Data Export'!F1055="三厢轿车",'Data Export'!F1055="掀背轿车",'Data Export'!F1055="旅行车",'Data Export'!F1055="微型车",'Data Export'!F1055="硬顶跑车",'Data Export'!F1055="敞蓬车",'Data Export'!F1055="Targa"),"轿车",IF(OR('Data Export'!F1055="小型MPV",'Data Export'!F1055="客车"),"MPV",IF('Data Export'!F1055="运动型多功能车","SUV","其他"))))</f>
        <v/>
      </c>
      <c r="K1055" s="62"/>
      <c r="L1055" s="62"/>
      <c r="M1055" s="62"/>
      <c r="N1055" s="62"/>
      <c r="O1055" s="62"/>
      <c r="P1055" s="62"/>
      <c r="Q1055" s="62"/>
    </row>
    <row r="1056" spans="1:17">
      <c r="A1056" s="62"/>
      <c r="B1056" s="62"/>
      <c r="C1056" s="62"/>
      <c r="D1056" s="62"/>
      <c r="E1056" s="62"/>
      <c r="F1056" s="62"/>
      <c r="G1056" s="62"/>
      <c r="H1056" s="62" t="str">
        <f>IF(AND('Data Export'!A1056=前十整体车型排名!$B$2,'Data Export'!B1056=前十整体车型排名!$B$3,'Data Export'!D1056&lt;&gt;""),UPPER('Data Export'!C1056)&amp;"♦"&amp;'Data Export'!D1056,"")</f>
        <v/>
      </c>
      <c r="I1056" s="63" t="str">
        <f>IF(H1056="","",IFERROR(INDEX('Data Export'!G1056:CZ1056,1,MATCH(前十整体车型排名!$B$4,'Data Export'!$G$1:$CZ$1,0)),0))</f>
        <v/>
      </c>
      <c r="J1056" s="62" t="str">
        <f>IF(H1056="","",IF(OR('Data Export'!F1056="三厢轿车",'Data Export'!F1056="掀背轿车",'Data Export'!F1056="旅行车",'Data Export'!F1056="微型车",'Data Export'!F1056="硬顶跑车",'Data Export'!F1056="敞蓬车",'Data Export'!F1056="Targa"),"轿车",IF(OR('Data Export'!F1056="小型MPV",'Data Export'!F1056="客车"),"MPV",IF('Data Export'!F1056="运动型多功能车","SUV","其他"))))</f>
        <v/>
      </c>
      <c r="K1056" s="62"/>
      <c r="L1056" s="62"/>
      <c r="M1056" s="62"/>
      <c r="N1056" s="62"/>
      <c r="O1056" s="62"/>
      <c r="P1056" s="62"/>
      <c r="Q1056" s="62"/>
    </row>
    <row r="1057" spans="1:17">
      <c r="A1057" s="62"/>
      <c r="B1057" s="62"/>
      <c r="C1057" s="62"/>
      <c r="D1057" s="62"/>
      <c r="E1057" s="62"/>
      <c r="F1057" s="62"/>
      <c r="G1057" s="62"/>
      <c r="H1057" s="62" t="str">
        <f>IF(AND('Data Export'!A1057=前十整体车型排名!$B$2,'Data Export'!B1057=前十整体车型排名!$B$3,'Data Export'!D1057&lt;&gt;""),UPPER('Data Export'!C1057)&amp;"♦"&amp;'Data Export'!D1057,"")</f>
        <v/>
      </c>
      <c r="I1057" s="63" t="str">
        <f>IF(H1057="","",IFERROR(INDEX('Data Export'!G1057:CZ1057,1,MATCH(前十整体车型排名!$B$4,'Data Export'!$G$1:$CZ$1,0)),0))</f>
        <v/>
      </c>
      <c r="J1057" s="62" t="str">
        <f>IF(H1057="","",IF(OR('Data Export'!F1057="三厢轿车",'Data Export'!F1057="掀背轿车",'Data Export'!F1057="旅行车",'Data Export'!F1057="微型车",'Data Export'!F1057="硬顶跑车",'Data Export'!F1057="敞蓬车",'Data Export'!F1057="Targa"),"轿车",IF(OR('Data Export'!F1057="小型MPV",'Data Export'!F1057="客车"),"MPV",IF('Data Export'!F1057="运动型多功能车","SUV","其他"))))</f>
        <v/>
      </c>
      <c r="K1057" s="62"/>
      <c r="L1057" s="62"/>
      <c r="M1057" s="62"/>
      <c r="N1057" s="62"/>
      <c r="O1057" s="62"/>
      <c r="P1057" s="62"/>
      <c r="Q1057" s="62"/>
    </row>
    <row r="1058" spans="1:17">
      <c r="A1058" s="62"/>
      <c r="B1058" s="62"/>
      <c r="C1058" s="62"/>
      <c r="D1058" s="62"/>
      <c r="E1058" s="62"/>
      <c r="F1058" s="62"/>
      <c r="G1058" s="62"/>
      <c r="H1058" s="62" t="str">
        <f>IF(AND('Data Export'!A1058=前十整体车型排名!$B$2,'Data Export'!B1058=前十整体车型排名!$B$3,'Data Export'!D1058&lt;&gt;""),UPPER('Data Export'!C1058)&amp;"♦"&amp;'Data Export'!D1058,"")</f>
        <v/>
      </c>
      <c r="I1058" s="63" t="str">
        <f>IF(H1058="","",IFERROR(INDEX('Data Export'!G1058:CZ1058,1,MATCH(前十整体车型排名!$B$4,'Data Export'!$G$1:$CZ$1,0)),0))</f>
        <v/>
      </c>
      <c r="J1058" s="62" t="str">
        <f>IF(H1058="","",IF(OR('Data Export'!F1058="三厢轿车",'Data Export'!F1058="掀背轿车",'Data Export'!F1058="旅行车",'Data Export'!F1058="微型车",'Data Export'!F1058="硬顶跑车",'Data Export'!F1058="敞蓬车",'Data Export'!F1058="Targa"),"轿车",IF(OR('Data Export'!F1058="小型MPV",'Data Export'!F1058="客车"),"MPV",IF('Data Export'!F1058="运动型多功能车","SUV","其他"))))</f>
        <v/>
      </c>
      <c r="K1058" s="62"/>
      <c r="L1058" s="62"/>
      <c r="M1058" s="62"/>
      <c r="N1058" s="62"/>
      <c r="O1058" s="62"/>
      <c r="P1058" s="62"/>
      <c r="Q1058" s="62"/>
    </row>
    <row r="1059" spans="1:17">
      <c r="A1059" s="62"/>
      <c r="B1059" s="62"/>
      <c r="C1059" s="62"/>
      <c r="D1059" s="62"/>
      <c r="E1059" s="62"/>
      <c r="F1059" s="62"/>
      <c r="G1059" s="62"/>
      <c r="H1059" s="62" t="str">
        <f>IF(AND('Data Export'!A1059=前十整体车型排名!$B$2,'Data Export'!B1059=前十整体车型排名!$B$3,'Data Export'!D1059&lt;&gt;""),UPPER('Data Export'!C1059)&amp;"♦"&amp;'Data Export'!D1059,"")</f>
        <v/>
      </c>
      <c r="I1059" s="63" t="str">
        <f>IF(H1059="","",IFERROR(INDEX('Data Export'!G1059:CZ1059,1,MATCH(前十整体车型排名!$B$4,'Data Export'!$G$1:$CZ$1,0)),0))</f>
        <v/>
      </c>
      <c r="J1059" s="62" t="str">
        <f>IF(H1059="","",IF(OR('Data Export'!F1059="三厢轿车",'Data Export'!F1059="掀背轿车",'Data Export'!F1059="旅行车",'Data Export'!F1059="微型车",'Data Export'!F1059="硬顶跑车",'Data Export'!F1059="敞蓬车",'Data Export'!F1059="Targa"),"轿车",IF(OR('Data Export'!F1059="小型MPV",'Data Export'!F1059="客车"),"MPV",IF('Data Export'!F1059="运动型多功能车","SUV","其他"))))</f>
        <v/>
      </c>
      <c r="K1059" s="62"/>
      <c r="L1059" s="62"/>
      <c r="M1059" s="62"/>
      <c r="N1059" s="62"/>
      <c r="O1059" s="62"/>
      <c r="P1059" s="62"/>
      <c r="Q1059" s="62"/>
    </row>
    <row r="1060" spans="1:17">
      <c r="A1060" s="62"/>
      <c r="B1060" s="62"/>
      <c r="C1060" s="62"/>
      <c r="D1060" s="62"/>
      <c r="E1060" s="62"/>
      <c r="F1060" s="62"/>
      <c r="G1060" s="62"/>
      <c r="H1060" s="62" t="str">
        <f>IF(AND('Data Export'!A1060=前十整体车型排名!$B$2,'Data Export'!B1060=前十整体车型排名!$B$3,'Data Export'!D1060&lt;&gt;""),UPPER('Data Export'!C1060)&amp;"♦"&amp;'Data Export'!D1060,"")</f>
        <v/>
      </c>
      <c r="I1060" s="63" t="str">
        <f>IF(H1060="","",IFERROR(INDEX('Data Export'!G1060:CZ1060,1,MATCH(前十整体车型排名!$B$4,'Data Export'!$G$1:$CZ$1,0)),0))</f>
        <v/>
      </c>
      <c r="J1060" s="62" t="str">
        <f>IF(H1060="","",IF(OR('Data Export'!F1060="三厢轿车",'Data Export'!F1060="掀背轿车",'Data Export'!F1060="旅行车",'Data Export'!F1060="微型车",'Data Export'!F1060="硬顶跑车",'Data Export'!F1060="敞蓬车",'Data Export'!F1060="Targa"),"轿车",IF(OR('Data Export'!F1060="小型MPV",'Data Export'!F1060="客车"),"MPV",IF('Data Export'!F1060="运动型多功能车","SUV","其他"))))</f>
        <v/>
      </c>
      <c r="K1060" s="62"/>
      <c r="L1060" s="62"/>
      <c r="M1060" s="62"/>
      <c r="N1060" s="62"/>
      <c r="O1060" s="62"/>
      <c r="P1060" s="62"/>
      <c r="Q1060" s="62"/>
    </row>
    <row r="1061" spans="1:17">
      <c r="A1061" s="62"/>
      <c r="B1061" s="62"/>
      <c r="C1061" s="62"/>
      <c r="D1061" s="62"/>
      <c r="E1061" s="62"/>
      <c r="F1061" s="62"/>
      <c r="G1061" s="62"/>
      <c r="H1061" s="62" t="str">
        <f>IF(AND('Data Export'!A1061=前十整体车型排名!$B$2,'Data Export'!B1061=前十整体车型排名!$B$3,'Data Export'!D1061&lt;&gt;""),UPPER('Data Export'!C1061)&amp;"♦"&amp;'Data Export'!D1061,"")</f>
        <v/>
      </c>
      <c r="I1061" s="63" t="str">
        <f>IF(H1061="","",IFERROR(INDEX('Data Export'!G1061:CZ1061,1,MATCH(前十整体车型排名!$B$4,'Data Export'!$G$1:$CZ$1,0)),0))</f>
        <v/>
      </c>
      <c r="J1061" s="62" t="str">
        <f>IF(H1061="","",IF(OR('Data Export'!F1061="三厢轿车",'Data Export'!F1061="掀背轿车",'Data Export'!F1061="旅行车",'Data Export'!F1061="微型车",'Data Export'!F1061="硬顶跑车",'Data Export'!F1061="敞蓬车",'Data Export'!F1061="Targa"),"轿车",IF(OR('Data Export'!F1061="小型MPV",'Data Export'!F1061="客车"),"MPV",IF('Data Export'!F1061="运动型多功能车","SUV","其他"))))</f>
        <v/>
      </c>
      <c r="K1061" s="62"/>
      <c r="L1061" s="62"/>
      <c r="M1061" s="62"/>
      <c r="N1061" s="62"/>
      <c r="O1061" s="62"/>
      <c r="P1061" s="62"/>
      <c r="Q1061" s="62"/>
    </row>
    <row r="1062" spans="1:17">
      <c r="A1062" s="62"/>
      <c r="B1062" s="62"/>
      <c r="C1062" s="62"/>
      <c r="D1062" s="62"/>
      <c r="E1062" s="62"/>
      <c r="F1062" s="62"/>
      <c r="G1062" s="62"/>
      <c r="H1062" s="62" t="str">
        <f>IF(AND('Data Export'!A1062=前十整体车型排名!$B$2,'Data Export'!B1062=前十整体车型排名!$B$3,'Data Export'!D1062&lt;&gt;""),UPPER('Data Export'!C1062)&amp;"♦"&amp;'Data Export'!D1062,"")</f>
        <v/>
      </c>
      <c r="I1062" s="63" t="str">
        <f>IF(H1062="","",IFERROR(INDEX('Data Export'!G1062:CZ1062,1,MATCH(前十整体车型排名!$B$4,'Data Export'!$G$1:$CZ$1,0)),0))</f>
        <v/>
      </c>
      <c r="J1062" s="62" t="str">
        <f>IF(H1062="","",IF(OR('Data Export'!F1062="三厢轿车",'Data Export'!F1062="掀背轿车",'Data Export'!F1062="旅行车",'Data Export'!F1062="微型车",'Data Export'!F1062="硬顶跑车",'Data Export'!F1062="敞蓬车",'Data Export'!F1062="Targa"),"轿车",IF(OR('Data Export'!F1062="小型MPV",'Data Export'!F1062="客车"),"MPV",IF('Data Export'!F1062="运动型多功能车","SUV","其他"))))</f>
        <v/>
      </c>
      <c r="K1062" s="62"/>
      <c r="L1062" s="62"/>
      <c r="M1062" s="62"/>
      <c r="N1062" s="62"/>
      <c r="O1062" s="62"/>
      <c r="P1062" s="62"/>
      <c r="Q1062" s="62"/>
    </row>
    <row r="1063" spans="1:17">
      <c r="A1063" s="62"/>
      <c r="B1063" s="62"/>
      <c r="C1063" s="62"/>
      <c r="D1063" s="62"/>
      <c r="E1063" s="62"/>
      <c r="F1063" s="62"/>
      <c r="G1063" s="62"/>
      <c r="H1063" s="62" t="str">
        <f>IF(AND('Data Export'!A1063=前十整体车型排名!$B$2,'Data Export'!B1063=前十整体车型排名!$B$3,'Data Export'!D1063&lt;&gt;""),UPPER('Data Export'!C1063)&amp;"♦"&amp;'Data Export'!D1063,"")</f>
        <v/>
      </c>
      <c r="I1063" s="63" t="str">
        <f>IF(H1063="","",IFERROR(INDEX('Data Export'!G1063:CZ1063,1,MATCH(前十整体车型排名!$B$4,'Data Export'!$G$1:$CZ$1,0)),0))</f>
        <v/>
      </c>
      <c r="J1063" s="62" t="str">
        <f>IF(H1063="","",IF(OR('Data Export'!F1063="三厢轿车",'Data Export'!F1063="掀背轿车",'Data Export'!F1063="旅行车",'Data Export'!F1063="微型车",'Data Export'!F1063="硬顶跑车",'Data Export'!F1063="敞蓬车",'Data Export'!F1063="Targa"),"轿车",IF(OR('Data Export'!F1063="小型MPV",'Data Export'!F1063="客车"),"MPV",IF('Data Export'!F1063="运动型多功能车","SUV","其他"))))</f>
        <v/>
      </c>
      <c r="K1063" s="62"/>
      <c r="L1063" s="62"/>
      <c r="M1063" s="62"/>
      <c r="N1063" s="62"/>
      <c r="O1063" s="62"/>
      <c r="P1063" s="62"/>
      <c r="Q1063" s="62"/>
    </row>
    <row r="1064" spans="1:17">
      <c r="A1064" s="62"/>
      <c r="B1064" s="62"/>
      <c r="C1064" s="62"/>
      <c r="D1064" s="62"/>
      <c r="E1064" s="62"/>
      <c r="F1064" s="62"/>
      <c r="G1064" s="62"/>
      <c r="H1064" s="62" t="str">
        <f>IF(AND('Data Export'!A1064=前十整体车型排名!$B$2,'Data Export'!B1064=前十整体车型排名!$B$3,'Data Export'!D1064&lt;&gt;""),UPPER('Data Export'!C1064)&amp;"♦"&amp;'Data Export'!D1064,"")</f>
        <v/>
      </c>
      <c r="I1064" s="63" t="str">
        <f>IF(H1064="","",IFERROR(INDEX('Data Export'!G1064:CZ1064,1,MATCH(前十整体车型排名!$B$4,'Data Export'!$G$1:$CZ$1,0)),0))</f>
        <v/>
      </c>
      <c r="J1064" s="62" t="str">
        <f>IF(H1064="","",IF(OR('Data Export'!F1064="三厢轿车",'Data Export'!F1064="掀背轿车",'Data Export'!F1064="旅行车",'Data Export'!F1064="微型车",'Data Export'!F1064="硬顶跑车",'Data Export'!F1064="敞蓬车",'Data Export'!F1064="Targa"),"轿车",IF(OR('Data Export'!F1064="小型MPV",'Data Export'!F1064="客车"),"MPV",IF('Data Export'!F1064="运动型多功能车","SUV","其他"))))</f>
        <v/>
      </c>
      <c r="K1064" s="62"/>
      <c r="L1064" s="62"/>
      <c r="M1064" s="62"/>
      <c r="N1064" s="62"/>
      <c r="O1064" s="62"/>
      <c r="P1064" s="62"/>
      <c r="Q1064" s="62"/>
    </row>
    <row r="1065" spans="1:17">
      <c r="A1065" s="62"/>
      <c r="B1065" s="62"/>
      <c r="C1065" s="62"/>
      <c r="D1065" s="62"/>
      <c r="E1065" s="62"/>
      <c r="F1065" s="62"/>
      <c r="G1065" s="62"/>
      <c r="H1065" s="62" t="str">
        <f>IF(AND('Data Export'!A1065=前十整体车型排名!$B$2,'Data Export'!B1065=前十整体车型排名!$B$3,'Data Export'!D1065&lt;&gt;""),UPPER('Data Export'!C1065)&amp;"♦"&amp;'Data Export'!D1065,"")</f>
        <v/>
      </c>
      <c r="I1065" s="63" t="str">
        <f>IF(H1065="","",IFERROR(INDEX('Data Export'!G1065:CZ1065,1,MATCH(前十整体车型排名!$B$4,'Data Export'!$G$1:$CZ$1,0)),0))</f>
        <v/>
      </c>
      <c r="J1065" s="62" t="str">
        <f>IF(H1065="","",IF(OR('Data Export'!F1065="三厢轿车",'Data Export'!F1065="掀背轿车",'Data Export'!F1065="旅行车",'Data Export'!F1065="微型车",'Data Export'!F1065="硬顶跑车",'Data Export'!F1065="敞蓬车",'Data Export'!F1065="Targa"),"轿车",IF(OR('Data Export'!F1065="小型MPV",'Data Export'!F1065="客车"),"MPV",IF('Data Export'!F1065="运动型多功能车","SUV","其他"))))</f>
        <v/>
      </c>
      <c r="K1065" s="62"/>
      <c r="L1065" s="62"/>
      <c r="M1065" s="62"/>
      <c r="N1065" s="62"/>
      <c r="O1065" s="62"/>
      <c r="P1065" s="62"/>
      <c r="Q1065" s="62"/>
    </row>
    <row r="1066" spans="1:17">
      <c r="A1066" s="62"/>
      <c r="B1066" s="62"/>
      <c r="C1066" s="62"/>
      <c r="D1066" s="62"/>
      <c r="E1066" s="62"/>
      <c r="F1066" s="62"/>
      <c r="G1066" s="62"/>
      <c r="H1066" s="62" t="str">
        <f>IF(AND('Data Export'!A1066=前十整体车型排名!$B$2,'Data Export'!B1066=前十整体车型排名!$B$3,'Data Export'!D1066&lt;&gt;""),UPPER('Data Export'!C1066)&amp;"♦"&amp;'Data Export'!D1066,"")</f>
        <v/>
      </c>
      <c r="I1066" s="63" t="str">
        <f>IF(H1066="","",IFERROR(INDEX('Data Export'!G1066:CZ1066,1,MATCH(前十整体车型排名!$B$4,'Data Export'!$G$1:$CZ$1,0)),0))</f>
        <v/>
      </c>
      <c r="J1066" s="62" t="str">
        <f>IF(H1066="","",IF(OR('Data Export'!F1066="三厢轿车",'Data Export'!F1066="掀背轿车",'Data Export'!F1066="旅行车",'Data Export'!F1066="微型车",'Data Export'!F1066="硬顶跑车",'Data Export'!F1066="敞蓬车",'Data Export'!F1066="Targa"),"轿车",IF(OR('Data Export'!F1066="小型MPV",'Data Export'!F1066="客车"),"MPV",IF('Data Export'!F1066="运动型多功能车","SUV","其他"))))</f>
        <v/>
      </c>
      <c r="K1066" s="62"/>
      <c r="L1066" s="62"/>
      <c r="M1066" s="62"/>
      <c r="N1066" s="62"/>
      <c r="O1066" s="62"/>
      <c r="P1066" s="62"/>
      <c r="Q1066" s="62"/>
    </row>
    <row r="1067" spans="1:17">
      <c r="A1067" s="62"/>
      <c r="B1067" s="62"/>
      <c r="C1067" s="62"/>
      <c r="D1067" s="62"/>
      <c r="E1067" s="62"/>
      <c r="F1067" s="62"/>
      <c r="G1067" s="62"/>
      <c r="H1067" s="62" t="str">
        <f>IF(AND('Data Export'!A1067=前十整体车型排名!$B$2,'Data Export'!B1067=前十整体车型排名!$B$3,'Data Export'!D1067&lt;&gt;""),UPPER('Data Export'!C1067)&amp;"♦"&amp;'Data Export'!D1067,"")</f>
        <v/>
      </c>
      <c r="I1067" s="63" t="str">
        <f>IF(H1067="","",IFERROR(INDEX('Data Export'!G1067:CZ1067,1,MATCH(前十整体车型排名!$B$4,'Data Export'!$G$1:$CZ$1,0)),0))</f>
        <v/>
      </c>
      <c r="J1067" s="62" t="str">
        <f>IF(H1067="","",IF(OR('Data Export'!F1067="三厢轿车",'Data Export'!F1067="掀背轿车",'Data Export'!F1067="旅行车",'Data Export'!F1067="微型车",'Data Export'!F1067="硬顶跑车",'Data Export'!F1067="敞蓬车",'Data Export'!F1067="Targa"),"轿车",IF(OR('Data Export'!F1067="小型MPV",'Data Export'!F1067="客车"),"MPV",IF('Data Export'!F1067="运动型多功能车","SUV","其他"))))</f>
        <v/>
      </c>
      <c r="K1067" s="62"/>
      <c r="L1067" s="62"/>
      <c r="M1067" s="62"/>
      <c r="N1067" s="62"/>
      <c r="O1067" s="62"/>
      <c r="P1067" s="62"/>
      <c r="Q1067" s="62"/>
    </row>
    <row r="1068" spans="1:17">
      <c r="A1068" s="62"/>
      <c r="B1068" s="62"/>
      <c r="C1068" s="62"/>
      <c r="D1068" s="62"/>
      <c r="E1068" s="62"/>
      <c r="F1068" s="62"/>
      <c r="G1068" s="62"/>
      <c r="H1068" s="62" t="str">
        <f>IF(AND('Data Export'!A1068=前十整体车型排名!$B$2,'Data Export'!B1068=前十整体车型排名!$B$3,'Data Export'!D1068&lt;&gt;""),UPPER('Data Export'!C1068)&amp;"♦"&amp;'Data Export'!D1068,"")</f>
        <v/>
      </c>
      <c r="I1068" s="63" t="str">
        <f>IF(H1068="","",IFERROR(INDEX('Data Export'!G1068:CZ1068,1,MATCH(前十整体车型排名!$B$4,'Data Export'!$G$1:$CZ$1,0)),0))</f>
        <v/>
      </c>
      <c r="J1068" s="62" t="str">
        <f>IF(H1068="","",IF(OR('Data Export'!F1068="三厢轿车",'Data Export'!F1068="掀背轿车",'Data Export'!F1068="旅行车",'Data Export'!F1068="微型车",'Data Export'!F1068="硬顶跑车",'Data Export'!F1068="敞蓬车",'Data Export'!F1068="Targa"),"轿车",IF(OR('Data Export'!F1068="小型MPV",'Data Export'!F1068="客车"),"MPV",IF('Data Export'!F1068="运动型多功能车","SUV","其他"))))</f>
        <v/>
      </c>
      <c r="K1068" s="62"/>
      <c r="L1068" s="62"/>
      <c r="M1068" s="62"/>
      <c r="N1068" s="62"/>
      <c r="O1068" s="62"/>
      <c r="P1068" s="62"/>
      <c r="Q1068" s="62"/>
    </row>
    <row r="1069" spans="1:17">
      <c r="A1069" s="62"/>
      <c r="B1069" s="62"/>
      <c r="C1069" s="62"/>
      <c r="D1069" s="62"/>
      <c r="E1069" s="62"/>
      <c r="F1069" s="62"/>
      <c r="G1069" s="62"/>
      <c r="H1069" s="62" t="str">
        <f>IF(AND('Data Export'!A1069=前十整体车型排名!$B$2,'Data Export'!B1069=前十整体车型排名!$B$3,'Data Export'!D1069&lt;&gt;""),UPPER('Data Export'!C1069)&amp;"♦"&amp;'Data Export'!D1069,"")</f>
        <v/>
      </c>
      <c r="I1069" s="63" t="str">
        <f>IF(H1069="","",IFERROR(INDEX('Data Export'!G1069:CZ1069,1,MATCH(前十整体车型排名!$B$4,'Data Export'!$G$1:$CZ$1,0)),0))</f>
        <v/>
      </c>
      <c r="J1069" s="62" t="str">
        <f>IF(H1069="","",IF(OR('Data Export'!F1069="三厢轿车",'Data Export'!F1069="掀背轿车",'Data Export'!F1069="旅行车",'Data Export'!F1069="微型车",'Data Export'!F1069="硬顶跑车",'Data Export'!F1069="敞蓬车",'Data Export'!F1069="Targa"),"轿车",IF(OR('Data Export'!F1069="小型MPV",'Data Export'!F1069="客车"),"MPV",IF('Data Export'!F1069="运动型多功能车","SUV","其他"))))</f>
        <v/>
      </c>
      <c r="K1069" s="62"/>
      <c r="L1069" s="62"/>
      <c r="M1069" s="62"/>
      <c r="N1069" s="62"/>
      <c r="O1069" s="62"/>
      <c r="P1069" s="62"/>
      <c r="Q1069" s="62"/>
    </row>
    <row r="1070" spans="1:17">
      <c r="A1070" s="62"/>
      <c r="B1070" s="62"/>
      <c r="C1070" s="62"/>
      <c r="D1070" s="62"/>
      <c r="E1070" s="62"/>
      <c r="F1070" s="62"/>
      <c r="G1070" s="62"/>
      <c r="H1070" s="62" t="str">
        <f>IF(AND('Data Export'!A1070=前十整体车型排名!$B$2,'Data Export'!B1070=前十整体车型排名!$B$3,'Data Export'!D1070&lt;&gt;""),UPPER('Data Export'!C1070)&amp;"♦"&amp;'Data Export'!D1070,"")</f>
        <v/>
      </c>
      <c r="I1070" s="63" t="str">
        <f>IF(H1070="","",IFERROR(INDEX('Data Export'!G1070:CZ1070,1,MATCH(前十整体车型排名!$B$4,'Data Export'!$G$1:$CZ$1,0)),0))</f>
        <v/>
      </c>
      <c r="J1070" s="62" t="str">
        <f>IF(H1070="","",IF(OR('Data Export'!F1070="三厢轿车",'Data Export'!F1070="掀背轿车",'Data Export'!F1070="旅行车",'Data Export'!F1070="微型车",'Data Export'!F1070="硬顶跑车",'Data Export'!F1070="敞蓬车",'Data Export'!F1070="Targa"),"轿车",IF(OR('Data Export'!F1070="小型MPV",'Data Export'!F1070="客车"),"MPV",IF('Data Export'!F1070="运动型多功能车","SUV","其他"))))</f>
        <v/>
      </c>
      <c r="K1070" s="62"/>
      <c r="L1070" s="62"/>
      <c r="M1070" s="62"/>
      <c r="N1070" s="62"/>
      <c r="O1070" s="62"/>
      <c r="P1070" s="62"/>
      <c r="Q1070" s="62"/>
    </row>
    <row r="1071" spans="1:17">
      <c r="A1071" s="62"/>
      <c r="B1071" s="62"/>
      <c r="C1071" s="62"/>
      <c r="D1071" s="62"/>
      <c r="E1071" s="62"/>
      <c r="F1071" s="62"/>
      <c r="G1071" s="62"/>
      <c r="H1071" s="62" t="str">
        <f>IF(AND('Data Export'!A1071=前十整体车型排名!$B$2,'Data Export'!B1071=前十整体车型排名!$B$3,'Data Export'!D1071&lt;&gt;""),UPPER('Data Export'!C1071)&amp;"♦"&amp;'Data Export'!D1071,"")</f>
        <v/>
      </c>
      <c r="I1071" s="63" t="str">
        <f>IF(H1071="","",IFERROR(INDEX('Data Export'!G1071:CZ1071,1,MATCH(前十整体车型排名!$B$4,'Data Export'!$G$1:$CZ$1,0)),0))</f>
        <v/>
      </c>
      <c r="J1071" s="62" t="str">
        <f>IF(H1071="","",IF(OR('Data Export'!F1071="三厢轿车",'Data Export'!F1071="掀背轿车",'Data Export'!F1071="旅行车",'Data Export'!F1071="微型车",'Data Export'!F1071="硬顶跑车",'Data Export'!F1071="敞蓬车",'Data Export'!F1071="Targa"),"轿车",IF(OR('Data Export'!F1071="小型MPV",'Data Export'!F1071="客车"),"MPV",IF('Data Export'!F1071="运动型多功能车","SUV","其他"))))</f>
        <v/>
      </c>
      <c r="K1071" s="62"/>
      <c r="L1071" s="62"/>
      <c r="M1071" s="62"/>
      <c r="N1071" s="62"/>
      <c r="O1071" s="62"/>
      <c r="P1071" s="62"/>
      <c r="Q1071" s="62"/>
    </row>
    <row r="1072" spans="1:17">
      <c r="A1072" s="62"/>
      <c r="B1072" s="62"/>
      <c r="C1072" s="62"/>
      <c r="D1072" s="62"/>
      <c r="E1072" s="62"/>
      <c r="F1072" s="62"/>
      <c r="G1072" s="62"/>
      <c r="H1072" s="62" t="str">
        <f>IF(AND('Data Export'!A1072=前十整体车型排名!$B$2,'Data Export'!B1072=前十整体车型排名!$B$3,'Data Export'!D1072&lt;&gt;""),UPPER('Data Export'!C1072)&amp;"♦"&amp;'Data Export'!D1072,"")</f>
        <v/>
      </c>
      <c r="I1072" s="63" t="str">
        <f>IF(H1072="","",IFERROR(INDEX('Data Export'!G1072:CZ1072,1,MATCH(前十整体车型排名!$B$4,'Data Export'!$G$1:$CZ$1,0)),0))</f>
        <v/>
      </c>
      <c r="J1072" s="62" t="str">
        <f>IF(H1072="","",IF(OR('Data Export'!F1072="三厢轿车",'Data Export'!F1072="掀背轿车",'Data Export'!F1072="旅行车",'Data Export'!F1072="微型车",'Data Export'!F1072="硬顶跑车",'Data Export'!F1072="敞蓬车",'Data Export'!F1072="Targa"),"轿车",IF(OR('Data Export'!F1072="小型MPV",'Data Export'!F1072="客车"),"MPV",IF('Data Export'!F1072="运动型多功能车","SUV","其他"))))</f>
        <v/>
      </c>
      <c r="K1072" s="62"/>
      <c r="L1072" s="62"/>
      <c r="M1072" s="62"/>
      <c r="N1072" s="62"/>
      <c r="O1072" s="62"/>
      <c r="P1072" s="62"/>
      <c r="Q1072" s="62"/>
    </row>
    <row r="1073" spans="1:17">
      <c r="A1073" s="62"/>
      <c r="B1073" s="62"/>
      <c r="C1073" s="62"/>
      <c r="D1073" s="62"/>
      <c r="E1073" s="62"/>
      <c r="F1073" s="62"/>
      <c r="G1073" s="62"/>
      <c r="H1073" s="62" t="str">
        <f>IF(AND('Data Export'!A1073=前十整体车型排名!$B$2,'Data Export'!B1073=前十整体车型排名!$B$3,'Data Export'!D1073&lt;&gt;""),UPPER('Data Export'!C1073)&amp;"♦"&amp;'Data Export'!D1073,"")</f>
        <v/>
      </c>
      <c r="I1073" s="63" t="str">
        <f>IF(H1073="","",IFERROR(INDEX('Data Export'!G1073:CZ1073,1,MATCH(前十整体车型排名!$B$4,'Data Export'!$G$1:$CZ$1,0)),0))</f>
        <v/>
      </c>
      <c r="J1073" s="62" t="str">
        <f>IF(H1073="","",IF(OR('Data Export'!F1073="三厢轿车",'Data Export'!F1073="掀背轿车",'Data Export'!F1073="旅行车",'Data Export'!F1073="微型车",'Data Export'!F1073="硬顶跑车",'Data Export'!F1073="敞蓬车",'Data Export'!F1073="Targa"),"轿车",IF(OR('Data Export'!F1073="小型MPV",'Data Export'!F1073="客车"),"MPV",IF('Data Export'!F1073="运动型多功能车","SUV","其他"))))</f>
        <v/>
      </c>
      <c r="K1073" s="62"/>
      <c r="L1073" s="62"/>
      <c r="M1073" s="62"/>
      <c r="N1073" s="62"/>
      <c r="O1073" s="62"/>
      <c r="P1073" s="62"/>
      <c r="Q1073" s="62"/>
    </row>
    <row r="1074" spans="1:17">
      <c r="A1074" s="62"/>
      <c r="B1074" s="62"/>
      <c r="C1074" s="62"/>
      <c r="D1074" s="62"/>
      <c r="E1074" s="62"/>
      <c r="F1074" s="62"/>
      <c r="G1074" s="62"/>
      <c r="H1074" s="62" t="str">
        <f>IF(AND('Data Export'!A1074=前十整体车型排名!$B$2,'Data Export'!B1074=前十整体车型排名!$B$3,'Data Export'!D1074&lt;&gt;""),UPPER('Data Export'!C1074)&amp;"♦"&amp;'Data Export'!D1074,"")</f>
        <v/>
      </c>
      <c r="I1074" s="63" t="str">
        <f>IF(H1074="","",IFERROR(INDEX('Data Export'!G1074:CZ1074,1,MATCH(前十整体车型排名!$B$4,'Data Export'!$G$1:$CZ$1,0)),0))</f>
        <v/>
      </c>
      <c r="J1074" s="62" t="str">
        <f>IF(H1074="","",IF(OR('Data Export'!F1074="三厢轿车",'Data Export'!F1074="掀背轿车",'Data Export'!F1074="旅行车",'Data Export'!F1074="微型车",'Data Export'!F1074="硬顶跑车",'Data Export'!F1074="敞蓬车",'Data Export'!F1074="Targa"),"轿车",IF(OR('Data Export'!F1074="小型MPV",'Data Export'!F1074="客车"),"MPV",IF('Data Export'!F1074="运动型多功能车","SUV","其他"))))</f>
        <v/>
      </c>
      <c r="K1074" s="62"/>
      <c r="L1074" s="62"/>
      <c r="M1074" s="62"/>
      <c r="N1074" s="62"/>
      <c r="O1074" s="62"/>
      <c r="P1074" s="62"/>
      <c r="Q1074" s="62"/>
    </row>
    <row r="1075" spans="1:17">
      <c r="A1075" s="62"/>
      <c r="B1075" s="62"/>
      <c r="C1075" s="62"/>
      <c r="D1075" s="62"/>
      <c r="E1075" s="62"/>
      <c r="F1075" s="62"/>
      <c r="G1075" s="62"/>
      <c r="H1075" s="62" t="str">
        <f>IF(AND('Data Export'!A1075=前十整体车型排名!$B$2,'Data Export'!B1075=前十整体车型排名!$B$3,'Data Export'!D1075&lt;&gt;""),UPPER('Data Export'!C1075)&amp;"♦"&amp;'Data Export'!D1075,"")</f>
        <v/>
      </c>
      <c r="I1075" s="63" t="str">
        <f>IF(H1075="","",IFERROR(INDEX('Data Export'!G1075:CZ1075,1,MATCH(前十整体车型排名!$B$4,'Data Export'!$G$1:$CZ$1,0)),0))</f>
        <v/>
      </c>
      <c r="J1075" s="62" t="str">
        <f>IF(H1075="","",IF(OR('Data Export'!F1075="三厢轿车",'Data Export'!F1075="掀背轿车",'Data Export'!F1075="旅行车",'Data Export'!F1075="微型车",'Data Export'!F1075="硬顶跑车",'Data Export'!F1075="敞蓬车",'Data Export'!F1075="Targa"),"轿车",IF(OR('Data Export'!F1075="小型MPV",'Data Export'!F1075="客车"),"MPV",IF('Data Export'!F1075="运动型多功能车","SUV","其他"))))</f>
        <v/>
      </c>
      <c r="K1075" s="62"/>
      <c r="L1075" s="62"/>
      <c r="M1075" s="62"/>
      <c r="N1075" s="62"/>
      <c r="O1075" s="62"/>
      <c r="P1075" s="62"/>
      <c r="Q1075" s="62"/>
    </row>
    <row r="1076" spans="1:17">
      <c r="A1076" s="62"/>
      <c r="B1076" s="62"/>
      <c r="C1076" s="62"/>
      <c r="D1076" s="62"/>
      <c r="E1076" s="62"/>
      <c r="F1076" s="62"/>
      <c r="G1076" s="62"/>
      <c r="H1076" s="62" t="str">
        <f>IF(AND('Data Export'!A1076=前十整体车型排名!$B$2,'Data Export'!B1076=前十整体车型排名!$B$3,'Data Export'!D1076&lt;&gt;""),UPPER('Data Export'!C1076)&amp;"♦"&amp;'Data Export'!D1076,"")</f>
        <v/>
      </c>
      <c r="I1076" s="63" t="str">
        <f>IF(H1076="","",IFERROR(INDEX('Data Export'!G1076:CZ1076,1,MATCH(前十整体车型排名!$B$4,'Data Export'!$G$1:$CZ$1,0)),0))</f>
        <v/>
      </c>
      <c r="J1076" s="62" t="str">
        <f>IF(H1076="","",IF(OR('Data Export'!F1076="三厢轿车",'Data Export'!F1076="掀背轿车",'Data Export'!F1076="旅行车",'Data Export'!F1076="微型车",'Data Export'!F1076="硬顶跑车",'Data Export'!F1076="敞蓬车",'Data Export'!F1076="Targa"),"轿车",IF(OR('Data Export'!F1076="小型MPV",'Data Export'!F1076="客车"),"MPV",IF('Data Export'!F1076="运动型多功能车","SUV","其他"))))</f>
        <v/>
      </c>
      <c r="K1076" s="62"/>
      <c r="L1076" s="62"/>
      <c r="M1076" s="62"/>
      <c r="N1076" s="62"/>
      <c r="O1076" s="62"/>
      <c r="P1076" s="62"/>
      <c r="Q1076" s="62"/>
    </row>
    <row r="1077" spans="1:17">
      <c r="A1077" s="62"/>
      <c r="B1077" s="62"/>
      <c r="C1077" s="62"/>
      <c r="D1077" s="62"/>
      <c r="E1077" s="62"/>
      <c r="F1077" s="62"/>
      <c r="G1077" s="62"/>
      <c r="H1077" s="62" t="str">
        <f>IF(AND('Data Export'!A1077=前十整体车型排名!$B$2,'Data Export'!B1077=前十整体车型排名!$B$3,'Data Export'!D1077&lt;&gt;""),UPPER('Data Export'!C1077)&amp;"♦"&amp;'Data Export'!D1077,"")</f>
        <v/>
      </c>
      <c r="I1077" s="63" t="str">
        <f>IF(H1077="","",IFERROR(INDEX('Data Export'!G1077:CZ1077,1,MATCH(前十整体车型排名!$B$4,'Data Export'!$G$1:$CZ$1,0)),0))</f>
        <v/>
      </c>
      <c r="J1077" s="62" t="str">
        <f>IF(H1077="","",IF(OR('Data Export'!F1077="三厢轿车",'Data Export'!F1077="掀背轿车",'Data Export'!F1077="旅行车",'Data Export'!F1077="微型车",'Data Export'!F1077="硬顶跑车",'Data Export'!F1077="敞蓬车",'Data Export'!F1077="Targa"),"轿车",IF(OR('Data Export'!F1077="小型MPV",'Data Export'!F1077="客车"),"MPV",IF('Data Export'!F1077="运动型多功能车","SUV","其他"))))</f>
        <v/>
      </c>
      <c r="K1077" s="62"/>
      <c r="L1077" s="62"/>
      <c r="M1077" s="62"/>
      <c r="N1077" s="62"/>
      <c r="O1077" s="62"/>
      <c r="P1077" s="62"/>
      <c r="Q1077" s="62"/>
    </row>
    <row r="1078" spans="1:17">
      <c r="A1078" s="62"/>
      <c r="B1078" s="62"/>
      <c r="C1078" s="62"/>
      <c r="D1078" s="62"/>
      <c r="E1078" s="62"/>
      <c r="F1078" s="62"/>
      <c r="G1078" s="62"/>
      <c r="H1078" s="62" t="str">
        <f>IF(AND('Data Export'!A1078=前十整体车型排名!$B$2,'Data Export'!B1078=前十整体车型排名!$B$3,'Data Export'!D1078&lt;&gt;""),UPPER('Data Export'!C1078)&amp;"♦"&amp;'Data Export'!D1078,"")</f>
        <v/>
      </c>
      <c r="I1078" s="63" t="str">
        <f>IF(H1078="","",IFERROR(INDEX('Data Export'!G1078:CZ1078,1,MATCH(前十整体车型排名!$B$4,'Data Export'!$G$1:$CZ$1,0)),0))</f>
        <v/>
      </c>
      <c r="J1078" s="62" t="str">
        <f>IF(H1078="","",IF(OR('Data Export'!F1078="三厢轿车",'Data Export'!F1078="掀背轿车",'Data Export'!F1078="旅行车",'Data Export'!F1078="微型车",'Data Export'!F1078="硬顶跑车",'Data Export'!F1078="敞蓬车",'Data Export'!F1078="Targa"),"轿车",IF(OR('Data Export'!F1078="小型MPV",'Data Export'!F1078="客车"),"MPV",IF('Data Export'!F1078="运动型多功能车","SUV","其他"))))</f>
        <v/>
      </c>
      <c r="K1078" s="62"/>
      <c r="L1078" s="62"/>
      <c r="M1078" s="62"/>
      <c r="N1078" s="62"/>
      <c r="O1078" s="62"/>
      <c r="P1078" s="62"/>
      <c r="Q1078" s="62"/>
    </row>
    <row r="1079" spans="1:17">
      <c r="A1079" s="62"/>
      <c r="B1079" s="62"/>
      <c r="C1079" s="62"/>
      <c r="D1079" s="62"/>
      <c r="E1079" s="62"/>
      <c r="F1079" s="62"/>
      <c r="G1079" s="62"/>
      <c r="H1079" s="62" t="str">
        <f>IF(AND('Data Export'!A1079=前十整体车型排名!$B$2,'Data Export'!B1079=前十整体车型排名!$B$3,'Data Export'!D1079&lt;&gt;""),UPPER('Data Export'!C1079)&amp;"♦"&amp;'Data Export'!D1079,"")</f>
        <v/>
      </c>
      <c r="I1079" s="63" t="str">
        <f>IF(H1079="","",IFERROR(INDEX('Data Export'!G1079:CZ1079,1,MATCH(前十整体车型排名!$B$4,'Data Export'!$G$1:$CZ$1,0)),0))</f>
        <v/>
      </c>
      <c r="J1079" s="62" t="str">
        <f>IF(H1079="","",IF(OR('Data Export'!F1079="三厢轿车",'Data Export'!F1079="掀背轿车",'Data Export'!F1079="旅行车",'Data Export'!F1079="微型车",'Data Export'!F1079="硬顶跑车",'Data Export'!F1079="敞蓬车",'Data Export'!F1079="Targa"),"轿车",IF(OR('Data Export'!F1079="小型MPV",'Data Export'!F1079="客车"),"MPV",IF('Data Export'!F1079="运动型多功能车","SUV","其他"))))</f>
        <v/>
      </c>
      <c r="K1079" s="62"/>
      <c r="L1079" s="62"/>
      <c r="M1079" s="62"/>
      <c r="N1079" s="62"/>
      <c r="O1079" s="62"/>
      <c r="P1079" s="62"/>
      <c r="Q1079" s="62"/>
    </row>
    <row r="1080" spans="1:17">
      <c r="A1080" s="62"/>
      <c r="B1080" s="62"/>
      <c r="C1080" s="62"/>
      <c r="D1080" s="62"/>
      <c r="E1080" s="62"/>
      <c r="F1080" s="62"/>
      <c r="G1080" s="62"/>
      <c r="H1080" s="62" t="str">
        <f>IF(AND('Data Export'!A1080=前十整体车型排名!$B$2,'Data Export'!B1080=前十整体车型排名!$B$3,'Data Export'!D1080&lt;&gt;""),UPPER('Data Export'!C1080)&amp;"♦"&amp;'Data Export'!D1080,"")</f>
        <v/>
      </c>
      <c r="I1080" s="63" t="str">
        <f>IF(H1080="","",IFERROR(INDEX('Data Export'!G1080:CZ1080,1,MATCH(前十整体车型排名!$B$4,'Data Export'!$G$1:$CZ$1,0)),0))</f>
        <v/>
      </c>
      <c r="J1080" s="62" t="str">
        <f>IF(H1080="","",IF(OR('Data Export'!F1080="三厢轿车",'Data Export'!F1080="掀背轿车",'Data Export'!F1080="旅行车",'Data Export'!F1080="微型车",'Data Export'!F1080="硬顶跑车",'Data Export'!F1080="敞蓬车",'Data Export'!F1080="Targa"),"轿车",IF(OR('Data Export'!F1080="小型MPV",'Data Export'!F1080="客车"),"MPV",IF('Data Export'!F1080="运动型多功能车","SUV","其他"))))</f>
        <v/>
      </c>
      <c r="K1080" s="62"/>
      <c r="L1080" s="62"/>
      <c r="M1080" s="62"/>
      <c r="N1080" s="62"/>
      <c r="O1080" s="62"/>
      <c r="P1080" s="62"/>
      <c r="Q1080" s="62"/>
    </row>
    <row r="1081" spans="1:17">
      <c r="A1081" s="62"/>
      <c r="B1081" s="62"/>
      <c r="C1081" s="62"/>
      <c r="D1081" s="62"/>
      <c r="E1081" s="62"/>
      <c r="F1081" s="62"/>
      <c r="G1081" s="62"/>
      <c r="H1081" s="62" t="str">
        <f>IF(AND('Data Export'!A1081=前十整体车型排名!$B$2,'Data Export'!B1081=前十整体车型排名!$B$3,'Data Export'!D1081&lt;&gt;""),UPPER('Data Export'!C1081)&amp;"♦"&amp;'Data Export'!D1081,"")</f>
        <v/>
      </c>
      <c r="I1081" s="63" t="str">
        <f>IF(H1081="","",IFERROR(INDEX('Data Export'!G1081:CZ1081,1,MATCH(前十整体车型排名!$B$4,'Data Export'!$G$1:$CZ$1,0)),0))</f>
        <v/>
      </c>
      <c r="J1081" s="62" t="str">
        <f>IF(H1081="","",IF(OR('Data Export'!F1081="三厢轿车",'Data Export'!F1081="掀背轿车",'Data Export'!F1081="旅行车",'Data Export'!F1081="微型车",'Data Export'!F1081="硬顶跑车",'Data Export'!F1081="敞蓬车",'Data Export'!F1081="Targa"),"轿车",IF(OR('Data Export'!F1081="小型MPV",'Data Export'!F1081="客车"),"MPV",IF('Data Export'!F1081="运动型多功能车","SUV","其他"))))</f>
        <v/>
      </c>
      <c r="K1081" s="62"/>
      <c r="L1081" s="62"/>
      <c r="M1081" s="62"/>
      <c r="N1081" s="62"/>
      <c r="O1081" s="62"/>
      <c r="P1081" s="62"/>
      <c r="Q1081" s="62"/>
    </row>
    <row r="1082" spans="1:17">
      <c r="A1082" s="62"/>
      <c r="B1082" s="62"/>
      <c r="C1082" s="62"/>
      <c r="D1082" s="62"/>
      <c r="E1082" s="62"/>
      <c r="F1082" s="62"/>
      <c r="G1082" s="62"/>
      <c r="H1082" s="62" t="str">
        <f>IF(AND('Data Export'!A1082=前十整体车型排名!$B$2,'Data Export'!B1082=前十整体车型排名!$B$3,'Data Export'!D1082&lt;&gt;""),UPPER('Data Export'!C1082)&amp;"♦"&amp;'Data Export'!D1082,"")</f>
        <v/>
      </c>
      <c r="I1082" s="63" t="str">
        <f>IF(H1082="","",IFERROR(INDEX('Data Export'!G1082:CZ1082,1,MATCH(前十整体车型排名!$B$4,'Data Export'!$G$1:$CZ$1,0)),0))</f>
        <v/>
      </c>
      <c r="J1082" s="62" t="str">
        <f>IF(H1082="","",IF(OR('Data Export'!F1082="三厢轿车",'Data Export'!F1082="掀背轿车",'Data Export'!F1082="旅行车",'Data Export'!F1082="微型车",'Data Export'!F1082="硬顶跑车",'Data Export'!F1082="敞蓬车",'Data Export'!F1082="Targa"),"轿车",IF(OR('Data Export'!F1082="小型MPV",'Data Export'!F1082="客车"),"MPV",IF('Data Export'!F1082="运动型多功能车","SUV","其他"))))</f>
        <v/>
      </c>
      <c r="K1082" s="62"/>
      <c r="L1082" s="62"/>
      <c r="M1082" s="62"/>
      <c r="N1082" s="62"/>
      <c r="O1082" s="62"/>
      <c r="P1082" s="62"/>
      <c r="Q1082" s="62"/>
    </row>
    <row r="1083" spans="1:17">
      <c r="A1083" s="62"/>
      <c r="B1083" s="62"/>
      <c r="C1083" s="62"/>
      <c r="D1083" s="62"/>
      <c r="E1083" s="62"/>
      <c r="F1083" s="62"/>
      <c r="G1083" s="62"/>
      <c r="H1083" s="62" t="str">
        <f>IF(AND('Data Export'!A1083=前十整体车型排名!$B$2,'Data Export'!B1083=前十整体车型排名!$B$3,'Data Export'!D1083&lt;&gt;""),UPPER('Data Export'!C1083)&amp;"♦"&amp;'Data Export'!D1083,"")</f>
        <v/>
      </c>
      <c r="I1083" s="63" t="str">
        <f>IF(H1083="","",IFERROR(INDEX('Data Export'!G1083:CZ1083,1,MATCH(前十整体车型排名!$B$4,'Data Export'!$G$1:$CZ$1,0)),0))</f>
        <v/>
      </c>
      <c r="J1083" s="62" t="str">
        <f>IF(H1083="","",IF(OR('Data Export'!F1083="三厢轿车",'Data Export'!F1083="掀背轿车",'Data Export'!F1083="旅行车",'Data Export'!F1083="微型车",'Data Export'!F1083="硬顶跑车",'Data Export'!F1083="敞蓬车",'Data Export'!F1083="Targa"),"轿车",IF(OR('Data Export'!F1083="小型MPV",'Data Export'!F1083="客车"),"MPV",IF('Data Export'!F1083="运动型多功能车","SUV","其他"))))</f>
        <v/>
      </c>
      <c r="K1083" s="62"/>
      <c r="L1083" s="62"/>
      <c r="M1083" s="62"/>
      <c r="N1083" s="62"/>
      <c r="O1083" s="62"/>
      <c r="P1083" s="62"/>
      <c r="Q1083" s="62"/>
    </row>
    <row r="1084" spans="1:17">
      <c r="A1084" s="62"/>
      <c r="B1084" s="62"/>
      <c r="C1084" s="62"/>
      <c r="D1084" s="62"/>
      <c r="E1084" s="62"/>
      <c r="F1084" s="62"/>
      <c r="G1084" s="62"/>
      <c r="H1084" s="62" t="str">
        <f>IF(AND('Data Export'!A1084=前十整体车型排名!$B$2,'Data Export'!B1084=前十整体车型排名!$B$3,'Data Export'!D1084&lt;&gt;""),UPPER('Data Export'!C1084)&amp;"♦"&amp;'Data Export'!D1084,"")</f>
        <v/>
      </c>
      <c r="I1084" s="63" t="str">
        <f>IF(H1084="","",IFERROR(INDEX('Data Export'!G1084:CZ1084,1,MATCH(前十整体车型排名!$B$4,'Data Export'!$G$1:$CZ$1,0)),0))</f>
        <v/>
      </c>
      <c r="J1084" s="62" t="str">
        <f>IF(H1084="","",IF(OR('Data Export'!F1084="三厢轿车",'Data Export'!F1084="掀背轿车",'Data Export'!F1084="旅行车",'Data Export'!F1084="微型车",'Data Export'!F1084="硬顶跑车",'Data Export'!F1084="敞蓬车",'Data Export'!F1084="Targa"),"轿车",IF(OR('Data Export'!F1084="小型MPV",'Data Export'!F1084="客车"),"MPV",IF('Data Export'!F1084="运动型多功能车","SUV","其他"))))</f>
        <v/>
      </c>
      <c r="K1084" s="62"/>
      <c r="L1084" s="62"/>
      <c r="M1084" s="62"/>
      <c r="N1084" s="62"/>
      <c r="O1084" s="62"/>
      <c r="P1084" s="62"/>
      <c r="Q1084" s="62"/>
    </row>
    <row r="1085" spans="1:17">
      <c r="A1085" s="62"/>
      <c r="B1085" s="62"/>
      <c r="C1085" s="62"/>
      <c r="D1085" s="62"/>
      <c r="E1085" s="62"/>
      <c r="F1085" s="62"/>
      <c r="G1085" s="62"/>
      <c r="H1085" s="62" t="str">
        <f>IF(AND('Data Export'!A1085=前十整体车型排名!$B$2,'Data Export'!B1085=前十整体车型排名!$B$3,'Data Export'!D1085&lt;&gt;""),UPPER('Data Export'!C1085)&amp;"♦"&amp;'Data Export'!D1085,"")</f>
        <v/>
      </c>
      <c r="I1085" s="63" t="str">
        <f>IF(H1085="","",IFERROR(INDEX('Data Export'!G1085:CZ1085,1,MATCH(前十整体车型排名!$B$4,'Data Export'!$G$1:$CZ$1,0)),0))</f>
        <v/>
      </c>
      <c r="J1085" s="62" t="str">
        <f>IF(H1085="","",IF(OR('Data Export'!F1085="三厢轿车",'Data Export'!F1085="掀背轿车",'Data Export'!F1085="旅行车",'Data Export'!F1085="微型车",'Data Export'!F1085="硬顶跑车",'Data Export'!F1085="敞蓬车",'Data Export'!F1085="Targa"),"轿车",IF(OR('Data Export'!F1085="小型MPV",'Data Export'!F1085="客车"),"MPV",IF('Data Export'!F1085="运动型多功能车","SUV","其他"))))</f>
        <v/>
      </c>
      <c r="K1085" s="62"/>
      <c r="L1085" s="62"/>
      <c r="M1085" s="62"/>
      <c r="N1085" s="62"/>
      <c r="O1085" s="62"/>
      <c r="P1085" s="62"/>
      <c r="Q1085" s="62"/>
    </row>
    <row r="1086" spans="1:17">
      <c r="A1086" s="62"/>
      <c r="B1086" s="62"/>
      <c r="C1086" s="62"/>
      <c r="D1086" s="62"/>
      <c r="E1086" s="62"/>
      <c r="F1086" s="62"/>
      <c r="G1086" s="62"/>
      <c r="H1086" s="62" t="str">
        <f>IF(AND('Data Export'!A1086=前十整体车型排名!$B$2,'Data Export'!B1086=前十整体车型排名!$B$3,'Data Export'!D1086&lt;&gt;""),UPPER('Data Export'!C1086)&amp;"♦"&amp;'Data Export'!D1086,"")</f>
        <v/>
      </c>
      <c r="I1086" s="63" t="str">
        <f>IF(H1086="","",IFERROR(INDEX('Data Export'!G1086:CZ1086,1,MATCH(前十整体车型排名!$B$4,'Data Export'!$G$1:$CZ$1,0)),0))</f>
        <v/>
      </c>
      <c r="J1086" s="62" t="str">
        <f>IF(H1086="","",IF(OR('Data Export'!F1086="三厢轿车",'Data Export'!F1086="掀背轿车",'Data Export'!F1086="旅行车",'Data Export'!F1086="微型车",'Data Export'!F1086="硬顶跑车",'Data Export'!F1086="敞蓬车",'Data Export'!F1086="Targa"),"轿车",IF(OR('Data Export'!F1086="小型MPV",'Data Export'!F1086="客车"),"MPV",IF('Data Export'!F1086="运动型多功能车","SUV","其他"))))</f>
        <v/>
      </c>
      <c r="K1086" s="62"/>
      <c r="L1086" s="62"/>
      <c r="M1086" s="62"/>
      <c r="N1086" s="62"/>
      <c r="O1086" s="62"/>
      <c r="P1086" s="62"/>
      <c r="Q1086" s="62"/>
    </row>
    <row r="1087" spans="1:17">
      <c r="A1087" s="62"/>
      <c r="B1087" s="62"/>
      <c r="C1087" s="62"/>
      <c r="D1087" s="62"/>
      <c r="E1087" s="62"/>
      <c r="F1087" s="62"/>
      <c r="G1087" s="62"/>
      <c r="H1087" s="62" t="str">
        <f>IF(AND('Data Export'!A1087=前十整体车型排名!$B$2,'Data Export'!B1087=前十整体车型排名!$B$3,'Data Export'!D1087&lt;&gt;""),UPPER('Data Export'!C1087)&amp;"♦"&amp;'Data Export'!D1087,"")</f>
        <v/>
      </c>
      <c r="I1087" s="63" t="str">
        <f>IF(H1087="","",IFERROR(INDEX('Data Export'!G1087:CZ1087,1,MATCH(前十整体车型排名!$B$4,'Data Export'!$G$1:$CZ$1,0)),0))</f>
        <v/>
      </c>
      <c r="J1087" s="62" t="str">
        <f>IF(H1087="","",IF(OR('Data Export'!F1087="三厢轿车",'Data Export'!F1087="掀背轿车",'Data Export'!F1087="旅行车",'Data Export'!F1087="微型车",'Data Export'!F1087="硬顶跑车",'Data Export'!F1087="敞蓬车",'Data Export'!F1087="Targa"),"轿车",IF(OR('Data Export'!F1087="小型MPV",'Data Export'!F1087="客车"),"MPV",IF('Data Export'!F1087="运动型多功能车","SUV","其他"))))</f>
        <v/>
      </c>
      <c r="K1087" s="62"/>
      <c r="L1087" s="62"/>
      <c r="M1087" s="62"/>
      <c r="N1087" s="62"/>
      <c r="O1087" s="62"/>
      <c r="P1087" s="62"/>
      <c r="Q1087" s="62"/>
    </row>
    <row r="1088" spans="1:17">
      <c r="A1088" s="62"/>
      <c r="B1088" s="62"/>
      <c r="C1088" s="62"/>
      <c r="D1088" s="62"/>
      <c r="E1088" s="62"/>
      <c r="F1088" s="62"/>
      <c r="G1088" s="62"/>
      <c r="H1088" s="62" t="str">
        <f>IF(AND('Data Export'!A1088=前十整体车型排名!$B$2,'Data Export'!B1088=前十整体车型排名!$B$3,'Data Export'!D1088&lt;&gt;""),UPPER('Data Export'!C1088)&amp;"♦"&amp;'Data Export'!D1088,"")</f>
        <v/>
      </c>
      <c r="I1088" s="63" t="str">
        <f>IF(H1088="","",IFERROR(INDEX('Data Export'!G1088:CZ1088,1,MATCH(前十整体车型排名!$B$4,'Data Export'!$G$1:$CZ$1,0)),0))</f>
        <v/>
      </c>
      <c r="J1088" s="62" t="str">
        <f>IF(H1088="","",IF(OR('Data Export'!F1088="三厢轿车",'Data Export'!F1088="掀背轿车",'Data Export'!F1088="旅行车",'Data Export'!F1088="微型车",'Data Export'!F1088="硬顶跑车",'Data Export'!F1088="敞蓬车",'Data Export'!F1088="Targa"),"轿车",IF(OR('Data Export'!F1088="小型MPV",'Data Export'!F1088="客车"),"MPV",IF('Data Export'!F1088="运动型多功能车","SUV","其他"))))</f>
        <v/>
      </c>
      <c r="K1088" s="62"/>
      <c r="L1088" s="62"/>
      <c r="M1088" s="62"/>
      <c r="N1088" s="62"/>
      <c r="O1088" s="62"/>
      <c r="P1088" s="62"/>
      <c r="Q1088" s="62"/>
    </row>
    <row r="1089" spans="1:17">
      <c r="A1089" s="62"/>
      <c r="B1089" s="62"/>
      <c r="C1089" s="62"/>
      <c r="D1089" s="62"/>
      <c r="E1089" s="62"/>
      <c r="F1089" s="62"/>
      <c r="G1089" s="62"/>
      <c r="H1089" s="62" t="str">
        <f>IF(AND('Data Export'!A1089=前十整体车型排名!$B$2,'Data Export'!B1089=前十整体车型排名!$B$3,'Data Export'!D1089&lt;&gt;""),UPPER('Data Export'!C1089)&amp;"♦"&amp;'Data Export'!D1089,"")</f>
        <v/>
      </c>
      <c r="I1089" s="63" t="str">
        <f>IF(H1089="","",IFERROR(INDEX('Data Export'!G1089:CZ1089,1,MATCH(前十整体车型排名!$B$4,'Data Export'!$G$1:$CZ$1,0)),0))</f>
        <v/>
      </c>
      <c r="J1089" s="62" t="str">
        <f>IF(H1089="","",IF(OR('Data Export'!F1089="三厢轿车",'Data Export'!F1089="掀背轿车",'Data Export'!F1089="旅行车",'Data Export'!F1089="微型车",'Data Export'!F1089="硬顶跑车",'Data Export'!F1089="敞蓬车",'Data Export'!F1089="Targa"),"轿车",IF(OR('Data Export'!F1089="小型MPV",'Data Export'!F1089="客车"),"MPV",IF('Data Export'!F1089="运动型多功能车","SUV","其他"))))</f>
        <v/>
      </c>
      <c r="K1089" s="62"/>
      <c r="L1089" s="62"/>
      <c r="M1089" s="62"/>
      <c r="N1089" s="62"/>
      <c r="O1089" s="62"/>
      <c r="P1089" s="62"/>
      <c r="Q1089" s="62"/>
    </row>
    <row r="1090" spans="1:17">
      <c r="A1090" s="62"/>
      <c r="B1090" s="62"/>
      <c r="C1090" s="62"/>
      <c r="D1090" s="62"/>
      <c r="E1090" s="62"/>
      <c r="F1090" s="62"/>
      <c r="G1090" s="62"/>
      <c r="H1090" s="62" t="str">
        <f>IF(AND('Data Export'!A1090=前十整体车型排名!$B$2,'Data Export'!B1090=前十整体车型排名!$B$3,'Data Export'!D1090&lt;&gt;""),UPPER('Data Export'!C1090)&amp;"♦"&amp;'Data Export'!D1090,"")</f>
        <v/>
      </c>
      <c r="I1090" s="63" t="str">
        <f>IF(H1090="","",IFERROR(INDEX('Data Export'!G1090:CZ1090,1,MATCH(前十整体车型排名!$B$4,'Data Export'!$G$1:$CZ$1,0)),0))</f>
        <v/>
      </c>
      <c r="J1090" s="62" t="str">
        <f>IF(H1090="","",IF(OR('Data Export'!F1090="三厢轿车",'Data Export'!F1090="掀背轿车",'Data Export'!F1090="旅行车",'Data Export'!F1090="微型车",'Data Export'!F1090="硬顶跑车",'Data Export'!F1090="敞蓬车",'Data Export'!F1090="Targa"),"轿车",IF(OR('Data Export'!F1090="小型MPV",'Data Export'!F1090="客车"),"MPV",IF('Data Export'!F1090="运动型多功能车","SUV","其他"))))</f>
        <v/>
      </c>
      <c r="K1090" s="62"/>
      <c r="L1090" s="62"/>
      <c r="M1090" s="62"/>
      <c r="N1090" s="62"/>
      <c r="O1090" s="62"/>
      <c r="P1090" s="62"/>
      <c r="Q1090" s="62"/>
    </row>
    <row r="1091" spans="1:17">
      <c r="A1091" s="62"/>
      <c r="B1091" s="62"/>
      <c r="C1091" s="62"/>
      <c r="D1091" s="62"/>
      <c r="E1091" s="62"/>
      <c r="F1091" s="62"/>
      <c r="G1091" s="62"/>
      <c r="H1091" s="62" t="str">
        <f>IF(AND('Data Export'!A1091=前十整体车型排名!$B$2,'Data Export'!B1091=前十整体车型排名!$B$3,'Data Export'!D1091&lt;&gt;""),UPPER('Data Export'!C1091)&amp;"♦"&amp;'Data Export'!D1091,"")</f>
        <v/>
      </c>
      <c r="I1091" s="63" t="str">
        <f>IF(H1091="","",IFERROR(INDEX('Data Export'!G1091:CZ1091,1,MATCH(前十整体车型排名!$B$4,'Data Export'!$G$1:$CZ$1,0)),0))</f>
        <v/>
      </c>
      <c r="J1091" s="62" t="str">
        <f>IF(H1091="","",IF(OR('Data Export'!F1091="三厢轿车",'Data Export'!F1091="掀背轿车",'Data Export'!F1091="旅行车",'Data Export'!F1091="微型车",'Data Export'!F1091="硬顶跑车",'Data Export'!F1091="敞蓬车",'Data Export'!F1091="Targa"),"轿车",IF(OR('Data Export'!F1091="小型MPV",'Data Export'!F1091="客车"),"MPV",IF('Data Export'!F1091="运动型多功能车","SUV","其他"))))</f>
        <v/>
      </c>
      <c r="K1091" s="62"/>
      <c r="L1091" s="62"/>
      <c r="M1091" s="62"/>
      <c r="N1091" s="62"/>
      <c r="O1091" s="62"/>
      <c r="P1091" s="62"/>
      <c r="Q1091" s="62"/>
    </row>
    <row r="1092" spans="1:17">
      <c r="A1092" s="62"/>
      <c r="B1092" s="62"/>
      <c r="C1092" s="62"/>
      <c r="D1092" s="62"/>
      <c r="E1092" s="62"/>
      <c r="F1092" s="62"/>
      <c r="G1092" s="62"/>
      <c r="H1092" s="62" t="str">
        <f>IF(AND('Data Export'!A1092=前十整体车型排名!$B$2,'Data Export'!B1092=前十整体车型排名!$B$3,'Data Export'!D1092&lt;&gt;""),UPPER('Data Export'!C1092)&amp;"♦"&amp;'Data Export'!D1092,"")</f>
        <v/>
      </c>
      <c r="I1092" s="63" t="str">
        <f>IF(H1092="","",IFERROR(INDEX('Data Export'!G1092:CZ1092,1,MATCH(前十整体车型排名!$B$4,'Data Export'!$G$1:$CZ$1,0)),0))</f>
        <v/>
      </c>
      <c r="J1092" s="62" t="str">
        <f>IF(H1092="","",IF(OR('Data Export'!F1092="三厢轿车",'Data Export'!F1092="掀背轿车",'Data Export'!F1092="旅行车",'Data Export'!F1092="微型车",'Data Export'!F1092="硬顶跑车",'Data Export'!F1092="敞蓬车",'Data Export'!F1092="Targa"),"轿车",IF(OR('Data Export'!F1092="小型MPV",'Data Export'!F1092="客车"),"MPV",IF('Data Export'!F1092="运动型多功能车","SUV","其他"))))</f>
        <v/>
      </c>
      <c r="K1092" s="62"/>
      <c r="L1092" s="62"/>
      <c r="M1092" s="62"/>
      <c r="N1092" s="62"/>
      <c r="O1092" s="62"/>
      <c r="P1092" s="62"/>
      <c r="Q1092" s="62"/>
    </row>
    <row r="1093" spans="1:17">
      <c r="A1093" s="62"/>
      <c r="B1093" s="62"/>
      <c r="C1093" s="62"/>
      <c r="D1093" s="62"/>
      <c r="E1093" s="62"/>
      <c r="F1093" s="62"/>
      <c r="G1093" s="62"/>
      <c r="H1093" s="62" t="str">
        <f>IF(AND('Data Export'!A1093=前十整体车型排名!$B$2,'Data Export'!B1093=前十整体车型排名!$B$3,'Data Export'!D1093&lt;&gt;""),UPPER('Data Export'!C1093)&amp;"♦"&amp;'Data Export'!D1093,"")</f>
        <v/>
      </c>
      <c r="I1093" s="63" t="str">
        <f>IF(H1093="","",IFERROR(INDEX('Data Export'!G1093:CZ1093,1,MATCH(前十整体车型排名!$B$4,'Data Export'!$G$1:$CZ$1,0)),0))</f>
        <v/>
      </c>
      <c r="J1093" s="62" t="str">
        <f>IF(H1093="","",IF(OR('Data Export'!F1093="三厢轿车",'Data Export'!F1093="掀背轿车",'Data Export'!F1093="旅行车",'Data Export'!F1093="微型车",'Data Export'!F1093="硬顶跑车",'Data Export'!F1093="敞蓬车",'Data Export'!F1093="Targa"),"轿车",IF(OR('Data Export'!F1093="小型MPV",'Data Export'!F1093="客车"),"MPV",IF('Data Export'!F1093="运动型多功能车","SUV","其他"))))</f>
        <v/>
      </c>
      <c r="K1093" s="62"/>
      <c r="L1093" s="62"/>
      <c r="M1093" s="62"/>
      <c r="N1093" s="62"/>
      <c r="O1093" s="62"/>
      <c r="P1093" s="62"/>
      <c r="Q1093" s="62"/>
    </row>
    <row r="1094" spans="1:17">
      <c r="A1094" s="62"/>
      <c r="B1094" s="62"/>
      <c r="C1094" s="62"/>
      <c r="D1094" s="62"/>
      <c r="E1094" s="62"/>
      <c r="F1094" s="62"/>
      <c r="G1094" s="62"/>
      <c r="H1094" s="62" t="str">
        <f>IF(AND('Data Export'!A1094=前十整体车型排名!$B$2,'Data Export'!B1094=前十整体车型排名!$B$3,'Data Export'!D1094&lt;&gt;""),UPPER('Data Export'!C1094)&amp;"♦"&amp;'Data Export'!D1094,"")</f>
        <v/>
      </c>
      <c r="I1094" s="63" t="str">
        <f>IF(H1094="","",IFERROR(INDEX('Data Export'!G1094:CZ1094,1,MATCH(前十整体车型排名!$B$4,'Data Export'!$G$1:$CZ$1,0)),0))</f>
        <v/>
      </c>
      <c r="J1094" s="62" t="str">
        <f>IF(H1094="","",IF(OR('Data Export'!F1094="三厢轿车",'Data Export'!F1094="掀背轿车",'Data Export'!F1094="旅行车",'Data Export'!F1094="微型车",'Data Export'!F1094="硬顶跑车",'Data Export'!F1094="敞蓬车",'Data Export'!F1094="Targa"),"轿车",IF(OR('Data Export'!F1094="小型MPV",'Data Export'!F1094="客车"),"MPV",IF('Data Export'!F1094="运动型多功能车","SUV","其他"))))</f>
        <v/>
      </c>
      <c r="K1094" s="62"/>
      <c r="L1094" s="62"/>
      <c r="M1094" s="62"/>
      <c r="N1094" s="62"/>
      <c r="O1094" s="62"/>
      <c r="P1094" s="62"/>
      <c r="Q1094" s="62"/>
    </row>
    <row r="1095" spans="1:17">
      <c r="A1095" s="62"/>
      <c r="B1095" s="62"/>
      <c r="C1095" s="62"/>
      <c r="D1095" s="62"/>
      <c r="E1095" s="62"/>
      <c r="F1095" s="62"/>
      <c r="G1095" s="62"/>
      <c r="H1095" s="62" t="str">
        <f>IF(AND('Data Export'!A1095=前十整体车型排名!$B$2,'Data Export'!B1095=前十整体车型排名!$B$3,'Data Export'!D1095&lt;&gt;""),UPPER('Data Export'!C1095)&amp;"♦"&amp;'Data Export'!D1095,"")</f>
        <v/>
      </c>
      <c r="I1095" s="63" t="str">
        <f>IF(H1095="","",IFERROR(INDEX('Data Export'!G1095:CZ1095,1,MATCH(前十整体车型排名!$B$4,'Data Export'!$G$1:$CZ$1,0)),0))</f>
        <v/>
      </c>
      <c r="J1095" s="62" t="str">
        <f>IF(H1095="","",IF(OR('Data Export'!F1095="三厢轿车",'Data Export'!F1095="掀背轿车",'Data Export'!F1095="旅行车",'Data Export'!F1095="微型车",'Data Export'!F1095="硬顶跑车",'Data Export'!F1095="敞蓬车",'Data Export'!F1095="Targa"),"轿车",IF(OR('Data Export'!F1095="小型MPV",'Data Export'!F1095="客车"),"MPV",IF('Data Export'!F1095="运动型多功能车","SUV","其他"))))</f>
        <v/>
      </c>
      <c r="K1095" s="62"/>
      <c r="L1095" s="62"/>
      <c r="M1095" s="62"/>
      <c r="N1095" s="62"/>
      <c r="O1095" s="62"/>
      <c r="P1095" s="62"/>
      <c r="Q1095" s="62"/>
    </row>
    <row r="1096" spans="1:17">
      <c r="A1096" s="62"/>
      <c r="B1096" s="62"/>
      <c r="C1096" s="62"/>
      <c r="D1096" s="62"/>
      <c r="E1096" s="62"/>
      <c r="F1096" s="62"/>
      <c r="G1096" s="62"/>
      <c r="H1096" s="62" t="str">
        <f>IF(AND('Data Export'!A1096=前十整体车型排名!$B$2,'Data Export'!B1096=前十整体车型排名!$B$3,'Data Export'!D1096&lt;&gt;""),UPPER('Data Export'!C1096)&amp;"♦"&amp;'Data Export'!D1096,"")</f>
        <v/>
      </c>
      <c r="I1096" s="63" t="str">
        <f>IF(H1096="","",IFERROR(INDEX('Data Export'!G1096:CZ1096,1,MATCH(前十整体车型排名!$B$4,'Data Export'!$G$1:$CZ$1,0)),0))</f>
        <v/>
      </c>
      <c r="J1096" s="62" t="str">
        <f>IF(H1096="","",IF(OR('Data Export'!F1096="三厢轿车",'Data Export'!F1096="掀背轿车",'Data Export'!F1096="旅行车",'Data Export'!F1096="微型车",'Data Export'!F1096="硬顶跑车",'Data Export'!F1096="敞蓬车",'Data Export'!F1096="Targa"),"轿车",IF(OR('Data Export'!F1096="小型MPV",'Data Export'!F1096="客车"),"MPV",IF('Data Export'!F1096="运动型多功能车","SUV","其他"))))</f>
        <v/>
      </c>
      <c r="K1096" s="62"/>
      <c r="L1096" s="62"/>
      <c r="M1096" s="62"/>
      <c r="N1096" s="62"/>
      <c r="O1096" s="62"/>
      <c r="P1096" s="62"/>
      <c r="Q1096" s="62"/>
    </row>
    <row r="1097" spans="1:17">
      <c r="A1097" s="62"/>
      <c r="B1097" s="62"/>
      <c r="C1097" s="62"/>
      <c r="D1097" s="62"/>
      <c r="E1097" s="62"/>
      <c r="F1097" s="62"/>
      <c r="G1097" s="62"/>
      <c r="H1097" s="62" t="str">
        <f>IF(AND('Data Export'!A1097=前十整体车型排名!$B$2,'Data Export'!B1097=前十整体车型排名!$B$3,'Data Export'!D1097&lt;&gt;""),UPPER('Data Export'!C1097)&amp;"♦"&amp;'Data Export'!D1097,"")</f>
        <v/>
      </c>
      <c r="I1097" s="63" t="str">
        <f>IF(H1097="","",IFERROR(INDEX('Data Export'!G1097:CZ1097,1,MATCH(前十整体车型排名!$B$4,'Data Export'!$G$1:$CZ$1,0)),0))</f>
        <v/>
      </c>
      <c r="J1097" s="62" t="str">
        <f>IF(H1097="","",IF(OR('Data Export'!F1097="三厢轿车",'Data Export'!F1097="掀背轿车",'Data Export'!F1097="旅行车",'Data Export'!F1097="微型车",'Data Export'!F1097="硬顶跑车",'Data Export'!F1097="敞蓬车",'Data Export'!F1097="Targa"),"轿车",IF(OR('Data Export'!F1097="小型MPV",'Data Export'!F1097="客车"),"MPV",IF('Data Export'!F1097="运动型多功能车","SUV","其他"))))</f>
        <v/>
      </c>
      <c r="K1097" s="62"/>
      <c r="L1097" s="62"/>
      <c r="M1097" s="62"/>
      <c r="N1097" s="62"/>
      <c r="O1097" s="62"/>
      <c r="P1097" s="62"/>
      <c r="Q1097" s="62"/>
    </row>
    <row r="1098" spans="1:17">
      <c r="A1098" s="62"/>
      <c r="B1098" s="62"/>
      <c r="C1098" s="62"/>
      <c r="D1098" s="62"/>
      <c r="E1098" s="62"/>
      <c r="F1098" s="62"/>
      <c r="G1098" s="62"/>
      <c r="H1098" s="62" t="str">
        <f>IF(AND('Data Export'!A1098=前十整体车型排名!$B$2,'Data Export'!B1098=前十整体车型排名!$B$3,'Data Export'!D1098&lt;&gt;""),UPPER('Data Export'!C1098)&amp;"♦"&amp;'Data Export'!D1098,"")</f>
        <v/>
      </c>
      <c r="I1098" s="63" t="str">
        <f>IF(H1098="","",IFERROR(INDEX('Data Export'!G1098:CZ1098,1,MATCH(前十整体车型排名!$B$4,'Data Export'!$G$1:$CZ$1,0)),0))</f>
        <v/>
      </c>
      <c r="J1098" s="62" t="str">
        <f>IF(H1098="","",IF(OR('Data Export'!F1098="三厢轿车",'Data Export'!F1098="掀背轿车",'Data Export'!F1098="旅行车",'Data Export'!F1098="微型车",'Data Export'!F1098="硬顶跑车",'Data Export'!F1098="敞蓬车",'Data Export'!F1098="Targa"),"轿车",IF(OR('Data Export'!F1098="小型MPV",'Data Export'!F1098="客车"),"MPV",IF('Data Export'!F1098="运动型多功能车","SUV","其他"))))</f>
        <v/>
      </c>
      <c r="K1098" s="62"/>
      <c r="L1098" s="62"/>
      <c r="M1098" s="62"/>
      <c r="N1098" s="62"/>
      <c r="O1098" s="62"/>
      <c r="P1098" s="62"/>
      <c r="Q1098" s="62"/>
    </row>
    <row r="1099" spans="1:17">
      <c r="A1099" s="62"/>
      <c r="B1099" s="62"/>
      <c r="C1099" s="62"/>
      <c r="D1099" s="62"/>
      <c r="E1099" s="62"/>
      <c r="F1099" s="62"/>
      <c r="G1099" s="62"/>
      <c r="H1099" s="62" t="str">
        <f>IF(AND('Data Export'!A1099=前十整体车型排名!$B$2,'Data Export'!B1099=前十整体车型排名!$B$3,'Data Export'!D1099&lt;&gt;""),UPPER('Data Export'!C1099)&amp;"♦"&amp;'Data Export'!D1099,"")</f>
        <v/>
      </c>
      <c r="I1099" s="63" t="str">
        <f>IF(H1099="","",IFERROR(INDEX('Data Export'!G1099:CZ1099,1,MATCH(前十整体车型排名!$B$4,'Data Export'!$G$1:$CZ$1,0)),0))</f>
        <v/>
      </c>
      <c r="J1099" s="62" t="str">
        <f>IF(H1099="","",IF(OR('Data Export'!F1099="三厢轿车",'Data Export'!F1099="掀背轿车",'Data Export'!F1099="旅行车",'Data Export'!F1099="微型车",'Data Export'!F1099="硬顶跑车",'Data Export'!F1099="敞蓬车",'Data Export'!F1099="Targa"),"轿车",IF(OR('Data Export'!F1099="小型MPV",'Data Export'!F1099="客车"),"MPV",IF('Data Export'!F1099="运动型多功能车","SUV","其他"))))</f>
        <v/>
      </c>
      <c r="K1099" s="62"/>
      <c r="L1099" s="62"/>
      <c r="M1099" s="62"/>
      <c r="N1099" s="62"/>
      <c r="O1099" s="62"/>
      <c r="P1099" s="62"/>
      <c r="Q1099" s="62"/>
    </row>
    <row r="1100" spans="1:17">
      <c r="A1100" s="62"/>
      <c r="B1100" s="62"/>
      <c r="C1100" s="62"/>
      <c r="D1100" s="62"/>
      <c r="E1100" s="62"/>
      <c r="F1100" s="62"/>
      <c r="G1100" s="62"/>
      <c r="H1100" s="62" t="str">
        <f>IF(AND('Data Export'!A1100=前十整体车型排名!$B$2,'Data Export'!B1100=前十整体车型排名!$B$3,'Data Export'!D1100&lt;&gt;""),UPPER('Data Export'!C1100)&amp;"♦"&amp;'Data Export'!D1100,"")</f>
        <v/>
      </c>
      <c r="I1100" s="63" t="str">
        <f>IF(H1100="","",IFERROR(INDEX('Data Export'!G1100:CZ1100,1,MATCH(前十整体车型排名!$B$4,'Data Export'!$G$1:$CZ$1,0)),0))</f>
        <v/>
      </c>
      <c r="J1100" s="62" t="str">
        <f>IF(H1100="","",IF(OR('Data Export'!F1100="三厢轿车",'Data Export'!F1100="掀背轿车",'Data Export'!F1100="旅行车",'Data Export'!F1100="微型车",'Data Export'!F1100="硬顶跑车",'Data Export'!F1100="敞蓬车",'Data Export'!F1100="Targa"),"轿车",IF(OR('Data Export'!F1100="小型MPV",'Data Export'!F1100="客车"),"MPV",IF('Data Export'!F1100="运动型多功能车","SUV","其他"))))</f>
        <v/>
      </c>
      <c r="K1100" s="62"/>
      <c r="L1100" s="62"/>
      <c r="M1100" s="62"/>
      <c r="N1100" s="62"/>
      <c r="O1100" s="62"/>
      <c r="P1100" s="62"/>
      <c r="Q1100" s="62"/>
    </row>
    <row r="1101" spans="1:17">
      <c r="A1101" s="62"/>
      <c r="B1101" s="62"/>
      <c r="C1101" s="62"/>
      <c r="D1101" s="62"/>
      <c r="E1101" s="62"/>
      <c r="F1101" s="62"/>
      <c r="G1101" s="62"/>
      <c r="H1101" s="62" t="str">
        <f>IF(AND('Data Export'!A1101=前十整体车型排名!$B$2,'Data Export'!B1101=前十整体车型排名!$B$3,'Data Export'!D1101&lt;&gt;""),UPPER('Data Export'!C1101)&amp;"♦"&amp;'Data Export'!D1101,"")</f>
        <v/>
      </c>
      <c r="I1101" s="63" t="str">
        <f>IF(H1101="","",IFERROR(INDEX('Data Export'!G1101:CZ1101,1,MATCH(前十整体车型排名!$B$4,'Data Export'!$G$1:$CZ$1,0)),0))</f>
        <v/>
      </c>
      <c r="J1101" s="62" t="str">
        <f>IF(H1101="","",IF(OR('Data Export'!F1101="三厢轿车",'Data Export'!F1101="掀背轿车",'Data Export'!F1101="旅行车",'Data Export'!F1101="微型车",'Data Export'!F1101="硬顶跑车",'Data Export'!F1101="敞蓬车",'Data Export'!F1101="Targa"),"轿车",IF(OR('Data Export'!F1101="小型MPV",'Data Export'!F1101="客车"),"MPV",IF('Data Export'!F1101="运动型多功能车","SUV","其他"))))</f>
        <v/>
      </c>
      <c r="K1101" s="62"/>
      <c r="L1101" s="62"/>
      <c r="M1101" s="62"/>
      <c r="N1101" s="62"/>
      <c r="O1101" s="62"/>
      <c r="P1101" s="62"/>
      <c r="Q1101" s="62"/>
    </row>
    <row r="1102" spans="1:17">
      <c r="A1102" s="62"/>
      <c r="B1102" s="62"/>
      <c r="C1102" s="62"/>
      <c r="D1102" s="62"/>
      <c r="E1102" s="62"/>
      <c r="F1102" s="62"/>
      <c r="G1102" s="62"/>
      <c r="H1102" s="62" t="str">
        <f>IF(AND('Data Export'!A1102=前十整体车型排名!$B$2,'Data Export'!B1102=前十整体车型排名!$B$3,'Data Export'!D1102&lt;&gt;""),UPPER('Data Export'!C1102)&amp;"♦"&amp;'Data Export'!D1102,"")</f>
        <v/>
      </c>
      <c r="I1102" s="63" t="str">
        <f>IF(H1102="","",IFERROR(INDEX('Data Export'!G1102:CZ1102,1,MATCH(前十整体车型排名!$B$4,'Data Export'!$G$1:$CZ$1,0)),0))</f>
        <v/>
      </c>
      <c r="J1102" s="62" t="str">
        <f>IF(H1102="","",IF(OR('Data Export'!F1102="三厢轿车",'Data Export'!F1102="掀背轿车",'Data Export'!F1102="旅行车",'Data Export'!F1102="微型车",'Data Export'!F1102="硬顶跑车",'Data Export'!F1102="敞蓬车",'Data Export'!F1102="Targa"),"轿车",IF(OR('Data Export'!F1102="小型MPV",'Data Export'!F1102="客车"),"MPV",IF('Data Export'!F1102="运动型多功能车","SUV","其他"))))</f>
        <v/>
      </c>
      <c r="K1102" s="62"/>
      <c r="L1102" s="62"/>
      <c r="M1102" s="62"/>
      <c r="N1102" s="62"/>
      <c r="O1102" s="62"/>
      <c r="P1102" s="62"/>
      <c r="Q1102" s="62"/>
    </row>
    <row r="1103" spans="1:17">
      <c r="A1103" s="62"/>
      <c r="B1103" s="62"/>
      <c r="C1103" s="62"/>
      <c r="D1103" s="62"/>
      <c r="E1103" s="62"/>
      <c r="F1103" s="62"/>
      <c r="G1103" s="62"/>
      <c r="H1103" s="62" t="str">
        <f>IF(AND('Data Export'!A1103=前十整体车型排名!$B$2,'Data Export'!B1103=前十整体车型排名!$B$3,'Data Export'!D1103&lt;&gt;""),UPPER('Data Export'!C1103)&amp;"♦"&amp;'Data Export'!D1103,"")</f>
        <v/>
      </c>
      <c r="I1103" s="63" t="str">
        <f>IF(H1103="","",IFERROR(INDEX('Data Export'!G1103:CZ1103,1,MATCH(前十整体车型排名!$B$4,'Data Export'!$G$1:$CZ$1,0)),0))</f>
        <v/>
      </c>
      <c r="J1103" s="62" t="str">
        <f>IF(H1103="","",IF(OR('Data Export'!F1103="三厢轿车",'Data Export'!F1103="掀背轿车",'Data Export'!F1103="旅行车",'Data Export'!F1103="微型车",'Data Export'!F1103="硬顶跑车",'Data Export'!F1103="敞蓬车",'Data Export'!F1103="Targa"),"轿车",IF(OR('Data Export'!F1103="小型MPV",'Data Export'!F1103="客车"),"MPV",IF('Data Export'!F1103="运动型多功能车","SUV","其他"))))</f>
        <v/>
      </c>
      <c r="K1103" s="62"/>
      <c r="L1103" s="62"/>
      <c r="M1103" s="62"/>
      <c r="N1103" s="62"/>
      <c r="O1103" s="62"/>
      <c r="P1103" s="62"/>
      <c r="Q1103" s="62"/>
    </row>
    <row r="1104" spans="1:17">
      <c r="A1104" s="62"/>
      <c r="B1104" s="62"/>
      <c r="C1104" s="62"/>
      <c r="D1104" s="62"/>
      <c r="E1104" s="62"/>
      <c r="F1104" s="62"/>
      <c r="G1104" s="62"/>
      <c r="H1104" s="62" t="str">
        <f>IF(AND('Data Export'!A1104=前十整体车型排名!$B$2,'Data Export'!B1104=前十整体车型排名!$B$3,'Data Export'!D1104&lt;&gt;""),UPPER('Data Export'!C1104)&amp;"♦"&amp;'Data Export'!D1104,"")</f>
        <v/>
      </c>
      <c r="I1104" s="63" t="str">
        <f>IF(H1104="","",IFERROR(INDEX('Data Export'!G1104:CZ1104,1,MATCH(前十整体车型排名!$B$4,'Data Export'!$G$1:$CZ$1,0)),0))</f>
        <v/>
      </c>
      <c r="J1104" s="62" t="str">
        <f>IF(H1104="","",IF(OR('Data Export'!F1104="三厢轿车",'Data Export'!F1104="掀背轿车",'Data Export'!F1104="旅行车",'Data Export'!F1104="微型车",'Data Export'!F1104="硬顶跑车",'Data Export'!F1104="敞蓬车",'Data Export'!F1104="Targa"),"轿车",IF(OR('Data Export'!F1104="小型MPV",'Data Export'!F1104="客车"),"MPV",IF('Data Export'!F1104="运动型多功能车","SUV","其他"))))</f>
        <v/>
      </c>
      <c r="K1104" s="62"/>
      <c r="L1104" s="62"/>
      <c r="M1104" s="62"/>
      <c r="N1104" s="62"/>
      <c r="O1104" s="62"/>
      <c r="P1104" s="62"/>
      <c r="Q1104" s="62"/>
    </row>
    <row r="1105" spans="1:17">
      <c r="A1105" s="62"/>
      <c r="B1105" s="62"/>
      <c r="C1105" s="62"/>
      <c r="D1105" s="62"/>
      <c r="E1105" s="62"/>
      <c r="F1105" s="62"/>
      <c r="G1105" s="62"/>
      <c r="H1105" s="62" t="str">
        <f>IF(AND('Data Export'!A1105=前十整体车型排名!$B$2,'Data Export'!B1105=前十整体车型排名!$B$3,'Data Export'!D1105&lt;&gt;""),UPPER('Data Export'!C1105)&amp;"♦"&amp;'Data Export'!D1105,"")</f>
        <v/>
      </c>
      <c r="I1105" s="63" t="str">
        <f>IF(H1105="","",IFERROR(INDEX('Data Export'!G1105:CZ1105,1,MATCH(前十整体车型排名!$B$4,'Data Export'!$G$1:$CZ$1,0)),0))</f>
        <v/>
      </c>
      <c r="J1105" s="62" t="str">
        <f>IF(H1105="","",IF(OR('Data Export'!F1105="三厢轿车",'Data Export'!F1105="掀背轿车",'Data Export'!F1105="旅行车",'Data Export'!F1105="微型车",'Data Export'!F1105="硬顶跑车",'Data Export'!F1105="敞蓬车",'Data Export'!F1105="Targa"),"轿车",IF(OR('Data Export'!F1105="小型MPV",'Data Export'!F1105="客车"),"MPV",IF('Data Export'!F1105="运动型多功能车","SUV","其他"))))</f>
        <v/>
      </c>
      <c r="K1105" s="62"/>
      <c r="L1105" s="62"/>
      <c r="M1105" s="62"/>
      <c r="N1105" s="62"/>
      <c r="O1105" s="62"/>
      <c r="P1105" s="62"/>
      <c r="Q1105" s="62"/>
    </row>
    <row r="1106" spans="1:17">
      <c r="A1106" s="62"/>
      <c r="B1106" s="62"/>
      <c r="C1106" s="62"/>
      <c r="D1106" s="62"/>
      <c r="E1106" s="62"/>
      <c r="F1106" s="62"/>
      <c r="G1106" s="62"/>
      <c r="H1106" s="62" t="str">
        <f>IF(AND('Data Export'!A1106=前十整体车型排名!$B$2,'Data Export'!B1106=前十整体车型排名!$B$3,'Data Export'!D1106&lt;&gt;""),UPPER('Data Export'!C1106)&amp;"♦"&amp;'Data Export'!D1106,"")</f>
        <v/>
      </c>
      <c r="I1106" s="63" t="str">
        <f>IF(H1106="","",IFERROR(INDEX('Data Export'!G1106:CZ1106,1,MATCH(前十整体车型排名!$B$4,'Data Export'!$G$1:$CZ$1,0)),0))</f>
        <v/>
      </c>
      <c r="J1106" s="62" t="str">
        <f>IF(H1106="","",IF(OR('Data Export'!F1106="三厢轿车",'Data Export'!F1106="掀背轿车",'Data Export'!F1106="旅行车",'Data Export'!F1106="微型车",'Data Export'!F1106="硬顶跑车",'Data Export'!F1106="敞蓬车",'Data Export'!F1106="Targa"),"轿车",IF(OR('Data Export'!F1106="小型MPV",'Data Export'!F1106="客车"),"MPV",IF('Data Export'!F1106="运动型多功能车","SUV","其他"))))</f>
        <v/>
      </c>
      <c r="K1106" s="62"/>
      <c r="L1106" s="62"/>
      <c r="M1106" s="62"/>
      <c r="N1106" s="62"/>
      <c r="O1106" s="62"/>
      <c r="P1106" s="62"/>
      <c r="Q1106" s="62"/>
    </row>
    <row r="1107" spans="1:17">
      <c r="A1107" s="62"/>
      <c r="B1107" s="62"/>
      <c r="C1107" s="62"/>
      <c r="D1107" s="62"/>
      <c r="E1107" s="62"/>
      <c r="F1107" s="62"/>
      <c r="G1107" s="62"/>
      <c r="H1107" s="62" t="str">
        <f>IF(AND('Data Export'!A1107=前十整体车型排名!$B$2,'Data Export'!B1107=前十整体车型排名!$B$3,'Data Export'!D1107&lt;&gt;""),UPPER('Data Export'!C1107)&amp;"♦"&amp;'Data Export'!D1107,"")</f>
        <v/>
      </c>
      <c r="I1107" s="63" t="str">
        <f>IF(H1107="","",IFERROR(INDEX('Data Export'!G1107:CZ1107,1,MATCH(前十整体车型排名!$B$4,'Data Export'!$G$1:$CZ$1,0)),0))</f>
        <v/>
      </c>
      <c r="J1107" s="62" t="str">
        <f>IF(H1107="","",IF(OR('Data Export'!F1107="三厢轿车",'Data Export'!F1107="掀背轿车",'Data Export'!F1107="旅行车",'Data Export'!F1107="微型车",'Data Export'!F1107="硬顶跑车",'Data Export'!F1107="敞蓬车",'Data Export'!F1107="Targa"),"轿车",IF(OR('Data Export'!F1107="小型MPV",'Data Export'!F1107="客车"),"MPV",IF('Data Export'!F1107="运动型多功能车","SUV","其他"))))</f>
        <v/>
      </c>
      <c r="K1107" s="62"/>
      <c r="L1107" s="62"/>
      <c r="M1107" s="62"/>
      <c r="N1107" s="62"/>
      <c r="O1107" s="62"/>
      <c r="P1107" s="62"/>
      <c r="Q1107" s="62"/>
    </row>
    <row r="1108" spans="1:17">
      <c r="A1108" s="62"/>
      <c r="B1108" s="62"/>
      <c r="C1108" s="62"/>
      <c r="D1108" s="62"/>
      <c r="E1108" s="62"/>
      <c r="F1108" s="62"/>
      <c r="G1108" s="62"/>
      <c r="H1108" s="62" t="str">
        <f>IF(AND('Data Export'!A1108=前十整体车型排名!$B$2,'Data Export'!B1108=前十整体车型排名!$B$3,'Data Export'!D1108&lt;&gt;""),UPPER('Data Export'!C1108)&amp;"♦"&amp;'Data Export'!D1108,"")</f>
        <v/>
      </c>
      <c r="I1108" s="63" t="str">
        <f>IF(H1108="","",IFERROR(INDEX('Data Export'!G1108:CZ1108,1,MATCH(前十整体车型排名!$B$4,'Data Export'!$G$1:$CZ$1,0)),0))</f>
        <v/>
      </c>
      <c r="J1108" s="62" t="str">
        <f>IF(H1108="","",IF(OR('Data Export'!F1108="三厢轿车",'Data Export'!F1108="掀背轿车",'Data Export'!F1108="旅行车",'Data Export'!F1108="微型车",'Data Export'!F1108="硬顶跑车",'Data Export'!F1108="敞蓬车",'Data Export'!F1108="Targa"),"轿车",IF(OR('Data Export'!F1108="小型MPV",'Data Export'!F1108="客车"),"MPV",IF('Data Export'!F1108="运动型多功能车","SUV","其他"))))</f>
        <v/>
      </c>
      <c r="K1108" s="62"/>
      <c r="L1108" s="62"/>
      <c r="M1108" s="62"/>
      <c r="N1108" s="62"/>
      <c r="O1108" s="62"/>
      <c r="P1108" s="62"/>
      <c r="Q1108" s="62"/>
    </row>
    <row r="1109" spans="1:17">
      <c r="A1109" s="62"/>
      <c r="B1109" s="62"/>
      <c r="C1109" s="62"/>
      <c r="D1109" s="62"/>
      <c r="E1109" s="62"/>
      <c r="F1109" s="62"/>
      <c r="G1109" s="62"/>
      <c r="H1109" s="62" t="str">
        <f>IF(AND('Data Export'!A1109=前十整体车型排名!$B$2,'Data Export'!B1109=前十整体车型排名!$B$3,'Data Export'!D1109&lt;&gt;""),UPPER('Data Export'!C1109)&amp;"♦"&amp;'Data Export'!D1109,"")</f>
        <v/>
      </c>
      <c r="I1109" s="63" t="str">
        <f>IF(H1109="","",IFERROR(INDEX('Data Export'!G1109:CZ1109,1,MATCH(前十整体车型排名!$B$4,'Data Export'!$G$1:$CZ$1,0)),0))</f>
        <v/>
      </c>
      <c r="J1109" s="62" t="str">
        <f>IF(H1109="","",IF(OR('Data Export'!F1109="三厢轿车",'Data Export'!F1109="掀背轿车",'Data Export'!F1109="旅行车",'Data Export'!F1109="微型车",'Data Export'!F1109="硬顶跑车",'Data Export'!F1109="敞蓬车",'Data Export'!F1109="Targa"),"轿车",IF(OR('Data Export'!F1109="小型MPV",'Data Export'!F1109="客车"),"MPV",IF('Data Export'!F1109="运动型多功能车","SUV","其他"))))</f>
        <v/>
      </c>
      <c r="K1109" s="62"/>
      <c r="L1109" s="62"/>
      <c r="M1109" s="62"/>
      <c r="N1109" s="62"/>
      <c r="O1109" s="62"/>
      <c r="P1109" s="62"/>
      <c r="Q1109" s="62"/>
    </row>
    <row r="1110" spans="1:17">
      <c r="A1110" s="62"/>
      <c r="B1110" s="62"/>
      <c r="C1110" s="62"/>
      <c r="D1110" s="62"/>
      <c r="E1110" s="62"/>
      <c r="F1110" s="62"/>
      <c r="G1110" s="62"/>
      <c r="H1110" s="62" t="str">
        <f>IF(AND('Data Export'!A1110=前十整体车型排名!$B$2,'Data Export'!B1110=前十整体车型排名!$B$3,'Data Export'!D1110&lt;&gt;""),UPPER('Data Export'!C1110)&amp;"♦"&amp;'Data Export'!D1110,"")</f>
        <v/>
      </c>
      <c r="I1110" s="63" t="str">
        <f>IF(H1110="","",IFERROR(INDEX('Data Export'!G1110:CZ1110,1,MATCH(前十整体车型排名!$B$4,'Data Export'!$G$1:$CZ$1,0)),0))</f>
        <v/>
      </c>
      <c r="J1110" s="62" t="str">
        <f>IF(H1110="","",IF(OR('Data Export'!F1110="三厢轿车",'Data Export'!F1110="掀背轿车",'Data Export'!F1110="旅行车",'Data Export'!F1110="微型车",'Data Export'!F1110="硬顶跑车",'Data Export'!F1110="敞蓬车",'Data Export'!F1110="Targa"),"轿车",IF(OR('Data Export'!F1110="小型MPV",'Data Export'!F1110="客车"),"MPV",IF('Data Export'!F1110="运动型多功能车","SUV","其他"))))</f>
        <v/>
      </c>
      <c r="K1110" s="62"/>
      <c r="L1110" s="62"/>
      <c r="M1110" s="62"/>
      <c r="N1110" s="62"/>
      <c r="O1110" s="62"/>
      <c r="P1110" s="62"/>
      <c r="Q1110" s="62"/>
    </row>
    <row r="1111" spans="1:17">
      <c r="A1111" s="62"/>
      <c r="B1111" s="62"/>
      <c r="C1111" s="62"/>
      <c r="D1111" s="62"/>
      <c r="E1111" s="62"/>
      <c r="F1111" s="62"/>
      <c r="G1111" s="62"/>
      <c r="H1111" s="62" t="str">
        <f>IF(AND('Data Export'!A1111=前十整体车型排名!$B$2,'Data Export'!B1111=前十整体车型排名!$B$3,'Data Export'!D1111&lt;&gt;""),UPPER('Data Export'!C1111)&amp;"♦"&amp;'Data Export'!D1111,"")</f>
        <v/>
      </c>
      <c r="I1111" s="63" t="str">
        <f>IF(H1111="","",IFERROR(INDEX('Data Export'!G1111:CZ1111,1,MATCH(前十整体车型排名!$B$4,'Data Export'!$G$1:$CZ$1,0)),0))</f>
        <v/>
      </c>
      <c r="J1111" s="62" t="str">
        <f>IF(H1111="","",IF(OR('Data Export'!F1111="三厢轿车",'Data Export'!F1111="掀背轿车",'Data Export'!F1111="旅行车",'Data Export'!F1111="微型车",'Data Export'!F1111="硬顶跑车",'Data Export'!F1111="敞蓬车",'Data Export'!F1111="Targa"),"轿车",IF(OR('Data Export'!F1111="小型MPV",'Data Export'!F1111="客车"),"MPV",IF('Data Export'!F1111="运动型多功能车","SUV","其他"))))</f>
        <v/>
      </c>
      <c r="K1111" s="62"/>
      <c r="L1111" s="62"/>
      <c r="M1111" s="62"/>
      <c r="N1111" s="62"/>
      <c r="O1111" s="62"/>
      <c r="P1111" s="62"/>
      <c r="Q1111" s="62"/>
    </row>
    <row r="1112" spans="1:17">
      <c r="A1112" s="62"/>
      <c r="B1112" s="62"/>
      <c r="C1112" s="62"/>
      <c r="D1112" s="62"/>
      <c r="E1112" s="62"/>
      <c r="F1112" s="62"/>
      <c r="G1112" s="62"/>
      <c r="H1112" s="62" t="str">
        <f>IF(AND('Data Export'!A1112=前十整体车型排名!$B$2,'Data Export'!B1112=前十整体车型排名!$B$3,'Data Export'!D1112&lt;&gt;""),UPPER('Data Export'!C1112)&amp;"♦"&amp;'Data Export'!D1112,"")</f>
        <v/>
      </c>
      <c r="I1112" s="63" t="str">
        <f>IF(H1112="","",IFERROR(INDEX('Data Export'!G1112:CZ1112,1,MATCH(前十整体车型排名!$B$4,'Data Export'!$G$1:$CZ$1,0)),0))</f>
        <v/>
      </c>
      <c r="J1112" s="62" t="str">
        <f>IF(H1112="","",IF(OR('Data Export'!F1112="三厢轿车",'Data Export'!F1112="掀背轿车",'Data Export'!F1112="旅行车",'Data Export'!F1112="微型车",'Data Export'!F1112="硬顶跑车",'Data Export'!F1112="敞蓬车",'Data Export'!F1112="Targa"),"轿车",IF(OR('Data Export'!F1112="小型MPV",'Data Export'!F1112="客车"),"MPV",IF('Data Export'!F1112="运动型多功能车","SUV","其他"))))</f>
        <v/>
      </c>
      <c r="K1112" s="62"/>
      <c r="L1112" s="62"/>
      <c r="M1112" s="62"/>
      <c r="N1112" s="62"/>
      <c r="O1112" s="62"/>
      <c r="P1112" s="62"/>
      <c r="Q1112" s="62"/>
    </row>
    <row r="1113" spans="1:17">
      <c r="A1113" s="62"/>
      <c r="B1113" s="62"/>
      <c r="C1113" s="62"/>
      <c r="D1113" s="62"/>
      <c r="E1113" s="62"/>
      <c r="F1113" s="62"/>
      <c r="G1113" s="62"/>
      <c r="H1113" s="62" t="str">
        <f>IF(AND('Data Export'!A1113=前十整体车型排名!$B$2,'Data Export'!B1113=前十整体车型排名!$B$3,'Data Export'!D1113&lt;&gt;""),UPPER('Data Export'!C1113)&amp;"♦"&amp;'Data Export'!D1113,"")</f>
        <v/>
      </c>
      <c r="I1113" s="63" t="str">
        <f>IF(H1113="","",IFERROR(INDEX('Data Export'!G1113:CZ1113,1,MATCH(前十整体车型排名!$B$4,'Data Export'!$G$1:$CZ$1,0)),0))</f>
        <v/>
      </c>
      <c r="J1113" s="62" t="str">
        <f>IF(H1113="","",IF(OR('Data Export'!F1113="三厢轿车",'Data Export'!F1113="掀背轿车",'Data Export'!F1113="旅行车",'Data Export'!F1113="微型车",'Data Export'!F1113="硬顶跑车",'Data Export'!F1113="敞蓬车",'Data Export'!F1113="Targa"),"轿车",IF(OR('Data Export'!F1113="小型MPV",'Data Export'!F1113="客车"),"MPV",IF('Data Export'!F1113="运动型多功能车","SUV","其他"))))</f>
        <v/>
      </c>
      <c r="K1113" s="62"/>
      <c r="L1113" s="62"/>
      <c r="M1113" s="62"/>
      <c r="N1113" s="62"/>
      <c r="O1113" s="62"/>
      <c r="P1113" s="62"/>
      <c r="Q1113" s="62"/>
    </row>
    <row r="1114" spans="1:17">
      <c r="A1114" s="62"/>
      <c r="B1114" s="62"/>
      <c r="C1114" s="62"/>
      <c r="D1114" s="62"/>
      <c r="E1114" s="62"/>
      <c r="F1114" s="62"/>
      <c r="G1114" s="62"/>
      <c r="H1114" s="62" t="str">
        <f>IF(AND('Data Export'!A1114=前十整体车型排名!$B$2,'Data Export'!B1114=前十整体车型排名!$B$3,'Data Export'!D1114&lt;&gt;""),UPPER('Data Export'!C1114)&amp;"♦"&amp;'Data Export'!D1114,"")</f>
        <v/>
      </c>
      <c r="I1114" s="63" t="str">
        <f>IF(H1114="","",IFERROR(INDEX('Data Export'!G1114:CZ1114,1,MATCH(前十整体车型排名!$B$4,'Data Export'!$G$1:$CZ$1,0)),0))</f>
        <v/>
      </c>
      <c r="J1114" s="62" t="str">
        <f>IF(H1114="","",IF(OR('Data Export'!F1114="三厢轿车",'Data Export'!F1114="掀背轿车",'Data Export'!F1114="旅行车",'Data Export'!F1114="微型车",'Data Export'!F1114="硬顶跑车",'Data Export'!F1114="敞蓬车",'Data Export'!F1114="Targa"),"轿车",IF(OR('Data Export'!F1114="小型MPV",'Data Export'!F1114="客车"),"MPV",IF('Data Export'!F1114="运动型多功能车","SUV","其他"))))</f>
        <v/>
      </c>
      <c r="K1114" s="62"/>
      <c r="L1114" s="62"/>
      <c r="M1114" s="62"/>
      <c r="N1114" s="62"/>
      <c r="O1114" s="62"/>
      <c r="P1114" s="62"/>
      <c r="Q1114" s="62"/>
    </row>
    <row r="1115" spans="1:17">
      <c r="A1115" s="62"/>
      <c r="B1115" s="62"/>
      <c r="C1115" s="62"/>
      <c r="D1115" s="62"/>
      <c r="E1115" s="62"/>
      <c r="F1115" s="62"/>
      <c r="G1115" s="62"/>
      <c r="H1115" s="62" t="str">
        <f>IF(AND('Data Export'!A1115=前十整体车型排名!$B$2,'Data Export'!B1115=前十整体车型排名!$B$3,'Data Export'!D1115&lt;&gt;""),UPPER('Data Export'!C1115)&amp;"♦"&amp;'Data Export'!D1115,"")</f>
        <v/>
      </c>
      <c r="I1115" s="63" t="str">
        <f>IF(H1115="","",IFERROR(INDEX('Data Export'!G1115:CZ1115,1,MATCH(前十整体车型排名!$B$4,'Data Export'!$G$1:$CZ$1,0)),0))</f>
        <v/>
      </c>
      <c r="J1115" s="62" t="str">
        <f>IF(H1115="","",IF(OR('Data Export'!F1115="三厢轿车",'Data Export'!F1115="掀背轿车",'Data Export'!F1115="旅行车",'Data Export'!F1115="微型车",'Data Export'!F1115="硬顶跑车",'Data Export'!F1115="敞蓬车",'Data Export'!F1115="Targa"),"轿车",IF(OR('Data Export'!F1115="小型MPV",'Data Export'!F1115="客车"),"MPV",IF('Data Export'!F1115="运动型多功能车","SUV","其他"))))</f>
        <v/>
      </c>
      <c r="K1115" s="62"/>
      <c r="L1115" s="62"/>
      <c r="M1115" s="62"/>
      <c r="N1115" s="62"/>
      <c r="O1115" s="62"/>
      <c r="P1115" s="62"/>
      <c r="Q1115" s="62"/>
    </row>
    <row r="1116" spans="1:17">
      <c r="A1116" s="62"/>
      <c r="B1116" s="62"/>
      <c r="C1116" s="62"/>
      <c r="D1116" s="62"/>
      <c r="E1116" s="62"/>
      <c r="F1116" s="62"/>
      <c r="G1116" s="62"/>
      <c r="H1116" s="62" t="str">
        <f>IF(AND('Data Export'!A1116=前十整体车型排名!$B$2,'Data Export'!B1116=前十整体车型排名!$B$3,'Data Export'!D1116&lt;&gt;""),UPPER('Data Export'!C1116)&amp;"♦"&amp;'Data Export'!D1116,"")</f>
        <v/>
      </c>
      <c r="I1116" s="63" t="str">
        <f>IF(H1116="","",IFERROR(INDEX('Data Export'!G1116:CZ1116,1,MATCH(前十整体车型排名!$B$4,'Data Export'!$G$1:$CZ$1,0)),0))</f>
        <v/>
      </c>
      <c r="J1116" s="62" t="str">
        <f>IF(H1116="","",IF(OR('Data Export'!F1116="三厢轿车",'Data Export'!F1116="掀背轿车",'Data Export'!F1116="旅行车",'Data Export'!F1116="微型车",'Data Export'!F1116="硬顶跑车",'Data Export'!F1116="敞蓬车",'Data Export'!F1116="Targa"),"轿车",IF(OR('Data Export'!F1116="小型MPV",'Data Export'!F1116="客车"),"MPV",IF('Data Export'!F1116="运动型多功能车","SUV","其他"))))</f>
        <v/>
      </c>
      <c r="K1116" s="62"/>
      <c r="L1116" s="62"/>
      <c r="M1116" s="62"/>
      <c r="N1116" s="62"/>
      <c r="O1116" s="62"/>
      <c r="P1116" s="62"/>
      <c r="Q1116" s="62"/>
    </row>
    <row r="1117" spans="1:17">
      <c r="A1117" s="62"/>
      <c r="B1117" s="62"/>
      <c r="C1117" s="62"/>
      <c r="D1117" s="62"/>
      <c r="E1117" s="62"/>
      <c r="F1117" s="62"/>
      <c r="G1117" s="62"/>
      <c r="H1117" s="62" t="str">
        <f>IF(AND('Data Export'!A1117=前十整体车型排名!$B$2,'Data Export'!B1117=前十整体车型排名!$B$3,'Data Export'!D1117&lt;&gt;""),UPPER('Data Export'!C1117)&amp;"♦"&amp;'Data Export'!D1117,"")</f>
        <v/>
      </c>
      <c r="I1117" s="63" t="str">
        <f>IF(H1117="","",IFERROR(INDEX('Data Export'!G1117:CZ1117,1,MATCH(前十整体车型排名!$B$4,'Data Export'!$G$1:$CZ$1,0)),0))</f>
        <v/>
      </c>
      <c r="J1117" s="62" t="str">
        <f>IF(H1117="","",IF(OR('Data Export'!F1117="三厢轿车",'Data Export'!F1117="掀背轿车",'Data Export'!F1117="旅行车",'Data Export'!F1117="微型车",'Data Export'!F1117="硬顶跑车",'Data Export'!F1117="敞蓬车",'Data Export'!F1117="Targa"),"轿车",IF(OR('Data Export'!F1117="小型MPV",'Data Export'!F1117="客车"),"MPV",IF('Data Export'!F1117="运动型多功能车","SUV","其他"))))</f>
        <v/>
      </c>
      <c r="K1117" s="62"/>
      <c r="L1117" s="62"/>
      <c r="M1117" s="62"/>
      <c r="N1117" s="62"/>
      <c r="O1117" s="62"/>
      <c r="P1117" s="62"/>
      <c r="Q1117" s="62"/>
    </row>
    <row r="1118" spans="1:17">
      <c r="A1118" s="62"/>
      <c r="B1118" s="62"/>
      <c r="C1118" s="62"/>
      <c r="D1118" s="62"/>
      <c r="E1118" s="62"/>
      <c r="F1118" s="62"/>
      <c r="G1118" s="62"/>
      <c r="H1118" s="62" t="str">
        <f>IF(AND('Data Export'!A1118=前十整体车型排名!$B$2,'Data Export'!B1118=前十整体车型排名!$B$3,'Data Export'!D1118&lt;&gt;""),UPPER('Data Export'!C1118)&amp;"♦"&amp;'Data Export'!D1118,"")</f>
        <v/>
      </c>
      <c r="I1118" s="63" t="str">
        <f>IF(H1118="","",IFERROR(INDEX('Data Export'!G1118:CZ1118,1,MATCH(前十整体车型排名!$B$4,'Data Export'!$G$1:$CZ$1,0)),0))</f>
        <v/>
      </c>
      <c r="J1118" s="62" t="str">
        <f>IF(H1118="","",IF(OR('Data Export'!F1118="三厢轿车",'Data Export'!F1118="掀背轿车",'Data Export'!F1118="旅行车",'Data Export'!F1118="微型车",'Data Export'!F1118="硬顶跑车",'Data Export'!F1118="敞蓬车",'Data Export'!F1118="Targa"),"轿车",IF(OR('Data Export'!F1118="小型MPV",'Data Export'!F1118="客车"),"MPV",IF('Data Export'!F1118="运动型多功能车","SUV","其他"))))</f>
        <v/>
      </c>
      <c r="K1118" s="62"/>
      <c r="L1118" s="62"/>
      <c r="M1118" s="62"/>
      <c r="N1118" s="62"/>
      <c r="O1118" s="62"/>
      <c r="P1118" s="62"/>
      <c r="Q1118" s="62"/>
    </row>
    <row r="1119" spans="1:17">
      <c r="A1119" s="62"/>
      <c r="B1119" s="62"/>
      <c r="C1119" s="62"/>
      <c r="D1119" s="62"/>
      <c r="E1119" s="62"/>
      <c r="F1119" s="62"/>
      <c r="G1119" s="62"/>
      <c r="H1119" s="62" t="str">
        <f>IF(AND('Data Export'!A1119=前十整体车型排名!$B$2,'Data Export'!B1119=前十整体车型排名!$B$3,'Data Export'!D1119&lt;&gt;""),UPPER('Data Export'!C1119)&amp;"♦"&amp;'Data Export'!D1119,"")</f>
        <v/>
      </c>
      <c r="I1119" s="63" t="str">
        <f>IF(H1119="","",IFERROR(INDEX('Data Export'!G1119:CZ1119,1,MATCH(前十整体车型排名!$B$4,'Data Export'!$G$1:$CZ$1,0)),0))</f>
        <v/>
      </c>
      <c r="J1119" s="62" t="str">
        <f>IF(H1119="","",IF(OR('Data Export'!F1119="三厢轿车",'Data Export'!F1119="掀背轿车",'Data Export'!F1119="旅行车",'Data Export'!F1119="微型车",'Data Export'!F1119="硬顶跑车",'Data Export'!F1119="敞蓬车",'Data Export'!F1119="Targa"),"轿车",IF(OR('Data Export'!F1119="小型MPV",'Data Export'!F1119="客车"),"MPV",IF('Data Export'!F1119="运动型多功能车","SUV","其他"))))</f>
        <v/>
      </c>
      <c r="K1119" s="62"/>
      <c r="L1119" s="62"/>
      <c r="M1119" s="62"/>
      <c r="N1119" s="62"/>
      <c r="O1119" s="62"/>
      <c r="P1119" s="62"/>
      <c r="Q1119" s="62"/>
    </row>
    <row r="1120" spans="1:17">
      <c r="A1120" s="62"/>
      <c r="B1120" s="62"/>
      <c r="C1120" s="62"/>
      <c r="D1120" s="62"/>
      <c r="E1120" s="62"/>
      <c r="F1120" s="62"/>
      <c r="G1120" s="62"/>
      <c r="H1120" s="62" t="str">
        <f>IF(AND('Data Export'!A1120=前十整体车型排名!$B$2,'Data Export'!B1120=前十整体车型排名!$B$3,'Data Export'!D1120&lt;&gt;""),UPPER('Data Export'!C1120)&amp;"♦"&amp;'Data Export'!D1120,"")</f>
        <v/>
      </c>
      <c r="I1120" s="63" t="str">
        <f>IF(H1120="","",IFERROR(INDEX('Data Export'!G1120:CZ1120,1,MATCH(前十整体车型排名!$B$4,'Data Export'!$G$1:$CZ$1,0)),0))</f>
        <v/>
      </c>
      <c r="J1120" s="62" t="str">
        <f>IF(H1120="","",IF(OR('Data Export'!F1120="三厢轿车",'Data Export'!F1120="掀背轿车",'Data Export'!F1120="旅行车",'Data Export'!F1120="微型车",'Data Export'!F1120="硬顶跑车",'Data Export'!F1120="敞蓬车",'Data Export'!F1120="Targa"),"轿车",IF(OR('Data Export'!F1120="小型MPV",'Data Export'!F1120="客车"),"MPV",IF('Data Export'!F1120="运动型多功能车","SUV","其他"))))</f>
        <v/>
      </c>
      <c r="K1120" s="62"/>
      <c r="L1120" s="62"/>
      <c r="M1120" s="62"/>
      <c r="N1120" s="62"/>
      <c r="O1120" s="62"/>
      <c r="P1120" s="62"/>
      <c r="Q1120" s="62"/>
    </row>
    <row r="1121" spans="1:17">
      <c r="A1121" s="62"/>
      <c r="B1121" s="62"/>
      <c r="C1121" s="62"/>
      <c r="D1121" s="62"/>
      <c r="E1121" s="62"/>
      <c r="F1121" s="62"/>
      <c r="G1121" s="62"/>
      <c r="H1121" s="62" t="str">
        <f>IF(AND('Data Export'!A1121=前十整体车型排名!$B$2,'Data Export'!B1121=前十整体车型排名!$B$3,'Data Export'!D1121&lt;&gt;""),UPPER('Data Export'!C1121)&amp;"♦"&amp;'Data Export'!D1121,"")</f>
        <v/>
      </c>
      <c r="I1121" s="63" t="str">
        <f>IF(H1121="","",IFERROR(INDEX('Data Export'!G1121:CZ1121,1,MATCH(前十整体车型排名!$B$4,'Data Export'!$G$1:$CZ$1,0)),0))</f>
        <v/>
      </c>
      <c r="J1121" s="62" t="str">
        <f>IF(H1121="","",IF(OR('Data Export'!F1121="三厢轿车",'Data Export'!F1121="掀背轿车",'Data Export'!F1121="旅行车",'Data Export'!F1121="微型车",'Data Export'!F1121="硬顶跑车",'Data Export'!F1121="敞蓬车",'Data Export'!F1121="Targa"),"轿车",IF(OR('Data Export'!F1121="小型MPV",'Data Export'!F1121="客车"),"MPV",IF('Data Export'!F1121="运动型多功能车","SUV","其他"))))</f>
        <v/>
      </c>
      <c r="K1121" s="62"/>
      <c r="L1121" s="62"/>
      <c r="M1121" s="62"/>
      <c r="N1121" s="62"/>
      <c r="O1121" s="62"/>
      <c r="P1121" s="62"/>
      <c r="Q1121" s="62"/>
    </row>
    <row r="1122" spans="1:17">
      <c r="A1122" s="62"/>
      <c r="B1122" s="62"/>
      <c r="C1122" s="62"/>
      <c r="D1122" s="62"/>
      <c r="E1122" s="62"/>
      <c r="F1122" s="62"/>
      <c r="G1122" s="62"/>
      <c r="H1122" s="62" t="str">
        <f>IF(AND('Data Export'!A1122=前十整体车型排名!$B$2,'Data Export'!B1122=前十整体车型排名!$B$3,'Data Export'!D1122&lt;&gt;""),UPPER('Data Export'!C1122)&amp;"♦"&amp;'Data Export'!D1122,"")</f>
        <v/>
      </c>
      <c r="I1122" s="63" t="str">
        <f>IF(H1122="","",IFERROR(INDEX('Data Export'!G1122:CZ1122,1,MATCH(前十整体车型排名!$B$4,'Data Export'!$G$1:$CZ$1,0)),0))</f>
        <v/>
      </c>
      <c r="J1122" s="62" t="str">
        <f>IF(H1122="","",IF(OR('Data Export'!F1122="三厢轿车",'Data Export'!F1122="掀背轿车",'Data Export'!F1122="旅行车",'Data Export'!F1122="微型车",'Data Export'!F1122="硬顶跑车",'Data Export'!F1122="敞蓬车",'Data Export'!F1122="Targa"),"轿车",IF(OR('Data Export'!F1122="小型MPV",'Data Export'!F1122="客车"),"MPV",IF('Data Export'!F1122="运动型多功能车","SUV","其他"))))</f>
        <v/>
      </c>
      <c r="K1122" s="62"/>
      <c r="L1122" s="62"/>
      <c r="M1122" s="62"/>
      <c r="N1122" s="62"/>
      <c r="O1122" s="62"/>
      <c r="P1122" s="62"/>
      <c r="Q1122" s="62"/>
    </row>
    <row r="1123" spans="1:17">
      <c r="A1123" s="62"/>
      <c r="B1123" s="62"/>
      <c r="C1123" s="62"/>
      <c r="D1123" s="62"/>
      <c r="E1123" s="62"/>
      <c r="F1123" s="62"/>
      <c r="G1123" s="62"/>
      <c r="H1123" s="62" t="str">
        <f>IF(AND('Data Export'!A1123=前十整体车型排名!$B$2,'Data Export'!B1123=前十整体车型排名!$B$3,'Data Export'!D1123&lt;&gt;""),UPPER('Data Export'!C1123)&amp;"♦"&amp;'Data Export'!D1123,"")</f>
        <v/>
      </c>
      <c r="I1123" s="63" t="str">
        <f>IF(H1123="","",IFERROR(INDEX('Data Export'!G1123:CZ1123,1,MATCH(前十整体车型排名!$B$4,'Data Export'!$G$1:$CZ$1,0)),0))</f>
        <v/>
      </c>
      <c r="J1123" s="62" t="str">
        <f>IF(H1123="","",IF(OR('Data Export'!F1123="三厢轿车",'Data Export'!F1123="掀背轿车",'Data Export'!F1123="旅行车",'Data Export'!F1123="微型车",'Data Export'!F1123="硬顶跑车",'Data Export'!F1123="敞蓬车",'Data Export'!F1123="Targa"),"轿车",IF(OR('Data Export'!F1123="小型MPV",'Data Export'!F1123="客车"),"MPV",IF('Data Export'!F1123="运动型多功能车","SUV","其他"))))</f>
        <v/>
      </c>
      <c r="K1123" s="62"/>
      <c r="L1123" s="62"/>
      <c r="M1123" s="62"/>
      <c r="N1123" s="62"/>
      <c r="O1123" s="62"/>
      <c r="P1123" s="62"/>
      <c r="Q1123" s="62"/>
    </row>
    <row r="1124" spans="1:17">
      <c r="A1124" s="62"/>
      <c r="B1124" s="62"/>
      <c r="C1124" s="62"/>
      <c r="D1124" s="62"/>
      <c r="E1124" s="62"/>
      <c r="F1124" s="62"/>
      <c r="G1124" s="62"/>
      <c r="H1124" s="62" t="str">
        <f>IF(AND('Data Export'!A1124=前十整体车型排名!$B$2,'Data Export'!B1124=前十整体车型排名!$B$3,'Data Export'!D1124&lt;&gt;""),UPPER('Data Export'!C1124)&amp;"♦"&amp;'Data Export'!D1124,"")</f>
        <v/>
      </c>
      <c r="I1124" s="63" t="str">
        <f>IF(H1124="","",IFERROR(INDEX('Data Export'!G1124:CZ1124,1,MATCH(前十整体车型排名!$B$4,'Data Export'!$G$1:$CZ$1,0)),0))</f>
        <v/>
      </c>
      <c r="J1124" s="62" t="str">
        <f>IF(H1124="","",IF(OR('Data Export'!F1124="三厢轿车",'Data Export'!F1124="掀背轿车",'Data Export'!F1124="旅行车",'Data Export'!F1124="微型车",'Data Export'!F1124="硬顶跑车",'Data Export'!F1124="敞蓬车",'Data Export'!F1124="Targa"),"轿车",IF(OR('Data Export'!F1124="小型MPV",'Data Export'!F1124="客车"),"MPV",IF('Data Export'!F1124="运动型多功能车","SUV","其他"))))</f>
        <v/>
      </c>
      <c r="K1124" s="62"/>
      <c r="L1124" s="62"/>
      <c r="M1124" s="62"/>
      <c r="N1124" s="62"/>
      <c r="O1124" s="62"/>
      <c r="P1124" s="62"/>
      <c r="Q1124" s="62"/>
    </row>
    <row r="1125" spans="1:17">
      <c r="A1125" s="62"/>
      <c r="B1125" s="62"/>
      <c r="C1125" s="62"/>
      <c r="D1125" s="62"/>
      <c r="E1125" s="62"/>
      <c r="F1125" s="62"/>
      <c r="G1125" s="62"/>
      <c r="H1125" s="62" t="str">
        <f>IF(AND('Data Export'!A1125=前十整体车型排名!$B$2,'Data Export'!B1125=前十整体车型排名!$B$3,'Data Export'!D1125&lt;&gt;""),UPPER('Data Export'!C1125)&amp;"♦"&amp;'Data Export'!D1125,"")</f>
        <v/>
      </c>
      <c r="I1125" s="63" t="str">
        <f>IF(H1125="","",IFERROR(INDEX('Data Export'!G1125:CZ1125,1,MATCH(前十整体车型排名!$B$4,'Data Export'!$G$1:$CZ$1,0)),0))</f>
        <v/>
      </c>
      <c r="J1125" s="62" t="str">
        <f>IF(H1125="","",IF(OR('Data Export'!F1125="三厢轿车",'Data Export'!F1125="掀背轿车",'Data Export'!F1125="旅行车",'Data Export'!F1125="微型车",'Data Export'!F1125="硬顶跑车",'Data Export'!F1125="敞蓬车",'Data Export'!F1125="Targa"),"轿车",IF(OR('Data Export'!F1125="小型MPV",'Data Export'!F1125="客车"),"MPV",IF('Data Export'!F1125="运动型多功能车","SUV","其他"))))</f>
        <v/>
      </c>
      <c r="K1125" s="62"/>
      <c r="L1125" s="62"/>
      <c r="M1125" s="62"/>
      <c r="N1125" s="62"/>
      <c r="O1125" s="62"/>
      <c r="P1125" s="62"/>
      <c r="Q1125" s="62"/>
    </row>
    <row r="1126" spans="1:17">
      <c r="A1126" s="62"/>
      <c r="B1126" s="62"/>
      <c r="C1126" s="62"/>
      <c r="D1126" s="62"/>
      <c r="E1126" s="62"/>
      <c r="F1126" s="62"/>
      <c r="G1126" s="62"/>
      <c r="H1126" s="62" t="str">
        <f>IF(AND('Data Export'!A1126=前十整体车型排名!$B$2,'Data Export'!B1126=前十整体车型排名!$B$3,'Data Export'!D1126&lt;&gt;""),UPPER('Data Export'!C1126)&amp;"♦"&amp;'Data Export'!D1126,"")</f>
        <v/>
      </c>
      <c r="I1126" s="63" t="str">
        <f>IF(H1126="","",IFERROR(INDEX('Data Export'!G1126:CZ1126,1,MATCH(前十整体车型排名!$B$4,'Data Export'!$G$1:$CZ$1,0)),0))</f>
        <v/>
      </c>
      <c r="J1126" s="62" t="str">
        <f>IF(H1126="","",IF(OR('Data Export'!F1126="三厢轿车",'Data Export'!F1126="掀背轿车",'Data Export'!F1126="旅行车",'Data Export'!F1126="微型车",'Data Export'!F1126="硬顶跑车",'Data Export'!F1126="敞蓬车",'Data Export'!F1126="Targa"),"轿车",IF(OR('Data Export'!F1126="小型MPV",'Data Export'!F1126="客车"),"MPV",IF('Data Export'!F1126="运动型多功能车","SUV","其他"))))</f>
        <v/>
      </c>
      <c r="K1126" s="62"/>
      <c r="L1126" s="62"/>
      <c r="M1126" s="62"/>
      <c r="N1126" s="62"/>
      <c r="O1126" s="62"/>
      <c r="P1126" s="62"/>
      <c r="Q1126" s="62"/>
    </row>
    <row r="1127" spans="1:17">
      <c r="A1127" s="62"/>
      <c r="B1127" s="62"/>
      <c r="C1127" s="62"/>
      <c r="D1127" s="62"/>
      <c r="E1127" s="62"/>
      <c r="F1127" s="62"/>
      <c r="G1127" s="62"/>
      <c r="H1127" s="62" t="str">
        <f>IF(AND('Data Export'!A1127=前十整体车型排名!$B$2,'Data Export'!B1127=前十整体车型排名!$B$3,'Data Export'!D1127&lt;&gt;""),UPPER('Data Export'!C1127)&amp;"♦"&amp;'Data Export'!D1127,"")</f>
        <v/>
      </c>
      <c r="I1127" s="63" t="str">
        <f>IF(H1127="","",IFERROR(INDEX('Data Export'!G1127:CZ1127,1,MATCH(前十整体车型排名!$B$4,'Data Export'!$G$1:$CZ$1,0)),0))</f>
        <v/>
      </c>
      <c r="J1127" s="62" t="str">
        <f>IF(H1127="","",IF(OR('Data Export'!F1127="三厢轿车",'Data Export'!F1127="掀背轿车",'Data Export'!F1127="旅行车",'Data Export'!F1127="微型车",'Data Export'!F1127="硬顶跑车",'Data Export'!F1127="敞蓬车",'Data Export'!F1127="Targa"),"轿车",IF(OR('Data Export'!F1127="小型MPV",'Data Export'!F1127="客车"),"MPV",IF('Data Export'!F1127="运动型多功能车","SUV","其他"))))</f>
        <v/>
      </c>
      <c r="K1127" s="62"/>
      <c r="L1127" s="62"/>
      <c r="M1127" s="62"/>
      <c r="N1127" s="62"/>
      <c r="O1127" s="62"/>
      <c r="P1127" s="62"/>
      <c r="Q1127" s="62"/>
    </row>
    <row r="1128" spans="1:17">
      <c r="A1128" s="62"/>
      <c r="B1128" s="62"/>
      <c r="C1128" s="62"/>
      <c r="D1128" s="62"/>
      <c r="E1128" s="62"/>
      <c r="F1128" s="62"/>
      <c r="G1128" s="62"/>
      <c r="H1128" s="62" t="str">
        <f>IF(AND('Data Export'!A1128=前十整体车型排名!$B$2,'Data Export'!B1128=前十整体车型排名!$B$3,'Data Export'!D1128&lt;&gt;""),UPPER('Data Export'!C1128)&amp;"♦"&amp;'Data Export'!D1128,"")</f>
        <v/>
      </c>
      <c r="I1128" s="63" t="str">
        <f>IF(H1128="","",IFERROR(INDEX('Data Export'!G1128:CZ1128,1,MATCH(前十整体车型排名!$B$4,'Data Export'!$G$1:$CZ$1,0)),0))</f>
        <v/>
      </c>
      <c r="J1128" s="62" t="str">
        <f>IF(H1128="","",IF(OR('Data Export'!F1128="三厢轿车",'Data Export'!F1128="掀背轿车",'Data Export'!F1128="旅行车",'Data Export'!F1128="微型车",'Data Export'!F1128="硬顶跑车",'Data Export'!F1128="敞蓬车",'Data Export'!F1128="Targa"),"轿车",IF(OR('Data Export'!F1128="小型MPV",'Data Export'!F1128="客车"),"MPV",IF('Data Export'!F1128="运动型多功能车","SUV","其他"))))</f>
        <v/>
      </c>
      <c r="K1128" s="62"/>
      <c r="L1128" s="62"/>
      <c r="M1128" s="62"/>
      <c r="N1128" s="62"/>
      <c r="O1128" s="62"/>
      <c r="P1128" s="62"/>
      <c r="Q1128" s="62"/>
    </row>
    <row r="1129" spans="1:17">
      <c r="A1129" s="62"/>
      <c r="B1129" s="62"/>
      <c r="C1129" s="62"/>
      <c r="D1129" s="62"/>
      <c r="E1129" s="62"/>
      <c r="F1129" s="62"/>
      <c r="G1129" s="62"/>
      <c r="H1129" s="62" t="str">
        <f>IF(AND('Data Export'!A1129=前十整体车型排名!$B$2,'Data Export'!B1129=前十整体车型排名!$B$3,'Data Export'!D1129&lt;&gt;""),UPPER('Data Export'!C1129)&amp;"♦"&amp;'Data Export'!D1129,"")</f>
        <v/>
      </c>
      <c r="I1129" s="63" t="str">
        <f>IF(H1129="","",IFERROR(INDEX('Data Export'!G1129:CZ1129,1,MATCH(前十整体车型排名!$B$4,'Data Export'!$G$1:$CZ$1,0)),0))</f>
        <v/>
      </c>
      <c r="J1129" s="62" t="str">
        <f>IF(H1129="","",IF(OR('Data Export'!F1129="三厢轿车",'Data Export'!F1129="掀背轿车",'Data Export'!F1129="旅行车",'Data Export'!F1129="微型车",'Data Export'!F1129="硬顶跑车",'Data Export'!F1129="敞蓬车",'Data Export'!F1129="Targa"),"轿车",IF(OR('Data Export'!F1129="小型MPV",'Data Export'!F1129="客车"),"MPV",IF('Data Export'!F1129="运动型多功能车","SUV","其他"))))</f>
        <v/>
      </c>
      <c r="K1129" s="62"/>
      <c r="L1129" s="62"/>
      <c r="M1129" s="62"/>
      <c r="N1129" s="62"/>
      <c r="O1129" s="62"/>
      <c r="P1129" s="62"/>
      <c r="Q1129" s="62"/>
    </row>
    <row r="1130" spans="1:17">
      <c r="A1130" s="62"/>
      <c r="B1130" s="62"/>
      <c r="C1130" s="62"/>
      <c r="D1130" s="62"/>
      <c r="E1130" s="62"/>
      <c r="F1130" s="62"/>
      <c r="G1130" s="62"/>
      <c r="H1130" s="62" t="str">
        <f>IF(AND('Data Export'!A1130=前十整体车型排名!$B$2,'Data Export'!B1130=前十整体车型排名!$B$3,'Data Export'!D1130&lt;&gt;""),UPPER('Data Export'!C1130)&amp;"♦"&amp;'Data Export'!D1130,"")</f>
        <v/>
      </c>
      <c r="I1130" s="63" t="str">
        <f>IF(H1130="","",IFERROR(INDEX('Data Export'!G1130:CZ1130,1,MATCH(前十整体车型排名!$B$4,'Data Export'!$G$1:$CZ$1,0)),0))</f>
        <v/>
      </c>
      <c r="J1130" s="62" t="str">
        <f>IF(H1130="","",IF(OR('Data Export'!F1130="三厢轿车",'Data Export'!F1130="掀背轿车",'Data Export'!F1130="旅行车",'Data Export'!F1130="微型车",'Data Export'!F1130="硬顶跑车",'Data Export'!F1130="敞蓬车",'Data Export'!F1130="Targa"),"轿车",IF(OR('Data Export'!F1130="小型MPV",'Data Export'!F1130="客车"),"MPV",IF('Data Export'!F1130="运动型多功能车","SUV","其他"))))</f>
        <v/>
      </c>
      <c r="K1130" s="62"/>
      <c r="L1130" s="62"/>
      <c r="M1130" s="62"/>
      <c r="N1130" s="62"/>
      <c r="O1130" s="62"/>
      <c r="P1130" s="62"/>
      <c r="Q1130" s="62"/>
    </row>
    <row r="1131" spans="1:17">
      <c r="A1131" s="62"/>
      <c r="B1131" s="62"/>
      <c r="C1131" s="62"/>
      <c r="D1131" s="62"/>
      <c r="E1131" s="62"/>
      <c r="F1131" s="62"/>
      <c r="G1131" s="62"/>
      <c r="H1131" s="62" t="str">
        <f>IF(AND('Data Export'!A1131=前十整体车型排名!$B$2,'Data Export'!B1131=前十整体车型排名!$B$3,'Data Export'!D1131&lt;&gt;""),UPPER('Data Export'!C1131)&amp;"♦"&amp;'Data Export'!D1131,"")</f>
        <v/>
      </c>
      <c r="I1131" s="63" t="str">
        <f>IF(H1131="","",IFERROR(INDEX('Data Export'!G1131:CZ1131,1,MATCH(前十整体车型排名!$B$4,'Data Export'!$G$1:$CZ$1,0)),0))</f>
        <v/>
      </c>
      <c r="J1131" s="62" t="str">
        <f>IF(H1131="","",IF(OR('Data Export'!F1131="三厢轿车",'Data Export'!F1131="掀背轿车",'Data Export'!F1131="旅行车",'Data Export'!F1131="微型车",'Data Export'!F1131="硬顶跑车",'Data Export'!F1131="敞蓬车",'Data Export'!F1131="Targa"),"轿车",IF(OR('Data Export'!F1131="小型MPV",'Data Export'!F1131="客车"),"MPV",IF('Data Export'!F1131="运动型多功能车","SUV","其他"))))</f>
        <v/>
      </c>
      <c r="K1131" s="62"/>
      <c r="L1131" s="62"/>
      <c r="M1131" s="62"/>
      <c r="N1131" s="62"/>
      <c r="O1131" s="62"/>
      <c r="P1131" s="62"/>
      <c r="Q1131" s="62"/>
    </row>
    <row r="1132" spans="1:17">
      <c r="A1132" s="62"/>
      <c r="B1132" s="62"/>
      <c r="C1132" s="62"/>
      <c r="D1132" s="62"/>
      <c r="E1132" s="62"/>
      <c r="F1132" s="62"/>
      <c r="G1132" s="62"/>
      <c r="H1132" s="62" t="str">
        <f>IF(AND('Data Export'!A1132=前十整体车型排名!$B$2,'Data Export'!B1132=前十整体车型排名!$B$3,'Data Export'!D1132&lt;&gt;""),UPPER('Data Export'!C1132)&amp;"♦"&amp;'Data Export'!D1132,"")</f>
        <v/>
      </c>
      <c r="I1132" s="63" t="str">
        <f>IF(H1132="","",IFERROR(INDEX('Data Export'!G1132:CZ1132,1,MATCH(前十整体车型排名!$B$4,'Data Export'!$G$1:$CZ$1,0)),0))</f>
        <v/>
      </c>
      <c r="J1132" s="62" t="str">
        <f>IF(H1132="","",IF(OR('Data Export'!F1132="三厢轿车",'Data Export'!F1132="掀背轿车",'Data Export'!F1132="旅行车",'Data Export'!F1132="微型车",'Data Export'!F1132="硬顶跑车",'Data Export'!F1132="敞蓬车",'Data Export'!F1132="Targa"),"轿车",IF(OR('Data Export'!F1132="小型MPV",'Data Export'!F1132="客车"),"MPV",IF('Data Export'!F1132="运动型多功能车","SUV","其他"))))</f>
        <v/>
      </c>
      <c r="K1132" s="62"/>
      <c r="L1132" s="62"/>
      <c r="M1132" s="62"/>
      <c r="N1132" s="62"/>
      <c r="O1132" s="62"/>
      <c r="P1132" s="62"/>
      <c r="Q1132" s="62"/>
    </row>
    <row r="1133" spans="1:17">
      <c r="A1133" s="62"/>
      <c r="B1133" s="62"/>
      <c r="C1133" s="62"/>
      <c r="D1133" s="62"/>
      <c r="E1133" s="62"/>
      <c r="F1133" s="62"/>
      <c r="G1133" s="62"/>
      <c r="H1133" s="62" t="str">
        <f>IF(AND('Data Export'!A1133=前十整体车型排名!$B$2,'Data Export'!B1133=前十整体车型排名!$B$3,'Data Export'!D1133&lt;&gt;""),UPPER('Data Export'!C1133)&amp;"♦"&amp;'Data Export'!D1133,"")</f>
        <v/>
      </c>
      <c r="I1133" s="63" t="str">
        <f>IF(H1133="","",IFERROR(INDEX('Data Export'!G1133:CZ1133,1,MATCH(前十整体车型排名!$B$4,'Data Export'!$G$1:$CZ$1,0)),0))</f>
        <v/>
      </c>
      <c r="J1133" s="62" t="str">
        <f>IF(H1133="","",IF(OR('Data Export'!F1133="三厢轿车",'Data Export'!F1133="掀背轿车",'Data Export'!F1133="旅行车",'Data Export'!F1133="微型车",'Data Export'!F1133="硬顶跑车",'Data Export'!F1133="敞蓬车",'Data Export'!F1133="Targa"),"轿车",IF(OR('Data Export'!F1133="小型MPV",'Data Export'!F1133="客车"),"MPV",IF('Data Export'!F1133="运动型多功能车","SUV","其他"))))</f>
        <v/>
      </c>
      <c r="K1133" s="62"/>
      <c r="L1133" s="62"/>
      <c r="M1133" s="62"/>
      <c r="N1133" s="62"/>
      <c r="O1133" s="62"/>
      <c r="P1133" s="62"/>
      <c r="Q1133" s="62"/>
    </row>
    <row r="1134" spans="1:17">
      <c r="A1134" s="62"/>
      <c r="B1134" s="62"/>
      <c r="C1134" s="62"/>
      <c r="D1134" s="62"/>
      <c r="E1134" s="62"/>
      <c r="F1134" s="62"/>
      <c r="G1134" s="62"/>
      <c r="H1134" s="62" t="str">
        <f>IF(AND('Data Export'!A1134=前十整体车型排名!$B$2,'Data Export'!B1134=前十整体车型排名!$B$3,'Data Export'!D1134&lt;&gt;""),UPPER('Data Export'!C1134)&amp;"♦"&amp;'Data Export'!D1134,"")</f>
        <v/>
      </c>
      <c r="I1134" s="63" t="str">
        <f>IF(H1134="","",IFERROR(INDEX('Data Export'!G1134:CZ1134,1,MATCH(前十整体车型排名!$B$4,'Data Export'!$G$1:$CZ$1,0)),0))</f>
        <v/>
      </c>
      <c r="J1134" s="62" t="str">
        <f>IF(H1134="","",IF(OR('Data Export'!F1134="三厢轿车",'Data Export'!F1134="掀背轿车",'Data Export'!F1134="旅行车",'Data Export'!F1134="微型车",'Data Export'!F1134="硬顶跑车",'Data Export'!F1134="敞蓬车",'Data Export'!F1134="Targa"),"轿车",IF(OR('Data Export'!F1134="小型MPV",'Data Export'!F1134="客车"),"MPV",IF('Data Export'!F1134="运动型多功能车","SUV","其他"))))</f>
        <v/>
      </c>
      <c r="K1134" s="62"/>
      <c r="L1134" s="62"/>
      <c r="M1134" s="62"/>
      <c r="N1134" s="62"/>
      <c r="O1134" s="62"/>
      <c r="P1134" s="62"/>
      <c r="Q1134" s="62"/>
    </row>
    <row r="1135" spans="1:17">
      <c r="A1135" s="62"/>
      <c r="B1135" s="62"/>
      <c r="C1135" s="62"/>
      <c r="D1135" s="62"/>
      <c r="E1135" s="62"/>
      <c r="F1135" s="62"/>
      <c r="G1135" s="62"/>
      <c r="H1135" s="62" t="str">
        <f>IF(AND('Data Export'!A1135=前十整体车型排名!$B$2,'Data Export'!B1135=前十整体车型排名!$B$3,'Data Export'!D1135&lt;&gt;""),UPPER('Data Export'!C1135)&amp;"♦"&amp;'Data Export'!D1135,"")</f>
        <v/>
      </c>
      <c r="I1135" s="63" t="str">
        <f>IF(H1135="","",IFERROR(INDEX('Data Export'!G1135:CZ1135,1,MATCH(前十整体车型排名!$B$4,'Data Export'!$G$1:$CZ$1,0)),0))</f>
        <v/>
      </c>
      <c r="J1135" s="62" t="str">
        <f>IF(H1135="","",IF(OR('Data Export'!F1135="三厢轿车",'Data Export'!F1135="掀背轿车",'Data Export'!F1135="旅行车",'Data Export'!F1135="微型车",'Data Export'!F1135="硬顶跑车",'Data Export'!F1135="敞蓬车",'Data Export'!F1135="Targa"),"轿车",IF(OR('Data Export'!F1135="小型MPV",'Data Export'!F1135="客车"),"MPV",IF('Data Export'!F1135="运动型多功能车","SUV","其他"))))</f>
        <v/>
      </c>
      <c r="K1135" s="62"/>
      <c r="L1135" s="62"/>
      <c r="M1135" s="62"/>
      <c r="N1135" s="62"/>
      <c r="O1135" s="62"/>
      <c r="P1135" s="62"/>
      <c r="Q1135" s="62"/>
    </row>
    <row r="1136" spans="1:17">
      <c r="A1136" s="62"/>
      <c r="B1136" s="62"/>
      <c r="C1136" s="62"/>
      <c r="D1136" s="62"/>
      <c r="E1136" s="62"/>
      <c r="F1136" s="62"/>
      <c r="G1136" s="62"/>
      <c r="H1136" s="62" t="str">
        <f>IF(AND('Data Export'!A1136=前十整体车型排名!$B$2,'Data Export'!B1136=前十整体车型排名!$B$3,'Data Export'!D1136&lt;&gt;""),UPPER('Data Export'!C1136)&amp;"♦"&amp;'Data Export'!D1136,"")</f>
        <v/>
      </c>
      <c r="I1136" s="63" t="str">
        <f>IF(H1136="","",IFERROR(INDEX('Data Export'!G1136:CZ1136,1,MATCH(前十整体车型排名!$B$4,'Data Export'!$G$1:$CZ$1,0)),0))</f>
        <v/>
      </c>
      <c r="J1136" s="62" t="str">
        <f>IF(H1136="","",IF(OR('Data Export'!F1136="三厢轿车",'Data Export'!F1136="掀背轿车",'Data Export'!F1136="旅行车",'Data Export'!F1136="微型车",'Data Export'!F1136="硬顶跑车",'Data Export'!F1136="敞蓬车",'Data Export'!F1136="Targa"),"轿车",IF(OR('Data Export'!F1136="小型MPV",'Data Export'!F1136="客车"),"MPV",IF('Data Export'!F1136="运动型多功能车","SUV","其他"))))</f>
        <v/>
      </c>
      <c r="K1136" s="62"/>
      <c r="L1136" s="62"/>
      <c r="M1136" s="62"/>
      <c r="N1136" s="62"/>
      <c r="O1136" s="62"/>
      <c r="P1136" s="62"/>
      <c r="Q1136" s="62"/>
    </row>
    <row r="1137" spans="1:17">
      <c r="A1137" s="62"/>
      <c r="B1137" s="62"/>
      <c r="C1137" s="62"/>
      <c r="D1137" s="62"/>
      <c r="E1137" s="62"/>
      <c r="F1137" s="62"/>
      <c r="G1137" s="62"/>
      <c r="H1137" s="62" t="str">
        <f>IF(AND('Data Export'!A1137=前十整体车型排名!$B$2,'Data Export'!B1137=前十整体车型排名!$B$3,'Data Export'!D1137&lt;&gt;""),UPPER('Data Export'!C1137)&amp;"♦"&amp;'Data Export'!D1137,"")</f>
        <v/>
      </c>
      <c r="I1137" s="63" t="str">
        <f>IF(H1137="","",IFERROR(INDEX('Data Export'!G1137:CZ1137,1,MATCH(前十整体车型排名!$B$4,'Data Export'!$G$1:$CZ$1,0)),0))</f>
        <v/>
      </c>
      <c r="J1137" s="62" t="str">
        <f>IF(H1137="","",IF(OR('Data Export'!F1137="三厢轿车",'Data Export'!F1137="掀背轿车",'Data Export'!F1137="旅行车",'Data Export'!F1137="微型车",'Data Export'!F1137="硬顶跑车",'Data Export'!F1137="敞蓬车",'Data Export'!F1137="Targa"),"轿车",IF(OR('Data Export'!F1137="小型MPV",'Data Export'!F1137="客车"),"MPV",IF('Data Export'!F1137="运动型多功能车","SUV","其他"))))</f>
        <v/>
      </c>
      <c r="K1137" s="62"/>
      <c r="L1137" s="62"/>
      <c r="M1137" s="62"/>
      <c r="N1137" s="62"/>
      <c r="O1137" s="62"/>
      <c r="P1137" s="62"/>
      <c r="Q1137" s="62"/>
    </row>
    <row r="1138" spans="1:17">
      <c r="A1138" s="62"/>
      <c r="B1138" s="62"/>
      <c r="C1138" s="62"/>
      <c r="D1138" s="62"/>
      <c r="E1138" s="62"/>
      <c r="F1138" s="62"/>
      <c r="G1138" s="62"/>
      <c r="H1138" s="62" t="str">
        <f>IF(AND('Data Export'!A1138=前十整体车型排名!$B$2,'Data Export'!B1138=前十整体车型排名!$B$3,'Data Export'!D1138&lt;&gt;""),UPPER('Data Export'!C1138)&amp;"♦"&amp;'Data Export'!D1138,"")</f>
        <v/>
      </c>
      <c r="I1138" s="63" t="str">
        <f>IF(H1138="","",IFERROR(INDEX('Data Export'!G1138:CZ1138,1,MATCH(前十整体车型排名!$B$4,'Data Export'!$G$1:$CZ$1,0)),0))</f>
        <v/>
      </c>
      <c r="J1138" s="62" t="str">
        <f>IF(H1138="","",IF(OR('Data Export'!F1138="三厢轿车",'Data Export'!F1138="掀背轿车",'Data Export'!F1138="旅行车",'Data Export'!F1138="微型车",'Data Export'!F1138="硬顶跑车",'Data Export'!F1138="敞蓬车",'Data Export'!F1138="Targa"),"轿车",IF(OR('Data Export'!F1138="小型MPV",'Data Export'!F1138="客车"),"MPV",IF('Data Export'!F1138="运动型多功能车","SUV","其他"))))</f>
        <v/>
      </c>
      <c r="K1138" s="62"/>
      <c r="L1138" s="62"/>
      <c r="M1138" s="62"/>
      <c r="N1138" s="62"/>
      <c r="O1138" s="62"/>
      <c r="P1138" s="62"/>
      <c r="Q1138" s="62"/>
    </row>
    <row r="1139" spans="1:17">
      <c r="A1139" s="62"/>
      <c r="B1139" s="62"/>
      <c r="C1139" s="62"/>
      <c r="D1139" s="62"/>
      <c r="E1139" s="62"/>
      <c r="F1139" s="62"/>
      <c r="G1139" s="62"/>
      <c r="H1139" s="62" t="str">
        <f>IF(AND('Data Export'!A1139=前十整体车型排名!$B$2,'Data Export'!B1139=前十整体车型排名!$B$3,'Data Export'!D1139&lt;&gt;""),UPPER('Data Export'!C1139)&amp;"♦"&amp;'Data Export'!D1139,"")</f>
        <v/>
      </c>
      <c r="I1139" s="63" t="str">
        <f>IF(H1139="","",IFERROR(INDEX('Data Export'!G1139:CZ1139,1,MATCH(前十整体车型排名!$B$4,'Data Export'!$G$1:$CZ$1,0)),0))</f>
        <v/>
      </c>
      <c r="J1139" s="62" t="str">
        <f>IF(H1139="","",IF(OR('Data Export'!F1139="三厢轿车",'Data Export'!F1139="掀背轿车",'Data Export'!F1139="旅行车",'Data Export'!F1139="微型车",'Data Export'!F1139="硬顶跑车",'Data Export'!F1139="敞蓬车",'Data Export'!F1139="Targa"),"轿车",IF(OR('Data Export'!F1139="小型MPV",'Data Export'!F1139="客车"),"MPV",IF('Data Export'!F1139="运动型多功能车","SUV","其他"))))</f>
        <v/>
      </c>
      <c r="K1139" s="62"/>
      <c r="L1139" s="62"/>
      <c r="M1139" s="62"/>
      <c r="N1139" s="62"/>
      <c r="O1139" s="62"/>
      <c r="P1139" s="62"/>
      <c r="Q1139" s="62"/>
    </row>
    <row r="1140" spans="1:17">
      <c r="A1140" s="62"/>
      <c r="B1140" s="62"/>
      <c r="C1140" s="62"/>
      <c r="D1140" s="62"/>
      <c r="E1140" s="62"/>
      <c r="F1140" s="62"/>
      <c r="G1140" s="62"/>
      <c r="H1140" s="62" t="str">
        <f>IF(AND('Data Export'!A1140=前十整体车型排名!$B$2,'Data Export'!B1140=前十整体车型排名!$B$3,'Data Export'!D1140&lt;&gt;""),UPPER('Data Export'!C1140)&amp;"♦"&amp;'Data Export'!D1140,"")</f>
        <v/>
      </c>
      <c r="I1140" s="63" t="str">
        <f>IF(H1140="","",IFERROR(INDEX('Data Export'!G1140:CZ1140,1,MATCH(前十整体车型排名!$B$4,'Data Export'!$G$1:$CZ$1,0)),0))</f>
        <v/>
      </c>
      <c r="J1140" s="62" t="str">
        <f>IF(H1140="","",IF(OR('Data Export'!F1140="三厢轿车",'Data Export'!F1140="掀背轿车",'Data Export'!F1140="旅行车",'Data Export'!F1140="微型车",'Data Export'!F1140="硬顶跑车",'Data Export'!F1140="敞蓬车",'Data Export'!F1140="Targa"),"轿车",IF(OR('Data Export'!F1140="小型MPV",'Data Export'!F1140="客车"),"MPV",IF('Data Export'!F1140="运动型多功能车","SUV","其他"))))</f>
        <v/>
      </c>
      <c r="K1140" s="62"/>
      <c r="L1140" s="62"/>
      <c r="M1140" s="62"/>
      <c r="N1140" s="62"/>
      <c r="O1140" s="62"/>
      <c r="P1140" s="62"/>
      <c r="Q1140" s="62"/>
    </row>
    <row r="1141" spans="1:17">
      <c r="A1141" s="62"/>
      <c r="B1141" s="62"/>
      <c r="C1141" s="62"/>
      <c r="D1141" s="62"/>
      <c r="E1141" s="62"/>
      <c r="F1141" s="62"/>
      <c r="G1141" s="62"/>
      <c r="H1141" s="62" t="str">
        <f>IF(AND('Data Export'!A1141=前十整体车型排名!$B$2,'Data Export'!B1141=前十整体车型排名!$B$3,'Data Export'!D1141&lt;&gt;""),UPPER('Data Export'!C1141)&amp;"♦"&amp;'Data Export'!D1141,"")</f>
        <v/>
      </c>
      <c r="I1141" s="63" t="str">
        <f>IF(H1141="","",IFERROR(INDEX('Data Export'!G1141:CZ1141,1,MATCH(前十整体车型排名!$B$4,'Data Export'!$G$1:$CZ$1,0)),0))</f>
        <v/>
      </c>
      <c r="J1141" s="62" t="str">
        <f>IF(H1141="","",IF(OR('Data Export'!F1141="三厢轿车",'Data Export'!F1141="掀背轿车",'Data Export'!F1141="旅行车",'Data Export'!F1141="微型车",'Data Export'!F1141="硬顶跑车",'Data Export'!F1141="敞蓬车",'Data Export'!F1141="Targa"),"轿车",IF(OR('Data Export'!F1141="小型MPV",'Data Export'!F1141="客车"),"MPV",IF('Data Export'!F1141="运动型多功能车","SUV","其他"))))</f>
        <v/>
      </c>
      <c r="K1141" s="62"/>
      <c r="L1141" s="62"/>
      <c r="M1141" s="62"/>
      <c r="N1141" s="62"/>
      <c r="O1141" s="62"/>
      <c r="P1141" s="62"/>
      <c r="Q1141" s="62"/>
    </row>
    <row r="1142" spans="1:17">
      <c r="A1142" s="62"/>
      <c r="B1142" s="62"/>
      <c r="C1142" s="62"/>
      <c r="D1142" s="62"/>
      <c r="E1142" s="62"/>
      <c r="F1142" s="62"/>
      <c r="G1142" s="62"/>
      <c r="H1142" s="62" t="str">
        <f>IF(AND('Data Export'!A1142=前十整体车型排名!$B$2,'Data Export'!B1142=前十整体车型排名!$B$3,'Data Export'!D1142&lt;&gt;""),UPPER('Data Export'!C1142)&amp;"♦"&amp;'Data Export'!D1142,"")</f>
        <v/>
      </c>
      <c r="I1142" s="63" t="str">
        <f>IF(H1142="","",IFERROR(INDEX('Data Export'!G1142:CZ1142,1,MATCH(前十整体车型排名!$B$4,'Data Export'!$G$1:$CZ$1,0)),0))</f>
        <v/>
      </c>
      <c r="J1142" s="62" t="str">
        <f>IF(H1142="","",IF(OR('Data Export'!F1142="三厢轿车",'Data Export'!F1142="掀背轿车",'Data Export'!F1142="旅行车",'Data Export'!F1142="微型车",'Data Export'!F1142="硬顶跑车",'Data Export'!F1142="敞蓬车",'Data Export'!F1142="Targa"),"轿车",IF(OR('Data Export'!F1142="小型MPV",'Data Export'!F1142="客车"),"MPV",IF('Data Export'!F1142="运动型多功能车","SUV","其他"))))</f>
        <v/>
      </c>
      <c r="K1142" s="62"/>
      <c r="L1142" s="62"/>
      <c r="M1142" s="62"/>
      <c r="N1142" s="62"/>
      <c r="O1142" s="62"/>
      <c r="P1142" s="62"/>
      <c r="Q1142" s="62"/>
    </row>
    <row r="1143" spans="1:17">
      <c r="A1143" s="62"/>
      <c r="B1143" s="62"/>
      <c r="C1143" s="62"/>
      <c r="D1143" s="62"/>
      <c r="E1143" s="62"/>
      <c r="F1143" s="62"/>
      <c r="G1143" s="62"/>
      <c r="H1143" s="62" t="str">
        <f>IF(AND('Data Export'!A1143=前十整体车型排名!$B$2,'Data Export'!B1143=前十整体车型排名!$B$3,'Data Export'!D1143&lt;&gt;""),UPPER('Data Export'!C1143)&amp;"♦"&amp;'Data Export'!D1143,"")</f>
        <v/>
      </c>
      <c r="I1143" s="63" t="str">
        <f>IF(H1143="","",IFERROR(INDEX('Data Export'!G1143:CZ1143,1,MATCH(前十整体车型排名!$B$4,'Data Export'!$G$1:$CZ$1,0)),0))</f>
        <v/>
      </c>
      <c r="J1143" s="62" t="str">
        <f>IF(H1143="","",IF(OR('Data Export'!F1143="三厢轿车",'Data Export'!F1143="掀背轿车",'Data Export'!F1143="旅行车",'Data Export'!F1143="微型车",'Data Export'!F1143="硬顶跑车",'Data Export'!F1143="敞蓬车",'Data Export'!F1143="Targa"),"轿车",IF(OR('Data Export'!F1143="小型MPV",'Data Export'!F1143="客车"),"MPV",IF('Data Export'!F1143="运动型多功能车","SUV","其他"))))</f>
        <v/>
      </c>
      <c r="K1143" s="62"/>
      <c r="L1143" s="62"/>
      <c r="M1143" s="62"/>
      <c r="N1143" s="62"/>
      <c r="O1143" s="62"/>
      <c r="P1143" s="62"/>
      <c r="Q1143" s="62"/>
    </row>
    <row r="1144" spans="1:17">
      <c r="A1144" s="62"/>
      <c r="B1144" s="62"/>
      <c r="C1144" s="62"/>
      <c r="D1144" s="62"/>
      <c r="E1144" s="62"/>
      <c r="F1144" s="62"/>
      <c r="G1144" s="62"/>
      <c r="H1144" s="62" t="str">
        <f>IF(AND('Data Export'!A1144=前十整体车型排名!$B$2,'Data Export'!B1144=前十整体车型排名!$B$3,'Data Export'!D1144&lt;&gt;""),UPPER('Data Export'!C1144)&amp;"♦"&amp;'Data Export'!D1144,"")</f>
        <v/>
      </c>
      <c r="I1144" s="63" t="str">
        <f>IF(H1144="","",IFERROR(INDEX('Data Export'!G1144:CZ1144,1,MATCH(前十整体车型排名!$B$4,'Data Export'!$G$1:$CZ$1,0)),0))</f>
        <v/>
      </c>
      <c r="J1144" s="62" t="str">
        <f>IF(H1144="","",IF(OR('Data Export'!F1144="三厢轿车",'Data Export'!F1144="掀背轿车",'Data Export'!F1144="旅行车",'Data Export'!F1144="微型车",'Data Export'!F1144="硬顶跑车",'Data Export'!F1144="敞蓬车",'Data Export'!F1144="Targa"),"轿车",IF(OR('Data Export'!F1144="小型MPV",'Data Export'!F1144="客车"),"MPV",IF('Data Export'!F1144="运动型多功能车","SUV","其他"))))</f>
        <v/>
      </c>
      <c r="K1144" s="62"/>
      <c r="L1144" s="62"/>
      <c r="M1144" s="62"/>
      <c r="N1144" s="62"/>
      <c r="O1144" s="62"/>
      <c r="P1144" s="62"/>
      <c r="Q1144" s="62"/>
    </row>
    <row r="1145" spans="1:17">
      <c r="A1145" s="62"/>
      <c r="B1145" s="62"/>
      <c r="C1145" s="62"/>
      <c r="D1145" s="62"/>
      <c r="E1145" s="62"/>
      <c r="F1145" s="62"/>
      <c r="G1145" s="62"/>
      <c r="H1145" s="62" t="str">
        <f>IF(AND('Data Export'!A1145=前十整体车型排名!$B$2,'Data Export'!B1145=前十整体车型排名!$B$3,'Data Export'!D1145&lt;&gt;""),UPPER('Data Export'!C1145)&amp;"♦"&amp;'Data Export'!D1145,"")</f>
        <v/>
      </c>
      <c r="I1145" s="63" t="str">
        <f>IF(H1145="","",IFERROR(INDEX('Data Export'!G1145:CZ1145,1,MATCH(前十整体车型排名!$B$4,'Data Export'!$G$1:$CZ$1,0)),0))</f>
        <v/>
      </c>
      <c r="J1145" s="62" t="str">
        <f>IF(H1145="","",IF(OR('Data Export'!F1145="三厢轿车",'Data Export'!F1145="掀背轿车",'Data Export'!F1145="旅行车",'Data Export'!F1145="微型车",'Data Export'!F1145="硬顶跑车",'Data Export'!F1145="敞蓬车",'Data Export'!F1145="Targa"),"轿车",IF(OR('Data Export'!F1145="小型MPV",'Data Export'!F1145="客车"),"MPV",IF('Data Export'!F1145="运动型多功能车","SUV","其他"))))</f>
        <v/>
      </c>
      <c r="K1145" s="62"/>
      <c r="L1145" s="62"/>
      <c r="M1145" s="62"/>
      <c r="N1145" s="62"/>
      <c r="O1145" s="62"/>
      <c r="P1145" s="62"/>
      <c r="Q1145" s="62"/>
    </row>
    <row r="1146" spans="1:17">
      <c r="A1146" s="62"/>
      <c r="B1146" s="62"/>
      <c r="C1146" s="62"/>
      <c r="D1146" s="62"/>
      <c r="E1146" s="62"/>
      <c r="F1146" s="62"/>
      <c r="G1146" s="62"/>
      <c r="H1146" s="62" t="str">
        <f>IF(AND('Data Export'!A1146=前十整体车型排名!$B$2,'Data Export'!B1146=前十整体车型排名!$B$3,'Data Export'!D1146&lt;&gt;""),UPPER('Data Export'!C1146)&amp;"♦"&amp;'Data Export'!D1146,"")</f>
        <v/>
      </c>
      <c r="I1146" s="63" t="str">
        <f>IF(H1146="","",IFERROR(INDEX('Data Export'!G1146:CZ1146,1,MATCH(前十整体车型排名!$B$4,'Data Export'!$G$1:$CZ$1,0)),0))</f>
        <v/>
      </c>
      <c r="J1146" s="62" t="str">
        <f>IF(H1146="","",IF(OR('Data Export'!F1146="三厢轿车",'Data Export'!F1146="掀背轿车",'Data Export'!F1146="旅行车",'Data Export'!F1146="微型车",'Data Export'!F1146="硬顶跑车",'Data Export'!F1146="敞蓬车",'Data Export'!F1146="Targa"),"轿车",IF(OR('Data Export'!F1146="小型MPV",'Data Export'!F1146="客车"),"MPV",IF('Data Export'!F1146="运动型多功能车","SUV","其他"))))</f>
        <v/>
      </c>
      <c r="K1146" s="62"/>
      <c r="L1146" s="62"/>
      <c r="M1146" s="62"/>
      <c r="N1146" s="62"/>
      <c r="O1146" s="62"/>
      <c r="P1146" s="62"/>
      <c r="Q1146" s="62"/>
    </row>
    <row r="1147" spans="1:17">
      <c r="A1147" s="62"/>
      <c r="B1147" s="62"/>
      <c r="C1147" s="62"/>
      <c r="D1147" s="62"/>
      <c r="E1147" s="62"/>
      <c r="F1147" s="62"/>
      <c r="G1147" s="62"/>
      <c r="H1147" s="62" t="str">
        <f>IF(AND('Data Export'!A1147=前十整体车型排名!$B$2,'Data Export'!B1147=前十整体车型排名!$B$3,'Data Export'!D1147&lt;&gt;""),UPPER('Data Export'!C1147)&amp;"♦"&amp;'Data Export'!D1147,"")</f>
        <v/>
      </c>
      <c r="I1147" s="63" t="str">
        <f>IF(H1147="","",IFERROR(INDEX('Data Export'!G1147:CZ1147,1,MATCH(前十整体车型排名!$B$4,'Data Export'!$G$1:$CZ$1,0)),0))</f>
        <v/>
      </c>
      <c r="J1147" s="62" t="str">
        <f>IF(H1147="","",IF(OR('Data Export'!F1147="三厢轿车",'Data Export'!F1147="掀背轿车",'Data Export'!F1147="旅行车",'Data Export'!F1147="微型车",'Data Export'!F1147="硬顶跑车",'Data Export'!F1147="敞蓬车",'Data Export'!F1147="Targa"),"轿车",IF(OR('Data Export'!F1147="小型MPV",'Data Export'!F1147="客车"),"MPV",IF('Data Export'!F1147="运动型多功能车","SUV","其他"))))</f>
        <v/>
      </c>
      <c r="K1147" s="62"/>
      <c r="L1147" s="62"/>
      <c r="M1147" s="62"/>
      <c r="N1147" s="62"/>
      <c r="O1147" s="62"/>
      <c r="P1147" s="62"/>
      <c r="Q1147" s="62"/>
    </row>
    <row r="1148" spans="1:17">
      <c r="A1148" s="62"/>
      <c r="B1148" s="62"/>
      <c r="C1148" s="62"/>
      <c r="D1148" s="62"/>
      <c r="E1148" s="62"/>
      <c r="F1148" s="62"/>
      <c r="G1148" s="62"/>
      <c r="H1148" s="62" t="str">
        <f>IF(AND('Data Export'!A1148=前十整体车型排名!$B$2,'Data Export'!B1148=前十整体车型排名!$B$3,'Data Export'!D1148&lt;&gt;""),UPPER('Data Export'!C1148)&amp;"♦"&amp;'Data Export'!D1148,"")</f>
        <v/>
      </c>
      <c r="I1148" s="63" t="str">
        <f>IF(H1148="","",IFERROR(INDEX('Data Export'!G1148:CZ1148,1,MATCH(前十整体车型排名!$B$4,'Data Export'!$G$1:$CZ$1,0)),0))</f>
        <v/>
      </c>
      <c r="J1148" s="62" t="str">
        <f>IF(H1148="","",IF(OR('Data Export'!F1148="三厢轿车",'Data Export'!F1148="掀背轿车",'Data Export'!F1148="旅行车",'Data Export'!F1148="微型车",'Data Export'!F1148="硬顶跑车",'Data Export'!F1148="敞蓬车",'Data Export'!F1148="Targa"),"轿车",IF(OR('Data Export'!F1148="小型MPV",'Data Export'!F1148="客车"),"MPV",IF('Data Export'!F1148="运动型多功能车","SUV","其他"))))</f>
        <v/>
      </c>
      <c r="K1148" s="62"/>
      <c r="L1148" s="62"/>
      <c r="M1148" s="62"/>
      <c r="N1148" s="62"/>
      <c r="O1148" s="62"/>
      <c r="P1148" s="62"/>
      <c r="Q1148" s="62"/>
    </row>
    <row r="1149" spans="1:17">
      <c r="A1149" s="62"/>
      <c r="B1149" s="62"/>
      <c r="C1149" s="62"/>
      <c r="D1149" s="62"/>
      <c r="E1149" s="62"/>
      <c r="F1149" s="62"/>
      <c r="G1149" s="62"/>
      <c r="H1149" s="62" t="str">
        <f>IF(AND('Data Export'!A1149=前十整体车型排名!$B$2,'Data Export'!B1149=前十整体车型排名!$B$3,'Data Export'!D1149&lt;&gt;""),UPPER('Data Export'!C1149)&amp;"♦"&amp;'Data Export'!D1149,"")</f>
        <v/>
      </c>
      <c r="I1149" s="63" t="str">
        <f>IF(H1149="","",IFERROR(INDEX('Data Export'!G1149:CZ1149,1,MATCH(前十整体车型排名!$B$4,'Data Export'!$G$1:$CZ$1,0)),0))</f>
        <v/>
      </c>
      <c r="J1149" s="62" t="str">
        <f>IF(H1149="","",IF(OR('Data Export'!F1149="三厢轿车",'Data Export'!F1149="掀背轿车",'Data Export'!F1149="旅行车",'Data Export'!F1149="微型车",'Data Export'!F1149="硬顶跑车",'Data Export'!F1149="敞蓬车",'Data Export'!F1149="Targa"),"轿车",IF(OR('Data Export'!F1149="小型MPV",'Data Export'!F1149="客车"),"MPV",IF('Data Export'!F1149="运动型多功能车","SUV","其他"))))</f>
        <v/>
      </c>
      <c r="K1149" s="62"/>
      <c r="L1149" s="62"/>
      <c r="M1149" s="62"/>
      <c r="N1149" s="62"/>
      <c r="O1149" s="62"/>
      <c r="P1149" s="62"/>
      <c r="Q1149" s="62"/>
    </row>
    <row r="1150" spans="1:17">
      <c r="A1150" s="62"/>
      <c r="B1150" s="62"/>
      <c r="C1150" s="62"/>
      <c r="D1150" s="62"/>
      <c r="E1150" s="62"/>
      <c r="F1150" s="62"/>
      <c r="G1150" s="62"/>
      <c r="H1150" s="62" t="str">
        <f>IF(AND('Data Export'!A1150=前十整体车型排名!$B$2,'Data Export'!B1150=前十整体车型排名!$B$3,'Data Export'!D1150&lt;&gt;""),UPPER('Data Export'!C1150)&amp;"♦"&amp;'Data Export'!D1150,"")</f>
        <v/>
      </c>
      <c r="I1150" s="63" t="str">
        <f>IF(H1150="","",IFERROR(INDEX('Data Export'!G1150:CZ1150,1,MATCH(前十整体车型排名!$B$4,'Data Export'!$G$1:$CZ$1,0)),0))</f>
        <v/>
      </c>
      <c r="J1150" s="62" t="str">
        <f>IF(H1150="","",IF(OR('Data Export'!F1150="三厢轿车",'Data Export'!F1150="掀背轿车",'Data Export'!F1150="旅行车",'Data Export'!F1150="微型车",'Data Export'!F1150="硬顶跑车",'Data Export'!F1150="敞蓬车",'Data Export'!F1150="Targa"),"轿车",IF(OR('Data Export'!F1150="小型MPV",'Data Export'!F1150="客车"),"MPV",IF('Data Export'!F1150="运动型多功能车","SUV","其他"))))</f>
        <v/>
      </c>
      <c r="K1150" s="62"/>
      <c r="L1150" s="62"/>
      <c r="M1150" s="62"/>
      <c r="N1150" s="62"/>
      <c r="O1150" s="62"/>
      <c r="P1150" s="62"/>
      <c r="Q1150" s="62"/>
    </row>
    <row r="1151" spans="1:17">
      <c r="A1151" s="62"/>
      <c r="B1151" s="62"/>
      <c r="C1151" s="62"/>
      <c r="D1151" s="62"/>
      <c r="E1151" s="62"/>
      <c r="F1151" s="62"/>
      <c r="G1151" s="62"/>
      <c r="H1151" s="62" t="str">
        <f>IF(AND('Data Export'!A1151=前十整体车型排名!$B$2,'Data Export'!B1151=前十整体车型排名!$B$3,'Data Export'!D1151&lt;&gt;""),UPPER('Data Export'!C1151)&amp;"♦"&amp;'Data Export'!D1151,"")</f>
        <v/>
      </c>
      <c r="I1151" s="63" t="str">
        <f>IF(H1151="","",IFERROR(INDEX('Data Export'!G1151:CZ1151,1,MATCH(前十整体车型排名!$B$4,'Data Export'!$G$1:$CZ$1,0)),0))</f>
        <v/>
      </c>
      <c r="J1151" s="62" t="str">
        <f>IF(H1151="","",IF(OR('Data Export'!F1151="三厢轿车",'Data Export'!F1151="掀背轿车",'Data Export'!F1151="旅行车",'Data Export'!F1151="微型车",'Data Export'!F1151="硬顶跑车",'Data Export'!F1151="敞蓬车",'Data Export'!F1151="Targa"),"轿车",IF(OR('Data Export'!F1151="小型MPV",'Data Export'!F1151="客车"),"MPV",IF('Data Export'!F1151="运动型多功能车","SUV","其他"))))</f>
        <v/>
      </c>
      <c r="K1151" s="62"/>
      <c r="L1151" s="62"/>
      <c r="M1151" s="62"/>
      <c r="N1151" s="62"/>
      <c r="O1151" s="62"/>
      <c r="P1151" s="62"/>
      <c r="Q1151" s="62"/>
    </row>
    <row r="1152" spans="1:17">
      <c r="A1152" s="62"/>
      <c r="B1152" s="62"/>
      <c r="C1152" s="62"/>
      <c r="D1152" s="62"/>
      <c r="E1152" s="62"/>
      <c r="F1152" s="62"/>
      <c r="G1152" s="62"/>
      <c r="H1152" s="62" t="str">
        <f>IF(AND('Data Export'!A1152=前十整体车型排名!$B$2,'Data Export'!B1152=前十整体车型排名!$B$3,'Data Export'!D1152&lt;&gt;""),UPPER('Data Export'!C1152)&amp;"♦"&amp;'Data Export'!D1152,"")</f>
        <v/>
      </c>
      <c r="I1152" s="63" t="str">
        <f>IF(H1152="","",IFERROR(INDEX('Data Export'!G1152:CZ1152,1,MATCH(前十整体车型排名!$B$4,'Data Export'!$G$1:$CZ$1,0)),0))</f>
        <v/>
      </c>
      <c r="J1152" s="62" t="str">
        <f>IF(H1152="","",IF(OR('Data Export'!F1152="三厢轿车",'Data Export'!F1152="掀背轿车",'Data Export'!F1152="旅行车",'Data Export'!F1152="微型车",'Data Export'!F1152="硬顶跑车",'Data Export'!F1152="敞蓬车",'Data Export'!F1152="Targa"),"轿车",IF(OR('Data Export'!F1152="小型MPV",'Data Export'!F1152="客车"),"MPV",IF('Data Export'!F1152="运动型多功能车","SUV","其他"))))</f>
        <v/>
      </c>
      <c r="K1152" s="62"/>
      <c r="L1152" s="62"/>
      <c r="M1152" s="62"/>
      <c r="N1152" s="62"/>
      <c r="O1152" s="62"/>
      <c r="P1152" s="62"/>
      <c r="Q1152" s="62"/>
    </row>
    <row r="1153" spans="1:17">
      <c r="A1153" s="62"/>
      <c r="B1153" s="62"/>
      <c r="C1153" s="62"/>
      <c r="D1153" s="62"/>
      <c r="E1153" s="62"/>
      <c r="F1153" s="62"/>
      <c r="G1153" s="62"/>
      <c r="H1153" s="62" t="str">
        <f>IF(AND('Data Export'!A1153=前十整体车型排名!$B$2,'Data Export'!B1153=前十整体车型排名!$B$3,'Data Export'!D1153&lt;&gt;""),UPPER('Data Export'!C1153)&amp;"♦"&amp;'Data Export'!D1153,"")</f>
        <v/>
      </c>
      <c r="I1153" s="63" t="str">
        <f>IF(H1153="","",IFERROR(INDEX('Data Export'!G1153:CZ1153,1,MATCH(前十整体车型排名!$B$4,'Data Export'!$G$1:$CZ$1,0)),0))</f>
        <v/>
      </c>
      <c r="J1153" s="62" t="str">
        <f>IF(H1153="","",IF(OR('Data Export'!F1153="三厢轿车",'Data Export'!F1153="掀背轿车",'Data Export'!F1153="旅行车",'Data Export'!F1153="微型车",'Data Export'!F1153="硬顶跑车",'Data Export'!F1153="敞蓬车",'Data Export'!F1153="Targa"),"轿车",IF(OR('Data Export'!F1153="小型MPV",'Data Export'!F1153="客车"),"MPV",IF('Data Export'!F1153="运动型多功能车","SUV","其他"))))</f>
        <v/>
      </c>
      <c r="K1153" s="62"/>
      <c r="L1153" s="62"/>
      <c r="M1153" s="62"/>
      <c r="N1153" s="62"/>
      <c r="O1153" s="62"/>
      <c r="P1153" s="62"/>
      <c r="Q1153" s="62"/>
    </row>
    <row r="1154" spans="1:17">
      <c r="A1154" s="62"/>
      <c r="B1154" s="62"/>
      <c r="C1154" s="62"/>
      <c r="D1154" s="62"/>
      <c r="E1154" s="62"/>
      <c r="F1154" s="62"/>
      <c r="G1154" s="62"/>
      <c r="H1154" s="62" t="str">
        <f>IF(AND('Data Export'!A1154=前十整体车型排名!$B$2,'Data Export'!B1154=前十整体车型排名!$B$3,'Data Export'!D1154&lt;&gt;""),UPPER('Data Export'!C1154)&amp;"♦"&amp;'Data Export'!D1154,"")</f>
        <v/>
      </c>
      <c r="I1154" s="63" t="str">
        <f>IF(H1154="","",IFERROR(INDEX('Data Export'!G1154:CZ1154,1,MATCH(前十整体车型排名!$B$4,'Data Export'!$G$1:$CZ$1,0)),0))</f>
        <v/>
      </c>
      <c r="J1154" s="62" t="str">
        <f>IF(H1154="","",IF(OR('Data Export'!F1154="三厢轿车",'Data Export'!F1154="掀背轿车",'Data Export'!F1154="旅行车",'Data Export'!F1154="微型车",'Data Export'!F1154="硬顶跑车",'Data Export'!F1154="敞蓬车",'Data Export'!F1154="Targa"),"轿车",IF(OR('Data Export'!F1154="小型MPV",'Data Export'!F1154="客车"),"MPV",IF('Data Export'!F1154="运动型多功能车","SUV","其他"))))</f>
        <v/>
      </c>
      <c r="K1154" s="62"/>
      <c r="L1154" s="62"/>
      <c r="M1154" s="62"/>
      <c r="N1154" s="62"/>
      <c r="O1154" s="62"/>
      <c r="P1154" s="62"/>
      <c r="Q1154" s="62"/>
    </row>
    <row r="1155" spans="1:17">
      <c r="A1155" s="62"/>
      <c r="B1155" s="62"/>
      <c r="C1155" s="62"/>
      <c r="D1155" s="62"/>
      <c r="E1155" s="62"/>
      <c r="F1155" s="62"/>
      <c r="G1155" s="62"/>
      <c r="H1155" s="62" t="str">
        <f>IF(AND('Data Export'!A1155=前十整体车型排名!$B$2,'Data Export'!B1155=前十整体车型排名!$B$3,'Data Export'!D1155&lt;&gt;""),UPPER('Data Export'!C1155)&amp;"♦"&amp;'Data Export'!D1155,"")</f>
        <v/>
      </c>
      <c r="I1155" s="63" t="str">
        <f>IF(H1155="","",IFERROR(INDEX('Data Export'!G1155:CZ1155,1,MATCH(前十整体车型排名!$B$4,'Data Export'!$G$1:$CZ$1,0)),0))</f>
        <v/>
      </c>
      <c r="J1155" s="62" t="str">
        <f>IF(H1155="","",IF(OR('Data Export'!F1155="三厢轿车",'Data Export'!F1155="掀背轿车",'Data Export'!F1155="旅行车",'Data Export'!F1155="微型车",'Data Export'!F1155="硬顶跑车",'Data Export'!F1155="敞蓬车",'Data Export'!F1155="Targa"),"轿车",IF(OR('Data Export'!F1155="小型MPV",'Data Export'!F1155="客车"),"MPV",IF('Data Export'!F1155="运动型多功能车","SUV","其他"))))</f>
        <v/>
      </c>
      <c r="K1155" s="62"/>
      <c r="L1155" s="62"/>
      <c r="M1155" s="62"/>
      <c r="N1155" s="62"/>
      <c r="O1155" s="62"/>
      <c r="P1155" s="62"/>
      <c r="Q1155" s="62"/>
    </row>
    <row r="1156" spans="1:17">
      <c r="A1156" s="62"/>
      <c r="B1156" s="62"/>
      <c r="C1156" s="62"/>
      <c r="D1156" s="62"/>
      <c r="E1156" s="62"/>
      <c r="F1156" s="62"/>
      <c r="G1156" s="62"/>
      <c r="H1156" s="62" t="str">
        <f>IF(AND('Data Export'!A1156=前十整体车型排名!$B$2,'Data Export'!B1156=前十整体车型排名!$B$3,'Data Export'!D1156&lt;&gt;""),UPPER('Data Export'!C1156)&amp;"♦"&amp;'Data Export'!D1156,"")</f>
        <v/>
      </c>
      <c r="I1156" s="63" t="str">
        <f>IF(H1156="","",IFERROR(INDEX('Data Export'!G1156:CZ1156,1,MATCH(前十整体车型排名!$B$4,'Data Export'!$G$1:$CZ$1,0)),0))</f>
        <v/>
      </c>
      <c r="J1156" s="62" t="str">
        <f>IF(H1156="","",IF(OR('Data Export'!F1156="三厢轿车",'Data Export'!F1156="掀背轿车",'Data Export'!F1156="旅行车",'Data Export'!F1156="微型车",'Data Export'!F1156="硬顶跑车",'Data Export'!F1156="敞蓬车",'Data Export'!F1156="Targa"),"轿车",IF(OR('Data Export'!F1156="小型MPV",'Data Export'!F1156="客车"),"MPV",IF('Data Export'!F1156="运动型多功能车","SUV","其他"))))</f>
        <v/>
      </c>
      <c r="K1156" s="62"/>
      <c r="L1156" s="62"/>
      <c r="M1156" s="62"/>
      <c r="N1156" s="62"/>
      <c r="O1156" s="62"/>
      <c r="P1156" s="62"/>
      <c r="Q1156" s="62"/>
    </row>
    <row r="1157" spans="1:17">
      <c r="A1157" s="62"/>
      <c r="B1157" s="62"/>
      <c r="C1157" s="62"/>
      <c r="D1157" s="62"/>
      <c r="E1157" s="62"/>
      <c r="F1157" s="62"/>
      <c r="G1157" s="62"/>
      <c r="H1157" s="62" t="str">
        <f>IF(AND('Data Export'!A1157=前十整体车型排名!$B$2,'Data Export'!B1157=前十整体车型排名!$B$3,'Data Export'!D1157&lt;&gt;""),UPPER('Data Export'!C1157)&amp;"♦"&amp;'Data Export'!D1157,"")</f>
        <v/>
      </c>
      <c r="I1157" s="63" t="str">
        <f>IF(H1157="","",IFERROR(INDEX('Data Export'!G1157:CZ1157,1,MATCH(前十整体车型排名!$B$4,'Data Export'!$G$1:$CZ$1,0)),0))</f>
        <v/>
      </c>
      <c r="J1157" s="62" t="str">
        <f>IF(H1157="","",IF(OR('Data Export'!F1157="三厢轿车",'Data Export'!F1157="掀背轿车",'Data Export'!F1157="旅行车",'Data Export'!F1157="微型车",'Data Export'!F1157="硬顶跑车",'Data Export'!F1157="敞蓬车",'Data Export'!F1157="Targa"),"轿车",IF(OR('Data Export'!F1157="小型MPV",'Data Export'!F1157="客车"),"MPV",IF('Data Export'!F1157="运动型多功能车","SUV","其他"))))</f>
        <v/>
      </c>
      <c r="K1157" s="62"/>
      <c r="L1157" s="62"/>
      <c r="M1157" s="62"/>
      <c r="N1157" s="62"/>
      <c r="O1157" s="62"/>
      <c r="P1157" s="62"/>
      <c r="Q1157" s="62"/>
    </row>
    <row r="1158" spans="1:17">
      <c r="A1158" s="62"/>
      <c r="B1158" s="62"/>
      <c r="C1158" s="62"/>
      <c r="D1158" s="62"/>
      <c r="E1158" s="62"/>
      <c r="F1158" s="62"/>
      <c r="G1158" s="62"/>
      <c r="H1158" s="62" t="str">
        <f>IF(AND('Data Export'!A1158=前十整体车型排名!$B$2,'Data Export'!B1158=前十整体车型排名!$B$3,'Data Export'!D1158&lt;&gt;""),UPPER('Data Export'!C1158)&amp;"♦"&amp;'Data Export'!D1158,"")</f>
        <v/>
      </c>
      <c r="I1158" s="63" t="str">
        <f>IF(H1158="","",IFERROR(INDEX('Data Export'!G1158:CZ1158,1,MATCH(前十整体车型排名!$B$4,'Data Export'!$G$1:$CZ$1,0)),0))</f>
        <v/>
      </c>
      <c r="J1158" s="62" t="str">
        <f>IF(H1158="","",IF(OR('Data Export'!F1158="三厢轿车",'Data Export'!F1158="掀背轿车",'Data Export'!F1158="旅行车",'Data Export'!F1158="微型车",'Data Export'!F1158="硬顶跑车",'Data Export'!F1158="敞蓬车",'Data Export'!F1158="Targa"),"轿车",IF(OR('Data Export'!F1158="小型MPV",'Data Export'!F1158="客车"),"MPV",IF('Data Export'!F1158="运动型多功能车","SUV","其他"))))</f>
        <v/>
      </c>
      <c r="K1158" s="62"/>
      <c r="L1158" s="62"/>
      <c r="M1158" s="62"/>
      <c r="N1158" s="62"/>
      <c r="O1158" s="62"/>
      <c r="P1158" s="62"/>
      <c r="Q1158" s="62"/>
    </row>
    <row r="1159" spans="1:17">
      <c r="A1159" s="62"/>
      <c r="B1159" s="62"/>
      <c r="C1159" s="62"/>
      <c r="D1159" s="62"/>
      <c r="E1159" s="62"/>
      <c r="F1159" s="62"/>
      <c r="G1159" s="62"/>
      <c r="H1159" s="62" t="str">
        <f>IF(AND('Data Export'!A1159=前十整体车型排名!$B$2,'Data Export'!B1159=前十整体车型排名!$B$3,'Data Export'!D1159&lt;&gt;""),UPPER('Data Export'!C1159)&amp;"♦"&amp;'Data Export'!D1159,"")</f>
        <v/>
      </c>
      <c r="I1159" s="63" t="str">
        <f>IF(H1159="","",IFERROR(INDEX('Data Export'!G1159:CZ1159,1,MATCH(前十整体车型排名!$B$4,'Data Export'!$G$1:$CZ$1,0)),0))</f>
        <v/>
      </c>
      <c r="J1159" s="62" t="str">
        <f>IF(H1159="","",IF(OR('Data Export'!F1159="三厢轿车",'Data Export'!F1159="掀背轿车",'Data Export'!F1159="旅行车",'Data Export'!F1159="微型车",'Data Export'!F1159="硬顶跑车",'Data Export'!F1159="敞蓬车",'Data Export'!F1159="Targa"),"轿车",IF(OR('Data Export'!F1159="小型MPV",'Data Export'!F1159="客车"),"MPV",IF('Data Export'!F1159="运动型多功能车","SUV","其他"))))</f>
        <v/>
      </c>
      <c r="K1159" s="62"/>
      <c r="L1159" s="62"/>
      <c r="M1159" s="62"/>
      <c r="N1159" s="62"/>
      <c r="O1159" s="62"/>
      <c r="P1159" s="62"/>
      <c r="Q1159" s="62"/>
    </row>
    <row r="1160" spans="1:17">
      <c r="A1160" s="62"/>
      <c r="B1160" s="62"/>
      <c r="C1160" s="62"/>
      <c r="D1160" s="62"/>
      <c r="E1160" s="62"/>
      <c r="F1160" s="62"/>
      <c r="G1160" s="62"/>
      <c r="H1160" s="62" t="str">
        <f>IF(AND('Data Export'!A1160=前十整体车型排名!$B$2,'Data Export'!B1160=前十整体车型排名!$B$3,'Data Export'!D1160&lt;&gt;""),UPPER('Data Export'!C1160)&amp;"♦"&amp;'Data Export'!D1160,"")</f>
        <v/>
      </c>
      <c r="I1160" s="63" t="str">
        <f>IF(H1160="","",IFERROR(INDEX('Data Export'!G1160:CZ1160,1,MATCH(前十整体车型排名!$B$4,'Data Export'!$G$1:$CZ$1,0)),0))</f>
        <v/>
      </c>
      <c r="J1160" s="62" t="str">
        <f>IF(H1160="","",IF(OR('Data Export'!F1160="三厢轿车",'Data Export'!F1160="掀背轿车",'Data Export'!F1160="旅行车",'Data Export'!F1160="微型车",'Data Export'!F1160="硬顶跑车",'Data Export'!F1160="敞蓬车",'Data Export'!F1160="Targa"),"轿车",IF(OR('Data Export'!F1160="小型MPV",'Data Export'!F1160="客车"),"MPV",IF('Data Export'!F1160="运动型多功能车","SUV","其他"))))</f>
        <v/>
      </c>
      <c r="K1160" s="62"/>
      <c r="L1160" s="62"/>
      <c r="M1160" s="62"/>
      <c r="N1160" s="62"/>
      <c r="O1160" s="62"/>
      <c r="P1160" s="62"/>
      <c r="Q1160" s="62"/>
    </row>
    <row r="1161" spans="1:17">
      <c r="A1161" s="62"/>
      <c r="B1161" s="62"/>
      <c r="C1161" s="62"/>
      <c r="D1161" s="62"/>
      <c r="E1161" s="62"/>
      <c r="F1161" s="62"/>
      <c r="G1161" s="62"/>
      <c r="H1161" s="62" t="str">
        <f>IF(AND('Data Export'!A1161=前十整体车型排名!$B$2,'Data Export'!B1161=前十整体车型排名!$B$3,'Data Export'!D1161&lt;&gt;""),UPPER('Data Export'!C1161)&amp;"♦"&amp;'Data Export'!D1161,"")</f>
        <v/>
      </c>
      <c r="I1161" s="63" t="str">
        <f>IF(H1161="","",IFERROR(INDEX('Data Export'!G1161:CZ1161,1,MATCH(前十整体车型排名!$B$4,'Data Export'!$G$1:$CZ$1,0)),0))</f>
        <v/>
      </c>
      <c r="J1161" s="62" t="str">
        <f>IF(H1161="","",IF(OR('Data Export'!F1161="三厢轿车",'Data Export'!F1161="掀背轿车",'Data Export'!F1161="旅行车",'Data Export'!F1161="微型车",'Data Export'!F1161="硬顶跑车",'Data Export'!F1161="敞蓬车",'Data Export'!F1161="Targa"),"轿车",IF(OR('Data Export'!F1161="小型MPV",'Data Export'!F1161="客车"),"MPV",IF('Data Export'!F1161="运动型多功能车","SUV","其他"))))</f>
        <v/>
      </c>
      <c r="K1161" s="62"/>
      <c r="L1161" s="62"/>
      <c r="M1161" s="62"/>
      <c r="N1161" s="62"/>
      <c r="O1161" s="62"/>
      <c r="P1161" s="62"/>
      <c r="Q1161" s="62"/>
    </row>
    <row r="1162" spans="1:17">
      <c r="A1162" s="62"/>
      <c r="B1162" s="62"/>
      <c r="C1162" s="62"/>
      <c r="D1162" s="62"/>
      <c r="E1162" s="62"/>
      <c r="F1162" s="62"/>
      <c r="G1162" s="62"/>
      <c r="H1162" s="62" t="str">
        <f>IF(AND('Data Export'!A1162=前十整体车型排名!$B$2,'Data Export'!B1162=前十整体车型排名!$B$3,'Data Export'!D1162&lt;&gt;""),UPPER('Data Export'!C1162)&amp;"♦"&amp;'Data Export'!D1162,"")</f>
        <v/>
      </c>
      <c r="I1162" s="63" t="str">
        <f>IF(H1162="","",IFERROR(INDEX('Data Export'!G1162:CZ1162,1,MATCH(前十整体车型排名!$B$4,'Data Export'!$G$1:$CZ$1,0)),0))</f>
        <v/>
      </c>
      <c r="J1162" s="62" t="str">
        <f>IF(H1162="","",IF(OR('Data Export'!F1162="三厢轿车",'Data Export'!F1162="掀背轿车",'Data Export'!F1162="旅行车",'Data Export'!F1162="微型车",'Data Export'!F1162="硬顶跑车",'Data Export'!F1162="敞蓬车",'Data Export'!F1162="Targa"),"轿车",IF(OR('Data Export'!F1162="小型MPV",'Data Export'!F1162="客车"),"MPV",IF('Data Export'!F1162="运动型多功能车","SUV","其他"))))</f>
        <v/>
      </c>
      <c r="K1162" s="62"/>
      <c r="L1162" s="62"/>
      <c r="M1162" s="62"/>
      <c r="N1162" s="62"/>
      <c r="O1162" s="62"/>
      <c r="P1162" s="62"/>
      <c r="Q1162" s="62"/>
    </row>
    <row r="1163" spans="1:17">
      <c r="A1163" s="62"/>
      <c r="B1163" s="62"/>
      <c r="C1163" s="62"/>
      <c r="D1163" s="62"/>
      <c r="E1163" s="62"/>
      <c r="F1163" s="62"/>
      <c r="G1163" s="62"/>
      <c r="H1163" s="62" t="str">
        <f>IF(AND('Data Export'!A1163=前十整体车型排名!$B$2,'Data Export'!B1163=前十整体车型排名!$B$3,'Data Export'!D1163&lt;&gt;""),UPPER('Data Export'!C1163)&amp;"♦"&amp;'Data Export'!D1163,"")</f>
        <v/>
      </c>
      <c r="I1163" s="63" t="str">
        <f>IF(H1163="","",IFERROR(INDEX('Data Export'!G1163:CZ1163,1,MATCH(前十整体车型排名!$B$4,'Data Export'!$G$1:$CZ$1,0)),0))</f>
        <v/>
      </c>
      <c r="J1163" s="62" t="str">
        <f>IF(H1163="","",IF(OR('Data Export'!F1163="三厢轿车",'Data Export'!F1163="掀背轿车",'Data Export'!F1163="旅行车",'Data Export'!F1163="微型车",'Data Export'!F1163="硬顶跑车",'Data Export'!F1163="敞蓬车",'Data Export'!F1163="Targa"),"轿车",IF(OR('Data Export'!F1163="小型MPV",'Data Export'!F1163="客车"),"MPV",IF('Data Export'!F1163="运动型多功能车","SUV","其他"))))</f>
        <v/>
      </c>
      <c r="K1163" s="62"/>
      <c r="L1163" s="62"/>
      <c r="M1163" s="62"/>
      <c r="N1163" s="62"/>
      <c r="O1163" s="62"/>
      <c r="P1163" s="62"/>
      <c r="Q1163" s="62"/>
    </row>
    <row r="1164" spans="1:17">
      <c r="A1164" s="62"/>
      <c r="B1164" s="62"/>
      <c r="C1164" s="62"/>
      <c r="D1164" s="62"/>
      <c r="E1164" s="62"/>
      <c r="F1164" s="62"/>
      <c r="G1164" s="62"/>
      <c r="H1164" s="62" t="str">
        <f>IF(AND('Data Export'!A1164=前十整体车型排名!$B$2,'Data Export'!B1164=前十整体车型排名!$B$3,'Data Export'!D1164&lt;&gt;""),UPPER('Data Export'!C1164)&amp;"♦"&amp;'Data Export'!D1164,"")</f>
        <v/>
      </c>
      <c r="I1164" s="63" t="str">
        <f>IF(H1164="","",IFERROR(INDEX('Data Export'!G1164:CZ1164,1,MATCH(前十整体车型排名!$B$4,'Data Export'!$G$1:$CZ$1,0)),0))</f>
        <v/>
      </c>
      <c r="J1164" s="62" t="str">
        <f>IF(H1164="","",IF(OR('Data Export'!F1164="三厢轿车",'Data Export'!F1164="掀背轿车",'Data Export'!F1164="旅行车",'Data Export'!F1164="微型车",'Data Export'!F1164="硬顶跑车",'Data Export'!F1164="敞蓬车",'Data Export'!F1164="Targa"),"轿车",IF(OR('Data Export'!F1164="小型MPV",'Data Export'!F1164="客车"),"MPV",IF('Data Export'!F1164="运动型多功能车","SUV","其他"))))</f>
        <v/>
      </c>
      <c r="K1164" s="62"/>
      <c r="L1164" s="62"/>
      <c r="M1164" s="62"/>
      <c r="N1164" s="62"/>
      <c r="O1164" s="62"/>
      <c r="P1164" s="62"/>
      <c r="Q1164" s="62"/>
    </row>
    <row r="1165" spans="1:17">
      <c r="A1165" s="62"/>
      <c r="B1165" s="62"/>
      <c r="C1165" s="62"/>
      <c r="D1165" s="62"/>
      <c r="E1165" s="62"/>
      <c r="F1165" s="62"/>
      <c r="G1165" s="62"/>
      <c r="H1165" s="62" t="str">
        <f>IF(AND('Data Export'!A1165=前十整体车型排名!$B$2,'Data Export'!B1165=前十整体车型排名!$B$3,'Data Export'!D1165&lt;&gt;""),UPPER('Data Export'!C1165)&amp;"♦"&amp;'Data Export'!D1165,"")</f>
        <v/>
      </c>
      <c r="I1165" s="63" t="str">
        <f>IF(H1165="","",IFERROR(INDEX('Data Export'!G1165:CZ1165,1,MATCH(前十整体车型排名!$B$4,'Data Export'!$G$1:$CZ$1,0)),0))</f>
        <v/>
      </c>
      <c r="J1165" s="62" t="str">
        <f>IF(H1165="","",IF(OR('Data Export'!F1165="三厢轿车",'Data Export'!F1165="掀背轿车",'Data Export'!F1165="旅行车",'Data Export'!F1165="微型车",'Data Export'!F1165="硬顶跑车",'Data Export'!F1165="敞蓬车",'Data Export'!F1165="Targa"),"轿车",IF(OR('Data Export'!F1165="小型MPV",'Data Export'!F1165="客车"),"MPV",IF('Data Export'!F1165="运动型多功能车","SUV","其他"))))</f>
        <v/>
      </c>
      <c r="K1165" s="62"/>
      <c r="L1165" s="62"/>
      <c r="M1165" s="62"/>
      <c r="N1165" s="62"/>
      <c r="O1165" s="62"/>
      <c r="P1165" s="62"/>
      <c r="Q1165" s="62"/>
    </row>
    <row r="1166" spans="1:17">
      <c r="A1166" s="62"/>
      <c r="B1166" s="62"/>
      <c r="C1166" s="62"/>
      <c r="D1166" s="62"/>
      <c r="E1166" s="62"/>
      <c r="F1166" s="62"/>
      <c r="G1166" s="62"/>
      <c r="H1166" s="62" t="str">
        <f>IF(AND('Data Export'!A1166=前十整体车型排名!$B$2,'Data Export'!B1166=前十整体车型排名!$B$3,'Data Export'!D1166&lt;&gt;""),UPPER('Data Export'!C1166)&amp;"♦"&amp;'Data Export'!D1166,"")</f>
        <v/>
      </c>
      <c r="I1166" s="63" t="str">
        <f>IF(H1166="","",IFERROR(INDEX('Data Export'!G1166:CZ1166,1,MATCH(前十整体车型排名!$B$4,'Data Export'!$G$1:$CZ$1,0)),0))</f>
        <v/>
      </c>
      <c r="J1166" s="62" t="str">
        <f>IF(H1166="","",IF(OR('Data Export'!F1166="三厢轿车",'Data Export'!F1166="掀背轿车",'Data Export'!F1166="旅行车",'Data Export'!F1166="微型车",'Data Export'!F1166="硬顶跑车",'Data Export'!F1166="敞蓬车",'Data Export'!F1166="Targa"),"轿车",IF(OR('Data Export'!F1166="小型MPV",'Data Export'!F1166="客车"),"MPV",IF('Data Export'!F1166="运动型多功能车","SUV","其他"))))</f>
        <v/>
      </c>
      <c r="K1166" s="62"/>
      <c r="L1166" s="62"/>
      <c r="M1166" s="62"/>
      <c r="N1166" s="62"/>
      <c r="O1166" s="62"/>
      <c r="P1166" s="62"/>
      <c r="Q1166" s="62"/>
    </row>
    <row r="1167" spans="1:17">
      <c r="A1167" s="62"/>
      <c r="B1167" s="62"/>
      <c r="C1167" s="62"/>
      <c r="D1167" s="62"/>
      <c r="E1167" s="62"/>
      <c r="F1167" s="62"/>
      <c r="G1167" s="62"/>
      <c r="H1167" s="62" t="str">
        <f>IF(AND('Data Export'!A1167=前十整体车型排名!$B$2,'Data Export'!B1167=前十整体车型排名!$B$3,'Data Export'!D1167&lt;&gt;""),UPPER('Data Export'!C1167)&amp;"♦"&amp;'Data Export'!D1167,"")</f>
        <v/>
      </c>
      <c r="I1167" s="63" t="str">
        <f>IF(H1167="","",IFERROR(INDEX('Data Export'!G1167:CZ1167,1,MATCH(前十整体车型排名!$B$4,'Data Export'!$G$1:$CZ$1,0)),0))</f>
        <v/>
      </c>
      <c r="J1167" s="62" t="str">
        <f>IF(H1167="","",IF(OR('Data Export'!F1167="三厢轿车",'Data Export'!F1167="掀背轿车",'Data Export'!F1167="旅行车",'Data Export'!F1167="微型车",'Data Export'!F1167="硬顶跑车",'Data Export'!F1167="敞蓬车",'Data Export'!F1167="Targa"),"轿车",IF(OR('Data Export'!F1167="小型MPV",'Data Export'!F1167="客车"),"MPV",IF('Data Export'!F1167="运动型多功能车","SUV","其他"))))</f>
        <v/>
      </c>
      <c r="K1167" s="62"/>
      <c r="L1167" s="62"/>
      <c r="M1167" s="62"/>
      <c r="N1167" s="62"/>
      <c r="O1167" s="62"/>
      <c r="P1167" s="62"/>
      <c r="Q1167" s="62"/>
    </row>
    <row r="1168" spans="1:17">
      <c r="A1168" s="62"/>
      <c r="B1168" s="62"/>
      <c r="C1168" s="62"/>
      <c r="D1168" s="62"/>
      <c r="E1168" s="62"/>
      <c r="F1168" s="62"/>
      <c r="G1168" s="62"/>
      <c r="H1168" s="62" t="str">
        <f>IF(AND('Data Export'!A1168=前十整体车型排名!$B$2,'Data Export'!B1168=前十整体车型排名!$B$3,'Data Export'!D1168&lt;&gt;""),UPPER('Data Export'!C1168)&amp;"♦"&amp;'Data Export'!D1168,"")</f>
        <v/>
      </c>
      <c r="I1168" s="63" t="str">
        <f>IF(H1168="","",IFERROR(INDEX('Data Export'!G1168:CZ1168,1,MATCH(前十整体车型排名!$B$4,'Data Export'!$G$1:$CZ$1,0)),0))</f>
        <v/>
      </c>
      <c r="J1168" s="62" t="str">
        <f>IF(H1168="","",IF(OR('Data Export'!F1168="三厢轿车",'Data Export'!F1168="掀背轿车",'Data Export'!F1168="旅行车",'Data Export'!F1168="微型车",'Data Export'!F1168="硬顶跑车",'Data Export'!F1168="敞蓬车",'Data Export'!F1168="Targa"),"轿车",IF(OR('Data Export'!F1168="小型MPV",'Data Export'!F1168="客车"),"MPV",IF('Data Export'!F1168="运动型多功能车","SUV","其他"))))</f>
        <v/>
      </c>
      <c r="K1168" s="62"/>
      <c r="L1168" s="62"/>
      <c r="M1168" s="62"/>
      <c r="N1168" s="62"/>
      <c r="O1168" s="62"/>
      <c r="P1168" s="62"/>
      <c r="Q1168" s="62"/>
    </row>
    <row r="1169" spans="1:17">
      <c r="A1169" s="62"/>
      <c r="B1169" s="62"/>
      <c r="C1169" s="62"/>
      <c r="D1169" s="62"/>
      <c r="E1169" s="62"/>
      <c r="F1169" s="62"/>
      <c r="G1169" s="62"/>
      <c r="H1169" s="62" t="str">
        <f>IF(AND('Data Export'!A1169=前十整体车型排名!$B$2,'Data Export'!B1169=前十整体车型排名!$B$3,'Data Export'!D1169&lt;&gt;""),UPPER('Data Export'!C1169)&amp;"♦"&amp;'Data Export'!D1169,"")</f>
        <v/>
      </c>
      <c r="I1169" s="63" t="str">
        <f>IF(H1169="","",IFERROR(INDEX('Data Export'!G1169:CZ1169,1,MATCH(前十整体车型排名!$B$4,'Data Export'!$G$1:$CZ$1,0)),0))</f>
        <v/>
      </c>
      <c r="J1169" s="62" t="str">
        <f>IF(H1169="","",IF(OR('Data Export'!F1169="三厢轿车",'Data Export'!F1169="掀背轿车",'Data Export'!F1169="旅行车",'Data Export'!F1169="微型车",'Data Export'!F1169="硬顶跑车",'Data Export'!F1169="敞蓬车",'Data Export'!F1169="Targa"),"轿车",IF(OR('Data Export'!F1169="小型MPV",'Data Export'!F1169="客车"),"MPV",IF('Data Export'!F1169="运动型多功能车","SUV","其他"))))</f>
        <v/>
      </c>
      <c r="K1169" s="62"/>
      <c r="L1169" s="62"/>
      <c r="M1169" s="62"/>
      <c r="N1169" s="62"/>
      <c r="O1169" s="62"/>
      <c r="P1169" s="62"/>
      <c r="Q1169" s="62"/>
    </row>
    <row r="1170" spans="1:17">
      <c r="A1170" s="62"/>
      <c r="B1170" s="62"/>
      <c r="C1170" s="62"/>
      <c r="D1170" s="62"/>
      <c r="E1170" s="62"/>
      <c r="F1170" s="62"/>
      <c r="G1170" s="62"/>
      <c r="H1170" s="62" t="str">
        <f>IF(AND('Data Export'!A1170=前十整体车型排名!$B$2,'Data Export'!B1170=前十整体车型排名!$B$3,'Data Export'!D1170&lt;&gt;""),UPPER('Data Export'!C1170)&amp;"♦"&amp;'Data Export'!D1170,"")</f>
        <v/>
      </c>
      <c r="I1170" s="63" t="str">
        <f>IF(H1170="","",IFERROR(INDEX('Data Export'!G1170:CZ1170,1,MATCH(前十整体车型排名!$B$4,'Data Export'!$G$1:$CZ$1,0)),0))</f>
        <v/>
      </c>
      <c r="J1170" s="62" t="str">
        <f>IF(H1170="","",IF(OR('Data Export'!F1170="三厢轿车",'Data Export'!F1170="掀背轿车",'Data Export'!F1170="旅行车",'Data Export'!F1170="微型车",'Data Export'!F1170="硬顶跑车",'Data Export'!F1170="敞蓬车",'Data Export'!F1170="Targa"),"轿车",IF(OR('Data Export'!F1170="小型MPV",'Data Export'!F1170="客车"),"MPV",IF('Data Export'!F1170="运动型多功能车","SUV","其他"))))</f>
        <v/>
      </c>
      <c r="K1170" s="62"/>
      <c r="L1170" s="62"/>
      <c r="M1170" s="62"/>
      <c r="N1170" s="62"/>
      <c r="O1170" s="62"/>
      <c r="P1170" s="62"/>
      <c r="Q1170" s="62"/>
    </row>
    <row r="1171" spans="1:17">
      <c r="A1171" s="62"/>
      <c r="B1171" s="62"/>
      <c r="C1171" s="62"/>
      <c r="D1171" s="62"/>
      <c r="E1171" s="62"/>
      <c r="F1171" s="62"/>
      <c r="G1171" s="62"/>
      <c r="H1171" s="62" t="str">
        <f>IF(AND('Data Export'!A1171=前十整体车型排名!$B$2,'Data Export'!B1171=前十整体车型排名!$B$3,'Data Export'!D1171&lt;&gt;""),UPPER('Data Export'!C1171)&amp;"♦"&amp;'Data Export'!D1171,"")</f>
        <v/>
      </c>
      <c r="I1171" s="63" t="str">
        <f>IF(H1171="","",IFERROR(INDEX('Data Export'!G1171:CZ1171,1,MATCH(前十整体车型排名!$B$4,'Data Export'!$G$1:$CZ$1,0)),0))</f>
        <v/>
      </c>
      <c r="J1171" s="62" t="str">
        <f>IF(H1171="","",IF(OR('Data Export'!F1171="三厢轿车",'Data Export'!F1171="掀背轿车",'Data Export'!F1171="旅行车",'Data Export'!F1171="微型车",'Data Export'!F1171="硬顶跑车",'Data Export'!F1171="敞蓬车",'Data Export'!F1171="Targa"),"轿车",IF(OR('Data Export'!F1171="小型MPV",'Data Export'!F1171="客车"),"MPV",IF('Data Export'!F1171="运动型多功能车","SUV","其他"))))</f>
        <v/>
      </c>
      <c r="K1171" s="62"/>
      <c r="L1171" s="62"/>
      <c r="M1171" s="62"/>
      <c r="N1171" s="62"/>
      <c r="O1171" s="62"/>
      <c r="P1171" s="62"/>
      <c r="Q1171" s="62"/>
    </row>
    <row r="1172" spans="1:17">
      <c r="A1172" s="62"/>
      <c r="B1172" s="62"/>
      <c r="C1172" s="62"/>
      <c r="D1172" s="62"/>
      <c r="E1172" s="62"/>
      <c r="F1172" s="62"/>
      <c r="G1172" s="62"/>
      <c r="H1172" s="62" t="str">
        <f>IF(AND('Data Export'!A1172=前十整体车型排名!$B$2,'Data Export'!B1172=前十整体车型排名!$B$3,'Data Export'!D1172&lt;&gt;""),UPPER('Data Export'!C1172)&amp;"♦"&amp;'Data Export'!D1172,"")</f>
        <v/>
      </c>
      <c r="I1172" s="63" t="str">
        <f>IF(H1172="","",IFERROR(INDEX('Data Export'!G1172:CZ1172,1,MATCH(前十整体车型排名!$B$4,'Data Export'!$G$1:$CZ$1,0)),0))</f>
        <v/>
      </c>
      <c r="J1172" s="62" t="str">
        <f>IF(H1172="","",IF(OR('Data Export'!F1172="三厢轿车",'Data Export'!F1172="掀背轿车",'Data Export'!F1172="旅行车",'Data Export'!F1172="微型车",'Data Export'!F1172="硬顶跑车",'Data Export'!F1172="敞蓬车",'Data Export'!F1172="Targa"),"轿车",IF(OR('Data Export'!F1172="小型MPV",'Data Export'!F1172="客车"),"MPV",IF('Data Export'!F1172="运动型多功能车","SUV","其他"))))</f>
        <v/>
      </c>
      <c r="K1172" s="62"/>
      <c r="L1172" s="62"/>
      <c r="M1172" s="62"/>
      <c r="N1172" s="62"/>
      <c r="O1172" s="62"/>
      <c r="P1172" s="62"/>
      <c r="Q1172" s="62"/>
    </row>
    <row r="1173" spans="1:17">
      <c r="A1173" s="62"/>
      <c r="B1173" s="62"/>
      <c r="C1173" s="62"/>
      <c r="D1173" s="62"/>
      <c r="E1173" s="62"/>
      <c r="F1173" s="62"/>
      <c r="G1173" s="62"/>
      <c r="H1173" s="62" t="str">
        <f>IF(AND('Data Export'!A1173=前十整体车型排名!$B$2,'Data Export'!B1173=前十整体车型排名!$B$3,'Data Export'!D1173&lt;&gt;""),UPPER('Data Export'!C1173)&amp;"♦"&amp;'Data Export'!D1173,"")</f>
        <v/>
      </c>
      <c r="I1173" s="63" t="str">
        <f>IF(H1173="","",IFERROR(INDEX('Data Export'!G1173:CZ1173,1,MATCH(前十整体车型排名!$B$4,'Data Export'!$G$1:$CZ$1,0)),0))</f>
        <v/>
      </c>
      <c r="J1173" s="62" t="str">
        <f>IF(H1173="","",IF(OR('Data Export'!F1173="三厢轿车",'Data Export'!F1173="掀背轿车",'Data Export'!F1173="旅行车",'Data Export'!F1173="微型车",'Data Export'!F1173="硬顶跑车",'Data Export'!F1173="敞蓬车",'Data Export'!F1173="Targa"),"轿车",IF(OR('Data Export'!F1173="小型MPV",'Data Export'!F1173="客车"),"MPV",IF('Data Export'!F1173="运动型多功能车","SUV","其他"))))</f>
        <v/>
      </c>
      <c r="K1173" s="62"/>
      <c r="L1173" s="62"/>
      <c r="M1173" s="62"/>
      <c r="N1173" s="62"/>
      <c r="O1173" s="62"/>
      <c r="P1173" s="62"/>
      <c r="Q1173" s="62"/>
    </row>
    <row r="1174" spans="1:17">
      <c r="A1174" s="62"/>
      <c r="B1174" s="62"/>
      <c r="C1174" s="62"/>
      <c r="D1174" s="62"/>
      <c r="E1174" s="62"/>
      <c r="F1174" s="62"/>
      <c r="G1174" s="62"/>
      <c r="H1174" s="62" t="str">
        <f>IF(AND('Data Export'!A1174=前十整体车型排名!$B$2,'Data Export'!B1174=前十整体车型排名!$B$3,'Data Export'!D1174&lt;&gt;""),UPPER('Data Export'!C1174)&amp;"♦"&amp;'Data Export'!D1174,"")</f>
        <v/>
      </c>
      <c r="I1174" s="63" t="str">
        <f>IF(H1174="","",IFERROR(INDEX('Data Export'!G1174:CZ1174,1,MATCH(前十整体车型排名!$B$4,'Data Export'!$G$1:$CZ$1,0)),0))</f>
        <v/>
      </c>
      <c r="J1174" s="62" t="str">
        <f>IF(H1174="","",IF(OR('Data Export'!F1174="三厢轿车",'Data Export'!F1174="掀背轿车",'Data Export'!F1174="旅行车",'Data Export'!F1174="微型车",'Data Export'!F1174="硬顶跑车",'Data Export'!F1174="敞蓬车",'Data Export'!F1174="Targa"),"轿车",IF(OR('Data Export'!F1174="小型MPV",'Data Export'!F1174="客车"),"MPV",IF('Data Export'!F1174="运动型多功能车","SUV","其他"))))</f>
        <v/>
      </c>
      <c r="K1174" s="62"/>
      <c r="L1174" s="62"/>
      <c r="M1174" s="62"/>
      <c r="N1174" s="62"/>
      <c r="O1174" s="62"/>
      <c r="P1174" s="62"/>
      <c r="Q1174" s="62"/>
    </row>
    <row r="1175" spans="1:17">
      <c r="A1175" s="62"/>
      <c r="B1175" s="62"/>
      <c r="C1175" s="62"/>
      <c r="D1175" s="62"/>
      <c r="E1175" s="62"/>
      <c r="F1175" s="62"/>
      <c r="G1175" s="62"/>
      <c r="H1175" s="62" t="str">
        <f>IF(AND('Data Export'!A1175=前十整体车型排名!$B$2,'Data Export'!B1175=前十整体车型排名!$B$3,'Data Export'!D1175&lt;&gt;""),UPPER('Data Export'!C1175)&amp;"♦"&amp;'Data Export'!D1175,"")</f>
        <v/>
      </c>
      <c r="I1175" s="63" t="str">
        <f>IF(H1175="","",IFERROR(INDEX('Data Export'!G1175:CZ1175,1,MATCH(前十整体车型排名!$B$4,'Data Export'!$G$1:$CZ$1,0)),0))</f>
        <v/>
      </c>
      <c r="J1175" s="62" t="str">
        <f>IF(H1175="","",IF(OR('Data Export'!F1175="三厢轿车",'Data Export'!F1175="掀背轿车",'Data Export'!F1175="旅行车",'Data Export'!F1175="微型车",'Data Export'!F1175="硬顶跑车",'Data Export'!F1175="敞蓬车",'Data Export'!F1175="Targa"),"轿车",IF(OR('Data Export'!F1175="小型MPV",'Data Export'!F1175="客车"),"MPV",IF('Data Export'!F1175="运动型多功能车","SUV","其他"))))</f>
        <v/>
      </c>
      <c r="K1175" s="62"/>
      <c r="L1175" s="62"/>
      <c r="M1175" s="62"/>
      <c r="N1175" s="62"/>
      <c r="O1175" s="62"/>
      <c r="P1175" s="62"/>
      <c r="Q1175" s="62"/>
    </row>
    <row r="1176" spans="1:17">
      <c r="A1176" s="62"/>
      <c r="B1176" s="62"/>
      <c r="C1176" s="62"/>
      <c r="D1176" s="62"/>
      <c r="E1176" s="62"/>
      <c r="F1176" s="62"/>
      <c r="G1176" s="62"/>
      <c r="H1176" s="62" t="str">
        <f>IF(AND('Data Export'!A1176=前十整体车型排名!$B$2,'Data Export'!B1176=前十整体车型排名!$B$3,'Data Export'!D1176&lt;&gt;""),UPPER('Data Export'!C1176)&amp;"♦"&amp;'Data Export'!D1176,"")</f>
        <v/>
      </c>
      <c r="I1176" s="63" t="str">
        <f>IF(H1176="","",IFERROR(INDEX('Data Export'!G1176:CZ1176,1,MATCH(前十整体车型排名!$B$4,'Data Export'!$G$1:$CZ$1,0)),0))</f>
        <v/>
      </c>
      <c r="J1176" s="62" t="str">
        <f>IF(H1176="","",IF(OR('Data Export'!F1176="三厢轿车",'Data Export'!F1176="掀背轿车",'Data Export'!F1176="旅行车",'Data Export'!F1176="微型车",'Data Export'!F1176="硬顶跑车",'Data Export'!F1176="敞蓬车",'Data Export'!F1176="Targa"),"轿车",IF(OR('Data Export'!F1176="小型MPV",'Data Export'!F1176="客车"),"MPV",IF('Data Export'!F1176="运动型多功能车","SUV","其他"))))</f>
        <v/>
      </c>
      <c r="K1176" s="62"/>
      <c r="L1176" s="62"/>
      <c r="M1176" s="62"/>
      <c r="N1176" s="62"/>
      <c r="O1176" s="62"/>
      <c r="P1176" s="62"/>
      <c r="Q1176" s="62"/>
    </row>
    <row r="1177" spans="1:17">
      <c r="A1177" s="62"/>
      <c r="B1177" s="62"/>
      <c r="C1177" s="62"/>
      <c r="D1177" s="62"/>
      <c r="E1177" s="62"/>
      <c r="F1177" s="62"/>
      <c r="G1177" s="62"/>
      <c r="H1177" s="62" t="str">
        <f>IF(AND('Data Export'!A1177=前十整体车型排名!$B$2,'Data Export'!B1177=前十整体车型排名!$B$3,'Data Export'!D1177&lt;&gt;""),UPPER('Data Export'!C1177)&amp;"♦"&amp;'Data Export'!D1177,"")</f>
        <v/>
      </c>
      <c r="I1177" s="63" t="str">
        <f>IF(H1177="","",IFERROR(INDEX('Data Export'!G1177:CZ1177,1,MATCH(前十整体车型排名!$B$4,'Data Export'!$G$1:$CZ$1,0)),0))</f>
        <v/>
      </c>
      <c r="J1177" s="62" t="str">
        <f>IF(H1177="","",IF(OR('Data Export'!F1177="三厢轿车",'Data Export'!F1177="掀背轿车",'Data Export'!F1177="旅行车",'Data Export'!F1177="微型车",'Data Export'!F1177="硬顶跑车",'Data Export'!F1177="敞蓬车",'Data Export'!F1177="Targa"),"轿车",IF(OR('Data Export'!F1177="小型MPV",'Data Export'!F1177="客车"),"MPV",IF('Data Export'!F1177="运动型多功能车","SUV","其他"))))</f>
        <v/>
      </c>
      <c r="K1177" s="62"/>
      <c r="L1177" s="62"/>
      <c r="M1177" s="62"/>
      <c r="N1177" s="62"/>
      <c r="O1177" s="62"/>
      <c r="P1177" s="62"/>
      <c r="Q1177" s="62"/>
    </row>
    <row r="1178" spans="1:17">
      <c r="A1178" s="62"/>
      <c r="B1178" s="62"/>
      <c r="C1178" s="62"/>
      <c r="D1178" s="62"/>
      <c r="E1178" s="62"/>
      <c r="F1178" s="62"/>
      <c r="G1178" s="62"/>
      <c r="H1178" s="62" t="str">
        <f>IF(AND('Data Export'!A1178=前十整体车型排名!$B$2,'Data Export'!B1178=前十整体车型排名!$B$3,'Data Export'!D1178&lt;&gt;""),UPPER('Data Export'!C1178)&amp;"♦"&amp;'Data Export'!D1178,"")</f>
        <v/>
      </c>
      <c r="I1178" s="63" t="str">
        <f>IF(H1178="","",IFERROR(INDEX('Data Export'!G1178:CZ1178,1,MATCH(前十整体车型排名!$B$4,'Data Export'!$G$1:$CZ$1,0)),0))</f>
        <v/>
      </c>
      <c r="J1178" s="62" t="str">
        <f>IF(H1178="","",IF(OR('Data Export'!F1178="三厢轿车",'Data Export'!F1178="掀背轿车",'Data Export'!F1178="旅行车",'Data Export'!F1178="微型车",'Data Export'!F1178="硬顶跑车",'Data Export'!F1178="敞蓬车",'Data Export'!F1178="Targa"),"轿车",IF(OR('Data Export'!F1178="小型MPV",'Data Export'!F1178="客车"),"MPV",IF('Data Export'!F1178="运动型多功能车","SUV","其他"))))</f>
        <v/>
      </c>
      <c r="K1178" s="62"/>
      <c r="L1178" s="62"/>
      <c r="M1178" s="62"/>
      <c r="N1178" s="62"/>
      <c r="O1178" s="62"/>
      <c r="P1178" s="62"/>
      <c r="Q1178" s="62"/>
    </row>
    <row r="1179" spans="1:17">
      <c r="A1179" s="62"/>
      <c r="B1179" s="62"/>
      <c r="C1179" s="62"/>
      <c r="D1179" s="62"/>
      <c r="E1179" s="62"/>
      <c r="F1179" s="62"/>
      <c r="G1179" s="62"/>
      <c r="H1179" s="62" t="str">
        <f>IF(AND('Data Export'!A1179=前十整体车型排名!$B$2,'Data Export'!B1179=前十整体车型排名!$B$3,'Data Export'!D1179&lt;&gt;""),UPPER('Data Export'!C1179)&amp;"♦"&amp;'Data Export'!D1179,"")</f>
        <v/>
      </c>
      <c r="I1179" s="63" t="str">
        <f>IF(H1179="","",IFERROR(INDEX('Data Export'!G1179:CZ1179,1,MATCH(前十整体车型排名!$B$4,'Data Export'!$G$1:$CZ$1,0)),0))</f>
        <v/>
      </c>
      <c r="J1179" s="62" t="str">
        <f>IF(H1179="","",IF(OR('Data Export'!F1179="三厢轿车",'Data Export'!F1179="掀背轿车",'Data Export'!F1179="旅行车",'Data Export'!F1179="微型车",'Data Export'!F1179="硬顶跑车",'Data Export'!F1179="敞蓬车",'Data Export'!F1179="Targa"),"轿车",IF(OR('Data Export'!F1179="小型MPV",'Data Export'!F1179="客车"),"MPV",IF('Data Export'!F1179="运动型多功能车","SUV","其他"))))</f>
        <v/>
      </c>
      <c r="K1179" s="62"/>
      <c r="L1179" s="62"/>
      <c r="M1179" s="62"/>
      <c r="N1179" s="62"/>
      <c r="O1179" s="62"/>
      <c r="P1179" s="62"/>
      <c r="Q1179" s="62"/>
    </row>
    <row r="1180" spans="1:17">
      <c r="A1180" s="62"/>
      <c r="B1180" s="62"/>
      <c r="C1180" s="62"/>
      <c r="D1180" s="62"/>
      <c r="E1180" s="62"/>
      <c r="F1180" s="62"/>
      <c r="G1180" s="62"/>
      <c r="H1180" s="62" t="str">
        <f>IF(AND('Data Export'!A1180=前十整体车型排名!$B$2,'Data Export'!B1180=前十整体车型排名!$B$3,'Data Export'!D1180&lt;&gt;""),UPPER('Data Export'!C1180)&amp;"♦"&amp;'Data Export'!D1180,"")</f>
        <v/>
      </c>
      <c r="I1180" s="63" t="str">
        <f>IF(H1180="","",IFERROR(INDEX('Data Export'!G1180:CZ1180,1,MATCH(前十整体车型排名!$B$4,'Data Export'!$G$1:$CZ$1,0)),0))</f>
        <v/>
      </c>
      <c r="J1180" s="62" t="str">
        <f>IF(H1180="","",IF(OR('Data Export'!F1180="三厢轿车",'Data Export'!F1180="掀背轿车",'Data Export'!F1180="旅行车",'Data Export'!F1180="微型车",'Data Export'!F1180="硬顶跑车",'Data Export'!F1180="敞蓬车",'Data Export'!F1180="Targa"),"轿车",IF(OR('Data Export'!F1180="小型MPV",'Data Export'!F1180="客车"),"MPV",IF('Data Export'!F1180="运动型多功能车","SUV","其他"))))</f>
        <v/>
      </c>
      <c r="K1180" s="62"/>
      <c r="L1180" s="62"/>
      <c r="M1180" s="62"/>
      <c r="N1180" s="62"/>
      <c r="O1180" s="62"/>
      <c r="P1180" s="62"/>
      <c r="Q1180" s="62"/>
    </row>
    <row r="1181" spans="1:17">
      <c r="A1181" s="62"/>
      <c r="B1181" s="62"/>
      <c r="C1181" s="62"/>
      <c r="D1181" s="62"/>
      <c r="E1181" s="62"/>
      <c r="F1181" s="62"/>
      <c r="G1181" s="62"/>
      <c r="H1181" s="62" t="str">
        <f>IF(AND('Data Export'!A1181=前十整体车型排名!$B$2,'Data Export'!B1181=前十整体车型排名!$B$3,'Data Export'!D1181&lt;&gt;""),UPPER('Data Export'!C1181)&amp;"♦"&amp;'Data Export'!D1181,"")</f>
        <v/>
      </c>
      <c r="I1181" s="63" t="str">
        <f>IF(H1181="","",IFERROR(INDEX('Data Export'!G1181:CZ1181,1,MATCH(前十整体车型排名!$B$4,'Data Export'!$G$1:$CZ$1,0)),0))</f>
        <v/>
      </c>
      <c r="J1181" s="62" t="str">
        <f>IF(H1181="","",IF(OR('Data Export'!F1181="三厢轿车",'Data Export'!F1181="掀背轿车",'Data Export'!F1181="旅行车",'Data Export'!F1181="微型车",'Data Export'!F1181="硬顶跑车",'Data Export'!F1181="敞蓬车",'Data Export'!F1181="Targa"),"轿车",IF(OR('Data Export'!F1181="小型MPV",'Data Export'!F1181="客车"),"MPV",IF('Data Export'!F1181="运动型多功能车","SUV","其他"))))</f>
        <v/>
      </c>
      <c r="K1181" s="62"/>
      <c r="L1181" s="62"/>
      <c r="M1181" s="62"/>
      <c r="N1181" s="62"/>
      <c r="O1181" s="62"/>
      <c r="P1181" s="62"/>
      <c r="Q1181" s="62"/>
    </row>
    <row r="1182" spans="1:17">
      <c r="A1182" s="62"/>
      <c r="B1182" s="62"/>
      <c r="C1182" s="62"/>
      <c r="D1182" s="62"/>
      <c r="E1182" s="62"/>
      <c r="F1182" s="62"/>
      <c r="G1182" s="62"/>
      <c r="H1182" s="62" t="str">
        <f>IF(AND('Data Export'!A1182=前十整体车型排名!$B$2,'Data Export'!B1182=前十整体车型排名!$B$3,'Data Export'!D1182&lt;&gt;""),UPPER('Data Export'!C1182)&amp;"♦"&amp;'Data Export'!D1182,"")</f>
        <v/>
      </c>
      <c r="I1182" s="63" t="str">
        <f>IF(H1182="","",IFERROR(INDEX('Data Export'!G1182:CZ1182,1,MATCH(前十整体车型排名!$B$4,'Data Export'!$G$1:$CZ$1,0)),0))</f>
        <v/>
      </c>
      <c r="J1182" s="62" t="str">
        <f>IF(H1182="","",IF(OR('Data Export'!F1182="三厢轿车",'Data Export'!F1182="掀背轿车",'Data Export'!F1182="旅行车",'Data Export'!F1182="微型车",'Data Export'!F1182="硬顶跑车",'Data Export'!F1182="敞蓬车",'Data Export'!F1182="Targa"),"轿车",IF(OR('Data Export'!F1182="小型MPV",'Data Export'!F1182="客车"),"MPV",IF('Data Export'!F1182="运动型多功能车","SUV","其他"))))</f>
        <v/>
      </c>
      <c r="K1182" s="62"/>
      <c r="L1182" s="62"/>
      <c r="M1182" s="62"/>
      <c r="N1182" s="62"/>
      <c r="O1182" s="62"/>
      <c r="P1182" s="62"/>
      <c r="Q1182" s="62"/>
    </row>
    <row r="1183" spans="1:17">
      <c r="A1183" s="62"/>
      <c r="B1183" s="62"/>
      <c r="C1183" s="62"/>
      <c r="D1183" s="62"/>
      <c r="E1183" s="62"/>
      <c r="F1183" s="62"/>
      <c r="G1183" s="62"/>
      <c r="H1183" s="62" t="str">
        <f>IF(AND('Data Export'!A1183=前十整体车型排名!$B$2,'Data Export'!B1183=前十整体车型排名!$B$3,'Data Export'!D1183&lt;&gt;""),UPPER('Data Export'!C1183)&amp;"♦"&amp;'Data Export'!D1183,"")</f>
        <v/>
      </c>
      <c r="I1183" s="63" t="str">
        <f>IF(H1183="","",IFERROR(INDEX('Data Export'!G1183:CZ1183,1,MATCH(前十整体车型排名!$B$4,'Data Export'!$G$1:$CZ$1,0)),0))</f>
        <v/>
      </c>
      <c r="J1183" s="62" t="str">
        <f>IF(H1183="","",IF(OR('Data Export'!F1183="三厢轿车",'Data Export'!F1183="掀背轿车",'Data Export'!F1183="旅行车",'Data Export'!F1183="微型车",'Data Export'!F1183="硬顶跑车",'Data Export'!F1183="敞蓬车",'Data Export'!F1183="Targa"),"轿车",IF(OR('Data Export'!F1183="小型MPV",'Data Export'!F1183="客车"),"MPV",IF('Data Export'!F1183="运动型多功能车","SUV","其他"))))</f>
        <v/>
      </c>
      <c r="K1183" s="62"/>
      <c r="L1183" s="62"/>
      <c r="M1183" s="62"/>
      <c r="N1183" s="62"/>
      <c r="O1183" s="62"/>
      <c r="P1183" s="62"/>
      <c r="Q1183" s="62"/>
    </row>
    <row r="1184" spans="1:17">
      <c r="A1184" s="62"/>
      <c r="B1184" s="62"/>
      <c r="C1184" s="62"/>
      <c r="D1184" s="62"/>
      <c r="E1184" s="62"/>
      <c r="F1184" s="62"/>
      <c r="G1184" s="62"/>
      <c r="H1184" s="62" t="str">
        <f>IF(AND('Data Export'!A1184=前十整体车型排名!$B$2,'Data Export'!B1184=前十整体车型排名!$B$3,'Data Export'!D1184&lt;&gt;""),UPPER('Data Export'!C1184)&amp;"♦"&amp;'Data Export'!D1184,"")</f>
        <v/>
      </c>
      <c r="I1184" s="63" t="str">
        <f>IF(H1184="","",IFERROR(INDEX('Data Export'!G1184:CZ1184,1,MATCH(前十整体车型排名!$B$4,'Data Export'!$G$1:$CZ$1,0)),0))</f>
        <v/>
      </c>
      <c r="J1184" s="62" t="str">
        <f>IF(H1184="","",IF(OR('Data Export'!F1184="三厢轿车",'Data Export'!F1184="掀背轿车",'Data Export'!F1184="旅行车",'Data Export'!F1184="微型车",'Data Export'!F1184="硬顶跑车",'Data Export'!F1184="敞蓬车",'Data Export'!F1184="Targa"),"轿车",IF(OR('Data Export'!F1184="小型MPV",'Data Export'!F1184="客车"),"MPV",IF('Data Export'!F1184="运动型多功能车","SUV","其他"))))</f>
        <v/>
      </c>
      <c r="K1184" s="62"/>
      <c r="L1184" s="62"/>
      <c r="M1184" s="62"/>
      <c r="N1184" s="62"/>
      <c r="O1184" s="62"/>
      <c r="P1184" s="62"/>
      <c r="Q1184" s="62"/>
    </row>
    <row r="1185" spans="1:17">
      <c r="A1185" s="62"/>
      <c r="B1185" s="62"/>
      <c r="C1185" s="62"/>
      <c r="D1185" s="62"/>
      <c r="E1185" s="62"/>
      <c r="F1185" s="62"/>
      <c r="G1185" s="62"/>
      <c r="H1185" s="62" t="str">
        <f>IF(AND('Data Export'!A1185=前十整体车型排名!$B$2,'Data Export'!B1185=前十整体车型排名!$B$3,'Data Export'!D1185&lt;&gt;""),UPPER('Data Export'!C1185)&amp;"♦"&amp;'Data Export'!D1185,"")</f>
        <v/>
      </c>
      <c r="I1185" s="63" t="str">
        <f>IF(H1185="","",IFERROR(INDEX('Data Export'!G1185:CZ1185,1,MATCH(前十整体车型排名!$B$4,'Data Export'!$G$1:$CZ$1,0)),0))</f>
        <v/>
      </c>
      <c r="J1185" s="62" t="str">
        <f>IF(H1185="","",IF(OR('Data Export'!F1185="三厢轿车",'Data Export'!F1185="掀背轿车",'Data Export'!F1185="旅行车",'Data Export'!F1185="微型车",'Data Export'!F1185="硬顶跑车",'Data Export'!F1185="敞蓬车",'Data Export'!F1185="Targa"),"轿车",IF(OR('Data Export'!F1185="小型MPV",'Data Export'!F1185="客车"),"MPV",IF('Data Export'!F1185="运动型多功能车","SUV","其他"))))</f>
        <v/>
      </c>
      <c r="K1185" s="62"/>
      <c r="L1185" s="62"/>
      <c r="M1185" s="62"/>
      <c r="N1185" s="62"/>
      <c r="O1185" s="62"/>
      <c r="P1185" s="62"/>
      <c r="Q1185" s="62"/>
    </row>
    <row r="1186" spans="1:17">
      <c r="A1186" s="62"/>
      <c r="B1186" s="62"/>
      <c r="C1186" s="62"/>
      <c r="D1186" s="62"/>
      <c r="E1186" s="62"/>
      <c r="F1186" s="62"/>
      <c r="G1186" s="62"/>
      <c r="H1186" s="62" t="str">
        <f>IF(AND('Data Export'!A1186=前十整体车型排名!$B$2,'Data Export'!B1186=前十整体车型排名!$B$3,'Data Export'!D1186&lt;&gt;""),UPPER('Data Export'!C1186)&amp;"♦"&amp;'Data Export'!D1186,"")</f>
        <v/>
      </c>
      <c r="I1186" s="63" t="str">
        <f>IF(H1186="","",IFERROR(INDEX('Data Export'!G1186:CZ1186,1,MATCH(前十整体车型排名!$B$4,'Data Export'!$G$1:$CZ$1,0)),0))</f>
        <v/>
      </c>
      <c r="J1186" s="62" t="str">
        <f>IF(H1186="","",IF(OR('Data Export'!F1186="三厢轿车",'Data Export'!F1186="掀背轿车",'Data Export'!F1186="旅行车",'Data Export'!F1186="微型车",'Data Export'!F1186="硬顶跑车",'Data Export'!F1186="敞蓬车",'Data Export'!F1186="Targa"),"轿车",IF(OR('Data Export'!F1186="小型MPV",'Data Export'!F1186="客车"),"MPV",IF('Data Export'!F1186="运动型多功能车","SUV","其他"))))</f>
        <v/>
      </c>
      <c r="K1186" s="62"/>
      <c r="L1186" s="62"/>
      <c r="M1186" s="62"/>
      <c r="N1186" s="62"/>
      <c r="O1186" s="62"/>
      <c r="P1186" s="62"/>
      <c r="Q1186" s="62"/>
    </row>
    <row r="1187" spans="1:17">
      <c r="A1187" s="62"/>
      <c r="B1187" s="62"/>
      <c r="C1187" s="62"/>
      <c r="D1187" s="62"/>
      <c r="E1187" s="62"/>
      <c r="F1187" s="62"/>
      <c r="G1187" s="62"/>
      <c r="H1187" s="62" t="str">
        <f>IF(AND('Data Export'!A1187=前十整体车型排名!$B$2,'Data Export'!B1187=前十整体车型排名!$B$3,'Data Export'!D1187&lt;&gt;""),UPPER('Data Export'!C1187)&amp;"♦"&amp;'Data Export'!D1187,"")</f>
        <v/>
      </c>
      <c r="I1187" s="63" t="str">
        <f>IF(H1187="","",IFERROR(INDEX('Data Export'!G1187:CZ1187,1,MATCH(前十整体车型排名!$B$4,'Data Export'!$G$1:$CZ$1,0)),0))</f>
        <v/>
      </c>
      <c r="J1187" s="62" t="str">
        <f>IF(H1187="","",IF(OR('Data Export'!F1187="三厢轿车",'Data Export'!F1187="掀背轿车",'Data Export'!F1187="旅行车",'Data Export'!F1187="微型车",'Data Export'!F1187="硬顶跑车",'Data Export'!F1187="敞蓬车",'Data Export'!F1187="Targa"),"轿车",IF(OR('Data Export'!F1187="小型MPV",'Data Export'!F1187="客车"),"MPV",IF('Data Export'!F1187="运动型多功能车","SUV","其他"))))</f>
        <v/>
      </c>
      <c r="K1187" s="62"/>
      <c r="L1187" s="62"/>
      <c r="M1187" s="62"/>
      <c r="N1187" s="62"/>
      <c r="O1187" s="62"/>
      <c r="P1187" s="62"/>
      <c r="Q1187" s="62"/>
    </row>
    <row r="1188" spans="1:17">
      <c r="A1188" s="62"/>
      <c r="B1188" s="62"/>
      <c r="C1188" s="62"/>
      <c r="D1188" s="62"/>
      <c r="E1188" s="62"/>
      <c r="F1188" s="62"/>
      <c r="G1188" s="62"/>
      <c r="H1188" s="62" t="str">
        <f>IF(AND('Data Export'!A1188=前十整体车型排名!$B$2,'Data Export'!B1188=前十整体车型排名!$B$3,'Data Export'!D1188&lt;&gt;""),UPPER('Data Export'!C1188)&amp;"♦"&amp;'Data Export'!D1188,"")</f>
        <v/>
      </c>
      <c r="I1188" s="63" t="str">
        <f>IF(H1188="","",IFERROR(INDEX('Data Export'!G1188:CZ1188,1,MATCH(前十整体车型排名!$B$4,'Data Export'!$G$1:$CZ$1,0)),0))</f>
        <v/>
      </c>
      <c r="J1188" s="62" t="str">
        <f>IF(H1188="","",IF(OR('Data Export'!F1188="三厢轿车",'Data Export'!F1188="掀背轿车",'Data Export'!F1188="旅行车",'Data Export'!F1188="微型车",'Data Export'!F1188="硬顶跑车",'Data Export'!F1188="敞蓬车",'Data Export'!F1188="Targa"),"轿车",IF(OR('Data Export'!F1188="小型MPV",'Data Export'!F1188="客车"),"MPV",IF('Data Export'!F1188="运动型多功能车","SUV","其他"))))</f>
        <v/>
      </c>
      <c r="K1188" s="62"/>
      <c r="L1188" s="62"/>
      <c r="M1188" s="62"/>
      <c r="N1188" s="62"/>
      <c r="O1188" s="62"/>
      <c r="P1188" s="62"/>
      <c r="Q1188" s="62"/>
    </row>
    <row r="1189" spans="1:17">
      <c r="A1189" s="62"/>
      <c r="B1189" s="62"/>
      <c r="C1189" s="62"/>
      <c r="D1189" s="62"/>
      <c r="E1189" s="62"/>
      <c r="F1189" s="62"/>
      <c r="G1189" s="62"/>
      <c r="H1189" s="62" t="str">
        <f>IF(AND('Data Export'!A1189=前十整体车型排名!$B$2,'Data Export'!B1189=前十整体车型排名!$B$3,'Data Export'!D1189&lt;&gt;""),UPPER('Data Export'!C1189)&amp;"♦"&amp;'Data Export'!D1189,"")</f>
        <v/>
      </c>
      <c r="I1189" s="63" t="str">
        <f>IF(H1189="","",IFERROR(INDEX('Data Export'!G1189:CZ1189,1,MATCH(前十整体车型排名!$B$4,'Data Export'!$G$1:$CZ$1,0)),0))</f>
        <v/>
      </c>
      <c r="J1189" s="62" t="str">
        <f>IF(H1189="","",IF(OR('Data Export'!F1189="三厢轿车",'Data Export'!F1189="掀背轿车",'Data Export'!F1189="旅行车",'Data Export'!F1189="微型车",'Data Export'!F1189="硬顶跑车",'Data Export'!F1189="敞蓬车",'Data Export'!F1189="Targa"),"轿车",IF(OR('Data Export'!F1189="小型MPV",'Data Export'!F1189="客车"),"MPV",IF('Data Export'!F1189="运动型多功能车","SUV","其他"))))</f>
        <v/>
      </c>
      <c r="K1189" s="62"/>
      <c r="L1189" s="62"/>
      <c r="M1189" s="62"/>
      <c r="N1189" s="62"/>
      <c r="O1189" s="62"/>
      <c r="P1189" s="62"/>
      <c r="Q1189" s="62"/>
    </row>
    <row r="1190" spans="1:17">
      <c r="A1190" s="62"/>
      <c r="B1190" s="62"/>
      <c r="C1190" s="62"/>
      <c r="D1190" s="62"/>
      <c r="E1190" s="62"/>
      <c r="F1190" s="62"/>
      <c r="G1190" s="62"/>
      <c r="H1190" s="62" t="str">
        <f>IF(AND('Data Export'!A1190=前十整体车型排名!$B$2,'Data Export'!B1190=前十整体车型排名!$B$3,'Data Export'!D1190&lt;&gt;""),UPPER('Data Export'!C1190)&amp;"♦"&amp;'Data Export'!D1190,"")</f>
        <v/>
      </c>
      <c r="I1190" s="63" t="str">
        <f>IF(H1190="","",IFERROR(INDEX('Data Export'!G1190:CZ1190,1,MATCH(前十整体车型排名!$B$4,'Data Export'!$G$1:$CZ$1,0)),0))</f>
        <v/>
      </c>
      <c r="J1190" s="62" t="str">
        <f>IF(H1190="","",IF(OR('Data Export'!F1190="三厢轿车",'Data Export'!F1190="掀背轿车",'Data Export'!F1190="旅行车",'Data Export'!F1190="微型车",'Data Export'!F1190="硬顶跑车",'Data Export'!F1190="敞蓬车",'Data Export'!F1190="Targa"),"轿车",IF(OR('Data Export'!F1190="小型MPV",'Data Export'!F1190="客车"),"MPV",IF('Data Export'!F1190="运动型多功能车","SUV","其他"))))</f>
        <v/>
      </c>
      <c r="K1190" s="62"/>
      <c r="L1190" s="62"/>
      <c r="M1190" s="62"/>
      <c r="N1190" s="62"/>
      <c r="O1190" s="62"/>
      <c r="P1190" s="62"/>
      <c r="Q1190" s="62"/>
    </row>
    <row r="1191" spans="1:17">
      <c r="A1191" s="62"/>
      <c r="B1191" s="62"/>
      <c r="C1191" s="62"/>
      <c r="D1191" s="62"/>
      <c r="E1191" s="62"/>
      <c r="F1191" s="62"/>
      <c r="G1191" s="62"/>
      <c r="H1191" s="62" t="str">
        <f>IF(AND('Data Export'!A1191=前十整体车型排名!$B$2,'Data Export'!B1191=前十整体车型排名!$B$3,'Data Export'!D1191&lt;&gt;""),UPPER('Data Export'!C1191)&amp;"♦"&amp;'Data Export'!D1191,"")</f>
        <v/>
      </c>
      <c r="I1191" s="63" t="str">
        <f>IF(H1191="","",IFERROR(INDEX('Data Export'!G1191:CZ1191,1,MATCH(前十整体车型排名!$B$4,'Data Export'!$G$1:$CZ$1,0)),0))</f>
        <v/>
      </c>
      <c r="J1191" s="62" t="str">
        <f>IF(H1191="","",IF(OR('Data Export'!F1191="三厢轿车",'Data Export'!F1191="掀背轿车",'Data Export'!F1191="旅行车",'Data Export'!F1191="微型车",'Data Export'!F1191="硬顶跑车",'Data Export'!F1191="敞蓬车",'Data Export'!F1191="Targa"),"轿车",IF(OR('Data Export'!F1191="小型MPV",'Data Export'!F1191="客车"),"MPV",IF('Data Export'!F1191="运动型多功能车","SUV","其他"))))</f>
        <v/>
      </c>
      <c r="K1191" s="62"/>
      <c r="L1191" s="62"/>
      <c r="M1191" s="62"/>
      <c r="N1191" s="62"/>
      <c r="O1191" s="62"/>
      <c r="P1191" s="62"/>
      <c r="Q1191" s="62"/>
    </row>
    <row r="1192" spans="1:17">
      <c r="A1192" s="62"/>
      <c r="B1192" s="62"/>
      <c r="C1192" s="62"/>
      <c r="D1192" s="62"/>
      <c r="E1192" s="62"/>
      <c r="F1192" s="62"/>
      <c r="G1192" s="62"/>
      <c r="H1192" s="62" t="str">
        <f>IF(AND('Data Export'!A1192=前十整体车型排名!$B$2,'Data Export'!B1192=前十整体车型排名!$B$3,'Data Export'!D1192&lt;&gt;""),UPPER('Data Export'!C1192)&amp;"♦"&amp;'Data Export'!D1192,"")</f>
        <v/>
      </c>
      <c r="I1192" s="63" t="str">
        <f>IF(H1192="","",IFERROR(INDEX('Data Export'!G1192:CZ1192,1,MATCH(前十整体车型排名!$B$4,'Data Export'!$G$1:$CZ$1,0)),0))</f>
        <v/>
      </c>
      <c r="J1192" s="62" t="str">
        <f>IF(H1192="","",IF(OR('Data Export'!F1192="三厢轿车",'Data Export'!F1192="掀背轿车",'Data Export'!F1192="旅行车",'Data Export'!F1192="微型车",'Data Export'!F1192="硬顶跑车",'Data Export'!F1192="敞蓬车",'Data Export'!F1192="Targa"),"轿车",IF(OR('Data Export'!F1192="小型MPV",'Data Export'!F1192="客车"),"MPV",IF('Data Export'!F1192="运动型多功能车","SUV","其他"))))</f>
        <v/>
      </c>
      <c r="K1192" s="62"/>
      <c r="L1192" s="62"/>
      <c r="M1192" s="62"/>
      <c r="N1192" s="62"/>
      <c r="O1192" s="62"/>
      <c r="P1192" s="62"/>
      <c r="Q1192" s="62"/>
    </row>
    <row r="1193" spans="1:17">
      <c r="A1193" s="62"/>
      <c r="B1193" s="62"/>
      <c r="C1193" s="62"/>
      <c r="D1193" s="62"/>
      <c r="E1193" s="62"/>
      <c r="F1193" s="62"/>
      <c r="G1193" s="62"/>
      <c r="H1193" s="62" t="str">
        <f>IF(AND('Data Export'!A1193=前十整体车型排名!$B$2,'Data Export'!B1193=前十整体车型排名!$B$3,'Data Export'!D1193&lt;&gt;""),UPPER('Data Export'!C1193)&amp;"♦"&amp;'Data Export'!D1193,"")</f>
        <v/>
      </c>
      <c r="I1193" s="63" t="str">
        <f>IF(H1193="","",IFERROR(INDEX('Data Export'!G1193:CZ1193,1,MATCH(前十整体车型排名!$B$4,'Data Export'!$G$1:$CZ$1,0)),0))</f>
        <v/>
      </c>
      <c r="J1193" s="62" t="str">
        <f>IF(H1193="","",IF(OR('Data Export'!F1193="三厢轿车",'Data Export'!F1193="掀背轿车",'Data Export'!F1193="旅行车",'Data Export'!F1193="微型车",'Data Export'!F1193="硬顶跑车",'Data Export'!F1193="敞蓬车",'Data Export'!F1193="Targa"),"轿车",IF(OR('Data Export'!F1193="小型MPV",'Data Export'!F1193="客车"),"MPV",IF('Data Export'!F1193="运动型多功能车","SUV","其他"))))</f>
        <v/>
      </c>
      <c r="K1193" s="62"/>
      <c r="L1193" s="62"/>
      <c r="M1193" s="62"/>
      <c r="N1193" s="62"/>
      <c r="O1193" s="62"/>
      <c r="P1193" s="62"/>
      <c r="Q1193" s="62"/>
    </row>
    <row r="1194" spans="1:17">
      <c r="A1194" s="62"/>
      <c r="B1194" s="62"/>
      <c r="C1194" s="62"/>
      <c r="D1194" s="62"/>
      <c r="E1194" s="62"/>
      <c r="F1194" s="62"/>
      <c r="G1194" s="62"/>
      <c r="H1194" s="62" t="str">
        <f>IF(AND('Data Export'!A1194=前十整体车型排名!$B$2,'Data Export'!B1194=前十整体车型排名!$B$3,'Data Export'!D1194&lt;&gt;""),UPPER('Data Export'!C1194)&amp;"♦"&amp;'Data Export'!D1194,"")</f>
        <v/>
      </c>
      <c r="I1194" s="63" t="str">
        <f>IF(H1194="","",IFERROR(INDEX('Data Export'!G1194:CZ1194,1,MATCH(前十整体车型排名!$B$4,'Data Export'!$G$1:$CZ$1,0)),0))</f>
        <v/>
      </c>
      <c r="J1194" s="62" t="str">
        <f>IF(H1194="","",IF(OR('Data Export'!F1194="三厢轿车",'Data Export'!F1194="掀背轿车",'Data Export'!F1194="旅行车",'Data Export'!F1194="微型车",'Data Export'!F1194="硬顶跑车",'Data Export'!F1194="敞蓬车",'Data Export'!F1194="Targa"),"轿车",IF(OR('Data Export'!F1194="小型MPV",'Data Export'!F1194="客车"),"MPV",IF('Data Export'!F1194="运动型多功能车","SUV","其他"))))</f>
        <v/>
      </c>
      <c r="K1194" s="62"/>
      <c r="L1194" s="62"/>
      <c r="M1194" s="62"/>
      <c r="N1194" s="62"/>
      <c r="O1194" s="62"/>
      <c r="P1194" s="62"/>
      <c r="Q1194" s="62"/>
    </row>
    <row r="1195" spans="1:17">
      <c r="A1195" s="62"/>
      <c r="B1195" s="62"/>
      <c r="C1195" s="62"/>
      <c r="D1195" s="62"/>
      <c r="E1195" s="62"/>
      <c r="F1195" s="62"/>
      <c r="G1195" s="62"/>
      <c r="H1195" s="62" t="str">
        <f>IF(AND('Data Export'!A1195=前十整体车型排名!$B$2,'Data Export'!B1195=前十整体车型排名!$B$3,'Data Export'!D1195&lt;&gt;""),UPPER('Data Export'!C1195)&amp;"♦"&amp;'Data Export'!D1195,"")</f>
        <v/>
      </c>
      <c r="I1195" s="63" t="str">
        <f>IF(H1195="","",IFERROR(INDEX('Data Export'!G1195:CZ1195,1,MATCH(前十整体车型排名!$B$4,'Data Export'!$G$1:$CZ$1,0)),0))</f>
        <v/>
      </c>
      <c r="J1195" s="62" t="str">
        <f>IF(H1195="","",IF(OR('Data Export'!F1195="三厢轿车",'Data Export'!F1195="掀背轿车",'Data Export'!F1195="旅行车",'Data Export'!F1195="微型车",'Data Export'!F1195="硬顶跑车",'Data Export'!F1195="敞蓬车",'Data Export'!F1195="Targa"),"轿车",IF(OR('Data Export'!F1195="小型MPV",'Data Export'!F1195="客车"),"MPV",IF('Data Export'!F1195="运动型多功能车","SUV","其他"))))</f>
        <v/>
      </c>
      <c r="K1195" s="62"/>
      <c r="L1195" s="62"/>
      <c r="M1195" s="62"/>
      <c r="N1195" s="62"/>
      <c r="O1195" s="62"/>
      <c r="P1195" s="62"/>
      <c r="Q1195" s="62"/>
    </row>
    <row r="1196" spans="1:17">
      <c r="A1196" s="62"/>
      <c r="B1196" s="62"/>
      <c r="C1196" s="62"/>
      <c r="D1196" s="62"/>
      <c r="E1196" s="62"/>
      <c r="F1196" s="62"/>
      <c r="G1196" s="62"/>
      <c r="H1196" s="62" t="str">
        <f>IF(AND('Data Export'!A1196=前十整体车型排名!$B$2,'Data Export'!B1196=前十整体车型排名!$B$3,'Data Export'!D1196&lt;&gt;""),UPPER('Data Export'!C1196)&amp;"♦"&amp;'Data Export'!D1196,"")</f>
        <v/>
      </c>
      <c r="I1196" s="63" t="str">
        <f>IF(H1196="","",IFERROR(INDEX('Data Export'!G1196:CZ1196,1,MATCH(前十整体车型排名!$B$4,'Data Export'!$G$1:$CZ$1,0)),0))</f>
        <v/>
      </c>
      <c r="J1196" s="62" t="str">
        <f>IF(H1196="","",IF(OR('Data Export'!F1196="三厢轿车",'Data Export'!F1196="掀背轿车",'Data Export'!F1196="旅行车",'Data Export'!F1196="微型车",'Data Export'!F1196="硬顶跑车",'Data Export'!F1196="敞蓬车",'Data Export'!F1196="Targa"),"轿车",IF(OR('Data Export'!F1196="小型MPV",'Data Export'!F1196="客车"),"MPV",IF('Data Export'!F1196="运动型多功能车","SUV","其他"))))</f>
        <v/>
      </c>
      <c r="K1196" s="62"/>
      <c r="L1196" s="62"/>
      <c r="M1196" s="62"/>
      <c r="N1196" s="62"/>
      <c r="O1196" s="62"/>
      <c r="P1196" s="62"/>
      <c r="Q1196" s="62"/>
    </row>
    <row r="1197" spans="1:17">
      <c r="A1197" s="62"/>
      <c r="B1197" s="62"/>
      <c r="C1197" s="62"/>
      <c r="D1197" s="62"/>
      <c r="E1197" s="62"/>
      <c r="F1197" s="62"/>
      <c r="G1197" s="62"/>
      <c r="H1197" s="62" t="str">
        <f>IF(AND('Data Export'!A1197=前十整体车型排名!$B$2,'Data Export'!B1197=前十整体车型排名!$B$3,'Data Export'!D1197&lt;&gt;""),UPPER('Data Export'!C1197)&amp;"♦"&amp;'Data Export'!D1197,"")</f>
        <v/>
      </c>
      <c r="I1197" s="63" t="str">
        <f>IF(H1197="","",IFERROR(INDEX('Data Export'!G1197:CZ1197,1,MATCH(前十整体车型排名!$B$4,'Data Export'!$G$1:$CZ$1,0)),0))</f>
        <v/>
      </c>
      <c r="J1197" s="62" t="str">
        <f>IF(H1197="","",IF(OR('Data Export'!F1197="三厢轿车",'Data Export'!F1197="掀背轿车",'Data Export'!F1197="旅行车",'Data Export'!F1197="微型车",'Data Export'!F1197="硬顶跑车",'Data Export'!F1197="敞蓬车",'Data Export'!F1197="Targa"),"轿车",IF(OR('Data Export'!F1197="小型MPV",'Data Export'!F1197="客车"),"MPV",IF('Data Export'!F1197="运动型多功能车","SUV","其他"))))</f>
        <v/>
      </c>
      <c r="K1197" s="62"/>
      <c r="L1197" s="62"/>
      <c r="M1197" s="62"/>
      <c r="N1197" s="62"/>
      <c r="O1197" s="62"/>
      <c r="P1197" s="62"/>
      <c r="Q1197" s="62"/>
    </row>
    <row r="1198" spans="1:17">
      <c r="A1198" s="62"/>
      <c r="B1198" s="62"/>
      <c r="C1198" s="62"/>
      <c r="D1198" s="62"/>
      <c r="E1198" s="62"/>
      <c r="F1198" s="62"/>
      <c r="G1198" s="62"/>
      <c r="H1198" s="62" t="str">
        <f>IF(AND('Data Export'!A1198=前十整体车型排名!$B$2,'Data Export'!B1198=前十整体车型排名!$B$3,'Data Export'!D1198&lt;&gt;""),UPPER('Data Export'!C1198)&amp;"♦"&amp;'Data Export'!D1198,"")</f>
        <v/>
      </c>
      <c r="I1198" s="63" t="str">
        <f>IF(H1198="","",IFERROR(INDEX('Data Export'!G1198:CZ1198,1,MATCH(前十整体车型排名!$B$4,'Data Export'!$G$1:$CZ$1,0)),0))</f>
        <v/>
      </c>
      <c r="J1198" s="62" t="str">
        <f>IF(H1198="","",IF(OR('Data Export'!F1198="三厢轿车",'Data Export'!F1198="掀背轿车",'Data Export'!F1198="旅行车",'Data Export'!F1198="微型车",'Data Export'!F1198="硬顶跑车",'Data Export'!F1198="敞蓬车",'Data Export'!F1198="Targa"),"轿车",IF(OR('Data Export'!F1198="小型MPV",'Data Export'!F1198="客车"),"MPV",IF('Data Export'!F1198="运动型多功能车","SUV","其他"))))</f>
        <v/>
      </c>
      <c r="K1198" s="62"/>
      <c r="L1198" s="62"/>
      <c r="M1198" s="62"/>
      <c r="N1198" s="62"/>
      <c r="O1198" s="62"/>
      <c r="P1198" s="62"/>
      <c r="Q1198" s="62"/>
    </row>
    <row r="1199" spans="1:17">
      <c r="A1199" s="62"/>
      <c r="B1199" s="62"/>
      <c r="C1199" s="62"/>
      <c r="D1199" s="62"/>
      <c r="E1199" s="62"/>
      <c r="F1199" s="62"/>
      <c r="G1199" s="62"/>
      <c r="H1199" s="62" t="str">
        <f>IF(AND('Data Export'!A1199=前十整体车型排名!$B$2,'Data Export'!B1199=前十整体车型排名!$B$3,'Data Export'!D1199&lt;&gt;""),UPPER('Data Export'!C1199)&amp;"♦"&amp;'Data Export'!D1199,"")</f>
        <v/>
      </c>
      <c r="I1199" s="63" t="str">
        <f>IF(H1199="","",IFERROR(INDEX('Data Export'!G1199:CZ1199,1,MATCH(前十整体车型排名!$B$4,'Data Export'!$G$1:$CZ$1,0)),0))</f>
        <v/>
      </c>
      <c r="J1199" s="62" t="str">
        <f>IF(H1199="","",IF(OR('Data Export'!F1199="三厢轿车",'Data Export'!F1199="掀背轿车",'Data Export'!F1199="旅行车",'Data Export'!F1199="微型车",'Data Export'!F1199="硬顶跑车",'Data Export'!F1199="敞蓬车",'Data Export'!F1199="Targa"),"轿车",IF(OR('Data Export'!F1199="小型MPV",'Data Export'!F1199="客车"),"MPV",IF('Data Export'!F1199="运动型多功能车","SUV","其他"))))</f>
        <v/>
      </c>
      <c r="K1199" s="62"/>
      <c r="L1199" s="62"/>
      <c r="M1199" s="62"/>
      <c r="N1199" s="62"/>
      <c r="O1199" s="62"/>
      <c r="P1199" s="62"/>
      <c r="Q1199" s="62"/>
    </row>
    <row r="1200" spans="1:17">
      <c r="A1200" s="62"/>
      <c r="B1200" s="62"/>
      <c r="C1200" s="62"/>
      <c r="D1200" s="62"/>
      <c r="E1200" s="62"/>
      <c r="F1200" s="62"/>
      <c r="G1200" s="62"/>
      <c r="H1200" s="62" t="str">
        <f>IF(AND('Data Export'!A1200=前十整体车型排名!$B$2,'Data Export'!B1200=前十整体车型排名!$B$3,'Data Export'!D1200&lt;&gt;""),UPPER('Data Export'!C1200)&amp;"♦"&amp;'Data Export'!D1200,"")</f>
        <v/>
      </c>
      <c r="I1200" s="63" t="str">
        <f>IF(H1200="","",IFERROR(INDEX('Data Export'!G1200:CZ1200,1,MATCH(前十整体车型排名!$B$4,'Data Export'!$G$1:$CZ$1,0)),0))</f>
        <v/>
      </c>
      <c r="J1200" s="62" t="str">
        <f>IF(H1200="","",IF(OR('Data Export'!F1200="三厢轿车",'Data Export'!F1200="掀背轿车",'Data Export'!F1200="旅行车",'Data Export'!F1200="微型车",'Data Export'!F1200="硬顶跑车",'Data Export'!F1200="敞蓬车",'Data Export'!F1200="Targa"),"轿车",IF(OR('Data Export'!F1200="小型MPV",'Data Export'!F1200="客车"),"MPV",IF('Data Export'!F1200="运动型多功能车","SUV","其他"))))</f>
        <v/>
      </c>
      <c r="K1200" s="62"/>
      <c r="L1200" s="62"/>
      <c r="M1200" s="62"/>
      <c r="N1200" s="62"/>
      <c r="O1200" s="62"/>
      <c r="P1200" s="62"/>
      <c r="Q1200" s="62"/>
    </row>
    <row r="1201" spans="1:17">
      <c r="A1201" s="62"/>
      <c r="B1201" s="62"/>
      <c r="C1201" s="62"/>
      <c r="D1201" s="62"/>
      <c r="E1201" s="62"/>
      <c r="F1201" s="62"/>
      <c r="G1201" s="62"/>
      <c r="H1201" s="62" t="str">
        <f>IF(AND('Data Export'!A1201=前十整体车型排名!$B$2,'Data Export'!B1201=前十整体车型排名!$B$3,'Data Export'!D1201&lt;&gt;""),UPPER('Data Export'!C1201)&amp;"♦"&amp;'Data Export'!D1201,"")</f>
        <v/>
      </c>
      <c r="I1201" s="63" t="str">
        <f>IF(H1201="","",IFERROR(INDEX('Data Export'!G1201:CZ1201,1,MATCH(前十整体车型排名!$B$4,'Data Export'!$G$1:$CZ$1,0)),0))</f>
        <v/>
      </c>
      <c r="J1201" s="62" t="str">
        <f>IF(H1201="","",IF(OR('Data Export'!F1201="三厢轿车",'Data Export'!F1201="掀背轿车",'Data Export'!F1201="旅行车",'Data Export'!F1201="微型车",'Data Export'!F1201="硬顶跑车",'Data Export'!F1201="敞蓬车",'Data Export'!F1201="Targa"),"轿车",IF(OR('Data Export'!F1201="小型MPV",'Data Export'!F1201="客车"),"MPV",IF('Data Export'!F1201="运动型多功能车","SUV","其他"))))</f>
        <v/>
      </c>
      <c r="K1201" s="62"/>
      <c r="L1201" s="62"/>
      <c r="M1201" s="62"/>
      <c r="N1201" s="62"/>
      <c r="O1201" s="62"/>
      <c r="P1201" s="62"/>
      <c r="Q1201" s="62"/>
    </row>
    <row r="1202" spans="1:17">
      <c r="A1202" s="62"/>
      <c r="B1202" s="62"/>
      <c r="C1202" s="62"/>
      <c r="D1202" s="62"/>
      <c r="E1202" s="62"/>
      <c r="F1202" s="62"/>
      <c r="G1202" s="62"/>
      <c r="H1202" s="62" t="str">
        <f>IF(AND('Data Export'!A1202=前十整体车型排名!$B$2,'Data Export'!B1202=前十整体车型排名!$B$3,'Data Export'!D1202&lt;&gt;""),UPPER('Data Export'!C1202)&amp;"♦"&amp;'Data Export'!D1202,"")</f>
        <v/>
      </c>
      <c r="I1202" s="63" t="str">
        <f>IF(H1202="","",IFERROR(INDEX('Data Export'!G1202:CZ1202,1,MATCH(前十整体车型排名!$B$4,'Data Export'!$G$1:$CZ$1,0)),0))</f>
        <v/>
      </c>
      <c r="J1202" s="62" t="str">
        <f>IF(H1202="","",IF(OR('Data Export'!F1202="三厢轿车",'Data Export'!F1202="掀背轿车",'Data Export'!F1202="旅行车",'Data Export'!F1202="微型车",'Data Export'!F1202="硬顶跑车",'Data Export'!F1202="敞蓬车",'Data Export'!F1202="Targa"),"轿车",IF(OR('Data Export'!F1202="小型MPV",'Data Export'!F1202="客车"),"MPV",IF('Data Export'!F1202="运动型多功能车","SUV","其他"))))</f>
        <v/>
      </c>
      <c r="K1202" s="62"/>
      <c r="L1202" s="62"/>
      <c r="M1202" s="62"/>
      <c r="N1202" s="62"/>
      <c r="O1202" s="62"/>
      <c r="P1202" s="62"/>
      <c r="Q1202" s="62"/>
    </row>
    <row r="1203" spans="1:17">
      <c r="A1203" s="62"/>
      <c r="B1203" s="62"/>
      <c r="C1203" s="62"/>
      <c r="D1203" s="62"/>
      <c r="E1203" s="62"/>
      <c r="F1203" s="62"/>
      <c r="G1203" s="62"/>
      <c r="H1203" s="62" t="str">
        <f>IF(AND('Data Export'!A1203=前十整体车型排名!$B$2,'Data Export'!B1203=前十整体车型排名!$B$3,'Data Export'!D1203&lt;&gt;""),UPPER('Data Export'!C1203)&amp;"♦"&amp;'Data Export'!D1203,"")</f>
        <v/>
      </c>
      <c r="I1203" s="63" t="str">
        <f>IF(H1203="","",IFERROR(INDEX('Data Export'!G1203:CZ1203,1,MATCH(前十整体车型排名!$B$4,'Data Export'!$G$1:$CZ$1,0)),0))</f>
        <v/>
      </c>
      <c r="J1203" s="62" t="str">
        <f>IF(H1203="","",IF(OR('Data Export'!F1203="三厢轿车",'Data Export'!F1203="掀背轿车",'Data Export'!F1203="旅行车",'Data Export'!F1203="微型车",'Data Export'!F1203="硬顶跑车",'Data Export'!F1203="敞蓬车",'Data Export'!F1203="Targa"),"轿车",IF(OR('Data Export'!F1203="小型MPV",'Data Export'!F1203="客车"),"MPV",IF('Data Export'!F1203="运动型多功能车","SUV","其他"))))</f>
        <v/>
      </c>
      <c r="K1203" s="62"/>
      <c r="L1203" s="62"/>
      <c r="M1203" s="62"/>
      <c r="N1203" s="62"/>
      <c r="O1203" s="62"/>
      <c r="P1203" s="62"/>
      <c r="Q1203" s="62"/>
    </row>
    <row r="1204" spans="1:17">
      <c r="A1204" s="62"/>
      <c r="B1204" s="62"/>
      <c r="C1204" s="62"/>
      <c r="D1204" s="62"/>
      <c r="E1204" s="62"/>
      <c r="F1204" s="62"/>
      <c r="G1204" s="62"/>
      <c r="H1204" s="62" t="str">
        <f>IF(AND('Data Export'!A1204=前十整体车型排名!$B$2,'Data Export'!B1204=前十整体车型排名!$B$3,'Data Export'!D1204&lt;&gt;""),UPPER('Data Export'!C1204)&amp;"♦"&amp;'Data Export'!D1204,"")</f>
        <v/>
      </c>
      <c r="I1204" s="63" t="str">
        <f>IF(H1204="","",IFERROR(INDEX('Data Export'!G1204:CZ1204,1,MATCH(前十整体车型排名!$B$4,'Data Export'!$G$1:$CZ$1,0)),0))</f>
        <v/>
      </c>
      <c r="J1204" s="62" t="str">
        <f>IF(H1204="","",IF(OR('Data Export'!F1204="三厢轿车",'Data Export'!F1204="掀背轿车",'Data Export'!F1204="旅行车",'Data Export'!F1204="微型车",'Data Export'!F1204="硬顶跑车",'Data Export'!F1204="敞蓬车",'Data Export'!F1204="Targa"),"轿车",IF(OR('Data Export'!F1204="小型MPV",'Data Export'!F1204="客车"),"MPV",IF('Data Export'!F1204="运动型多功能车","SUV","其他"))))</f>
        <v/>
      </c>
      <c r="K1204" s="62"/>
      <c r="L1204" s="62"/>
      <c r="M1204" s="62"/>
      <c r="N1204" s="62"/>
      <c r="O1204" s="62"/>
      <c r="P1204" s="62"/>
      <c r="Q1204" s="62"/>
    </row>
    <row r="1205" spans="1:17">
      <c r="A1205" s="62"/>
      <c r="B1205" s="62"/>
      <c r="C1205" s="62"/>
      <c r="D1205" s="62"/>
      <c r="E1205" s="62"/>
      <c r="F1205" s="62"/>
      <c r="G1205" s="62"/>
      <c r="H1205" s="62" t="str">
        <f>IF(AND('Data Export'!A1205=前十整体车型排名!$B$2,'Data Export'!B1205=前十整体车型排名!$B$3,'Data Export'!D1205&lt;&gt;""),UPPER('Data Export'!C1205)&amp;"♦"&amp;'Data Export'!D1205,"")</f>
        <v/>
      </c>
      <c r="I1205" s="63" t="str">
        <f>IF(H1205="","",IFERROR(INDEX('Data Export'!G1205:CZ1205,1,MATCH(前十整体车型排名!$B$4,'Data Export'!$G$1:$CZ$1,0)),0))</f>
        <v/>
      </c>
      <c r="J1205" s="62" t="str">
        <f>IF(H1205="","",IF(OR('Data Export'!F1205="三厢轿车",'Data Export'!F1205="掀背轿车",'Data Export'!F1205="旅行车",'Data Export'!F1205="微型车",'Data Export'!F1205="硬顶跑车",'Data Export'!F1205="敞蓬车",'Data Export'!F1205="Targa"),"轿车",IF(OR('Data Export'!F1205="小型MPV",'Data Export'!F1205="客车"),"MPV",IF('Data Export'!F1205="运动型多功能车","SUV","其他"))))</f>
        <v/>
      </c>
      <c r="K1205" s="62"/>
      <c r="L1205" s="62"/>
      <c r="M1205" s="62"/>
      <c r="N1205" s="62"/>
      <c r="O1205" s="62"/>
      <c r="P1205" s="62"/>
      <c r="Q1205" s="62"/>
    </row>
    <row r="1206" spans="1:17">
      <c r="A1206" s="62"/>
      <c r="B1206" s="62"/>
      <c r="C1206" s="62"/>
      <c r="D1206" s="62"/>
      <c r="E1206" s="62"/>
      <c r="F1206" s="62"/>
      <c r="G1206" s="62"/>
      <c r="H1206" s="62" t="str">
        <f>IF(AND('Data Export'!A1206=前十整体车型排名!$B$2,'Data Export'!B1206=前十整体车型排名!$B$3,'Data Export'!D1206&lt;&gt;""),UPPER('Data Export'!C1206)&amp;"♦"&amp;'Data Export'!D1206,"")</f>
        <v/>
      </c>
      <c r="I1206" s="63" t="str">
        <f>IF(H1206="","",IFERROR(INDEX('Data Export'!G1206:CZ1206,1,MATCH(前十整体车型排名!$B$4,'Data Export'!$G$1:$CZ$1,0)),0))</f>
        <v/>
      </c>
      <c r="J1206" s="62" t="str">
        <f>IF(H1206="","",IF(OR('Data Export'!F1206="三厢轿车",'Data Export'!F1206="掀背轿车",'Data Export'!F1206="旅行车",'Data Export'!F1206="微型车",'Data Export'!F1206="硬顶跑车",'Data Export'!F1206="敞蓬车",'Data Export'!F1206="Targa"),"轿车",IF(OR('Data Export'!F1206="小型MPV",'Data Export'!F1206="客车"),"MPV",IF('Data Export'!F1206="运动型多功能车","SUV","其他"))))</f>
        <v/>
      </c>
      <c r="K1206" s="62"/>
      <c r="L1206" s="62"/>
      <c r="M1206" s="62"/>
      <c r="N1206" s="62"/>
      <c r="O1206" s="62"/>
      <c r="P1206" s="62"/>
      <c r="Q1206" s="62"/>
    </row>
    <row r="1207" spans="1:17">
      <c r="A1207" s="62"/>
      <c r="B1207" s="62"/>
      <c r="C1207" s="62"/>
      <c r="D1207" s="62"/>
      <c r="E1207" s="62"/>
      <c r="F1207" s="62"/>
      <c r="G1207" s="62"/>
      <c r="H1207" s="62" t="str">
        <f>IF(AND('Data Export'!A1207=前十整体车型排名!$B$2,'Data Export'!B1207=前十整体车型排名!$B$3,'Data Export'!D1207&lt;&gt;""),UPPER('Data Export'!C1207)&amp;"♦"&amp;'Data Export'!D1207,"")</f>
        <v/>
      </c>
      <c r="I1207" s="63" t="str">
        <f>IF(H1207="","",IFERROR(INDEX('Data Export'!G1207:CZ1207,1,MATCH(前十整体车型排名!$B$4,'Data Export'!$G$1:$CZ$1,0)),0))</f>
        <v/>
      </c>
      <c r="J1207" s="62" t="str">
        <f>IF(H1207="","",IF(OR('Data Export'!F1207="三厢轿车",'Data Export'!F1207="掀背轿车",'Data Export'!F1207="旅行车",'Data Export'!F1207="微型车",'Data Export'!F1207="硬顶跑车",'Data Export'!F1207="敞蓬车",'Data Export'!F1207="Targa"),"轿车",IF(OR('Data Export'!F1207="小型MPV",'Data Export'!F1207="客车"),"MPV",IF('Data Export'!F1207="运动型多功能车","SUV","其他"))))</f>
        <v/>
      </c>
      <c r="K1207" s="62"/>
      <c r="L1207" s="62"/>
      <c r="M1207" s="62"/>
      <c r="N1207" s="62"/>
      <c r="O1207" s="62"/>
      <c r="P1207" s="62"/>
      <c r="Q1207" s="62"/>
    </row>
    <row r="1208" spans="1:17">
      <c r="A1208" s="62"/>
      <c r="B1208" s="62"/>
      <c r="C1208" s="62"/>
      <c r="D1208" s="62"/>
      <c r="E1208" s="62"/>
      <c r="F1208" s="62"/>
      <c r="G1208" s="62"/>
      <c r="H1208" s="62" t="str">
        <f>IF(AND('Data Export'!A1208=前十整体车型排名!$B$2,'Data Export'!B1208=前十整体车型排名!$B$3,'Data Export'!D1208&lt;&gt;""),UPPER('Data Export'!C1208)&amp;"♦"&amp;'Data Export'!D1208,"")</f>
        <v/>
      </c>
      <c r="I1208" s="63" t="str">
        <f>IF(H1208="","",IFERROR(INDEX('Data Export'!G1208:CZ1208,1,MATCH(前十整体车型排名!$B$4,'Data Export'!$G$1:$CZ$1,0)),0))</f>
        <v/>
      </c>
      <c r="J1208" s="62" t="str">
        <f>IF(H1208="","",IF(OR('Data Export'!F1208="三厢轿车",'Data Export'!F1208="掀背轿车",'Data Export'!F1208="旅行车",'Data Export'!F1208="微型车",'Data Export'!F1208="硬顶跑车",'Data Export'!F1208="敞蓬车",'Data Export'!F1208="Targa"),"轿车",IF(OR('Data Export'!F1208="小型MPV",'Data Export'!F1208="客车"),"MPV",IF('Data Export'!F1208="运动型多功能车","SUV","其他"))))</f>
        <v/>
      </c>
      <c r="K1208" s="62"/>
      <c r="L1208" s="62"/>
      <c r="M1208" s="62"/>
      <c r="N1208" s="62"/>
      <c r="O1208" s="62"/>
      <c r="P1208" s="62"/>
      <c r="Q1208" s="62"/>
    </row>
    <row r="1209" spans="1:17">
      <c r="A1209" s="62"/>
      <c r="B1209" s="62"/>
      <c r="C1209" s="62"/>
      <c r="D1209" s="62"/>
      <c r="E1209" s="62"/>
      <c r="F1209" s="62"/>
      <c r="G1209" s="62"/>
      <c r="H1209" s="62" t="str">
        <f>IF(AND('Data Export'!A1209=前十整体车型排名!$B$2,'Data Export'!B1209=前十整体车型排名!$B$3,'Data Export'!D1209&lt;&gt;""),UPPER('Data Export'!C1209)&amp;"♦"&amp;'Data Export'!D1209,"")</f>
        <v/>
      </c>
      <c r="I1209" s="63" t="str">
        <f>IF(H1209="","",IFERROR(INDEX('Data Export'!G1209:CZ1209,1,MATCH(前十整体车型排名!$B$4,'Data Export'!$G$1:$CZ$1,0)),0))</f>
        <v/>
      </c>
      <c r="J1209" s="62" t="str">
        <f>IF(H1209="","",IF(OR('Data Export'!F1209="三厢轿车",'Data Export'!F1209="掀背轿车",'Data Export'!F1209="旅行车",'Data Export'!F1209="微型车",'Data Export'!F1209="硬顶跑车",'Data Export'!F1209="敞蓬车",'Data Export'!F1209="Targa"),"轿车",IF(OR('Data Export'!F1209="小型MPV",'Data Export'!F1209="客车"),"MPV",IF('Data Export'!F1209="运动型多功能车","SUV","其他"))))</f>
        <v/>
      </c>
      <c r="K1209" s="62"/>
      <c r="L1209" s="62"/>
      <c r="M1209" s="62"/>
      <c r="N1209" s="62"/>
      <c r="O1209" s="62"/>
      <c r="P1209" s="62"/>
      <c r="Q1209" s="62"/>
    </row>
    <row r="1210" spans="1:17">
      <c r="A1210" s="62"/>
      <c r="B1210" s="62"/>
      <c r="C1210" s="62"/>
      <c r="D1210" s="62"/>
      <c r="E1210" s="62"/>
      <c r="F1210" s="62"/>
      <c r="G1210" s="62"/>
      <c r="H1210" s="62" t="str">
        <f>IF(AND('Data Export'!A1210=前十整体车型排名!$B$2,'Data Export'!B1210=前十整体车型排名!$B$3,'Data Export'!D1210&lt;&gt;""),UPPER('Data Export'!C1210)&amp;"♦"&amp;'Data Export'!D1210,"")</f>
        <v/>
      </c>
      <c r="I1210" s="63" t="str">
        <f>IF(H1210="","",IFERROR(INDEX('Data Export'!G1210:CZ1210,1,MATCH(前十整体车型排名!$B$4,'Data Export'!$G$1:$CZ$1,0)),0))</f>
        <v/>
      </c>
      <c r="J1210" s="62" t="str">
        <f>IF(H1210="","",IF(OR('Data Export'!F1210="三厢轿车",'Data Export'!F1210="掀背轿车",'Data Export'!F1210="旅行车",'Data Export'!F1210="微型车",'Data Export'!F1210="硬顶跑车",'Data Export'!F1210="敞蓬车",'Data Export'!F1210="Targa"),"轿车",IF(OR('Data Export'!F1210="小型MPV",'Data Export'!F1210="客车"),"MPV",IF('Data Export'!F1210="运动型多功能车","SUV","其他"))))</f>
        <v/>
      </c>
      <c r="K1210" s="62"/>
      <c r="L1210" s="62"/>
      <c r="M1210" s="62"/>
      <c r="N1210" s="62"/>
      <c r="O1210" s="62"/>
      <c r="P1210" s="62"/>
      <c r="Q1210" s="62"/>
    </row>
    <row r="1211" spans="1:17">
      <c r="A1211" s="62"/>
      <c r="B1211" s="62"/>
      <c r="C1211" s="62"/>
      <c r="D1211" s="62"/>
      <c r="E1211" s="62"/>
      <c r="F1211" s="62"/>
      <c r="G1211" s="62"/>
      <c r="H1211" s="62" t="str">
        <f>IF(AND('Data Export'!A1211=前十整体车型排名!$B$2,'Data Export'!B1211=前十整体车型排名!$B$3,'Data Export'!D1211&lt;&gt;""),UPPER('Data Export'!C1211)&amp;"♦"&amp;'Data Export'!D1211,"")</f>
        <v/>
      </c>
      <c r="I1211" s="63" t="str">
        <f>IF(H1211="","",IFERROR(INDEX('Data Export'!G1211:CZ1211,1,MATCH(前十整体车型排名!$B$4,'Data Export'!$G$1:$CZ$1,0)),0))</f>
        <v/>
      </c>
      <c r="J1211" s="62" t="str">
        <f>IF(H1211="","",IF(OR('Data Export'!F1211="三厢轿车",'Data Export'!F1211="掀背轿车",'Data Export'!F1211="旅行车",'Data Export'!F1211="微型车",'Data Export'!F1211="硬顶跑车",'Data Export'!F1211="敞蓬车",'Data Export'!F1211="Targa"),"轿车",IF(OR('Data Export'!F1211="小型MPV",'Data Export'!F1211="客车"),"MPV",IF('Data Export'!F1211="运动型多功能车","SUV","其他"))))</f>
        <v/>
      </c>
      <c r="K1211" s="62"/>
      <c r="L1211" s="62"/>
      <c r="M1211" s="62"/>
      <c r="N1211" s="62"/>
      <c r="O1211" s="62"/>
      <c r="P1211" s="62"/>
      <c r="Q1211" s="62"/>
    </row>
    <row r="1212" spans="1:17">
      <c r="A1212" s="62"/>
      <c r="B1212" s="62"/>
      <c r="C1212" s="62"/>
      <c r="D1212" s="62"/>
      <c r="E1212" s="62"/>
      <c r="F1212" s="62"/>
      <c r="G1212" s="62"/>
      <c r="H1212" s="62" t="str">
        <f>IF(AND('Data Export'!A1212=前十整体车型排名!$B$2,'Data Export'!B1212=前十整体车型排名!$B$3,'Data Export'!D1212&lt;&gt;""),UPPER('Data Export'!C1212)&amp;"♦"&amp;'Data Export'!D1212,"")</f>
        <v/>
      </c>
      <c r="I1212" s="63" t="str">
        <f>IF(H1212="","",IFERROR(INDEX('Data Export'!G1212:CZ1212,1,MATCH(前十整体车型排名!$B$4,'Data Export'!$G$1:$CZ$1,0)),0))</f>
        <v/>
      </c>
      <c r="J1212" s="62" t="str">
        <f>IF(H1212="","",IF(OR('Data Export'!F1212="三厢轿车",'Data Export'!F1212="掀背轿车",'Data Export'!F1212="旅行车",'Data Export'!F1212="微型车",'Data Export'!F1212="硬顶跑车",'Data Export'!F1212="敞蓬车",'Data Export'!F1212="Targa"),"轿车",IF(OR('Data Export'!F1212="小型MPV",'Data Export'!F1212="客车"),"MPV",IF('Data Export'!F1212="运动型多功能车","SUV","其他"))))</f>
        <v/>
      </c>
      <c r="K1212" s="62"/>
      <c r="L1212" s="62"/>
      <c r="M1212" s="62"/>
      <c r="N1212" s="62"/>
      <c r="O1212" s="62"/>
      <c r="P1212" s="62"/>
      <c r="Q1212" s="62"/>
    </row>
    <row r="1213" spans="1:17">
      <c r="A1213" s="62"/>
      <c r="B1213" s="62"/>
      <c r="C1213" s="62"/>
      <c r="D1213" s="62"/>
      <c r="E1213" s="62"/>
      <c r="F1213" s="62"/>
      <c r="G1213" s="62"/>
      <c r="H1213" s="62" t="str">
        <f>IF(AND('Data Export'!A1213=前十整体车型排名!$B$2,'Data Export'!B1213=前十整体车型排名!$B$3,'Data Export'!D1213&lt;&gt;""),UPPER('Data Export'!C1213)&amp;"♦"&amp;'Data Export'!D1213,"")</f>
        <v/>
      </c>
      <c r="I1213" s="63" t="str">
        <f>IF(H1213="","",IFERROR(INDEX('Data Export'!G1213:CZ1213,1,MATCH(前十整体车型排名!$B$4,'Data Export'!$G$1:$CZ$1,0)),0))</f>
        <v/>
      </c>
      <c r="J1213" s="62" t="str">
        <f>IF(H1213="","",IF(OR('Data Export'!F1213="三厢轿车",'Data Export'!F1213="掀背轿车",'Data Export'!F1213="旅行车",'Data Export'!F1213="微型车",'Data Export'!F1213="硬顶跑车",'Data Export'!F1213="敞蓬车",'Data Export'!F1213="Targa"),"轿车",IF(OR('Data Export'!F1213="小型MPV",'Data Export'!F1213="客车"),"MPV",IF('Data Export'!F1213="运动型多功能车","SUV","其他"))))</f>
        <v/>
      </c>
      <c r="K1213" s="62"/>
      <c r="L1213" s="62"/>
      <c r="M1213" s="62"/>
      <c r="N1213" s="62"/>
      <c r="O1213" s="62"/>
      <c r="P1213" s="62"/>
      <c r="Q1213" s="62"/>
    </row>
    <row r="1214" spans="1:17">
      <c r="A1214" s="62"/>
      <c r="B1214" s="62"/>
      <c r="C1214" s="62"/>
      <c r="D1214" s="62"/>
      <c r="E1214" s="62"/>
      <c r="F1214" s="62"/>
      <c r="G1214" s="62"/>
      <c r="H1214" s="62" t="str">
        <f>IF(AND('Data Export'!A1214=前十整体车型排名!$B$2,'Data Export'!B1214=前十整体车型排名!$B$3,'Data Export'!D1214&lt;&gt;""),UPPER('Data Export'!C1214)&amp;"♦"&amp;'Data Export'!D1214,"")</f>
        <v/>
      </c>
      <c r="I1214" s="63" t="str">
        <f>IF(H1214="","",IFERROR(INDEX('Data Export'!G1214:CZ1214,1,MATCH(前十整体车型排名!$B$4,'Data Export'!$G$1:$CZ$1,0)),0))</f>
        <v/>
      </c>
      <c r="J1214" s="62" t="str">
        <f>IF(H1214="","",IF(OR('Data Export'!F1214="三厢轿车",'Data Export'!F1214="掀背轿车",'Data Export'!F1214="旅行车",'Data Export'!F1214="微型车",'Data Export'!F1214="硬顶跑车",'Data Export'!F1214="敞蓬车",'Data Export'!F1214="Targa"),"轿车",IF(OR('Data Export'!F1214="小型MPV",'Data Export'!F1214="客车"),"MPV",IF('Data Export'!F1214="运动型多功能车","SUV","其他"))))</f>
        <v/>
      </c>
      <c r="K1214" s="62"/>
      <c r="L1214" s="62"/>
      <c r="M1214" s="62"/>
      <c r="N1214" s="62"/>
      <c r="O1214" s="62"/>
      <c r="P1214" s="62"/>
      <c r="Q1214" s="62"/>
    </row>
    <row r="1215" spans="1:17">
      <c r="A1215" s="62"/>
      <c r="B1215" s="62"/>
      <c r="C1215" s="62"/>
      <c r="D1215" s="62"/>
      <c r="E1215" s="62"/>
      <c r="F1215" s="62"/>
      <c r="G1215" s="62"/>
      <c r="H1215" s="62" t="str">
        <f>IF(AND('Data Export'!A1215=前十整体车型排名!$B$2,'Data Export'!B1215=前十整体车型排名!$B$3,'Data Export'!D1215&lt;&gt;""),UPPER('Data Export'!C1215)&amp;"♦"&amp;'Data Export'!D1215,"")</f>
        <v/>
      </c>
      <c r="I1215" s="63" t="str">
        <f>IF(H1215="","",IFERROR(INDEX('Data Export'!G1215:CZ1215,1,MATCH(前十整体车型排名!$B$4,'Data Export'!$G$1:$CZ$1,0)),0))</f>
        <v/>
      </c>
      <c r="J1215" s="62" t="str">
        <f>IF(H1215="","",IF(OR('Data Export'!F1215="三厢轿车",'Data Export'!F1215="掀背轿车",'Data Export'!F1215="旅行车",'Data Export'!F1215="微型车",'Data Export'!F1215="硬顶跑车",'Data Export'!F1215="敞蓬车",'Data Export'!F1215="Targa"),"轿车",IF(OR('Data Export'!F1215="小型MPV",'Data Export'!F1215="客车"),"MPV",IF('Data Export'!F1215="运动型多功能车","SUV","其他"))))</f>
        <v/>
      </c>
      <c r="K1215" s="62"/>
      <c r="L1215" s="62"/>
      <c r="M1215" s="62"/>
      <c r="N1215" s="62"/>
      <c r="O1215" s="62"/>
      <c r="P1215" s="62"/>
      <c r="Q1215" s="62"/>
    </row>
    <row r="1216" spans="1:17">
      <c r="A1216" s="62"/>
      <c r="B1216" s="62"/>
      <c r="C1216" s="62"/>
      <c r="D1216" s="62"/>
      <c r="E1216" s="62"/>
      <c r="F1216" s="62"/>
      <c r="G1216" s="62"/>
      <c r="H1216" s="62" t="str">
        <f>IF(AND('Data Export'!A1216=前十整体车型排名!$B$2,'Data Export'!B1216=前十整体车型排名!$B$3,'Data Export'!D1216&lt;&gt;""),UPPER('Data Export'!C1216)&amp;"♦"&amp;'Data Export'!D1216,"")</f>
        <v/>
      </c>
      <c r="I1216" s="63" t="str">
        <f>IF(H1216="","",IFERROR(INDEX('Data Export'!G1216:CZ1216,1,MATCH(前十整体车型排名!$B$4,'Data Export'!$G$1:$CZ$1,0)),0))</f>
        <v/>
      </c>
      <c r="J1216" s="62" t="str">
        <f>IF(H1216="","",IF(OR('Data Export'!F1216="三厢轿车",'Data Export'!F1216="掀背轿车",'Data Export'!F1216="旅行车",'Data Export'!F1216="微型车",'Data Export'!F1216="硬顶跑车",'Data Export'!F1216="敞蓬车",'Data Export'!F1216="Targa"),"轿车",IF(OR('Data Export'!F1216="小型MPV",'Data Export'!F1216="客车"),"MPV",IF('Data Export'!F1216="运动型多功能车","SUV","其他"))))</f>
        <v/>
      </c>
      <c r="K1216" s="62"/>
      <c r="L1216" s="62"/>
      <c r="M1216" s="62"/>
      <c r="N1216" s="62"/>
      <c r="O1216" s="62"/>
      <c r="P1216" s="62"/>
      <c r="Q1216" s="62"/>
    </row>
    <row r="1217" spans="1:17">
      <c r="A1217" s="62"/>
      <c r="B1217" s="62"/>
      <c r="C1217" s="62"/>
      <c r="D1217" s="62"/>
      <c r="E1217" s="62"/>
      <c r="F1217" s="62"/>
      <c r="G1217" s="62"/>
      <c r="H1217" s="62" t="str">
        <f>IF(AND('Data Export'!A1217=前十整体车型排名!$B$2,'Data Export'!B1217=前十整体车型排名!$B$3,'Data Export'!D1217&lt;&gt;""),UPPER('Data Export'!C1217)&amp;"♦"&amp;'Data Export'!D1217,"")</f>
        <v/>
      </c>
      <c r="I1217" s="63" t="str">
        <f>IF(H1217="","",IFERROR(INDEX('Data Export'!G1217:CZ1217,1,MATCH(前十整体车型排名!$B$4,'Data Export'!$G$1:$CZ$1,0)),0))</f>
        <v/>
      </c>
      <c r="J1217" s="62" t="str">
        <f>IF(H1217="","",IF(OR('Data Export'!F1217="三厢轿车",'Data Export'!F1217="掀背轿车",'Data Export'!F1217="旅行车",'Data Export'!F1217="微型车",'Data Export'!F1217="硬顶跑车",'Data Export'!F1217="敞蓬车",'Data Export'!F1217="Targa"),"轿车",IF(OR('Data Export'!F1217="小型MPV",'Data Export'!F1217="客车"),"MPV",IF('Data Export'!F1217="运动型多功能车","SUV","其他"))))</f>
        <v/>
      </c>
      <c r="K1217" s="62"/>
      <c r="L1217" s="62"/>
      <c r="M1217" s="62"/>
      <c r="N1217" s="62"/>
      <c r="O1217" s="62"/>
      <c r="P1217" s="62"/>
      <c r="Q1217" s="62"/>
    </row>
    <row r="1218" spans="1:17">
      <c r="A1218" s="62"/>
      <c r="B1218" s="62"/>
      <c r="C1218" s="62"/>
      <c r="D1218" s="62"/>
      <c r="E1218" s="62"/>
      <c r="F1218" s="62"/>
      <c r="G1218" s="62"/>
      <c r="H1218" s="62" t="str">
        <f>IF(AND('Data Export'!A1218=前十整体车型排名!$B$2,'Data Export'!B1218=前十整体车型排名!$B$3,'Data Export'!D1218&lt;&gt;""),UPPER('Data Export'!C1218)&amp;"♦"&amp;'Data Export'!D1218,"")</f>
        <v/>
      </c>
      <c r="I1218" s="63" t="str">
        <f>IF(H1218="","",IFERROR(INDEX('Data Export'!G1218:CZ1218,1,MATCH(前十整体车型排名!$B$4,'Data Export'!$G$1:$CZ$1,0)),0))</f>
        <v/>
      </c>
      <c r="J1218" s="62" t="str">
        <f>IF(H1218="","",IF(OR('Data Export'!F1218="三厢轿车",'Data Export'!F1218="掀背轿车",'Data Export'!F1218="旅行车",'Data Export'!F1218="微型车",'Data Export'!F1218="硬顶跑车",'Data Export'!F1218="敞蓬车",'Data Export'!F1218="Targa"),"轿车",IF(OR('Data Export'!F1218="小型MPV",'Data Export'!F1218="客车"),"MPV",IF('Data Export'!F1218="运动型多功能车","SUV","其他"))))</f>
        <v/>
      </c>
      <c r="K1218" s="62"/>
      <c r="L1218" s="62"/>
      <c r="M1218" s="62"/>
      <c r="N1218" s="62"/>
      <c r="O1218" s="62"/>
      <c r="P1218" s="62"/>
      <c r="Q1218" s="62"/>
    </row>
    <row r="1219" spans="1:17">
      <c r="A1219" s="62"/>
      <c r="B1219" s="62"/>
      <c r="C1219" s="62"/>
      <c r="D1219" s="62"/>
      <c r="E1219" s="62"/>
      <c r="F1219" s="62"/>
      <c r="G1219" s="62"/>
      <c r="H1219" s="62" t="str">
        <f>IF(AND('Data Export'!A1219=前十整体车型排名!$B$2,'Data Export'!B1219=前十整体车型排名!$B$3,'Data Export'!D1219&lt;&gt;""),UPPER('Data Export'!C1219)&amp;"♦"&amp;'Data Export'!D1219,"")</f>
        <v/>
      </c>
      <c r="I1219" s="63" t="str">
        <f>IF(H1219="","",IFERROR(INDEX('Data Export'!G1219:CZ1219,1,MATCH(前十整体车型排名!$B$4,'Data Export'!$G$1:$CZ$1,0)),0))</f>
        <v/>
      </c>
      <c r="J1219" s="62" t="str">
        <f>IF(H1219="","",IF(OR('Data Export'!F1219="三厢轿车",'Data Export'!F1219="掀背轿车",'Data Export'!F1219="旅行车",'Data Export'!F1219="微型车",'Data Export'!F1219="硬顶跑车",'Data Export'!F1219="敞蓬车",'Data Export'!F1219="Targa"),"轿车",IF(OR('Data Export'!F1219="小型MPV",'Data Export'!F1219="客车"),"MPV",IF('Data Export'!F1219="运动型多功能车","SUV","其他"))))</f>
        <v/>
      </c>
      <c r="K1219" s="62"/>
      <c r="L1219" s="62"/>
      <c r="M1219" s="62"/>
      <c r="N1219" s="62"/>
      <c r="O1219" s="62"/>
      <c r="P1219" s="62"/>
      <c r="Q1219" s="62"/>
    </row>
    <row r="1220" spans="1:17">
      <c r="A1220" s="62"/>
      <c r="B1220" s="62"/>
      <c r="C1220" s="62"/>
      <c r="D1220" s="62"/>
      <c r="E1220" s="62"/>
      <c r="F1220" s="62"/>
      <c r="G1220" s="62"/>
      <c r="H1220" s="62" t="str">
        <f>IF(AND('Data Export'!A1220=前十整体车型排名!$B$2,'Data Export'!B1220=前十整体车型排名!$B$3,'Data Export'!D1220&lt;&gt;""),UPPER('Data Export'!C1220)&amp;"♦"&amp;'Data Export'!D1220,"")</f>
        <v/>
      </c>
      <c r="I1220" s="63" t="str">
        <f>IF(H1220="","",IFERROR(INDEX('Data Export'!G1220:CZ1220,1,MATCH(前十整体车型排名!$B$4,'Data Export'!$G$1:$CZ$1,0)),0))</f>
        <v/>
      </c>
      <c r="J1220" s="62" t="str">
        <f>IF(H1220="","",IF(OR('Data Export'!F1220="三厢轿车",'Data Export'!F1220="掀背轿车",'Data Export'!F1220="旅行车",'Data Export'!F1220="微型车",'Data Export'!F1220="硬顶跑车",'Data Export'!F1220="敞蓬车",'Data Export'!F1220="Targa"),"轿车",IF(OR('Data Export'!F1220="小型MPV",'Data Export'!F1220="客车"),"MPV",IF('Data Export'!F1220="运动型多功能车","SUV","其他"))))</f>
        <v/>
      </c>
      <c r="K1220" s="62"/>
      <c r="L1220" s="62"/>
      <c r="M1220" s="62"/>
      <c r="N1220" s="62"/>
      <c r="O1220" s="62"/>
      <c r="P1220" s="62"/>
      <c r="Q1220" s="62"/>
    </row>
    <row r="1221" spans="1:17">
      <c r="A1221" s="62"/>
      <c r="B1221" s="62"/>
      <c r="C1221" s="62"/>
      <c r="D1221" s="62"/>
      <c r="E1221" s="62"/>
      <c r="F1221" s="62"/>
      <c r="G1221" s="62"/>
      <c r="H1221" s="62" t="str">
        <f>IF(AND('Data Export'!A1221=前十整体车型排名!$B$2,'Data Export'!B1221=前十整体车型排名!$B$3,'Data Export'!D1221&lt;&gt;""),UPPER('Data Export'!C1221)&amp;"♦"&amp;'Data Export'!D1221,"")</f>
        <v/>
      </c>
      <c r="I1221" s="63" t="str">
        <f>IF(H1221="","",IFERROR(INDEX('Data Export'!G1221:CZ1221,1,MATCH(前十整体车型排名!$B$4,'Data Export'!$G$1:$CZ$1,0)),0))</f>
        <v/>
      </c>
      <c r="J1221" s="62" t="str">
        <f>IF(H1221="","",IF(OR('Data Export'!F1221="三厢轿车",'Data Export'!F1221="掀背轿车",'Data Export'!F1221="旅行车",'Data Export'!F1221="微型车",'Data Export'!F1221="硬顶跑车",'Data Export'!F1221="敞蓬车",'Data Export'!F1221="Targa"),"轿车",IF(OR('Data Export'!F1221="小型MPV",'Data Export'!F1221="客车"),"MPV",IF('Data Export'!F1221="运动型多功能车","SUV","其他"))))</f>
        <v/>
      </c>
      <c r="K1221" s="62"/>
      <c r="L1221" s="62"/>
      <c r="M1221" s="62"/>
      <c r="N1221" s="62"/>
      <c r="O1221" s="62"/>
      <c r="P1221" s="62"/>
      <c r="Q1221" s="62"/>
    </row>
    <row r="1222" spans="1:17">
      <c r="A1222" s="62"/>
      <c r="B1222" s="62"/>
      <c r="C1222" s="62"/>
      <c r="D1222" s="62"/>
      <c r="E1222" s="62"/>
      <c r="F1222" s="62"/>
      <c r="G1222" s="62"/>
      <c r="H1222" s="62" t="str">
        <f>IF(AND('Data Export'!A1222=前十整体车型排名!$B$2,'Data Export'!B1222=前十整体车型排名!$B$3,'Data Export'!D1222&lt;&gt;""),UPPER('Data Export'!C1222)&amp;"♦"&amp;'Data Export'!D1222,"")</f>
        <v/>
      </c>
      <c r="I1222" s="63" t="str">
        <f>IF(H1222="","",IFERROR(INDEX('Data Export'!G1222:CZ1222,1,MATCH(前十整体车型排名!$B$4,'Data Export'!$G$1:$CZ$1,0)),0))</f>
        <v/>
      </c>
      <c r="J1222" s="62" t="str">
        <f>IF(H1222="","",IF(OR('Data Export'!F1222="三厢轿车",'Data Export'!F1222="掀背轿车",'Data Export'!F1222="旅行车",'Data Export'!F1222="微型车",'Data Export'!F1222="硬顶跑车",'Data Export'!F1222="敞蓬车",'Data Export'!F1222="Targa"),"轿车",IF(OR('Data Export'!F1222="小型MPV",'Data Export'!F1222="客车"),"MPV",IF('Data Export'!F1222="运动型多功能车","SUV","其他"))))</f>
        <v/>
      </c>
      <c r="K1222" s="62"/>
      <c r="L1222" s="62"/>
      <c r="M1222" s="62"/>
      <c r="N1222" s="62"/>
      <c r="O1222" s="62"/>
      <c r="P1222" s="62"/>
      <c r="Q1222" s="62"/>
    </row>
    <row r="1223" spans="1:17">
      <c r="A1223" s="62"/>
      <c r="B1223" s="62"/>
      <c r="C1223" s="62"/>
      <c r="D1223" s="62"/>
      <c r="E1223" s="62"/>
      <c r="F1223" s="62"/>
      <c r="G1223" s="62"/>
      <c r="H1223" s="62" t="str">
        <f>IF(AND('Data Export'!A1223=前十整体车型排名!$B$2,'Data Export'!B1223=前十整体车型排名!$B$3,'Data Export'!D1223&lt;&gt;""),UPPER('Data Export'!C1223)&amp;"♦"&amp;'Data Export'!D1223,"")</f>
        <v/>
      </c>
      <c r="I1223" s="63" t="str">
        <f>IF(H1223="","",IFERROR(INDEX('Data Export'!G1223:CZ1223,1,MATCH(前十整体车型排名!$B$4,'Data Export'!$G$1:$CZ$1,0)),0))</f>
        <v/>
      </c>
      <c r="J1223" s="62" t="str">
        <f>IF(H1223="","",IF(OR('Data Export'!F1223="三厢轿车",'Data Export'!F1223="掀背轿车",'Data Export'!F1223="旅行车",'Data Export'!F1223="微型车",'Data Export'!F1223="硬顶跑车",'Data Export'!F1223="敞蓬车",'Data Export'!F1223="Targa"),"轿车",IF(OR('Data Export'!F1223="小型MPV",'Data Export'!F1223="客车"),"MPV",IF('Data Export'!F1223="运动型多功能车","SUV","其他"))))</f>
        <v/>
      </c>
      <c r="K1223" s="62"/>
      <c r="L1223" s="62"/>
      <c r="M1223" s="62"/>
      <c r="N1223" s="62"/>
      <c r="O1223" s="62"/>
      <c r="P1223" s="62"/>
      <c r="Q1223" s="62"/>
    </row>
    <row r="1224" spans="1:17">
      <c r="A1224" s="62"/>
      <c r="B1224" s="62"/>
      <c r="C1224" s="62"/>
      <c r="D1224" s="62"/>
      <c r="E1224" s="62"/>
      <c r="F1224" s="62"/>
      <c r="G1224" s="62"/>
      <c r="H1224" s="62" t="str">
        <f>IF(AND('Data Export'!A1224=前十整体车型排名!$B$2,'Data Export'!B1224=前十整体车型排名!$B$3,'Data Export'!D1224&lt;&gt;""),UPPER('Data Export'!C1224)&amp;"♦"&amp;'Data Export'!D1224,"")</f>
        <v/>
      </c>
      <c r="I1224" s="63" t="str">
        <f>IF(H1224="","",IFERROR(INDEX('Data Export'!G1224:CZ1224,1,MATCH(前十整体车型排名!$B$4,'Data Export'!$G$1:$CZ$1,0)),0))</f>
        <v/>
      </c>
      <c r="J1224" s="62" t="str">
        <f>IF(H1224="","",IF(OR('Data Export'!F1224="三厢轿车",'Data Export'!F1224="掀背轿车",'Data Export'!F1224="旅行车",'Data Export'!F1224="微型车",'Data Export'!F1224="硬顶跑车",'Data Export'!F1224="敞蓬车",'Data Export'!F1224="Targa"),"轿车",IF(OR('Data Export'!F1224="小型MPV",'Data Export'!F1224="客车"),"MPV",IF('Data Export'!F1224="运动型多功能车","SUV","其他"))))</f>
        <v/>
      </c>
      <c r="K1224" s="62"/>
      <c r="L1224" s="62"/>
      <c r="M1224" s="62"/>
      <c r="N1224" s="62"/>
      <c r="O1224" s="62"/>
      <c r="P1224" s="62"/>
      <c r="Q1224" s="62"/>
    </row>
    <row r="1225" spans="1:17">
      <c r="A1225" s="62"/>
      <c r="B1225" s="62"/>
      <c r="C1225" s="62"/>
      <c r="D1225" s="62"/>
      <c r="E1225" s="62"/>
      <c r="F1225" s="62"/>
      <c r="G1225" s="62"/>
      <c r="H1225" s="62" t="str">
        <f>IF(AND('Data Export'!A1225=前十整体车型排名!$B$2,'Data Export'!B1225=前十整体车型排名!$B$3,'Data Export'!D1225&lt;&gt;""),UPPER('Data Export'!C1225)&amp;"♦"&amp;'Data Export'!D1225,"")</f>
        <v/>
      </c>
      <c r="I1225" s="63" t="str">
        <f>IF(H1225="","",IFERROR(INDEX('Data Export'!G1225:CZ1225,1,MATCH(前十整体车型排名!$B$4,'Data Export'!$G$1:$CZ$1,0)),0))</f>
        <v/>
      </c>
      <c r="J1225" s="62" t="str">
        <f>IF(H1225="","",IF(OR('Data Export'!F1225="三厢轿车",'Data Export'!F1225="掀背轿车",'Data Export'!F1225="旅行车",'Data Export'!F1225="微型车",'Data Export'!F1225="硬顶跑车",'Data Export'!F1225="敞蓬车",'Data Export'!F1225="Targa"),"轿车",IF(OR('Data Export'!F1225="小型MPV",'Data Export'!F1225="客车"),"MPV",IF('Data Export'!F1225="运动型多功能车","SUV","其他"))))</f>
        <v/>
      </c>
      <c r="K1225" s="62"/>
      <c r="L1225" s="62"/>
      <c r="M1225" s="62"/>
      <c r="N1225" s="62"/>
      <c r="O1225" s="62"/>
      <c r="P1225" s="62"/>
      <c r="Q1225" s="62"/>
    </row>
    <row r="1226" spans="1:17">
      <c r="A1226" s="62"/>
      <c r="B1226" s="62"/>
      <c r="C1226" s="62"/>
      <c r="D1226" s="62"/>
      <c r="E1226" s="62"/>
      <c r="F1226" s="62"/>
      <c r="G1226" s="62"/>
      <c r="H1226" s="62" t="str">
        <f>IF(AND('Data Export'!A1226=前十整体车型排名!$B$2,'Data Export'!B1226=前十整体车型排名!$B$3,'Data Export'!D1226&lt;&gt;""),UPPER('Data Export'!C1226)&amp;"♦"&amp;'Data Export'!D1226,"")</f>
        <v/>
      </c>
      <c r="I1226" s="63" t="str">
        <f>IF(H1226="","",IFERROR(INDEX('Data Export'!G1226:CZ1226,1,MATCH(前十整体车型排名!$B$4,'Data Export'!$G$1:$CZ$1,0)),0))</f>
        <v/>
      </c>
      <c r="J1226" s="62" t="str">
        <f>IF(H1226="","",IF(OR('Data Export'!F1226="三厢轿车",'Data Export'!F1226="掀背轿车",'Data Export'!F1226="旅行车",'Data Export'!F1226="微型车",'Data Export'!F1226="硬顶跑车",'Data Export'!F1226="敞蓬车",'Data Export'!F1226="Targa"),"轿车",IF(OR('Data Export'!F1226="小型MPV",'Data Export'!F1226="客车"),"MPV",IF('Data Export'!F1226="运动型多功能车","SUV","其他"))))</f>
        <v/>
      </c>
      <c r="K1226" s="62"/>
      <c r="L1226" s="62"/>
      <c r="M1226" s="62"/>
      <c r="N1226" s="62"/>
      <c r="O1226" s="62"/>
      <c r="P1226" s="62"/>
      <c r="Q1226" s="62"/>
    </row>
    <row r="1227" spans="1:17">
      <c r="A1227" s="62"/>
      <c r="B1227" s="62"/>
      <c r="C1227" s="62"/>
      <c r="D1227" s="62"/>
      <c r="E1227" s="62"/>
      <c r="F1227" s="62"/>
      <c r="G1227" s="62"/>
      <c r="H1227" s="62" t="str">
        <f>IF(AND('Data Export'!A1227=前十整体车型排名!$B$2,'Data Export'!B1227=前十整体车型排名!$B$3,'Data Export'!D1227&lt;&gt;""),UPPER('Data Export'!C1227)&amp;"♦"&amp;'Data Export'!D1227,"")</f>
        <v/>
      </c>
      <c r="I1227" s="63" t="str">
        <f>IF(H1227="","",IFERROR(INDEX('Data Export'!G1227:CZ1227,1,MATCH(前十整体车型排名!$B$4,'Data Export'!$G$1:$CZ$1,0)),0))</f>
        <v/>
      </c>
      <c r="J1227" s="62" t="str">
        <f>IF(H1227="","",IF(OR('Data Export'!F1227="三厢轿车",'Data Export'!F1227="掀背轿车",'Data Export'!F1227="旅行车",'Data Export'!F1227="微型车",'Data Export'!F1227="硬顶跑车",'Data Export'!F1227="敞蓬车",'Data Export'!F1227="Targa"),"轿车",IF(OR('Data Export'!F1227="小型MPV",'Data Export'!F1227="客车"),"MPV",IF('Data Export'!F1227="运动型多功能车","SUV","其他"))))</f>
        <v/>
      </c>
      <c r="K1227" s="62"/>
      <c r="L1227" s="62"/>
      <c r="M1227" s="62"/>
      <c r="N1227" s="62"/>
      <c r="O1227" s="62"/>
      <c r="P1227" s="62"/>
      <c r="Q1227" s="62"/>
    </row>
    <row r="1228" spans="1:17">
      <c r="A1228" s="62"/>
      <c r="B1228" s="62"/>
      <c r="C1228" s="62"/>
      <c r="D1228" s="62"/>
      <c r="E1228" s="62"/>
      <c r="F1228" s="62"/>
      <c r="G1228" s="62"/>
      <c r="H1228" s="62" t="str">
        <f>IF(AND('Data Export'!A1228=前十整体车型排名!$B$2,'Data Export'!B1228=前十整体车型排名!$B$3,'Data Export'!D1228&lt;&gt;""),UPPER('Data Export'!C1228)&amp;"♦"&amp;'Data Export'!D1228,"")</f>
        <v/>
      </c>
      <c r="I1228" s="63" t="str">
        <f>IF(H1228="","",IFERROR(INDEX('Data Export'!G1228:CZ1228,1,MATCH(前十整体车型排名!$B$4,'Data Export'!$G$1:$CZ$1,0)),0))</f>
        <v/>
      </c>
      <c r="J1228" s="62" t="str">
        <f>IF(H1228="","",IF(OR('Data Export'!F1228="三厢轿车",'Data Export'!F1228="掀背轿车",'Data Export'!F1228="旅行车",'Data Export'!F1228="微型车",'Data Export'!F1228="硬顶跑车",'Data Export'!F1228="敞蓬车",'Data Export'!F1228="Targa"),"轿车",IF(OR('Data Export'!F1228="小型MPV",'Data Export'!F1228="客车"),"MPV",IF('Data Export'!F1228="运动型多功能车","SUV","其他"))))</f>
        <v/>
      </c>
      <c r="K1228" s="62"/>
      <c r="L1228" s="62"/>
      <c r="M1228" s="62"/>
      <c r="N1228" s="62"/>
      <c r="O1228" s="62"/>
      <c r="P1228" s="62"/>
      <c r="Q1228" s="62"/>
    </row>
    <row r="1229" spans="1:17">
      <c r="A1229" s="62"/>
      <c r="B1229" s="62"/>
      <c r="C1229" s="62"/>
      <c r="D1229" s="62"/>
      <c r="E1229" s="62"/>
      <c r="F1229" s="62"/>
      <c r="G1229" s="62"/>
      <c r="H1229" s="62" t="str">
        <f>IF(AND('Data Export'!A1229=前十整体车型排名!$B$2,'Data Export'!B1229=前十整体车型排名!$B$3,'Data Export'!D1229&lt;&gt;""),UPPER('Data Export'!C1229)&amp;"♦"&amp;'Data Export'!D1229,"")</f>
        <v/>
      </c>
      <c r="I1229" s="63" t="str">
        <f>IF(H1229="","",IFERROR(INDEX('Data Export'!G1229:CZ1229,1,MATCH(前十整体车型排名!$B$4,'Data Export'!$G$1:$CZ$1,0)),0))</f>
        <v/>
      </c>
      <c r="J1229" s="62" t="str">
        <f>IF(H1229="","",IF(OR('Data Export'!F1229="三厢轿车",'Data Export'!F1229="掀背轿车",'Data Export'!F1229="旅行车",'Data Export'!F1229="微型车",'Data Export'!F1229="硬顶跑车",'Data Export'!F1229="敞蓬车",'Data Export'!F1229="Targa"),"轿车",IF(OR('Data Export'!F1229="小型MPV",'Data Export'!F1229="客车"),"MPV",IF('Data Export'!F1229="运动型多功能车","SUV","其他"))))</f>
        <v/>
      </c>
      <c r="K1229" s="62"/>
      <c r="L1229" s="62"/>
      <c r="M1229" s="62"/>
      <c r="N1229" s="62"/>
      <c r="O1229" s="62"/>
      <c r="P1229" s="62"/>
      <c r="Q1229" s="62"/>
    </row>
    <row r="1230" spans="1:17">
      <c r="A1230" s="62"/>
      <c r="B1230" s="62"/>
      <c r="C1230" s="62"/>
      <c r="D1230" s="62"/>
      <c r="E1230" s="62"/>
      <c r="F1230" s="62"/>
      <c r="G1230" s="62"/>
      <c r="H1230" s="62" t="str">
        <f>IF(AND('Data Export'!A1230=前十整体车型排名!$B$2,'Data Export'!B1230=前十整体车型排名!$B$3,'Data Export'!D1230&lt;&gt;""),UPPER('Data Export'!C1230)&amp;"♦"&amp;'Data Export'!D1230,"")</f>
        <v/>
      </c>
      <c r="I1230" s="63" t="str">
        <f>IF(H1230="","",IFERROR(INDEX('Data Export'!G1230:CZ1230,1,MATCH(前十整体车型排名!$B$4,'Data Export'!$G$1:$CZ$1,0)),0))</f>
        <v/>
      </c>
      <c r="J1230" s="62" t="str">
        <f>IF(H1230="","",IF(OR('Data Export'!F1230="三厢轿车",'Data Export'!F1230="掀背轿车",'Data Export'!F1230="旅行车",'Data Export'!F1230="微型车",'Data Export'!F1230="硬顶跑车",'Data Export'!F1230="敞蓬车",'Data Export'!F1230="Targa"),"轿车",IF(OR('Data Export'!F1230="小型MPV",'Data Export'!F1230="客车"),"MPV",IF('Data Export'!F1230="运动型多功能车","SUV","其他"))))</f>
        <v/>
      </c>
      <c r="K1230" s="62"/>
      <c r="L1230" s="62"/>
      <c r="M1230" s="62"/>
      <c r="N1230" s="62"/>
      <c r="O1230" s="62"/>
      <c r="P1230" s="62"/>
      <c r="Q1230" s="62"/>
    </row>
    <row r="1231" spans="1:17">
      <c r="A1231" s="62"/>
      <c r="B1231" s="62"/>
      <c r="C1231" s="62"/>
      <c r="D1231" s="62"/>
      <c r="E1231" s="62"/>
      <c r="F1231" s="62"/>
      <c r="G1231" s="62"/>
      <c r="H1231" s="62" t="str">
        <f>IF(AND('Data Export'!A1231=前十整体车型排名!$B$2,'Data Export'!B1231=前十整体车型排名!$B$3,'Data Export'!D1231&lt;&gt;""),UPPER('Data Export'!C1231)&amp;"♦"&amp;'Data Export'!D1231,"")</f>
        <v/>
      </c>
      <c r="I1231" s="63" t="str">
        <f>IF(H1231="","",IFERROR(INDEX('Data Export'!G1231:CZ1231,1,MATCH(前十整体车型排名!$B$4,'Data Export'!$G$1:$CZ$1,0)),0))</f>
        <v/>
      </c>
      <c r="J1231" s="62" t="str">
        <f>IF(H1231="","",IF(OR('Data Export'!F1231="三厢轿车",'Data Export'!F1231="掀背轿车",'Data Export'!F1231="旅行车",'Data Export'!F1231="微型车",'Data Export'!F1231="硬顶跑车",'Data Export'!F1231="敞蓬车",'Data Export'!F1231="Targa"),"轿车",IF(OR('Data Export'!F1231="小型MPV",'Data Export'!F1231="客车"),"MPV",IF('Data Export'!F1231="运动型多功能车","SUV","其他"))))</f>
        <v/>
      </c>
      <c r="K1231" s="62"/>
      <c r="L1231" s="62"/>
      <c r="M1231" s="62"/>
      <c r="N1231" s="62"/>
      <c r="O1231" s="62"/>
      <c r="P1231" s="62"/>
      <c r="Q1231" s="62"/>
    </row>
    <row r="1232" spans="1:17">
      <c r="A1232" s="62"/>
      <c r="B1232" s="62"/>
      <c r="C1232" s="62"/>
      <c r="D1232" s="62"/>
      <c r="E1232" s="62"/>
      <c r="F1232" s="62"/>
      <c r="G1232" s="62"/>
      <c r="H1232" s="62" t="str">
        <f>IF(AND('Data Export'!A1232=前十整体车型排名!$B$2,'Data Export'!B1232=前十整体车型排名!$B$3,'Data Export'!D1232&lt;&gt;""),UPPER('Data Export'!C1232)&amp;"♦"&amp;'Data Export'!D1232,"")</f>
        <v/>
      </c>
      <c r="I1232" s="63" t="str">
        <f>IF(H1232="","",IFERROR(INDEX('Data Export'!G1232:CZ1232,1,MATCH(前十整体车型排名!$B$4,'Data Export'!$G$1:$CZ$1,0)),0))</f>
        <v/>
      </c>
      <c r="J1232" s="62" t="str">
        <f>IF(H1232="","",IF(OR('Data Export'!F1232="三厢轿车",'Data Export'!F1232="掀背轿车",'Data Export'!F1232="旅行车",'Data Export'!F1232="微型车",'Data Export'!F1232="硬顶跑车",'Data Export'!F1232="敞蓬车",'Data Export'!F1232="Targa"),"轿车",IF(OR('Data Export'!F1232="小型MPV",'Data Export'!F1232="客车"),"MPV",IF('Data Export'!F1232="运动型多功能车","SUV","其他"))))</f>
        <v/>
      </c>
      <c r="K1232" s="62"/>
      <c r="L1232" s="62"/>
      <c r="M1232" s="62"/>
      <c r="N1232" s="62"/>
      <c r="O1232" s="62"/>
      <c r="P1232" s="62"/>
      <c r="Q1232" s="62"/>
    </row>
    <row r="1233" spans="1:17">
      <c r="A1233" s="62"/>
      <c r="B1233" s="62"/>
      <c r="C1233" s="62"/>
      <c r="D1233" s="62"/>
      <c r="E1233" s="62"/>
      <c r="F1233" s="62"/>
      <c r="G1233" s="62"/>
      <c r="H1233" s="62" t="str">
        <f>IF(AND('Data Export'!A1233=前十整体车型排名!$B$2,'Data Export'!B1233=前十整体车型排名!$B$3,'Data Export'!D1233&lt;&gt;""),UPPER('Data Export'!C1233)&amp;"♦"&amp;'Data Export'!D1233,"")</f>
        <v/>
      </c>
      <c r="I1233" s="63" t="str">
        <f>IF(H1233="","",IFERROR(INDEX('Data Export'!G1233:CZ1233,1,MATCH(前十整体车型排名!$B$4,'Data Export'!$G$1:$CZ$1,0)),0))</f>
        <v/>
      </c>
      <c r="J1233" s="62" t="str">
        <f>IF(H1233="","",IF(OR('Data Export'!F1233="三厢轿车",'Data Export'!F1233="掀背轿车",'Data Export'!F1233="旅行车",'Data Export'!F1233="微型车",'Data Export'!F1233="硬顶跑车",'Data Export'!F1233="敞蓬车",'Data Export'!F1233="Targa"),"轿车",IF(OR('Data Export'!F1233="小型MPV",'Data Export'!F1233="客车"),"MPV",IF('Data Export'!F1233="运动型多功能车","SUV","其他"))))</f>
        <v/>
      </c>
      <c r="K1233" s="62"/>
      <c r="L1233" s="62"/>
      <c r="M1233" s="62"/>
      <c r="N1233" s="62"/>
      <c r="O1233" s="62"/>
      <c r="P1233" s="62"/>
      <c r="Q1233" s="62"/>
    </row>
    <row r="1234" spans="1:17">
      <c r="A1234" s="62"/>
      <c r="B1234" s="62"/>
      <c r="C1234" s="62"/>
      <c r="D1234" s="62"/>
      <c r="E1234" s="62"/>
      <c r="F1234" s="62"/>
      <c r="G1234" s="62"/>
      <c r="H1234" s="62" t="str">
        <f>IF(AND('Data Export'!A1234=前十整体车型排名!$B$2,'Data Export'!B1234=前十整体车型排名!$B$3,'Data Export'!D1234&lt;&gt;""),UPPER('Data Export'!C1234)&amp;"♦"&amp;'Data Export'!D1234,"")</f>
        <v/>
      </c>
      <c r="I1234" s="63" t="str">
        <f>IF(H1234="","",IFERROR(INDEX('Data Export'!G1234:CZ1234,1,MATCH(前十整体车型排名!$B$4,'Data Export'!$G$1:$CZ$1,0)),0))</f>
        <v/>
      </c>
      <c r="J1234" s="62" t="str">
        <f>IF(H1234="","",IF(OR('Data Export'!F1234="三厢轿车",'Data Export'!F1234="掀背轿车",'Data Export'!F1234="旅行车",'Data Export'!F1234="微型车",'Data Export'!F1234="硬顶跑车",'Data Export'!F1234="敞蓬车",'Data Export'!F1234="Targa"),"轿车",IF(OR('Data Export'!F1234="小型MPV",'Data Export'!F1234="客车"),"MPV",IF('Data Export'!F1234="运动型多功能车","SUV","其他"))))</f>
        <v/>
      </c>
      <c r="K1234" s="62"/>
      <c r="L1234" s="62"/>
      <c r="M1234" s="62"/>
      <c r="N1234" s="62"/>
      <c r="O1234" s="62"/>
      <c r="P1234" s="62"/>
      <c r="Q1234" s="62"/>
    </row>
    <row r="1235" spans="1:17">
      <c r="A1235" s="62"/>
      <c r="B1235" s="62"/>
      <c r="C1235" s="62"/>
      <c r="D1235" s="62"/>
      <c r="E1235" s="62"/>
      <c r="F1235" s="62"/>
      <c r="G1235" s="62"/>
      <c r="H1235" s="62" t="str">
        <f>IF(AND('Data Export'!A1235=前十整体车型排名!$B$2,'Data Export'!B1235=前十整体车型排名!$B$3,'Data Export'!D1235&lt;&gt;""),UPPER('Data Export'!C1235)&amp;"♦"&amp;'Data Export'!D1235,"")</f>
        <v/>
      </c>
      <c r="I1235" s="63" t="str">
        <f>IF(H1235="","",IFERROR(INDEX('Data Export'!G1235:CZ1235,1,MATCH(前十整体车型排名!$B$4,'Data Export'!$G$1:$CZ$1,0)),0))</f>
        <v/>
      </c>
      <c r="J1235" s="62" t="str">
        <f>IF(H1235="","",IF(OR('Data Export'!F1235="三厢轿车",'Data Export'!F1235="掀背轿车",'Data Export'!F1235="旅行车",'Data Export'!F1235="微型车",'Data Export'!F1235="硬顶跑车",'Data Export'!F1235="敞蓬车",'Data Export'!F1235="Targa"),"轿车",IF(OR('Data Export'!F1235="小型MPV",'Data Export'!F1235="客车"),"MPV",IF('Data Export'!F1235="运动型多功能车","SUV","其他"))))</f>
        <v/>
      </c>
      <c r="K1235" s="62"/>
      <c r="L1235" s="62"/>
      <c r="M1235" s="62"/>
      <c r="N1235" s="62"/>
      <c r="O1235" s="62"/>
      <c r="P1235" s="62"/>
      <c r="Q1235" s="62"/>
    </row>
    <row r="1236" spans="1:17">
      <c r="A1236" s="62"/>
      <c r="B1236" s="62"/>
      <c r="C1236" s="62"/>
      <c r="D1236" s="62"/>
      <c r="E1236" s="62"/>
      <c r="F1236" s="62"/>
      <c r="G1236" s="62"/>
      <c r="H1236" s="62" t="str">
        <f>IF(AND('Data Export'!A1236=前十整体车型排名!$B$2,'Data Export'!B1236=前十整体车型排名!$B$3,'Data Export'!D1236&lt;&gt;""),UPPER('Data Export'!C1236)&amp;"♦"&amp;'Data Export'!D1236,"")</f>
        <v/>
      </c>
      <c r="I1236" s="63" t="str">
        <f>IF(H1236="","",IFERROR(INDEX('Data Export'!G1236:CZ1236,1,MATCH(前十整体车型排名!$B$4,'Data Export'!$G$1:$CZ$1,0)),0))</f>
        <v/>
      </c>
      <c r="J1236" s="62" t="str">
        <f>IF(H1236="","",IF(OR('Data Export'!F1236="三厢轿车",'Data Export'!F1236="掀背轿车",'Data Export'!F1236="旅行车",'Data Export'!F1236="微型车",'Data Export'!F1236="硬顶跑车",'Data Export'!F1236="敞蓬车",'Data Export'!F1236="Targa"),"轿车",IF(OR('Data Export'!F1236="小型MPV",'Data Export'!F1236="客车"),"MPV",IF('Data Export'!F1236="运动型多功能车","SUV","其他"))))</f>
        <v/>
      </c>
      <c r="K1236" s="62"/>
      <c r="L1236" s="62"/>
      <c r="M1236" s="62"/>
      <c r="N1236" s="62"/>
      <c r="O1236" s="62"/>
      <c r="P1236" s="62"/>
      <c r="Q1236" s="62"/>
    </row>
    <row r="1237" spans="1:17">
      <c r="A1237" s="62"/>
      <c r="B1237" s="62"/>
      <c r="C1237" s="62"/>
      <c r="D1237" s="62"/>
      <c r="E1237" s="62"/>
      <c r="F1237" s="62"/>
      <c r="G1237" s="62"/>
      <c r="H1237" s="62" t="str">
        <f>IF(AND('Data Export'!A1237=前十整体车型排名!$B$2,'Data Export'!B1237=前十整体车型排名!$B$3,'Data Export'!D1237&lt;&gt;""),UPPER('Data Export'!C1237)&amp;"♦"&amp;'Data Export'!D1237,"")</f>
        <v/>
      </c>
      <c r="I1237" s="63" t="str">
        <f>IF(H1237="","",IFERROR(INDEX('Data Export'!G1237:CZ1237,1,MATCH(前十整体车型排名!$B$4,'Data Export'!$G$1:$CZ$1,0)),0))</f>
        <v/>
      </c>
      <c r="J1237" s="62" t="str">
        <f>IF(H1237="","",IF(OR('Data Export'!F1237="三厢轿车",'Data Export'!F1237="掀背轿车",'Data Export'!F1237="旅行车",'Data Export'!F1237="微型车",'Data Export'!F1237="硬顶跑车",'Data Export'!F1237="敞蓬车",'Data Export'!F1237="Targa"),"轿车",IF(OR('Data Export'!F1237="小型MPV",'Data Export'!F1237="客车"),"MPV",IF('Data Export'!F1237="运动型多功能车","SUV","其他"))))</f>
        <v/>
      </c>
      <c r="K1237" s="62"/>
      <c r="L1237" s="62"/>
      <c r="M1237" s="62"/>
      <c r="N1237" s="62"/>
      <c r="O1237" s="62"/>
      <c r="P1237" s="62"/>
      <c r="Q1237" s="62"/>
    </row>
    <row r="1238" spans="1:17">
      <c r="A1238" s="62"/>
      <c r="B1238" s="62"/>
      <c r="C1238" s="62"/>
      <c r="D1238" s="62"/>
      <c r="E1238" s="62"/>
      <c r="F1238" s="62"/>
      <c r="G1238" s="62"/>
      <c r="H1238" s="62" t="str">
        <f>IF(AND('Data Export'!A1238=前十整体车型排名!$B$2,'Data Export'!B1238=前十整体车型排名!$B$3,'Data Export'!D1238&lt;&gt;""),UPPER('Data Export'!C1238)&amp;"♦"&amp;'Data Export'!D1238,"")</f>
        <v/>
      </c>
      <c r="I1238" s="63" t="str">
        <f>IF(H1238="","",IFERROR(INDEX('Data Export'!G1238:CZ1238,1,MATCH(前十整体车型排名!$B$4,'Data Export'!$G$1:$CZ$1,0)),0))</f>
        <v/>
      </c>
      <c r="J1238" s="62" t="str">
        <f>IF(H1238="","",IF(OR('Data Export'!F1238="三厢轿车",'Data Export'!F1238="掀背轿车",'Data Export'!F1238="旅行车",'Data Export'!F1238="微型车",'Data Export'!F1238="硬顶跑车",'Data Export'!F1238="敞蓬车",'Data Export'!F1238="Targa"),"轿车",IF(OR('Data Export'!F1238="小型MPV",'Data Export'!F1238="客车"),"MPV",IF('Data Export'!F1238="运动型多功能车","SUV","其他"))))</f>
        <v/>
      </c>
      <c r="K1238" s="62"/>
      <c r="L1238" s="62"/>
      <c r="M1238" s="62"/>
      <c r="N1238" s="62"/>
      <c r="O1238" s="62"/>
      <c r="P1238" s="62"/>
      <c r="Q1238" s="62"/>
    </row>
    <row r="1239" spans="1:17">
      <c r="A1239" s="62"/>
      <c r="B1239" s="62"/>
      <c r="C1239" s="62"/>
      <c r="D1239" s="62"/>
      <c r="E1239" s="62"/>
      <c r="F1239" s="62"/>
      <c r="G1239" s="62"/>
      <c r="H1239" s="62" t="str">
        <f>IF(AND('Data Export'!A1239=前十整体车型排名!$B$2,'Data Export'!B1239=前十整体车型排名!$B$3,'Data Export'!D1239&lt;&gt;""),UPPER('Data Export'!C1239)&amp;"♦"&amp;'Data Export'!D1239,"")</f>
        <v/>
      </c>
      <c r="I1239" s="63" t="str">
        <f>IF(H1239="","",IFERROR(INDEX('Data Export'!G1239:CZ1239,1,MATCH(前十整体车型排名!$B$4,'Data Export'!$G$1:$CZ$1,0)),0))</f>
        <v/>
      </c>
      <c r="J1239" s="62" t="str">
        <f>IF(H1239="","",IF(OR('Data Export'!F1239="三厢轿车",'Data Export'!F1239="掀背轿车",'Data Export'!F1239="旅行车",'Data Export'!F1239="微型车",'Data Export'!F1239="硬顶跑车",'Data Export'!F1239="敞蓬车",'Data Export'!F1239="Targa"),"轿车",IF(OR('Data Export'!F1239="小型MPV",'Data Export'!F1239="客车"),"MPV",IF('Data Export'!F1239="运动型多功能车","SUV","其他"))))</f>
        <v/>
      </c>
      <c r="K1239" s="62"/>
      <c r="L1239" s="62"/>
      <c r="M1239" s="62"/>
      <c r="N1239" s="62"/>
      <c r="O1239" s="62"/>
      <c r="P1239" s="62"/>
      <c r="Q1239" s="62"/>
    </row>
    <row r="1240" spans="1:17">
      <c r="A1240" s="62"/>
      <c r="B1240" s="62"/>
      <c r="C1240" s="62"/>
      <c r="D1240" s="62"/>
      <c r="E1240" s="62"/>
      <c r="F1240" s="62"/>
      <c r="G1240" s="62"/>
      <c r="H1240" s="62" t="str">
        <f>IF(AND('Data Export'!A1240=前十整体车型排名!$B$2,'Data Export'!B1240=前十整体车型排名!$B$3,'Data Export'!D1240&lt;&gt;""),UPPER('Data Export'!C1240)&amp;"♦"&amp;'Data Export'!D1240,"")</f>
        <v/>
      </c>
      <c r="I1240" s="63" t="str">
        <f>IF(H1240="","",IFERROR(INDEX('Data Export'!G1240:CZ1240,1,MATCH(前十整体车型排名!$B$4,'Data Export'!$G$1:$CZ$1,0)),0))</f>
        <v/>
      </c>
      <c r="J1240" s="62" t="str">
        <f>IF(H1240="","",IF(OR('Data Export'!F1240="三厢轿车",'Data Export'!F1240="掀背轿车",'Data Export'!F1240="旅行车",'Data Export'!F1240="微型车",'Data Export'!F1240="硬顶跑车",'Data Export'!F1240="敞蓬车",'Data Export'!F1240="Targa"),"轿车",IF(OR('Data Export'!F1240="小型MPV",'Data Export'!F1240="客车"),"MPV",IF('Data Export'!F1240="运动型多功能车","SUV","其他"))))</f>
        <v/>
      </c>
      <c r="K1240" s="62"/>
      <c r="L1240" s="62"/>
      <c r="M1240" s="62"/>
      <c r="N1240" s="62"/>
      <c r="O1240" s="62"/>
      <c r="P1240" s="62"/>
      <c r="Q1240" s="62"/>
    </row>
    <row r="1241" spans="1:17">
      <c r="A1241" s="62"/>
      <c r="B1241" s="62"/>
      <c r="C1241" s="62"/>
      <c r="D1241" s="62"/>
      <c r="E1241" s="62"/>
      <c r="F1241" s="62"/>
      <c r="G1241" s="62"/>
      <c r="H1241" s="62" t="str">
        <f>IF(AND('Data Export'!A1241=前十整体车型排名!$B$2,'Data Export'!B1241=前十整体车型排名!$B$3,'Data Export'!D1241&lt;&gt;""),UPPER('Data Export'!C1241)&amp;"♦"&amp;'Data Export'!D1241,"")</f>
        <v/>
      </c>
      <c r="I1241" s="63" t="str">
        <f>IF(H1241="","",IFERROR(INDEX('Data Export'!G1241:CZ1241,1,MATCH(前十整体车型排名!$B$4,'Data Export'!$G$1:$CZ$1,0)),0))</f>
        <v/>
      </c>
      <c r="J1241" s="62" t="str">
        <f>IF(H1241="","",IF(OR('Data Export'!F1241="三厢轿车",'Data Export'!F1241="掀背轿车",'Data Export'!F1241="旅行车",'Data Export'!F1241="微型车",'Data Export'!F1241="硬顶跑车",'Data Export'!F1241="敞蓬车",'Data Export'!F1241="Targa"),"轿车",IF(OR('Data Export'!F1241="小型MPV",'Data Export'!F1241="客车"),"MPV",IF('Data Export'!F1241="运动型多功能车","SUV","其他"))))</f>
        <v/>
      </c>
      <c r="K1241" s="62"/>
      <c r="L1241" s="62"/>
      <c r="M1241" s="62"/>
      <c r="N1241" s="62"/>
      <c r="O1241" s="62"/>
      <c r="P1241" s="62"/>
      <c r="Q1241" s="62"/>
    </row>
    <row r="1242" spans="1:17">
      <c r="A1242" s="62"/>
      <c r="B1242" s="62"/>
      <c r="C1242" s="62"/>
      <c r="D1242" s="62"/>
      <c r="E1242" s="62"/>
      <c r="F1242" s="62"/>
      <c r="G1242" s="62"/>
      <c r="H1242" s="62" t="str">
        <f>IF(AND('Data Export'!A1242=前十整体车型排名!$B$2,'Data Export'!B1242=前十整体车型排名!$B$3,'Data Export'!D1242&lt;&gt;""),UPPER('Data Export'!C1242)&amp;"♦"&amp;'Data Export'!D1242,"")</f>
        <v/>
      </c>
      <c r="I1242" s="63" t="str">
        <f>IF(H1242="","",IFERROR(INDEX('Data Export'!G1242:CZ1242,1,MATCH(前十整体车型排名!$B$4,'Data Export'!$G$1:$CZ$1,0)),0))</f>
        <v/>
      </c>
      <c r="J1242" s="62" t="str">
        <f>IF(H1242="","",IF(OR('Data Export'!F1242="三厢轿车",'Data Export'!F1242="掀背轿车",'Data Export'!F1242="旅行车",'Data Export'!F1242="微型车",'Data Export'!F1242="硬顶跑车",'Data Export'!F1242="敞蓬车",'Data Export'!F1242="Targa"),"轿车",IF(OR('Data Export'!F1242="小型MPV",'Data Export'!F1242="客车"),"MPV",IF('Data Export'!F1242="运动型多功能车","SUV","其他"))))</f>
        <v/>
      </c>
      <c r="K1242" s="62"/>
      <c r="L1242" s="62"/>
      <c r="M1242" s="62"/>
      <c r="N1242" s="62"/>
      <c r="O1242" s="62"/>
      <c r="P1242" s="62"/>
      <c r="Q1242" s="62"/>
    </row>
    <row r="1243" spans="1:17">
      <c r="A1243" s="62"/>
      <c r="B1243" s="62"/>
      <c r="C1243" s="62"/>
      <c r="D1243" s="62"/>
      <c r="E1243" s="62"/>
      <c r="F1243" s="62"/>
      <c r="G1243" s="62"/>
      <c r="H1243" s="62" t="str">
        <f>IF(AND('Data Export'!A1243=前十整体车型排名!$B$2,'Data Export'!B1243=前十整体车型排名!$B$3,'Data Export'!D1243&lt;&gt;""),UPPER('Data Export'!C1243)&amp;"♦"&amp;'Data Export'!D1243,"")</f>
        <v/>
      </c>
      <c r="I1243" s="63" t="str">
        <f>IF(H1243="","",IFERROR(INDEX('Data Export'!G1243:CZ1243,1,MATCH(前十整体车型排名!$B$4,'Data Export'!$G$1:$CZ$1,0)),0))</f>
        <v/>
      </c>
      <c r="J1243" s="62" t="str">
        <f>IF(H1243="","",IF(OR('Data Export'!F1243="三厢轿车",'Data Export'!F1243="掀背轿车",'Data Export'!F1243="旅行车",'Data Export'!F1243="微型车",'Data Export'!F1243="硬顶跑车",'Data Export'!F1243="敞蓬车",'Data Export'!F1243="Targa"),"轿车",IF(OR('Data Export'!F1243="小型MPV",'Data Export'!F1243="客车"),"MPV",IF('Data Export'!F1243="运动型多功能车","SUV","其他"))))</f>
        <v/>
      </c>
      <c r="K1243" s="62"/>
      <c r="L1243" s="62"/>
      <c r="M1243" s="62"/>
      <c r="N1243" s="62"/>
      <c r="O1243" s="62"/>
      <c r="P1243" s="62"/>
      <c r="Q1243" s="62"/>
    </row>
    <row r="1244" spans="1:17">
      <c r="A1244" s="62"/>
      <c r="B1244" s="62"/>
      <c r="C1244" s="62"/>
      <c r="D1244" s="62"/>
      <c r="E1244" s="62"/>
      <c r="F1244" s="62"/>
      <c r="G1244" s="62"/>
      <c r="H1244" s="62" t="str">
        <f>IF(AND('Data Export'!A1244=前十整体车型排名!$B$2,'Data Export'!B1244=前十整体车型排名!$B$3,'Data Export'!D1244&lt;&gt;""),UPPER('Data Export'!C1244)&amp;"♦"&amp;'Data Export'!D1244,"")</f>
        <v/>
      </c>
      <c r="I1244" s="63" t="str">
        <f>IF(H1244="","",IFERROR(INDEX('Data Export'!G1244:CZ1244,1,MATCH(前十整体车型排名!$B$4,'Data Export'!$G$1:$CZ$1,0)),0))</f>
        <v/>
      </c>
      <c r="J1244" s="62" t="str">
        <f>IF(H1244="","",IF(OR('Data Export'!F1244="三厢轿车",'Data Export'!F1244="掀背轿车",'Data Export'!F1244="旅行车",'Data Export'!F1244="微型车",'Data Export'!F1244="硬顶跑车",'Data Export'!F1244="敞蓬车",'Data Export'!F1244="Targa"),"轿车",IF(OR('Data Export'!F1244="小型MPV",'Data Export'!F1244="客车"),"MPV",IF('Data Export'!F1244="运动型多功能车","SUV","其他"))))</f>
        <v/>
      </c>
      <c r="K1244" s="62"/>
      <c r="L1244" s="62"/>
      <c r="M1244" s="62"/>
      <c r="N1244" s="62"/>
      <c r="O1244" s="62"/>
      <c r="P1244" s="62"/>
      <c r="Q1244" s="62"/>
    </row>
    <row r="1245" spans="1:17">
      <c r="A1245" s="62"/>
      <c r="B1245" s="62"/>
      <c r="C1245" s="62"/>
      <c r="D1245" s="62"/>
      <c r="E1245" s="62"/>
      <c r="F1245" s="62"/>
      <c r="G1245" s="62"/>
      <c r="H1245" s="62" t="str">
        <f>IF(AND('Data Export'!A1245=前十整体车型排名!$B$2,'Data Export'!B1245=前十整体车型排名!$B$3,'Data Export'!D1245&lt;&gt;""),UPPER('Data Export'!C1245)&amp;"♦"&amp;'Data Export'!D1245,"")</f>
        <v/>
      </c>
      <c r="I1245" s="63" t="str">
        <f>IF(H1245="","",IFERROR(INDEX('Data Export'!G1245:CZ1245,1,MATCH(前十整体车型排名!$B$4,'Data Export'!$G$1:$CZ$1,0)),0))</f>
        <v/>
      </c>
      <c r="J1245" s="62" t="str">
        <f>IF(H1245="","",IF(OR('Data Export'!F1245="三厢轿车",'Data Export'!F1245="掀背轿车",'Data Export'!F1245="旅行车",'Data Export'!F1245="微型车",'Data Export'!F1245="硬顶跑车",'Data Export'!F1245="敞蓬车",'Data Export'!F1245="Targa"),"轿车",IF(OR('Data Export'!F1245="小型MPV",'Data Export'!F1245="客车"),"MPV",IF('Data Export'!F1245="运动型多功能车","SUV","其他"))))</f>
        <v/>
      </c>
      <c r="K1245" s="62"/>
      <c r="L1245" s="62"/>
      <c r="M1245" s="62"/>
      <c r="N1245" s="62"/>
      <c r="O1245" s="62"/>
      <c r="P1245" s="62"/>
      <c r="Q1245" s="62"/>
    </row>
    <row r="1246" spans="1:17">
      <c r="A1246" s="62"/>
      <c r="B1246" s="62"/>
      <c r="C1246" s="62"/>
      <c r="D1246" s="62"/>
      <c r="E1246" s="62"/>
      <c r="F1246" s="62"/>
      <c r="G1246" s="62"/>
      <c r="H1246" s="62" t="str">
        <f>IF(AND('Data Export'!A1246=前十整体车型排名!$B$2,'Data Export'!B1246=前十整体车型排名!$B$3,'Data Export'!D1246&lt;&gt;""),UPPER('Data Export'!C1246)&amp;"♦"&amp;'Data Export'!D1246,"")</f>
        <v/>
      </c>
      <c r="I1246" s="63" t="str">
        <f>IF(H1246="","",IFERROR(INDEX('Data Export'!G1246:CZ1246,1,MATCH(前十整体车型排名!$B$4,'Data Export'!$G$1:$CZ$1,0)),0))</f>
        <v/>
      </c>
      <c r="J1246" s="62" t="str">
        <f>IF(H1246="","",IF(OR('Data Export'!F1246="三厢轿车",'Data Export'!F1246="掀背轿车",'Data Export'!F1246="旅行车",'Data Export'!F1246="微型车",'Data Export'!F1246="硬顶跑车",'Data Export'!F1246="敞蓬车",'Data Export'!F1246="Targa"),"轿车",IF(OR('Data Export'!F1246="小型MPV",'Data Export'!F1246="客车"),"MPV",IF('Data Export'!F1246="运动型多功能车","SUV","其他"))))</f>
        <v/>
      </c>
      <c r="K1246" s="62"/>
      <c r="L1246" s="62"/>
      <c r="M1246" s="62"/>
      <c r="N1246" s="62"/>
      <c r="O1246" s="62"/>
      <c r="P1246" s="62"/>
      <c r="Q1246" s="62"/>
    </row>
    <row r="1247" spans="1:17">
      <c r="A1247" s="62"/>
      <c r="B1247" s="62"/>
      <c r="C1247" s="62"/>
      <c r="D1247" s="62"/>
      <c r="E1247" s="62"/>
      <c r="F1247" s="62"/>
      <c r="G1247" s="62"/>
      <c r="H1247" s="62" t="str">
        <f>IF(AND('Data Export'!A1247=前十整体车型排名!$B$2,'Data Export'!B1247=前十整体车型排名!$B$3,'Data Export'!D1247&lt;&gt;""),UPPER('Data Export'!C1247)&amp;"♦"&amp;'Data Export'!D1247,"")</f>
        <v/>
      </c>
      <c r="I1247" s="63" t="str">
        <f>IF(H1247="","",IFERROR(INDEX('Data Export'!G1247:CZ1247,1,MATCH(前十整体车型排名!$B$4,'Data Export'!$G$1:$CZ$1,0)),0))</f>
        <v/>
      </c>
      <c r="J1247" s="62" t="str">
        <f>IF(H1247="","",IF(OR('Data Export'!F1247="三厢轿车",'Data Export'!F1247="掀背轿车",'Data Export'!F1247="旅行车",'Data Export'!F1247="微型车",'Data Export'!F1247="硬顶跑车",'Data Export'!F1247="敞蓬车",'Data Export'!F1247="Targa"),"轿车",IF(OR('Data Export'!F1247="小型MPV",'Data Export'!F1247="客车"),"MPV",IF('Data Export'!F1247="运动型多功能车","SUV","其他"))))</f>
        <v/>
      </c>
      <c r="K1247" s="62"/>
      <c r="L1247" s="62"/>
      <c r="M1247" s="62"/>
      <c r="N1247" s="62"/>
      <c r="O1247" s="62"/>
      <c r="P1247" s="62"/>
      <c r="Q1247" s="62"/>
    </row>
    <row r="1248" spans="1:17">
      <c r="A1248" s="62"/>
      <c r="B1248" s="62"/>
      <c r="C1248" s="62"/>
      <c r="D1248" s="62"/>
      <c r="E1248" s="62"/>
      <c r="F1248" s="62"/>
      <c r="G1248" s="62"/>
      <c r="H1248" s="62" t="str">
        <f>IF(AND('Data Export'!A1248=前十整体车型排名!$B$2,'Data Export'!B1248=前十整体车型排名!$B$3,'Data Export'!D1248&lt;&gt;""),UPPER('Data Export'!C1248)&amp;"♦"&amp;'Data Export'!D1248,"")</f>
        <v/>
      </c>
      <c r="I1248" s="63" t="str">
        <f>IF(H1248="","",IFERROR(INDEX('Data Export'!G1248:CZ1248,1,MATCH(前十整体车型排名!$B$4,'Data Export'!$G$1:$CZ$1,0)),0))</f>
        <v/>
      </c>
      <c r="J1248" s="62" t="str">
        <f>IF(H1248="","",IF(OR('Data Export'!F1248="三厢轿车",'Data Export'!F1248="掀背轿车",'Data Export'!F1248="旅行车",'Data Export'!F1248="微型车",'Data Export'!F1248="硬顶跑车",'Data Export'!F1248="敞蓬车",'Data Export'!F1248="Targa"),"轿车",IF(OR('Data Export'!F1248="小型MPV",'Data Export'!F1248="客车"),"MPV",IF('Data Export'!F1248="运动型多功能车","SUV","其他"))))</f>
        <v/>
      </c>
      <c r="K1248" s="62"/>
      <c r="L1248" s="62"/>
      <c r="M1248" s="62"/>
      <c r="N1248" s="62"/>
      <c r="O1248" s="62"/>
      <c r="P1248" s="62"/>
      <c r="Q1248" s="62"/>
    </row>
    <row r="1249" spans="1:17">
      <c r="A1249" s="62"/>
      <c r="B1249" s="62"/>
      <c r="C1249" s="62"/>
      <c r="D1249" s="62"/>
      <c r="E1249" s="62"/>
      <c r="F1249" s="62"/>
      <c r="G1249" s="62"/>
      <c r="H1249" s="62" t="str">
        <f>IF(AND('Data Export'!A1249=前十整体车型排名!$B$2,'Data Export'!B1249=前十整体车型排名!$B$3,'Data Export'!D1249&lt;&gt;""),UPPER('Data Export'!C1249)&amp;"♦"&amp;'Data Export'!D1249,"")</f>
        <v/>
      </c>
      <c r="I1249" s="63" t="str">
        <f>IF(H1249="","",IFERROR(INDEX('Data Export'!G1249:CZ1249,1,MATCH(前十整体车型排名!$B$4,'Data Export'!$G$1:$CZ$1,0)),0))</f>
        <v/>
      </c>
      <c r="J1249" s="62" t="str">
        <f>IF(H1249="","",IF(OR('Data Export'!F1249="三厢轿车",'Data Export'!F1249="掀背轿车",'Data Export'!F1249="旅行车",'Data Export'!F1249="微型车",'Data Export'!F1249="硬顶跑车",'Data Export'!F1249="敞蓬车",'Data Export'!F1249="Targa"),"轿车",IF(OR('Data Export'!F1249="小型MPV",'Data Export'!F1249="客车"),"MPV",IF('Data Export'!F1249="运动型多功能车","SUV","其他"))))</f>
        <v/>
      </c>
      <c r="K1249" s="62"/>
      <c r="L1249" s="62"/>
      <c r="M1249" s="62"/>
      <c r="N1249" s="62"/>
      <c r="O1249" s="62"/>
      <c r="P1249" s="62"/>
      <c r="Q1249" s="62"/>
    </row>
    <row r="1250" spans="1:17">
      <c r="A1250" s="62"/>
      <c r="B1250" s="62"/>
      <c r="C1250" s="62"/>
      <c r="D1250" s="62"/>
      <c r="E1250" s="62"/>
      <c r="F1250" s="62"/>
      <c r="G1250" s="62"/>
      <c r="H1250" s="62" t="str">
        <f>IF(AND('Data Export'!A1250=前十整体车型排名!$B$2,'Data Export'!B1250=前十整体车型排名!$B$3,'Data Export'!D1250&lt;&gt;""),UPPER('Data Export'!C1250)&amp;"♦"&amp;'Data Export'!D1250,"")</f>
        <v/>
      </c>
      <c r="I1250" s="63" t="str">
        <f>IF(H1250="","",IFERROR(INDEX('Data Export'!G1250:CZ1250,1,MATCH(前十整体车型排名!$B$4,'Data Export'!$G$1:$CZ$1,0)),0))</f>
        <v/>
      </c>
      <c r="J1250" s="62" t="str">
        <f>IF(H1250="","",IF(OR('Data Export'!F1250="三厢轿车",'Data Export'!F1250="掀背轿车",'Data Export'!F1250="旅行车",'Data Export'!F1250="微型车",'Data Export'!F1250="硬顶跑车",'Data Export'!F1250="敞蓬车",'Data Export'!F1250="Targa"),"轿车",IF(OR('Data Export'!F1250="小型MPV",'Data Export'!F1250="客车"),"MPV",IF('Data Export'!F1250="运动型多功能车","SUV","其他"))))</f>
        <v/>
      </c>
      <c r="K1250" s="62"/>
      <c r="L1250" s="62"/>
      <c r="M1250" s="62"/>
      <c r="N1250" s="62"/>
      <c r="O1250" s="62"/>
      <c r="P1250" s="62"/>
      <c r="Q1250" s="62"/>
    </row>
    <row r="1251" spans="1:17">
      <c r="A1251" s="62"/>
      <c r="B1251" s="62"/>
      <c r="C1251" s="62"/>
      <c r="D1251" s="62"/>
      <c r="E1251" s="62"/>
      <c r="F1251" s="62"/>
      <c r="G1251" s="62"/>
      <c r="H1251" s="62" t="str">
        <f>IF(AND('Data Export'!A1251=前十整体车型排名!$B$2,'Data Export'!B1251=前十整体车型排名!$B$3,'Data Export'!D1251&lt;&gt;""),UPPER('Data Export'!C1251)&amp;"♦"&amp;'Data Export'!D1251,"")</f>
        <v/>
      </c>
      <c r="I1251" s="63" t="str">
        <f>IF(H1251="","",IFERROR(INDEX('Data Export'!G1251:CZ1251,1,MATCH(前十整体车型排名!$B$4,'Data Export'!$G$1:$CZ$1,0)),0))</f>
        <v/>
      </c>
      <c r="J1251" s="62" t="str">
        <f>IF(H1251="","",IF(OR('Data Export'!F1251="三厢轿车",'Data Export'!F1251="掀背轿车",'Data Export'!F1251="旅行车",'Data Export'!F1251="微型车",'Data Export'!F1251="硬顶跑车",'Data Export'!F1251="敞蓬车",'Data Export'!F1251="Targa"),"轿车",IF(OR('Data Export'!F1251="小型MPV",'Data Export'!F1251="客车"),"MPV",IF('Data Export'!F1251="运动型多功能车","SUV","其他"))))</f>
        <v/>
      </c>
      <c r="K1251" s="62"/>
      <c r="L1251" s="62"/>
      <c r="M1251" s="62"/>
      <c r="N1251" s="62"/>
      <c r="O1251" s="62"/>
      <c r="P1251" s="62"/>
      <c r="Q1251" s="62"/>
    </row>
    <row r="1252" spans="1:17">
      <c r="A1252" s="62"/>
      <c r="B1252" s="62"/>
      <c r="C1252" s="62"/>
      <c r="D1252" s="62"/>
      <c r="E1252" s="62"/>
      <c r="F1252" s="62"/>
      <c r="G1252" s="62"/>
      <c r="H1252" s="62" t="str">
        <f>IF(AND('Data Export'!A1252=前十整体车型排名!$B$2,'Data Export'!B1252=前十整体车型排名!$B$3,'Data Export'!D1252&lt;&gt;""),UPPER('Data Export'!C1252)&amp;"♦"&amp;'Data Export'!D1252,"")</f>
        <v/>
      </c>
      <c r="I1252" s="63" t="str">
        <f>IF(H1252="","",IFERROR(INDEX('Data Export'!G1252:CZ1252,1,MATCH(前十整体车型排名!$B$4,'Data Export'!$G$1:$CZ$1,0)),0))</f>
        <v/>
      </c>
      <c r="J1252" s="62" t="str">
        <f>IF(H1252="","",IF(OR('Data Export'!F1252="三厢轿车",'Data Export'!F1252="掀背轿车",'Data Export'!F1252="旅行车",'Data Export'!F1252="微型车",'Data Export'!F1252="硬顶跑车",'Data Export'!F1252="敞蓬车",'Data Export'!F1252="Targa"),"轿车",IF(OR('Data Export'!F1252="小型MPV",'Data Export'!F1252="客车"),"MPV",IF('Data Export'!F1252="运动型多功能车","SUV","其他"))))</f>
        <v/>
      </c>
      <c r="K1252" s="62"/>
      <c r="L1252" s="62"/>
      <c r="M1252" s="62"/>
      <c r="N1252" s="62"/>
      <c r="O1252" s="62"/>
      <c r="P1252" s="62"/>
      <c r="Q1252" s="62"/>
    </row>
    <row r="1253" spans="1:17">
      <c r="A1253" s="62"/>
      <c r="B1253" s="62"/>
      <c r="C1253" s="62"/>
      <c r="D1253" s="62"/>
      <c r="E1253" s="62"/>
      <c r="F1253" s="62"/>
      <c r="G1253" s="62"/>
      <c r="H1253" s="62" t="str">
        <f>IF(AND('Data Export'!A1253=前十整体车型排名!$B$2,'Data Export'!B1253=前十整体车型排名!$B$3,'Data Export'!D1253&lt;&gt;""),UPPER('Data Export'!C1253)&amp;"♦"&amp;'Data Export'!D1253,"")</f>
        <v/>
      </c>
      <c r="I1253" s="63" t="str">
        <f>IF(H1253="","",IFERROR(INDEX('Data Export'!G1253:CZ1253,1,MATCH(前十整体车型排名!$B$4,'Data Export'!$G$1:$CZ$1,0)),0))</f>
        <v/>
      </c>
      <c r="J1253" s="62" t="str">
        <f>IF(H1253="","",IF(OR('Data Export'!F1253="三厢轿车",'Data Export'!F1253="掀背轿车",'Data Export'!F1253="旅行车",'Data Export'!F1253="微型车",'Data Export'!F1253="硬顶跑车",'Data Export'!F1253="敞蓬车",'Data Export'!F1253="Targa"),"轿车",IF(OR('Data Export'!F1253="小型MPV",'Data Export'!F1253="客车"),"MPV",IF('Data Export'!F1253="运动型多功能车","SUV","其他"))))</f>
        <v/>
      </c>
      <c r="K1253" s="62"/>
      <c r="L1253" s="62"/>
      <c r="M1253" s="62"/>
      <c r="N1253" s="62"/>
      <c r="O1253" s="62"/>
      <c r="P1253" s="62"/>
      <c r="Q1253" s="62"/>
    </row>
    <row r="1254" spans="1:17">
      <c r="A1254" s="62"/>
      <c r="B1254" s="62"/>
      <c r="C1254" s="62"/>
      <c r="D1254" s="62"/>
      <c r="E1254" s="62"/>
      <c r="F1254" s="62"/>
      <c r="G1254" s="62"/>
      <c r="H1254" s="62" t="str">
        <f>IF(AND('Data Export'!A1254=前十整体车型排名!$B$2,'Data Export'!B1254=前十整体车型排名!$B$3,'Data Export'!D1254&lt;&gt;""),UPPER('Data Export'!C1254)&amp;"♦"&amp;'Data Export'!D1254,"")</f>
        <v/>
      </c>
      <c r="I1254" s="63" t="str">
        <f>IF(H1254="","",IFERROR(INDEX('Data Export'!G1254:CZ1254,1,MATCH(前十整体车型排名!$B$4,'Data Export'!$G$1:$CZ$1,0)),0))</f>
        <v/>
      </c>
      <c r="J1254" s="62" t="str">
        <f>IF(H1254="","",IF(OR('Data Export'!F1254="三厢轿车",'Data Export'!F1254="掀背轿车",'Data Export'!F1254="旅行车",'Data Export'!F1254="微型车",'Data Export'!F1254="硬顶跑车",'Data Export'!F1254="敞蓬车",'Data Export'!F1254="Targa"),"轿车",IF(OR('Data Export'!F1254="小型MPV",'Data Export'!F1254="客车"),"MPV",IF('Data Export'!F1254="运动型多功能车","SUV","其他"))))</f>
        <v/>
      </c>
      <c r="K1254" s="62"/>
      <c r="L1254" s="62"/>
      <c r="M1254" s="62"/>
      <c r="N1254" s="62"/>
      <c r="O1254" s="62"/>
      <c r="P1254" s="62"/>
      <c r="Q1254" s="62"/>
    </row>
    <row r="1255" spans="1:17">
      <c r="A1255" s="62"/>
      <c r="B1255" s="62"/>
      <c r="C1255" s="62"/>
      <c r="D1255" s="62"/>
      <c r="E1255" s="62"/>
      <c r="F1255" s="62"/>
      <c r="G1255" s="62"/>
      <c r="H1255" s="62" t="str">
        <f>IF(AND('Data Export'!A1255=前十整体车型排名!$B$2,'Data Export'!B1255=前十整体车型排名!$B$3,'Data Export'!D1255&lt;&gt;""),UPPER('Data Export'!C1255)&amp;"♦"&amp;'Data Export'!D1255,"")</f>
        <v/>
      </c>
      <c r="I1255" s="63" t="str">
        <f>IF(H1255="","",IFERROR(INDEX('Data Export'!G1255:CZ1255,1,MATCH(前十整体车型排名!$B$4,'Data Export'!$G$1:$CZ$1,0)),0))</f>
        <v/>
      </c>
      <c r="J1255" s="62" t="str">
        <f>IF(H1255="","",IF(OR('Data Export'!F1255="三厢轿车",'Data Export'!F1255="掀背轿车",'Data Export'!F1255="旅行车",'Data Export'!F1255="微型车",'Data Export'!F1255="硬顶跑车",'Data Export'!F1255="敞蓬车",'Data Export'!F1255="Targa"),"轿车",IF(OR('Data Export'!F1255="小型MPV",'Data Export'!F1255="客车"),"MPV",IF('Data Export'!F1255="运动型多功能车","SUV","其他"))))</f>
        <v/>
      </c>
      <c r="K1255" s="62"/>
      <c r="L1255" s="62"/>
      <c r="M1255" s="62"/>
      <c r="N1255" s="62"/>
      <c r="O1255" s="62"/>
      <c r="P1255" s="62"/>
      <c r="Q1255" s="62"/>
    </row>
    <row r="1256" spans="1:17">
      <c r="A1256" s="62"/>
      <c r="B1256" s="62"/>
      <c r="C1256" s="62"/>
      <c r="D1256" s="62"/>
      <c r="E1256" s="62"/>
      <c r="F1256" s="62"/>
      <c r="G1256" s="62"/>
      <c r="H1256" s="62" t="str">
        <f>IF(AND('Data Export'!A1256=前十整体车型排名!$B$2,'Data Export'!B1256=前十整体车型排名!$B$3,'Data Export'!D1256&lt;&gt;""),UPPER('Data Export'!C1256)&amp;"♦"&amp;'Data Export'!D1256,"")</f>
        <v/>
      </c>
      <c r="I1256" s="63" t="str">
        <f>IF(H1256="","",IFERROR(INDEX('Data Export'!G1256:CZ1256,1,MATCH(前十整体车型排名!$B$4,'Data Export'!$G$1:$CZ$1,0)),0))</f>
        <v/>
      </c>
      <c r="J1256" s="62" t="str">
        <f>IF(H1256="","",IF(OR('Data Export'!F1256="三厢轿车",'Data Export'!F1256="掀背轿车",'Data Export'!F1256="旅行车",'Data Export'!F1256="微型车",'Data Export'!F1256="硬顶跑车",'Data Export'!F1256="敞蓬车",'Data Export'!F1256="Targa"),"轿车",IF(OR('Data Export'!F1256="小型MPV",'Data Export'!F1256="客车"),"MPV",IF('Data Export'!F1256="运动型多功能车","SUV","其他"))))</f>
        <v/>
      </c>
      <c r="K1256" s="62"/>
      <c r="L1256" s="62"/>
      <c r="M1256" s="62"/>
      <c r="N1256" s="62"/>
      <c r="O1256" s="62"/>
      <c r="P1256" s="62"/>
      <c r="Q1256" s="62"/>
    </row>
    <row r="1257" spans="1:17">
      <c r="A1257" s="62"/>
      <c r="B1257" s="62"/>
      <c r="C1257" s="62"/>
      <c r="D1257" s="62"/>
      <c r="E1257" s="62"/>
      <c r="F1257" s="62"/>
      <c r="G1257" s="62"/>
      <c r="H1257" s="62" t="str">
        <f>IF(AND('Data Export'!A1257=前十整体车型排名!$B$2,'Data Export'!B1257=前十整体车型排名!$B$3,'Data Export'!D1257&lt;&gt;""),UPPER('Data Export'!C1257)&amp;"♦"&amp;'Data Export'!D1257,"")</f>
        <v/>
      </c>
      <c r="I1257" s="63" t="str">
        <f>IF(H1257="","",IFERROR(INDEX('Data Export'!G1257:CZ1257,1,MATCH(前十整体车型排名!$B$4,'Data Export'!$G$1:$CZ$1,0)),0))</f>
        <v/>
      </c>
      <c r="J1257" s="62" t="str">
        <f>IF(H1257="","",IF(OR('Data Export'!F1257="三厢轿车",'Data Export'!F1257="掀背轿车",'Data Export'!F1257="旅行车",'Data Export'!F1257="微型车",'Data Export'!F1257="硬顶跑车",'Data Export'!F1257="敞蓬车",'Data Export'!F1257="Targa"),"轿车",IF(OR('Data Export'!F1257="小型MPV",'Data Export'!F1257="客车"),"MPV",IF('Data Export'!F1257="运动型多功能车","SUV","其他"))))</f>
        <v/>
      </c>
      <c r="K1257" s="62"/>
      <c r="L1257" s="62"/>
      <c r="M1257" s="62"/>
      <c r="N1257" s="62"/>
      <c r="O1257" s="62"/>
      <c r="P1257" s="62"/>
      <c r="Q1257" s="62"/>
    </row>
    <row r="1258" spans="1:17">
      <c r="A1258" s="62"/>
      <c r="B1258" s="62"/>
      <c r="C1258" s="62"/>
      <c r="D1258" s="62"/>
      <c r="E1258" s="62"/>
      <c r="F1258" s="62"/>
      <c r="G1258" s="62"/>
      <c r="H1258" s="62" t="str">
        <f>IF(AND('Data Export'!A1258=前十整体车型排名!$B$2,'Data Export'!B1258=前十整体车型排名!$B$3,'Data Export'!D1258&lt;&gt;""),UPPER('Data Export'!C1258)&amp;"♦"&amp;'Data Export'!D1258,"")</f>
        <v/>
      </c>
      <c r="I1258" s="63" t="str">
        <f>IF(H1258="","",IFERROR(INDEX('Data Export'!G1258:CZ1258,1,MATCH(前十整体车型排名!$B$4,'Data Export'!$G$1:$CZ$1,0)),0))</f>
        <v/>
      </c>
      <c r="J1258" s="62" t="str">
        <f>IF(H1258="","",IF(OR('Data Export'!F1258="三厢轿车",'Data Export'!F1258="掀背轿车",'Data Export'!F1258="旅行车",'Data Export'!F1258="微型车",'Data Export'!F1258="硬顶跑车",'Data Export'!F1258="敞蓬车",'Data Export'!F1258="Targa"),"轿车",IF(OR('Data Export'!F1258="小型MPV",'Data Export'!F1258="客车"),"MPV",IF('Data Export'!F1258="运动型多功能车","SUV","其他"))))</f>
        <v/>
      </c>
      <c r="K1258" s="62"/>
      <c r="L1258" s="62"/>
      <c r="M1258" s="62"/>
      <c r="N1258" s="62"/>
      <c r="O1258" s="62"/>
      <c r="P1258" s="62"/>
      <c r="Q1258" s="62"/>
    </row>
    <row r="1259" spans="1:17">
      <c r="A1259" s="62"/>
      <c r="B1259" s="62"/>
      <c r="C1259" s="62"/>
      <c r="D1259" s="62"/>
      <c r="E1259" s="62"/>
      <c r="F1259" s="62"/>
      <c r="G1259" s="62"/>
      <c r="H1259" s="62" t="str">
        <f>IF(AND('Data Export'!A1259=前十整体车型排名!$B$2,'Data Export'!B1259=前十整体车型排名!$B$3,'Data Export'!D1259&lt;&gt;""),UPPER('Data Export'!C1259)&amp;"♦"&amp;'Data Export'!D1259,"")</f>
        <v/>
      </c>
      <c r="I1259" s="63" t="str">
        <f>IF(H1259="","",IFERROR(INDEX('Data Export'!G1259:CZ1259,1,MATCH(前十整体车型排名!$B$4,'Data Export'!$G$1:$CZ$1,0)),0))</f>
        <v/>
      </c>
      <c r="J1259" s="62" t="str">
        <f>IF(H1259="","",IF(OR('Data Export'!F1259="三厢轿车",'Data Export'!F1259="掀背轿车",'Data Export'!F1259="旅行车",'Data Export'!F1259="微型车",'Data Export'!F1259="硬顶跑车",'Data Export'!F1259="敞蓬车",'Data Export'!F1259="Targa"),"轿车",IF(OR('Data Export'!F1259="小型MPV",'Data Export'!F1259="客车"),"MPV",IF('Data Export'!F1259="运动型多功能车","SUV","其他"))))</f>
        <v/>
      </c>
      <c r="K1259" s="62"/>
      <c r="L1259" s="62"/>
      <c r="M1259" s="62"/>
      <c r="N1259" s="62"/>
      <c r="O1259" s="62"/>
      <c r="P1259" s="62"/>
      <c r="Q1259" s="62"/>
    </row>
    <row r="1260" spans="1:17">
      <c r="A1260" s="62"/>
      <c r="B1260" s="62"/>
      <c r="C1260" s="62"/>
      <c r="D1260" s="62"/>
      <c r="E1260" s="62"/>
      <c r="F1260" s="62"/>
      <c r="G1260" s="62"/>
      <c r="H1260" s="62" t="str">
        <f>IF(AND('Data Export'!A1260=前十整体车型排名!$B$2,'Data Export'!B1260=前十整体车型排名!$B$3,'Data Export'!D1260&lt;&gt;""),UPPER('Data Export'!C1260)&amp;"♦"&amp;'Data Export'!D1260,"")</f>
        <v/>
      </c>
      <c r="I1260" s="63" t="str">
        <f>IF(H1260="","",IFERROR(INDEX('Data Export'!G1260:CZ1260,1,MATCH(前十整体车型排名!$B$4,'Data Export'!$G$1:$CZ$1,0)),0))</f>
        <v/>
      </c>
      <c r="J1260" s="62" t="str">
        <f>IF(H1260="","",IF(OR('Data Export'!F1260="三厢轿车",'Data Export'!F1260="掀背轿车",'Data Export'!F1260="旅行车",'Data Export'!F1260="微型车",'Data Export'!F1260="硬顶跑车",'Data Export'!F1260="敞蓬车",'Data Export'!F1260="Targa"),"轿车",IF(OR('Data Export'!F1260="小型MPV",'Data Export'!F1260="客车"),"MPV",IF('Data Export'!F1260="运动型多功能车","SUV","其他"))))</f>
        <v/>
      </c>
      <c r="K1260" s="62"/>
      <c r="L1260" s="62"/>
      <c r="M1260" s="62"/>
      <c r="N1260" s="62"/>
      <c r="O1260" s="62"/>
      <c r="P1260" s="62"/>
      <c r="Q1260" s="62"/>
    </row>
    <row r="1261" spans="1:17">
      <c r="A1261" s="62"/>
      <c r="B1261" s="62"/>
      <c r="C1261" s="62"/>
      <c r="D1261" s="62"/>
      <c r="E1261" s="62"/>
      <c r="F1261" s="62"/>
      <c r="G1261" s="62"/>
      <c r="H1261" s="62" t="str">
        <f>IF(AND('Data Export'!A1261=前十整体车型排名!$B$2,'Data Export'!B1261=前十整体车型排名!$B$3,'Data Export'!D1261&lt;&gt;""),UPPER('Data Export'!C1261)&amp;"♦"&amp;'Data Export'!D1261,"")</f>
        <v/>
      </c>
      <c r="I1261" s="63" t="str">
        <f>IF(H1261="","",IFERROR(INDEX('Data Export'!G1261:CZ1261,1,MATCH(前十整体车型排名!$B$4,'Data Export'!$G$1:$CZ$1,0)),0))</f>
        <v/>
      </c>
      <c r="J1261" s="62" t="str">
        <f>IF(H1261="","",IF(OR('Data Export'!F1261="三厢轿车",'Data Export'!F1261="掀背轿车",'Data Export'!F1261="旅行车",'Data Export'!F1261="微型车",'Data Export'!F1261="硬顶跑车",'Data Export'!F1261="敞蓬车",'Data Export'!F1261="Targa"),"轿车",IF(OR('Data Export'!F1261="小型MPV",'Data Export'!F1261="客车"),"MPV",IF('Data Export'!F1261="运动型多功能车","SUV","其他"))))</f>
        <v/>
      </c>
      <c r="K1261" s="62"/>
      <c r="L1261" s="62"/>
      <c r="M1261" s="62"/>
      <c r="N1261" s="62"/>
      <c r="O1261" s="62"/>
      <c r="P1261" s="62"/>
      <c r="Q1261" s="62"/>
    </row>
    <row r="1262" spans="1:17">
      <c r="A1262" s="62"/>
      <c r="B1262" s="62"/>
      <c r="C1262" s="62"/>
      <c r="D1262" s="62"/>
      <c r="E1262" s="62"/>
      <c r="F1262" s="62"/>
      <c r="G1262" s="62"/>
      <c r="H1262" s="62" t="str">
        <f>IF(AND('Data Export'!A1262=前十整体车型排名!$B$2,'Data Export'!B1262=前十整体车型排名!$B$3,'Data Export'!D1262&lt;&gt;""),UPPER('Data Export'!C1262)&amp;"♦"&amp;'Data Export'!D1262,"")</f>
        <v/>
      </c>
      <c r="I1262" s="63" t="str">
        <f>IF(H1262="","",IFERROR(INDEX('Data Export'!G1262:CZ1262,1,MATCH(前十整体车型排名!$B$4,'Data Export'!$G$1:$CZ$1,0)),0))</f>
        <v/>
      </c>
      <c r="J1262" s="62" t="str">
        <f>IF(H1262="","",IF(OR('Data Export'!F1262="三厢轿车",'Data Export'!F1262="掀背轿车",'Data Export'!F1262="旅行车",'Data Export'!F1262="微型车",'Data Export'!F1262="硬顶跑车",'Data Export'!F1262="敞蓬车",'Data Export'!F1262="Targa"),"轿车",IF(OR('Data Export'!F1262="小型MPV",'Data Export'!F1262="客车"),"MPV",IF('Data Export'!F1262="运动型多功能车","SUV","其他"))))</f>
        <v/>
      </c>
      <c r="K1262" s="62"/>
      <c r="L1262" s="62"/>
      <c r="M1262" s="62"/>
      <c r="N1262" s="62"/>
      <c r="O1262" s="62"/>
      <c r="P1262" s="62"/>
      <c r="Q1262" s="62"/>
    </row>
    <row r="1263" spans="1:17">
      <c r="A1263" s="62"/>
      <c r="B1263" s="62"/>
      <c r="C1263" s="62"/>
      <c r="D1263" s="62"/>
      <c r="E1263" s="62"/>
      <c r="F1263" s="62"/>
      <c r="G1263" s="62"/>
      <c r="H1263" s="62" t="str">
        <f>IF(AND('Data Export'!A1263=前十整体车型排名!$B$2,'Data Export'!B1263=前十整体车型排名!$B$3,'Data Export'!D1263&lt;&gt;""),UPPER('Data Export'!C1263)&amp;"♦"&amp;'Data Export'!D1263,"")</f>
        <v/>
      </c>
      <c r="I1263" s="63" t="str">
        <f>IF(H1263="","",IFERROR(INDEX('Data Export'!G1263:CZ1263,1,MATCH(前十整体车型排名!$B$4,'Data Export'!$G$1:$CZ$1,0)),0))</f>
        <v/>
      </c>
      <c r="J1263" s="62" t="str">
        <f>IF(H1263="","",IF(OR('Data Export'!F1263="三厢轿车",'Data Export'!F1263="掀背轿车",'Data Export'!F1263="旅行车",'Data Export'!F1263="微型车",'Data Export'!F1263="硬顶跑车",'Data Export'!F1263="敞蓬车",'Data Export'!F1263="Targa"),"轿车",IF(OR('Data Export'!F1263="小型MPV",'Data Export'!F1263="客车"),"MPV",IF('Data Export'!F1263="运动型多功能车","SUV","其他"))))</f>
        <v/>
      </c>
      <c r="K1263" s="62"/>
      <c r="L1263" s="62"/>
      <c r="M1263" s="62"/>
      <c r="N1263" s="62"/>
      <c r="O1263" s="62"/>
      <c r="P1263" s="62"/>
      <c r="Q1263" s="62"/>
    </row>
    <row r="1264" spans="1:17">
      <c r="A1264" s="62"/>
      <c r="B1264" s="62"/>
      <c r="C1264" s="62"/>
      <c r="D1264" s="62"/>
      <c r="E1264" s="62"/>
      <c r="F1264" s="62"/>
      <c r="G1264" s="62"/>
      <c r="H1264" s="62" t="str">
        <f>IF(AND('Data Export'!A1264=前十整体车型排名!$B$2,'Data Export'!B1264=前十整体车型排名!$B$3,'Data Export'!D1264&lt;&gt;""),UPPER('Data Export'!C1264)&amp;"♦"&amp;'Data Export'!D1264,"")</f>
        <v/>
      </c>
      <c r="I1264" s="63" t="str">
        <f>IF(H1264="","",IFERROR(INDEX('Data Export'!G1264:CZ1264,1,MATCH(前十整体车型排名!$B$4,'Data Export'!$G$1:$CZ$1,0)),0))</f>
        <v/>
      </c>
      <c r="J1264" s="62" t="str">
        <f>IF(H1264="","",IF(OR('Data Export'!F1264="三厢轿车",'Data Export'!F1264="掀背轿车",'Data Export'!F1264="旅行车",'Data Export'!F1264="微型车",'Data Export'!F1264="硬顶跑车",'Data Export'!F1264="敞蓬车",'Data Export'!F1264="Targa"),"轿车",IF(OR('Data Export'!F1264="小型MPV",'Data Export'!F1264="客车"),"MPV",IF('Data Export'!F1264="运动型多功能车","SUV","其他"))))</f>
        <v/>
      </c>
      <c r="K1264" s="62"/>
      <c r="L1264" s="62"/>
      <c r="M1264" s="62"/>
      <c r="N1264" s="62"/>
      <c r="O1264" s="62"/>
      <c r="P1264" s="62"/>
      <c r="Q1264" s="62"/>
    </row>
    <row r="1265" spans="1:17">
      <c r="A1265" s="62"/>
      <c r="B1265" s="62"/>
      <c r="C1265" s="62"/>
      <c r="D1265" s="62"/>
      <c r="E1265" s="62"/>
      <c r="F1265" s="62"/>
      <c r="G1265" s="62"/>
      <c r="H1265" s="62" t="str">
        <f>IF(AND('Data Export'!A1265=前十整体车型排名!$B$2,'Data Export'!B1265=前十整体车型排名!$B$3,'Data Export'!D1265&lt;&gt;""),UPPER('Data Export'!C1265)&amp;"♦"&amp;'Data Export'!D1265,"")</f>
        <v/>
      </c>
      <c r="I1265" s="63" t="str">
        <f>IF(H1265="","",IFERROR(INDEX('Data Export'!G1265:CZ1265,1,MATCH(前十整体车型排名!$B$4,'Data Export'!$G$1:$CZ$1,0)),0))</f>
        <v/>
      </c>
      <c r="J1265" s="62" t="str">
        <f>IF(H1265="","",IF(OR('Data Export'!F1265="三厢轿车",'Data Export'!F1265="掀背轿车",'Data Export'!F1265="旅行车",'Data Export'!F1265="微型车",'Data Export'!F1265="硬顶跑车",'Data Export'!F1265="敞蓬车",'Data Export'!F1265="Targa"),"轿车",IF(OR('Data Export'!F1265="小型MPV",'Data Export'!F1265="客车"),"MPV",IF('Data Export'!F1265="运动型多功能车","SUV","其他"))))</f>
        <v/>
      </c>
      <c r="K1265" s="62"/>
      <c r="L1265" s="62"/>
      <c r="M1265" s="62"/>
      <c r="N1265" s="62"/>
      <c r="O1265" s="62"/>
      <c r="P1265" s="62"/>
      <c r="Q1265" s="62"/>
    </row>
    <row r="1266" spans="1:17">
      <c r="A1266" s="62"/>
      <c r="B1266" s="62"/>
      <c r="C1266" s="62"/>
      <c r="D1266" s="62"/>
      <c r="E1266" s="62"/>
      <c r="F1266" s="62"/>
      <c r="G1266" s="62"/>
      <c r="H1266" s="62" t="str">
        <f>IF(AND('Data Export'!A1266=前十整体车型排名!$B$2,'Data Export'!B1266=前十整体车型排名!$B$3,'Data Export'!D1266&lt;&gt;""),UPPER('Data Export'!C1266)&amp;"♦"&amp;'Data Export'!D1266,"")</f>
        <v/>
      </c>
      <c r="I1266" s="63" t="str">
        <f>IF(H1266="","",IFERROR(INDEX('Data Export'!G1266:CZ1266,1,MATCH(前十整体车型排名!$B$4,'Data Export'!$G$1:$CZ$1,0)),0))</f>
        <v/>
      </c>
      <c r="J1266" s="62" t="str">
        <f>IF(H1266="","",IF(OR('Data Export'!F1266="三厢轿车",'Data Export'!F1266="掀背轿车",'Data Export'!F1266="旅行车",'Data Export'!F1266="微型车",'Data Export'!F1266="硬顶跑车",'Data Export'!F1266="敞蓬车",'Data Export'!F1266="Targa"),"轿车",IF(OR('Data Export'!F1266="小型MPV",'Data Export'!F1266="客车"),"MPV",IF('Data Export'!F1266="运动型多功能车","SUV","其他"))))</f>
        <v/>
      </c>
      <c r="K1266" s="62"/>
      <c r="L1266" s="62"/>
      <c r="M1266" s="62"/>
      <c r="N1266" s="62"/>
      <c r="O1266" s="62"/>
      <c r="P1266" s="62"/>
      <c r="Q1266" s="62"/>
    </row>
    <row r="1267" spans="1:17">
      <c r="A1267" s="62"/>
      <c r="B1267" s="62"/>
      <c r="C1267" s="62"/>
      <c r="D1267" s="62"/>
      <c r="E1267" s="62"/>
      <c r="F1267" s="62"/>
      <c r="G1267" s="62"/>
      <c r="H1267" s="62" t="str">
        <f>IF(AND('Data Export'!A1267=前十整体车型排名!$B$2,'Data Export'!B1267=前十整体车型排名!$B$3,'Data Export'!D1267&lt;&gt;""),UPPER('Data Export'!C1267)&amp;"♦"&amp;'Data Export'!D1267,"")</f>
        <v/>
      </c>
      <c r="I1267" s="63" t="str">
        <f>IF(H1267="","",IFERROR(INDEX('Data Export'!G1267:CZ1267,1,MATCH(前十整体车型排名!$B$4,'Data Export'!$G$1:$CZ$1,0)),0))</f>
        <v/>
      </c>
      <c r="J1267" s="62" t="str">
        <f>IF(H1267="","",IF(OR('Data Export'!F1267="三厢轿车",'Data Export'!F1267="掀背轿车",'Data Export'!F1267="旅行车",'Data Export'!F1267="微型车",'Data Export'!F1267="硬顶跑车",'Data Export'!F1267="敞蓬车",'Data Export'!F1267="Targa"),"轿车",IF(OR('Data Export'!F1267="小型MPV",'Data Export'!F1267="客车"),"MPV",IF('Data Export'!F1267="运动型多功能车","SUV","其他"))))</f>
        <v/>
      </c>
      <c r="K1267" s="62"/>
      <c r="L1267" s="62"/>
      <c r="M1267" s="62"/>
      <c r="N1267" s="62"/>
      <c r="O1267" s="62"/>
      <c r="P1267" s="62"/>
      <c r="Q1267" s="62"/>
    </row>
    <row r="1268" spans="1:17">
      <c r="A1268" s="62"/>
      <c r="B1268" s="62"/>
      <c r="C1268" s="62"/>
      <c r="D1268" s="62"/>
      <c r="E1268" s="62"/>
      <c r="F1268" s="62"/>
      <c r="G1268" s="62"/>
      <c r="H1268" s="62" t="str">
        <f>IF(AND('Data Export'!A1268=前十整体车型排名!$B$2,'Data Export'!B1268=前十整体车型排名!$B$3,'Data Export'!D1268&lt;&gt;""),UPPER('Data Export'!C1268)&amp;"♦"&amp;'Data Export'!D1268,"")</f>
        <v/>
      </c>
      <c r="I1268" s="63" t="str">
        <f>IF(H1268="","",IFERROR(INDEX('Data Export'!G1268:CZ1268,1,MATCH(前十整体车型排名!$B$4,'Data Export'!$G$1:$CZ$1,0)),0))</f>
        <v/>
      </c>
      <c r="J1268" s="62" t="str">
        <f>IF(H1268="","",IF(OR('Data Export'!F1268="三厢轿车",'Data Export'!F1268="掀背轿车",'Data Export'!F1268="旅行车",'Data Export'!F1268="微型车",'Data Export'!F1268="硬顶跑车",'Data Export'!F1268="敞蓬车",'Data Export'!F1268="Targa"),"轿车",IF(OR('Data Export'!F1268="小型MPV",'Data Export'!F1268="客车"),"MPV",IF('Data Export'!F1268="运动型多功能车","SUV","其他"))))</f>
        <v/>
      </c>
      <c r="K1268" s="62"/>
      <c r="L1268" s="62"/>
      <c r="M1268" s="62"/>
      <c r="N1268" s="62"/>
      <c r="O1268" s="62"/>
      <c r="P1268" s="62"/>
      <c r="Q1268" s="62"/>
    </row>
    <row r="1269" spans="1:17">
      <c r="A1269" s="62"/>
      <c r="B1269" s="62"/>
      <c r="C1269" s="62"/>
      <c r="D1269" s="62"/>
      <c r="E1269" s="62"/>
      <c r="F1269" s="62"/>
      <c r="G1269" s="62"/>
      <c r="H1269" s="62" t="str">
        <f>IF(AND('Data Export'!A1269=前十整体车型排名!$B$2,'Data Export'!B1269=前十整体车型排名!$B$3,'Data Export'!D1269&lt;&gt;""),UPPER('Data Export'!C1269)&amp;"♦"&amp;'Data Export'!D1269,"")</f>
        <v/>
      </c>
      <c r="I1269" s="63" t="str">
        <f>IF(H1269="","",IFERROR(INDEX('Data Export'!G1269:CZ1269,1,MATCH(前十整体车型排名!$B$4,'Data Export'!$G$1:$CZ$1,0)),0))</f>
        <v/>
      </c>
      <c r="J1269" s="62" t="str">
        <f>IF(H1269="","",IF(OR('Data Export'!F1269="三厢轿车",'Data Export'!F1269="掀背轿车",'Data Export'!F1269="旅行车",'Data Export'!F1269="微型车",'Data Export'!F1269="硬顶跑车",'Data Export'!F1269="敞蓬车",'Data Export'!F1269="Targa"),"轿车",IF(OR('Data Export'!F1269="小型MPV",'Data Export'!F1269="客车"),"MPV",IF('Data Export'!F1269="运动型多功能车","SUV","其他"))))</f>
        <v/>
      </c>
      <c r="K1269" s="62"/>
      <c r="L1269" s="62"/>
      <c r="M1269" s="62"/>
      <c r="N1269" s="62"/>
      <c r="O1269" s="62"/>
      <c r="P1269" s="62"/>
      <c r="Q1269" s="62"/>
    </row>
    <row r="1270" spans="1:17">
      <c r="A1270" s="62"/>
      <c r="B1270" s="62"/>
      <c r="C1270" s="62"/>
      <c r="D1270" s="62"/>
      <c r="E1270" s="62"/>
      <c r="F1270" s="62"/>
      <c r="G1270" s="62"/>
      <c r="H1270" s="62" t="str">
        <f>IF(AND('Data Export'!A1270=前十整体车型排名!$B$2,'Data Export'!B1270=前十整体车型排名!$B$3,'Data Export'!D1270&lt;&gt;""),UPPER('Data Export'!C1270)&amp;"♦"&amp;'Data Export'!D1270,"")</f>
        <v/>
      </c>
      <c r="I1270" s="63" t="str">
        <f>IF(H1270="","",IFERROR(INDEX('Data Export'!G1270:CZ1270,1,MATCH(前十整体车型排名!$B$4,'Data Export'!$G$1:$CZ$1,0)),0))</f>
        <v/>
      </c>
      <c r="J1270" s="62" t="str">
        <f>IF(H1270="","",IF(OR('Data Export'!F1270="三厢轿车",'Data Export'!F1270="掀背轿车",'Data Export'!F1270="旅行车",'Data Export'!F1270="微型车",'Data Export'!F1270="硬顶跑车",'Data Export'!F1270="敞蓬车",'Data Export'!F1270="Targa"),"轿车",IF(OR('Data Export'!F1270="小型MPV",'Data Export'!F1270="客车"),"MPV",IF('Data Export'!F1270="运动型多功能车","SUV","其他"))))</f>
        <v/>
      </c>
      <c r="K1270" s="62"/>
      <c r="L1270" s="62"/>
      <c r="M1270" s="62"/>
      <c r="N1270" s="62"/>
      <c r="O1270" s="62"/>
      <c r="P1270" s="62"/>
      <c r="Q1270" s="62"/>
    </row>
    <row r="1271" spans="1:17">
      <c r="A1271" s="62"/>
      <c r="B1271" s="62"/>
      <c r="C1271" s="62"/>
      <c r="D1271" s="62"/>
      <c r="E1271" s="62"/>
      <c r="F1271" s="62"/>
      <c r="G1271" s="62"/>
      <c r="H1271" s="62" t="str">
        <f>IF(AND('Data Export'!A1271=前十整体车型排名!$B$2,'Data Export'!B1271=前十整体车型排名!$B$3,'Data Export'!D1271&lt;&gt;""),UPPER('Data Export'!C1271)&amp;"♦"&amp;'Data Export'!D1271,"")</f>
        <v/>
      </c>
      <c r="I1271" s="63" t="str">
        <f>IF(H1271="","",IFERROR(INDEX('Data Export'!G1271:CZ1271,1,MATCH(前十整体车型排名!$B$4,'Data Export'!$G$1:$CZ$1,0)),0))</f>
        <v/>
      </c>
      <c r="J1271" s="62" t="str">
        <f>IF(H1271="","",IF(OR('Data Export'!F1271="三厢轿车",'Data Export'!F1271="掀背轿车",'Data Export'!F1271="旅行车",'Data Export'!F1271="微型车",'Data Export'!F1271="硬顶跑车",'Data Export'!F1271="敞蓬车",'Data Export'!F1271="Targa"),"轿车",IF(OR('Data Export'!F1271="小型MPV",'Data Export'!F1271="客车"),"MPV",IF('Data Export'!F1271="运动型多功能车","SUV","其他"))))</f>
        <v/>
      </c>
      <c r="K1271" s="62"/>
      <c r="L1271" s="62"/>
      <c r="M1271" s="62"/>
      <c r="N1271" s="62"/>
      <c r="O1271" s="62"/>
      <c r="P1271" s="62"/>
      <c r="Q1271" s="62"/>
    </row>
    <row r="1272" spans="1:17">
      <c r="A1272" s="62"/>
      <c r="B1272" s="62"/>
      <c r="C1272" s="62"/>
      <c r="D1272" s="62"/>
      <c r="E1272" s="62"/>
      <c r="F1272" s="62"/>
      <c r="G1272" s="62"/>
      <c r="H1272" s="62" t="str">
        <f>IF(AND('Data Export'!A1272=前十整体车型排名!$B$2,'Data Export'!B1272=前十整体车型排名!$B$3,'Data Export'!D1272&lt;&gt;""),UPPER('Data Export'!C1272)&amp;"♦"&amp;'Data Export'!D1272,"")</f>
        <v/>
      </c>
      <c r="I1272" s="63" t="str">
        <f>IF(H1272="","",IFERROR(INDEX('Data Export'!G1272:CZ1272,1,MATCH(前十整体车型排名!$B$4,'Data Export'!$G$1:$CZ$1,0)),0))</f>
        <v/>
      </c>
      <c r="J1272" s="62" t="str">
        <f>IF(H1272="","",IF(OR('Data Export'!F1272="三厢轿车",'Data Export'!F1272="掀背轿车",'Data Export'!F1272="旅行车",'Data Export'!F1272="微型车",'Data Export'!F1272="硬顶跑车",'Data Export'!F1272="敞蓬车",'Data Export'!F1272="Targa"),"轿车",IF(OR('Data Export'!F1272="小型MPV",'Data Export'!F1272="客车"),"MPV",IF('Data Export'!F1272="运动型多功能车","SUV","其他"))))</f>
        <v/>
      </c>
      <c r="K1272" s="62"/>
      <c r="L1272" s="62"/>
      <c r="M1272" s="62"/>
      <c r="N1272" s="62"/>
      <c r="O1272" s="62"/>
      <c r="P1272" s="62"/>
      <c r="Q1272" s="62"/>
    </row>
    <row r="1273" spans="1:17">
      <c r="A1273" s="62"/>
      <c r="B1273" s="62"/>
      <c r="C1273" s="62"/>
      <c r="D1273" s="62"/>
      <c r="E1273" s="62"/>
      <c r="F1273" s="62"/>
      <c r="G1273" s="62"/>
      <c r="H1273" s="62" t="str">
        <f>IF(AND('Data Export'!A1273=前十整体车型排名!$B$2,'Data Export'!B1273=前十整体车型排名!$B$3,'Data Export'!D1273&lt;&gt;""),UPPER('Data Export'!C1273)&amp;"♦"&amp;'Data Export'!D1273,"")</f>
        <v/>
      </c>
      <c r="I1273" s="63" t="str">
        <f>IF(H1273="","",IFERROR(INDEX('Data Export'!G1273:CZ1273,1,MATCH(前十整体车型排名!$B$4,'Data Export'!$G$1:$CZ$1,0)),0))</f>
        <v/>
      </c>
      <c r="J1273" s="62" t="str">
        <f>IF(H1273="","",IF(OR('Data Export'!F1273="三厢轿车",'Data Export'!F1273="掀背轿车",'Data Export'!F1273="旅行车",'Data Export'!F1273="微型车",'Data Export'!F1273="硬顶跑车",'Data Export'!F1273="敞蓬车",'Data Export'!F1273="Targa"),"轿车",IF(OR('Data Export'!F1273="小型MPV",'Data Export'!F1273="客车"),"MPV",IF('Data Export'!F1273="运动型多功能车","SUV","其他"))))</f>
        <v/>
      </c>
      <c r="K1273" s="62"/>
      <c r="L1273" s="62"/>
      <c r="M1273" s="62"/>
      <c r="N1273" s="62"/>
      <c r="O1273" s="62"/>
      <c r="P1273" s="62"/>
      <c r="Q1273" s="62"/>
    </row>
    <row r="1274" spans="1:17">
      <c r="A1274" s="62"/>
      <c r="B1274" s="62"/>
      <c r="C1274" s="62"/>
      <c r="D1274" s="62"/>
      <c r="E1274" s="62"/>
      <c r="F1274" s="62"/>
      <c r="G1274" s="62"/>
      <c r="H1274" s="62" t="str">
        <f>IF(AND('Data Export'!A1274=前十整体车型排名!$B$2,'Data Export'!B1274=前十整体车型排名!$B$3,'Data Export'!D1274&lt;&gt;""),UPPER('Data Export'!C1274)&amp;"♦"&amp;'Data Export'!D1274,"")</f>
        <v/>
      </c>
      <c r="I1274" s="63" t="str">
        <f>IF(H1274="","",IFERROR(INDEX('Data Export'!G1274:CZ1274,1,MATCH(前十整体车型排名!$B$4,'Data Export'!$G$1:$CZ$1,0)),0))</f>
        <v/>
      </c>
      <c r="J1274" s="62" t="str">
        <f>IF(H1274="","",IF(OR('Data Export'!F1274="三厢轿车",'Data Export'!F1274="掀背轿车",'Data Export'!F1274="旅行车",'Data Export'!F1274="微型车",'Data Export'!F1274="硬顶跑车",'Data Export'!F1274="敞蓬车",'Data Export'!F1274="Targa"),"轿车",IF(OR('Data Export'!F1274="小型MPV",'Data Export'!F1274="客车"),"MPV",IF('Data Export'!F1274="运动型多功能车","SUV","其他"))))</f>
        <v/>
      </c>
      <c r="K1274" s="62"/>
      <c r="L1274" s="62"/>
      <c r="M1274" s="62"/>
      <c r="N1274" s="62"/>
      <c r="O1274" s="62"/>
      <c r="P1274" s="62"/>
      <c r="Q1274" s="62"/>
    </row>
    <row r="1275" spans="1:17">
      <c r="A1275" s="62"/>
      <c r="B1275" s="62"/>
      <c r="C1275" s="62"/>
      <c r="D1275" s="62"/>
      <c r="E1275" s="62"/>
      <c r="F1275" s="62"/>
      <c r="G1275" s="62"/>
      <c r="H1275" s="62" t="str">
        <f>IF(AND('Data Export'!A1275=前十整体车型排名!$B$2,'Data Export'!B1275=前十整体车型排名!$B$3,'Data Export'!D1275&lt;&gt;""),UPPER('Data Export'!C1275)&amp;"♦"&amp;'Data Export'!D1275,"")</f>
        <v/>
      </c>
      <c r="I1275" s="63" t="str">
        <f>IF(H1275="","",IFERROR(INDEX('Data Export'!G1275:CZ1275,1,MATCH(前十整体车型排名!$B$4,'Data Export'!$G$1:$CZ$1,0)),0))</f>
        <v/>
      </c>
      <c r="J1275" s="62" t="str">
        <f>IF(H1275="","",IF(OR('Data Export'!F1275="三厢轿车",'Data Export'!F1275="掀背轿车",'Data Export'!F1275="旅行车",'Data Export'!F1275="微型车",'Data Export'!F1275="硬顶跑车",'Data Export'!F1275="敞蓬车",'Data Export'!F1275="Targa"),"轿车",IF(OR('Data Export'!F1275="小型MPV",'Data Export'!F1275="客车"),"MPV",IF('Data Export'!F1275="运动型多功能车","SUV","其他"))))</f>
        <v/>
      </c>
      <c r="K1275" s="62"/>
      <c r="L1275" s="62"/>
      <c r="M1275" s="62"/>
      <c r="N1275" s="62"/>
      <c r="O1275" s="62"/>
      <c r="P1275" s="62"/>
      <c r="Q1275" s="62"/>
    </row>
    <row r="1276" spans="1:17">
      <c r="A1276" s="62"/>
      <c r="B1276" s="62"/>
      <c r="C1276" s="62"/>
      <c r="D1276" s="62"/>
      <c r="E1276" s="62"/>
      <c r="F1276" s="62"/>
      <c r="G1276" s="62"/>
      <c r="H1276" s="62" t="str">
        <f>IF(AND('Data Export'!A1276=前十整体车型排名!$B$2,'Data Export'!B1276=前十整体车型排名!$B$3,'Data Export'!D1276&lt;&gt;""),UPPER('Data Export'!C1276)&amp;"♦"&amp;'Data Export'!D1276,"")</f>
        <v/>
      </c>
      <c r="I1276" s="63" t="str">
        <f>IF(H1276="","",IFERROR(INDEX('Data Export'!G1276:CZ1276,1,MATCH(前十整体车型排名!$B$4,'Data Export'!$G$1:$CZ$1,0)),0))</f>
        <v/>
      </c>
      <c r="J1276" s="62" t="str">
        <f>IF(H1276="","",IF(OR('Data Export'!F1276="三厢轿车",'Data Export'!F1276="掀背轿车",'Data Export'!F1276="旅行车",'Data Export'!F1276="微型车",'Data Export'!F1276="硬顶跑车",'Data Export'!F1276="敞蓬车",'Data Export'!F1276="Targa"),"轿车",IF(OR('Data Export'!F1276="小型MPV",'Data Export'!F1276="客车"),"MPV",IF('Data Export'!F1276="运动型多功能车","SUV","其他"))))</f>
        <v/>
      </c>
      <c r="K1276" s="62"/>
      <c r="L1276" s="62"/>
      <c r="M1276" s="62"/>
      <c r="N1276" s="62"/>
      <c r="O1276" s="62"/>
      <c r="P1276" s="62"/>
      <c r="Q1276" s="62"/>
    </row>
    <row r="1277" spans="1:17">
      <c r="A1277" s="62"/>
      <c r="B1277" s="62"/>
      <c r="C1277" s="62"/>
      <c r="D1277" s="62"/>
      <c r="E1277" s="62"/>
      <c r="F1277" s="62"/>
      <c r="G1277" s="62"/>
      <c r="H1277" s="62" t="str">
        <f>IF(AND('Data Export'!A1277=前十整体车型排名!$B$2,'Data Export'!B1277=前十整体车型排名!$B$3,'Data Export'!D1277&lt;&gt;""),UPPER('Data Export'!C1277)&amp;"♦"&amp;'Data Export'!D1277,"")</f>
        <v/>
      </c>
      <c r="I1277" s="63" t="str">
        <f>IF(H1277="","",IFERROR(INDEX('Data Export'!G1277:CZ1277,1,MATCH(前十整体车型排名!$B$4,'Data Export'!$G$1:$CZ$1,0)),0))</f>
        <v/>
      </c>
      <c r="J1277" s="62" t="str">
        <f>IF(H1277="","",IF(OR('Data Export'!F1277="三厢轿车",'Data Export'!F1277="掀背轿车",'Data Export'!F1277="旅行车",'Data Export'!F1277="微型车",'Data Export'!F1277="硬顶跑车",'Data Export'!F1277="敞蓬车",'Data Export'!F1277="Targa"),"轿车",IF(OR('Data Export'!F1277="小型MPV",'Data Export'!F1277="客车"),"MPV",IF('Data Export'!F1277="运动型多功能车","SUV","其他"))))</f>
        <v/>
      </c>
      <c r="K1277" s="62"/>
      <c r="L1277" s="62"/>
      <c r="M1277" s="62"/>
      <c r="N1277" s="62"/>
      <c r="O1277" s="62"/>
      <c r="P1277" s="62"/>
      <c r="Q1277" s="62"/>
    </row>
    <row r="1278" spans="1:17">
      <c r="A1278" s="62"/>
      <c r="B1278" s="62"/>
      <c r="C1278" s="62"/>
      <c r="D1278" s="62"/>
      <c r="E1278" s="62"/>
      <c r="F1278" s="62"/>
      <c r="G1278" s="62"/>
      <c r="H1278" s="62" t="str">
        <f>IF(AND('Data Export'!A1278=前十整体车型排名!$B$2,'Data Export'!B1278=前十整体车型排名!$B$3,'Data Export'!D1278&lt;&gt;""),UPPER('Data Export'!C1278)&amp;"♦"&amp;'Data Export'!D1278,"")</f>
        <v/>
      </c>
      <c r="I1278" s="63" t="str">
        <f>IF(H1278="","",IFERROR(INDEX('Data Export'!G1278:CZ1278,1,MATCH(前十整体车型排名!$B$4,'Data Export'!$G$1:$CZ$1,0)),0))</f>
        <v/>
      </c>
      <c r="J1278" s="62" t="str">
        <f>IF(H1278="","",IF(OR('Data Export'!F1278="三厢轿车",'Data Export'!F1278="掀背轿车",'Data Export'!F1278="旅行车",'Data Export'!F1278="微型车",'Data Export'!F1278="硬顶跑车",'Data Export'!F1278="敞蓬车",'Data Export'!F1278="Targa"),"轿车",IF(OR('Data Export'!F1278="小型MPV",'Data Export'!F1278="客车"),"MPV",IF('Data Export'!F1278="运动型多功能车","SUV","其他"))))</f>
        <v/>
      </c>
      <c r="K1278" s="62"/>
      <c r="L1278" s="62"/>
      <c r="M1278" s="62"/>
      <c r="N1278" s="62"/>
      <c r="O1278" s="62"/>
      <c r="P1278" s="62"/>
      <c r="Q1278" s="62"/>
    </row>
    <row r="1279" spans="1:17">
      <c r="A1279" s="62"/>
      <c r="B1279" s="62"/>
      <c r="C1279" s="62"/>
      <c r="D1279" s="62"/>
      <c r="E1279" s="62"/>
      <c r="F1279" s="62"/>
      <c r="G1279" s="62"/>
      <c r="H1279" s="62" t="str">
        <f>IF(AND('Data Export'!A1279=前十整体车型排名!$B$2,'Data Export'!B1279=前十整体车型排名!$B$3,'Data Export'!D1279&lt;&gt;""),UPPER('Data Export'!C1279)&amp;"♦"&amp;'Data Export'!D1279,"")</f>
        <v/>
      </c>
      <c r="I1279" s="63" t="str">
        <f>IF(H1279="","",IFERROR(INDEX('Data Export'!G1279:CZ1279,1,MATCH(前十整体车型排名!$B$4,'Data Export'!$G$1:$CZ$1,0)),0))</f>
        <v/>
      </c>
      <c r="J1279" s="62" t="str">
        <f>IF(H1279="","",IF(OR('Data Export'!F1279="三厢轿车",'Data Export'!F1279="掀背轿车",'Data Export'!F1279="旅行车",'Data Export'!F1279="微型车",'Data Export'!F1279="硬顶跑车",'Data Export'!F1279="敞蓬车",'Data Export'!F1279="Targa"),"轿车",IF(OR('Data Export'!F1279="小型MPV",'Data Export'!F1279="客车"),"MPV",IF('Data Export'!F1279="运动型多功能车","SUV","其他"))))</f>
        <v/>
      </c>
      <c r="K1279" s="62"/>
      <c r="L1279" s="62"/>
      <c r="M1279" s="62"/>
      <c r="N1279" s="62"/>
      <c r="O1279" s="62"/>
      <c r="P1279" s="62"/>
      <c r="Q1279" s="62"/>
    </row>
    <row r="1280" spans="1:17">
      <c r="A1280" s="62"/>
      <c r="B1280" s="62"/>
      <c r="C1280" s="62"/>
      <c r="D1280" s="62"/>
      <c r="E1280" s="62"/>
      <c r="F1280" s="62"/>
      <c r="G1280" s="62"/>
      <c r="H1280" s="62" t="str">
        <f>IF(AND('Data Export'!A1280=前十整体车型排名!$B$2,'Data Export'!B1280=前十整体车型排名!$B$3,'Data Export'!D1280&lt;&gt;""),UPPER('Data Export'!C1280)&amp;"♦"&amp;'Data Export'!D1280,"")</f>
        <v/>
      </c>
      <c r="I1280" s="63" t="str">
        <f>IF(H1280="","",IFERROR(INDEX('Data Export'!G1280:CZ1280,1,MATCH(前十整体车型排名!$B$4,'Data Export'!$G$1:$CZ$1,0)),0))</f>
        <v/>
      </c>
      <c r="J1280" s="62" t="str">
        <f>IF(H1280="","",IF(OR('Data Export'!F1280="三厢轿车",'Data Export'!F1280="掀背轿车",'Data Export'!F1280="旅行车",'Data Export'!F1280="微型车",'Data Export'!F1280="硬顶跑车",'Data Export'!F1280="敞蓬车",'Data Export'!F1280="Targa"),"轿车",IF(OR('Data Export'!F1280="小型MPV",'Data Export'!F1280="客车"),"MPV",IF('Data Export'!F1280="运动型多功能车","SUV","其他"))))</f>
        <v/>
      </c>
      <c r="K1280" s="62"/>
      <c r="L1280" s="62"/>
      <c r="M1280" s="62"/>
      <c r="N1280" s="62"/>
      <c r="O1280" s="62"/>
      <c r="P1280" s="62"/>
      <c r="Q1280" s="62"/>
    </row>
    <row r="1281" spans="1:17">
      <c r="A1281" s="62"/>
      <c r="B1281" s="62"/>
      <c r="C1281" s="62"/>
      <c r="D1281" s="62"/>
      <c r="E1281" s="62"/>
      <c r="F1281" s="62"/>
      <c r="G1281" s="62"/>
      <c r="H1281" s="62" t="str">
        <f>IF(AND('Data Export'!A1281=前十整体车型排名!$B$2,'Data Export'!B1281=前十整体车型排名!$B$3,'Data Export'!D1281&lt;&gt;""),UPPER('Data Export'!C1281)&amp;"♦"&amp;'Data Export'!D1281,"")</f>
        <v/>
      </c>
      <c r="I1281" s="63" t="str">
        <f>IF(H1281="","",IFERROR(INDEX('Data Export'!G1281:CZ1281,1,MATCH(前十整体车型排名!$B$4,'Data Export'!$G$1:$CZ$1,0)),0))</f>
        <v/>
      </c>
      <c r="J1281" s="62" t="str">
        <f>IF(H1281="","",IF(OR('Data Export'!F1281="三厢轿车",'Data Export'!F1281="掀背轿车",'Data Export'!F1281="旅行车",'Data Export'!F1281="微型车",'Data Export'!F1281="硬顶跑车",'Data Export'!F1281="敞蓬车",'Data Export'!F1281="Targa"),"轿车",IF(OR('Data Export'!F1281="小型MPV",'Data Export'!F1281="客车"),"MPV",IF('Data Export'!F1281="运动型多功能车","SUV","其他"))))</f>
        <v/>
      </c>
      <c r="K1281" s="62"/>
      <c r="L1281" s="62"/>
      <c r="M1281" s="62"/>
      <c r="N1281" s="62"/>
      <c r="O1281" s="62"/>
      <c r="P1281" s="62"/>
      <c r="Q1281" s="62"/>
    </row>
    <row r="1282" spans="1:17">
      <c r="A1282" s="62"/>
      <c r="B1282" s="62"/>
      <c r="C1282" s="62"/>
      <c r="D1282" s="62"/>
      <c r="E1282" s="62"/>
      <c r="F1282" s="62"/>
      <c r="G1282" s="62"/>
      <c r="H1282" s="62" t="str">
        <f>IF(AND('Data Export'!A1282=前十整体车型排名!$B$2,'Data Export'!B1282=前十整体车型排名!$B$3,'Data Export'!D1282&lt;&gt;""),UPPER('Data Export'!C1282)&amp;"♦"&amp;'Data Export'!D1282,"")</f>
        <v/>
      </c>
      <c r="I1282" s="63" t="str">
        <f>IF(H1282="","",IFERROR(INDEX('Data Export'!G1282:CZ1282,1,MATCH(前十整体车型排名!$B$4,'Data Export'!$G$1:$CZ$1,0)),0))</f>
        <v/>
      </c>
      <c r="J1282" s="62" t="str">
        <f>IF(H1282="","",IF(OR('Data Export'!F1282="三厢轿车",'Data Export'!F1282="掀背轿车",'Data Export'!F1282="旅行车",'Data Export'!F1282="微型车",'Data Export'!F1282="硬顶跑车",'Data Export'!F1282="敞蓬车",'Data Export'!F1282="Targa"),"轿车",IF(OR('Data Export'!F1282="小型MPV",'Data Export'!F1282="客车"),"MPV",IF('Data Export'!F1282="运动型多功能车","SUV","其他"))))</f>
        <v/>
      </c>
      <c r="K1282" s="62"/>
      <c r="L1282" s="62"/>
      <c r="M1282" s="62"/>
      <c r="N1282" s="62"/>
      <c r="O1282" s="62"/>
      <c r="P1282" s="62"/>
      <c r="Q1282" s="62"/>
    </row>
    <row r="1283" spans="1:17">
      <c r="A1283" s="62"/>
      <c r="B1283" s="62"/>
      <c r="C1283" s="62"/>
      <c r="D1283" s="62"/>
      <c r="E1283" s="62"/>
      <c r="F1283" s="62"/>
      <c r="G1283" s="62"/>
      <c r="H1283" s="62" t="str">
        <f>IF(AND('Data Export'!A1283=前十整体车型排名!$B$2,'Data Export'!B1283=前十整体车型排名!$B$3,'Data Export'!D1283&lt;&gt;""),UPPER('Data Export'!C1283)&amp;"♦"&amp;'Data Export'!D1283,"")</f>
        <v/>
      </c>
      <c r="I1283" s="63" t="str">
        <f>IF(H1283="","",IFERROR(INDEX('Data Export'!G1283:CZ1283,1,MATCH(前十整体车型排名!$B$4,'Data Export'!$G$1:$CZ$1,0)),0))</f>
        <v/>
      </c>
      <c r="J1283" s="62" t="str">
        <f>IF(H1283="","",IF(OR('Data Export'!F1283="三厢轿车",'Data Export'!F1283="掀背轿车",'Data Export'!F1283="旅行车",'Data Export'!F1283="微型车",'Data Export'!F1283="硬顶跑车",'Data Export'!F1283="敞蓬车",'Data Export'!F1283="Targa"),"轿车",IF(OR('Data Export'!F1283="小型MPV",'Data Export'!F1283="客车"),"MPV",IF('Data Export'!F1283="运动型多功能车","SUV","其他"))))</f>
        <v/>
      </c>
      <c r="K1283" s="62"/>
      <c r="L1283" s="62"/>
      <c r="M1283" s="62"/>
      <c r="N1283" s="62"/>
      <c r="O1283" s="62"/>
      <c r="P1283" s="62"/>
      <c r="Q1283" s="62"/>
    </row>
    <row r="1284" spans="1:17">
      <c r="A1284" s="62"/>
      <c r="B1284" s="62"/>
      <c r="C1284" s="62"/>
      <c r="D1284" s="62"/>
      <c r="E1284" s="62"/>
      <c r="F1284" s="62"/>
      <c r="G1284" s="62"/>
      <c r="H1284" s="62" t="str">
        <f>IF(AND('Data Export'!A1284=前十整体车型排名!$B$2,'Data Export'!B1284=前十整体车型排名!$B$3,'Data Export'!D1284&lt;&gt;""),UPPER('Data Export'!C1284)&amp;"♦"&amp;'Data Export'!D1284,"")</f>
        <v/>
      </c>
      <c r="I1284" s="63" t="str">
        <f>IF(H1284="","",IFERROR(INDEX('Data Export'!G1284:CZ1284,1,MATCH(前十整体车型排名!$B$4,'Data Export'!$G$1:$CZ$1,0)),0))</f>
        <v/>
      </c>
      <c r="J1284" s="62" t="str">
        <f>IF(H1284="","",IF(OR('Data Export'!F1284="三厢轿车",'Data Export'!F1284="掀背轿车",'Data Export'!F1284="旅行车",'Data Export'!F1284="微型车",'Data Export'!F1284="硬顶跑车",'Data Export'!F1284="敞蓬车",'Data Export'!F1284="Targa"),"轿车",IF(OR('Data Export'!F1284="小型MPV",'Data Export'!F1284="客车"),"MPV",IF('Data Export'!F1284="运动型多功能车","SUV","其他"))))</f>
        <v/>
      </c>
      <c r="K1284" s="62"/>
      <c r="L1284" s="62"/>
      <c r="M1284" s="62"/>
      <c r="N1284" s="62"/>
      <c r="O1284" s="62"/>
      <c r="P1284" s="62"/>
      <c r="Q1284" s="62"/>
    </row>
    <row r="1285" spans="1:17">
      <c r="A1285" s="62"/>
      <c r="B1285" s="62"/>
      <c r="C1285" s="62"/>
      <c r="D1285" s="62"/>
      <c r="E1285" s="62"/>
      <c r="F1285" s="62"/>
      <c r="G1285" s="62"/>
      <c r="H1285" s="62" t="str">
        <f>IF(AND('Data Export'!A1285=前十整体车型排名!$B$2,'Data Export'!B1285=前十整体车型排名!$B$3,'Data Export'!D1285&lt;&gt;""),UPPER('Data Export'!C1285)&amp;"♦"&amp;'Data Export'!D1285,"")</f>
        <v/>
      </c>
      <c r="I1285" s="63" t="str">
        <f>IF(H1285="","",IFERROR(INDEX('Data Export'!G1285:CZ1285,1,MATCH(前十整体车型排名!$B$4,'Data Export'!$G$1:$CZ$1,0)),0))</f>
        <v/>
      </c>
      <c r="J1285" s="62" t="str">
        <f>IF(H1285="","",IF(OR('Data Export'!F1285="三厢轿车",'Data Export'!F1285="掀背轿车",'Data Export'!F1285="旅行车",'Data Export'!F1285="微型车",'Data Export'!F1285="硬顶跑车",'Data Export'!F1285="敞蓬车",'Data Export'!F1285="Targa"),"轿车",IF(OR('Data Export'!F1285="小型MPV",'Data Export'!F1285="客车"),"MPV",IF('Data Export'!F1285="运动型多功能车","SUV","其他"))))</f>
        <v/>
      </c>
      <c r="K1285" s="62"/>
      <c r="L1285" s="62"/>
      <c r="M1285" s="62"/>
      <c r="N1285" s="62"/>
      <c r="O1285" s="62"/>
      <c r="P1285" s="62"/>
      <c r="Q1285" s="62"/>
    </row>
    <row r="1286" spans="1:17">
      <c r="A1286" s="62"/>
      <c r="B1286" s="62"/>
      <c r="C1286" s="62"/>
      <c r="D1286" s="62"/>
      <c r="E1286" s="62"/>
      <c r="F1286" s="62"/>
      <c r="G1286" s="62"/>
      <c r="H1286" s="62" t="str">
        <f>IF(AND('Data Export'!A1286=前十整体车型排名!$B$2,'Data Export'!B1286=前十整体车型排名!$B$3,'Data Export'!D1286&lt;&gt;""),UPPER('Data Export'!C1286)&amp;"♦"&amp;'Data Export'!D1286,"")</f>
        <v/>
      </c>
      <c r="I1286" s="63" t="str">
        <f>IF(H1286="","",IFERROR(INDEX('Data Export'!G1286:CZ1286,1,MATCH(前十整体车型排名!$B$4,'Data Export'!$G$1:$CZ$1,0)),0))</f>
        <v/>
      </c>
      <c r="J1286" s="62" t="str">
        <f>IF(H1286="","",IF(OR('Data Export'!F1286="三厢轿车",'Data Export'!F1286="掀背轿车",'Data Export'!F1286="旅行车",'Data Export'!F1286="微型车",'Data Export'!F1286="硬顶跑车",'Data Export'!F1286="敞蓬车",'Data Export'!F1286="Targa"),"轿车",IF(OR('Data Export'!F1286="小型MPV",'Data Export'!F1286="客车"),"MPV",IF('Data Export'!F1286="运动型多功能车","SUV","其他"))))</f>
        <v/>
      </c>
      <c r="K1286" s="62"/>
      <c r="L1286" s="62"/>
      <c r="M1286" s="62"/>
      <c r="N1286" s="62"/>
      <c r="O1286" s="62"/>
      <c r="P1286" s="62"/>
      <c r="Q1286" s="62"/>
    </row>
    <row r="1287" spans="1:17">
      <c r="A1287" s="62"/>
      <c r="B1287" s="62"/>
      <c r="C1287" s="62"/>
      <c r="D1287" s="62"/>
      <c r="E1287" s="62"/>
      <c r="F1287" s="62"/>
      <c r="G1287" s="62"/>
      <c r="H1287" s="62" t="str">
        <f>IF(AND('Data Export'!A1287=前十整体车型排名!$B$2,'Data Export'!B1287=前十整体车型排名!$B$3,'Data Export'!D1287&lt;&gt;""),UPPER('Data Export'!C1287)&amp;"♦"&amp;'Data Export'!D1287,"")</f>
        <v/>
      </c>
      <c r="I1287" s="63" t="str">
        <f>IF(H1287="","",IFERROR(INDEX('Data Export'!G1287:CZ1287,1,MATCH(前十整体车型排名!$B$4,'Data Export'!$G$1:$CZ$1,0)),0))</f>
        <v/>
      </c>
      <c r="J1287" s="62" t="str">
        <f>IF(H1287="","",IF(OR('Data Export'!F1287="三厢轿车",'Data Export'!F1287="掀背轿车",'Data Export'!F1287="旅行车",'Data Export'!F1287="微型车",'Data Export'!F1287="硬顶跑车",'Data Export'!F1287="敞蓬车",'Data Export'!F1287="Targa"),"轿车",IF(OR('Data Export'!F1287="小型MPV",'Data Export'!F1287="客车"),"MPV",IF('Data Export'!F1287="运动型多功能车","SUV","其他"))))</f>
        <v/>
      </c>
      <c r="K1287" s="62"/>
      <c r="L1287" s="62"/>
      <c r="M1287" s="62"/>
      <c r="N1287" s="62"/>
      <c r="O1287" s="62"/>
      <c r="P1287" s="62"/>
      <c r="Q1287" s="62"/>
    </row>
    <row r="1288" spans="1:17">
      <c r="A1288" s="62"/>
      <c r="B1288" s="62"/>
      <c r="C1288" s="62"/>
      <c r="D1288" s="62"/>
      <c r="E1288" s="62"/>
      <c r="F1288" s="62"/>
      <c r="G1288" s="62"/>
      <c r="H1288" s="62" t="str">
        <f>IF(AND('Data Export'!A1288=前十整体车型排名!$B$2,'Data Export'!B1288=前十整体车型排名!$B$3,'Data Export'!D1288&lt;&gt;""),UPPER('Data Export'!C1288)&amp;"♦"&amp;'Data Export'!D1288,"")</f>
        <v/>
      </c>
      <c r="I1288" s="63" t="str">
        <f>IF(H1288="","",IFERROR(INDEX('Data Export'!G1288:CZ1288,1,MATCH(前十整体车型排名!$B$4,'Data Export'!$G$1:$CZ$1,0)),0))</f>
        <v/>
      </c>
      <c r="J1288" s="62" t="str">
        <f>IF(H1288="","",IF(OR('Data Export'!F1288="三厢轿车",'Data Export'!F1288="掀背轿车",'Data Export'!F1288="旅行车",'Data Export'!F1288="微型车",'Data Export'!F1288="硬顶跑车",'Data Export'!F1288="敞蓬车",'Data Export'!F1288="Targa"),"轿车",IF(OR('Data Export'!F1288="小型MPV",'Data Export'!F1288="客车"),"MPV",IF('Data Export'!F1288="运动型多功能车","SUV","其他"))))</f>
        <v/>
      </c>
      <c r="K1288" s="62"/>
      <c r="L1288" s="62"/>
      <c r="M1288" s="62"/>
      <c r="N1288" s="62"/>
      <c r="O1288" s="62"/>
      <c r="P1288" s="62"/>
      <c r="Q1288" s="62"/>
    </row>
    <row r="1289" spans="1:17">
      <c r="A1289" s="62"/>
      <c r="B1289" s="62"/>
      <c r="C1289" s="62"/>
      <c r="D1289" s="62"/>
      <c r="E1289" s="62"/>
      <c r="F1289" s="62"/>
      <c r="G1289" s="62"/>
      <c r="H1289" s="62" t="str">
        <f>IF(AND('Data Export'!A1289=前十整体车型排名!$B$2,'Data Export'!B1289=前十整体车型排名!$B$3,'Data Export'!D1289&lt;&gt;""),UPPER('Data Export'!C1289)&amp;"♦"&amp;'Data Export'!D1289,"")</f>
        <v/>
      </c>
      <c r="I1289" s="63" t="str">
        <f>IF(H1289="","",IFERROR(INDEX('Data Export'!G1289:CZ1289,1,MATCH(前十整体车型排名!$B$4,'Data Export'!$G$1:$CZ$1,0)),0))</f>
        <v/>
      </c>
      <c r="J1289" s="62" t="str">
        <f>IF(H1289="","",IF(OR('Data Export'!F1289="三厢轿车",'Data Export'!F1289="掀背轿车",'Data Export'!F1289="旅行车",'Data Export'!F1289="微型车",'Data Export'!F1289="硬顶跑车",'Data Export'!F1289="敞蓬车",'Data Export'!F1289="Targa"),"轿车",IF(OR('Data Export'!F1289="小型MPV",'Data Export'!F1289="客车"),"MPV",IF('Data Export'!F1289="运动型多功能车","SUV","其他"))))</f>
        <v/>
      </c>
      <c r="K1289" s="62"/>
      <c r="L1289" s="62"/>
      <c r="M1289" s="62"/>
      <c r="N1289" s="62"/>
      <c r="O1289" s="62"/>
      <c r="P1289" s="62"/>
      <c r="Q1289" s="62"/>
    </row>
    <row r="1290" spans="1:17">
      <c r="A1290" s="62"/>
      <c r="B1290" s="62"/>
      <c r="C1290" s="62"/>
      <c r="D1290" s="62"/>
      <c r="E1290" s="62"/>
      <c r="F1290" s="62"/>
      <c r="G1290" s="62"/>
      <c r="H1290" s="62" t="str">
        <f>IF(AND('Data Export'!A1290=前十整体车型排名!$B$2,'Data Export'!B1290=前十整体车型排名!$B$3,'Data Export'!D1290&lt;&gt;""),UPPER('Data Export'!C1290)&amp;"♦"&amp;'Data Export'!D1290,"")</f>
        <v/>
      </c>
      <c r="I1290" s="63" t="str">
        <f>IF(H1290="","",IFERROR(INDEX('Data Export'!G1290:CZ1290,1,MATCH(前十整体车型排名!$B$4,'Data Export'!$G$1:$CZ$1,0)),0))</f>
        <v/>
      </c>
      <c r="J1290" s="62" t="str">
        <f>IF(H1290="","",IF(OR('Data Export'!F1290="三厢轿车",'Data Export'!F1290="掀背轿车",'Data Export'!F1290="旅行车",'Data Export'!F1290="微型车",'Data Export'!F1290="硬顶跑车",'Data Export'!F1290="敞蓬车",'Data Export'!F1290="Targa"),"轿车",IF(OR('Data Export'!F1290="小型MPV",'Data Export'!F1290="客车"),"MPV",IF('Data Export'!F1290="运动型多功能车","SUV","其他"))))</f>
        <v/>
      </c>
      <c r="K1290" s="62"/>
      <c r="L1290" s="62"/>
      <c r="M1290" s="62"/>
      <c r="N1290" s="62"/>
      <c r="O1290" s="62"/>
      <c r="P1290" s="62"/>
      <c r="Q1290" s="62"/>
    </row>
    <row r="1291" spans="1:17">
      <c r="A1291" s="62"/>
      <c r="B1291" s="62"/>
      <c r="C1291" s="62"/>
      <c r="D1291" s="62"/>
      <c r="E1291" s="62"/>
      <c r="F1291" s="62"/>
      <c r="G1291" s="62"/>
      <c r="H1291" s="62" t="str">
        <f>IF(AND('Data Export'!A1291=前十整体车型排名!$B$2,'Data Export'!B1291=前十整体车型排名!$B$3,'Data Export'!D1291&lt;&gt;""),UPPER('Data Export'!C1291)&amp;"♦"&amp;'Data Export'!D1291,"")</f>
        <v/>
      </c>
      <c r="I1291" s="63" t="str">
        <f>IF(H1291="","",IFERROR(INDEX('Data Export'!G1291:CZ1291,1,MATCH(前十整体车型排名!$B$4,'Data Export'!$G$1:$CZ$1,0)),0))</f>
        <v/>
      </c>
      <c r="J1291" s="62" t="str">
        <f>IF(H1291="","",IF(OR('Data Export'!F1291="三厢轿车",'Data Export'!F1291="掀背轿车",'Data Export'!F1291="旅行车",'Data Export'!F1291="微型车",'Data Export'!F1291="硬顶跑车",'Data Export'!F1291="敞蓬车",'Data Export'!F1291="Targa"),"轿车",IF(OR('Data Export'!F1291="小型MPV",'Data Export'!F1291="客车"),"MPV",IF('Data Export'!F1291="运动型多功能车","SUV","其他"))))</f>
        <v/>
      </c>
      <c r="K1291" s="62"/>
      <c r="L1291" s="62"/>
      <c r="M1291" s="62"/>
      <c r="N1291" s="62"/>
      <c r="O1291" s="62"/>
      <c r="P1291" s="62"/>
      <c r="Q1291" s="62"/>
    </row>
    <row r="1292" spans="1:17">
      <c r="A1292" s="62"/>
      <c r="B1292" s="62"/>
      <c r="C1292" s="62"/>
      <c r="D1292" s="62"/>
      <c r="E1292" s="62"/>
      <c r="F1292" s="62"/>
      <c r="G1292" s="62"/>
      <c r="H1292" s="62" t="str">
        <f>IF(AND('Data Export'!A1292=前十整体车型排名!$B$2,'Data Export'!B1292=前十整体车型排名!$B$3,'Data Export'!D1292&lt;&gt;""),UPPER('Data Export'!C1292)&amp;"♦"&amp;'Data Export'!D1292,"")</f>
        <v/>
      </c>
      <c r="I1292" s="63" t="str">
        <f>IF(H1292="","",IFERROR(INDEX('Data Export'!G1292:CZ1292,1,MATCH(前十整体车型排名!$B$4,'Data Export'!$G$1:$CZ$1,0)),0))</f>
        <v/>
      </c>
      <c r="J1292" s="62" t="str">
        <f>IF(H1292="","",IF(OR('Data Export'!F1292="三厢轿车",'Data Export'!F1292="掀背轿车",'Data Export'!F1292="旅行车",'Data Export'!F1292="微型车",'Data Export'!F1292="硬顶跑车",'Data Export'!F1292="敞蓬车",'Data Export'!F1292="Targa"),"轿车",IF(OR('Data Export'!F1292="小型MPV",'Data Export'!F1292="客车"),"MPV",IF('Data Export'!F1292="运动型多功能车","SUV","其他"))))</f>
        <v/>
      </c>
      <c r="K1292" s="62"/>
      <c r="L1292" s="62"/>
      <c r="M1292" s="62"/>
      <c r="N1292" s="62"/>
      <c r="O1292" s="62"/>
      <c r="P1292" s="62"/>
      <c r="Q1292" s="62"/>
    </row>
    <row r="1293" spans="1:17">
      <c r="A1293" s="62"/>
      <c r="B1293" s="62"/>
      <c r="C1293" s="62"/>
      <c r="D1293" s="62"/>
      <c r="E1293" s="62"/>
      <c r="F1293" s="62"/>
      <c r="G1293" s="62"/>
      <c r="H1293" s="62" t="str">
        <f>IF(AND('Data Export'!A1293=前十整体车型排名!$B$2,'Data Export'!B1293=前十整体车型排名!$B$3,'Data Export'!D1293&lt;&gt;""),UPPER('Data Export'!C1293)&amp;"♦"&amp;'Data Export'!D1293,"")</f>
        <v/>
      </c>
      <c r="I1293" s="63" t="str">
        <f>IF(H1293="","",IFERROR(INDEX('Data Export'!G1293:CZ1293,1,MATCH(前十整体车型排名!$B$4,'Data Export'!$G$1:$CZ$1,0)),0))</f>
        <v/>
      </c>
      <c r="J1293" s="62" t="str">
        <f>IF(H1293="","",IF(OR('Data Export'!F1293="三厢轿车",'Data Export'!F1293="掀背轿车",'Data Export'!F1293="旅行车",'Data Export'!F1293="微型车",'Data Export'!F1293="硬顶跑车",'Data Export'!F1293="敞蓬车",'Data Export'!F1293="Targa"),"轿车",IF(OR('Data Export'!F1293="小型MPV",'Data Export'!F1293="客车"),"MPV",IF('Data Export'!F1293="运动型多功能车","SUV","其他"))))</f>
        <v/>
      </c>
      <c r="K1293" s="62"/>
      <c r="L1293" s="62"/>
      <c r="M1293" s="62"/>
      <c r="N1293" s="62"/>
      <c r="O1293" s="62"/>
      <c r="P1293" s="62"/>
      <c r="Q1293" s="62"/>
    </row>
    <row r="1294" spans="1:17">
      <c r="A1294" s="62"/>
      <c r="B1294" s="62"/>
      <c r="C1294" s="62"/>
      <c r="D1294" s="62"/>
      <c r="E1294" s="62"/>
      <c r="F1294" s="62"/>
      <c r="G1294" s="62"/>
      <c r="H1294" s="62" t="str">
        <f>IF(AND('Data Export'!A1294=前十整体车型排名!$B$2,'Data Export'!B1294=前十整体车型排名!$B$3,'Data Export'!D1294&lt;&gt;""),UPPER('Data Export'!C1294)&amp;"♦"&amp;'Data Export'!D1294,"")</f>
        <v/>
      </c>
      <c r="I1294" s="63" t="str">
        <f>IF(H1294="","",IFERROR(INDEX('Data Export'!G1294:CZ1294,1,MATCH(前十整体车型排名!$B$4,'Data Export'!$G$1:$CZ$1,0)),0))</f>
        <v/>
      </c>
      <c r="J1294" s="62" t="str">
        <f>IF(H1294="","",IF(OR('Data Export'!F1294="三厢轿车",'Data Export'!F1294="掀背轿车",'Data Export'!F1294="旅行车",'Data Export'!F1294="微型车",'Data Export'!F1294="硬顶跑车",'Data Export'!F1294="敞蓬车",'Data Export'!F1294="Targa"),"轿车",IF(OR('Data Export'!F1294="小型MPV",'Data Export'!F1294="客车"),"MPV",IF('Data Export'!F1294="运动型多功能车","SUV","其他"))))</f>
        <v/>
      </c>
      <c r="K1294" s="62"/>
      <c r="L1294" s="62"/>
      <c r="M1294" s="62"/>
      <c r="N1294" s="62"/>
      <c r="O1294" s="62"/>
      <c r="P1294" s="62"/>
      <c r="Q1294" s="62"/>
    </row>
    <row r="1295" spans="1:17">
      <c r="A1295" s="62"/>
      <c r="B1295" s="62"/>
      <c r="C1295" s="62"/>
      <c r="D1295" s="62"/>
      <c r="E1295" s="62"/>
      <c r="F1295" s="62"/>
      <c r="G1295" s="62"/>
      <c r="H1295" s="62" t="str">
        <f>IF(AND('Data Export'!A1295=前十整体车型排名!$B$2,'Data Export'!B1295=前十整体车型排名!$B$3,'Data Export'!D1295&lt;&gt;""),UPPER('Data Export'!C1295)&amp;"♦"&amp;'Data Export'!D1295,"")</f>
        <v/>
      </c>
      <c r="I1295" s="63" t="str">
        <f>IF(H1295="","",IFERROR(INDEX('Data Export'!G1295:CZ1295,1,MATCH(前十整体车型排名!$B$4,'Data Export'!$G$1:$CZ$1,0)),0))</f>
        <v/>
      </c>
      <c r="J1295" s="62" t="str">
        <f>IF(H1295="","",IF(OR('Data Export'!F1295="三厢轿车",'Data Export'!F1295="掀背轿车",'Data Export'!F1295="旅行车",'Data Export'!F1295="微型车",'Data Export'!F1295="硬顶跑车",'Data Export'!F1295="敞蓬车",'Data Export'!F1295="Targa"),"轿车",IF(OR('Data Export'!F1295="小型MPV",'Data Export'!F1295="客车"),"MPV",IF('Data Export'!F1295="运动型多功能车","SUV","其他"))))</f>
        <v/>
      </c>
      <c r="K1295" s="62"/>
      <c r="L1295" s="62"/>
      <c r="M1295" s="62"/>
      <c r="N1295" s="62"/>
      <c r="O1295" s="62"/>
      <c r="P1295" s="62"/>
      <c r="Q1295" s="62"/>
    </row>
    <row r="1296" spans="1:17">
      <c r="A1296" s="62"/>
      <c r="B1296" s="62"/>
      <c r="C1296" s="62"/>
      <c r="D1296" s="62"/>
      <c r="E1296" s="62"/>
      <c r="F1296" s="62"/>
      <c r="G1296" s="62"/>
      <c r="H1296" s="62" t="str">
        <f>IF(AND('Data Export'!A1296=前十整体车型排名!$B$2,'Data Export'!B1296=前十整体车型排名!$B$3,'Data Export'!D1296&lt;&gt;""),UPPER('Data Export'!C1296)&amp;"♦"&amp;'Data Export'!D1296,"")</f>
        <v/>
      </c>
      <c r="I1296" s="63" t="str">
        <f>IF(H1296="","",IFERROR(INDEX('Data Export'!G1296:CZ1296,1,MATCH(前十整体车型排名!$B$4,'Data Export'!$G$1:$CZ$1,0)),0))</f>
        <v/>
      </c>
      <c r="J1296" s="62" t="str">
        <f>IF(H1296="","",IF(OR('Data Export'!F1296="三厢轿车",'Data Export'!F1296="掀背轿车",'Data Export'!F1296="旅行车",'Data Export'!F1296="微型车",'Data Export'!F1296="硬顶跑车",'Data Export'!F1296="敞蓬车",'Data Export'!F1296="Targa"),"轿车",IF(OR('Data Export'!F1296="小型MPV",'Data Export'!F1296="客车"),"MPV",IF('Data Export'!F1296="运动型多功能车","SUV","其他"))))</f>
        <v/>
      </c>
      <c r="K1296" s="62"/>
      <c r="L1296" s="62"/>
      <c r="M1296" s="62"/>
      <c r="N1296" s="62"/>
      <c r="O1296" s="62"/>
      <c r="P1296" s="62"/>
      <c r="Q1296" s="62"/>
    </row>
    <row r="1297" spans="1:17">
      <c r="A1297" s="62"/>
      <c r="B1297" s="62"/>
      <c r="C1297" s="62"/>
      <c r="D1297" s="62"/>
      <c r="E1297" s="62"/>
      <c r="F1297" s="62"/>
      <c r="G1297" s="62"/>
      <c r="H1297" s="62" t="str">
        <f>IF(AND('Data Export'!A1297=前十整体车型排名!$B$2,'Data Export'!B1297=前十整体车型排名!$B$3,'Data Export'!D1297&lt;&gt;""),UPPER('Data Export'!C1297)&amp;"♦"&amp;'Data Export'!D1297,"")</f>
        <v/>
      </c>
      <c r="I1297" s="63" t="str">
        <f>IF(H1297="","",IFERROR(INDEX('Data Export'!G1297:CZ1297,1,MATCH(前十整体车型排名!$B$4,'Data Export'!$G$1:$CZ$1,0)),0))</f>
        <v/>
      </c>
      <c r="J1297" s="62" t="str">
        <f>IF(H1297="","",IF(OR('Data Export'!F1297="三厢轿车",'Data Export'!F1297="掀背轿车",'Data Export'!F1297="旅行车",'Data Export'!F1297="微型车",'Data Export'!F1297="硬顶跑车",'Data Export'!F1297="敞蓬车",'Data Export'!F1297="Targa"),"轿车",IF(OR('Data Export'!F1297="小型MPV",'Data Export'!F1297="客车"),"MPV",IF('Data Export'!F1297="运动型多功能车","SUV","其他"))))</f>
        <v/>
      </c>
      <c r="K1297" s="62"/>
      <c r="L1297" s="62"/>
      <c r="M1297" s="62"/>
      <c r="N1297" s="62"/>
      <c r="O1297" s="62"/>
      <c r="P1297" s="62"/>
      <c r="Q1297" s="62"/>
    </row>
    <row r="1298" spans="1:17">
      <c r="A1298" s="62"/>
      <c r="B1298" s="62"/>
      <c r="C1298" s="62"/>
      <c r="D1298" s="62"/>
      <c r="E1298" s="62"/>
      <c r="F1298" s="62"/>
      <c r="G1298" s="62"/>
      <c r="H1298" s="62" t="str">
        <f>IF(AND('Data Export'!A1298=前十整体车型排名!$B$2,'Data Export'!B1298=前十整体车型排名!$B$3,'Data Export'!D1298&lt;&gt;""),UPPER('Data Export'!C1298)&amp;"♦"&amp;'Data Export'!D1298,"")</f>
        <v/>
      </c>
      <c r="I1298" s="63" t="str">
        <f>IF(H1298="","",IFERROR(INDEX('Data Export'!G1298:CZ1298,1,MATCH(前十整体车型排名!$B$4,'Data Export'!$G$1:$CZ$1,0)),0))</f>
        <v/>
      </c>
      <c r="J1298" s="62" t="str">
        <f>IF(H1298="","",IF(OR('Data Export'!F1298="三厢轿车",'Data Export'!F1298="掀背轿车",'Data Export'!F1298="旅行车",'Data Export'!F1298="微型车",'Data Export'!F1298="硬顶跑车",'Data Export'!F1298="敞蓬车",'Data Export'!F1298="Targa"),"轿车",IF(OR('Data Export'!F1298="小型MPV",'Data Export'!F1298="客车"),"MPV",IF('Data Export'!F1298="运动型多功能车","SUV","其他"))))</f>
        <v/>
      </c>
      <c r="K1298" s="62"/>
      <c r="L1298" s="62"/>
      <c r="M1298" s="62"/>
      <c r="N1298" s="62"/>
      <c r="O1298" s="62"/>
      <c r="P1298" s="62"/>
      <c r="Q1298" s="62"/>
    </row>
    <row r="1299" spans="1:17">
      <c r="A1299" s="62"/>
      <c r="B1299" s="62"/>
      <c r="C1299" s="62"/>
      <c r="D1299" s="62"/>
      <c r="E1299" s="62"/>
      <c r="F1299" s="62"/>
      <c r="G1299" s="62"/>
      <c r="H1299" s="62" t="str">
        <f>IF(AND('Data Export'!A1299=前十整体车型排名!$B$2,'Data Export'!B1299=前十整体车型排名!$B$3,'Data Export'!D1299&lt;&gt;""),UPPER('Data Export'!C1299)&amp;"♦"&amp;'Data Export'!D1299,"")</f>
        <v/>
      </c>
      <c r="I1299" s="63" t="str">
        <f>IF(H1299="","",IFERROR(INDEX('Data Export'!G1299:CZ1299,1,MATCH(前十整体车型排名!$B$4,'Data Export'!$G$1:$CZ$1,0)),0))</f>
        <v/>
      </c>
      <c r="J1299" s="62" t="str">
        <f>IF(H1299="","",IF(OR('Data Export'!F1299="三厢轿车",'Data Export'!F1299="掀背轿车",'Data Export'!F1299="旅行车",'Data Export'!F1299="微型车",'Data Export'!F1299="硬顶跑车",'Data Export'!F1299="敞蓬车",'Data Export'!F1299="Targa"),"轿车",IF(OR('Data Export'!F1299="小型MPV",'Data Export'!F1299="客车"),"MPV",IF('Data Export'!F1299="运动型多功能车","SUV","其他"))))</f>
        <v/>
      </c>
      <c r="K1299" s="62"/>
      <c r="L1299" s="62"/>
      <c r="M1299" s="62"/>
      <c r="N1299" s="62"/>
      <c r="O1299" s="62"/>
      <c r="P1299" s="62"/>
      <c r="Q1299" s="62"/>
    </row>
    <row r="1300" spans="1:17">
      <c r="A1300" s="62"/>
      <c r="B1300" s="62"/>
      <c r="C1300" s="62"/>
      <c r="D1300" s="62"/>
      <c r="E1300" s="62"/>
      <c r="F1300" s="62"/>
      <c r="G1300" s="62"/>
      <c r="H1300" s="62" t="str">
        <f>IF(AND('Data Export'!A1300=前十整体车型排名!$B$2,'Data Export'!B1300=前十整体车型排名!$B$3,'Data Export'!D1300&lt;&gt;""),UPPER('Data Export'!C1300)&amp;"♦"&amp;'Data Export'!D1300,"")</f>
        <v/>
      </c>
      <c r="I1300" s="63" t="str">
        <f>IF(H1300="","",IFERROR(INDEX('Data Export'!G1300:CZ1300,1,MATCH(前十整体车型排名!$B$4,'Data Export'!$G$1:$CZ$1,0)),0))</f>
        <v/>
      </c>
      <c r="J1300" s="62" t="str">
        <f>IF(H1300="","",IF(OR('Data Export'!F1300="三厢轿车",'Data Export'!F1300="掀背轿车",'Data Export'!F1300="旅行车",'Data Export'!F1300="微型车",'Data Export'!F1300="硬顶跑车",'Data Export'!F1300="敞蓬车",'Data Export'!F1300="Targa"),"轿车",IF(OR('Data Export'!F1300="小型MPV",'Data Export'!F1300="客车"),"MPV",IF('Data Export'!F1300="运动型多功能车","SUV","其他"))))</f>
        <v/>
      </c>
      <c r="K1300" s="62"/>
      <c r="L1300" s="62"/>
      <c r="M1300" s="62"/>
      <c r="N1300" s="62"/>
      <c r="O1300" s="62"/>
      <c r="P1300" s="62"/>
      <c r="Q1300" s="62"/>
    </row>
    <row r="1301" spans="1:17">
      <c r="A1301" s="62"/>
      <c r="B1301" s="62"/>
      <c r="C1301" s="62"/>
      <c r="D1301" s="62"/>
      <c r="E1301" s="62"/>
      <c r="F1301" s="62"/>
      <c r="G1301" s="62"/>
      <c r="H1301" s="62" t="str">
        <f>IF(AND('Data Export'!A1301=前十整体车型排名!$B$2,'Data Export'!B1301=前十整体车型排名!$B$3,'Data Export'!D1301&lt;&gt;""),UPPER('Data Export'!C1301)&amp;"♦"&amp;'Data Export'!D1301,"")</f>
        <v/>
      </c>
      <c r="I1301" s="63" t="str">
        <f>IF(H1301="","",IFERROR(INDEX('Data Export'!G1301:CZ1301,1,MATCH(前十整体车型排名!$B$4,'Data Export'!$G$1:$CZ$1,0)),0))</f>
        <v/>
      </c>
      <c r="J1301" s="62" t="str">
        <f>IF(H1301="","",IF(OR('Data Export'!F1301="三厢轿车",'Data Export'!F1301="掀背轿车",'Data Export'!F1301="旅行车",'Data Export'!F1301="微型车",'Data Export'!F1301="硬顶跑车",'Data Export'!F1301="敞蓬车",'Data Export'!F1301="Targa"),"轿车",IF(OR('Data Export'!F1301="小型MPV",'Data Export'!F1301="客车"),"MPV",IF('Data Export'!F1301="运动型多功能车","SUV","其他"))))</f>
        <v/>
      </c>
      <c r="K1301" s="62"/>
      <c r="L1301" s="62"/>
      <c r="M1301" s="62"/>
      <c r="N1301" s="62"/>
      <c r="O1301" s="62"/>
      <c r="P1301" s="62"/>
      <c r="Q1301" s="62"/>
    </row>
    <row r="1302" spans="1:17">
      <c r="A1302" s="62"/>
      <c r="B1302" s="62"/>
      <c r="C1302" s="62"/>
      <c r="D1302" s="62"/>
      <c r="E1302" s="62"/>
      <c r="F1302" s="62"/>
      <c r="G1302" s="62"/>
      <c r="H1302" s="62" t="str">
        <f>IF(AND('Data Export'!A1302=前十整体车型排名!$B$2,'Data Export'!B1302=前十整体车型排名!$B$3,'Data Export'!D1302&lt;&gt;""),UPPER('Data Export'!C1302)&amp;"♦"&amp;'Data Export'!D1302,"")</f>
        <v/>
      </c>
      <c r="I1302" s="63" t="str">
        <f>IF(H1302="","",IFERROR(INDEX('Data Export'!G1302:CZ1302,1,MATCH(前十整体车型排名!$B$4,'Data Export'!$G$1:$CZ$1,0)),0))</f>
        <v/>
      </c>
      <c r="J1302" s="62" t="str">
        <f>IF(H1302="","",IF(OR('Data Export'!F1302="三厢轿车",'Data Export'!F1302="掀背轿车",'Data Export'!F1302="旅行车",'Data Export'!F1302="微型车",'Data Export'!F1302="硬顶跑车",'Data Export'!F1302="敞蓬车",'Data Export'!F1302="Targa"),"轿车",IF(OR('Data Export'!F1302="小型MPV",'Data Export'!F1302="客车"),"MPV",IF('Data Export'!F1302="运动型多功能车","SUV","其他"))))</f>
        <v/>
      </c>
      <c r="K1302" s="62"/>
      <c r="L1302" s="62"/>
      <c r="M1302" s="62"/>
      <c r="N1302" s="62"/>
      <c r="O1302" s="62"/>
      <c r="P1302" s="62"/>
      <c r="Q1302" s="62"/>
    </row>
    <row r="1303" spans="1:17">
      <c r="A1303" s="62"/>
      <c r="B1303" s="62"/>
      <c r="C1303" s="62"/>
      <c r="D1303" s="62"/>
      <c r="E1303" s="62"/>
      <c r="F1303" s="62"/>
      <c r="G1303" s="62"/>
      <c r="H1303" s="62" t="str">
        <f>IF(AND('Data Export'!A1303=前十整体车型排名!$B$2,'Data Export'!B1303=前十整体车型排名!$B$3,'Data Export'!D1303&lt;&gt;""),UPPER('Data Export'!C1303)&amp;"♦"&amp;'Data Export'!D1303,"")</f>
        <v/>
      </c>
      <c r="I1303" s="63" t="str">
        <f>IF(H1303="","",IFERROR(INDEX('Data Export'!G1303:CZ1303,1,MATCH(前十整体车型排名!$B$4,'Data Export'!$G$1:$CZ$1,0)),0))</f>
        <v/>
      </c>
      <c r="J1303" s="62" t="str">
        <f>IF(H1303="","",IF(OR('Data Export'!F1303="三厢轿车",'Data Export'!F1303="掀背轿车",'Data Export'!F1303="旅行车",'Data Export'!F1303="微型车",'Data Export'!F1303="硬顶跑车",'Data Export'!F1303="敞蓬车",'Data Export'!F1303="Targa"),"轿车",IF(OR('Data Export'!F1303="小型MPV",'Data Export'!F1303="客车"),"MPV",IF('Data Export'!F1303="运动型多功能车","SUV","其他"))))</f>
        <v/>
      </c>
      <c r="K1303" s="62"/>
      <c r="L1303" s="62"/>
      <c r="M1303" s="62"/>
      <c r="N1303" s="62"/>
      <c r="O1303" s="62"/>
      <c r="P1303" s="62"/>
      <c r="Q1303" s="62"/>
    </row>
    <row r="1304" spans="1:17">
      <c r="A1304" s="62"/>
      <c r="B1304" s="62"/>
      <c r="C1304" s="62"/>
      <c r="D1304" s="62"/>
      <c r="E1304" s="62"/>
      <c r="F1304" s="62"/>
      <c r="G1304" s="62"/>
      <c r="H1304" s="62" t="str">
        <f>IF(AND('Data Export'!A1304=前十整体车型排名!$B$2,'Data Export'!B1304=前十整体车型排名!$B$3,'Data Export'!D1304&lt;&gt;""),UPPER('Data Export'!C1304)&amp;"♦"&amp;'Data Export'!D1304,"")</f>
        <v/>
      </c>
      <c r="I1304" s="63" t="str">
        <f>IF(H1304="","",IFERROR(INDEX('Data Export'!G1304:CZ1304,1,MATCH(前十整体车型排名!$B$4,'Data Export'!$G$1:$CZ$1,0)),0))</f>
        <v/>
      </c>
      <c r="J1304" s="62" t="str">
        <f>IF(H1304="","",IF(OR('Data Export'!F1304="三厢轿车",'Data Export'!F1304="掀背轿车",'Data Export'!F1304="旅行车",'Data Export'!F1304="微型车",'Data Export'!F1304="硬顶跑车",'Data Export'!F1304="敞蓬车",'Data Export'!F1304="Targa"),"轿车",IF(OR('Data Export'!F1304="小型MPV",'Data Export'!F1304="客车"),"MPV",IF('Data Export'!F1304="运动型多功能车","SUV","其他"))))</f>
        <v/>
      </c>
      <c r="K1304" s="62"/>
      <c r="L1304" s="62"/>
      <c r="M1304" s="62"/>
      <c r="N1304" s="62"/>
      <c r="O1304" s="62"/>
      <c r="P1304" s="62"/>
      <c r="Q1304" s="62"/>
    </row>
    <row r="1305" spans="1:17">
      <c r="A1305" s="62"/>
      <c r="B1305" s="62"/>
      <c r="C1305" s="62"/>
      <c r="D1305" s="62"/>
      <c r="E1305" s="62"/>
      <c r="F1305" s="62"/>
      <c r="G1305" s="62"/>
      <c r="H1305" s="62" t="str">
        <f>IF(AND('Data Export'!A1305=前十整体车型排名!$B$2,'Data Export'!B1305=前十整体车型排名!$B$3,'Data Export'!D1305&lt;&gt;""),UPPER('Data Export'!C1305)&amp;"♦"&amp;'Data Export'!D1305,"")</f>
        <v/>
      </c>
      <c r="I1305" s="63" t="str">
        <f>IF(H1305="","",IFERROR(INDEX('Data Export'!G1305:CZ1305,1,MATCH(前十整体车型排名!$B$4,'Data Export'!$G$1:$CZ$1,0)),0))</f>
        <v/>
      </c>
      <c r="J1305" s="62" t="str">
        <f>IF(H1305="","",IF(OR('Data Export'!F1305="三厢轿车",'Data Export'!F1305="掀背轿车",'Data Export'!F1305="旅行车",'Data Export'!F1305="微型车",'Data Export'!F1305="硬顶跑车",'Data Export'!F1305="敞蓬车",'Data Export'!F1305="Targa"),"轿车",IF(OR('Data Export'!F1305="小型MPV",'Data Export'!F1305="客车"),"MPV",IF('Data Export'!F1305="运动型多功能车","SUV","其他"))))</f>
        <v/>
      </c>
      <c r="K1305" s="62"/>
      <c r="L1305" s="62"/>
      <c r="M1305" s="62"/>
      <c r="N1305" s="62"/>
      <c r="O1305" s="62"/>
      <c r="P1305" s="62"/>
      <c r="Q1305" s="62"/>
    </row>
    <row r="1306" spans="1:17">
      <c r="A1306" s="62"/>
      <c r="B1306" s="62"/>
      <c r="C1306" s="62"/>
      <c r="D1306" s="62"/>
      <c r="E1306" s="62"/>
      <c r="F1306" s="62"/>
      <c r="G1306" s="62"/>
      <c r="H1306" s="62" t="str">
        <f>IF(AND('Data Export'!A1306=前十整体车型排名!$B$2,'Data Export'!B1306=前十整体车型排名!$B$3,'Data Export'!D1306&lt;&gt;""),UPPER('Data Export'!C1306)&amp;"♦"&amp;'Data Export'!D1306,"")</f>
        <v/>
      </c>
      <c r="I1306" s="63" t="str">
        <f>IF(H1306="","",IFERROR(INDEX('Data Export'!G1306:CZ1306,1,MATCH(前十整体车型排名!$B$4,'Data Export'!$G$1:$CZ$1,0)),0))</f>
        <v/>
      </c>
      <c r="J1306" s="62" t="str">
        <f>IF(H1306="","",IF(OR('Data Export'!F1306="三厢轿车",'Data Export'!F1306="掀背轿车",'Data Export'!F1306="旅行车",'Data Export'!F1306="微型车",'Data Export'!F1306="硬顶跑车",'Data Export'!F1306="敞蓬车",'Data Export'!F1306="Targa"),"轿车",IF(OR('Data Export'!F1306="小型MPV",'Data Export'!F1306="客车"),"MPV",IF('Data Export'!F1306="运动型多功能车","SUV","其他"))))</f>
        <v/>
      </c>
      <c r="K1306" s="62"/>
      <c r="L1306" s="62"/>
      <c r="M1306" s="62"/>
      <c r="N1306" s="62"/>
      <c r="O1306" s="62"/>
      <c r="P1306" s="62"/>
      <c r="Q1306" s="62"/>
    </row>
    <row r="1307" spans="1:17">
      <c r="A1307" s="62"/>
      <c r="B1307" s="62"/>
      <c r="C1307" s="62"/>
      <c r="D1307" s="62"/>
      <c r="E1307" s="62"/>
      <c r="F1307" s="62"/>
      <c r="G1307" s="62"/>
      <c r="H1307" s="62" t="str">
        <f>IF(AND('Data Export'!A1307=前十整体车型排名!$B$2,'Data Export'!B1307=前十整体车型排名!$B$3,'Data Export'!D1307&lt;&gt;""),UPPER('Data Export'!C1307)&amp;"♦"&amp;'Data Export'!D1307,"")</f>
        <v/>
      </c>
      <c r="I1307" s="63" t="str">
        <f>IF(H1307="","",IFERROR(INDEX('Data Export'!G1307:CZ1307,1,MATCH(前十整体车型排名!$B$4,'Data Export'!$G$1:$CZ$1,0)),0))</f>
        <v/>
      </c>
      <c r="J1307" s="62" t="str">
        <f>IF(H1307="","",IF(OR('Data Export'!F1307="三厢轿车",'Data Export'!F1307="掀背轿车",'Data Export'!F1307="旅行车",'Data Export'!F1307="微型车",'Data Export'!F1307="硬顶跑车",'Data Export'!F1307="敞蓬车",'Data Export'!F1307="Targa"),"轿车",IF(OR('Data Export'!F1307="小型MPV",'Data Export'!F1307="客车"),"MPV",IF('Data Export'!F1307="运动型多功能车","SUV","其他"))))</f>
        <v/>
      </c>
      <c r="K1307" s="62"/>
      <c r="L1307" s="62"/>
      <c r="M1307" s="62"/>
      <c r="N1307" s="62"/>
      <c r="O1307" s="62"/>
      <c r="P1307" s="62"/>
      <c r="Q1307" s="62"/>
    </row>
    <row r="1308" spans="1:17">
      <c r="A1308" s="62"/>
      <c r="B1308" s="62"/>
      <c r="C1308" s="62"/>
      <c r="D1308" s="62"/>
      <c r="E1308" s="62"/>
      <c r="F1308" s="62"/>
      <c r="G1308" s="62"/>
      <c r="H1308" s="62" t="str">
        <f>IF(AND('Data Export'!A1308=前十整体车型排名!$B$2,'Data Export'!B1308=前十整体车型排名!$B$3,'Data Export'!D1308&lt;&gt;""),UPPER('Data Export'!C1308)&amp;"♦"&amp;'Data Export'!D1308,"")</f>
        <v/>
      </c>
      <c r="I1308" s="63" t="str">
        <f>IF(H1308="","",IFERROR(INDEX('Data Export'!G1308:CZ1308,1,MATCH(前十整体车型排名!$B$4,'Data Export'!$G$1:$CZ$1,0)),0))</f>
        <v/>
      </c>
      <c r="J1308" s="62" t="str">
        <f>IF(H1308="","",IF(OR('Data Export'!F1308="三厢轿车",'Data Export'!F1308="掀背轿车",'Data Export'!F1308="旅行车",'Data Export'!F1308="微型车",'Data Export'!F1308="硬顶跑车",'Data Export'!F1308="敞蓬车",'Data Export'!F1308="Targa"),"轿车",IF(OR('Data Export'!F1308="小型MPV",'Data Export'!F1308="客车"),"MPV",IF('Data Export'!F1308="运动型多功能车","SUV","其他"))))</f>
        <v/>
      </c>
      <c r="K1308" s="62"/>
      <c r="L1308" s="62"/>
      <c r="M1308" s="62"/>
      <c r="N1308" s="62"/>
      <c r="O1308" s="62"/>
      <c r="P1308" s="62"/>
      <c r="Q1308" s="62"/>
    </row>
    <row r="1309" spans="1:17">
      <c r="A1309" s="62"/>
      <c r="B1309" s="62"/>
      <c r="C1309" s="62"/>
      <c r="D1309" s="62"/>
      <c r="E1309" s="62"/>
      <c r="F1309" s="62"/>
      <c r="G1309" s="62"/>
      <c r="H1309" s="62" t="str">
        <f>IF(AND('Data Export'!A1309=前十整体车型排名!$B$2,'Data Export'!B1309=前十整体车型排名!$B$3,'Data Export'!D1309&lt;&gt;""),UPPER('Data Export'!C1309)&amp;"♦"&amp;'Data Export'!D1309,"")</f>
        <v/>
      </c>
      <c r="I1309" s="63" t="str">
        <f>IF(H1309="","",IFERROR(INDEX('Data Export'!G1309:CZ1309,1,MATCH(前十整体车型排名!$B$4,'Data Export'!$G$1:$CZ$1,0)),0))</f>
        <v/>
      </c>
      <c r="J1309" s="62" t="str">
        <f>IF(H1309="","",IF(OR('Data Export'!F1309="三厢轿车",'Data Export'!F1309="掀背轿车",'Data Export'!F1309="旅行车",'Data Export'!F1309="微型车",'Data Export'!F1309="硬顶跑车",'Data Export'!F1309="敞蓬车",'Data Export'!F1309="Targa"),"轿车",IF(OR('Data Export'!F1309="小型MPV",'Data Export'!F1309="客车"),"MPV",IF('Data Export'!F1309="运动型多功能车","SUV","其他"))))</f>
        <v/>
      </c>
      <c r="K1309" s="62"/>
      <c r="L1309" s="62"/>
      <c r="M1309" s="62"/>
      <c r="N1309" s="62"/>
      <c r="O1309" s="62"/>
      <c r="P1309" s="62"/>
      <c r="Q1309" s="62"/>
    </row>
    <row r="1310" spans="1:17">
      <c r="A1310" s="62"/>
      <c r="B1310" s="62"/>
      <c r="C1310" s="62"/>
      <c r="D1310" s="62"/>
      <c r="E1310" s="62"/>
      <c r="F1310" s="62"/>
      <c r="G1310" s="62"/>
      <c r="H1310" s="62" t="str">
        <f>IF(AND('Data Export'!A1310=前十整体车型排名!$B$2,'Data Export'!B1310=前十整体车型排名!$B$3,'Data Export'!D1310&lt;&gt;""),UPPER('Data Export'!C1310)&amp;"♦"&amp;'Data Export'!D1310,"")</f>
        <v/>
      </c>
      <c r="I1310" s="63" t="str">
        <f>IF(H1310="","",IFERROR(INDEX('Data Export'!G1310:CZ1310,1,MATCH(前十整体车型排名!$B$4,'Data Export'!$G$1:$CZ$1,0)),0))</f>
        <v/>
      </c>
      <c r="J1310" s="62" t="str">
        <f>IF(H1310="","",IF(OR('Data Export'!F1310="三厢轿车",'Data Export'!F1310="掀背轿车",'Data Export'!F1310="旅行车",'Data Export'!F1310="微型车",'Data Export'!F1310="硬顶跑车",'Data Export'!F1310="敞蓬车",'Data Export'!F1310="Targa"),"轿车",IF(OR('Data Export'!F1310="小型MPV",'Data Export'!F1310="客车"),"MPV",IF('Data Export'!F1310="运动型多功能车","SUV","其他"))))</f>
        <v/>
      </c>
      <c r="K1310" s="62"/>
      <c r="L1310" s="62"/>
      <c r="M1310" s="62"/>
      <c r="N1310" s="62"/>
      <c r="O1310" s="62"/>
      <c r="P1310" s="62"/>
      <c r="Q1310" s="62"/>
    </row>
    <row r="1311" spans="1:17">
      <c r="A1311" s="62"/>
      <c r="B1311" s="62"/>
      <c r="C1311" s="62"/>
      <c r="D1311" s="62"/>
      <c r="E1311" s="62"/>
      <c r="F1311" s="62"/>
      <c r="G1311" s="62"/>
      <c r="H1311" s="62" t="str">
        <f>IF(AND('Data Export'!A1311=前十整体车型排名!$B$2,'Data Export'!B1311=前十整体车型排名!$B$3,'Data Export'!D1311&lt;&gt;""),UPPER('Data Export'!C1311)&amp;"♦"&amp;'Data Export'!D1311,"")</f>
        <v/>
      </c>
      <c r="I1311" s="63" t="str">
        <f>IF(H1311="","",IFERROR(INDEX('Data Export'!G1311:CZ1311,1,MATCH(前十整体车型排名!$B$4,'Data Export'!$G$1:$CZ$1,0)),0))</f>
        <v/>
      </c>
      <c r="J1311" s="62" t="str">
        <f>IF(H1311="","",IF(OR('Data Export'!F1311="三厢轿车",'Data Export'!F1311="掀背轿车",'Data Export'!F1311="旅行车",'Data Export'!F1311="微型车",'Data Export'!F1311="硬顶跑车",'Data Export'!F1311="敞蓬车",'Data Export'!F1311="Targa"),"轿车",IF(OR('Data Export'!F1311="小型MPV",'Data Export'!F1311="客车"),"MPV",IF('Data Export'!F1311="运动型多功能车","SUV","其他"))))</f>
        <v/>
      </c>
      <c r="K1311" s="62"/>
      <c r="L1311" s="62"/>
      <c r="M1311" s="62"/>
      <c r="N1311" s="62"/>
      <c r="O1311" s="62"/>
      <c r="P1311" s="62"/>
      <c r="Q1311" s="62"/>
    </row>
    <row r="1312" spans="1:17">
      <c r="A1312" s="62"/>
      <c r="B1312" s="62"/>
      <c r="C1312" s="62"/>
      <c r="D1312" s="62"/>
      <c r="E1312" s="62"/>
      <c r="F1312" s="62"/>
      <c r="G1312" s="62"/>
      <c r="H1312" s="62" t="str">
        <f>IF(AND('Data Export'!A1312=前十整体车型排名!$B$2,'Data Export'!B1312=前十整体车型排名!$B$3,'Data Export'!D1312&lt;&gt;""),UPPER('Data Export'!C1312)&amp;"♦"&amp;'Data Export'!D1312,"")</f>
        <v/>
      </c>
      <c r="I1312" s="63" t="str">
        <f>IF(H1312="","",IFERROR(INDEX('Data Export'!G1312:CZ1312,1,MATCH(前十整体车型排名!$B$4,'Data Export'!$G$1:$CZ$1,0)),0))</f>
        <v/>
      </c>
      <c r="J1312" s="62" t="str">
        <f>IF(H1312="","",IF(OR('Data Export'!F1312="三厢轿车",'Data Export'!F1312="掀背轿车",'Data Export'!F1312="旅行车",'Data Export'!F1312="微型车",'Data Export'!F1312="硬顶跑车",'Data Export'!F1312="敞蓬车",'Data Export'!F1312="Targa"),"轿车",IF(OR('Data Export'!F1312="小型MPV",'Data Export'!F1312="客车"),"MPV",IF('Data Export'!F1312="运动型多功能车","SUV","其他"))))</f>
        <v/>
      </c>
      <c r="K1312" s="62"/>
      <c r="L1312" s="62"/>
      <c r="M1312" s="62"/>
      <c r="N1312" s="62"/>
      <c r="O1312" s="62"/>
      <c r="P1312" s="62"/>
      <c r="Q1312" s="62"/>
    </row>
    <row r="1313" spans="1:17">
      <c r="A1313" s="62"/>
      <c r="B1313" s="62"/>
      <c r="C1313" s="62"/>
      <c r="D1313" s="62"/>
      <c r="E1313" s="62"/>
      <c r="F1313" s="62"/>
      <c r="G1313" s="62"/>
      <c r="H1313" s="62" t="str">
        <f>IF(AND('Data Export'!A1313=前十整体车型排名!$B$2,'Data Export'!B1313=前十整体车型排名!$B$3,'Data Export'!D1313&lt;&gt;""),UPPER('Data Export'!C1313)&amp;"♦"&amp;'Data Export'!D1313,"")</f>
        <v/>
      </c>
      <c r="I1313" s="63" t="str">
        <f>IF(H1313="","",IFERROR(INDEX('Data Export'!G1313:CZ1313,1,MATCH(前十整体车型排名!$B$4,'Data Export'!$G$1:$CZ$1,0)),0))</f>
        <v/>
      </c>
      <c r="J1313" s="62" t="str">
        <f>IF(H1313="","",IF(OR('Data Export'!F1313="三厢轿车",'Data Export'!F1313="掀背轿车",'Data Export'!F1313="旅行车",'Data Export'!F1313="微型车",'Data Export'!F1313="硬顶跑车",'Data Export'!F1313="敞蓬车",'Data Export'!F1313="Targa"),"轿车",IF(OR('Data Export'!F1313="小型MPV",'Data Export'!F1313="客车"),"MPV",IF('Data Export'!F1313="运动型多功能车","SUV","其他"))))</f>
        <v/>
      </c>
      <c r="K1313" s="62"/>
      <c r="L1313" s="62"/>
      <c r="M1313" s="62"/>
      <c r="N1313" s="62"/>
      <c r="O1313" s="62"/>
      <c r="P1313" s="62"/>
      <c r="Q1313" s="62"/>
    </row>
    <row r="1314" spans="1:17">
      <c r="A1314" s="62"/>
      <c r="B1314" s="62"/>
      <c r="C1314" s="62"/>
      <c r="D1314" s="62"/>
      <c r="E1314" s="62"/>
      <c r="F1314" s="62"/>
      <c r="G1314" s="62"/>
      <c r="H1314" s="62" t="str">
        <f>IF(AND('Data Export'!A1314=前十整体车型排名!$B$2,'Data Export'!B1314=前十整体车型排名!$B$3,'Data Export'!D1314&lt;&gt;""),UPPER('Data Export'!C1314)&amp;"♦"&amp;'Data Export'!D1314,"")</f>
        <v/>
      </c>
      <c r="I1314" s="63" t="str">
        <f>IF(H1314="","",IFERROR(INDEX('Data Export'!G1314:CZ1314,1,MATCH(前十整体车型排名!$B$4,'Data Export'!$G$1:$CZ$1,0)),0))</f>
        <v/>
      </c>
      <c r="J1314" s="62" t="str">
        <f>IF(H1314="","",IF(OR('Data Export'!F1314="三厢轿车",'Data Export'!F1314="掀背轿车",'Data Export'!F1314="旅行车",'Data Export'!F1314="微型车",'Data Export'!F1314="硬顶跑车",'Data Export'!F1314="敞蓬车",'Data Export'!F1314="Targa"),"轿车",IF(OR('Data Export'!F1314="小型MPV",'Data Export'!F1314="客车"),"MPV",IF('Data Export'!F1314="运动型多功能车","SUV","其他"))))</f>
        <v/>
      </c>
      <c r="K1314" s="62"/>
      <c r="L1314" s="62"/>
      <c r="M1314" s="62"/>
      <c r="N1314" s="62"/>
      <c r="O1314" s="62"/>
      <c r="P1314" s="62"/>
      <c r="Q1314" s="62"/>
    </row>
    <row r="1315" spans="1:17">
      <c r="A1315" s="62"/>
      <c r="B1315" s="62"/>
      <c r="C1315" s="62"/>
      <c r="D1315" s="62"/>
      <c r="E1315" s="62"/>
      <c r="F1315" s="62"/>
      <c r="G1315" s="62"/>
      <c r="H1315" s="62" t="str">
        <f>IF(AND('Data Export'!A1315=前十整体车型排名!$B$2,'Data Export'!B1315=前十整体车型排名!$B$3,'Data Export'!D1315&lt;&gt;""),UPPER('Data Export'!C1315)&amp;"♦"&amp;'Data Export'!D1315,"")</f>
        <v/>
      </c>
      <c r="I1315" s="63" t="str">
        <f>IF(H1315="","",IFERROR(INDEX('Data Export'!G1315:CZ1315,1,MATCH(前十整体车型排名!$B$4,'Data Export'!$G$1:$CZ$1,0)),0))</f>
        <v/>
      </c>
      <c r="J1315" s="62" t="str">
        <f>IF(H1315="","",IF(OR('Data Export'!F1315="三厢轿车",'Data Export'!F1315="掀背轿车",'Data Export'!F1315="旅行车",'Data Export'!F1315="微型车",'Data Export'!F1315="硬顶跑车",'Data Export'!F1315="敞蓬车",'Data Export'!F1315="Targa"),"轿车",IF(OR('Data Export'!F1315="小型MPV",'Data Export'!F1315="客车"),"MPV",IF('Data Export'!F1315="运动型多功能车","SUV","其他"))))</f>
        <v/>
      </c>
      <c r="K1315" s="62"/>
      <c r="L1315" s="62"/>
      <c r="M1315" s="62"/>
      <c r="N1315" s="62"/>
      <c r="O1315" s="62"/>
      <c r="P1315" s="62"/>
      <c r="Q1315" s="62"/>
    </row>
    <row r="1316" spans="1:17">
      <c r="A1316" s="62"/>
      <c r="B1316" s="62"/>
      <c r="C1316" s="62"/>
      <c r="D1316" s="62"/>
      <c r="E1316" s="62"/>
      <c r="F1316" s="62"/>
      <c r="G1316" s="62"/>
      <c r="H1316" s="62" t="str">
        <f>IF(AND('Data Export'!A1316=前十整体车型排名!$B$2,'Data Export'!B1316=前十整体车型排名!$B$3,'Data Export'!D1316&lt;&gt;""),UPPER('Data Export'!C1316)&amp;"♦"&amp;'Data Export'!D1316,"")</f>
        <v/>
      </c>
      <c r="I1316" s="63" t="str">
        <f>IF(H1316="","",IFERROR(INDEX('Data Export'!G1316:CZ1316,1,MATCH(前十整体车型排名!$B$4,'Data Export'!$G$1:$CZ$1,0)),0))</f>
        <v/>
      </c>
      <c r="J1316" s="62" t="str">
        <f>IF(H1316="","",IF(OR('Data Export'!F1316="三厢轿车",'Data Export'!F1316="掀背轿车",'Data Export'!F1316="旅行车",'Data Export'!F1316="微型车",'Data Export'!F1316="硬顶跑车",'Data Export'!F1316="敞蓬车",'Data Export'!F1316="Targa"),"轿车",IF(OR('Data Export'!F1316="小型MPV",'Data Export'!F1316="客车"),"MPV",IF('Data Export'!F1316="运动型多功能车","SUV","其他"))))</f>
        <v/>
      </c>
      <c r="K1316" s="62"/>
      <c r="L1316" s="62"/>
      <c r="M1316" s="62"/>
      <c r="N1316" s="62"/>
      <c r="O1316" s="62"/>
      <c r="P1316" s="62"/>
      <c r="Q1316" s="62"/>
    </row>
    <row r="1317" spans="1:17">
      <c r="A1317" s="62"/>
      <c r="B1317" s="62"/>
      <c r="C1317" s="62"/>
      <c r="D1317" s="62"/>
      <c r="E1317" s="62"/>
      <c r="F1317" s="62"/>
      <c r="G1317" s="62"/>
      <c r="H1317" s="62" t="str">
        <f>IF(AND('Data Export'!A1317=前十整体车型排名!$B$2,'Data Export'!B1317=前十整体车型排名!$B$3,'Data Export'!D1317&lt;&gt;""),UPPER('Data Export'!C1317)&amp;"♦"&amp;'Data Export'!D1317,"")</f>
        <v/>
      </c>
      <c r="I1317" s="63" t="str">
        <f>IF(H1317="","",IFERROR(INDEX('Data Export'!G1317:CZ1317,1,MATCH(前十整体车型排名!$B$4,'Data Export'!$G$1:$CZ$1,0)),0))</f>
        <v/>
      </c>
      <c r="J1317" s="62" t="str">
        <f>IF(H1317="","",IF(OR('Data Export'!F1317="三厢轿车",'Data Export'!F1317="掀背轿车",'Data Export'!F1317="旅行车",'Data Export'!F1317="微型车",'Data Export'!F1317="硬顶跑车",'Data Export'!F1317="敞蓬车",'Data Export'!F1317="Targa"),"轿车",IF(OR('Data Export'!F1317="小型MPV",'Data Export'!F1317="客车"),"MPV",IF('Data Export'!F1317="运动型多功能车","SUV","其他"))))</f>
        <v/>
      </c>
      <c r="K1317" s="62"/>
      <c r="L1317" s="62"/>
      <c r="M1317" s="62"/>
      <c r="N1317" s="62"/>
      <c r="O1317" s="62"/>
      <c r="P1317" s="62"/>
      <c r="Q1317" s="62"/>
    </row>
    <row r="1318" spans="1:17">
      <c r="A1318" s="62"/>
      <c r="B1318" s="62"/>
      <c r="C1318" s="62"/>
      <c r="D1318" s="62"/>
      <c r="E1318" s="62"/>
      <c r="F1318" s="62"/>
      <c r="G1318" s="62"/>
      <c r="H1318" s="62" t="str">
        <f>IF(AND('Data Export'!A1318=前十整体车型排名!$B$2,'Data Export'!B1318=前十整体车型排名!$B$3,'Data Export'!D1318&lt;&gt;""),UPPER('Data Export'!C1318)&amp;"♦"&amp;'Data Export'!D1318,"")</f>
        <v/>
      </c>
      <c r="I1318" s="63" t="str">
        <f>IF(H1318="","",IFERROR(INDEX('Data Export'!G1318:CZ1318,1,MATCH(前十整体车型排名!$B$4,'Data Export'!$G$1:$CZ$1,0)),0))</f>
        <v/>
      </c>
      <c r="J1318" s="62" t="str">
        <f>IF(H1318="","",IF(OR('Data Export'!F1318="三厢轿车",'Data Export'!F1318="掀背轿车",'Data Export'!F1318="旅行车",'Data Export'!F1318="微型车",'Data Export'!F1318="硬顶跑车",'Data Export'!F1318="敞蓬车",'Data Export'!F1318="Targa"),"轿车",IF(OR('Data Export'!F1318="小型MPV",'Data Export'!F1318="客车"),"MPV",IF('Data Export'!F1318="运动型多功能车","SUV","其他"))))</f>
        <v/>
      </c>
      <c r="K1318" s="62"/>
      <c r="L1318" s="62"/>
      <c r="M1318" s="62"/>
      <c r="N1318" s="62"/>
      <c r="O1318" s="62"/>
      <c r="P1318" s="62"/>
      <c r="Q1318" s="62"/>
    </row>
    <row r="1319" spans="1:17">
      <c r="A1319" s="62"/>
      <c r="B1319" s="62"/>
      <c r="C1319" s="62"/>
      <c r="D1319" s="62"/>
      <c r="E1319" s="62"/>
      <c r="F1319" s="62"/>
      <c r="G1319" s="62"/>
      <c r="H1319" s="62" t="str">
        <f>IF(AND('Data Export'!A1319=前十整体车型排名!$B$2,'Data Export'!B1319=前十整体车型排名!$B$3,'Data Export'!D1319&lt;&gt;""),UPPER('Data Export'!C1319)&amp;"♦"&amp;'Data Export'!D1319,"")</f>
        <v/>
      </c>
      <c r="I1319" s="63" t="str">
        <f>IF(H1319="","",IFERROR(INDEX('Data Export'!G1319:CZ1319,1,MATCH(前十整体车型排名!$B$4,'Data Export'!$G$1:$CZ$1,0)),0))</f>
        <v/>
      </c>
      <c r="J1319" s="62" t="str">
        <f>IF(H1319="","",IF(OR('Data Export'!F1319="三厢轿车",'Data Export'!F1319="掀背轿车",'Data Export'!F1319="旅行车",'Data Export'!F1319="微型车",'Data Export'!F1319="硬顶跑车",'Data Export'!F1319="敞蓬车",'Data Export'!F1319="Targa"),"轿车",IF(OR('Data Export'!F1319="小型MPV",'Data Export'!F1319="客车"),"MPV",IF('Data Export'!F1319="运动型多功能车","SUV","其他"))))</f>
        <v/>
      </c>
      <c r="K1319" s="62"/>
      <c r="L1319" s="62"/>
      <c r="M1319" s="62"/>
      <c r="N1319" s="62"/>
      <c r="O1319" s="62"/>
      <c r="P1319" s="62"/>
      <c r="Q1319" s="62"/>
    </row>
    <row r="1320" spans="1:17">
      <c r="A1320" s="62"/>
      <c r="B1320" s="62"/>
      <c r="C1320" s="62"/>
      <c r="D1320" s="62"/>
      <c r="E1320" s="62"/>
      <c r="F1320" s="62"/>
      <c r="G1320" s="62"/>
      <c r="H1320" s="62" t="str">
        <f>IF(AND('Data Export'!A1320=前十整体车型排名!$B$2,'Data Export'!B1320=前十整体车型排名!$B$3,'Data Export'!D1320&lt;&gt;""),UPPER('Data Export'!C1320)&amp;"♦"&amp;'Data Export'!D1320,"")</f>
        <v/>
      </c>
      <c r="I1320" s="63" t="str">
        <f>IF(H1320="","",IFERROR(INDEX('Data Export'!G1320:CZ1320,1,MATCH(前十整体车型排名!$B$4,'Data Export'!$G$1:$CZ$1,0)),0))</f>
        <v/>
      </c>
      <c r="J1320" s="62" t="str">
        <f>IF(H1320="","",IF(OR('Data Export'!F1320="三厢轿车",'Data Export'!F1320="掀背轿车",'Data Export'!F1320="旅行车",'Data Export'!F1320="微型车",'Data Export'!F1320="硬顶跑车",'Data Export'!F1320="敞蓬车",'Data Export'!F1320="Targa"),"轿车",IF(OR('Data Export'!F1320="小型MPV",'Data Export'!F1320="客车"),"MPV",IF('Data Export'!F1320="运动型多功能车","SUV","其他"))))</f>
        <v/>
      </c>
      <c r="K1320" s="62"/>
      <c r="L1320" s="62"/>
      <c r="M1320" s="62"/>
      <c r="N1320" s="62"/>
      <c r="O1320" s="62"/>
      <c r="P1320" s="62"/>
      <c r="Q1320" s="62"/>
    </row>
    <row r="1321" spans="1:17">
      <c r="A1321" s="62"/>
      <c r="B1321" s="62"/>
      <c r="C1321" s="62"/>
      <c r="D1321" s="62"/>
      <c r="E1321" s="62"/>
      <c r="F1321" s="62"/>
      <c r="G1321" s="62"/>
      <c r="H1321" s="62" t="str">
        <f>IF(AND('Data Export'!A1321=前十整体车型排名!$B$2,'Data Export'!B1321=前十整体车型排名!$B$3,'Data Export'!D1321&lt;&gt;""),UPPER('Data Export'!C1321)&amp;"♦"&amp;'Data Export'!D1321,"")</f>
        <v/>
      </c>
      <c r="I1321" s="63" t="str">
        <f>IF(H1321="","",IFERROR(INDEX('Data Export'!G1321:CZ1321,1,MATCH(前十整体车型排名!$B$4,'Data Export'!$G$1:$CZ$1,0)),0))</f>
        <v/>
      </c>
      <c r="J1321" s="62" t="str">
        <f>IF(H1321="","",IF(OR('Data Export'!F1321="三厢轿车",'Data Export'!F1321="掀背轿车",'Data Export'!F1321="旅行车",'Data Export'!F1321="微型车",'Data Export'!F1321="硬顶跑车",'Data Export'!F1321="敞蓬车",'Data Export'!F1321="Targa"),"轿车",IF(OR('Data Export'!F1321="小型MPV",'Data Export'!F1321="客车"),"MPV",IF('Data Export'!F1321="运动型多功能车","SUV","其他"))))</f>
        <v/>
      </c>
      <c r="K1321" s="62"/>
      <c r="L1321" s="62"/>
      <c r="M1321" s="62"/>
      <c r="N1321" s="62"/>
      <c r="O1321" s="62"/>
      <c r="P1321" s="62"/>
      <c r="Q1321" s="62"/>
    </row>
    <row r="1322" spans="1:17">
      <c r="A1322" s="62"/>
      <c r="B1322" s="62"/>
      <c r="C1322" s="62"/>
      <c r="D1322" s="62"/>
      <c r="E1322" s="62"/>
      <c r="F1322" s="62"/>
      <c r="G1322" s="62"/>
      <c r="H1322" s="62" t="str">
        <f>IF(AND('Data Export'!A1322=前十整体车型排名!$B$2,'Data Export'!B1322=前十整体车型排名!$B$3,'Data Export'!D1322&lt;&gt;""),UPPER('Data Export'!C1322)&amp;"♦"&amp;'Data Export'!D1322,"")</f>
        <v/>
      </c>
      <c r="I1322" s="63" t="str">
        <f>IF(H1322="","",IFERROR(INDEX('Data Export'!G1322:CZ1322,1,MATCH(前十整体车型排名!$B$4,'Data Export'!$G$1:$CZ$1,0)),0))</f>
        <v/>
      </c>
      <c r="J1322" s="62" t="str">
        <f>IF(H1322="","",IF(OR('Data Export'!F1322="三厢轿车",'Data Export'!F1322="掀背轿车",'Data Export'!F1322="旅行车",'Data Export'!F1322="微型车",'Data Export'!F1322="硬顶跑车",'Data Export'!F1322="敞蓬车",'Data Export'!F1322="Targa"),"轿车",IF(OR('Data Export'!F1322="小型MPV",'Data Export'!F1322="客车"),"MPV",IF('Data Export'!F1322="运动型多功能车","SUV","其他"))))</f>
        <v/>
      </c>
      <c r="K1322" s="62"/>
      <c r="L1322" s="62"/>
      <c r="M1322" s="62"/>
      <c r="N1322" s="62"/>
      <c r="O1322" s="62"/>
      <c r="P1322" s="62"/>
      <c r="Q1322" s="62"/>
    </row>
    <row r="1323" spans="1:17">
      <c r="A1323" s="62"/>
      <c r="B1323" s="62"/>
      <c r="C1323" s="62"/>
      <c r="D1323" s="62"/>
      <c r="E1323" s="62"/>
      <c r="F1323" s="62"/>
      <c r="G1323" s="62"/>
      <c r="H1323" s="62" t="str">
        <f>IF(AND('Data Export'!A1323=前十整体车型排名!$B$2,'Data Export'!B1323=前十整体车型排名!$B$3,'Data Export'!D1323&lt;&gt;""),UPPER('Data Export'!C1323)&amp;"♦"&amp;'Data Export'!D1323,"")</f>
        <v/>
      </c>
      <c r="I1323" s="63" t="str">
        <f>IF(H1323="","",IFERROR(INDEX('Data Export'!G1323:CZ1323,1,MATCH(前十整体车型排名!$B$4,'Data Export'!$G$1:$CZ$1,0)),0))</f>
        <v/>
      </c>
      <c r="J1323" s="62" t="str">
        <f>IF(H1323="","",IF(OR('Data Export'!F1323="三厢轿车",'Data Export'!F1323="掀背轿车",'Data Export'!F1323="旅行车",'Data Export'!F1323="微型车",'Data Export'!F1323="硬顶跑车",'Data Export'!F1323="敞蓬车",'Data Export'!F1323="Targa"),"轿车",IF(OR('Data Export'!F1323="小型MPV",'Data Export'!F1323="客车"),"MPV",IF('Data Export'!F1323="运动型多功能车","SUV","其他"))))</f>
        <v/>
      </c>
      <c r="K1323" s="62"/>
      <c r="L1323" s="62"/>
      <c r="M1323" s="62"/>
      <c r="N1323" s="62"/>
      <c r="O1323" s="62"/>
      <c r="P1323" s="62"/>
      <c r="Q1323" s="62"/>
    </row>
    <row r="1324" spans="1:17">
      <c r="A1324" s="62"/>
      <c r="B1324" s="62"/>
      <c r="C1324" s="62"/>
      <c r="D1324" s="62"/>
      <c r="E1324" s="62"/>
      <c r="F1324" s="62"/>
      <c r="G1324" s="62"/>
      <c r="H1324" s="62" t="str">
        <f>IF(AND('Data Export'!A1324=前十整体车型排名!$B$2,'Data Export'!B1324=前十整体车型排名!$B$3,'Data Export'!D1324&lt;&gt;""),UPPER('Data Export'!C1324)&amp;"♦"&amp;'Data Export'!D1324,"")</f>
        <v/>
      </c>
      <c r="I1324" s="63" t="str">
        <f>IF(H1324="","",IFERROR(INDEX('Data Export'!G1324:CZ1324,1,MATCH(前十整体车型排名!$B$4,'Data Export'!$G$1:$CZ$1,0)),0))</f>
        <v/>
      </c>
      <c r="J1324" s="62" t="str">
        <f>IF(H1324="","",IF(OR('Data Export'!F1324="三厢轿车",'Data Export'!F1324="掀背轿车",'Data Export'!F1324="旅行车",'Data Export'!F1324="微型车",'Data Export'!F1324="硬顶跑车",'Data Export'!F1324="敞蓬车",'Data Export'!F1324="Targa"),"轿车",IF(OR('Data Export'!F1324="小型MPV",'Data Export'!F1324="客车"),"MPV",IF('Data Export'!F1324="运动型多功能车","SUV","其他"))))</f>
        <v/>
      </c>
      <c r="K1324" s="62"/>
      <c r="L1324" s="62"/>
      <c r="M1324" s="62"/>
      <c r="N1324" s="62"/>
      <c r="O1324" s="62"/>
      <c r="P1324" s="62"/>
      <c r="Q1324" s="62"/>
    </row>
    <row r="1325" spans="1:17">
      <c r="A1325" s="62"/>
      <c r="B1325" s="62"/>
      <c r="C1325" s="62"/>
      <c r="D1325" s="62"/>
      <c r="E1325" s="62"/>
      <c r="F1325" s="62"/>
      <c r="G1325" s="62"/>
      <c r="H1325" s="62" t="str">
        <f>IF(AND('Data Export'!A1325=前十整体车型排名!$B$2,'Data Export'!B1325=前十整体车型排名!$B$3,'Data Export'!D1325&lt;&gt;""),UPPER('Data Export'!C1325)&amp;"♦"&amp;'Data Export'!D1325,"")</f>
        <v/>
      </c>
      <c r="I1325" s="63" t="str">
        <f>IF(H1325="","",IFERROR(INDEX('Data Export'!G1325:CZ1325,1,MATCH(前十整体车型排名!$B$4,'Data Export'!$G$1:$CZ$1,0)),0))</f>
        <v/>
      </c>
      <c r="J1325" s="62" t="str">
        <f>IF(H1325="","",IF(OR('Data Export'!F1325="三厢轿车",'Data Export'!F1325="掀背轿车",'Data Export'!F1325="旅行车",'Data Export'!F1325="微型车",'Data Export'!F1325="硬顶跑车",'Data Export'!F1325="敞蓬车",'Data Export'!F1325="Targa"),"轿车",IF(OR('Data Export'!F1325="小型MPV",'Data Export'!F1325="客车"),"MPV",IF('Data Export'!F1325="运动型多功能车","SUV","其他"))))</f>
        <v/>
      </c>
      <c r="K1325" s="62"/>
      <c r="L1325" s="62"/>
      <c r="M1325" s="62"/>
      <c r="N1325" s="62"/>
      <c r="O1325" s="62"/>
      <c r="P1325" s="62"/>
      <c r="Q1325" s="62"/>
    </row>
    <row r="1326" spans="1:17">
      <c r="A1326" s="62"/>
      <c r="B1326" s="62"/>
      <c r="C1326" s="62"/>
      <c r="D1326" s="62"/>
      <c r="E1326" s="62"/>
      <c r="F1326" s="62"/>
      <c r="G1326" s="62"/>
      <c r="H1326" s="62" t="str">
        <f>IF(AND('Data Export'!A1326=前十整体车型排名!$B$2,'Data Export'!B1326=前十整体车型排名!$B$3,'Data Export'!D1326&lt;&gt;""),UPPER('Data Export'!C1326)&amp;"♦"&amp;'Data Export'!D1326,"")</f>
        <v/>
      </c>
      <c r="I1326" s="63" t="str">
        <f>IF(H1326="","",IFERROR(INDEX('Data Export'!G1326:CZ1326,1,MATCH(前十整体车型排名!$B$4,'Data Export'!$G$1:$CZ$1,0)),0))</f>
        <v/>
      </c>
      <c r="J1326" s="62" t="str">
        <f>IF(H1326="","",IF(OR('Data Export'!F1326="三厢轿车",'Data Export'!F1326="掀背轿车",'Data Export'!F1326="旅行车",'Data Export'!F1326="微型车",'Data Export'!F1326="硬顶跑车",'Data Export'!F1326="敞蓬车",'Data Export'!F1326="Targa"),"轿车",IF(OR('Data Export'!F1326="小型MPV",'Data Export'!F1326="客车"),"MPV",IF('Data Export'!F1326="运动型多功能车","SUV","其他"))))</f>
        <v/>
      </c>
      <c r="K1326" s="62"/>
      <c r="L1326" s="62"/>
      <c r="M1326" s="62"/>
      <c r="N1326" s="62"/>
      <c r="O1326" s="62"/>
      <c r="P1326" s="62"/>
      <c r="Q1326" s="62"/>
    </row>
    <row r="1327" spans="1:17">
      <c r="A1327" s="62"/>
      <c r="B1327" s="62"/>
      <c r="C1327" s="62"/>
      <c r="D1327" s="62"/>
      <c r="E1327" s="62"/>
      <c r="F1327" s="62"/>
      <c r="G1327" s="62"/>
      <c r="H1327" s="62" t="str">
        <f>IF(AND('Data Export'!A1327=前十整体车型排名!$B$2,'Data Export'!B1327=前十整体车型排名!$B$3,'Data Export'!D1327&lt;&gt;""),UPPER('Data Export'!C1327)&amp;"♦"&amp;'Data Export'!D1327,"")</f>
        <v/>
      </c>
      <c r="I1327" s="63" t="str">
        <f>IF(H1327="","",IFERROR(INDEX('Data Export'!G1327:CZ1327,1,MATCH(前十整体车型排名!$B$4,'Data Export'!$G$1:$CZ$1,0)),0))</f>
        <v/>
      </c>
      <c r="J1327" s="62" t="str">
        <f>IF(H1327="","",IF(OR('Data Export'!F1327="三厢轿车",'Data Export'!F1327="掀背轿车",'Data Export'!F1327="旅行车",'Data Export'!F1327="微型车",'Data Export'!F1327="硬顶跑车",'Data Export'!F1327="敞蓬车",'Data Export'!F1327="Targa"),"轿车",IF(OR('Data Export'!F1327="小型MPV",'Data Export'!F1327="客车"),"MPV",IF('Data Export'!F1327="运动型多功能车","SUV","其他"))))</f>
        <v/>
      </c>
      <c r="K1327" s="62"/>
      <c r="L1327" s="62"/>
      <c r="M1327" s="62"/>
      <c r="N1327" s="62"/>
      <c r="O1327" s="62"/>
      <c r="P1327" s="62"/>
      <c r="Q1327" s="62"/>
    </row>
    <row r="1328" spans="1:17">
      <c r="A1328" s="62"/>
      <c r="B1328" s="62"/>
      <c r="C1328" s="62"/>
      <c r="D1328" s="62"/>
      <c r="E1328" s="62"/>
      <c r="F1328" s="62"/>
      <c r="G1328" s="62"/>
      <c r="H1328" s="62" t="str">
        <f>IF(AND('Data Export'!A1328=前十整体车型排名!$B$2,'Data Export'!B1328=前十整体车型排名!$B$3,'Data Export'!D1328&lt;&gt;""),UPPER('Data Export'!C1328)&amp;"♦"&amp;'Data Export'!D1328,"")</f>
        <v/>
      </c>
      <c r="I1328" s="63" t="str">
        <f>IF(H1328="","",IFERROR(INDEX('Data Export'!G1328:CZ1328,1,MATCH(前十整体车型排名!$B$4,'Data Export'!$G$1:$CZ$1,0)),0))</f>
        <v/>
      </c>
      <c r="J1328" s="62" t="str">
        <f>IF(H1328="","",IF(OR('Data Export'!F1328="三厢轿车",'Data Export'!F1328="掀背轿车",'Data Export'!F1328="旅行车",'Data Export'!F1328="微型车",'Data Export'!F1328="硬顶跑车",'Data Export'!F1328="敞蓬车",'Data Export'!F1328="Targa"),"轿车",IF(OR('Data Export'!F1328="小型MPV",'Data Export'!F1328="客车"),"MPV",IF('Data Export'!F1328="运动型多功能车","SUV","其他"))))</f>
        <v/>
      </c>
      <c r="K1328" s="62"/>
      <c r="L1328" s="62"/>
      <c r="M1328" s="62"/>
      <c r="N1328" s="62"/>
      <c r="O1328" s="62"/>
      <c r="P1328" s="62"/>
      <c r="Q1328" s="62"/>
    </row>
    <row r="1329" spans="1:17">
      <c r="A1329" s="62"/>
      <c r="B1329" s="62"/>
      <c r="C1329" s="62"/>
      <c r="D1329" s="62"/>
      <c r="E1329" s="62"/>
      <c r="F1329" s="62"/>
      <c r="G1329" s="62"/>
      <c r="H1329" s="62" t="str">
        <f>IF(AND('Data Export'!A1329=前十整体车型排名!$B$2,'Data Export'!B1329=前十整体车型排名!$B$3,'Data Export'!D1329&lt;&gt;""),UPPER('Data Export'!C1329)&amp;"♦"&amp;'Data Export'!D1329,"")</f>
        <v/>
      </c>
      <c r="I1329" s="63" t="str">
        <f>IF(H1329="","",IFERROR(INDEX('Data Export'!G1329:CZ1329,1,MATCH(前十整体车型排名!$B$4,'Data Export'!$G$1:$CZ$1,0)),0))</f>
        <v/>
      </c>
      <c r="J1329" s="62" t="str">
        <f>IF(H1329="","",IF(OR('Data Export'!F1329="三厢轿车",'Data Export'!F1329="掀背轿车",'Data Export'!F1329="旅行车",'Data Export'!F1329="微型车",'Data Export'!F1329="硬顶跑车",'Data Export'!F1329="敞蓬车",'Data Export'!F1329="Targa"),"轿车",IF(OR('Data Export'!F1329="小型MPV",'Data Export'!F1329="客车"),"MPV",IF('Data Export'!F1329="运动型多功能车","SUV","其他"))))</f>
        <v/>
      </c>
      <c r="K1329" s="62"/>
      <c r="L1329" s="62"/>
      <c r="M1329" s="62"/>
      <c r="N1329" s="62"/>
      <c r="O1329" s="62"/>
      <c r="P1329" s="62"/>
      <c r="Q1329" s="62"/>
    </row>
    <row r="1330" spans="1:17">
      <c r="A1330" s="62"/>
      <c r="B1330" s="62"/>
      <c r="C1330" s="62"/>
      <c r="D1330" s="62"/>
      <c r="E1330" s="62"/>
      <c r="F1330" s="62"/>
      <c r="G1330" s="62"/>
      <c r="H1330" s="62" t="str">
        <f>IF(AND('Data Export'!A1330=前十整体车型排名!$B$2,'Data Export'!B1330=前十整体车型排名!$B$3,'Data Export'!D1330&lt;&gt;""),UPPER('Data Export'!C1330)&amp;"♦"&amp;'Data Export'!D1330,"")</f>
        <v/>
      </c>
      <c r="I1330" s="63" t="str">
        <f>IF(H1330="","",IFERROR(INDEX('Data Export'!G1330:CZ1330,1,MATCH(前十整体车型排名!$B$4,'Data Export'!$G$1:$CZ$1,0)),0))</f>
        <v/>
      </c>
      <c r="J1330" s="62" t="str">
        <f>IF(H1330="","",IF(OR('Data Export'!F1330="三厢轿车",'Data Export'!F1330="掀背轿车",'Data Export'!F1330="旅行车",'Data Export'!F1330="微型车",'Data Export'!F1330="硬顶跑车",'Data Export'!F1330="敞蓬车",'Data Export'!F1330="Targa"),"轿车",IF(OR('Data Export'!F1330="小型MPV",'Data Export'!F1330="客车"),"MPV",IF('Data Export'!F1330="运动型多功能车","SUV","其他"))))</f>
        <v/>
      </c>
      <c r="K1330" s="62"/>
      <c r="L1330" s="62"/>
      <c r="M1330" s="62"/>
      <c r="N1330" s="62"/>
      <c r="O1330" s="62"/>
      <c r="P1330" s="62"/>
      <c r="Q1330" s="62"/>
    </row>
    <row r="1331" spans="1:17">
      <c r="A1331" s="62"/>
      <c r="B1331" s="62"/>
      <c r="C1331" s="62"/>
      <c r="D1331" s="62"/>
      <c r="E1331" s="62"/>
      <c r="F1331" s="62"/>
      <c r="G1331" s="62"/>
      <c r="H1331" s="62" t="str">
        <f>IF(AND('Data Export'!A1331=前十整体车型排名!$B$2,'Data Export'!B1331=前十整体车型排名!$B$3,'Data Export'!D1331&lt;&gt;""),UPPER('Data Export'!C1331)&amp;"♦"&amp;'Data Export'!D1331,"")</f>
        <v/>
      </c>
      <c r="I1331" s="63" t="str">
        <f>IF(H1331="","",IFERROR(INDEX('Data Export'!G1331:CZ1331,1,MATCH(前十整体车型排名!$B$4,'Data Export'!$G$1:$CZ$1,0)),0))</f>
        <v/>
      </c>
      <c r="J1331" s="62" t="str">
        <f>IF(H1331="","",IF(OR('Data Export'!F1331="三厢轿车",'Data Export'!F1331="掀背轿车",'Data Export'!F1331="旅行车",'Data Export'!F1331="微型车",'Data Export'!F1331="硬顶跑车",'Data Export'!F1331="敞蓬车",'Data Export'!F1331="Targa"),"轿车",IF(OR('Data Export'!F1331="小型MPV",'Data Export'!F1331="客车"),"MPV",IF('Data Export'!F1331="运动型多功能车","SUV","其他"))))</f>
        <v/>
      </c>
      <c r="K1331" s="62"/>
      <c r="L1331" s="62"/>
      <c r="M1331" s="62"/>
      <c r="N1331" s="62"/>
      <c r="O1331" s="62"/>
      <c r="P1331" s="62"/>
      <c r="Q1331" s="62"/>
    </row>
    <row r="1332" spans="1:17">
      <c r="A1332" s="62"/>
      <c r="B1332" s="62"/>
      <c r="C1332" s="62"/>
      <c r="D1332" s="62"/>
      <c r="E1332" s="62"/>
      <c r="F1332" s="62"/>
      <c r="G1332" s="62"/>
      <c r="H1332" s="62" t="str">
        <f>IF(AND('Data Export'!A1332=前十整体车型排名!$B$2,'Data Export'!B1332=前十整体车型排名!$B$3,'Data Export'!D1332&lt;&gt;""),UPPER('Data Export'!C1332)&amp;"♦"&amp;'Data Export'!D1332,"")</f>
        <v/>
      </c>
      <c r="I1332" s="63" t="str">
        <f>IF(H1332="","",IFERROR(INDEX('Data Export'!G1332:CZ1332,1,MATCH(前十整体车型排名!$B$4,'Data Export'!$G$1:$CZ$1,0)),0))</f>
        <v/>
      </c>
      <c r="J1332" s="62" t="str">
        <f>IF(H1332="","",IF(OR('Data Export'!F1332="三厢轿车",'Data Export'!F1332="掀背轿车",'Data Export'!F1332="旅行车",'Data Export'!F1332="微型车",'Data Export'!F1332="硬顶跑车",'Data Export'!F1332="敞蓬车",'Data Export'!F1332="Targa"),"轿车",IF(OR('Data Export'!F1332="小型MPV",'Data Export'!F1332="客车"),"MPV",IF('Data Export'!F1332="运动型多功能车","SUV","其他"))))</f>
        <v/>
      </c>
      <c r="K1332" s="62"/>
      <c r="L1332" s="62"/>
      <c r="M1332" s="62"/>
      <c r="N1332" s="62"/>
      <c r="O1332" s="62"/>
      <c r="P1332" s="62"/>
      <c r="Q1332" s="62"/>
    </row>
    <row r="1333" spans="1:17">
      <c r="A1333" s="62"/>
      <c r="B1333" s="62"/>
      <c r="C1333" s="62"/>
      <c r="D1333" s="62"/>
      <c r="E1333" s="62"/>
      <c r="F1333" s="62"/>
      <c r="G1333" s="62"/>
      <c r="H1333" s="62" t="str">
        <f>IF(AND('Data Export'!A1333=前十整体车型排名!$B$2,'Data Export'!B1333=前十整体车型排名!$B$3,'Data Export'!D1333&lt;&gt;""),UPPER('Data Export'!C1333)&amp;"♦"&amp;'Data Export'!D1333,"")</f>
        <v/>
      </c>
      <c r="I1333" s="63" t="str">
        <f>IF(H1333="","",IFERROR(INDEX('Data Export'!G1333:CZ1333,1,MATCH(前十整体车型排名!$B$4,'Data Export'!$G$1:$CZ$1,0)),0))</f>
        <v/>
      </c>
      <c r="J1333" s="62" t="str">
        <f>IF(H1333="","",IF(OR('Data Export'!F1333="三厢轿车",'Data Export'!F1333="掀背轿车",'Data Export'!F1333="旅行车",'Data Export'!F1333="微型车",'Data Export'!F1333="硬顶跑车",'Data Export'!F1333="敞蓬车",'Data Export'!F1333="Targa"),"轿车",IF(OR('Data Export'!F1333="小型MPV",'Data Export'!F1333="客车"),"MPV",IF('Data Export'!F1333="运动型多功能车","SUV","其他"))))</f>
        <v/>
      </c>
      <c r="K1333" s="62"/>
      <c r="L1333" s="62"/>
      <c r="M1333" s="62"/>
      <c r="N1333" s="62"/>
      <c r="O1333" s="62"/>
      <c r="P1333" s="62"/>
      <c r="Q1333" s="62"/>
    </row>
    <row r="1334" spans="1:17">
      <c r="A1334" s="62"/>
      <c r="B1334" s="62"/>
      <c r="C1334" s="62"/>
      <c r="D1334" s="62"/>
      <c r="E1334" s="62"/>
      <c r="F1334" s="62"/>
      <c r="G1334" s="62"/>
      <c r="H1334" s="62" t="str">
        <f>IF(AND('Data Export'!A1334=前十整体车型排名!$B$2,'Data Export'!B1334=前十整体车型排名!$B$3,'Data Export'!D1334&lt;&gt;""),UPPER('Data Export'!C1334)&amp;"♦"&amp;'Data Export'!D1334,"")</f>
        <v/>
      </c>
      <c r="I1334" s="63" t="str">
        <f>IF(H1334="","",IFERROR(INDEX('Data Export'!G1334:CZ1334,1,MATCH(前十整体车型排名!$B$4,'Data Export'!$G$1:$CZ$1,0)),0))</f>
        <v/>
      </c>
      <c r="J1334" s="62" t="str">
        <f>IF(H1334="","",IF(OR('Data Export'!F1334="三厢轿车",'Data Export'!F1334="掀背轿车",'Data Export'!F1334="旅行车",'Data Export'!F1334="微型车",'Data Export'!F1334="硬顶跑车",'Data Export'!F1334="敞蓬车",'Data Export'!F1334="Targa"),"轿车",IF(OR('Data Export'!F1334="小型MPV",'Data Export'!F1334="客车"),"MPV",IF('Data Export'!F1334="运动型多功能车","SUV","其他"))))</f>
        <v/>
      </c>
      <c r="K1334" s="62"/>
      <c r="L1334" s="62"/>
      <c r="M1334" s="62"/>
      <c r="N1334" s="62"/>
      <c r="O1334" s="62"/>
      <c r="P1334" s="62"/>
      <c r="Q1334" s="62"/>
    </row>
    <row r="1335" spans="1:17">
      <c r="A1335" s="62"/>
      <c r="B1335" s="62"/>
      <c r="C1335" s="62"/>
      <c r="D1335" s="62"/>
      <c r="E1335" s="62"/>
      <c r="F1335" s="62"/>
      <c r="G1335" s="62"/>
      <c r="H1335" s="62" t="str">
        <f>IF(AND('Data Export'!A1335=前十整体车型排名!$B$2,'Data Export'!B1335=前十整体车型排名!$B$3,'Data Export'!D1335&lt;&gt;""),UPPER('Data Export'!C1335)&amp;"♦"&amp;'Data Export'!D1335,"")</f>
        <v/>
      </c>
      <c r="I1335" s="63" t="str">
        <f>IF(H1335="","",IFERROR(INDEX('Data Export'!G1335:CZ1335,1,MATCH(前十整体车型排名!$B$4,'Data Export'!$G$1:$CZ$1,0)),0))</f>
        <v/>
      </c>
      <c r="J1335" s="62" t="str">
        <f>IF(H1335="","",IF(OR('Data Export'!F1335="三厢轿车",'Data Export'!F1335="掀背轿车",'Data Export'!F1335="旅行车",'Data Export'!F1335="微型车",'Data Export'!F1335="硬顶跑车",'Data Export'!F1335="敞蓬车",'Data Export'!F1335="Targa"),"轿车",IF(OR('Data Export'!F1335="小型MPV",'Data Export'!F1335="客车"),"MPV",IF('Data Export'!F1335="运动型多功能车","SUV","其他"))))</f>
        <v/>
      </c>
      <c r="K1335" s="62"/>
      <c r="L1335" s="62"/>
      <c r="M1335" s="62"/>
      <c r="N1335" s="62"/>
      <c r="O1335" s="62"/>
      <c r="P1335" s="62"/>
      <c r="Q1335" s="62"/>
    </row>
    <row r="1336" spans="1:17">
      <c r="A1336" s="62"/>
      <c r="B1336" s="62"/>
      <c r="C1336" s="62"/>
      <c r="D1336" s="62"/>
      <c r="E1336" s="62"/>
      <c r="F1336" s="62"/>
      <c r="G1336" s="62"/>
      <c r="H1336" s="62" t="str">
        <f>IF(AND('Data Export'!A1336=前十整体车型排名!$B$2,'Data Export'!B1336=前十整体车型排名!$B$3,'Data Export'!D1336&lt;&gt;""),UPPER('Data Export'!C1336)&amp;"♦"&amp;'Data Export'!D1336,"")</f>
        <v/>
      </c>
      <c r="I1336" s="63" t="str">
        <f>IF(H1336="","",IFERROR(INDEX('Data Export'!G1336:CZ1336,1,MATCH(前十整体车型排名!$B$4,'Data Export'!$G$1:$CZ$1,0)),0))</f>
        <v/>
      </c>
      <c r="J1336" s="62" t="str">
        <f>IF(H1336="","",IF(OR('Data Export'!F1336="三厢轿车",'Data Export'!F1336="掀背轿车",'Data Export'!F1336="旅行车",'Data Export'!F1336="微型车",'Data Export'!F1336="硬顶跑车",'Data Export'!F1336="敞蓬车",'Data Export'!F1336="Targa"),"轿车",IF(OR('Data Export'!F1336="小型MPV",'Data Export'!F1336="客车"),"MPV",IF('Data Export'!F1336="运动型多功能车","SUV","其他"))))</f>
        <v/>
      </c>
      <c r="K1336" s="62"/>
      <c r="L1336" s="62"/>
      <c r="M1336" s="62"/>
      <c r="N1336" s="62"/>
      <c r="O1336" s="62"/>
      <c r="P1336" s="62"/>
      <c r="Q1336" s="62"/>
    </row>
    <row r="1337" spans="1:17">
      <c r="A1337" s="62"/>
      <c r="B1337" s="62"/>
      <c r="C1337" s="62"/>
      <c r="D1337" s="62"/>
      <c r="E1337" s="62"/>
      <c r="F1337" s="62"/>
      <c r="G1337" s="62"/>
      <c r="H1337" s="62" t="str">
        <f>IF(AND('Data Export'!A1337=前十整体车型排名!$B$2,'Data Export'!B1337=前十整体车型排名!$B$3,'Data Export'!D1337&lt;&gt;""),UPPER('Data Export'!C1337)&amp;"♦"&amp;'Data Export'!D1337,"")</f>
        <v/>
      </c>
      <c r="I1337" s="63" t="str">
        <f>IF(H1337="","",IFERROR(INDEX('Data Export'!G1337:CZ1337,1,MATCH(前十整体车型排名!$B$4,'Data Export'!$G$1:$CZ$1,0)),0))</f>
        <v/>
      </c>
      <c r="J1337" s="62" t="str">
        <f>IF(H1337="","",IF(OR('Data Export'!F1337="三厢轿车",'Data Export'!F1337="掀背轿车",'Data Export'!F1337="旅行车",'Data Export'!F1337="微型车",'Data Export'!F1337="硬顶跑车",'Data Export'!F1337="敞蓬车",'Data Export'!F1337="Targa"),"轿车",IF(OR('Data Export'!F1337="小型MPV",'Data Export'!F1337="客车"),"MPV",IF('Data Export'!F1337="运动型多功能车","SUV","其他"))))</f>
        <v/>
      </c>
      <c r="K1337" s="62"/>
      <c r="L1337" s="62"/>
      <c r="M1337" s="62"/>
      <c r="N1337" s="62"/>
      <c r="O1337" s="62"/>
      <c r="P1337" s="62"/>
      <c r="Q1337" s="62"/>
    </row>
    <row r="1338" spans="1:17">
      <c r="A1338" s="62"/>
      <c r="B1338" s="62"/>
      <c r="C1338" s="62"/>
      <c r="D1338" s="62"/>
      <c r="E1338" s="62"/>
      <c r="F1338" s="62"/>
      <c r="G1338" s="62"/>
      <c r="H1338" s="62" t="str">
        <f>IF(AND('Data Export'!A1338=前十整体车型排名!$B$2,'Data Export'!B1338=前十整体车型排名!$B$3,'Data Export'!D1338&lt;&gt;""),UPPER('Data Export'!C1338)&amp;"♦"&amp;'Data Export'!D1338,"")</f>
        <v/>
      </c>
      <c r="I1338" s="63" t="str">
        <f>IF(H1338="","",IFERROR(INDEX('Data Export'!G1338:CZ1338,1,MATCH(前十整体车型排名!$B$4,'Data Export'!$G$1:$CZ$1,0)),0))</f>
        <v/>
      </c>
      <c r="J1338" s="62" t="str">
        <f>IF(H1338="","",IF(OR('Data Export'!F1338="三厢轿车",'Data Export'!F1338="掀背轿车",'Data Export'!F1338="旅行车",'Data Export'!F1338="微型车",'Data Export'!F1338="硬顶跑车",'Data Export'!F1338="敞蓬车",'Data Export'!F1338="Targa"),"轿车",IF(OR('Data Export'!F1338="小型MPV",'Data Export'!F1338="客车"),"MPV",IF('Data Export'!F1338="运动型多功能车","SUV","其他"))))</f>
        <v/>
      </c>
      <c r="K1338" s="62"/>
      <c r="L1338" s="62"/>
      <c r="M1338" s="62"/>
      <c r="N1338" s="62"/>
      <c r="O1338" s="62"/>
      <c r="P1338" s="62"/>
      <c r="Q1338" s="62"/>
    </row>
    <row r="1339" spans="1:17">
      <c r="A1339" s="62"/>
      <c r="B1339" s="62"/>
      <c r="C1339" s="62"/>
      <c r="D1339" s="62"/>
      <c r="E1339" s="62"/>
      <c r="F1339" s="62"/>
      <c r="G1339" s="62"/>
      <c r="H1339" s="62" t="str">
        <f>IF(AND('Data Export'!A1339=前十整体车型排名!$B$2,'Data Export'!B1339=前十整体车型排名!$B$3,'Data Export'!D1339&lt;&gt;""),UPPER('Data Export'!C1339)&amp;"♦"&amp;'Data Export'!D1339,"")</f>
        <v/>
      </c>
      <c r="I1339" s="63" t="str">
        <f>IF(H1339="","",IFERROR(INDEX('Data Export'!G1339:CZ1339,1,MATCH(前十整体车型排名!$B$4,'Data Export'!$G$1:$CZ$1,0)),0))</f>
        <v/>
      </c>
      <c r="J1339" s="62" t="str">
        <f>IF(H1339="","",IF(OR('Data Export'!F1339="三厢轿车",'Data Export'!F1339="掀背轿车",'Data Export'!F1339="旅行车",'Data Export'!F1339="微型车",'Data Export'!F1339="硬顶跑车",'Data Export'!F1339="敞蓬车",'Data Export'!F1339="Targa"),"轿车",IF(OR('Data Export'!F1339="小型MPV",'Data Export'!F1339="客车"),"MPV",IF('Data Export'!F1339="运动型多功能车","SUV","其他"))))</f>
        <v/>
      </c>
      <c r="K1339" s="62"/>
      <c r="L1339" s="62"/>
      <c r="M1339" s="62"/>
      <c r="N1339" s="62"/>
      <c r="O1339" s="62"/>
      <c r="P1339" s="62"/>
      <c r="Q1339" s="62"/>
    </row>
    <row r="1340" spans="1:17">
      <c r="A1340" s="62"/>
      <c r="B1340" s="62"/>
      <c r="C1340" s="62"/>
      <c r="D1340" s="62"/>
      <c r="E1340" s="62"/>
      <c r="F1340" s="62"/>
      <c r="G1340" s="62"/>
      <c r="H1340" s="62" t="str">
        <f>IF(AND('Data Export'!A1340=前十整体车型排名!$B$2,'Data Export'!B1340=前十整体车型排名!$B$3,'Data Export'!D1340&lt;&gt;""),UPPER('Data Export'!C1340)&amp;"♦"&amp;'Data Export'!D1340,"")</f>
        <v/>
      </c>
      <c r="I1340" s="63" t="str">
        <f>IF(H1340="","",IFERROR(INDEX('Data Export'!G1340:CZ1340,1,MATCH(前十整体车型排名!$B$4,'Data Export'!$G$1:$CZ$1,0)),0))</f>
        <v/>
      </c>
      <c r="J1340" s="62" t="str">
        <f>IF(H1340="","",IF(OR('Data Export'!F1340="三厢轿车",'Data Export'!F1340="掀背轿车",'Data Export'!F1340="旅行车",'Data Export'!F1340="微型车",'Data Export'!F1340="硬顶跑车",'Data Export'!F1340="敞蓬车",'Data Export'!F1340="Targa"),"轿车",IF(OR('Data Export'!F1340="小型MPV",'Data Export'!F1340="客车"),"MPV",IF('Data Export'!F1340="运动型多功能车","SUV","其他"))))</f>
        <v/>
      </c>
      <c r="K1340" s="62"/>
      <c r="L1340" s="62"/>
      <c r="M1340" s="62"/>
      <c r="N1340" s="62"/>
      <c r="O1340" s="62"/>
      <c r="P1340" s="62"/>
      <c r="Q1340" s="62"/>
    </row>
    <row r="1341" spans="1:17">
      <c r="A1341" s="62"/>
      <c r="B1341" s="62"/>
      <c r="C1341" s="62"/>
      <c r="D1341" s="62"/>
      <c r="E1341" s="62"/>
      <c r="F1341" s="62"/>
      <c r="G1341" s="62"/>
      <c r="H1341" s="62" t="str">
        <f>IF(AND('Data Export'!A1341=前十整体车型排名!$B$2,'Data Export'!B1341=前十整体车型排名!$B$3,'Data Export'!D1341&lt;&gt;""),UPPER('Data Export'!C1341)&amp;"♦"&amp;'Data Export'!D1341,"")</f>
        <v/>
      </c>
      <c r="I1341" s="63" t="str">
        <f>IF(H1341="","",IFERROR(INDEX('Data Export'!G1341:CZ1341,1,MATCH(前十整体车型排名!$B$4,'Data Export'!$G$1:$CZ$1,0)),0))</f>
        <v/>
      </c>
      <c r="J1341" s="62" t="str">
        <f>IF(H1341="","",IF(OR('Data Export'!F1341="三厢轿车",'Data Export'!F1341="掀背轿车",'Data Export'!F1341="旅行车",'Data Export'!F1341="微型车",'Data Export'!F1341="硬顶跑车",'Data Export'!F1341="敞蓬车",'Data Export'!F1341="Targa"),"轿车",IF(OR('Data Export'!F1341="小型MPV",'Data Export'!F1341="客车"),"MPV",IF('Data Export'!F1341="运动型多功能车","SUV","其他"))))</f>
        <v/>
      </c>
      <c r="K1341" s="62"/>
      <c r="L1341" s="62"/>
      <c r="M1341" s="62"/>
      <c r="N1341" s="62"/>
      <c r="O1341" s="62"/>
      <c r="P1341" s="62"/>
      <c r="Q1341" s="62"/>
    </row>
    <row r="1342" spans="1:17">
      <c r="A1342" s="62"/>
      <c r="B1342" s="62"/>
      <c r="C1342" s="62"/>
      <c r="D1342" s="62"/>
      <c r="E1342" s="62"/>
      <c r="F1342" s="62"/>
      <c r="G1342" s="62"/>
      <c r="H1342" s="62" t="str">
        <f>IF(AND('Data Export'!A1342=前十整体车型排名!$B$2,'Data Export'!B1342=前十整体车型排名!$B$3,'Data Export'!D1342&lt;&gt;""),UPPER('Data Export'!C1342)&amp;"♦"&amp;'Data Export'!D1342,"")</f>
        <v/>
      </c>
      <c r="I1342" s="63" t="str">
        <f>IF(H1342="","",IFERROR(INDEX('Data Export'!G1342:CZ1342,1,MATCH(前十整体车型排名!$B$4,'Data Export'!$G$1:$CZ$1,0)),0))</f>
        <v/>
      </c>
      <c r="J1342" s="62" t="str">
        <f>IF(H1342="","",IF(OR('Data Export'!F1342="三厢轿车",'Data Export'!F1342="掀背轿车",'Data Export'!F1342="旅行车",'Data Export'!F1342="微型车",'Data Export'!F1342="硬顶跑车",'Data Export'!F1342="敞蓬车",'Data Export'!F1342="Targa"),"轿车",IF(OR('Data Export'!F1342="小型MPV",'Data Export'!F1342="客车"),"MPV",IF('Data Export'!F1342="运动型多功能车","SUV","其他"))))</f>
        <v/>
      </c>
      <c r="K1342" s="62"/>
      <c r="L1342" s="62"/>
      <c r="M1342" s="62"/>
      <c r="N1342" s="62"/>
      <c r="O1342" s="62"/>
      <c r="P1342" s="62"/>
      <c r="Q1342" s="62"/>
    </row>
    <row r="1343" spans="1:17">
      <c r="A1343" s="62"/>
      <c r="B1343" s="62"/>
      <c r="C1343" s="62"/>
      <c r="D1343" s="62"/>
      <c r="E1343" s="62"/>
      <c r="F1343" s="62"/>
      <c r="G1343" s="62"/>
      <c r="H1343" s="62" t="str">
        <f>IF(AND('Data Export'!A1343=前十整体车型排名!$B$2,'Data Export'!B1343=前十整体车型排名!$B$3,'Data Export'!D1343&lt;&gt;""),UPPER('Data Export'!C1343)&amp;"♦"&amp;'Data Export'!D1343,"")</f>
        <v/>
      </c>
      <c r="I1343" s="63" t="str">
        <f>IF(H1343="","",IFERROR(INDEX('Data Export'!G1343:CZ1343,1,MATCH(前十整体车型排名!$B$4,'Data Export'!$G$1:$CZ$1,0)),0))</f>
        <v/>
      </c>
      <c r="J1343" s="62" t="str">
        <f>IF(H1343="","",IF(OR('Data Export'!F1343="三厢轿车",'Data Export'!F1343="掀背轿车",'Data Export'!F1343="旅行车",'Data Export'!F1343="微型车",'Data Export'!F1343="硬顶跑车",'Data Export'!F1343="敞蓬车",'Data Export'!F1343="Targa"),"轿车",IF(OR('Data Export'!F1343="小型MPV",'Data Export'!F1343="客车"),"MPV",IF('Data Export'!F1343="运动型多功能车","SUV","其他"))))</f>
        <v/>
      </c>
      <c r="K1343" s="62"/>
      <c r="L1343" s="62"/>
      <c r="M1343" s="62"/>
      <c r="N1343" s="62"/>
      <c r="O1343" s="62"/>
      <c r="P1343" s="62"/>
      <c r="Q1343" s="62"/>
    </row>
    <row r="1344" spans="1:17">
      <c r="A1344" s="62"/>
      <c r="B1344" s="62"/>
      <c r="C1344" s="62"/>
      <c r="D1344" s="62"/>
      <c r="E1344" s="62"/>
      <c r="F1344" s="62"/>
      <c r="G1344" s="62"/>
      <c r="H1344" s="62" t="str">
        <f>IF(AND('Data Export'!A1344=前十整体车型排名!$B$2,'Data Export'!B1344=前十整体车型排名!$B$3,'Data Export'!D1344&lt;&gt;""),UPPER('Data Export'!C1344)&amp;"♦"&amp;'Data Export'!D1344,"")</f>
        <v/>
      </c>
      <c r="I1344" s="63" t="str">
        <f>IF(H1344="","",IFERROR(INDEX('Data Export'!G1344:CZ1344,1,MATCH(前十整体车型排名!$B$4,'Data Export'!$G$1:$CZ$1,0)),0))</f>
        <v/>
      </c>
      <c r="J1344" s="62" t="str">
        <f>IF(H1344="","",IF(OR('Data Export'!F1344="三厢轿车",'Data Export'!F1344="掀背轿车",'Data Export'!F1344="旅行车",'Data Export'!F1344="微型车",'Data Export'!F1344="硬顶跑车",'Data Export'!F1344="敞蓬车",'Data Export'!F1344="Targa"),"轿车",IF(OR('Data Export'!F1344="小型MPV",'Data Export'!F1344="客车"),"MPV",IF('Data Export'!F1344="运动型多功能车","SUV","其他"))))</f>
        <v/>
      </c>
      <c r="K1344" s="62"/>
      <c r="L1344" s="62"/>
      <c r="M1344" s="62"/>
      <c r="N1344" s="62"/>
      <c r="O1344" s="62"/>
      <c r="P1344" s="62"/>
      <c r="Q1344" s="62"/>
    </row>
    <row r="1345" spans="1:17">
      <c r="A1345" s="62"/>
      <c r="B1345" s="62"/>
      <c r="C1345" s="62"/>
      <c r="D1345" s="62"/>
      <c r="E1345" s="62"/>
      <c r="F1345" s="62"/>
      <c r="G1345" s="62"/>
      <c r="H1345" s="62" t="str">
        <f>IF(AND('Data Export'!A1345=前十整体车型排名!$B$2,'Data Export'!B1345=前十整体车型排名!$B$3,'Data Export'!D1345&lt;&gt;""),UPPER('Data Export'!C1345)&amp;"♦"&amp;'Data Export'!D1345,"")</f>
        <v/>
      </c>
      <c r="I1345" s="63" t="str">
        <f>IF(H1345="","",IFERROR(INDEX('Data Export'!G1345:CZ1345,1,MATCH(前十整体车型排名!$B$4,'Data Export'!$G$1:$CZ$1,0)),0))</f>
        <v/>
      </c>
      <c r="J1345" s="62" t="str">
        <f>IF(H1345="","",IF(OR('Data Export'!F1345="三厢轿车",'Data Export'!F1345="掀背轿车",'Data Export'!F1345="旅行车",'Data Export'!F1345="微型车",'Data Export'!F1345="硬顶跑车",'Data Export'!F1345="敞蓬车",'Data Export'!F1345="Targa"),"轿车",IF(OR('Data Export'!F1345="小型MPV",'Data Export'!F1345="客车"),"MPV",IF('Data Export'!F1345="运动型多功能车","SUV","其他"))))</f>
        <v/>
      </c>
      <c r="K1345" s="62"/>
      <c r="L1345" s="62"/>
      <c r="M1345" s="62"/>
      <c r="N1345" s="62"/>
      <c r="O1345" s="62"/>
      <c r="P1345" s="62"/>
      <c r="Q1345" s="62"/>
    </row>
    <row r="1346" spans="1:17">
      <c r="A1346" s="62"/>
      <c r="B1346" s="62"/>
      <c r="C1346" s="62"/>
      <c r="D1346" s="62"/>
      <c r="E1346" s="62"/>
      <c r="F1346" s="62"/>
      <c r="G1346" s="62"/>
      <c r="H1346" s="62" t="str">
        <f>IF(AND('Data Export'!A1346=前十整体车型排名!$B$2,'Data Export'!B1346=前十整体车型排名!$B$3,'Data Export'!D1346&lt;&gt;""),UPPER('Data Export'!C1346)&amp;"♦"&amp;'Data Export'!D1346,"")</f>
        <v/>
      </c>
      <c r="I1346" s="63" t="str">
        <f>IF(H1346="","",IFERROR(INDEX('Data Export'!G1346:CZ1346,1,MATCH(前十整体车型排名!$B$4,'Data Export'!$G$1:$CZ$1,0)),0))</f>
        <v/>
      </c>
      <c r="J1346" s="62" t="str">
        <f>IF(H1346="","",IF(OR('Data Export'!F1346="三厢轿车",'Data Export'!F1346="掀背轿车",'Data Export'!F1346="旅行车",'Data Export'!F1346="微型车",'Data Export'!F1346="硬顶跑车",'Data Export'!F1346="敞蓬车",'Data Export'!F1346="Targa"),"轿车",IF(OR('Data Export'!F1346="小型MPV",'Data Export'!F1346="客车"),"MPV",IF('Data Export'!F1346="运动型多功能车","SUV","其他"))))</f>
        <v/>
      </c>
      <c r="K1346" s="62"/>
      <c r="L1346" s="62"/>
      <c r="M1346" s="62"/>
      <c r="N1346" s="62"/>
      <c r="O1346" s="62"/>
      <c r="P1346" s="62"/>
      <c r="Q1346" s="62"/>
    </row>
    <row r="1347" spans="1:17">
      <c r="A1347" s="62"/>
      <c r="B1347" s="62"/>
      <c r="C1347" s="62"/>
      <c r="D1347" s="62"/>
      <c r="E1347" s="62"/>
      <c r="F1347" s="62"/>
      <c r="G1347" s="62"/>
      <c r="H1347" s="62" t="str">
        <f>IF(AND('Data Export'!A1347=前十整体车型排名!$B$2,'Data Export'!B1347=前十整体车型排名!$B$3,'Data Export'!D1347&lt;&gt;""),UPPER('Data Export'!C1347)&amp;"♦"&amp;'Data Export'!D1347,"")</f>
        <v/>
      </c>
      <c r="I1347" s="63" t="str">
        <f>IF(H1347="","",IFERROR(INDEX('Data Export'!G1347:CZ1347,1,MATCH(前十整体车型排名!$B$4,'Data Export'!$G$1:$CZ$1,0)),0))</f>
        <v/>
      </c>
      <c r="J1347" s="62" t="str">
        <f>IF(H1347="","",IF(OR('Data Export'!F1347="三厢轿车",'Data Export'!F1347="掀背轿车",'Data Export'!F1347="旅行车",'Data Export'!F1347="微型车",'Data Export'!F1347="硬顶跑车",'Data Export'!F1347="敞蓬车",'Data Export'!F1347="Targa"),"轿车",IF(OR('Data Export'!F1347="小型MPV",'Data Export'!F1347="客车"),"MPV",IF('Data Export'!F1347="运动型多功能车","SUV","其他"))))</f>
        <v/>
      </c>
      <c r="K1347" s="62"/>
      <c r="L1347" s="62"/>
      <c r="M1347" s="62"/>
      <c r="N1347" s="62"/>
      <c r="O1347" s="62"/>
      <c r="P1347" s="62"/>
      <c r="Q1347" s="62"/>
    </row>
    <row r="1348" spans="1:17">
      <c r="A1348" s="62"/>
      <c r="B1348" s="62"/>
      <c r="C1348" s="62"/>
      <c r="D1348" s="62"/>
      <c r="E1348" s="62"/>
      <c r="F1348" s="62"/>
      <c r="G1348" s="62"/>
      <c r="H1348" s="62" t="str">
        <f>IF(AND('Data Export'!A1348=前十整体车型排名!$B$2,'Data Export'!B1348=前十整体车型排名!$B$3,'Data Export'!D1348&lt;&gt;""),UPPER('Data Export'!C1348)&amp;"♦"&amp;'Data Export'!D1348,"")</f>
        <v/>
      </c>
      <c r="I1348" s="63" t="str">
        <f>IF(H1348="","",IFERROR(INDEX('Data Export'!G1348:CZ1348,1,MATCH(前十整体车型排名!$B$4,'Data Export'!$G$1:$CZ$1,0)),0))</f>
        <v/>
      </c>
      <c r="J1348" s="62" t="str">
        <f>IF(H1348="","",IF(OR('Data Export'!F1348="三厢轿车",'Data Export'!F1348="掀背轿车",'Data Export'!F1348="旅行车",'Data Export'!F1348="微型车",'Data Export'!F1348="硬顶跑车",'Data Export'!F1348="敞蓬车",'Data Export'!F1348="Targa"),"轿车",IF(OR('Data Export'!F1348="小型MPV",'Data Export'!F1348="客车"),"MPV",IF('Data Export'!F1348="运动型多功能车","SUV","其他"))))</f>
        <v/>
      </c>
      <c r="K1348" s="62"/>
      <c r="L1348" s="62"/>
      <c r="M1348" s="62"/>
      <c r="N1348" s="62"/>
      <c r="O1348" s="62"/>
      <c r="P1348" s="62"/>
      <c r="Q1348" s="62"/>
    </row>
    <row r="1349" spans="1:17">
      <c r="A1349" s="62"/>
      <c r="B1349" s="62"/>
      <c r="C1349" s="62"/>
      <c r="D1349" s="62"/>
      <c r="E1349" s="62"/>
      <c r="F1349" s="62"/>
      <c r="G1349" s="62"/>
      <c r="H1349" s="62" t="str">
        <f>IF(AND('Data Export'!A1349=前十整体车型排名!$B$2,'Data Export'!B1349=前十整体车型排名!$B$3,'Data Export'!D1349&lt;&gt;""),UPPER('Data Export'!C1349)&amp;"♦"&amp;'Data Export'!D1349,"")</f>
        <v/>
      </c>
      <c r="I1349" s="63" t="str">
        <f>IF(H1349="","",IFERROR(INDEX('Data Export'!G1349:CZ1349,1,MATCH(前十整体车型排名!$B$4,'Data Export'!$G$1:$CZ$1,0)),0))</f>
        <v/>
      </c>
      <c r="J1349" s="62" t="str">
        <f>IF(H1349="","",IF(OR('Data Export'!F1349="三厢轿车",'Data Export'!F1349="掀背轿车",'Data Export'!F1349="旅行车",'Data Export'!F1349="微型车",'Data Export'!F1349="硬顶跑车",'Data Export'!F1349="敞蓬车",'Data Export'!F1349="Targa"),"轿车",IF(OR('Data Export'!F1349="小型MPV",'Data Export'!F1349="客车"),"MPV",IF('Data Export'!F1349="运动型多功能车","SUV","其他"))))</f>
        <v/>
      </c>
      <c r="K1349" s="62"/>
      <c r="L1349" s="62"/>
      <c r="M1349" s="62"/>
      <c r="N1349" s="62"/>
      <c r="O1349" s="62"/>
      <c r="P1349" s="62"/>
      <c r="Q1349" s="62"/>
    </row>
    <row r="1350" spans="1:17">
      <c r="A1350" s="62"/>
      <c r="B1350" s="62"/>
      <c r="C1350" s="62"/>
      <c r="D1350" s="62"/>
      <c r="E1350" s="62"/>
      <c r="F1350" s="62"/>
      <c r="G1350" s="62"/>
      <c r="H1350" s="62" t="str">
        <f>IF(AND('Data Export'!A1350=前十整体车型排名!$B$2,'Data Export'!B1350=前十整体车型排名!$B$3,'Data Export'!D1350&lt;&gt;""),UPPER('Data Export'!C1350)&amp;"♦"&amp;'Data Export'!D1350,"")</f>
        <v/>
      </c>
      <c r="I1350" s="63" t="str">
        <f>IF(H1350="","",IFERROR(INDEX('Data Export'!G1350:CZ1350,1,MATCH(前十整体车型排名!$B$4,'Data Export'!$G$1:$CZ$1,0)),0))</f>
        <v/>
      </c>
      <c r="J1350" s="62" t="str">
        <f>IF(H1350="","",IF(OR('Data Export'!F1350="三厢轿车",'Data Export'!F1350="掀背轿车",'Data Export'!F1350="旅行车",'Data Export'!F1350="微型车",'Data Export'!F1350="硬顶跑车",'Data Export'!F1350="敞蓬车",'Data Export'!F1350="Targa"),"轿车",IF(OR('Data Export'!F1350="小型MPV",'Data Export'!F1350="客车"),"MPV",IF('Data Export'!F1350="运动型多功能车","SUV","其他"))))</f>
        <v/>
      </c>
      <c r="K1350" s="62"/>
      <c r="L1350" s="62"/>
      <c r="M1350" s="62"/>
      <c r="N1350" s="62"/>
      <c r="O1350" s="62"/>
      <c r="P1350" s="62"/>
      <c r="Q1350" s="62"/>
    </row>
    <row r="1351" spans="1:17">
      <c r="A1351" s="62"/>
      <c r="B1351" s="62"/>
      <c r="C1351" s="62"/>
      <c r="D1351" s="62"/>
      <c r="E1351" s="62"/>
      <c r="F1351" s="62"/>
      <c r="G1351" s="62"/>
      <c r="H1351" s="62" t="str">
        <f>IF(AND('Data Export'!A1351=前十整体车型排名!$B$2,'Data Export'!B1351=前十整体车型排名!$B$3,'Data Export'!D1351&lt;&gt;""),UPPER('Data Export'!C1351)&amp;"♦"&amp;'Data Export'!D1351,"")</f>
        <v/>
      </c>
      <c r="I1351" s="63" t="str">
        <f>IF(H1351="","",IFERROR(INDEX('Data Export'!G1351:CZ1351,1,MATCH(前十整体车型排名!$B$4,'Data Export'!$G$1:$CZ$1,0)),0))</f>
        <v/>
      </c>
      <c r="J1351" s="62" t="str">
        <f>IF(H1351="","",IF(OR('Data Export'!F1351="三厢轿车",'Data Export'!F1351="掀背轿车",'Data Export'!F1351="旅行车",'Data Export'!F1351="微型车",'Data Export'!F1351="硬顶跑车",'Data Export'!F1351="敞蓬车",'Data Export'!F1351="Targa"),"轿车",IF(OR('Data Export'!F1351="小型MPV",'Data Export'!F1351="客车"),"MPV",IF('Data Export'!F1351="运动型多功能车","SUV","其他"))))</f>
        <v/>
      </c>
      <c r="K1351" s="62"/>
      <c r="L1351" s="62"/>
      <c r="M1351" s="62"/>
      <c r="N1351" s="62"/>
      <c r="O1351" s="62"/>
      <c r="P1351" s="62"/>
      <c r="Q1351" s="62"/>
    </row>
    <row r="1352" spans="1:17">
      <c r="A1352" s="62"/>
      <c r="B1352" s="62"/>
      <c r="C1352" s="62"/>
      <c r="D1352" s="62"/>
      <c r="E1352" s="62"/>
      <c r="F1352" s="62"/>
      <c r="G1352" s="62"/>
      <c r="H1352" s="62" t="str">
        <f>IF(AND('Data Export'!A1352=前十整体车型排名!$B$2,'Data Export'!B1352=前十整体车型排名!$B$3,'Data Export'!D1352&lt;&gt;""),UPPER('Data Export'!C1352)&amp;"♦"&amp;'Data Export'!D1352,"")</f>
        <v/>
      </c>
      <c r="I1352" s="63" t="str">
        <f>IF(H1352="","",IFERROR(INDEX('Data Export'!G1352:CZ1352,1,MATCH(前十整体车型排名!$B$4,'Data Export'!$G$1:$CZ$1,0)),0))</f>
        <v/>
      </c>
      <c r="J1352" s="62" t="str">
        <f>IF(H1352="","",IF(OR('Data Export'!F1352="三厢轿车",'Data Export'!F1352="掀背轿车",'Data Export'!F1352="旅行车",'Data Export'!F1352="微型车",'Data Export'!F1352="硬顶跑车",'Data Export'!F1352="敞蓬车",'Data Export'!F1352="Targa"),"轿车",IF(OR('Data Export'!F1352="小型MPV",'Data Export'!F1352="客车"),"MPV",IF('Data Export'!F1352="运动型多功能车","SUV","其他"))))</f>
        <v/>
      </c>
      <c r="K1352" s="62"/>
      <c r="L1352" s="62"/>
      <c r="M1352" s="62"/>
      <c r="N1352" s="62"/>
      <c r="O1352" s="62"/>
      <c r="P1352" s="62"/>
      <c r="Q1352" s="62"/>
    </row>
    <row r="1353" spans="1:17">
      <c r="A1353" s="62"/>
      <c r="B1353" s="62"/>
      <c r="C1353" s="62"/>
      <c r="D1353" s="62"/>
      <c r="E1353" s="62"/>
      <c r="F1353" s="62"/>
      <c r="G1353" s="62"/>
      <c r="H1353" s="62" t="str">
        <f>IF(AND('Data Export'!A1353=前十整体车型排名!$B$2,'Data Export'!B1353=前十整体车型排名!$B$3,'Data Export'!D1353&lt;&gt;""),UPPER('Data Export'!C1353)&amp;"♦"&amp;'Data Export'!D1353,"")</f>
        <v/>
      </c>
      <c r="I1353" s="63" t="str">
        <f>IF(H1353="","",IFERROR(INDEX('Data Export'!G1353:CZ1353,1,MATCH(前十整体车型排名!$B$4,'Data Export'!$G$1:$CZ$1,0)),0))</f>
        <v/>
      </c>
      <c r="J1353" s="62" t="str">
        <f>IF(H1353="","",IF(OR('Data Export'!F1353="三厢轿车",'Data Export'!F1353="掀背轿车",'Data Export'!F1353="旅行车",'Data Export'!F1353="微型车",'Data Export'!F1353="硬顶跑车",'Data Export'!F1353="敞蓬车",'Data Export'!F1353="Targa"),"轿车",IF(OR('Data Export'!F1353="小型MPV",'Data Export'!F1353="客车"),"MPV",IF('Data Export'!F1353="运动型多功能车","SUV","其他"))))</f>
        <v/>
      </c>
      <c r="K1353" s="62"/>
      <c r="L1353" s="62"/>
      <c r="M1353" s="62"/>
      <c r="N1353" s="62"/>
      <c r="O1353" s="62"/>
      <c r="P1353" s="62"/>
      <c r="Q1353" s="62"/>
    </row>
    <row r="1354" spans="1:17">
      <c r="A1354" s="62"/>
      <c r="B1354" s="62"/>
      <c r="C1354" s="62"/>
      <c r="D1354" s="62"/>
      <c r="E1354" s="62"/>
      <c r="F1354" s="62"/>
      <c r="G1354" s="62"/>
      <c r="H1354" s="62" t="str">
        <f>IF(AND('Data Export'!A1354=前十整体车型排名!$B$2,'Data Export'!B1354=前十整体车型排名!$B$3,'Data Export'!D1354&lt;&gt;""),UPPER('Data Export'!C1354)&amp;"♦"&amp;'Data Export'!D1354,"")</f>
        <v/>
      </c>
      <c r="I1354" s="63" t="str">
        <f>IF(H1354="","",IFERROR(INDEX('Data Export'!G1354:CZ1354,1,MATCH(前十整体车型排名!$B$4,'Data Export'!$G$1:$CZ$1,0)),0))</f>
        <v/>
      </c>
      <c r="J1354" s="62" t="str">
        <f>IF(H1354="","",IF(OR('Data Export'!F1354="三厢轿车",'Data Export'!F1354="掀背轿车",'Data Export'!F1354="旅行车",'Data Export'!F1354="微型车",'Data Export'!F1354="硬顶跑车",'Data Export'!F1354="敞蓬车",'Data Export'!F1354="Targa"),"轿车",IF(OR('Data Export'!F1354="小型MPV",'Data Export'!F1354="客车"),"MPV",IF('Data Export'!F1354="运动型多功能车","SUV","其他"))))</f>
        <v/>
      </c>
      <c r="K1354" s="62"/>
      <c r="L1354" s="62"/>
      <c r="M1354" s="62"/>
      <c r="N1354" s="62"/>
      <c r="O1354" s="62"/>
      <c r="P1354" s="62"/>
      <c r="Q1354" s="62"/>
    </row>
    <row r="1355" spans="1:17">
      <c r="A1355" s="62"/>
      <c r="B1355" s="62"/>
      <c r="C1355" s="62"/>
      <c r="D1355" s="62"/>
      <c r="E1355" s="62"/>
      <c r="F1355" s="62"/>
      <c r="G1355" s="62"/>
      <c r="H1355" s="62" t="str">
        <f>IF(AND('Data Export'!A1355=前十整体车型排名!$B$2,'Data Export'!B1355=前十整体车型排名!$B$3,'Data Export'!D1355&lt;&gt;""),UPPER('Data Export'!C1355)&amp;"♦"&amp;'Data Export'!D1355,"")</f>
        <v/>
      </c>
      <c r="I1355" s="63" t="str">
        <f>IF(H1355="","",IFERROR(INDEX('Data Export'!G1355:CZ1355,1,MATCH(前十整体车型排名!$B$4,'Data Export'!$G$1:$CZ$1,0)),0))</f>
        <v/>
      </c>
      <c r="J1355" s="62" t="str">
        <f>IF(H1355="","",IF(OR('Data Export'!F1355="三厢轿车",'Data Export'!F1355="掀背轿车",'Data Export'!F1355="旅行车",'Data Export'!F1355="微型车",'Data Export'!F1355="硬顶跑车",'Data Export'!F1355="敞蓬车",'Data Export'!F1355="Targa"),"轿车",IF(OR('Data Export'!F1355="小型MPV",'Data Export'!F1355="客车"),"MPV",IF('Data Export'!F1355="运动型多功能车","SUV","其他"))))</f>
        <v/>
      </c>
      <c r="K1355" s="62"/>
      <c r="L1355" s="62"/>
      <c r="M1355" s="62"/>
      <c r="N1355" s="62"/>
      <c r="O1355" s="62"/>
      <c r="P1355" s="62"/>
      <c r="Q1355" s="62"/>
    </row>
    <row r="1356" spans="1:17">
      <c r="A1356" s="62"/>
      <c r="B1356" s="62"/>
      <c r="C1356" s="62"/>
      <c r="D1356" s="62"/>
      <c r="E1356" s="62"/>
      <c r="F1356" s="62"/>
      <c r="G1356" s="62"/>
      <c r="H1356" s="62" t="str">
        <f>IF(AND('Data Export'!A1356=前十整体车型排名!$B$2,'Data Export'!B1356=前十整体车型排名!$B$3,'Data Export'!D1356&lt;&gt;""),UPPER('Data Export'!C1356)&amp;"♦"&amp;'Data Export'!D1356,"")</f>
        <v/>
      </c>
      <c r="I1356" s="63" t="str">
        <f>IF(H1356="","",IFERROR(INDEX('Data Export'!G1356:CZ1356,1,MATCH(前十整体车型排名!$B$4,'Data Export'!$G$1:$CZ$1,0)),0))</f>
        <v/>
      </c>
      <c r="J1356" s="62" t="str">
        <f>IF(H1356="","",IF(OR('Data Export'!F1356="三厢轿车",'Data Export'!F1356="掀背轿车",'Data Export'!F1356="旅行车",'Data Export'!F1356="微型车",'Data Export'!F1356="硬顶跑车",'Data Export'!F1356="敞蓬车",'Data Export'!F1356="Targa"),"轿车",IF(OR('Data Export'!F1356="小型MPV",'Data Export'!F1356="客车"),"MPV",IF('Data Export'!F1356="运动型多功能车","SUV","其他"))))</f>
        <v/>
      </c>
      <c r="K1356" s="62"/>
      <c r="L1356" s="62"/>
      <c r="M1356" s="62"/>
      <c r="N1356" s="62"/>
      <c r="O1356" s="62"/>
      <c r="P1356" s="62"/>
      <c r="Q1356" s="62"/>
    </row>
    <row r="1357" spans="1:17">
      <c r="A1357" s="62"/>
      <c r="B1357" s="62"/>
      <c r="C1357" s="62"/>
      <c r="D1357" s="62"/>
      <c r="E1357" s="62"/>
      <c r="F1357" s="62"/>
      <c r="G1357" s="62"/>
      <c r="H1357" s="62" t="str">
        <f>IF(AND('Data Export'!A1357=前十整体车型排名!$B$2,'Data Export'!B1357=前十整体车型排名!$B$3,'Data Export'!D1357&lt;&gt;""),UPPER('Data Export'!C1357)&amp;"♦"&amp;'Data Export'!D1357,"")</f>
        <v/>
      </c>
      <c r="I1357" s="63" t="str">
        <f>IF(H1357="","",IFERROR(INDEX('Data Export'!G1357:CZ1357,1,MATCH(前十整体车型排名!$B$4,'Data Export'!$G$1:$CZ$1,0)),0))</f>
        <v/>
      </c>
      <c r="J1357" s="62" t="str">
        <f>IF(H1357="","",IF(OR('Data Export'!F1357="三厢轿车",'Data Export'!F1357="掀背轿车",'Data Export'!F1357="旅行车",'Data Export'!F1357="微型车",'Data Export'!F1357="硬顶跑车",'Data Export'!F1357="敞蓬车",'Data Export'!F1357="Targa"),"轿车",IF(OR('Data Export'!F1357="小型MPV",'Data Export'!F1357="客车"),"MPV",IF('Data Export'!F1357="运动型多功能车","SUV","其他"))))</f>
        <v/>
      </c>
      <c r="K1357" s="62"/>
      <c r="L1357" s="62"/>
      <c r="M1357" s="62"/>
      <c r="N1357" s="62"/>
      <c r="O1357" s="62"/>
      <c r="P1357" s="62"/>
      <c r="Q1357" s="62"/>
    </row>
    <row r="1358" spans="1:17">
      <c r="A1358" s="62"/>
      <c r="B1358" s="62"/>
      <c r="C1358" s="62"/>
      <c r="D1358" s="62"/>
      <c r="E1358" s="62"/>
      <c r="F1358" s="62"/>
      <c r="G1358" s="62"/>
      <c r="H1358" s="62" t="str">
        <f>IF(AND('Data Export'!A1358=前十整体车型排名!$B$2,'Data Export'!B1358=前十整体车型排名!$B$3,'Data Export'!D1358&lt;&gt;""),UPPER('Data Export'!C1358)&amp;"♦"&amp;'Data Export'!D1358,"")</f>
        <v/>
      </c>
      <c r="I1358" s="63" t="str">
        <f>IF(H1358="","",IFERROR(INDEX('Data Export'!G1358:CZ1358,1,MATCH(前十整体车型排名!$B$4,'Data Export'!$G$1:$CZ$1,0)),0))</f>
        <v/>
      </c>
      <c r="J1358" s="62" t="str">
        <f>IF(H1358="","",IF(OR('Data Export'!F1358="三厢轿车",'Data Export'!F1358="掀背轿车",'Data Export'!F1358="旅行车",'Data Export'!F1358="微型车",'Data Export'!F1358="硬顶跑车",'Data Export'!F1358="敞蓬车",'Data Export'!F1358="Targa"),"轿车",IF(OR('Data Export'!F1358="小型MPV",'Data Export'!F1358="客车"),"MPV",IF('Data Export'!F1358="运动型多功能车","SUV","其他"))))</f>
        <v/>
      </c>
      <c r="K1358" s="62"/>
      <c r="L1358" s="62"/>
      <c r="M1358" s="62"/>
      <c r="N1358" s="62"/>
      <c r="O1358" s="62"/>
      <c r="P1358" s="62"/>
      <c r="Q1358" s="62"/>
    </row>
    <row r="1359" spans="1:17">
      <c r="A1359" s="62"/>
      <c r="B1359" s="62"/>
      <c r="C1359" s="62"/>
      <c r="D1359" s="62"/>
      <c r="E1359" s="62"/>
      <c r="F1359" s="62"/>
      <c r="G1359" s="62"/>
      <c r="H1359" s="62" t="str">
        <f>IF(AND('Data Export'!A1359=前十整体车型排名!$B$2,'Data Export'!B1359=前十整体车型排名!$B$3,'Data Export'!D1359&lt;&gt;""),UPPER('Data Export'!C1359)&amp;"♦"&amp;'Data Export'!D1359,"")</f>
        <v/>
      </c>
      <c r="I1359" s="63" t="str">
        <f>IF(H1359="","",IFERROR(INDEX('Data Export'!G1359:CZ1359,1,MATCH(前十整体车型排名!$B$4,'Data Export'!$G$1:$CZ$1,0)),0))</f>
        <v/>
      </c>
      <c r="J1359" s="62" t="str">
        <f>IF(H1359="","",IF(OR('Data Export'!F1359="三厢轿车",'Data Export'!F1359="掀背轿车",'Data Export'!F1359="旅行车",'Data Export'!F1359="微型车",'Data Export'!F1359="硬顶跑车",'Data Export'!F1359="敞蓬车",'Data Export'!F1359="Targa"),"轿车",IF(OR('Data Export'!F1359="小型MPV",'Data Export'!F1359="客车"),"MPV",IF('Data Export'!F1359="运动型多功能车","SUV","其他"))))</f>
        <v/>
      </c>
      <c r="K1359" s="62"/>
      <c r="L1359" s="62"/>
      <c r="M1359" s="62"/>
      <c r="N1359" s="62"/>
      <c r="O1359" s="62"/>
      <c r="P1359" s="62"/>
      <c r="Q1359" s="62"/>
    </row>
    <row r="1360" spans="1:17">
      <c r="A1360" s="62"/>
      <c r="B1360" s="62"/>
      <c r="C1360" s="62"/>
      <c r="D1360" s="62"/>
      <c r="E1360" s="62"/>
      <c r="F1360" s="62"/>
      <c r="G1360" s="62"/>
      <c r="H1360" s="62" t="str">
        <f>IF(AND('Data Export'!A1360=前十整体车型排名!$B$2,'Data Export'!B1360=前十整体车型排名!$B$3,'Data Export'!D1360&lt;&gt;""),UPPER('Data Export'!C1360)&amp;"♦"&amp;'Data Export'!D1360,"")</f>
        <v/>
      </c>
      <c r="I1360" s="63" t="str">
        <f>IF(H1360="","",IFERROR(INDEX('Data Export'!G1360:CZ1360,1,MATCH(前十整体车型排名!$B$4,'Data Export'!$G$1:$CZ$1,0)),0))</f>
        <v/>
      </c>
      <c r="J1360" s="62" t="str">
        <f>IF(H1360="","",IF(OR('Data Export'!F1360="三厢轿车",'Data Export'!F1360="掀背轿车",'Data Export'!F1360="旅行车",'Data Export'!F1360="微型车",'Data Export'!F1360="硬顶跑车",'Data Export'!F1360="敞蓬车",'Data Export'!F1360="Targa"),"轿车",IF(OR('Data Export'!F1360="小型MPV",'Data Export'!F1360="客车"),"MPV",IF('Data Export'!F1360="运动型多功能车","SUV","其他"))))</f>
        <v/>
      </c>
      <c r="K1360" s="62"/>
      <c r="L1360" s="62"/>
      <c r="M1360" s="62"/>
      <c r="N1360" s="62"/>
      <c r="O1360" s="62"/>
      <c r="P1360" s="62"/>
      <c r="Q1360" s="62"/>
    </row>
    <row r="1361" spans="1:17">
      <c r="A1361" s="62"/>
      <c r="B1361" s="62"/>
      <c r="C1361" s="62"/>
      <c r="D1361" s="62"/>
      <c r="E1361" s="62"/>
      <c r="F1361" s="62"/>
      <c r="G1361" s="62"/>
      <c r="H1361" s="62" t="str">
        <f>IF(AND('Data Export'!A1361=前十整体车型排名!$B$2,'Data Export'!B1361=前十整体车型排名!$B$3,'Data Export'!D1361&lt;&gt;""),UPPER('Data Export'!C1361)&amp;"♦"&amp;'Data Export'!D1361,"")</f>
        <v/>
      </c>
      <c r="I1361" s="63" t="str">
        <f>IF(H1361="","",IFERROR(INDEX('Data Export'!G1361:CZ1361,1,MATCH(前十整体车型排名!$B$4,'Data Export'!$G$1:$CZ$1,0)),0))</f>
        <v/>
      </c>
      <c r="J1361" s="62" t="str">
        <f>IF(H1361="","",IF(OR('Data Export'!F1361="三厢轿车",'Data Export'!F1361="掀背轿车",'Data Export'!F1361="旅行车",'Data Export'!F1361="微型车",'Data Export'!F1361="硬顶跑车",'Data Export'!F1361="敞蓬车",'Data Export'!F1361="Targa"),"轿车",IF(OR('Data Export'!F1361="小型MPV",'Data Export'!F1361="客车"),"MPV",IF('Data Export'!F1361="运动型多功能车","SUV","其他"))))</f>
        <v/>
      </c>
      <c r="K1361" s="62"/>
      <c r="L1361" s="62"/>
      <c r="M1361" s="62"/>
      <c r="N1361" s="62"/>
      <c r="O1361" s="62"/>
      <c r="P1361" s="62"/>
      <c r="Q1361" s="62"/>
    </row>
    <row r="1362" spans="1:17">
      <c r="A1362" s="62"/>
      <c r="B1362" s="62"/>
      <c r="C1362" s="62"/>
      <c r="D1362" s="62"/>
      <c r="E1362" s="62"/>
      <c r="F1362" s="62"/>
      <c r="G1362" s="62"/>
      <c r="H1362" s="62" t="str">
        <f>IF(AND('Data Export'!A1362=前十整体车型排名!$B$2,'Data Export'!B1362=前十整体车型排名!$B$3,'Data Export'!D1362&lt;&gt;""),UPPER('Data Export'!C1362)&amp;"♦"&amp;'Data Export'!D1362,"")</f>
        <v/>
      </c>
      <c r="I1362" s="63" t="str">
        <f>IF(H1362="","",IFERROR(INDEX('Data Export'!G1362:CZ1362,1,MATCH(前十整体车型排名!$B$4,'Data Export'!$G$1:$CZ$1,0)),0))</f>
        <v/>
      </c>
      <c r="J1362" s="62" t="str">
        <f>IF(H1362="","",IF(OR('Data Export'!F1362="三厢轿车",'Data Export'!F1362="掀背轿车",'Data Export'!F1362="旅行车",'Data Export'!F1362="微型车",'Data Export'!F1362="硬顶跑车",'Data Export'!F1362="敞蓬车",'Data Export'!F1362="Targa"),"轿车",IF(OR('Data Export'!F1362="小型MPV",'Data Export'!F1362="客车"),"MPV",IF('Data Export'!F1362="运动型多功能车","SUV","其他"))))</f>
        <v/>
      </c>
      <c r="K1362" s="62"/>
      <c r="L1362" s="62"/>
      <c r="M1362" s="62"/>
      <c r="N1362" s="62"/>
      <c r="O1362" s="62"/>
      <c r="P1362" s="62"/>
      <c r="Q1362" s="62"/>
    </row>
    <row r="1363" spans="1:17">
      <c r="A1363" s="62"/>
      <c r="B1363" s="62"/>
      <c r="C1363" s="62"/>
      <c r="D1363" s="62"/>
      <c r="E1363" s="62"/>
      <c r="F1363" s="62"/>
      <c r="G1363" s="62"/>
      <c r="H1363" s="62" t="str">
        <f>IF(AND('Data Export'!A1363=前十整体车型排名!$B$2,'Data Export'!B1363=前十整体车型排名!$B$3,'Data Export'!D1363&lt;&gt;""),UPPER('Data Export'!C1363)&amp;"♦"&amp;'Data Export'!D1363,"")</f>
        <v/>
      </c>
      <c r="I1363" s="63" t="str">
        <f>IF(H1363="","",IFERROR(INDEX('Data Export'!G1363:CZ1363,1,MATCH(前十整体车型排名!$B$4,'Data Export'!$G$1:$CZ$1,0)),0))</f>
        <v/>
      </c>
      <c r="J1363" s="62" t="str">
        <f>IF(H1363="","",IF(OR('Data Export'!F1363="三厢轿车",'Data Export'!F1363="掀背轿车",'Data Export'!F1363="旅行车",'Data Export'!F1363="微型车",'Data Export'!F1363="硬顶跑车",'Data Export'!F1363="敞蓬车",'Data Export'!F1363="Targa"),"轿车",IF(OR('Data Export'!F1363="小型MPV",'Data Export'!F1363="客车"),"MPV",IF('Data Export'!F1363="运动型多功能车","SUV","其他"))))</f>
        <v/>
      </c>
      <c r="K1363" s="62"/>
      <c r="L1363" s="62"/>
      <c r="M1363" s="62"/>
      <c r="N1363" s="62"/>
      <c r="O1363" s="62"/>
      <c r="P1363" s="62"/>
      <c r="Q1363" s="62"/>
    </row>
    <row r="1364" spans="1:17">
      <c r="A1364" s="62"/>
      <c r="B1364" s="62"/>
      <c r="C1364" s="62"/>
      <c r="D1364" s="62"/>
      <c r="E1364" s="62"/>
      <c r="F1364" s="62"/>
      <c r="G1364" s="62"/>
      <c r="H1364" s="62" t="str">
        <f>IF(AND('Data Export'!A1364=前十整体车型排名!$B$2,'Data Export'!B1364=前十整体车型排名!$B$3,'Data Export'!D1364&lt;&gt;""),UPPER('Data Export'!C1364)&amp;"♦"&amp;'Data Export'!D1364,"")</f>
        <v/>
      </c>
      <c r="I1364" s="63" t="str">
        <f>IF(H1364="","",IFERROR(INDEX('Data Export'!G1364:CZ1364,1,MATCH(前十整体车型排名!$B$4,'Data Export'!$G$1:$CZ$1,0)),0))</f>
        <v/>
      </c>
      <c r="J1364" s="62" t="str">
        <f>IF(H1364="","",IF(OR('Data Export'!F1364="三厢轿车",'Data Export'!F1364="掀背轿车",'Data Export'!F1364="旅行车",'Data Export'!F1364="微型车",'Data Export'!F1364="硬顶跑车",'Data Export'!F1364="敞蓬车",'Data Export'!F1364="Targa"),"轿车",IF(OR('Data Export'!F1364="小型MPV",'Data Export'!F1364="客车"),"MPV",IF('Data Export'!F1364="运动型多功能车","SUV","其他"))))</f>
        <v/>
      </c>
      <c r="K1364" s="62"/>
      <c r="L1364" s="62"/>
      <c r="M1364" s="62"/>
      <c r="N1364" s="62"/>
      <c r="O1364" s="62"/>
      <c r="P1364" s="62"/>
      <c r="Q1364" s="62"/>
    </row>
    <row r="1365" spans="1:17">
      <c r="A1365" s="62"/>
      <c r="B1365" s="62"/>
      <c r="C1365" s="62"/>
      <c r="D1365" s="62"/>
      <c r="E1365" s="62"/>
      <c r="F1365" s="62"/>
      <c r="G1365" s="62"/>
      <c r="H1365" s="62" t="str">
        <f>IF(AND('Data Export'!A1365=前十整体车型排名!$B$2,'Data Export'!B1365=前十整体车型排名!$B$3,'Data Export'!D1365&lt;&gt;""),UPPER('Data Export'!C1365)&amp;"♦"&amp;'Data Export'!D1365,"")</f>
        <v/>
      </c>
      <c r="I1365" s="63" t="str">
        <f>IF(H1365="","",IFERROR(INDEX('Data Export'!G1365:CZ1365,1,MATCH(前十整体车型排名!$B$4,'Data Export'!$G$1:$CZ$1,0)),0))</f>
        <v/>
      </c>
      <c r="J1365" s="62" t="str">
        <f>IF(H1365="","",IF(OR('Data Export'!F1365="三厢轿车",'Data Export'!F1365="掀背轿车",'Data Export'!F1365="旅行车",'Data Export'!F1365="微型车",'Data Export'!F1365="硬顶跑车",'Data Export'!F1365="敞蓬车",'Data Export'!F1365="Targa"),"轿车",IF(OR('Data Export'!F1365="小型MPV",'Data Export'!F1365="客车"),"MPV",IF('Data Export'!F1365="运动型多功能车","SUV","其他"))))</f>
        <v/>
      </c>
      <c r="K1365" s="62"/>
      <c r="L1365" s="62"/>
      <c r="M1365" s="62"/>
      <c r="N1365" s="62"/>
      <c r="O1365" s="62"/>
      <c r="P1365" s="62"/>
      <c r="Q1365" s="62"/>
    </row>
    <row r="1366" spans="1:17">
      <c r="A1366" s="62"/>
      <c r="B1366" s="62"/>
      <c r="C1366" s="62"/>
      <c r="D1366" s="62"/>
      <c r="E1366" s="62"/>
      <c r="F1366" s="62"/>
      <c r="G1366" s="62"/>
      <c r="H1366" s="62" t="str">
        <f>IF(AND('Data Export'!A1366=前十整体车型排名!$B$2,'Data Export'!B1366=前十整体车型排名!$B$3,'Data Export'!D1366&lt;&gt;""),UPPER('Data Export'!C1366)&amp;"♦"&amp;'Data Export'!D1366,"")</f>
        <v/>
      </c>
      <c r="I1366" s="63" t="str">
        <f>IF(H1366="","",IFERROR(INDEX('Data Export'!G1366:CZ1366,1,MATCH(前十整体车型排名!$B$4,'Data Export'!$G$1:$CZ$1,0)),0))</f>
        <v/>
      </c>
      <c r="J1366" s="62" t="str">
        <f>IF(H1366="","",IF(OR('Data Export'!F1366="三厢轿车",'Data Export'!F1366="掀背轿车",'Data Export'!F1366="旅行车",'Data Export'!F1366="微型车",'Data Export'!F1366="硬顶跑车",'Data Export'!F1366="敞蓬车",'Data Export'!F1366="Targa"),"轿车",IF(OR('Data Export'!F1366="小型MPV",'Data Export'!F1366="客车"),"MPV",IF('Data Export'!F1366="运动型多功能车","SUV","其他"))))</f>
        <v/>
      </c>
      <c r="K1366" s="62"/>
      <c r="L1366" s="62"/>
      <c r="M1366" s="62"/>
      <c r="N1366" s="62"/>
      <c r="O1366" s="62"/>
      <c r="P1366" s="62"/>
      <c r="Q1366" s="62"/>
    </row>
    <row r="1367" spans="1:17">
      <c r="A1367" s="62"/>
      <c r="B1367" s="62"/>
      <c r="C1367" s="62"/>
      <c r="D1367" s="62"/>
      <c r="E1367" s="62"/>
      <c r="F1367" s="62"/>
      <c r="G1367" s="62"/>
      <c r="H1367" s="62" t="str">
        <f>IF(AND('Data Export'!A1367=前十整体车型排名!$B$2,'Data Export'!B1367=前十整体车型排名!$B$3,'Data Export'!D1367&lt;&gt;""),UPPER('Data Export'!C1367)&amp;"♦"&amp;'Data Export'!D1367,"")</f>
        <v/>
      </c>
      <c r="I1367" s="63" t="str">
        <f>IF(H1367="","",IFERROR(INDEX('Data Export'!G1367:CZ1367,1,MATCH(前十整体车型排名!$B$4,'Data Export'!$G$1:$CZ$1,0)),0))</f>
        <v/>
      </c>
      <c r="J1367" s="62" t="str">
        <f>IF(H1367="","",IF(OR('Data Export'!F1367="三厢轿车",'Data Export'!F1367="掀背轿车",'Data Export'!F1367="旅行车",'Data Export'!F1367="微型车",'Data Export'!F1367="硬顶跑车",'Data Export'!F1367="敞蓬车",'Data Export'!F1367="Targa"),"轿车",IF(OR('Data Export'!F1367="小型MPV",'Data Export'!F1367="客车"),"MPV",IF('Data Export'!F1367="运动型多功能车","SUV","其他"))))</f>
        <v/>
      </c>
      <c r="K1367" s="62"/>
      <c r="L1367" s="62"/>
      <c r="M1367" s="62"/>
      <c r="N1367" s="62"/>
      <c r="O1367" s="62"/>
      <c r="P1367" s="62"/>
      <c r="Q1367" s="62"/>
    </row>
    <row r="1368" spans="1:17">
      <c r="A1368" s="62"/>
      <c r="B1368" s="62"/>
      <c r="C1368" s="62"/>
      <c r="D1368" s="62"/>
      <c r="E1368" s="62"/>
      <c r="F1368" s="62"/>
      <c r="G1368" s="62"/>
      <c r="H1368" s="62" t="str">
        <f>IF(AND('Data Export'!A1368=前十整体车型排名!$B$2,'Data Export'!B1368=前十整体车型排名!$B$3,'Data Export'!D1368&lt;&gt;""),UPPER('Data Export'!C1368)&amp;"♦"&amp;'Data Export'!D1368,"")</f>
        <v/>
      </c>
      <c r="I1368" s="63" t="str">
        <f>IF(H1368="","",IFERROR(INDEX('Data Export'!G1368:CZ1368,1,MATCH(前十整体车型排名!$B$4,'Data Export'!$G$1:$CZ$1,0)),0))</f>
        <v/>
      </c>
      <c r="J1368" s="62" t="str">
        <f>IF(H1368="","",IF(OR('Data Export'!F1368="三厢轿车",'Data Export'!F1368="掀背轿车",'Data Export'!F1368="旅行车",'Data Export'!F1368="微型车",'Data Export'!F1368="硬顶跑车",'Data Export'!F1368="敞蓬车",'Data Export'!F1368="Targa"),"轿车",IF(OR('Data Export'!F1368="小型MPV",'Data Export'!F1368="客车"),"MPV",IF('Data Export'!F1368="运动型多功能车","SUV","其他"))))</f>
        <v/>
      </c>
      <c r="K1368" s="62"/>
      <c r="L1368" s="62"/>
      <c r="M1368" s="62"/>
      <c r="N1368" s="62"/>
      <c r="O1368" s="62"/>
      <c r="P1368" s="62"/>
      <c r="Q1368" s="62"/>
    </row>
    <row r="1369" spans="1:17">
      <c r="A1369" s="62"/>
      <c r="B1369" s="62"/>
      <c r="C1369" s="62"/>
      <c r="D1369" s="62"/>
      <c r="E1369" s="62"/>
      <c r="F1369" s="62"/>
      <c r="G1369" s="62"/>
      <c r="H1369" s="62" t="str">
        <f>IF(AND('Data Export'!A1369=前十整体车型排名!$B$2,'Data Export'!B1369=前十整体车型排名!$B$3,'Data Export'!D1369&lt;&gt;""),UPPER('Data Export'!C1369)&amp;"♦"&amp;'Data Export'!D1369,"")</f>
        <v/>
      </c>
      <c r="I1369" s="63" t="str">
        <f>IF(H1369="","",IFERROR(INDEX('Data Export'!G1369:CZ1369,1,MATCH(前十整体车型排名!$B$4,'Data Export'!$G$1:$CZ$1,0)),0))</f>
        <v/>
      </c>
      <c r="J1369" s="62" t="str">
        <f>IF(H1369="","",IF(OR('Data Export'!F1369="三厢轿车",'Data Export'!F1369="掀背轿车",'Data Export'!F1369="旅行车",'Data Export'!F1369="微型车",'Data Export'!F1369="硬顶跑车",'Data Export'!F1369="敞蓬车",'Data Export'!F1369="Targa"),"轿车",IF(OR('Data Export'!F1369="小型MPV",'Data Export'!F1369="客车"),"MPV",IF('Data Export'!F1369="运动型多功能车","SUV","其他"))))</f>
        <v/>
      </c>
      <c r="K1369" s="62"/>
      <c r="L1369" s="62"/>
      <c r="M1369" s="62"/>
      <c r="N1369" s="62"/>
      <c r="O1369" s="62"/>
      <c r="P1369" s="62"/>
      <c r="Q1369" s="62"/>
    </row>
    <row r="1370" spans="1:17">
      <c r="A1370" s="62"/>
      <c r="B1370" s="62"/>
      <c r="C1370" s="62"/>
      <c r="D1370" s="62"/>
      <c r="E1370" s="62"/>
      <c r="F1370" s="62"/>
      <c r="G1370" s="62"/>
      <c r="H1370" s="62" t="str">
        <f>IF(AND('Data Export'!A1370=前十整体车型排名!$B$2,'Data Export'!B1370=前十整体车型排名!$B$3,'Data Export'!D1370&lt;&gt;""),UPPER('Data Export'!C1370)&amp;"♦"&amp;'Data Export'!D1370,"")</f>
        <v/>
      </c>
      <c r="I1370" s="63" t="str">
        <f>IF(H1370="","",IFERROR(INDEX('Data Export'!G1370:CZ1370,1,MATCH(前十整体车型排名!$B$4,'Data Export'!$G$1:$CZ$1,0)),0))</f>
        <v/>
      </c>
      <c r="J1370" s="62" t="str">
        <f>IF(H1370="","",IF(OR('Data Export'!F1370="三厢轿车",'Data Export'!F1370="掀背轿车",'Data Export'!F1370="旅行车",'Data Export'!F1370="微型车",'Data Export'!F1370="硬顶跑车",'Data Export'!F1370="敞蓬车",'Data Export'!F1370="Targa"),"轿车",IF(OR('Data Export'!F1370="小型MPV",'Data Export'!F1370="客车"),"MPV",IF('Data Export'!F1370="运动型多功能车","SUV","其他"))))</f>
        <v/>
      </c>
      <c r="K1370" s="62"/>
      <c r="L1370" s="62"/>
      <c r="M1370" s="62"/>
      <c r="N1370" s="62"/>
      <c r="O1370" s="62"/>
      <c r="P1370" s="62"/>
      <c r="Q1370" s="62"/>
    </row>
    <row r="1371" spans="1:17">
      <c r="A1371" s="62"/>
      <c r="B1371" s="62"/>
      <c r="C1371" s="62"/>
      <c r="D1371" s="62"/>
      <c r="E1371" s="62"/>
      <c r="F1371" s="62"/>
      <c r="G1371" s="62"/>
      <c r="H1371" s="62" t="str">
        <f>IF(AND('Data Export'!A1371=前十整体车型排名!$B$2,'Data Export'!B1371=前十整体车型排名!$B$3,'Data Export'!D1371&lt;&gt;""),UPPER('Data Export'!C1371)&amp;"♦"&amp;'Data Export'!D1371,"")</f>
        <v/>
      </c>
      <c r="I1371" s="63" t="str">
        <f>IF(H1371="","",IFERROR(INDEX('Data Export'!G1371:CZ1371,1,MATCH(前十整体车型排名!$B$4,'Data Export'!$G$1:$CZ$1,0)),0))</f>
        <v/>
      </c>
      <c r="J1371" s="62" t="str">
        <f>IF(H1371="","",IF(OR('Data Export'!F1371="三厢轿车",'Data Export'!F1371="掀背轿车",'Data Export'!F1371="旅行车",'Data Export'!F1371="微型车",'Data Export'!F1371="硬顶跑车",'Data Export'!F1371="敞蓬车",'Data Export'!F1371="Targa"),"轿车",IF(OR('Data Export'!F1371="小型MPV",'Data Export'!F1371="客车"),"MPV",IF('Data Export'!F1371="运动型多功能车","SUV","其他"))))</f>
        <v/>
      </c>
      <c r="K1371" s="62"/>
      <c r="L1371" s="62"/>
      <c r="M1371" s="62"/>
      <c r="N1371" s="62"/>
      <c r="O1371" s="62"/>
      <c r="P1371" s="62"/>
      <c r="Q1371" s="62"/>
    </row>
    <row r="1372" spans="1:17">
      <c r="A1372" s="62"/>
      <c r="B1372" s="62"/>
      <c r="C1372" s="62"/>
      <c r="D1372" s="62"/>
      <c r="E1372" s="62"/>
      <c r="F1372" s="62"/>
      <c r="G1372" s="62"/>
      <c r="H1372" s="62" t="str">
        <f>IF(AND('Data Export'!A1372=前十整体车型排名!$B$2,'Data Export'!B1372=前十整体车型排名!$B$3,'Data Export'!D1372&lt;&gt;""),UPPER('Data Export'!C1372)&amp;"♦"&amp;'Data Export'!D1372,"")</f>
        <v/>
      </c>
      <c r="I1372" s="63" t="str">
        <f>IF(H1372="","",IFERROR(INDEX('Data Export'!G1372:CZ1372,1,MATCH(前十整体车型排名!$B$4,'Data Export'!$G$1:$CZ$1,0)),0))</f>
        <v/>
      </c>
      <c r="J1372" s="62" t="str">
        <f>IF(H1372="","",IF(OR('Data Export'!F1372="三厢轿车",'Data Export'!F1372="掀背轿车",'Data Export'!F1372="旅行车",'Data Export'!F1372="微型车",'Data Export'!F1372="硬顶跑车",'Data Export'!F1372="敞蓬车",'Data Export'!F1372="Targa"),"轿车",IF(OR('Data Export'!F1372="小型MPV",'Data Export'!F1372="客车"),"MPV",IF('Data Export'!F1372="运动型多功能车","SUV","其他"))))</f>
        <v/>
      </c>
      <c r="K1372" s="62"/>
      <c r="L1372" s="62"/>
      <c r="M1372" s="62"/>
      <c r="N1372" s="62"/>
      <c r="O1372" s="62"/>
      <c r="P1372" s="62"/>
      <c r="Q1372" s="62"/>
    </row>
    <row r="1373" spans="1:17">
      <c r="A1373" s="62"/>
      <c r="B1373" s="62"/>
      <c r="C1373" s="62"/>
      <c r="D1373" s="62"/>
      <c r="E1373" s="62"/>
      <c r="F1373" s="62"/>
      <c r="G1373" s="62"/>
      <c r="H1373" s="62" t="str">
        <f>IF(AND('Data Export'!A1373=前十整体车型排名!$B$2,'Data Export'!B1373=前十整体车型排名!$B$3,'Data Export'!D1373&lt;&gt;""),UPPER('Data Export'!C1373)&amp;"♦"&amp;'Data Export'!D1373,"")</f>
        <v/>
      </c>
      <c r="I1373" s="63" t="str">
        <f>IF(H1373="","",IFERROR(INDEX('Data Export'!G1373:CZ1373,1,MATCH(前十整体车型排名!$B$4,'Data Export'!$G$1:$CZ$1,0)),0))</f>
        <v/>
      </c>
      <c r="J1373" s="62" t="str">
        <f>IF(H1373="","",IF(OR('Data Export'!F1373="三厢轿车",'Data Export'!F1373="掀背轿车",'Data Export'!F1373="旅行车",'Data Export'!F1373="微型车",'Data Export'!F1373="硬顶跑车",'Data Export'!F1373="敞蓬车",'Data Export'!F1373="Targa"),"轿车",IF(OR('Data Export'!F1373="小型MPV",'Data Export'!F1373="客车"),"MPV",IF('Data Export'!F1373="运动型多功能车","SUV","其他"))))</f>
        <v/>
      </c>
      <c r="K1373" s="62"/>
      <c r="L1373" s="62"/>
      <c r="M1373" s="62"/>
      <c r="N1373" s="62"/>
      <c r="O1373" s="62"/>
      <c r="P1373" s="62"/>
      <c r="Q1373" s="62"/>
    </row>
    <row r="1374" spans="1:17">
      <c r="A1374" s="62"/>
      <c r="B1374" s="62"/>
      <c r="C1374" s="62"/>
      <c r="D1374" s="62"/>
      <c r="E1374" s="62"/>
      <c r="F1374" s="62"/>
      <c r="G1374" s="62"/>
      <c r="H1374" s="62" t="str">
        <f>IF(AND('Data Export'!A1374=前十整体车型排名!$B$2,'Data Export'!B1374=前十整体车型排名!$B$3,'Data Export'!D1374&lt;&gt;""),UPPER('Data Export'!C1374)&amp;"♦"&amp;'Data Export'!D1374,"")</f>
        <v/>
      </c>
      <c r="I1374" s="63" t="str">
        <f>IF(H1374="","",IFERROR(INDEX('Data Export'!G1374:CZ1374,1,MATCH(前十整体车型排名!$B$4,'Data Export'!$G$1:$CZ$1,0)),0))</f>
        <v/>
      </c>
      <c r="J1374" s="62" t="str">
        <f>IF(H1374="","",IF(OR('Data Export'!F1374="三厢轿车",'Data Export'!F1374="掀背轿车",'Data Export'!F1374="旅行车",'Data Export'!F1374="微型车",'Data Export'!F1374="硬顶跑车",'Data Export'!F1374="敞蓬车",'Data Export'!F1374="Targa"),"轿车",IF(OR('Data Export'!F1374="小型MPV",'Data Export'!F1374="客车"),"MPV",IF('Data Export'!F1374="运动型多功能车","SUV","其他"))))</f>
        <v/>
      </c>
      <c r="K1374" s="62"/>
      <c r="L1374" s="62"/>
      <c r="M1374" s="62"/>
      <c r="N1374" s="62"/>
      <c r="O1374" s="62"/>
      <c r="P1374" s="62"/>
      <c r="Q1374" s="62"/>
    </row>
    <row r="1375" spans="1:17">
      <c r="A1375" s="62"/>
      <c r="B1375" s="62"/>
      <c r="C1375" s="62"/>
      <c r="D1375" s="62"/>
      <c r="E1375" s="62"/>
      <c r="F1375" s="62"/>
      <c r="G1375" s="62"/>
      <c r="H1375" s="62" t="str">
        <f>IF(AND('Data Export'!A1375=前十整体车型排名!$B$2,'Data Export'!B1375=前十整体车型排名!$B$3,'Data Export'!D1375&lt;&gt;""),UPPER('Data Export'!C1375)&amp;"♦"&amp;'Data Export'!D1375,"")</f>
        <v/>
      </c>
      <c r="I1375" s="63" t="str">
        <f>IF(H1375="","",IFERROR(INDEX('Data Export'!G1375:CZ1375,1,MATCH(前十整体车型排名!$B$4,'Data Export'!$G$1:$CZ$1,0)),0))</f>
        <v/>
      </c>
      <c r="J1375" s="62" t="str">
        <f>IF(H1375="","",IF(OR('Data Export'!F1375="三厢轿车",'Data Export'!F1375="掀背轿车",'Data Export'!F1375="旅行车",'Data Export'!F1375="微型车",'Data Export'!F1375="硬顶跑车",'Data Export'!F1375="敞蓬车",'Data Export'!F1375="Targa"),"轿车",IF(OR('Data Export'!F1375="小型MPV",'Data Export'!F1375="客车"),"MPV",IF('Data Export'!F1375="运动型多功能车","SUV","其他"))))</f>
        <v/>
      </c>
      <c r="K1375" s="62"/>
      <c r="L1375" s="62"/>
      <c r="M1375" s="62"/>
      <c r="N1375" s="62"/>
      <c r="O1375" s="62"/>
      <c r="P1375" s="62"/>
      <c r="Q1375" s="62"/>
    </row>
    <row r="1376" spans="1:17">
      <c r="A1376" s="62"/>
      <c r="B1376" s="62"/>
      <c r="C1376" s="62"/>
      <c r="D1376" s="62"/>
      <c r="E1376" s="62"/>
      <c r="F1376" s="62"/>
      <c r="G1376" s="62"/>
      <c r="H1376" s="62" t="str">
        <f>IF(AND('Data Export'!A1376=前十整体车型排名!$B$2,'Data Export'!B1376=前十整体车型排名!$B$3,'Data Export'!D1376&lt;&gt;""),UPPER('Data Export'!C1376)&amp;"♦"&amp;'Data Export'!D1376,"")</f>
        <v/>
      </c>
      <c r="I1376" s="63" t="str">
        <f>IF(H1376="","",IFERROR(INDEX('Data Export'!G1376:CZ1376,1,MATCH(前十整体车型排名!$B$4,'Data Export'!$G$1:$CZ$1,0)),0))</f>
        <v/>
      </c>
      <c r="J1376" s="62" t="str">
        <f>IF(H1376="","",IF(OR('Data Export'!F1376="三厢轿车",'Data Export'!F1376="掀背轿车",'Data Export'!F1376="旅行车",'Data Export'!F1376="微型车",'Data Export'!F1376="硬顶跑车",'Data Export'!F1376="敞蓬车",'Data Export'!F1376="Targa"),"轿车",IF(OR('Data Export'!F1376="小型MPV",'Data Export'!F1376="客车"),"MPV",IF('Data Export'!F1376="运动型多功能车","SUV","其他"))))</f>
        <v/>
      </c>
      <c r="K1376" s="62"/>
      <c r="L1376" s="62"/>
      <c r="M1376" s="62"/>
      <c r="N1376" s="62"/>
      <c r="O1376" s="62"/>
      <c r="P1376" s="62"/>
      <c r="Q1376" s="62"/>
    </row>
    <row r="1377" spans="1:17">
      <c r="A1377" s="62"/>
      <c r="B1377" s="62"/>
      <c r="C1377" s="62"/>
      <c r="D1377" s="62"/>
      <c r="E1377" s="62"/>
      <c r="F1377" s="62"/>
      <c r="G1377" s="62"/>
      <c r="H1377" s="62" t="str">
        <f>IF(AND('Data Export'!A1377=前十整体车型排名!$B$2,'Data Export'!B1377=前十整体车型排名!$B$3,'Data Export'!D1377&lt;&gt;""),UPPER('Data Export'!C1377)&amp;"♦"&amp;'Data Export'!D1377,"")</f>
        <v/>
      </c>
      <c r="I1377" s="63" t="str">
        <f>IF(H1377="","",IFERROR(INDEX('Data Export'!G1377:CZ1377,1,MATCH(前十整体车型排名!$B$4,'Data Export'!$G$1:$CZ$1,0)),0))</f>
        <v/>
      </c>
      <c r="J1377" s="62" t="str">
        <f>IF(H1377="","",IF(OR('Data Export'!F1377="三厢轿车",'Data Export'!F1377="掀背轿车",'Data Export'!F1377="旅行车",'Data Export'!F1377="微型车",'Data Export'!F1377="硬顶跑车",'Data Export'!F1377="敞蓬车",'Data Export'!F1377="Targa"),"轿车",IF(OR('Data Export'!F1377="小型MPV",'Data Export'!F1377="客车"),"MPV",IF('Data Export'!F1377="运动型多功能车","SUV","其他"))))</f>
        <v/>
      </c>
      <c r="K1377" s="62"/>
      <c r="L1377" s="62"/>
      <c r="M1377" s="62"/>
      <c r="N1377" s="62"/>
      <c r="O1377" s="62"/>
      <c r="P1377" s="62"/>
      <c r="Q1377" s="62"/>
    </row>
    <row r="1378" spans="1:17">
      <c r="A1378" s="62"/>
      <c r="B1378" s="62"/>
      <c r="C1378" s="62"/>
      <c r="D1378" s="62"/>
      <c r="E1378" s="62"/>
      <c r="F1378" s="62"/>
      <c r="G1378" s="62"/>
      <c r="H1378" s="62" t="str">
        <f>IF(AND('Data Export'!A1378=前十整体车型排名!$B$2,'Data Export'!B1378=前十整体车型排名!$B$3,'Data Export'!D1378&lt;&gt;""),UPPER('Data Export'!C1378)&amp;"♦"&amp;'Data Export'!D1378,"")</f>
        <v/>
      </c>
      <c r="I1378" s="63" t="str">
        <f>IF(H1378="","",IFERROR(INDEX('Data Export'!G1378:CZ1378,1,MATCH(前十整体车型排名!$B$4,'Data Export'!$G$1:$CZ$1,0)),0))</f>
        <v/>
      </c>
      <c r="J1378" s="62" t="str">
        <f>IF(H1378="","",IF(OR('Data Export'!F1378="三厢轿车",'Data Export'!F1378="掀背轿车",'Data Export'!F1378="旅行车",'Data Export'!F1378="微型车",'Data Export'!F1378="硬顶跑车",'Data Export'!F1378="敞蓬车",'Data Export'!F1378="Targa"),"轿车",IF(OR('Data Export'!F1378="小型MPV",'Data Export'!F1378="客车"),"MPV",IF('Data Export'!F1378="运动型多功能车","SUV","其他"))))</f>
        <v/>
      </c>
      <c r="K1378" s="62"/>
      <c r="L1378" s="62"/>
      <c r="M1378" s="62"/>
      <c r="N1378" s="62"/>
      <c r="O1378" s="62"/>
      <c r="P1378" s="62"/>
      <c r="Q1378" s="62"/>
    </row>
    <row r="1379" spans="1:17">
      <c r="A1379" s="62"/>
      <c r="B1379" s="62"/>
      <c r="C1379" s="62"/>
      <c r="D1379" s="62"/>
      <c r="E1379" s="62"/>
      <c r="F1379" s="62"/>
      <c r="G1379" s="62"/>
      <c r="H1379" s="62" t="str">
        <f>IF(AND('Data Export'!A1379=前十整体车型排名!$B$2,'Data Export'!B1379=前十整体车型排名!$B$3,'Data Export'!D1379&lt;&gt;""),UPPER('Data Export'!C1379)&amp;"♦"&amp;'Data Export'!D1379,"")</f>
        <v/>
      </c>
      <c r="I1379" s="63" t="str">
        <f>IF(H1379="","",IFERROR(INDEX('Data Export'!G1379:CZ1379,1,MATCH(前十整体车型排名!$B$4,'Data Export'!$G$1:$CZ$1,0)),0))</f>
        <v/>
      </c>
      <c r="J1379" s="62" t="str">
        <f>IF(H1379="","",IF(OR('Data Export'!F1379="三厢轿车",'Data Export'!F1379="掀背轿车",'Data Export'!F1379="旅行车",'Data Export'!F1379="微型车",'Data Export'!F1379="硬顶跑车",'Data Export'!F1379="敞蓬车",'Data Export'!F1379="Targa"),"轿车",IF(OR('Data Export'!F1379="小型MPV",'Data Export'!F1379="客车"),"MPV",IF('Data Export'!F1379="运动型多功能车","SUV","其他"))))</f>
        <v/>
      </c>
      <c r="K1379" s="62"/>
      <c r="L1379" s="62"/>
      <c r="M1379" s="62"/>
      <c r="N1379" s="62"/>
      <c r="O1379" s="62"/>
      <c r="P1379" s="62"/>
      <c r="Q1379" s="62"/>
    </row>
    <row r="1380" spans="1:17">
      <c r="A1380" s="62"/>
      <c r="B1380" s="62"/>
      <c r="C1380" s="62"/>
      <c r="D1380" s="62"/>
      <c r="E1380" s="62"/>
      <c r="F1380" s="62"/>
      <c r="G1380" s="62"/>
      <c r="H1380" s="62" t="str">
        <f>IF(AND('Data Export'!A1380=前十整体车型排名!$B$2,'Data Export'!B1380=前十整体车型排名!$B$3,'Data Export'!D1380&lt;&gt;""),UPPER('Data Export'!C1380)&amp;"♦"&amp;'Data Export'!D1380,"")</f>
        <v/>
      </c>
      <c r="I1380" s="63" t="str">
        <f>IF(H1380="","",IFERROR(INDEX('Data Export'!G1380:CZ1380,1,MATCH(前十整体车型排名!$B$4,'Data Export'!$G$1:$CZ$1,0)),0))</f>
        <v/>
      </c>
      <c r="J1380" s="62" t="str">
        <f>IF(H1380="","",IF(OR('Data Export'!F1380="三厢轿车",'Data Export'!F1380="掀背轿车",'Data Export'!F1380="旅行车",'Data Export'!F1380="微型车",'Data Export'!F1380="硬顶跑车",'Data Export'!F1380="敞蓬车",'Data Export'!F1380="Targa"),"轿车",IF(OR('Data Export'!F1380="小型MPV",'Data Export'!F1380="客车"),"MPV",IF('Data Export'!F1380="运动型多功能车","SUV","其他"))))</f>
        <v/>
      </c>
      <c r="K1380" s="62"/>
      <c r="L1380" s="62"/>
      <c r="M1380" s="62"/>
      <c r="N1380" s="62"/>
      <c r="O1380" s="62"/>
      <c r="P1380" s="62"/>
      <c r="Q1380" s="62"/>
    </row>
    <row r="1381" spans="1:17">
      <c r="A1381" s="62"/>
      <c r="B1381" s="62"/>
      <c r="C1381" s="62"/>
      <c r="D1381" s="62"/>
      <c r="E1381" s="62"/>
      <c r="F1381" s="62"/>
      <c r="G1381" s="62"/>
      <c r="H1381" s="62" t="str">
        <f>IF(AND('Data Export'!A1381=前十整体车型排名!$B$2,'Data Export'!B1381=前十整体车型排名!$B$3,'Data Export'!D1381&lt;&gt;""),UPPER('Data Export'!C1381)&amp;"♦"&amp;'Data Export'!D1381,"")</f>
        <v/>
      </c>
      <c r="I1381" s="63" t="str">
        <f>IF(H1381="","",IFERROR(INDEX('Data Export'!G1381:CZ1381,1,MATCH(前十整体车型排名!$B$4,'Data Export'!$G$1:$CZ$1,0)),0))</f>
        <v/>
      </c>
      <c r="J1381" s="62" t="str">
        <f>IF(H1381="","",IF(OR('Data Export'!F1381="三厢轿车",'Data Export'!F1381="掀背轿车",'Data Export'!F1381="旅行车",'Data Export'!F1381="微型车",'Data Export'!F1381="硬顶跑车",'Data Export'!F1381="敞蓬车",'Data Export'!F1381="Targa"),"轿车",IF(OR('Data Export'!F1381="小型MPV",'Data Export'!F1381="客车"),"MPV",IF('Data Export'!F1381="运动型多功能车","SUV","其他"))))</f>
        <v/>
      </c>
      <c r="K1381" s="62"/>
      <c r="L1381" s="62"/>
      <c r="M1381" s="62"/>
      <c r="N1381" s="62"/>
      <c r="O1381" s="62"/>
      <c r="P1381" s="62"/>
      <c r="Q1381" s="62"/>
    </row>
    <row r="1382" spans="1:17">
      <c r="A1382" s="62"/>
      <c r="B1382" s="62"/>
      <c r="C1382" s="62"/>
      <c r="D1382" s="62"/>
      <c r="E1382" s="62"/>
      <c r="F1382" s="62"/>
      <c r="G1382" s="62"/>
      <c r="H1382" s="62" t="str">
        <f>IF(AND('Data Export'!A1382=前十整体车型排名!$B$2,'Data Export'!B1382=前十整体车型排名!$B$3,'Data Export'!D1382&lt;&gt;""),UPPER('Data Export'!C1382)&amp;"♦"&amp;'Data Export'!D1382,"")</f>
        <v/>
      </c>
      <c r="I1382" s="63" t="str">
        <f>IF(H1382="","",IFERROR(INDEX('Data Export'!G1382:CZ1382,1,MATCH(前十整体车型排名!$B$4,'Data Export'!$G$1:$CZ$1,0)),0))</f>
        <v/>
      </c>
      <c r="J1382" s="62" t="str">
        <f>IF(H1382="","",IF(OR('Data Export'!F1382="三厢轿车",'Data Export'!F1382="掀背轿车",'Data Export'!F1382="旅行车",'Data Export'!F1382="微型车",'Data Export'!F1382="硬顶跑车",'Data Export'!F1382="敞蓬车",'Data Export'!F1382="Targa"),"轿车",IF(OR('Data Export'!F1382="小型MPV",'Data Export'!F1382="客车"),"MPV",IF('Data Export'!F1382="运动型多功能车","SUV","其他"))))</f>
        <v/>
      </c>
      <c r="K1382" s="62"/>
      <c r="L1382" s="62"/>
      <c r="M1382" s="62"/>
      <c r="N1382" s="62"/>
      <c r="O1382" s="62"/>
      <c r="P1382" s="62"/>
      <c r="Q1382" s="62"/>
    </row>
    <row r="1383" spans="1:17">
      <c r="A1383" s="62"/>
      <c r="B1383" s="62"/>
      <c r="C1383" s="62"/>
      <c r="D1383" s="62"/>
      <c r="E1383" s="62"/>
      <c r="F1383" s="62"/>
      <c r="G1383" s="62"/>
      <c r="H1383" s="62" t="str">
        <f>IF(AND('Data Export'!A1383=前十整体车型排名!$B$2,'Data Export'!B1383=前十整体车型排名!$B$3,'Data Export'!D1383&lt;&gt;""),UPPER('Data Export'!C1383)&amp;"♦"&amp;'Data Export'!D1383,"")</f>
        <v/>
      </c>
      <c r="I1383" s="63" t="str">
        <f>IF(H1383="","",IFERROR(INDEX('Data Export'!G1383:CZ1383,1,MATCH(前十整体车型排名!$B$4,'Data Export'!$G$1:$CZ$1,0)),0))</f>
        <v/>
      </c>
      <c r="J1383" s="62" t="str">
        <f>IF(H1383="","",IF(OR('Data Export'!F1383="三厢轿车",'Data Export'!F1383="掀背轿车",'Data Export'!F1383="旅行车",'Data Export'!F1383="微型车",'Data Export'!F1383="硬顶跑车",'Data Export'!F1383="敞蓬车",'Data Export'!F1383="Targa"),"轿车",IF(OR('Data Export'!F1383="小型MPV",'Data Export'!F1383="客车"),"MPV",IF('Data Export'!F1383="运动型多功能车","SUV","其他"))))</f>
        <v/>
      </c>
      <c r="K1383" s="62"/>
      <c r="L1383" s="62"/>
      <c r="M1383" s="62"/>
      <c r="N1383" s="62"/>
      <c r="O1383" s="62"/>
      <c r="P1383" s="62"/>
      <c r="Q1383" s="62"/>
    </row>
    <row r="1384" spans="1:17">
      <c r="A1384" s="62"/>
      <c r="B1384" s="62"/>
      <c r="C1384" s="62"/>
      <c r="D1384" s="62"/>
      <c r="E1384" s="62"/>
      <c r="F1384" s="62"/>
      <c r="G1384" s="62"/>
      <c r="H1384" s="62" t="str">
        <f>IF(AND('Data Export'!A1384=前十整体车型排名!$B$2,'Data Export'!B1384=前十整体车型排名!$B$3,'Data Export'!D1384&lt;&gt;""),UPPER('Data Export'!C1384)&amp;"♦"&amp;'Data Export'!D1384,"")</f>
        <v/>
      </c>
      <c r="I1384" s="63" t="str">
        <f>IF(H1384="","",IFERROR(INDEX('Data Export'!G1384:CZ1384,1,MATCH(前十整体车型排名!$B$4,'Data Export'!$G$1:$CZ$1,0)),0))</f>
        <v/>
      </c>
      <c r="J1384" s="62" t="str">
        <f>IF(H1384="","",IF(OR('Data Export'!F1384="三厢轿车",'Data Export'!F1384="掀背轿车",'Data Export'!F1384="旅行车",'Data Export'!F1384="微型车",'Data Export'!F1384="硬顶跑车",'Data Export'!F1384="敞蓬车",'Data Export'!F1384="Targa"),"轿车",IF(OR('Data Export'!F1384="小型MPV",'Data Export'!F1384="客车"),"MPV",IF('Data Export'!F1384="运动型多功能车","SUV","其他"))))</f>
        <v/>
      </c>
      <c r="K1384" s="62"/>
      <c r="L1384" s="62"/>
      <c r="M1384" s="62"/>
      <c r="N1384" s="62"/>
      <c r="O1384" s="62"/>
      <c r="P1384" s="62"/>
      <c r="Q1384" s="62"/>
    </row>
    <row r="1385" spans="1:17">
      <c r="A1385" s="62"/>
      <c r="B1385" s="62"/>
      <c r="C1385" s="62"/>
      <c r="D1385" s="62"/>
      <c r="E1385" s="62"/>
      <c r="F1385" s="62"/>
      <c r="G1385" s="62"/>
      <c r="H1385" s="62" t="str">
        <f>IF(AND('Data Export'!A1385=前十整体车型排名!$B$2,'Data Export'!B1385=前十整体车型排名!$B$3,'Data Export'!D1385&lt;&gt;""),UPPER('Data Export'!C1385)&amp;"♦"&amp;'Data Export'!D1385,"")</f>
        <v/>
      </c>
      <c r="I1385" s="63" t="str">
        <f>IF(H1385="","",IFERROR(INDEX('Data Export'!G1385:CZ1385,1,MATCH(前十整体车型排名!$B$4,'Data Export'!$G$1:$CZ$1,0)),0))</f>
        <v/>
      </c>
      <c r="J1385" s="62" t="str">
        <f>IF(H1385="","",IF(OR('Data Export'!F1385="三厢轿车",'Data Export'!F1385="掀背轿车",'Data Export'!F1385="旅行车",'Data Export'!F1385="微型车",'Data Export'!F1385="硬顶跑车",'Data Export'!F1385="敞蓬车",'Data Export'!F1385="Targa"),"轿车",IF(OR('Data Export'!F1385="小型MPV",'Data Export'!F1385="客车"),"MPV",IF('Data Export'!F1385="运动型多功能车","SUV","其他"))))</f>
        <v/>
      </c>
      <c r="K1385" s="62"/>
      <c r="L1385" s="62"/>
      <c r="M1385" s="62"/>
      <c r="N1385" s="62"/>
      <c r="O1385" s="62"/>
      <c r="P1385" s="62"/>
      <c r="Q1385" s="62"/>
    </row>
    <row r="1386" spans="1:17">
      <c r="A1386" s="62"/>
      <c r="B1386" s="62"/>
      <c r="C1386" s="62"/>
      <c r="D1386" s="62"/>
      <c r="E1386" s="62"/>
      <c r="F1386" s="62"/>
      <c r="G1386" s="62"/>
      <c r="H1386" s="62" t="str">
        <f>IF(AND('Data Export'!A1386=前十整体车型排名!$B$2,'Data Export'!B1386=前十整体车型排名!$B$3,'Data Export'!D1386&lt;&gt;""),UPPER('Data Export'!C1386)&amp;"♦"&amp;'Data Export'!D1386,"")</f>
        <v/>
      </c>
      <c r="I1386" s="63" t="str">
        <f>IF(H1386="","",IFERROR(INDEX('Data Export'!G1386:CZ1386,1,MATCH(前十整体车型排名!$B$4,'Data Export'!$G$1:$CZ$1,0)),0))</f>
        <v/>
      </c>
      <c r="J1386" s="62" t="str">
        <f>IF(H1386="","",IF(OR('Data Export'!F1386="三厢轿车",'Data Export'!F1386="掀背轿车",'Data Export'!F1386="旅行车",'Data Export'!F1386="微型车",'Data Export'!F1386="硬顶跑车",'Data Export'!F1386="敞蓬车",'Data Export'!F1386="Targa"),"轿车",IF(OR('Data Export'!F1386="小型MPV",'Data Export'!F1386="客车"),"MPV",IF('Data Export'!F1386="运动型多功能车","SUV","其他"))))</f>
        <v/>
      </c>
      <c r="K1386" s="62"/>
      <c r="L1386" s="62"/>
      <c r="M1386" s="62"/>
      <c r="N1386" s="62"/>
      <c r="O1386" s="62"/>
      <c r="P1386" s="62"/>
      <c r="Q1386" s="62"/>
    </row>
    <row r="1387" spans="1:17">
      <c r="A1387" s="62"/>
      <c r="B1387" s="62"/>
      <c r="C1387" s="62"/>
      <c r="D1387" s="62"/>
      <c r="E1387" s="62"/>
      <c r="F1387" s="62"/>
      <c r="G1387" s="62"/>
      <c r="H1387" s="62" t="str">
        <f>IF(AND('Data Export'!A1387=前十整体车型排名!$B$2,'Data Export'!B1387=前十整体车型排名!$B$3,'Data Export'!D1387&lt;&gt;""),UPPER('Data Export'!C1387)&amp;"♦"&amp;'Data Export'!D1387,"")</f>
        <v/>
      </c>
      <c r="I1387" s="63" t="str">
        <f>IF(H1387="","",IFERROR(INDEX('Data Export'!G1387:CZ1387,1,MATCH(前十整体车型排名!$B$4,'Data Export'!$G$1:$CZ$1,0)),0))</f>
        <v/>
      </c>
      <c r="J1387" s="62" t="str">
        <f>IF(H1387="","",IF(OR('Data Export'!F1387="三厢轿车",'Data Export'!F1387="掀背轿车",'Data Export'!F1387="旅行车",'Data Export'!F1387="微型车",'Data Export'!F1387="硬顶跑车",'Data Export'!F1387="敞蓬车",'Data Export'!F1387="Targa"),"轿车",IF(OR('Data Export'!F1387="小型MPV",'Data Export'!F1387="客车"),"MPV",IF('Data Export'!F1387="运动型多功能车","SUV","其他"))))</f>
        <v/>
      </c>
      <c r="K1387" s="62"/>
      <c r="L1387" s="62"/>
      <c r="M1387" s="62"/>
      <c r="N1387" s="62"/>
      <c r="O1387" s="62"/>
      <c r="P1387" s="62"/>
      <c r="Q1387" s="62"/>
    </row>
    <row r="1388" spans="1:17">
      <c r="A1388" s="62"/>
      <c r="B1388" s="62"/>
      <c r="C1388" s="62"/>
      <c r="D1388" s="62"/>
      <c r="E1388" s="62"/>
      <c r="F1388" s="62"/>
      <c r="G1388" s="62"/>
      <c r="H1388" s="62" t="str">
        <f>IF(AND('Data Export'!A1388=前十整体车型排名!$B$2,'Data Export'!B1388=前十整体车型排名!$B$3,'Data Export'!D1388&lt;&gt;""),UPPER('Data Export'!C1388)&amp;"♦"&amp;'Data Export'!D1388,"")</f>
        <v/>
      </c>
      <c r="I1388" s="63" t="str">
        <f>IF(H1388="","",IFERROR(INDEX('Data Export'!G1388:CZ1388,1,MATCH(前十整体车型排名!$B$4,'Data Export'!$G$1:$CZ$1,0)),0))</f>
        <v/>
      </c>
      <c r="J1388" s="62" t="str">
        <f>IF(H1388="","",IF(OR('Data Export'!F1388="三厢轿车",'Data Export'!F1388="掀背轿车",'Data Export'!F1388="旅行车",'Data Export'!F1388="微型车",'Data Export'!F1388="硬顶跑车",'Data Export'!F1388="敞蓬车",'Data Export'!F1388="Targa"),"轿车",IF(OR('Data Export'!F1388="小型MPV",'Data Export'!F1388="客车"),"MPV",IF('Data Export'!F1388="运动型多功能车","SUV","其他"))))</f>
        <v/>
      </c>
      <c r="K1388" s="62"/>
      <c r="L1388" s="62"/>
      <c r="M1388" s="62"/>
      <c r="N1388" s="62"/>
      <c r="O1388" s="62"/>
      <c r="P1388" s="62"/>
      <c r="Q1388" s="62"/>
    </row>
    <row r="1389" spans="1:17">
      <c r="A1389" s="62"/>
      <c r="B1389" s="62"/>
      <c r="C1389" s="62"/>
      <c r="D1389" s="62"/>
      <c r="E1389" s="62"/>
      <c r="F1389" s="62"/>
      <c r="G1389" s="62"/>
      <c r="H1389" s="62" t="str">
        <f>IF(AND('Data Export'!A1389=前十整体车型排名!$B$2,'Data Export'!B1389=前十整体车型排名!$B$3,'Data Export'!D1389&lt;&gt;""),UPPER('Data Export'!C1389)&amp;"♦"&amp;'Data Export'!D1389,"")</f>
        <v/>
      </c>
      <c r="I1389" s="63" t="str">
        <f>IF(H1389="","",IFERROR(INDEX('Data Export'!G1389:CZ1389,1,MATCH(前十整体车型排名!$B$4,'Data Export'!$G$1:$CZ$1,0)),0))</f>
        <v/>
      </c>
      <c r="J1389" s="62" t="str">
        <f>IF(H1389="","",IF(OR('Data Export'!F1389="三厢轿车",'Data Export'!F1389="掀背轿车",'Data Export'!F1389="旅行车",'Data Export'!F1389="微型车",'Data Export'!F1389="硬顶跑车",'Data Export'!F1389="敞蓬车",'Data Export'!F1389="Targa"),"轿车",IF(OR('Data Export'!F1389="小型MPV",'Data Export'!F1389="客车"),"MPV",IF('Data Export'!F1389="运动型多功能车","SUV","其他"))))</f>
        <v/>
      </c>
      <c r="K1389" s="62"/>
      <c r="L1389" s="62"/>
      <c r="M1389" s="62"/>
      <c r="N1389" s="62"/>
      <c r="O1389" s="62"/>
      <c r="P1389" s="62"/>
      <c r="Q1389" s="62"/>
    </row>
    <row r="1390" spans="1:17">
      <c r="A1390" s="62"/>
      <c r="B1390" s="62"/>
      <c r="C1390" s="62"/>
      <c r="D1390" s="62"/>
      <c r="E1390" s="62"/>
      <c r="F1390" s="62"/>
      <c r="G1390" s="62"/>
      <c r="H1390" s="62" t="str">
        <f>IF(AND('Data Export'!A1390=前十整体车型排名!$B$2,'Data Export'!B1390=前十整体车型排名!$B$3,'Data Export'!D1390&lt;&gt;""),UPPER('Data Export'!C1390)&amp;"♦"&amp;'Data Export'!D1390,"")</f>
        <v/>
      </c>
      <c r="I1390" s="63" t="str">
        <f>IF(H1390="","",IFERROR(INDEX('Data Export'!G1390:CZ1390,1,MATCH(前十整体车型排名!$B$4,'Data Export'!$G$1:$CZ$1,0)),0))</f>
        <v/>
      </c>
      <c r="J1390" s="62" t="str">
        <f>IF(H1390="","",IF(OR('Data Export'!F1390="三厢轿车",'Data Export'!F1390="掀背轿车",'Data Export'!F1390="旅行车",'Data Export'!F1390="微型车",'Data Export'!F1390="硬顶跑车",'Data Export'!F1390="敞蓬车",'Data Export'!F1390="Targa"),"轿车",IF(OR('Data Export'!F1390="小型MPV",'Data Export'!F1390="客车"),"MPV",IF('Data Export'!F1390="运动型多功能车","SUV","其他"))))</f>
        <v/>
      </c>
      <c r="K1390" s="62"/>
      <c r="L1390" s="62"/>
      <c r="M1390" s="62"/>
      <c r="N1390" s="62"/>
      <c r="O1390" s="62"/>
      <c r="P1390" s="62"/>
      <c r="Q1390" s="62"/>
    </row>
    <row r="1391" spans="1:17">
      <c r="A1391" s="62"/>
      <c r="B1391" s="62"/>
      <c r="C1391" s="62"/>
      <c r="D1391" s="62"/>
      <c r="E1391" s="62"/>
      <c r="F1391" s="62"/>
      <c r="G1391" s="62"/>
      <c r="H1391" s="62" t="str">
        <f>IF(AND('Data Export'!A1391=前十整体车型排名!$B$2,'Data Export'!B1391=前十整体车型排名!$B$3,'Data Export'!D1391&lt;&gt;""),UPPER('Data Export'!C1391)&amp;"♦"&amp;'Data Export'!D1391,"")</f>
        <v/>
      </c>
      <c r="I1391" s="63" t="str">
        <f>IF(H1391="","",IFERROR(INDEX('Data Export'!G1391:CZ1391,1,MATCH(前十整体车型排名!$B$4,'Data Export'!$G$1:$CZ$1,0)),0))</f>
        <v/>
      </c>
      <c r="J1391" s="62" t="str">
        <f>IF(H1391="","",IF(OR('Data Export'!F1391="三厢轿车",'Data Export'!F1391="掀背轿车",'Data Export'!F1391="旅行车",'Data Export'!F1391="微型车",'Data Export'!F1391="硬顶跑车",'Data Export'!F1391="敞蓬车",'Data Export'!F1391="Targa"),"轿车",IF(OR('Data Export'!F1391="小型MPV",'Data Export'!F1391="客车"),"MPV",IF('Data Export'!F1391="运动型多功能车","SUV","其他"))))</f>
        <v/>
      </c>
      <c r="K1391" s="62"/>
      <c r="L1391" s="62"/>
      <c r="M1391" s="62"/>
      <c r="N1391" s="62"/>
      <c r="O1391" s="62"/>
      <c r="P1391" s="62"/>
      <c r="Q1391" s="62"/>
    </row>
    <row r="1392" spans="1:17">
      <c r="A1392" s="62"/>
      <c r="B1392" s="62"/>
      <c r="C1392" s="62"/>
      <c r="D1392" s="62"/>
      <c r="E1392" s="62"/>
      <c r="F1392" s="62"/>
      <c r="G1392" s="62"/>
      <c r="H1392" s="62" t="str">
        <f>IF(AND('Data Export'!A1392=前十整体车型排名!$B$2,'Data Export'!B1392=前十整体车型排名!$B$3,'Data Export'!D1392&lt;&gt;""),UPPER('Data Export'!C1392)&amp;"♦"&amp;'Data Export'!D1392,"")</f>
        <v/>
      </c>
      <c r="I1392" s="63" t="str">
        <f>IF(H1392="","",IFERROR(INDEX('Data Export'!G1392:CZ1392,1,MATCH(前十整体车型排名!$B$4,'Data Export'!$G$1:$CZ$1,0)),0))</f>
        <v/>
      </c>
      <c r="J1392" s="62" t="str">
        <f>IF(H1392="","",IF(OR('Data Export'!F1392="三厢轿车",'Data Export'!F1392="掀背轿车",'Data Export'!F1392="旅行车",'Data Export'!F1392="微型车",'Data Export'!F1392="硬顶跑车",'Data Export'!F1392="敞蓬车",'Data Export'!F1392="Targa"),"轿车",IF(OR('Data Export'!F1392="小型MPV",'Data Export'!F1392="客车"),"MPV",IF('Data Export'!F1392="运动型多功能车","SUV","其他"))))</f>
        <v/>
      </c>
      <c r="K1392" s="62"/>
      <c r="L1392" s="62"/>
      <c r="M1392" s="62"/>
      <c r="N1392" s="62"/>
      <c r="O1392" s="62"/>
      <c r="P1392" s="62"/>
      <c r="Q1392" s="62"/>
    </row>
    <row r="1393" spans="1:17">
      <c r="A1393" s="62"/>
      <c r="B1393" s="62"/>
      <c r="C1393" s="62"/>
      <c r="D1393" s="62"/>
      <c r="E1393" s="62"/>
      <c r="F1393" s="62"/>
      <c r="G1393" s="62"/>
      <c r="H1393" s="62" t="str">
        <f>IF(AND('Data Export'!A1393=前十整体车型排名!$B$2,'Data Export'!B1393=前十整体车型排名!$B$3,'Data Export'!D1393&lt;&gt;""),UPPER('Data Export'!C1393)&amp;"♦"&amp;'Data Export'!D1393,"")</f>
        <v/>
      </c>
      <c r="I1393" s="63" t="str">
        <f>IF(H1393="","",IFERROR(INDEX('Data Export'!G1393:CZ1393,1,MATCH(前十整体车型排名!$B$4,'Data Export'!$G$1:$CZ$1,0)),0))</f>
        <v/>
      </c>
      <c r="J1393" s="62" t="str">
        <f>IF(H1393="","",IF(OR('Data Export'!F1393="三厢轿车",'Data Export'!F1393="掀背轿车",'Data Export'!F1393="旅行车",'Data Export'!F1393="微型车",'Data Export'!F1393="硬顶跑车",'Data Export'!F1393="敞蓬车",'Data Export'!F1393="Targa"),"轿车",IF(OR('Data Export'!F1393="小型MPV",'Data Export'!F1393="客车"),"MPV",IF('Data Export'!F1393="运动型多功能车","SUV","其他"))))</f>
        <v/>
      </c>
      <c r="K1393" s="62"/>
      <c r="L1393" s="62"/>
      <c r="M1393" s="62"/>
      <c r="N1393" s="62"/>
      <c r="O1393" s="62"/>
      <c r="P1393" s="62"/>
      <c r="Q1393" s="62"/>
    </row>
    <row r="1394" spans="1:17">
      <c r="A1394" s="62"/>
      <c r="B1394" s="62"/>
      <c r="C1394" s="62"/>
      <c r="D1394" s="62"/>
      <c r="E1394" s="62"/>
      <c r="F1394" s="62"/>
      <c r="G1394" s="62"/>
      <c r="H1394" s="62" t="str">
        <f>IF(AND('Data Export'!A1394=前十整体车型排名!$B$2,'Data Export'!B1394=前十整体车型排名!$B$3,'Data Export'!D1394&lt;&gt;""),UPPER('Data Export'!C1394)&amp;"♦"&amp;'Data Export'!D1394,"")</f>
        <v/>
      </c>
      <c r="I1394" s="63" t="str">
        <f>IF(H1394="","",IFERROR(INDEX('Data Export'!G1394:CZ1394,1,MATCH(前十整体车型排名!$B$4,'Data Export'!$G$1:$CZ$1,0)),0))</f>
        <v/>
      </c>
      <c r="J1394" s="62" t="str">
        <f>IF(H1394="","",IF(OR('Data Export'!F1394="三厢轿车",'Data Export'!F1394="掀背轿车",'Data Export'!F1394="旅行车",'Data Export'!F1394="微型车",'Data Export'!F1394="硬顶跑车",'Data Export'!F1394="敞蓬车",'Data Export'!F1394="Targa"),"轿车",IF(OR('Data Export'!F1394="小型MPV",'Data Export'!F1394="客车"),"MPV",IF('Data Export'!F1394="运动型多功能车","SUV","其他"))))</f>
        <v/>
      </c>
      <c r="K1394" s="62"/>
      <c r="L1394" s="62"/>
      <c r="M1394" s="62"/>
      <c r="N1394" s="62"/>
      <c r="O1394" s="62"/>
      <c r="P1394" s="62"/>
      <c r="Q1394" s="62"/>
    </row>
    <row r="1395" spans="1:17">
      <c r="A1395" s="62"/>
      <c r="B1395" s="62"/>
      <c r="C1395" s="62"/>
      <c r="D1395" s="62"/>
      <c r="E1395" s="62"/>
      <c r="F1395" s="62"/>
      <c r="G1395" s="62"/>
      <c r="H1395" s="62" t="str">
        <f>IF(AND('Data Export'!A1395=前十整体车型排名!$B$2,'Data Export'!B1395=前十整体车型排名!$B$3,'Data Export'!D1395&lt;&gt;""),UPPER('Data Export'!C1395)&amp;"♦"&amp;'Data Export'!D1395,"")</f>
        <v/>
      </c>
      <c r="I1395" s="63" t="str">
        <f>IF(H1395="","",IFERROR(INDEX('Data Export'!G1395:CZ1395,1,MATCH(前十整体车型排名!$B$4,'Data Export'!$G$1:$CZ$1,0)),0))</f>
        <v/>
      </c>
      <c r="J1395" s="62" t="str">
        <f>IF(H1395="","",IF(OR('Data Export'!F1395="三厢轿车",'Data Export'!F1395="掀背轿车",'Data Export'!F1395="旅行车",'Data Export'!F1395="微型车",'Data Export'!F1395="硬顶跑车",'Data Export'!F1395="敞蓬车",'Data Export'!F1395="Targa"),"轿车",IF(OR('Data Export'!F1395="小型MPV",'Data Export'!F1395="客车"),"MPV",IF('Data Export'!F1395="运动型多功能车","SUV","其他"))))</f>
        <v/>
      </c>
      <c r="K1395" s="62"/>
      <c r="L1395" s="62"/>
      <c r="M1395" s="62"/>
      <c r="N1395" s="62"/>
      <c r="O1395" s="62"/>
      <c r="P1395" s="62"/>
      <c r="Q1395" s="62"/>
    </row>
    <row r="1396" spans="1:17">
      <c r="A1396" s="62"/>
      <c r="B1396" s="62"/>
      <c r="C1396" s="62"/>
      <c r="D1396" s="62"/>
      <c r="E1396" s="62"/>
      <c r="F1396" s="62"/>
      <c r="G1396" s="62"/>
      <c r="H1396" s="62" t="str">
        <f>IF(AND('Data Export'!A1396=前十整体车型排名!$B$2,'Data Export'!B1396=前十整体车型排名!$B$3,'Data Export'!D1396&lt;&gt;""),UPPER('Data Export'!C1396)&amp;"♦"&amp;'Data Export'!D1396,"")</f>
        <v/>
      </c>
      <c r="I1396" s="63" t="str">
        <f>IF(H1396="","",IFERROR(INDEX('Data Export'!G1396:CZ1396,1,MATCH(前十整体车型排名!$B$4,'Data Export'!$G$1:$CZ$1,0)),0))</f>
        <v/>
      </c>
      <c r="J1396" s="62" t="str">
        <f>IF(H1396="","",IF(OR('Data Export'!F1396="三厢轿车",'Data Export'!F1396="掀背轿车",'Data Export'!F1396="旅行车",'Data Export'!F1396="微型车",'Data Export'!F1396="硬顶跑车",'Data Export'!F1396="敞蓬车",'Data Export'!F1396="Targa"),"轿车",IF(OR('Data Export'!F1396="小型MPV",'Data Export'!F1396="客车"),"MPV",IF('Data Export'!F1396="运动型多功能车","SUV","其他"))))</f>
        <v/>
      </c>
      <c r="K1396" s="62"/>
      <c r="L1396" s="62"/>
      <c r="M1396" s="62"/>
      <c r="N1396" s="62"/>
      <c r="O1396" s="62"/>
      <c r="P1396" s="62"/>
      <c r="Q1396" s="62"/>
    </row>
    <row r="1397" spans="1:17">
      <c r="A1397" s="62"/>
      <c r="B1397" s="62"/>
      <c r="C1397" s="62"/>
      <c r="D1397" s="62"/>
      <c r="E1397" s="62"/>
      <c r="F1397" s="62"/>
      <c r="G1397" s="62"/>
      <c r="H1397" s="62" t="str">
        <f>IF(AND('Data Export'!A1397=前十整体车型排名!$B$2,'Data Export'!B1397=前十整体车型排名!$B$3,'Data Export'!D1397&lt;&gt;""),UPPER('Data Export'!C1397)&amp;"♦"&amp;'Data Export'!D1397,"")</f>
        <v/>
      </c>
      <c r="I1397" s="63" t="str">
        <f>IF(H1397="","",IFERROR(INDEX('Data Export'!G1397:CZ1397,1,MATCH(前十整体车型排名!$B$4,'Data Export'!$G$1:$CZ$1,0)),0))</f>
        <v/>
      </c>
      <c r="J1397" s="62" t="str">
        <f>IF(H1397="","",IF(OR('Data Export'!F1397="三厢轿车",'Data Export'!F1397="掀背轿车",'Data Export'!F1397="旅行车",'Data Export'!F1397="微型车",'Data Export'!F1397="硬顶跑车",'Data Export'!F1397="敞蓬车",'Data Export'!F1397="Targa"),"轿车",IF(OR('Data Export'!F1397="小型MPV",'Data Export'!F1397="客车"),"MPV",IF('Data Export'!F1397="运动型多功能车","SUV","其他"))))</f>
        <v/>
      </c>
      <c r="K1397" s="62"/>
      <c r="L1397" s="62"/>
      <c r="M1397" s="62"/>
      <c r="N1397" s="62"/>
      <c r="O1397" s="62"/>
      <c r="P1397" s="62"/>
      <c r="Q1397" s="62"/>
    </row>
    <row r="1398" spans="1:17">
      <c r="A1398" s="62"/>
      <c r="B1398" s="62"/>
      <c r="C1398" s="62"/>
      <c r="D1398" s="62"/>
      <c r="E1398" s="62"/>
      <c r="F1398" s="62"/>
      <c r="G1398" s="62"/>
      <c r="H1398" s="62" t="str">
        <f>IF(AND('Data Export'!A1398=前十整体车型排名!$B$2,'Data Export'!B1398=前十整体车型排名!$B$3,'Data Export'!D1398&lt;&gt;""),UPPER('Data Export'!C1398)&amp;"♦"&amp;'Data Export'!D1398,"")</f>
        <v/>
      </c>
      <c r="I1398" s="63" t="str">
        <f>IF(H1398="","",IFERROR(INDEX('Data Export'!G1398:CZ1398,1,MATCH(前十整体车型排名!$B$4,'Data Export'!$G$1:$CZ$1,0)),0))</f>
        <v/>
      </c>
      <c r="J1398" s="62" t="str">
        <f>IF(H1398="","",IF(OR('Data Export'!F1398="三厢轿车",'Data Export'!F1398="掀背轿车",'Data Export'!F1398="旅行车",'Data Export'!F1398="微型车",'Data Export'!F1398="硬顶跑车",'Data Export'!F1398="敞蓬车",'Data Export'!F1398="Targa"),"轿车",IF(OR('Data Export'!F1398="小型MPV",'Data Export'!F1398="客车"),"MPV",IF('Data Export'!F1398="运动型多功能车","SUV","其他"))))</f>
        <v/>
      </c>
      <c r="K1398" s="62"/>
      <c r="L1398" s="62"/>
      <c r="M1398" s="62"/>
      <c r="N1398" s="62"/>
      <c r="O1398" s="62"/>
      <c r="P1398" s="62"/>
      <c r="Q1398" s="62"/>
    </row>
    <row r="1399" spans="1:17">
      <c r="A1399" s="62"/>
      <c r="B1399" s="62"/>
      <c r="C1399" s="62"/>
      <c r="D1399" s="62"/>
      <c r="E1399" s="62"/>
      <c r="F1399" s="62"/>
      <c r="G1399" s="62"/>
      <c r="H1399" s="62" t="str">
        <f>IF(AND('Data Export'!A1399=前十整体车型排名!$B$2,'Data Export'!B1399=前十整体车型排名!$B$3,'Data Export'!D1399&lt;&gt;""),UPPER('Data Export'!C1399)&amp;"♦"&amp;'Data Export'!D1399,"")</f>
        <v/>
      </c>
      <c r="I1399" s="63" t="str">
        <f>IF(H1399="","",IFERROR(INDEX('Data Export'!G1399:CZ1399,1,MATCH(前十整体车型排名!$B$4,'Data Export'!$G$1:$CZ$1,0)),0))</f>
        <v/>
      </c>
      <c r="J1399" s="62" t="str">
        <f>IF(H1399="","",IF(OR('Data Export'!F1399="三厢轿车",'Data Export'!F1399="掀背轿车",'Data Export'!F1399="旅行车",'Data Export'!F1399="微型车",'Data Export'!F1399="硬顶跑车",'Data Export'!F1399="敞蓬车",'Data Export'!F1399="Targa"),"轿车",IF(OR('Data Export'!F1399="小型MPV",'Data Export'!F1399="客车"),"MPV",IF('Data Export'!F1399="运动型多功能车","SUV","其他"))))</f>
        <v/>
      </c>
      <c r="K1399" s="62"/>
      <c r="L1399" s="62"/>
      <c r="M1399" s="62"/>
      <c r="N1399" s="62"/>
      <c r="O1399" s="62"/>
      <c r="P1399" s="62"/>
      <c r="Q1399" s="62"/>
    </row>
    <row r="1400" spans="1:17">
      <c r="A1400" s="62"/>
      <c r="B1400" s="62"/>
      <c r="C1400" s="62"/>
      <c r="D1400" s="62"/>
      <c r="E1400" s="62"/>
      <c r="F1400" s="62"/>
      <c r="G1400" s="62"/>
      <c r="H1400" s="62" t="str">
        <f>IF(AND('Data Export'!A1400=前十整体车型排名!$B$2,'Data Export'!B1400=前十整体车型排名!$B$3,'Data Export'!D1400&lt;&gt;""),UPPER('Data Export'!C1400)&amp;"♦"&amp;'Data Export'!D1400,"")</f>
        <v/>
      </c>
      <c r="I1400" s="63" t="str">
        <f>IF(H1400="","",IFERROR(INDEX('Data Export'!G1400:CZ1400,1,MATCH(前十整体车型排名!$B$4,'Data Export'!$G$1:$CZ$1,0)),0))</f>
        <v/>
      </c>
      <c r="J1400" s="62" t="str">
        <f>IF(H1400="","",IF(OR('Data Export'!F1400="三厢轿车",'Data Export'!F1400="掀背轿车",'Data Export'!F1400="旅行车",'Data Export'!F1400="微型车",'Data Export'!F1400="硬顶跑车",'Data Export'!F1400="敞蓬车",'Data Export'!F1400="Targa"),"轿车",IF(OR('Data Export'!F1400="小型MPV",'Data Export'!F1400="客车"),"MPV",IF('Data Export'!F1400="运动型多功能车","SUV","其他"))))</f>
        <v/>
      </c>
      <c r="K1400" s="62"/>
      <c r="L1400" s="62"/>
      <c r="M1400" s="62"/>
      <c r="N1400" s="62"/>
      <c r="O1400" s="62"/>
      <c r="P1400" s="62"/>
      <c r="Q1400" s="62"/>
    </row>
    <row r="1401" spans="1:17">
      <c r="A1401" s="62"/>
      <c r="B1401" s="62"/>
      <c r="C1401" s="62"/>
      <c r="D1401" s="62"/>
      <c r="E1401" s="62"/>
      <c r="F1401" s="62"/>
      <c r="G1401" s="62"/>
      <c r="H1401" s="62" t="str">
        <f>IF(AND('Data Export'!A1401=前十整体车型排名!$B$2,'Data Export'!B1401=前十整体车型排名!$B$3,'Data Export'!D1401&lt;&gt;""),UPPER('Data Export'!C1401)&amp;"♦"&amp;'Data Export'!D1401,"")</f>
        <v/>
      </c>
      <c r="I1401" s="63" t="str">
        <f>IF(H1401="","",IFERROR(INDEX('Data Export'!G1401:CZ1401,1,MATCH(前十整体车型排名!$B$4,'Data Export'!$G$1:$CZ$1,0)),0))</f>
        <v/>
      </c>
      <c r="J1401" s="62" t="str">
        <f>IF(H1401="","",IF(OR('Data Export'!F1401="三厢轿车",'Data Export'!F1401="掀背轿车",'Data Export'!F1401="旅行车",'Data Export'!F1401="微型车",'Data Export'!F1401="硬顶跑车",'Data Export'!F1401="敞蓬车",'Data Export'!F1401="Targa"),"轿车",IF(OR('Data Export'!F1401="小型MPV",'Data Export'!F1401="客车"),"MPV",IF('Data Export'!F1401="运动型多功能车","SUV","其他"))))</f>
        <v/>
      </c>
      <c r="K1401" s="62"/>
      <c r="L1401" s="62"/>
      <c r="M1401" s="62"/>
      <c r="N1401" s="62"/>
      <c r="O1401" s="62"/>
      <c r="P1401" s="62"/>
      <c r="Q1401" s="62"/>
    </row>
    <row r="1402" spans="1:17">
      <c r="A1402" s="62"/>
      <c r="B1402" s="62"/>
      <c r="C1402" s="62"/>
      <c r="D1402" s="62"/>
      <c r="E1402" s="62"/>
      <c r="F1402" s="62"/>
      <c r="G1402" s="62"/>
      <c r="H1402" s="62" t="str">
        <f>IF(AND('Data Export'!A1402=前十整体车型排名!$B$2,'Data Export'!B1402=前十整体车型排名!$B$3,'Data Export'!D1402&lt;&gt;""),UPPER('Data Export'!C1402)&amp;"♦"&amp;'Data Export'!D1402,"")</f>
        <v/>
      </c>
      <c r="I1402" s="63" t="str">
        <f>IF(H1402="","",IFERROR(INDEX('Data Export'!G1402:CZ1402,1,MATCH(前十整体车型排名!$B$4,'Data Export'!$G$1:$CZ$1,0)),0))</f>
        <v/>
      </c>
      <c r="J1402" s="62" t="str">
        <f>IF(H1402="","",IF(OR('Data Export'!F1402="三厢轿车",'Data Export'!F1402="掀背轿车",'Data Export'!F1402="旅行车",'Data Export'!F1402="微型车",'Data Export'!F1402="硬顶跑车",'Data Export'!F1402="敞蓬车",'Data Export'!F1402="Targa"),"轿车",IF(OR('Data Export'!F1402="小型MPV",'Data Export'!F1402="客车"),"MPV",IF('Data Export'!F1402="运动型多功能车","SUV","其他"))))</f>
        <v/>
      </c>
      <c r="K1402" s="62"/>
      <c r="L1402" s="62"/>
      <c r="M1402" s="62"/>
      <c r="N1402" s="62"/>
      <c r="O1402" s="62"/>
      <c r="P1402" s="62"/>
      <c r="Q1402" s="62"/>
    </row>
    <row r="1403" spans="1:17">
      <c r="A1403" s="62"/>
      <c r="B1403" s="62"/>
      <c r="C1403" s="62"/>
      <c r="D1403" s="62"/>
      <c r="E1403" s="62"/>
      <c r="F1403" s="62"/>
      <c r="G1403" s="62"/>
      <c r="H1403" s="62" t="str">
        <f>IF(AND('Data Export'!A1403=前十整体车型排名!$B$2,'Data Export'!B1403=前十整体车型排名!$B$3,'Data Export'!D1403&lt;&gt;""),UPPER('Data Export'!C1403)&amp;"♦"&amp;'Data Export'!D1403,"")</f>
        <v/>
      </c>
      <c r="I1403" s="63" t="str">
        <f>IF(H1403="","",IFERROR(INDEX('Data Export'!G1403:CZ1403,1,MATCH(前十整体车型排名!$B$4,'Data Export'!$G$1:$CZ$1,0)),0))</f>
        <v/>
      </c>
      <c r="J1403" s="62" t="str">
        <f>IF(H1403="","",IF(OR('Data Export'!F1403="三厢轿车",'Data Export'!F1403="掀背轿车",'Data Export'!F1403="旅行车",'Data Export'!F1403="微型车",'Data Export'!F1403="硬顶跑车",'Data Export'!F1403="敞蓬车",'Data Export'!F1403="Targa"),"轿车",IF(OR('Data Export'!F1403="小型MPV",'Data Export'!F1403="客车"),"MPV",IF('Data Export'!F1403="运动型多功能车","SUV","其他"))))</f>
        <v/>
      </c>
      <c r="K1403" s="62"/>
      <c r="L1403" s="62"/>
      <c r="M1403" s="62"/>
      <c r="N1403" s="62"/>
      <c r="O1403" s="62"/>
      <c r="P1403" s="62"/>
      <c r="Q1403" s="62"/>
    </row>
    <row r="1404" spans="1:17">
      <c r="A1404" s="62"/>
      <c r="B1404" s="62"/>
      <c r="C1404" s="62"/>
      <c r="D1404" s="62"/>
      <c r="E1404" s="62"/>
      <c r="F1404" s="62"/>
      <c r="G1404" s="62"/>
      <c r="H1404" s="62" t="str">
        <f>IF(AND('Data Export'!A1404=前十整体车型排名!$B$2,'Data Export'!B1404=前十整体车型排名!$B$3,'Data Export'!D1404&lt;&gt;""),UPPER('Data Export'!C1404)&amp;"♦"&amp;'Data Export'!D1404,"")</f>
        <v/>
      </c>
      <c r="I1404" s="63" t="str">
        <f>IF(H1404="","",IFERROR(INDEX('Data Export'!G1404:CZ1404,1,MATCH(前十整体车型排名!$B$4,'Data Export'!$G$1:$CZ$1,0)),0))</f>
        <v/>
      </c>
      <c r="J1404" s="62" t="str">
        <f>IF(H1404="","",IF(OR('Data Export'!F1404="三厢轿车",'Data Export'!F1404="掀背轿车",'Data Export'!F1404="旅行车",'Data Export'!F1404="微型车",'Data Export'!F1404="硬顶跑车",'Data Export'!F1404="敞蓬车",'Data Export'!F1404="Targa"),"轿车",IF(OR('Data Export'!F1404="小型MPV",'Data Export'!F1404="客车"),"MPV",IF('Data Export'!F1404="运动型多功能车","SUV","其他"))))</f>
        <v/>
      </c>
      <c r="K1404" s="62"/>
      <c r="L1404" s="62"/>
      <c r="M1404" s="62"/>
      <c r="N1404" s="62"/>
      <c r="O1404" s="62"/>
      <c r="P1404" s="62"/>
      <c r="Q1404" s="62"/>
    </row>
    <row r="1405" spans="1:17">
      <c r="A1405" s="62"/>
      <c r="B1405" s="62"/>
      <c r="C1405" s="62"/>
      <c r="D1405" s="62"/>
      <c r="E1405" s="62"/>
      <c r="F1405" s="62"/>
      <c r="G1405" s="62"/>
      <c r="H1405" s="62" t="str">
        <f>IF(AND('Data Export'!A1405=前十整体车型排名!$B$2,'Data Export'!B1405=前十整体车型排名!$B$3,'Data Export'!D1405&lt;&gt;""),UPPER('Data Export'!C1405)&amp;"♦"&amp;'Data Export'!D1405,"")</f>
        <v/>
      </c>
      <c r="I1405" s="63" t="str">
        <f>IF(H1405="","",IFERROR(INDEX('Data Export'!G1405:CZ1405,1,MATCH(前十整体车型排名!$B$4,'Data Export'!$G$1:$CZ$1,0)),0))</f>
        <v/>
      </c>
      <c r="J1405" s="62" t="str">
        <f>IF(H1405="","",IF(OR('Data Export'!F1405="三厢轿车",'Data Export'!F1405="掀背轿车",'Data Export'!F1405="旅行车",'Data Export'!F1405="微型车",'Data Export'!F1405="硬顶跑车",'Data Export'!F1405="敞蓬车",'Data Export'!F1405="Targa"),"轿车",IF(OR('Data Export'!F1405="小型MPV",'Data Export'!F1405="客车"),"MPV",IF('Data Export'!F1405="运动型多功能车","SUV","其他"))))</f>
        <v/>
      </c>
      <c r="K1405" s="62"/>
      <c r="L1405" s="62"/>
      <c r="M1405" s="62"/>
      <c r="N1405" s="62"/>
      <c r="O1405" s="62"/>
      <c r="P1405" s="62"/>
      <c r="Q1405" s="62"/>
    </row>
    <row r="1406" spans="1:17">
      <c r="A1406" s="62"/>
      <c r="B1406" s="62"/>
      <c r="C1406" s="62"/>
      <c r="D1406" s="62"/>
      <c r="E1406" s="62"/>
      <c r="F1406" s="62"/>
      <c r="G1406" s="62"/>
      <c r="H1406" s="62" t="str">
        <f>IF(AND('Data Export'!A1406=前十整体车型排名!$B$2,'Data Export'!B1406=前十整体车型排名!$B$3,'Data Export'!D1406&lt;&gt;""),UPPER('Data Export'!C1406)&amp;"♦"&amp;'Data Export'!D1406,"")</f>
        <v/>
      </c>
      <c r="I1406" s="63" t="str">
        <f>IF(H1406="","",IFERROR(INDEX('Data Export'!G1406:CZ1406,1,MATCH(前十整体车型排名!$B$4,'Data Export'!$G$1:$CZ$1,0)),0))</f>
        <v/>
      </c>
      <c r="J1406" s="62" t="str">
        <f>IF(H1406="","",IF(OR('Data Export'!F1406="三厢轿车",'Data Export'!F1406="掀背轿车",'Data Export'!F1406="旅行车",'Data Export'!F1406="微型车",'Data Export'!F1406="硬顶跑车",'Data Export'!F1406="敞蓬车",'Data Export'!F1406="Targa"),"轿车",IF(OR('Data Export'!F1406="小型MPV",'Data Export'!F1406="客车"),"MPV",IF('Data Export'!F1406="运动型多功能车","SUV","其他"))))</f>
        <v/>
      </c>
      <c r="K1406" s="62"/>
      <c r="L1406" s="62"/>
      <c r="M1406" s="62"/>
      <c r="N1406" s="62"/>
      <c r="O1406" s="62"/>
      <c r="P1406" s="62"/>
      <c r="Q1406" s="62"/>
    </row>
    <row r="1407" spans="1:17">
      <c r="A1407" s="62"/>
      <c r="B1407" s="62"/>
      <c r="C1407" s="62"/>
      <c r="D1407" s="62"/>
      <c r="E1407" s="62"/>
      <c r="F1407" s="62"/>
      <c r="G1407" s="62"/>
      <c r="H1407" s="62" t="str">
        <f>IF(AND('Data Export'!A1407=前十整体车型排名!$B$2,'Data Export'!B1407=前十整体车型排名!$B$3,'Data Export'!D1407&lt;&gt;""),UPPER('Data Export'!C1407)&amp;"♦"&amp;'Data Export'!D1407,"")</f>
        <v/>
      </c>
      <c r="I1407" s="63" t="str">
        <f>IF(H1407="","",IFERROR(INDEX('Data Export'!G1407:CZ1407,1,MATCH(前十整体车型排名!$B$4,'Data Export'!$G$1:$CZ$1,0)),0))</f>
        <v/>
      </c>
      <c r="J1407" s="62" t="str">
        <f>IF(H1407="","",IF(OR('Data Export'!F1407="三厢轿车",'Data Export'!F1407="掀背轿车",'Data Export'!F1407="旅行车",'Data Export'!F1407="微型车",'Data Export'!F1407="硬顶跑车",'Data Export'!F1407="敞蓬车",'Data Export'!F1407="Targa"),"轿车",IF(OR('Data Export'!F1407="小型MPV",'Data Export'!F1407="客车"),"MPV",IF('Data Export'!F1407="运动型多功能车","SUV","其他"))))</f>
        <v/>
      </c>
      <c r="K1407" s="62"/>
      <c r="L1407" s="62"/>
      <c r="M1407" s="62"/>
      <c r="N1407" s="62"/>
      <c r="O1407" s="62"/>
      <c r="P1407" s="62"/>
      <c r="Q1407" s="62"/>
    </row>
    <row r="1408" spans="1:17">
      <c r="A1408" s="62"/>
      <c r="B1408" s="62"/>
      <c r="C1408" s="62"/>
      <c r="D1408" s="62"/>
      <c r="E1408" s="62"/>
      <c r="F1408" s="62"/>
      <c r="G1408" s="62"/>
      <c r="H1408" s="62" t="str">
        <f>IF(AND('Data Export'!A1408=前十整体车型排名!$B$2,'Data Export'!B1408=前十整体车型排名!$B$3,'Data Export'!D1408&lt;&gt;""),UPPER('Data Export'!C1408)&amp;"♦"&amp;'Data Export'!D1408,"")</f>
        <v/>
      </c>
      <c r="I1408" s="63" t="str">
        <f>IF(H1408="","",IFERROR(INDEX('Data Export'!G1408:CZ1408,1,MATCH(前十整体车型排名!$B$4,'Data Export'!$G$1:$CZ$1,0)),0))</f>
        <v/>
      </c>
      <c r="J1408" s="62" t="str">
        <f>IF(H1408="","",IF(OR('Data Export'!F1408="三厢轿车",'Data Export'!F1408="掀背轿车",'Data Export'!F1408="旅行车",'Data Export'!F1408="微型车",'Data Export'!F1408="硬顶跑车",'Data Export'!F1408="敞蓬车",'Data Export'!F1408="Targa"),"轿车",IF(OR('Data Export'!F1408="小型MPV",'Data Export'!F1408="客车"),"MPV",IF('Data Export'!F1408="运动型多功能车","SUV","其他"))))</f>
        <v/>
      </c>
      <c r="K1408" s="62"/>
      <c r="L1408" s="62"/>
      <c r="M1408" s="62"/>
      <c r="N1408" s="62"/>
      <c r="O1408" s="62"/>
      <c r="P1408" s="62"/>
      <c r="Q1408" s="62"/>
    </row>
    <row r="1409" spans="1:17">
      <c r="A1409" s="62"/>
      <c r="B1409" s="62"/>
      <c r="C1409" s="62"/>
      <c r="D1409" s="62"/>
      <c r="E1409" s="62"/>
      <c r="F1409" s="62"/>
      <c r="G1409" s="62"/>
      <c r="H1409" s="62" t="str">
        <f>IF(AND('Data Export'!A1409=前十整体车型排名!$B$2,'Data Export'!B1409=前十整体车型排名!$B$3,'Data Export'!D1409&lt;&gt;""),UPPER('Data Export'!C1409)&amp;"♦"&amp;'Data Export'!D1409,"")</f>
        <v/>
      </c>
      <c r="I1409" s="63" t="str">
        <f>IF(H1409="","",IFERROR(INDEX('Data Export'!G1409:CZ1409,1,MATCH(前十整体车型排名!$B$4,'Data Export'!$G$1:$CZ$1,0)),0))</f>
        <v/>
      </c>
      <c r="J1409" s="62" t="str">
        <f>IF(H1409="","",IF(OR('Data Export'!F1409="三厢轿车",'Data Export'!F1409="掀背轿车",'Data Export'!F1409="旅行车",'Data Export'!F1409="微型车",'Data Export'!F1409="硬顶跑车",'Data Export'!F1409="敞蓬车",'Data Export'!F1409="Targa"),"轿车",IF(OR('Data Export'!F1409="小型MPV",'Data Export'!F1409="客车"),"MPV",IF('Data Export'!F1409="运动型多功能车","SUV","其他"))))</f>
        <v/>
      </c>
      <c r="K1409" s="62"/>
      <c r="L1409" s="62"/>
      <c r="M1409" s="62"/>
      <c r="N1409" s="62"/>
      <c r="O1409" s="62"/>
      <c r="P1409" s="62"/>
      <c r="Q1409" s="62"/>
    </row>
    <row r="1410" spans="1:17">
      <c r="A1410" s="62"/>
      <c r="B1410" s="62"/>
      <c r="C1410" s="62"/>
      <c r="D1410" s="62"/>
      <c r="E1410" s="62"/>
      <c r="F1410" s="62"/>
      <c r="G1410" s="62"/>
      <c r="H1410" s="62" t="str">
        <f>IF(AND('Data Export'!A1410=前十整体车型排名!$B$2,'Data Export'!B1410=前十整体车型排名!$B$3,'Data Export'!D1410&lt;&gt;""),UPPER('Data Export'!C1410)&amp;"♦"&amp;'Data Export'!D1410,"")</f>
        <v/>
      </c>
      <c r="I1410" s="63" t="str">
        <f>IF(H1410="","",IFERROR(INDEX('Data Export'!G1410:CZ1410,1,MATCH(前十整体车型排名!$B$4,'Data Export'!$G$1:$CZ$1,0)),0))</f>
        <v/>
      </c>
      <c r="J1410" s="62" t="str">
        <f>IF(H1410="","",IF(OR('Data Export'!F1410="三厢轿车",'Data Export'!F1410="掀背轿车",'Data Export'!F1410="旅行车",'Data Export'!F1410="微型车",'Data Export'!F1410="硬顶跑车",'Data Export'!F1410="敞蓬车",'Data Export'!F1410="Targa"),"轿车",IF(OR('Data Export'!F1410="小型MPV",'Data Export'!F1410="客车"),"MPV",IF('Data Export'!F1410="运动型多功能车","SUV","其他"))))</f>
        <v/>
      </c>
      <c r="K1410" s="62"/>
      <c r="L1410" s="62"/>
      <c r="M1410" s="62"/>
      <c r="N1410" s="62"/>
      <c r="O1410" s="62"/>
      <c r="P1410" s="62"/>
      <c r="Q1410" s="62"/>
    </row>
    <row r="1411" spans="1:17">
      <c r="A1411" s="62"/>
      <c r="B1411" s="62"/>
      <c r="C1411" s="62"/>
      <c r="D1411" s="62"/>
      <c r="E1411" s="62"/>
      <c r="F1411" s="62"/>
      <c r="G1411" s="62"/>
      <c r="H1411" s="62" t="str">
        <f>IF(AND('Data Export'!A1411=前十整体车型排名!$B$2,'Data Export'!B1411=前十整体车型排名!$B$3,'Data Export'!D1411&lt;&gt;""),UPPER('Data Export'!C1411)&amp;"♦"&amp;'Data Export'!D1411,"")</f>
        <v/>
      </c>
      <c r="I1411" s="63" t="str">
        <f>IF(H1411="","",IFERROR(INDEX('Data Export'!G1411:CZ1411,1,MATCH(前十整体车型排名!$B$4,'Data Export'!$G$1:$CZ$1,0)),0))</f>
        <v/>
      </c>
      <c r="J1411" s="62" t="str">
        <f>IF(H1411="","",IF(OR('Data Export'!F1411="三厢轿车",'Data Export'!F1411="掀背轿车",'Data Export'!F1411="旅行车",'Data Export'!F1411="微型车",'Data Export'!F1411="硬顶跑车",'Data Export'!F1411="敞蓬车",'Data Export'!F1411="Targa"),"轿车",IF(OR('Data Export'!F1411="小型MPV",'Data Export'!F1411="客车"),"MPV",IF('Data Export'!F1411="运动型多功能车","SUV","其他"))))</f>
        <v/>
      </c>
      <c r="K1411" s="62"/>
      <c r="L1411" s="62"/>
      <c r="M1411" s="62"/>
      <c r="N1411" s="62"/>
      <c r="O1411" s="62"/>
      <c r="P1411" s="62"/>
      <c r="Q1411" s="62"/>
    </row>
    <row r="1412" spans="1:17">
      <c r="A1412" s="62"/>
      <c r="B1412" s="62"/>
      <c r="C1412" s="62"/>
      <c r="D1412" s="62"/>
      <c r="E1412" s="62"/>
      <c r="F1412" s="62"/>
      <c r="G1412" s="62"/>
      <c r="H1412" s="62" t="str">
        <f>IF(AND('Data Export'!A1412=前十整体车型排名!$B$2,'Data Export'!B1412=前十整体车型排名!$B$3,'Data Export'!D1412&lt;&gt;""),UPPER('Data Export'!C1412)&amp;"♦"&amp;'Data Export'!D1412,"")</f>
        <v/>
      </c>
      <c r="I1412" s="63" t="str">
        <f>IF(H1412="","",IFERROR(INDEX('Data Export'!G1412:CZ1412,1,MATCH(前十整体车型排名!$B$4,'Data Export'!$G$1:$CZ$1,0)),0))</f>
        <v/>
      </c>
      <c r="J1412" s="62" t="str">
        <f>IF(H1412="","",IF(OR('Data Export'!F1412="三厢轿车",'Data Export'!F1412="掀背轿车",'Data Export'!F1412="旅行车",'Data Export'!F1412="微型车",'Data Export'!F1412="硬顶跑车",'Data Export'!F1412="敞蓬车",'Data Export'!F1412="Targa"),"轿车",IF(OR('Data Export'!F1412="小型MPV",'Data Export'!F1412="客车"),"MPV",IF('Data Export'!F1412="运动型多功能车","SUV","其他"))))</f>
        <v/>
      </c>
      <c r="K1412" s="62"/>
      <c r="L1412" s="62"/>
      <c r="M1412" s="62"/>
      <c r="N1412" s="62"/>
      <c r="O1412" s="62"/>
      <c r="P1412" s="62"/>
      <c r="Q1412" s="62"/>
    </row>
    <row r="1413" spans="1:17">
      <c r="A1413" s="62"/>
      <c r="B1413" s="62"/>
      <c r="C1413" s="62"/>
      <c r="D1413" s="62"/>
      <c r="E1413" s="62"/>
      <c r="F1413" s="62"/>
      <c r="G1413" s="62"/>
      <c r="H1413" s="62" t="str">
        <f>IF(AND('Data Export'!A1413=前十整体车型排名!$B$2,'Data Export'!B1413=前十整体车型排名!$B$3,'Data Export'!D1413&lt;&gt;""),UPPER('Data Export'!C1413)&amp;"♦"&amp;'Data Export'!D1413,"")</f>
        <v/>
      </c>
      <c r="I1413" s="63" t="str">
        <f>IF(H1413="","",IFERROR(INDEX('Data Export'!G1413:CZ1413,1,MATCH(前十整体车型排名!$B$4,'Data Export'!$G$1:$CZ$1,0)),0))</f>
        <v/>
      </c>
      <c r="J1413" s="62" t="str">
        <f>IF(H1413="","",IF(OR('Data Export'!F1413="三厢轿车",'Data Export'!F1413="掀背轿车",'Data Export'!F1413="旅行车",'Data Export'!F1413="微型车",'Data Export'!F1413="硬顶跑车",'Data Export'!F1413="敞蓬车",'Data Export'!F1413="Targa"),"轿车",IF(OR('Data Export'!F1413="小型MPV",'Data Export'!F1413="客车"),"MPV",IF('Data Export'!F1413="运动型多功能车","SUV","其他"))))</f>
        <v/>
      </c>
      <c r="K1413" s="62"/>
      <c r="L1413" s="62"/>
      <c r="M1413" s="62"/>
      <c r="N1413" s="62"/>
      <c r="O1413" s="62"/>
      <c r="P1413" s="62"/>
      <c r="Q1413" s="62"/>
    </row>
    <row r="1414" spans="1:17">
      <c r="A1414" s="62"/>
      <c r="B1414" s="62"/>
      <c r="C1414" s="62"/>
      <c r="D1414" s="62"/>
      <c r="E1414" s="62"/>
      <c r="F1414" s="62"/>
      <c r="G1414" s="62"/>
      <c r="H1414" s="62" t="str">
        <f>IF(AND('Data Export'!A1414=前十整体车型排名!$B$2,'Data Export'!B1414=前十整体车型排名!$B$3,'Data Export'!D1414&lt;&gt;""),UPPER('Data Export'!C1414)&amp;"♦"&amp;'Data Export'!D1414,"")</f>
        <v/>
      </c>
      <c r="I1414" s="63" t="str">
        <f>IF(H1414="","",IFERROR(INDEX('Data Export'!G1414:CZ1414,1,MATCH(前十整体车型排名!$B$4,'Data Export'!$G$1:$CZ$1,0)),0))</f>
        <v/>
      </c>
      <c r="J1414" s="62" t="str">
        <f>IF(H1414="","",IF(OR('Data Export'!F1414="三厢轿车",'Data Export'!F1414="掀背轿车",'Data Export'!F1414="旅行车",'Data Export'!F1414="微型车",'Data Export'!F1414="硬顶跑车",'Data Export'!F1414="敞蓬车",'Data Export'!F1414="Targa"),"轿车",IF(OR('Data Export'!F1414="小型MPV",'Data Export'!F1414="客车"),"MPV",IF('Data Export'!F1414="运动型多功能车","SUV","其他"))))</f>
        <v/>
      </c>
      <c r="K1414" s="62"/>
      <c r="L1414" s="62"/>
      <c r="M1414" s="62"/>
      <c r="N1414" s="62"/>
      <c r="O1414" s="62"/>
      <c r="P1414" s="62"/>
      <c r="Q1414" s="62"/>
    </row>
    <row r="1415" spans="1:17">
      <c r="A1415" s="62"/>
      <c r="B1415" s="62"/>
      <c r="C1415" s="62"/>
      <c r="D1415" s="62"/>
      <c r="E1415" s="62"/>
      <c r="F1415" s="62"/>
      <c r="G1415" s="62"/>
      <c r="H1415" s="62" t="str">
        <f>IF(AND('Data Export'!A1415=前十整体车型排名!$B$2,'Data Export'!B1415=前十整体车型排名!$B$3,'Data Export'!D1415&lt;&gt;""),UPPER('Data Export'!C1415)&amp;"♦"&amp;'Data Export'!D1415,"")</f>
        <v/>
      </c>
      <c r="I1415" s="63" t="str">
        <f>IF(H1415="","",IFERROR(INDEX('Data Export'!G1415:CZ1415,1,MATCH(前十整体车型排名!$B$4,'Data Export'!$G$1:$CZ$1,0)),0))</f>
        <v/>
      </c>
      <c r="J1415" s="62" t="str">
        <f>IF(H1415="","",IF(OR('Data Export'!F1415="三厢轿车",'Data Export'!F1415="掀背轿车",'Data Export'!F1415="旅行车",'Data Export'!F1415="微型车",'Data Export'!F1415="硬顶跑车",'Data Export'!F1415="敞蓬车",'Data Export'!F1415="Targa"),"轿车",IF(OR('Data Export'!F1415="小型MPV",'Data Export'!F1415="客车"),"MPV",IF('Data Export'!F1415="运动型多功能车","SUV","其他"))))</f>
        <v/>
      </c>
      <c r="K1415" s="62"/>
      <c r="L1415" s="62"/>
      <c r="M1415" s="62"/>
      <c r="N1415" s="62"/>
      <c r="O1415" s="62"/>
      <c r="P1415" s="62"/>
      <c r="Q1415" s="62"/>
    </row>
    <row r="1416" spans="1:17">
      <c r="A1416" s="62"/>
      <c r="B1416" s="62"/>
      <c r="C1416" s="62"/>
      <c r="D1416" s="62"/>
      <c r="E1416" s="62"/>
      <c r="F1416" s="62"/>
      <c r="G1416" s="62"/>
      <c r="H1416" s="62" t="str">
        <f>IF(AND('Data Export'!A1416=前十整体车型排名!$B$2,'Data Export'!B1416=前十整体车型排名!$B$3,'Data Export'!D1416&lt;&gt;""),UPPER('Data Export'!C1416)&amp;"♦"&amp;'Data Export'!D1416,"")</f>
        <v/>
      </c>
      <c r="I1416" s="63" t="str">
        <f>IF(H1416="","",IFERROR(INDEX('Data Export'!G1416:CZ1416,1,MATCH(前十整体车型排名!$B$4,'Data Export'!$G$1:$CZ$1,0)),0))</f>
        <v/>
      </c>
      <c r="J1416" s="62" t="str">
        <f>IF(H1416="","",IF(OR('Data Export'!F1416="三厢轿车",'Data Export'!F1416="掀背轿车",'Data Export'!F1416="旅行车",'Data Export'!F1416="微型车",'Data Export'!F1416="硬顶跑车",'Data Export'!F1416="敞蓬车",'Data Export'!F1416="Targa"),"轿车",IF(OR('Data Export'!F1416="小型MPV",'Data Export'!F1416="客车"),"MPV",IF('Data Export'!F1416="运动型多功能车","SUV","其他"))))</f>
        <v/>
      </c>
      <c r="K1416" s="62"/>
      <c r="L1416" s="62"/>
      <c r="M1416" s="62"/>
      <c r="N1416" s="62"/>
      <c r="O1416" s="62"/>
      <c r="P1416" s="62"/>
      <c r="Q1416" s="62"/>
    </row>
    <row r="1417" spans="1:17">
      <c r="A1417" s="62"/>
      <c r="B1417" s="62"/>
      <c r="C1417" s="62"/>
      <c r="D1417" s="62"/>
      <c r="E1417" s="62"/>
      <c r="F1417" s="62"/>
      <c r="G1417" s="62"/>
      <c r="H1417" s="62" t="str">
        <f>IF(AND('Data Export'!A1417=前十整体车型排名!$B$2,'Data Export'!B1417=前十整体车型排名!$B$3,'Data Export'!D1417&lt;&gt;""),UPPER('Data Export'!C1417)&amp;"♦"&amp;'Data Export'!D1417,"")</f>
        <v/>
      </c>
      <c r="I1417" s="63" t="str">
        <f>IF(H1417="","",IFERROR(INDEX('Data Export'!G1417:CZ1417,1,MATCH(前十整体车型排名!$B$4,'Data Export'!$G$1:$CZ$1,0)),0))</f>
        <v/>
      </c>
      <c r="J1417" s="62" t="str">
        <f>IF(H1417="","",IF(OR('Data Export'!F1417="三厢轿车",'Data Export'!F1417="掀背轿车",'Data Export'!F1417="旅行车",'Data Export'!F1417="微型车",'Data Export'!F1417="硬顶跑车",'Data Export'!F1417="敞蓬车",'Data Export'!F1417="Targa"),"轿车",IF(OR('Data Export'!F1417="小型MPV",'Data Export'!F1417="客车"),"MPV",IF('Data Export'!F1417="运动型多功能车","SUV","其他"))))</f>
        <v/>
      </c>
      <c r="K1417" s="62"/>
      <c r="L1417" s="62"/>
      <c r="M1417" s="62"/>
      <c r="N1417" s="62"/>
      <c r="O1417" s="62"/>
      <c r="P1417" s="62"/>
      <c r="Q1417" s="62"/>
    </row>
    <row r="1418" spans="1:17">
      <c r="A1418" s="62"/>
      <c r="B1418" s="62"/>
      <c r="C1418" s="62"/>
      <c r="D1418" s="62"/>
      <c r="E1418" s="62"/>
      <c r="F1418" s="62"/>
      <c r="G1418" s="62"/>
      <c r="H1418" s="62" t="str">
        <f>IF(AND('Data Export'!A1418=前十整体车型排名!$B$2,'Data Export'!B1418=前十整体车型排名!$B$3,'Data Export'!D1418&lt;&gt;""),UPPER('Data Export'!C1418)&amp;"♦"&amp;'Data Export'!D1418,"")</f>
        <v/>
      </c>
      <c r="I1418" s="63" t="str">
        <f>IF(H1418="","",IFERROR(INDEX('Data Export'!G1418:CZ1418,1,MATCH(前十整体车型排名!$B$4,'Data Export'!$G$1:$CZ$1,0)),0))</f>
        <v/>
      </c>
      <c r="J1418" s="62" t="str">
        <f>IF(H1418="","",IF(OR('Data Export'!F1418="三厢轿车",'Data Export'!F1418="掀背轿车",'Data Export'!F1418="旅行车",'Data Export'!F1418="微型车",'Data Export'!F1418="硬顶跑车",'Data Export'!F1418="敞蓬车",'Data Export'!F1418="Targa"),"轿车",IF(OR('Data Export'!F1418="小型MPV",'Data Export'!F1418="客车"),"MPV",IF('Data Export'!F1418="运动型多功能车","SUV","其他"))))</f>
        <v/>
      </c>
      <c r="K1418" s="62"/>
      <c r="L1418" s="62"/>
      <c r="M1418" s="62"/>
      <c r="N1418" s="62"/>
      <c r="O1418" s="62"/>
      <c r="P1418" s="62"/>
      <c r="Q1418" s="62"/>
    </row>
    <row r="1419" spans="1:17">
      <c r="A1419" s="62"/>
      <c r="B1419" s="62"/>
      <c r="C1419" s="62"/>
      <c r="D1419" s="62"/>
      <c r="E1419" s="62"/>
      <c r="F1419" s="62"/>
      <c r="G1419" s="62"/>
      <c r="H1419" s="62" t="str">
        <f>IF(AND('Data Export'!A1419=前十整体车型排名!$B$2,'Data Export'!B1419=前十整体车型排名!$B$3,'Data Export'!D1419&lt;&gt;""),UPPER('Data Export'!C1419)&amp;"♦"&amp;'Data Export'!D1419,"")</f>
        <v/>
      </c>
      <c r="I1419" s="63" t="str">
        <f>IF(H1419="","",IFERROR(INDEX('Data Export'!G1419:CZ1419,1,MATCH(前十整体车型排名!$B$4,'Data Export'!$G$1:$CZ$1,0)),0))</f>
        <v/>
      </c>
      <c r="J1419" s="62" t="str">
        <f>IF(H1419="","",IF(OR('Data Export'!F1419="三厢轿车",'Data Export'!F1419="掀背轿车",'Data Export'!F1419="旅行车",'Data Export'!F1419="微型车",'Data Export'!F1419="硬顶跑车",'Data Export'!F1419="敞蓬车",'Data Export'!F1419="Targa"),"轿车",IF(OR('Data Export'!F1419="小型MPV",'Data Export'!F1419="客车"),"MPV",IF('Data Export'!F1419="运动型多功能车","SUV","其他"))))</f>
        <v/>
      </c>
      <c r="K1419" s="62"/>
      <c r="L1419" s="62"/>
      <c r="M1419" s="62"/>
      <c r="N1419" s="62"/>
      <c r="O1419" s="62"/>
      <c r="P1419" s="62"/>
      <c r="Q1419" s="62"/>
    </row>
    <row r="1420" spans="1:17">
      <c r="A1420" s="62"/>
      <c r="B1420" s="62"/>
      <c r="C1420" s="62"/>
      <c r="D1420" s="62"/>
      <c r="E1420" s="62"/>
      <c r="F1420" s="62"/>
      <c r="G1420" s="62"/>
      <c r="H1420" s="62" t="str">
        <f>IF(AND('Data Export'!A1420=前十整体车型排名!$B$2,'Data Export'!B1420=前十整体车型排名!$B$3,'Data Export'!D1420&lt;&gt;""),UPPER('Data Export'!C1420)&amp;"♦"&amp;'Data Export'!D1420,"")</f>
        <v/>
      </c>
      <c r="I1420" s="63" t="str">
        <f>IF(H1420="","",IFERROR(INDEX('Data Export'!G1420:CZ1420,1,MATCH(前十整体车型排名!$B$4,'Data Export'!$G$1:$CZ$1,0)),0))</f>
        <v/>
      </c>
      <c r="J1420" s="62" t="str">
        <f>IF(H1420="","",IF(OR('Data Export'!F1420="三厢轿车",'Data Export'!F1420="掀背轿车",'Data Export'!F1420="旅行车",'Data Export'!F1420="微型车",'Data Export'!F1420="硬顶跑车",'Data Export'!F1420="敞蓬车",'Data Export'!F1420="Targa"),"轿车",IF(OR('Data Export'!F1420="小型MPV",'Data Export'!F1420="客车"),"MPV",IF('Data Export'!F1420="运动型多功能车","SUV","其他"))))</f>
        <v/>
      </c>
      <c r="K1420" s="62"/>
      <c r="L1420" s="62"/>
      <c r="M1420" s="62"/>
      <c r="N1420" s="62"/>
      <c r="O1420" s="62"/>
      <c r="P1420" s="62"/>
      <c r="Q1420" s="62"/>
    </row>
    <row r="1421" spans="1:17">
      <c r="A1421" s="62"/>
      <c r="B1421" s="62"/>
      <c r="C1421" s="62"/>
      <c r="D1421" s="62"/>
      <c r="E1421" s="62"/>
      <c r="F1421" s="62"/>
      <c r="G1421" s="62"/>
      <c r="H1421" s="62" t="str">
        <f>IF(AND('Data Export'!A1421=前十整体车型排名!$B$2,'Data Export'!B1421=前十整体车型排名!$B$3,'Data Export'!D1421&lt;&gt;""),UPPER('Data Export'!C1421)&amp;"♦"&amp;'Data Export'!D1421,"")</f>
        <v/>
      </c>
      <c r="I1421" s="63" t="str">
        <f>IF(H1421="","",IFERROR(INDEX('Data Export'!G1421:CZ1421,1,MATCH(前十整体车型排名!$B$4,'Data Export'!$G$1:$CZ$1,0)),0))</f>
        <v/>
      </c>
      <c r="J1421" s="62" t="str">
        <f>IF(H1421="","",IF(OR('Data Export'!F1421="三厢轿车",'Data Export'!F1421="掀背轿车",'Data Export'!F1421="旅行车",'Data Export'!F1421="微型车",'Data Export'!F1421="硬顶跑车",'Data Export'!F1421="敞蓬车",'Data Export'!F1421="Targa"),"轿车",IF(OR('Data Export'!F1421="小型MPV",'Data Export'!F1421="客车"),"MPV",IF('Data Export'!F1421="运动型多功能车","SUV","其他"))))</f>
        <v/>
      </c>
      <c r="K1421" s="62"/>
      <c r="L1421" s="62"/>
      <c r="M1421" s="62"/>
      <c r="N1421" s="62"/>
      <c r="O1421" s="62"/>
      <c r="P1421" s="62"/>
      <c r="Q1421" s="62"/>
    </row>
    <row r="1422" spans="1:17">
      <c r="A1422" s="62"/>
      <c r="B1422" s="62"/>
      <c r="C1422" s="62"/>
      <c r="D1422" s="62"/>
      <c r="E1422" s="62"/>
      <c r="F1422" s="62"/>
      <c r="G1422" s="62"/>
      <c r="H1422" s="62" t="str">
        <f>IF(AND('Data Export'!A1422=前十整体车型排名!$B$2,'Data Export'!B1422=前十整体车型排名!$B$3,'Data Export'!D1422&lt;&gt;""),UPPER('Data Export'!C1422)&amp;"♦"&amp;'Data Export'!D1422,"")</f>
        <v/>
      </c>
      <c r="I1422" s="63" t="str">
        <f>IF(H1422="","",IFERROR(INDEX('Data Export'!G1422:CZ1422,1,MATCH(前十整体车型排名!$B$4,'Data Export'!$G$1:$CZ$1,0)),0))</f>
        <v/>
      </c>
      <c r="J1422" s="62" t="str">
        <f>IF(H1422="","",IF(OR('Data Export'!F1422="三厢轿车",'Data Export'!F1422="掀背轿车",'Data Export'!F1422="旅行车",'Data Export'!F1422="微型车",'Data Export'!F1422="硬顶跑车",'Data Export'!F1422="敞蓬车",'Data Export'!F1422="Targa"),"轿车",IF(OR('Data Export'!F1422="小型MPV",'Data Export'!F1422="客车"),"MPV",IF('Data Export'!F1422="运动型多功能车","SUV","其他"))))</f>
        <v/>
      </c>
      <c r="K1422" s="62"/>
      <c r="L1422" s="62"/>
      <c r="M1422" s="62"/>
      <c r="N1422" s="62"/>
      <c r="O1422" s="62"/>
      <c r="P1422" s="62"/>
      <c r="Q1422" s="62"/>
    </row>
    <row r="1423" spans="1:17">
      <c r="A1423" s="62"/>
      <c r="B1423" s="62"/>
      <c r="C1423" s="62"/>
      <c r="D1423" s="62"/>
      <c r="E1423" s="62"/>
      <c r="F1423" s="62"/>
      <c r="G1423" s="62"/>
      <c r="H1423" s="62" t="str">
        <f>IF(AND('Data Export'!A1423=前十整体车型排名!$B$2,'Data Export'!B1423=前十整体车型排名!$B$3,'Data Export'!D1423&lt;&gt;""),UPPER('Data Export'!C1423)&amp;"♦"&amp;'Data Export'!D1423,"")</f>
        <v/>
      </c>
      <c r="I1423" s="63" t="str">
        <f>IF(H1423="","",IFERROR(INDEX('Data Export'!G1423:CZ1423,1,MATCH(前十整体车型排名!$B$4,'Data Export'!$G$1:$CZ$1,0)),0))</f>
        <v/>
      </c>
      <c r="J1423" s="62" t="str">
        <f>IF(H1423="","",IF(OR('Data Export'!F1423="三厢轿车",'Data Export'!F1423="掀背轿车",'Data Export'!F1423="旅行车",'Data Export'!F1423="微型车",'Data Export'!F1423="硬顶跑车",'Data Export'!F1423="敞蓬车",'Data Export'!F1423="Targa"),"轿车",IF(OR('Data Export'!F1423="小型MPV",'Data Export'!F1423="客车"),"MPV",IF('Data Export'!F1423="运动型多功能车","SUV","其他"))))</f>
        <v/>
      </c>
      <c r="K1423" s="62"/>
      <c r="L1423" s="62"/>
      <c r="M1423" s="62"/>
      <c r="N1423" s="62"/>
      <c r="O1423" s="62"/>
      <c r="P1423" s="62"/>
      <c r="Q1423" s="62"/>
    </row>
    <row r="1424" spans="1:17">
      <c r="A1424" s="62"/>
      <c r="B1424" s="62"/>
      <c r="C1424" s="62"/>
      <c r="D1424" s="62"/>
      <c r="E1424" s="62"/>
      <c r="F1424" s="62"/>
      <c r="G1424" s="62"/>
      <c r="H1424" s="62" t="str">
        <f>IF(AND('Data Export'!A1424=前十整体车型排名!$B$2,'Data Export'!B1424=前十整体车型排名!$B$3,'Data Export'!D1424&lt;&gt;""),UPPER('Data Export'!C1424)&amp;"♦"&amp;'Data Export'!D1424,"")</f>
        <v/>
      </c>
      <c r="I1424" s="63" t="str">
        <f>IF(H1424="","",IFERROR(INDEX('Data Export'!G1424:CZ1424,1,MATCH(前十整体车型排名!$B$4,'Data Export'!$G$1:$CZ$1,0)),0))</f>
        <v/>
      </c>
      <c r="J1424" s="62" t="str">
        <f>IF(H1424="","",IF(OR('Data Export'!F1424="三厢轿车",'Data Export'!F1424="掀背轿车",'Data Export'!F1424="旅行车",'Data Export'!F1424="微型车",'Data Export'!F1424="硬顶跑车",'Data Export'!F1424="敞蓬车",'Data Export'!F1424="Targa"),"轿车",IF(OR('Data Export'!F1424="小型MPV",'Data Export'!F1424="客车"),"MPV",IF('Data Export'!F1424="运动型多功能车","SUV","其他"))))</f>
        <v/>
      </c>
      <c r="K1424" s="62"/>
      <c r="L1424" s="62"/>
      <c r="M1424" s="62"/>
      <c r="N1424" s="62"/>
      <c r="O1424" s="62"/>
      <c r="P1424" s="62"/>
      <c r="Q1424" s="62"/>
    </row>
    <row r="1425" spans="1:17">
      <c r="A1425" s="62"/>
      <c r="B1425" s="62"/>
      <c r="C1425" s="62"/>
      <c r="D1425" s="62"/>
      <c r="E1425" s="62"/>
      <c r="F1425" s="62"/>
      <c r="G1425" s="62"/>
      <c r="H1425" s="62" t="str">
        <f>IF(AND('Data Export'!A1425=前十整体车型排名!$B$2,'Data Export'!B1425=前十整体车型排名!$B$3,'Data Export'!D1425&lt;&gt;""),UPPER('Data Export'!C1425)&amp;"♦"&amp;'Data Export'!D1425,"")</f>
        <v/>
      </c>
      <c r="I1425" s="63" t="str">
        <f>IF(H1425="","",IFERROR(INDEX('Data Export'!G1425:CZ1425,1,MATCH(前十整体车型排名!$B$4,'Data Export'!$G$1:$CZ$1,0)),0))</f>
        <v/>
      </c>
      <c r="J1425" s="62" t="str">
        <f>IF(H1425="","",IF(OR('Data Export'!F1425="三厢轿车",'Data Export'!F1425="掀背轿车",'Data Export'!F1425="旅行车",'Data Export'!F1425="微型车",'Data Export'!F1425="硬顶跑车",'Data Export'!F1425="敞蓬车",'Data Export'!F1425="Targa"),"轿车",IF(OR('Data Export'!F1425="小型MPV",'Data Export'!F1425="客车"),"MPV",IF('Data Export'!F1425="运动型多功能车","SUV","其他"))))</f>
        <v/>
      </c>
      <c r="K1425" s="62"/>
      <c r="L1425" s="62"/>
      <c r="M1425" s="62"/>
      <c r="N1425" s="62"/>
      <c r="O1425" s="62"/>
      <c r="P1425" s="62"/>
      <c r="Q1425" s="62"/>
    </row>
    <row r="1426" spans="1:17">
      <c r="A1426" s="62"/>
      <c r="B1426" s="62"/>
      <c r="C1426" s="62"/>
      <c r="D1426" s="62"/>
      <c r="E1426" s="62"/>
      <c r="F1426" s="62"/>
      <c r="G1426" s="62"/>
      <c r="H1426" s="62" t="str">
        <f>IF(AND('Data Export'!A1426=前十整体车型排名!$B$2,'Data Export'!B1426=前十整体车型排名!$B$3,'Data Export'!D1426&lt;&gt;""),UPPER('Data Export'!C1426)&amp;"♦"&amp;'Data Export'!D1426,"")</f>
        <v/>
      </c>
      <c r="I1426" s="63" t="str">
        <f>IF(H1426="","",IFERROR(INDEX('Data Export'!G1426:CZ1426,1,MATCH(前十整体车型排名!$B$4,'Data Export'!$G$1:$CZ$1,0)),0))</f>
        <v/>
      </c>
      <c r="J1426" s="62" t="str">
        <f>IF(H1426="","",IF(OR('Data Export'!F1426="三厢轿车",'Data Export'!F1426="掀背轿车",'Data Export'!F1426="旅行车",'Data Export'!F1426="微型车",'Data Export'!F1426="硬顶跑车",'Data Export'!F1426="敞蓬车",'Data Export'!F1426="Targa"),"轿车",IF(OR('Data Export'!F1426="小型MPV",'Data Export'!F1426="客车"),"MPV",IF('Data Export'!F1426="运动型多功能车","SUV","其他"))))</f>
        <v/>
      </c>
      <c r="K1426" s="62"/>
      <c r="L1426" s="62"/>
      <c r="M1426" s="62"/>
      <c r="N1426" s="62"/>
      <c r="O1426" s="62"/>
      <c r="P1426" s="62"/>
      <c r="Q1426" s="62"/>
    </row>
    <row r="1427" spans="1:17">
      <c r="A1427" s="62"/>
      <c r="B1427" s="62"/>
      <c r="C1427" s="62"/>
      <c r="D1427" s="62"/>
      <c r="E1427" s="62"/>
      <c r="F1427" s="62"/>
      <c r="G1427" s="62"/>
      <c r="H1427" s="62" t="str">
        <f>IF(AND('Data Export'!A1427=前十整体车型排名!$B$2,'Data Export'!B1427=前十整体车型排名!$B$3,'Data Export'!D1427&lt;&gt;""),UPPER('Data Export'!C1427)&amp;"♦"&amp;'Data Export'!D1427,"")</f>
        <v/>
      </c>
      <c r="I1427" s="63" t="str">
        <f>IF(H1427="","",IFERROR(INDEX('Data Export'!G1427:CZ1427,1,MATCH(前十整体车型排名!$B$4,'Data Export'!$G$1:$CZ$1,0)),0))</f>
        <v/>
      </c>
      <c r="J1427" s="62" t="str">
        <f>IF(H1427="","",IF(OR('Data Export'!F1427="三厢轿车",'Data Export'!F1427="掀背轿车",'Data Export'!F1427="旅行车",'Data Export'!F1427="微型车",'Data Export'!F1427="硬顶跑车",'Data Export'!F1427="敞蓬车",'Data Export'!F1427="Targa"),"轿车",IF(OR('Data Export'!F1427="小型MPV",'Data Export'!F1427="客车"),"MPV",IF('Data Export'!F1427="运动型多功能车","SUV","其他"))))</f>
        <v/>
      </c>
      <c r="K1427" s="62"/>
      <c r="L1427" s="62"/>
      <c r="M1427" s="62"/>
      <c r="N1427" s="62"/>
      <c r="O1427" s="62"/>
      <c r="P1427" s="62"/>
      <c r="Q1427" s="62"/>
    </row>
    <row r="1428" spans="1:17">
      <c r="A1428" s="62"/>
      <c r="B1428" s="62"/>
      <c r="C1428" s="62"/>
      <c r="D1428" s="62"/>
      <c r="E1428" s="62"/>
      <c r="F1428" s="62"/>
      <c r="G1428" s="62"/>
      <c r="H1428" s="62" t="str">
        <f>IF(AND('Data Export'!A1428=前十整体车型排名!$B$2,'Data Export'!B1428=前十整体车型排名!$B$3,'Data Export'!D1428&lt;&gt;""),UPPER('Data Export'!C1428)&amp;"♦"&amp;'Data Export'!D1428,"")</f>
        <v/>
      </c>
      <c r="I1428" s="63" t="str">
        <f>IF(H1428="","",IFERROR(INDEX('Data Export'!G1428:CZ1428,1,MATCH(前十整体车型排名!$B$4,'Data Export'!$G$1:$CZ$1,0)),0))</f>
        <v/>
      </c>
      <c r="J1428" s="62" t="str">
        <f>IF(H1428="","",IF(OR('Data Export'!F1428="三厢轿车",'Data Export'!F1428="掀背轿车",'Data Export'!F1428="旅行车",'Data Export'!F1428="微型车",'Data Export'!F1428="硬顶跑车",'Data Export'!F1428="敞蓬车",'Data Export'!F1428="Targa"),"轿车",IF(OR('Data Export'!F1428="小型MPV",'Data Export'!F1428="客车"),"MPV",IF('Data Export'!F1428="运动型多功能车","SUV","其他"))))</f>
        <v/>
      </c>
      <c r="K1428" s="62"/>
      <c r="L1428" s="62"/>
      <c r="M1428" s="62"/>
      <c r="N1428" s="62"/>
      <c r="O1428" s="62"/>
      <c r="P1428" s="62"/>
      <c r="Q1428" s="62"/>
    </row>
    <row r="1429" spans="1:17">
      <c r="A1429" s="62"/>
      <c r="B1429" s="62"/>
      <c r="C1429" s="62"/>
      <c r="D1429" s="62"/>
      <c r="E1429" s="62"/>
      <c r="F1429" s="62"/>
      <c r="G1429" s="62"/>
      <c r="H1429" s="62" t="str">
        <f>IF(AND('Data Export'!A1429=前十整体车型排名!$B$2,'Data Export'!B1429=前十整体车型排名!$B$3,'Data Export'!D1429&lt;&gt;""),UPPER('Data Export'!C1429)&amp;"♦"&amp;'Data Export'!D1429,"")</f>
        <v/>
      </c>
      <c r="I1429" s="63" t="str">
        <f>IF(H1429="","",IFERROR(INDEX('Data Export'!G1429:CZ1429,1,MATCH(前十整体车型排名!$B$4,'Data Export'!$G$1:$CZ$1,0)),0))</f>
        <v/>
      </c>
      <c r="J1429" s="62" t="str">
        <f>IF(H1429="","",IF(OR('Data Export'!F1429="三厢轿车",'Data Export'!F1429="掀背轿车",'Data Export'!F1429="旅行车",'Data Export'!F1429="微型车",'Data Export'!F1429="硬顶跑车",'Data Export'!F1429="敞蓬车",'Data Export'!F1429="Targa"),"轿车",IF(OR('Data Export'!F1429="小型MPV",'Data Export'!F1429="客车"),"MPV",IF('Data Export'!F1429="运动型多功能车","SUV","其他"))))</f>
        <v/>
      </c>
      <c r="K1429" s="62"/>
      <c r="L1429" s="62"/>
      <c r="M1429" s="62"/>
      <c r="N1429" s="62"/>
      <c r="O1429" s="62"/>
      <c r="P1429" s="62"/>
      <c r="Q1429" s="62"/>
    </row>
    <row r="1430" spans="1:17">
      <c r="A1430" s="62"/>
      <c r="B1430" s="62"/>
      <c r="C1430" s="62"/>
      <c r="D1430" s="62"/>
      <c r="E1430" s="62"/>
      <c r="F1430" s="62"/>
      <c r="G1430" s="62"/>
      <c r="H1430" s="62" t="str">
        <f>IF(AND('Data Export'!A1430=前十整体车型排名!$B$2,'Data Export'!B1430=前十整体车型排名!$B$3,'Data Export'!D1430&lt;&gt;""),UPPER('Data Export'!C1430)&amp;"♦"&amp;'Data Export'!D1430,"")</f>
        <v/>
      </c>
      <c r="I1430" s="63" t="str">
        <f>IF(H1430="","",IFERROR(INDEX('Data Export'!G1430:CZ1430,1,MATCH(前十整体车型排名!$B$4,'Data Export'!$G$1:$CZ$1,0)),0))</f>
        <v/>
      </c>
      <c r="J1430" s="62" t="str">
        <f>IF(H1430="","",IF(OR('Data Export'!F1430="三厢轿车",'Data Export'!F1430="掀背轿车",'Data Export'!F1430="旅行车",'Data Export'!F1430="微型车",'Data Export'!F1430="硬顶跑车",'Data Export'!F1430="敞蓬车",'Data Export'!F1430="Targa"),"轿车",IF(OR('Data Export'!F1430="小型MPV",'Data Export'!F1430="客车"),"MPV",IF('Data Export'!F1430="运动型多功能车","SUV","其他"))))</f>
        <v/>
      </c>
      <c r="K1430" s="62"/>
      <c r="L1430" s="62"/>
      <c r="M1430" s="62"/>
      <c r="N1430" s="62"/>
      <c r="O1430" s="62"/>
      <c r="P1430" s="62"/>
      <c r="Q1430" s="62"/>
    </row>
    <row r="1431" spans="1:17">
      <c r="A1431" s="62"/>
      <c r="B1431" s="62"/>
      <c r="C1431" s="62"/>
      <c r="D1431" s="62"/>
      <c r="E1431" s="62"/>
      <c r="F1431" s="62"/>
      <c r="G1431" s="62"/>
      <c r="H1431" s="62" t="str">
        <f>IF(AND('Data Export'!A1431=前十整体车型排名!$B$2,'Data Export'!B1431=前十整体车型排名!$B$3,'Data Export'!D1431&lt;&gt;""),UPPER('Data Export'!C1431)&amp;"♦"&amp;'Data Export'!D1431,"")</f>
        <v/>
      </c>
      <c r="I1431" s="63" t="str">
        <f>IF(H1431="","",IFERROR(INDEX('Data Export'!G1431:CZ1431,1,MATCH(前十整体车型排名!$B$4,'Data Export'!$G$1:$CZ$1,0)),0))</f>
        <v/>
      </c>
      <c r="J1431" s="62" t="str">
        <f>IF(H1431="","",IF(OR('Data Export'!F1431="三厢轿车",'Data Export'!F1431="掀背轿车",'Data Export'!F1431="旅行车",'Data Export'!F1431="微型车",'Data Export'!F1431="硬顶跑车",'Data Export'!F1431="敞蓬车",'Data Export'!F1431="Targa"),"轿车",IF(OR('Data Export'!F1431="小型MPV",'Data Export'!F1431="客车"),"MPV",IF('Data Export'!F1431="运动型多功能车","SUV","其他"))))</f>
        <v/>
      </c>
      <c r="K1431" s="62"/>
      <c r="L1431" s="62"/>
      <c r="M1431" s="62"/>
      <c r="N1431" s="62"/>
      <c r="O1431" s="62"/>
      <c r="P1431" s="62"/>
      <c r="Q1431" s="62"/>
    </row>
    <row r="1432" spans="1:17">
      <c r="A1432" s="62"/>
      <c r="B1432" s="62"/>
      <c r="C1432" s="62"/>
      <c r="D1432" s="62"/>
      <c r="E1432" s="62"/>
      <c r="F1432" s="62"/>
      <c r="G1432" s="62"/>
      <c r="H1432" s="62" t="str">
        <f>IF(AND('Data Export'!A1432=前十整体车型排名!$B$2,'Data Export'!B1432=前十整体车型排名!$B$3,'Data Export'!D1432&lt;&gt;""),UPPER('Data Export'!C1432)&amp;"♦"&amp;'Data Export'!D1432,"")</f>
        <v/>
      </c>
      <c r="I1432" s="63" t="str">
        <f>IF(H1432="","",IFERROR(INDEX('Data Export'!G1432:CZ1432,1,MATCH(前十整体车型排名!$B$4,'Data Export'!$G$1:$CZ$1,0)),0))</f>
        <v/>
      </c>
      <c r="J1432" s="62" t="str">
        <f>IF(H1432="","",IF(OR('Data Export'!F1432="三厢轿车",'Data Export'!F1432="掀背轿车",'Data Export'!F1432="旅行车",'Data Export'!F1432="微型车",'Data Export'!F1432="硬顶跑车",'Data Export'!F1432="敞蓬车",'Data Export'!F1432="Targa"),"轿车",IF(OR('Data Export'!F1432="小型MPV",'Data Export'!F1432="客车"),"MPV",IF('Data Export'!F1432="运动型多功能车","SUV","其他"))))</f>
        <v/>
      </c>
      <c r="K1432" s="62"/>
      <c r="L1432" s="62"/>
      <c r="M1432" s="62"/>
      <c r="N1432" s="62"/>
      <c r="O1432" s="62"/>
      <c r="P1432" s="62"/>
      <c r="Q1432" s="62"/>
    </row>
    <row r="1433" spans="1:17">
      <c r="A1433" s="62"/>
      <c r="B1433" s="62"/>
      <c r="C1433" s="62"/>
      <c r="D1433" s="62"/>
      <c r="E1433" s="62"/>
      <c r="F1433" s="62"/>
      <c r="G1433" s="62"/>
      <c r="H1433" s="62" t="str">
        <f>IF(AND('Data Export'!A1433=前十整体车型排名!$B$2,'Data Export'!B1433=前十整体车型排名!$B$3,'Data Export'!D1433&lt;&gt;""),UPPER('Data Export'!C1433)&amp;"♦"&amp;'Data Export'!D1433,"")</f>
        <v/>
      </c>
      <c r="I1433" s="63" t="str">
        <f>IF(H1433="","",IFERROR(INDEX('Data Export'!G1433:CZ1433,1,MATCH(前十整体车型排名!$B$4,'Data Export'!$G$1:$CZ$1,0)),0))</f>
        <v/>
      </c>
      <c r="J1433" s="62" t="str">
        <f>IF(H1433="","",IF(OR('Data Export'!F1433="三厢轿车",'Data Export'!F1433="掀背轿车",'Data Export'!F1433="旅行车",'Data Export'!F1433="微型车",'Data Export'!F1433="硬顶跑车",'Data Export'!F1433="敞蓬车",'Data Export'!F1433="Targa"),"轿车",IF(OR('Data Export'!F1433="小型MPV",'Data Export'!F1433="客车"),"MPV",IF('Data Export'!F1433="运动型多功能车","SUV","其他"))))</f>
        <v/>
      </c>
      <c r="K1433" s="62"/>
      <c r="L1433" s="62"/>
      <c r="M1433" s="62"/>
      <c r="N1433" s="62"/>
      <c r="O1433" s="62"/>
      <c r="P1433" s="62"/>
      <c r="Q1433" s="62"/>
    </row>
    <row r="1434" spans="1:17">
      <c r="A1434" s="62"/>
      <c r="B1434" s="62"/>
      <c r="C1434" s="62"/>
      <c r="D1434" s="62"/>
      <c r="E1434" s="62"/>
      <c r="F1434" s="62"/>
      <c r="G1434" s="62"/>
      <c r="H1434" s="62" t="str">
        <f>IF(AND('Data Export'!A1434=前十整体车型排名!$B$2,'Data Export'!B1434=前十整体车型排名!$B$3,'Data Export'!D1434&lt;&gt;""),UPPER('Data Export'!C1434)&amp;"♦"&amp;'Data Export'!D1434,"")</f>
        <v/>
      </c>
      <c r="I1434" s="63" t="str">
        <f>IF(H1434="","",IFERROR(INDEX('Data Export'!G1434:CZ1434,1,MATCH(前十整体车型排名!$B$4,'Data Export'!$G$1:$CZ$1,0)),0))</f>
        <v/>
      </c>
      <c r="J1434" s="62" t="str">
        <f>IF(H1434="","",IF(OR('Data Export'!F1434="三厢轿车",'Data Export'!F1434="掀背轿车",'Data Export'!F1434="旅行车",'Data Export'!F1434="微型车",'Data Export'!F1434="硬顶跑车",'Data Export'!F1434="敞蓬车",'Data Export'!F1434="Targa"),"轿车",IF(OR('Data Export'!F1434="小型MPV",'Data Export'!F1434="客车"),"MPV",IF('Data Export'!F1434="运动型多功能车","SUV","其他"))))</f>
        <v/>
      </c>
      <c r="K1434" s="62"/>
      <c r="L1434" s="62"/>
      <c r="M1434" s="62"/>
      <c r="N1434" s="62"/>
      <c r="O1434" s="62"/>
      <c r="P1434" s="62"/>
      <c r="Q1434" s="62"/>
    </row>
    <row r="1435" spans="1:17">
      <c r="A1435" s="62"/>
      <c r="B1435" s="62"/>
      <c r="C1435" s="62"/>
      <c r="D1435" s="62"/>
      <c r="E1435" s="62"/>
      <c r="F1435" s="62"/>
      <c r="G1435" s="62"/>
      <c r="H1435" s="62" t="str">
        <f>IF(AND('Data Export'!A1435=前十整体车型排名!$B$2,'Data Export'!B1435=前十整体车型排名!$B$3,'Data Export'!D1435&lt;&gt;""),UPPER('Data Export'!C1435)&amp;"♦"&amp;'Data Export'!D1435,"")</f>
        <v/>
      </c>
      <c r="I1435" s="63" t="str">
        <f>IF(H1435="","",IFERROR(INDEX('Data Export'!G1435:CZ1435,1,MATCH(前十整体车型排名!$B$4,'Data Export'!$G$1:$CZ$1,0)),0))</f>
        <v/>
      </c>
      <c r="J1435" s="62" t="str">
        <f>IF(H1435="","",IF(OR('Data Export'!F1435="三厢轿车",'Data Export'!F1435="掀背轿车",'Data Export'!F1435="旅行车",'Data Export'!F1435="微型车",'Data Export'!F1435="硬顶跑车",'Data Export'!F1435="敞蓬车",'Data Export'!F1435="Targa"),"轿车",IF(OR('Data Export'!F1435="小型MPV",'Data Export'!F1435="客车"),"MPV",IF('Data Export'!F1435="运动型多功能车","SUV","其他"))))</f>
        <v/>
      </c>
      <c r="K1435" s="62"/>
      <c r="L1435" s="62"/>
      <c r="M1435" s="62"/>
      <c r="N1435" s="62"/>
      <c r="O1435" s="62"/>
      <c r="P1435" s="62"/>
      <c r="Q1435" s="62"/>
    </row>
    <row r="1436" spans="1:17">
      <c r="A1436" s="62"/>
      <c r="B1436" s="62"/>
      <c r="C1436" s="62"/>
      <c r="D1436" s="62"/>
      <c r="E1436" s="62"/>
      <c r="F1436" s="62"/>
      <c r="G1436" s="62"/>
      <c r="H1436" s="62" t="str">
        <f>IF(AND('Data Export'!A1436=前十整体车型排名!$B$2,'Data Export'!B1436=前十整体车型排名!$B$3,'Data Export'!D1436&lt;&gt;""),UPPER('Data Export'!C1436)&amp;"♦"&amp;'Data Export'!D1436,"")</f>
        <v/>
      </c>
      <c r="I1436" s="63" t="str">
        <f>IF(H1436="","",IFERROR(INDEX('Data Export'!G1436:CZ1436,1,MATCH(前十整体车型排名!$B$4,'Data Export'!$G$1:$CZ$1,0)),0))</f>
        <v/>
      </c>
      <c r="J1436" s="62" t="str">
        <f>IF(H1436="","",IF(OR('Data Export'!F1436="三厢轿车",'Data Export'!F1436="掀背轿车",'Data Export'!F1436="旅行车",'Data Export'!F1436="微型车",'Data Export'!F1436="硬顶跑车",'Data Export'!F1436="敞蓬车",'Data Export'!F1436="Targa"),"轿车",IF(OR('Data Export'!F1436="小型MPV",'Data Export'!F1436="客车"),"MPV",IF('Data Export'!F1436="运动型多功能车","SUV","其他"))))</f>
        <v/>
      </c>
      <c r="K1436" s="62"/>
      <c r="L1436" s="62"/>
      <c r="M1436" s="62"/>
      <c r="N1436" s="62"/>
      <c r="O1436" s="62"/>
      <c r="P1436" s="62"/>
      <c r="Q1436" s="62"/>
    </row>
    <row r="1437" spans="1:17">
      <c r="A1437" s="62"/>
      <c r="B1437" s="62"/>
      <c r="C1437" s="62"/>
      <c r="D1437" s="62"/>
      <c r="E1437" s="62"/>
      <c r="F1437" s="62"/>
      <c r="G1437" s="62"/>
      <c r="H1437" s="62" t="str">
        <f>IF(AND('Data Export'!A1437=前十整体车型排名!$B$2,'Data Export'!B1437=前十整体车型排名!$B$3,'Data Export'!D1437&lt;&gt;""),UPPER('Data Export'!C1437)&amp;"♦"&amp;'Data Export'!D1437,"")</f>
        <v/>
      </c>
      <c r="I1437" s="63" t="str">
        <f>IF(H1437="","",IFERROR(INDEX('Data Export'!G1437:CZ1437,1,MATCH(前十整体车型排名!$B$4,'Data Export'!$G$1:$CZ$1,0)),0))</f>
        <v/>
      </c>
      <c r="J1437" s="62" t="str">
        <f>IF(H1437="","",IF(OR('Data Export'!F1437="三厢轿车",'Data Export'!F1437="掀背轿车",'Data Export'!F1437="旅行车",'Data Export'!F1437="微型车",'Data Export'!F1437="硬顶跑车",'Data Export'!F1437="敞蓬车",'Data Export'!F1437="Targa"),"轿车",IF(OR('Data Export'!F1437="小型MPV",'Data Export'!F1437="客车"),"MPV",IF('Data Export'!F1437="运动型多功能车","SUV","其他"))))</f>
        <v/>
      </c>
      <c r="K1437" s="62"/>
      <c r="L1437" s="62"/>
      <c r="M1437" s="62"/>
      <c r="N1437" s="62"/>
      <c r="O1437" s="62"/>
      <c r="P1437" s="62"/>
      <c r="Q1437" s="62"/>
    </row>
    <row r="1438" spans="1:17">
      <c r="A1438" s="62"/>
      <c r="B1438" s="62"/>
      <c r="C1438" s="62"/>
      <c r="D1438" s="62"/>
      <c r="E1438" s="62"/>
      <c r="F1438" s="62"/>
      <c r="G1438" s="62"/>
      <c r="H1438" s="62" t="str">
        <f>IF(AND('Data Export'!A1438=前十整体车型排名!$B$2,'Data Export'!B1438=前十整体车型排名!$B$3,'Data Export'!D1438&lt;&gt;""),UPPER('Data Export'!C1438)&amp;"♦"&amp;'Data Export'!D1438,"")</f>
        <v/>
      </c>
      <c r="I1438" s="63" t="str">
        <f>IF(H1438="","",IFERROR(INDEX('Data Export'!G1438:CZ1438,1,MATCH(前十整体车型排名!$B$4,'Data Export'!$G$1:$CZ$1,0)),0))</f>
        <v/>
      </c>
      <c r="J1438" s="62" t="str">
        <f>IF(H1438="","",IF(OR('Data Export'!F1438="三厢轿车",'Data Export'!F1438="掀背轿车",'Data Export'!F1438="旅行车",'Data Export'!F1438="微型车",'Data Export'!F1438="硬顶跑车",'Data Export'!F1438="敞蓬车",'Data Export'!F1438="Targa"),"轿车",IF(OR('Data Export'!F1438="小型MPV",'Data Export'!F1438="客车"),"MPV",IF('Data Export'!F1438="运动型多功能车","SUV","其他"))))</f>
        <v/>
      </c>
      <c r="K1438" s="62"/>
      <c r="L1438" s="62"/>
      <c r="M1438" s="62"/>
      <c r="N1438" s="62"/>
      <c r="O1438" s="62"/>
      <c r="P1438" s="62"/>
      <c r="Q1438" s="62"/>
    </row>
    <row r="1439" spans="1:17">
      <c r="A1439" s="62"/>
      <c r="B1439" s="62"/>
      <c r="C1439" s="62"/>
      <c r="D1439" s="62"/>
      <c r="E1439" s="62"/>
      <c r="F1439" s="62"/>
      <c r="G1439" s="62"/>
      <c r="H1439" s="62" t="str">
        <f>IF(AND('Data Export'!A1439=前十整体车型排名!$B$2,'Data Export'!B1439=前十整体车型排名!$B$3,'Data Export'!D1439&lt;&gt;""),UPPER('Data Export'!C1439)&amp;"♦"&amp;'Data Export'!D1439,"")</f>
        <v/>
      </c>
      <c r="I1439" s="63" t="str">
        <f>IF(H1439="","",IFERROR(INDEX('Data Export'!G1439:CZ1439,1,MATCH(前十整体车型排名!$B$4,'Data Export'!$G$1:$CZ$1,0)),0))</f>
        <v/>
      </c>
      <c r="J1439" s="62" t="str">
        <f>IF(H1439="","",IF(OR('Data Export'!F1439="三厢轿车",'Data Export'!F1439="掀背轿车",'Data Export'!F1439="旅行车",'Data Export'!F1439="微型车",'Data Export'!F1439="硬顶跑车",'Data Export'!F1439="敞蓬车",'Data Export'!F1439="Targa"),"轿车",IF(OR('Data Export'!F1439="小型MPV",'Data Export'!F1439="客车"),"MPV",IF('Data Export'!F1439="运动型多功能车","SUV","其他"))))</f>
        <v/>
      </c>
      <c r="K1439" s="62"/>
      <c r="L1439" s="62"/>
      <c r="M1439" s="62"/>
      <c r="N1439" s="62"/>
      <c r="O1439" s="62"/>
      <c r="P1439" s="62"/>
      <c r="Q1439" s="62"/>
    </row>
    <row r="1440" spans="1:17">
      <c r="A1440" s="62"/>
      <c r="B1440" s="62"/>
      <c r="C1440" s="62"/>
      <c r="D1440" s="62"/>
      <c r="E1440" s="62"/>
      <c r="F1440" s="62"/>
      <c r="G1440" s="62"/>
      <c r="H1440" s="62" t="str">
        <f>IF(AND('Data Export'!A1440=前十整体车型排名!$B$2,'Data Export'!B1440=前十整体车型排名!$B$3,'Data Export'!D1440&lt;&gt;""),UPPER('Data Export'!C1440)&amp;"♦"&amp;'Data Export'!D1440,"")</f>
        <v/>
      </c>
      <c r="I1440" s="63" t="str">
        <f>IF(H1440="","",IFERROR(INDEX('Data Export'!G1440:CZ1440,1,MATCH(前十整体车型排名!$B$4,'Data Export'!$G$1:$CZ$1,0)),0))</f>
        <v/>
      </c>
      <c r="J1440" s="62" t="str">
        <f>IF(H1440="","",IF(OR('Data Export'!F1440="三厢轿车",'Data Export'!F1440="掀背轿车",'Data Export'!F1440="旅行车",'Data Export'!F1440="微型车",'Data Export'!F1440="硬顶跑车",'Data Export'!F1440="敞蓬车",'Data Export'!F1440="Targa"),"轿车",IF(OR('Data Export'!F1440="小型MPV",'Data Export'!F1440="客车"),"MPV",IF('Data Export'!F1440="运动型多功能车","SUV","其他"))))</f>
        <v/>
      </c>
      <c r="K1440" s="62"/>
      <c r="L1440" s="62"/>
      <c r="M1440" s="62"/>
      <c r="N1440" s="62"/>
      <c r="O1440" s="62"/>
      <c r="P1440" s="62"/>
      <c r="Q1440" s="62"/>
    </row>
    <row r="1441" spans="1:17">
      <c r="A1441" s="62"/>
      <c r="B1441" s="62"/>
      <c r="C1441" s="62"/>
      <c r="D1441" s="62"/>
      <c r="E1441" s="62"/>
      <c r="F1441" s="62"/>
      <c r="G1441" s="62"/>
      <c r="H1441" s="62" t="str">
        <f>IF(AND('Data Export'!A1441=前十整体车型排名!$B$2,'Data Export'!B1441=前十整体车型排名!$B$3,'Data Export'!D1441&lt;&gt;""),UPPER('Data Export'!C1441)&amp;"♦"&amp;'Data Export'!D1441,"")</f>
        <v/>
      </c>
      <c r="I1441" s="63" t="str">
        <f>IF(H1441="","",IFERROR(INDEX('Data Export'!G1441:CZ1441,1,MATCH(前十整体车型排名!$B$4,'Data Export'!$G$1:$CZ$1,0)),0))</f>
        <v/>
      </c>
      <c r="J1441" s="62" t="str">
        <f>IF(H1441="","",IF(OR('Data Export'!F1441="三厢轿车",'Data Export'!F1441="掀背轿车",'Data Export'!F1441="旅行车",'Data Export'!F1441="微型车",'Data Export'!F1441="硬顶跑车",'Data Export'!F1441="敞蓬车",'Data Export'!F1441="Targa"),"轿车",IF(OR('Data Export'!F1441="小型MPV",'Data Export'!F1441="客车"),"MPV",IF('Data Export'!F1441="运动型多功能车","SUV","其他"))))</f>
        <v/>
      </c>
      <c r="K1441" s="62"/>
      <c r="L1441" s="62"/>
      <c r="M1441" s="62"/>
      <c r="N1441" s="62"/>
      <c r="O1441" s="62"/>
      <c r="P1441" s="62"/>
      <c r="Q1441" s="62"/>
    </row>
    <row r="1442" spans="1:17">
      <c r="A1442" s="62"/>
      <c r="B1442" s="62"/>
      <c r="C1442" s="62"/>
      <c r="D1442" s="62"/>
      <c r="E1442" s="62"/>
      <c r="F1442" s="62"/>
      <c r="G1442" s="62"/>
      <c r="H1442" s="62" t="str">
        <f>IF(AND('Data Export'!A1442=前十整体车型排名!$B$2,'Data Export'!B1442=前十整体车型排名!$B$3,'Data Export'!D1442&lt;&gt;""),UPPER('Data Export'!C1442)&amp;"♦"&amp;'Data Export'!D1442,"")</f>
        <v/>
      </c>
      <c r="I1442" s="63" t="str">
        <f>IF(H1442="","",IFERROR(INDEX('Data Export'!G1442:CZ1442,1,MATCH(前十整体车型排名!$B$4,'Data Export'!$G$1:$CZ$1,0)),0))</f>
        <v/>
      </c>
      <c r="J1442" s="62" t="str">
        <f>IF(H1442="","",IF(OR('Data Export'!F1442="三厢轿车",'Data Export'!F1442="掀背轿车",'Data Export'!F1442="旅行车",'Data Export'!F1442="微型车",'Data Export'!F1442="硬顶跑车",'Data Export'!F1442="敞蓬车",'Data Export'!F1442="Targa"),"轿车",IF(OR('Data Export'!F1442="小型MPV",'Data Export'!F1442="客车"),"MPV",IF('Data Export'!F1442="运动型多功能车","SUV","其他"))))</f>
        <v/>
      </c>
      <c r="K1442" s="62"/>
      <c r="L1442" s="62"/>
      <c r="M1442" s="62"/>
      <c r="N1442" s="62"/>
      <c r="O1442" s="62"/>
      <c r="P1442" s="62"/>
      <c r="Q1442" s="62"/>
    </row>
    <row r="1443" spans="1:17">
      <c r="A1443" s="62"/>
      <c r="B1443" s="62"/>
      <c r="C1443" s="62"/>
      <c r="D1443" s="62"/>
      <c r="E1443" s="62"/>
      <c r="F1443" s="62"/>
      <c r="G1443" s="62"/>
      <c r="H1443" s="62" t="str">
        <f>IF(AND('Data Export'!A1443=前十整体车型排名!$B$2,'Data Export'!B1443=前十整体车型排名!$B$3,'Data Export'!D1443&lt;&gt;""),UPPER('Data Export'!C1443)&amp;"♦"&amp;'Data Export'!D1443,"")</f>
        <v/>
      </c>
      <c r="I1443" s="63" t="str">
        <f>IF(H1443="","",IFERROR(INDEX('Data Export'!G1443:CZ1443,1,MATCH(前十整体车型排名!$B$4,'Data Export'!$G$1:$CZ$1,0)),0))</f>
        <v/>
      </c>
      <c r="J1443" s="62" t="str">
        <f>IF(H1443="","",IF(OR('Data Export'!F1443="三厢轿车",'Data Export'!F1443="掀背轿车",'Data Export'!F1443="旅行车",'Data Export'!F1443="微型车",'Data Export'!F1443="硬顶跑车",'Data Export'!F1443="敞蓬车",'Data Export'!F1443="Targa"),"轿车",IF(OR('Data Export'!F1443="小型MPV",'Data Export'!F1443="客车"),"MPV",IF('Data Export'!F1443="运动型多功能车","SUV","其他"))))</f>
        <v/>
      </c>
      <c r="K1443" s="62"/>
      <c r="L1443" s="62"/>
      <c r="M1443" s="62"/>
      <c r="N1443" s="62"/>
      <c r="O1443" s="62"/>
      <c r="P1443" s="62"/>
      <c r="Q1443" s="62"/>
    </row>
    <row r="1444" spans="1:17">
      <c r="A1444" s="62"/>
      <c r="B1444" s="62"/>
      <c r="C1444" s="62"/>
      <c r="D1444" s="62"/>
      <c r="E1444" s="62"/>
      <c r="F1444" s="62"/>
      <c r="G1444" s="62"/>
      <c r="H1444" s="62" t="str">
        <f>IF(AND('Data Export'!A1444=前十整体车型排名!$B$2,'Data Export'!B1444=前十整体车型排名!$B$3,'Data Export'!D1444&lt;&gt;""),UPPER('Data Export'!C1444)&amp;"♦"&amp;'Data Export'!D1444,"")</f>
        <v/>
      </c>
      <c r="I1444" s="63" t="str">
        <f>IF(H1444="","",IFERROR(INDEX('Data Export'!G1444:CZ1444,1,MATCH(前十整体车型排名!$B$4,'Data Export'!$G$1:$CZ$1,0)),0))</f>
        <v/>
      </c>
      <c r="J1444" s="62" t="str">
        <f>IF(H1444="","",IF(OR('Data Export'!F1444="三厢轿车",'Data Export'!F1444="掀背轿车",'Data Export'!F1444="旅行车",'Data Export'!F1444="微型车",'Data Export'!F1444="硬顶跑车",'Data Export'!F1444="敞蓬车",'Data Export'!F1444="Targa"),"轿车",IF(OR('Data Export'!F1444="小型MPV",'Data Export'!F1444="客车"),"MPV",IF('Data Export'!F1444="运动型多功能车","SUV","其他"))))</f>
        <v/>
      </c>
      <c r="K1444" s="62"/>
      <c r="L1444" s="62"/>
      <c r="M1444" s="62"/>
      <c r="N1444" s="62"/>
      <c r="O1444" s="62"/>
      <c r="P1444" s="62"/>
      <c r="Q1444" s="62"/>
    </row>
    <row r="1445" spans="1:17">
      <c r="A1445" s="62"/>
      <c r="B1445" s="62"/>
      <c r="C1445" s="62"/>
      <c r="D1445" s="62"/>
      <c r="E1445" s="62"/>
      <c r="F1445" s="62"/>
      <c r="G1445" s="62"/>
      <c r="H1445" s="62" t="str">
        <f>IF(AND('Data Export'!A1445=前十整体车型排名!$B$2,'Data Export'!B1445=前十整体车型排名!$B$3,'Data Export'!D1445&lt;&gt;""),UPPER('Data Export'!C1445)&amp;"♦"&amp;'Data Export'!D1445,"")</f>
        <v/>
      </c>
      <c r="I1445" s="63" t="str">
        <f>IF(H1445="","",IFERROR(INDEX('Data Export'!G1445:CZ1445,1,MATCH(前十整体车型排名!$B$4,'Data Export'!$G$1:$CZ$1,0)),0))</f>
        <v/>
      </c>
      <c r="J1445" s="62" t="str">
        <f>IF(H1445="","",IF(OR('Data Export'!F1445="三厢轿车",'Data Export'!F1445="掀背轿车",'Data Export'!F1445="旅行车",'Data Export'!F1445="微型车",'Data Export'!F1445="硬顶跑车",'Data Export'!F1445="敞蓬车",'Data Export'!F1445="Targa"),"轿车",IF(OR('Data Export'!F1445="小型MPV",'Data Export'!F1445="客车"),"MPV",IF('Data Export'!F1445="运动型多功能车","SUV","其他"))))</f>
        <v/>
      </c>
      <c r="K1445" s="62"/>
      <c r="L1445" s="62"/>
      <c r="M1445" s="62"/>
      <c r="N1445" s="62"/>
      <c r="O1445" s="62"/>
      <c r="P1445" s="62"/>
      <c r="Q1445" s="62"/>
    </row>
    <row r="1446" spans="1:17">
      <c r="A1446" s="62"/>
      <c r="B1446" s="62"/>
      <c r="C1446" s="62"/>
      <c r="D1446" s="62"/>
      <c r="E1446" s="62"/>
      <c r="F1446" s="62"/>
      <c r="G1446" s="62"/>
      <c r="H1446" s="62" t="str">
        <f>IF(AND('Data Export'!A1446=前十整体车型排名!$B$2,'Data Export'!B1446=前十整体车型排名!$B$3,'Data Export'!D1446&lt;&gt;""),UPPER('Data Export'!C1446)&amp;"♦"&amp;'Data Export'!D1446,"")</f>
        <v/>
      </c>
      <c r="I1446" s="63" t="str">
        <f>IF(H1446="","",IFERROR(INDEX('Data Export'!G1446:CZ1446,1,MATCH(前十整体车型排名!$B$4,'Data Export'!$G$1:$CZ$1,0)),0))</f>
        <v/>
      </c>
      <c r="J1446" s="62" t="str">
        <f>IF(H1446="","",IF(OR('Data Export'!F1446="三厢轿车",'Data Export'!F1446="掀背轿车",'Data Export'!F1446="旅行车",'Data Export'!F1446="微型车",'Data Export'!F1446="硬顶跑车",'Data Export'!F1446="敞蓬车",'Data Export'!F1446="Targa"),"轿车",IF(OR('Data Export'!F1446="小型MPV",'Data Export'!F1446="客车"),"MPV",IF('Data Export'!F1446="运动型多功能车","SUV","其他"))))</f>
        <v/>
      </c>
      <c r="K1446" s="62"/>
      <c r="L1446" s="62"/>
      <c r="M1446" s="62"/>
      <c r="N1446" s="62"/>
      <c r="O1446" s="62"/>
      <c r="P1446" s="62"/>
      <c r="Q1446" s="62"/>
    </row>
    <row r="1447" spans="1:17">
      <c r="A1447" s="62"/>
      <c r="B1447" s="62"/>
      <c r="C1447" s="62"/>
      <c r="D1447" s="62"/>
      <c r="E1447" s="62"/>
      <c r="F1447" s="62"/>
      <c r="G1447" s="62"/>
      <c r="H1447" s="62" t="str">
        <f>IF(AND('Data Export'!A1447=前十整体车型排名!$B$2,'Data Export'!B1447=前十整体车型排名!$B$3,'Data Export'!D1447&lt;&gt;""),UPPER('Data Export'!C1447)&amp;"♦"&amp;'Data Export'!D1447,"")</f>
        <v/>
      </c>
      <c r="I1447" s="63" t="str">
        <f>IF(H1447="","",IFERROR(INDEX('Data Export'!G1447:CZ1447,1,MATCH(前十整体车型排名!$B$4,'Data Export'!$G$1:$CZ$1,0)),0))</f>
        <v/>
      </c>
      <c r="J1447" s="62" t="str">
        <f>IF(H1447="","",IF(OR('Data Export'!F1447="三厢轿车",'Data Export'!F1447="掀背轿车",'Data Export'!F1447="旅行车",'Data Export'!F1447="微型车",'Data Export'!F1447="硬顶跑车",'Data Export'!F1447="敞蓬车",'Data Export'!F1447="Targa"),"轿车",IF(OR('Data Export'!F1447="小型MPV",'Data Export'!F1447="客车"),"MPV",IF('Data Export'!F1447="运动型多功能车","SUV","其他"))))</f>
        <v/>
      </c>
      <c r="K1447" s="62"/>
      <c r="L1447" s="62"/>
      <c r="M1447" s="62"/>
      <c r="N1447" s="62"/>
      <c r="O1447" s="62"/>
      <c r="P1447" s="62"/>
      <c r="Q1447" s="62"/>
    </row>
    <row r="1448" spans="1:17">
      <c r="A1448" s="62"/>
      <c r="B1448" s="62"/>
      <c r="C1448" s="62"/>
      <c r="D1448" s="62"/>
      <c r="E1448" s="62"/>
      <c r="F1448" s="62"/>
      <c r="G1448" s="62"/>
      <c r="H1448" s="62" t="str">
        <f>IF(AND('Data Export'!A1448=前十整体车型排名!$B$2,'Data Export'!B1448=前十整体车型排名!$B$3,'Data Export'!D1448&lt;&gt;""),UPPER('Data Export'!C1448)&amp;"♦"&amp;'Data Export'!D1448,"")</f>
        <v/>
      </c>
      <c r="I1448" s="63" t="str">
        <f>IF(H1448="","",IFERROR(INDEX('Data Export'!G1448:CZ1448,1,MATCH(前十整体车型排名!$B$4,'Data Export'!$G$1:$CZ$1,0)),0))</f>
        <v/>
      </c>
      <c r="J1448" s="62" t="str">
        <f>IF(H1448="","",IF(OR('Data Export'!F1448="三厢轿车",'Data Export'!F1448="掀背轿车",'Data Export'!F1448="旅行车",'Data Export'!F1448="微型车",'Data Export'!F1448="硬顶跑车",'Data Export'!F1448="敞蓬车",'Data Export'!F1448="Targa"),"轿车",IF(OR('Data Export'!F1448="小型MPV",'Data Export'!F1448="客车"),"MPV",IF('Data Export'!F1448="运动型多功能车","SUV","其他"))))</f>
        <v/>
      </c>
      <c r="K1448" s="62"/>
      <c r="L1448" s="62"/>
      <c r="M1448" s="62"/>
      <c r="N1448" s="62"/>
      <c r="O1448" s="62"/>
      <c r="P1448" s="62"/>
      <c r="Q1448" s="62"/>
    </row>
    <row r="1449" spans="1:17">
      <c r="A1449" s="62"/>
      <c r="B1449" s="62"/>
      <c r="C1449" s="62"/>
      <c r="D1449" s="62"/>
      <c r="E1449" s="62"/>
      <c r="F1449" s="62"/>
      <c r="G1449" s="62"/>
      <c r="H1449" s="62" t="str">
        <f>IF(AND('Data Export'!A1449=前十整体车型排名!$B$2,'Data Export'!B1449=前十整体车型排名!$B$3,'Data Export'!D1449&lt;&gt;""),UPPER('Data Export'!C1449)&amp;"♦"&amp;'Data Export'!D1449,"")</f>
        <v/>
      </c>
      <c r="I1449" s="63" t="str">
        <f>IF(H1449="","",IFERROR(INDEX('Data Export'!G1449:CZ1449,1,MATCH(前十整体车型排名!$B$4,'Data Export'!$G$1:$CZ$1,0)),0))</f>
        <v/>
      </c>
      <c r="J1449" s="62" t="str">
        <f>IF(H1449="","",IF(OR('Data Export'!F1449="三厢轿车",'Data Export'!F1449="掀背轿车",'Data Export'!F1449="旅行车",'Data Export'!F1449="微型车",'Data Export'!F1449="硬顶跑车",'Data Export'!F1449="敞蓬车",'Data Export'!F1449="Targa"),"轿车",IF(OR('Data Export'!F1449="小型MPV",'Data Export'!F1449="客车"),"MPV",IF('Data Export'!F1449="运动型多功能车","SUV","其他"))))</f>
        <v/>
      </c>
      <c r="K1449" s="62"/>
      <c r="L1449" s="62"/>
      <c r="M1449" s="62"/>
      <c r="N1449" s="62"/>
      <c r="O1449" s="62"/>
      <c r="P1449" s="62"/>
      <c r="Q1449" s="62"/>
    </row>
    <row r="1450" spans="1:17">
      <c r="A1450" s="62"/>
      <c r="B1450" s="62"/>
      <c r="C1450" s="62"/>
      <c r="D1450" s="62"/>
      <c r="E1450" s="62"/>
      <c r="F1450" s="62"/>
      <c r="G1450" s="62"/>
      <c r="H1450" s="62" t="str">
        <f>IF(AND('Data Export'!A1450=前十整体车型排名!$B$2,'Data Export'!B1450=前十整体车型排名!$B$3,'Data Export'!D1450&lt;&gt;""),UPPER('Data Export'!C1450)&amp;"♦"&amp;'Data Export'!D1450,"")</f>
        <v/>
      </c>
      <c r="I1450" s="63" t="str">
        <f>IF(H1450="","",IFERROR(INDEX('Data Export'!G1450:CZ1450,1,MATCH(前十整体车型排名!$B$4,'Data Export'!$G$1:$CZ$1,0)),0))</f>
        <v/>
      </c>
      <c r="J1450" s="62" t="str">
        <f>IF(H1450="","",IF(OR('Data Export'!F1450="三厢轿车",'Data Export'!F1450="掀背轿车",'Data Export'!F1450="旅行车",'Data Export'!F1450="微型车",'Data Export'!F1450="硬顶跑车",'Data Export'!F1450="敞蓬车",'Data Export'!F1450="Targa"),"轿车",IF(OR('Data Export'!F1450="小型MPV",'Data Export'!F1450="客车"),"MPV",IF('Data Export'!F1450="运动型多功能车","SUV","其他"))))</f>
        <v/>
      </c>
      <c r="K1450" s="62"/>
      <c r="L1450" s="62"/>
      <c r="M1450" s="62"/>
      <c r="N1450" s="62"/>
      <c r="O1450" s="62"/>
      <c r="P1450" s="62"/>
      <c r="Q1450" s="62"/>
    </row>
    <row r="1451" spans="1:17">
      <c r="A1451" s="62"/>
      <c r="B1451" s="62"/>
      <c r="C1451" s="62"/>
      <c r="D1451" s="62"/>
      <c r="E1451" s="62"/>
      <c r="F1451" s="62"/>
      <c r="G1451" s="62"/>
      <c r="H1451" s="62" t="str">
        <f>IF(AND('Data Export'!A1451=前十整体车型排名!$B$2,'Data Export'!B1451=前十整体车型排名!$B$3,'Data Export'!D1451&lt;&gt;""),UPPER('Data Export'!C1451)&amp;"♦"&amp;'Data Export'!D1451,"")</f>
        <v/>
      </c>
      <c r="I1451" s="63" t="str">
        <f>IF(H1451="","",IFERROR(INDEX('Data Export'!G1451:CZ1451,1,MATCH(前十整体车型排名!$B$4,'Data Export'!$G$1:$CZ$1,0)),0))</f>
        <v/>
      </c>
      <c r="J1451" s="62" t="str">
        <f>IF(H1451="","",IF(OR('Data Export'!F1451="三厢轿车",'Data Export'!F1451="掀背轿车",'Data Export'!F1451="旅行车",'Data Export'!F1451="微型车",'Data Export'!F1451="硬顶跑车",'Data Export'!F1451="敞蓬车",'Data Export'!F1451="Targa"),"轿车",IF(OR('Data Export'!F1451="小型MPV",'Data Export'!F1451="客车"),"MPV",IF('Data Export'!F1451="运动型多功能车","SUV","其他"))))</f>
        <v/>
      </c>
      <c r="K1451" s="62"/>
      <c r="L1451" s="62"/>
      <c r="M1451" s="62"/>
      <c r="N1451" s="62"/>
      <c r="O1451" s="62"/>
      <c r="P1451" s="62"/>
      <c r="Q1451" s="62"/>
    </row>
    <row r="1452" spans="1:17">
      <c r="A1452" s="62"/>
      <c r="B1452" s="62"/>
      <c r="C1452" s="62"/>
      <c r="D1452" s="62"/>
      <c r="E1452" s="62"/>
      <c r="F1452" s="62"/>
      <c r="G1452" s="62"/>
      <c r="H1452" s="62" t="str">
        <f>IF(AND('Data Export'!A1452=前十整体车型排名!$B$2,'Data Export'!B1452=前十整体车型排名!$B$3,'Data Export'!D1452&lt;&gt;""),UPPER('Data Export'!C1452)&amp;"♦"&amp;'Data Export'!D1452,"")</f>
        <v/>
      </c>
      <c r="I1452" s="63" t="str">
        <f>IF(H1452="","",IFERROR(INDEX('Data Export'!G1452:CZ1452,1,MATCH(前十整体车型排名!$B$4,'Data Export'!$G$1:$CZ$1,0)),0))</f>
        <v/>
      </c>
      <c r="J1452" s="62" t="str">
        <f>IF(H1452="","",IF(OR('Data Export'!F1452="三厢轿车",'Data Export'!F1452="掀背轿车",'Data Export'!F1452="旅行车",'Data Export'!F1452="微型车",'Data Export'!F1452="硬顶跑车",'Data Export'!F1452="敞蓬车",'Data Export'!F1452="Targa"),"轿车",IF(OR('Data Export'!F1452="小型MPV",'Data Export'!F1452="客车"),"MPV",IF('Data Export'!F1452="运动型多功能车","SUV","其他"))))</f>
        <v/>
      </c>
      <c r="K1452" s="62"/>
      <c r="L1452" s="62"/>
      <c r="M1452" s="62"/>
      <c r="N1452" s="62"/>
      <c r="O1452" s="62"/>
      <c r="P1452" s="62"/>
      <c r="Q1452" s="62"/>
    </row>
    <row r="1453" spans="1:17">
      <c r="A1453" s="62"/>
      <c r="B1453" s="62"/>
      <c r="C1453" s="62"/>
      <c r="D1453" s="62"/>
      <c r="E1453" s="62"/>
      <c r="F1453" s="62"/>
      <c r="G1453" s="62"/>
      <c r="H1453" s="62" t="str">
        <f>IF(AND('Data Export'!A1453=前十整体车型排名!$B$2,'Data Export'!B1453=前十整体车型排名!$B$3,'Data Export'!D1453&lt;&gt;""),UPPER('Data Export'!C1453)&amp;"♦"&amp;'Data Export'!D1453,"")</f>
        <v/>
      </c>
      <c r="I1453" s="63" t="str">
        <f>IF(H1453="","",IFERROR(INDEX('Data Export'!G1453:CZ1453,1,MATCH(前十整体车型排名!$B$4,'Data Export'!$G$1:$CZ$1,0)),0))</f>
        <v/>
      </c>
      <c r="J1453" s="62" t="str">
        <f>IF(H1453="","",IF(OR('Data Export'!F1453="三厢轿车",'Data Export'!F1453="掀背轿车",'Data Export'!F1453="旅行车",'Data Export'!F1453="微型车",'Data Export'!F1453="硬顶跑车",'Data Export'!F1453="敞蓬车",'Data Export'!F1453="Targa"),"轿车",IF(OR('Data Export'!F1453="小型MPV",'Data Export'!F1453="客车"),"MPV",IF('Data Export'!F1453="运动型多功能车","SUV","其他"))))</f>
        <v/>
      </c>
      <c r="K1453" s="62"/>
      <c r="L1453" s="62"/>
      <c r="M1453" s="62"/>
      <c r="N1453" s="62"/>
      <c r="O1453" s="62"/>
      <c r="P1453" s="62"/>
      <c r="Q1453" s="62"/>
    </row>
    <row r="1454" spans="1:17">
      <c r="A1454" s="62"/>
      <c r="B1454" s="62"/>
      <c r="C1454" s="62"/>
      <c r="D1454" s="62"/>
      <c r="E1454" s="62"/>
      <c r="F1454" s="62"/>
      <c r="G1454" s="62"/>
      <c r="H1454" s="62" t="str">
        <f>IF(AND('Data Export'!A1454=前十整体车型排名!$B$2,'Data Export'!B1454=前十整体车型排名!$B$3,'Data Export'!D1454&lt;&gt;""),UPPER('Data Export'!C1454)&amp;"♦"&amp;'Data Export'!D1454,"")</f>
        <v/>
      </c>
      <c r="I1454" s="63" t="str">
        <f>IF(H1454="","",IFERROR(INDEX('Data Export'!G1454:CZ1454,1,MATCH(前十整体车型排名!$B$4,'Data Export'!$G$1:$CZ$1,0)),0))</f>
        <v/>
      </c>
      <c r="J1454" s="62" t="str">
        <f>IF(H1454="","",IF(OR('Data Export'!F1454="三厢轿车",'Data Export'!F1454="掀背轿车",'Data Export'!F1454="旅行车",'Data Export'!F1454="微型车",'Data Export'!F1454="硬顶跑车",'Data Export'!F1454="敞蓬车",'Data Export'!F1454="Targa"),"轿车",IF(OR('Data Export'!F1454="小型MPV",'Data Export'!F1454="客车"),"MPV",IF('Data Export'!F1454="运动型多功能车","SUV","其他"))))</f>
        <v/>
      </c>
      <c r="K1454" s="62"/>
      <c r="L1454" s="62"/>
      <c r="M1454" s="62"/>
      <c r="N1454" s="62"/>
      <c r="O1454" s="62"/>
      <c r="P1454" s="62"/>
      <c r="Q1454" s="62"/>
    </row>
    <row r="1455" spans="1:17">
      <c r="A1455" s="62"/>
      <c r="B1455" s="62"/>
      <c r="C1455" s="62"/>
      <c r="D1455" s="62"/>
      <c r="E1455" s="62"/>
      <c r="F1455" s="62"/>
      <c r="G1455" s="62"/>
      <c r="H1455" s="62" t="str">
        <f>IF(AND('Data Export'!A1455=前十整体车型排名!$B$2,'Data Export'!B1455=前十整体车型排名!$B$3,'Data Export'!D1455&lt;&gt;""),UPPER('Data Export'!C1455)&amp;"♦"&amp;'Data Export'!D1455,"")</f>
        <v/>
      </c>
      <c r="I1455" s="63" t="str">
        <f>IF(H1455="","",IFERROR(INDEX('Data Export'!G1455:CZ1455,1,MATCH(前十整体车型排名!$B$4,'Data Export'!$G$1:$CZ$1,0)),0))</f>
        <v/>
      </c>
      <c r="J1455" s="62" t="str">
        <f>IF(H1455="","",IF(OR('Data Export'!F1455="三厢轿车",'Data Export'!F1455="掀背轿车",'Data Export'!F1455="旅行车",'Data Export'!F1455="微型车",'Data Export'!F1455="硬顶跑车",'Data Export'!F1455="敞蓬车",'Data Export'!F1455="Targa"),"轿车",IF(OR('Data Export'!F1455="小型MPV",'Data Export'!F1455="客车"),"MPV",IF('Data Export'!F1455="运动型多功能车","SUV","其他"))))</f>
        <v/>
      </c>
      <c r="K1455" s="62"/>
      <c r="L1455" s="62"/>
      <c r="M1455" s="62"/>
      <c r="N1455" s="62"/>
      <c r="O1455" s="62"/>
      <c r="P1455" s="62"/>
      <c r="Q1455" s="62"/>
    </row>
    <row r="1456" spans="1:17">
      <c r="A1456" s="62"/>
      <c r="B1456" s="62"/>
      <c r="C1456" s="62"/>
      <c r="D1456" s="62"/>
      <c r="E1456" s="62"/>
      <c r="F1456" s="62"/>
      <c r="G1456" s="62"/>
      <c r="H1456" s="62" t="str">
        <f>IF(AND('Data Export'!A1456=前十整体车型排名!$B$2,'Data Export'!B1456=前十整体车型排名!$B$3,'Data Export'!D1456&lt;&gt;""),UPPER('Data Export'!C1456)&amp;"♦"&amp;'Data Export'!D1456,"")</f>
        <v/>
      </c>
      <c r="I1456" s="63" t="str">
        <f>IF(H1456="","",IFERROR(INDEX('Data Export'!G1456:CZ1456,1,MATCH(前十整体车型排名!$B$4,'Data Export'!$G$1:$CZ$1,0)),0))</f>
        <v/>
      </c>
      <c r="J1456" s="62" t="str">
        <f>IF(H1456="","",IF(OR('Data Export'!F1456="三厢轿车",'Data Export'!F1456="掀背轿车",'Data Export'!F1456="旅行车",'Data Export'!F1456="微型车",'Data Export'!F1456="硬顶跑车",'Data Export'!F1456="敞蓬车",'Data Export'!F1456="Targa"),"轿车",IF(OR('Data Export'!F1456="小型MPV",'Data Export'!F1456="客车"),"MPV",IF('Data Export'!F1456="运动型多功能车","SUV","其他"))))</f>
        <v/>
      </c>
      <c r="K1456" s="62"/>
      <c r="L1456" s="62"/>
      <c r="M1456" s="62"/>
      <c r="N1456" s="62"/>
      <c r="O1456" s="62"/>
      <c r="P1456" s="62"/>
      <c r="Q1456" s="62"/>
    </row>
    <row r="1457" spans="1:17">
      <c r="A1457" s="62"/>
      <c r="B1457" s="62"/>
      <c r="C1457" s="62"/>
      <c r="D1457" s="62"/>
      <c r="E1457" s="62"/>
      <c r="F1457" s="62"/>
      <c r="G1457" s="62"/>
      <c r="H1457" s="62" t="str">
        <f>IF(AND('Data Export'!A1457=前十整体车型排名!$B$2,'Data Export'!B1457=前十整体车型排名!$B$3,'Data Export'!D1457&lt;&gt;""),UPPER('Data Export'!C1457)&amp;"♦"&amp;'Data Export'!D1457,"")</f>
        <v/>
      </c>
      <c r="I1457" s="63" t="str">
        <f>IF(H1457="","",IFERROR(INDEX('Data Export'!G1457:CZ1457,1,MATCH(前十整体车型排名!$B$4,'Data Export'!$G$1:$CZ$1,0)),0))</f>
        <v/>
      </c>
      <c r="J1457" s="62" t="str">
        <f>IF(H1457="","",IF(OR('Data Export'!F1457="三厢轿车",'Data Export'!F1457="掀背轿车",'Data Export'!F1457="旅行车",'Data Export'!F1457="微型车",'Data Export'!F1457="硬顶跑车",'Data Export'!F1457="敞蓬车",'Data Export'!F1457="Targa"),"轿车",IF(OR('Data Export'!F1457="小型MPV",'Data Export'!F1457="客车"),"MPV",IF('Data Export'!F1457="运动型多功能车","SUV","其他"))))</f>
        <v/>
      </c>
      <c r="K1457" s="62"/>
      <c r="L1457" s="62"/>
      <c r="M1457" s="62"/>
      <c r="N1457" s="62"/>
      <c r="O1457" s="62"/>
      <c r="P1457" s="62"/>
      <c r="Q1457" s="62"/>
    </row>
    <row r="1458" spans="1:17">
      <c r="A1458" s="62"/>
      <c r="B1458" s="62"/>
      <c r="C1458" s="62"/>
      <c r="D1458" s="62"/>
      <c r="E1458" s="62"/>
      <c r="F1458" s="62"/>
      <c r="G1458" s="62"/>
      <c r="H1458" s="62" t="str">
        <f>IF(AND('Data Export'!A1458=前十整体车型排名!$B$2,'Data Export'!B1458=前十整体车型排名!$B$3,'Data Export'!D1458&lt;&gt;""),UPPER('Data Export'!C1458)&amp;"♦"&amp;'Data Export'!D1458,"")</f>
        <v/>
      </c>
      <c r="I1458" s="63" t="str">
        <f>IF(H1458="","",IFERROR(INDEX('Data Export'!G1458:CZ1458,1,MATCH(前十整体车型排名!$B$4,'Data Export'!$G$1:$CZ$1,0)),0))</f>
        <v/>
      </c>
      <c r="J1458" s="62" t="str">
        <f>IF(H1458="","",IF(OR('Data Export'!F1458="三厢轿车",'Data Export'!F1458="掀背轿车",'Data Export'!F1458="旅行车",'Data Export'!F1458="微型车",'Data Export'!F1458="硬顶跑车",'Data Export'!F1458="敞蓬车",'Data Export'!F1458="Targa"),"轿车",IF(OR('Data Export'!F1458="小型MPV",'Data Export'!F1458="客车"),"MPV",IF('Data Export'!F1458="运动型多功能车","SUV","其他"))))</f>
        <v/>
      </c>
      <c r="K1458" s="62"/>
      <c r="L1458" s="62"/>
      <c r="M1458" s="62"/>
      <c r="N1458" s="62"/>
      <c r="O1458" s="62"/>
      <c r="P1458" s="62"/>
      <c r="Q1458" s="62"/>
    </row>
    <row r="1459" spans="1:17">
      <c r="A1459" s="62"/>
      <c r="B1459" s="62"/>
      <c r="C1459" s="62"/>
      <c r="D1459" s="62"/>
      <c r="E1459" s="62"/>
      <c r="F1459" s="62"/>
      <c r="G1459" s="62"/>
      <c r="H1459" s="62" t="str">
        <f>IF(AND('Data Export'!A1459=前十整体车型排名!$B$2,'Data Export'!B1459=前十整体车型排名!$B$3,'Data Export'!D1459&lt;&gt;""),UPPER('Data Export'!C1459)&amp;"♦"&amp;'Data Export'!D1459,"")</f>
        <v/>
      </c>
      <c r="I1459" s="63" t="str">
        <f>IF(H1459="","",IFERROR(INDEX('Data Export'!G1459:CZ1459,1,MATCH(前十整体车型排名!$B$4,'Data Export'!$G$1:$CZ$1,0)),0))</f>
        <v/>
      </c>
      <c r="J1459" s="62" t="str">
        <f>IF(H1459="","",IF(OR('Data Export'!F1459="三厢轿车",'Data Export'!F1459="掀背轿车",'Data Export'!F1459="旅行车",'Data Export'!F1459="微型车",'Data Export'!F1459="硬顶跑车",'Data Export'!F1459="敞蓬车",'Data Export'!F1459="Targa"),"轿车",IF(OR('Data Export'!F1459="小型MPV",'Data Export'!F1459="客车"),"MPV",IF('Data Export'!F1459="运动型多功能车","SUV","其他"))))</f>
        <v/>
      </c>
      <c r="K1459" s="62"/>
      <c r="L1459" s="62"/>
      <c r="M1459" s="62"/>
      <c r="N1459" s="62"/>
      <c r="O1459" s="62"/>
      <c r="P1459" s="62"/>
      <c r="Q1459" s="62"/>
    </row>
    <row r="1460" spans="1:17">
      <c r="A1460" s="62"/>
      <c r="B1460" s="62"/>
      <c r="C1460" s="62"/>
      <c r="D1460" s="62"/>
      <c r="E1460" s="62"/>
      <c r="F1460" s="62"/>
      <c r="G1460" s="62"/>
      <c r="H1460" s="62" t="str">
        <f>IF(AND('Data Export'!A1460=前十整体车型排名!$B$2,'Data Export'!B1460=前十整体车型排名!$B$3,'Data Export'!D1460&lt;&gt;""),UPPER('Data Export'!C1460)&amp;"♦"&amp;'Data Export'!D1460,"")</f>
        <v/>
      </c>
      <c r="I1460" s="63" t="str">
        <f>IF(H1460="","",IFERROR(INDEX('Data Export'!G1460:CZ1460,1,MATCH(前十整体车型排名!$B$4,'Data Export'!$G$1:$CZ$1,0)),0))</f>
        <v/>
      </c>
      <c r="J1460" s="62" t="str">
        <f>IF(H1460="","",IF(OR('Data Export'!F1460="三厢轿车",'Data Export'!F1460="掀背轿车",'Data Export'!F1460="旅行车",'Data Export'!F1460="微型车",'Data Export'!F1460="硬顶跑车",'Data Export'!F1460="敞蓬车",'Data Export'!F1460="Targa"),"轿车",IF(OR('Data Export'!F1460="小型MPV",'Data Export'!F1460="客车"),"MPV",IF('Data Export'!F1460="运动型多功能车","SUV","其他"))))</f>
        <v/>
      </c>
      <c r="K1460" s="62"/>
      <c r="L1460" s="62"/>
      <c r="M1460" s="62"/>
      <c r="N1460" s="62"/>
      <c r="O1460" s="62"/>
      <c r="P1460" s="62"/>
      <c r="Q1460" s="62"/>
    </row>
    <row r="1461" spans="1:17">
      <c r="A1461" s="62"/>
      <c r="B1461" s="62"/>
      <c r="C1461" s="62"/>
      <c r="D1461" s="62"/>
      <c r="E1461" s="62"/>
      <c r="F1461" s="62"/>
      <c r="G1461" s="62"/>
      <c r="H1461" s="62" t="str">
        <f>IF(AND('Data Export'!A1461=前十整体车型排名!$B$2,'Data Export'!B1461=前十整体车型排名!$B$3,'Data Export'!D1461&lt;&gt;""),UPPER('Data Export'!C1461)&amp;"♦"&amp;'Data Export'!D1461,"")</f>
        <v/>
      </c>
      <c r="I1461" s="63" t="str">
        <f>IF(H1461="","",IFERROR(INDEX('Data Export'!G1461:CZ1461,1,MATCH(前十整体车型排名!$B$4,'Data Export'!$G$1:$CZ$1,0)),0))</f>
        <v/>
      </c>
      <c r="J1461" s="62" t="str">
        <f>IF(H1461="","",IF(OR('Data Export'!F1461="三厢轿车",'Data Export'!F1461="掀背轿车",'Data Export'!F1461="旅行车",'Data Export'!F1461="微型车",'Data Export'!F1461="硬顶跑车",'Data Export'!F1461="敞蓬车",'Data Export'!F1461="Targa"),"轿车",IF(OR('Data Export'!F1461="小型MPV",'Data Export'!F1461="客车"),"MPV",IF('Data Export'!F1461="运动型多功能车","SUV","其他"))))</f>
        <v/>
      </c>
      <c r="K1461" s="62"/>
      <c r="L1461" s="62"/>
      <c r="M1461" s="62"/>
      <c r="N1461" s="62"/>
      <c r="O1461" s="62"/>
      <c r="P1461" s="62"/>
      <c r="Q1461" s="62"/>
    </row>
    <row r="1462" spans="1:17">
      <c r="A1462" s="62"/>
      <c r="B1462" s="62"/>
      <c r="C1462" s="62"/>
      <c r="D1462" s="62"/>
      <c r="E1462" s="62"/>
      <c r="F1462" s="62"/>
      <c r="G1462" s="62"/>
      <c r="H1462" s="62" t="str">
        <f>IF(AND('Data Export'!A1462=前十整体车型排名!$B$2,'Data Export'!B1462=前十整体车型排名!$B$3,'Data Export'!D1462&lt;&gt;""),UPPER('Data Export'!C1462)&amp;"♦"&amp;'Data Export'!D1462,"")</f>
        <v/>
      </c>
      <c r="I1462" s="63" t="str">
        <f>IF(H1462="","",IFERROR(INDEX('Data Export'!G1462:CZ1462,1,MATCH(前十整体车型排名!$B$4,'Data Export'!$G$1:$CZ$1,0)),0))</f>
        <v/>
      </c>
      <c r="J1462" s="62" t="str">
        <f>IF(H1462="","",IF(OR('Data Export'!F1462="三厢轿车",'Data Export'!F1462="掀背轿车",'Data Export'!F1462="旅行车",'Data Export'!F1462="微型车",'Data Export'!F1462="硬顶跑车",'Data Export'!F1462="敞蓬车",'Data Export'!F1462="Targa"),"轿车",IF(OR('Data Export'!F1462="小型MPV",'Data Export'!F1462="客车"),"MPV",IF('Data Export'!F1462="运动型多功能车","SUV","其他"))))</f>
        <v/>
      </c>
      <c r="K1462" s="62"/>
      <c r="L1462" s="62"/>
      <c r="M1462" s="62"/>
      <c r="N1462" s="62"/>
      <c r="O1462" s="62"/>
      <c r="P1462" s="62"/>
      <c r="Q1462" s="62"/>
    </row>
    <row r="1463" spans="1:17">
      <c r="A1463" s="62"/>
      <c r="B1463" s="62"/>
      <c r="C1463" s="62"/>
      <c r="D1463" s="62"/>
      <c r="E1463" s="62"/>
      <c r="F1463" s="62"/>
      <c r="G1463" s="62"/>
      <c r="H1463" s="62" t="str">
        <f>IF(AND('Data Export'!A1463=前十整体车型排名!$B$2,'Data Export'!B1463=前十整体车型排名!$B$3,'Data Export'!D1463&lt;&gt;""),UPPER('Data Export'!C1463)&amp;"♦"&amp;'Data Export'!D1463,"")</f>
        <v/>
      </c>
      <c r="I1463" s="63" t="str">
        <f>IF(H1463="","",IFERROR(INDEX('Data Export'!G1463:CZ1463,1,MATCH(前十整体车型排名!$B$4,'Data Export'!$G$1:$CZ$1,0)),0))</f>
        <v/>
      </c>
      <c r="J1463" s="62" t="str">
        <f>IF(H1463="","",IF(OR('Data Export'!F1463="三厢轿车",'Data Export'!F1463="掀背轿车",'Data Export'!F1463="旅行车",'Data Export'!F1463="微型车",'Data Export'!F1463="硬顶跑车",'Data Export'!F1463="敞蓬车",'Data Export'!F1463="Targa"),"轿车",IF(OR('Data Export'!F1463="小型MPV",'Data Export'!F1463="客车"),"MPV",IF('Data Export'!F1463="运动型多功能车","SUV","其他"))))</f>
        <v/>
      </c>
      <c r="K1463" s="62"/>
      <c r="L1463" s="62"/>
      <c r="M1463" s="62"/>
      <c r="N1463" s="62"/>
      <c r="O1463" s="62"/>
      <c r="P1463" s="62"/>
      <c r="Q1463" s="62"/>
    </row>
    <row r="1464" spans="1:17">
      <c r="A1464" s="62"/>
      <c r="B1464" s="62"/>
      <c r="C1464" s="62"/>
      <c r="D1464" s="62"/>
      <c r="E1464" s="62"/>
      <c r="F1464" s="62"/>
      <c r="G1464" s="62"/>
      <c r="H1464" s="62" t="str">
        <f>IF(AND('Data Export'!A1464=前十整体车型排名!$B$2,'Data Export'!B1464=前十整体车型排名!$B$3,'Data Export'!D1464&lt;&gt;""),UPPER('Data Export'!C1464)&amp;"♦"&amp;'Data Export'!D1464,"")</f>
        <v/>
      </c>
      <c r="I1464" s="63" t="str">
        <f>IF(H1464="","",IFERROR(INDEX('Data Export'!G1464:CZ1464,1,MATCH(前十整体车型排名!$B$4,'Data Export'!$G$1:$CZ$1,0)),0))</f>
        <v/>
      </c>
      <c r="J1464" s="62" t="str">
        <f>IF(H1464="","",IF(OR('Data Export'!F1464="三厢轿车",'Data Export'!F1464="掀背轿车",'Data Export'!F1464="旅行车",'Data Export'!F1464="微型车",'Data Export'!F1464="硬顶跑车",'Data Export'!F1464="敞蓬车",'Data Export'!F1464="Targa"),"轿车",IF(OR('Data Export'!F1464="小型MPV",'Data Export'!F1464="客车"),"MPV",IF('Data Export'!F1464="运动型多功能车","SUV","其他"))))</f>
        <v/>
      </c>
      <c r="K1464" s="62"/>
      <c r="L1464" s="62"/>
      <c r="M1464" s="62"/>
      <c r="N1464" s="62"/>
      <c r="O1464" s="62"/>
      <c r="P1464" s="62"/>
      <c r="Q1464" s="62"/>
    </row>
    <row r="1465" spans="1:17">
      <c r="A1465" s="62"/>
      <c r="B1465" s="62"/>
      <c r="C1465" s="62"/>
      <c r="D1465" s="62"/>
      <c r="E1465" s="62"/>
      <c r="F1465" s="62"/>
      <c r="G1465" s="62"/>
      <c r="H1465" s="62" t="str">
        <f>IF(AND('Data Export'!A1465=前十整体车型排名!$B$2,'Data Export'!B1465=前十整体车型排名!$B$3,'Data Export'!D1465&lt;&gt;""),UPPER('Data Export'!C1465)&amp;"♦"&amp;'Data Export'!D1465,"")</f>
        <v/>
      </c>
      <c r="I1465" s="63" t="str">
        <f>IF(H1465="","",IFERROR(INDEX('Data Export'!G1465:CZ1465,1,MATCH(前十整体车型排名!$B$4,'Data Export'!$G$1:$CZ$1,0)),0))</f>
        <v/>
      </c>
      <c r="J1465" s="62" t="str">
        <f>IF(H1465="","",IF(OR('Data Export'!F1465="三厢轿车",'Data Export'!F1465="掀背轿车",'Data Export'!F1465="旅行车",'Data Export'!F1465="微型车",'Data Export'!F1465="硬顶跑车",'Data Export'!F1465="敞蓬车",'Data Export'!F1465="Targa"),"轿车",IF(OR('Data Export'!F1465="小型MPV",'Data Export'!F1465="客车"),"MPV",IF('Data Export'!F1465="运动型多功能车","SUV","其他"))))</f>
        <v/>
      </c>
      <c r="K1465" s="62"/>
      <c r="L1465" s="62"/>
      <c r="M1465" s="62"/>
      <c r="N1465" s="62"/>
      <c r="O1465" s="62"/>
      <c r="P1465" s="62"/>
      <c r="Q1465" s="62"/>
    </row>
    <row r="1466" spans="1:17">
      <c r="A1466" s="62"/>
      <c r="B1466" s="62"/>
      <c r="C1466" s="62"/>
      <c r="D1466" s="62"/>
      <c r="E1466" s="62"/>
      <c r="F1466" s="62"/>
      <c r="G1466" s="62"/>
      <c r="H1466" s="62" t="str">
        <f>IF(AND('Data Export'!A1466=前十整体车型排名!$B$2,'Data Export'!B1466=前十整体车型排名!$B$3,'Data Export'!D1466&lt;&gt;""),UPPER('Data Export'!C1466)&amp;"♦"&amp;'Data Export'!D1466,"")</f>
        <v/>
      </c>
      <c r="I1466" s="63" t="str">
        <f>IF(H1466="","",IFERROR(INDEX('Data Export'!G1466:CZ1466,1,MATCH(前十整体车型排名!$B$4,'Data Export'!$G$1:$CZ$1,0)),0))</f>
        <v/>
      </c>
      <c r="J1466" s="62" t="str">
        <f>IF(H1466="","",IF(OR('Data Export'!F1466="三厢轿车",'Data Export'!F1466="掀背轿车",'Data Export'!F1466="旅行车",'Data Export'!F1466="微型车",'Data Export'!F1466="硬顶跑车",'Data Export'!F1466="敞蓬车",'Data Export'!F1466="Targa"),"轿车",IF(OR('Data Export'!F1466="小型MPV",'Data Export'!F1466="客车"),"MPV",IF('Data Export'!F1466="运动型多功能车","SUV","其他"))))</f>
        <v/>
      </c>
      <c r="K1466" s="62"/>
      <c r="L1466" s="62"/>
      <c r="M1466" s="62"/>
      <c r="N1466" s="62"/>
      <c r="O1466" s="62"/>
      <c r="P1466" s="62"/>
      <c r="Q1466" s="62"/>
    </row>
    <row r="1467" spans="1:17">
      <c r="A1467" s="62"/>
      <c r="B1467" s="62"/>
      <c r="C1467" s="62"/>
      <c r="D1467" s="62"/>
      <c r="E1467" s="62"/>
      <c r="F1467" s="62"/>
      <c r="G1467" s="62"/>
      <c r="H1467" s="62" t="str">
        <f>IF(AND('Data Export'!A1467=前十整体车型排名!$B$2,'Data Export'!B1467=前十整体车型排名!$B$3,'Data Export'!D1467&lt;&gt;""),UPPER('Data Export'!C1467)&amp;"♦"&amp;'Data Export'!D1467,"")</f>
        <v/>
      </c>
      <c r="I1467" s="63" t="str">
        <f>IF(H1467="","",IFERROR(INDEX('Data Export'!G1467:CZ1467,1,MATCH(前十整体车型排名!$B$4,'Data Export'!$G$1:$CZ$1,0)),0))</f>
        <v/>
      </c>
      <c r="J1467" s="62" t="str">
        <f>IF(H1467="","",IF(OR('Data Export'!F1467="三厢轿车",'Data Export'!F1467="掀背轿车",'Data Export'!F1467="旅行车",'Data Export'!F1467="微型车",'Data Export'!F1467="硬顶跑车",'Data Export'!F1467="敞蓬车",'Data Export'!F1467="Targa"),"轿车",IF(OR('Data Export'!F1467="小型MPV",'Data Export'!F1467="客车"),"MPV",IF('Data Export'!F1467="运动型多功能车","SUV","其他"))))</f>
        <v/>
      </c>
      <c r="K1467" s="62"/>
      <c r="L1467" s="62"/>
      <c r="M1467" s="62"/>
      <c r="N1467" s="62"/>
      <c r="O1467" s="62"/>
      <c r="P1467" s="62"/>
      <c r="Q1467" s="62"/>
    </row>
    <row r="1468" spans="1:17">
      <c r="A1468" s="62"/>
      <c r="B1468" s="62"/>
      <c r="C1468" s="62"/>
      <c r="D1468" s="62"/>
      <c r="E1468" s="62"/>
      <c r="F1468" s="62"/>
      <c r="G1468" s="62"/>
      <c r="H1468" s="62" t="str">
        <f>IF(AND('Data Export'!A1468=前十整体车型排名!$B$2,'Data Export'!B1468=前十整体车型排名!$B$3,'Data Export'!D1468&lt;&gt;""),UPPER('Data Export'!C1468)&amp;"♦"&amp;'Data Export'!D1468,"")</f>
        <v/>
      </c>
      <c r="I1468" s="63" t="str">
        <f>IF(H1468="","",IFERROR(INDEX('Data Export'!G1468:CZ1468,1,MATCH(前十整体车型排名!$B$4,'Data Export'!$G$1:$CZ$1,0)),0))</f>
        <v/>
      </c>
      <c r="J1468" s="62" t="str">
        <f>IF(H1468="","",IF(OR('Data Export'!F1468="三厢轿车",'Data Export'!F1468="掀背轿车",'Data Export'!F1468="旅行车",'Data Export'!F1468="微型车",'Data Export'!F1468="硬顶跑车",'Data Export'!F1468="敞蓬车",'Data Export'!F1468="Targa"),"轿车",IF(OR('Data Export'!F1468="小型MPV",'Data Export'!F1468="客车"),"MPV",IF('Data Export'!F1468="运动型多功能车","SUV","其他"))))</f>
        <v/>
      </c>
      <c r="K1468" s="62"/>
      <c r="L1468" s="62"/>
      <c r="M1468" s="62"/>
      <c r="N1468" s="62"/>
      <c r="O1468" s="62"/>
      <c r="P1468" s="62"/>
      <c r="Q1468" s="62"/>
    </row>
    <row r="1469" spans="1:17">
      <c r="A1469" s="62"/>
      <c r="B1469" s="62"/>
      <c r="C1469" s="62"/>
      <c r="D1469" s="62"/>
      <c r="E1469" s="62"/>
      <c r="F1469" s="62"/>
      <c r="G1469" s="62"/>
      <c r="H1469" s="62" t="str">
        <f>IF(AND('Data Export'!A1469=前十整体车型排名!$B$2,'Data Export'!B1469=前十整体车型排名!$B$3,'Data Export'!D1469&lt;&gt;""),UPPER('Data Export'!C1469)&amp;"♦"&amp;'Data Export'!D1469,"")</f>
        <v/>
      </c>
      <c r="I1469" s="63" t="str">
        <f>IF(H1469="","",IFERROR(INDEX('Data Export'!G1469:CZ1469,1,MATCH(前十整体车型排名!$B$4,'Data Export'!$G$1:$CZ$1,0)),0))</f>
        <v/>
      </c>
      <c r="J1469" s="62" t="str">
        <f>IF(H1469="","",IF(OR('Data Export'!F1469="三厢轿车",'Data Export'!F1469="掀背轿车",'Data Export'!F1469="旅行车",'Data Export'!F1469="微型车",'Data Export'!F1469="硬顶跑车",'Data Export'!F1469="敞蓬车",'Data Export'!F1469="Targa"),"轿车",IF(OR('Data Export'!F1469="小型MPV",'Data Export'!F1469="客车"),"MPV",IF('Data Export'!F1469="运动型多功能车","SUV","其他"))))</f>
        <v/>
      </c>
      <c r="K1469" s="62"/>
      <c r="L1469" s="62"/>
      <c r="M1469" s="62"/>
      <c r="N1469" s="62"/>
      <c r="O1469" s="62"/>
      <c r="P1469" s="62"/>
      <c r="Q1469" s="62"/>
    </row>
    <row r="1470" spans="1:17">
      <c r="A1470" s="62"/>
      <c r="B1470" s="62"/>
      <c r="C1470" s="62"/>
      <c r="D1470" s="62"/>
      <c r="E1470" s="62"/>
      <c r="F1470" s="62"/>
      <c r="G1470" s="62"/>
      <c r="H1470" s="62" t="str">
        <f>IF(AND('Data Export'!A1470=前十整体车型排名!$B$2,'Data Export'!B1470=前十整体车型排名!$B$3,'Data Export'!D1470&lt;&gt;""),UPPER('Data Export'!C1470)&amp;"♦"&amp;'Data Export'!D1470,"")</f>
        <v/>
      </c>
      <c r="I1470" s="63" t="str">
        <f>IF(H1470="","",IFERROR(INDEX('Data Export'!G1470:CZ1470,1,MATCH(前十整体车型排名!$B$4,'Data Export'!$G$1:$CZ$1,0)),0))</f>
        <v/>
      </c>
      <c r="J1470" s="62" t="str">
        <f>IF(H1470="","",IF(OR('Data Export'!F1470="三厢轿车",'Data Export'!F1470="掀背轿车",'Data Export'!F1470="旅行车",'Data Export'!F1470="微型车",'Data Export'!F1470="硬顶跑车",'Data Export'!F1470="敞蓬车",'Data Export'!F1470="Targa"),"轿车",IF(OR('Data Export'!F1470="小型MPV",'Data Export'!F1470="客车"),"MPV",IF('Data Export'!F1470="运动型多功能车","SUV","其他"))))</f>
        <v/>
      </c>
      <c r="K1470" s="62"/>
      <c r="L1470" s="62"/>
      <c r="M1470" s="62"/>
      <c r="N1470" s="62"/>
      <c r="O1470" s="62"/>
      <c r="P1470" s="62"/>
      <c r="Q1470" s="62"/>
    </row>
    <row r="1471" spans="1:17">
      <c r="A1471" s="62"/>
      <c r="B1471" s="62"/>
      <c r="C1471" s="62"/>
      <c r="D1471" s="62"/>
      <c r="E1471" s="62"/>
      <c r="F1471" s="62"/>
      <c r="G1471" s="62"/>
      <c r="H1471" s="62" t="str">
        <f>IF(AND('Data Export'!A1471=前十整体车型排名!$B$2,'Data Export'!B1471=前十整体车型排名!$B$3,'Data Export'!D1471&lt;&gt;""),UPPER('Data Export'!C1471)&amp;"♦"&amp;'Data Export'!D1471,"")</f>
        <v/>
      </c>
      <c r="I1471" s="63" t="str">
        <f>IF(H1471="","",IFERROR(INDEX('Data Export'!G1471:CZ1471,1,MATCH(前十整体车型排名!$B$4,'Data Export'!$G$1:$CZ$1,0)),0))</f>
        <v/>
      </c>
      <c r="J1471" s="62" t="str">
        <f>IF(H1471="","",IF(OR('Data Export'!F1471="三厢轿车",'Data Export'!F1471="掀背轿车",'Data Export'!F1471="旅行车",'Data Export'!F1471="微型车",'Data Export'!F1471="硬顶跑车",'Data Export'!F1471="敞蓬车",'Data Export'!F1471="Targa"),"轿车",IF(OR('Data Export'!F1471="小型MPV",'Data Export'!F1471="客车"),"MPV",IF('Data Export'!F1471="运动型多功能车","SUV","其他"))))</f>
        <v/>
      </c>
      <c r="K1471" s="62"/>
      <c r="L1471" s="62"/>
      <c r="M1471" s="62"/>
      <c r="N1471" s="62"/>
      <c r="O1471" s="62"/>
      <c r="P1471" s="62"/>
      <c r="Q1471" s="62"/>
    </row>
    <row r="1472" spans="1:17">
      <c r="A1472" s="62"/>
      <c r="B1472" s="62"/>
      <c r="C1472" s="62"/>
      <c r="D1472" s="62"/>
      <c r="E1472" s="62"/>
      <c r="F1472" s="62"/>
      <c r="G1472" s="62"/>
      <c r="H1472" s="62" t="str">
        <f>IF(AND('Data Export'!A1472=前十整体车型排名!$B$2,'Data Export'!B1472=前十整体车型排名!$B$3,'Data Export'!D1472&lt;&gt;""),UPPER('Data Export'!C1472)&amp;"♦"&amp;'Data Export'!D1472,"")</f>
        <v/>
      </c>
      <c r="I1472" s="63" t="str">
        <f>IF(H1472="","",IFERROR(INDEX('Data Export'!G1472:CZ1472,1,MATCH(前十整体车型排名!$B$4,'Data Export'!$G$1:$CZ$1,0)),0))</f>
        <v/>
      </c>
      <c r="J1472" s="62" t="str">
        <f>IF(H1472="","",IF(OR('Data Export'!F1472="三厢轿车",'Data Export'!F1472="掀背轿车",'Data Export'!F1472="旅行车",'Data Export'!F1472="微型车",'Data Export'!F1472="硬顶跑车",'Data Export'!F1472="敞蓬车",'Data Export'!F1472="Targa"),"轿车",IF(OR('Data Export'!F1472="小型MPV",'Data Export'!F1472="客车"),"MPV",IF('Data Export'!F1472="运动型多功能车","SUV","其他"))))</f>
        <v/>
      </c>
      <c r="K1472" s="62"/>
      <c r="L1472" s="62"/>
      <c r="M1472" s="62"/>
      <c r="N1472" s="62"/>
      <c r="O1472" s="62"/>
      <c r="P1472" s="62"/>
      <c r="Q1472" s="62"/>
    </row>
    <row r="1473" spans="1:17">
      <c r="A1473" s="62"/>
      <c r="B1473" s="62"/>
      <c r="C1473" s="62"/>
      <c r="D1473" s="62"/>
      <c r="E1473" s="62"/>
      <c r="F1473" s="62"/>
      <c r="G1473" s="62"/>
      <c r="H1473" s="62" t="str">
        <f>IF(AND('Data Export'!A1473=前十整体车型排名!$B$2,'Data Export'!B1473=前十整体车型排名!$B$3,'Data Export'!D1473&lt;&gt;""),UPPER('Data Export'!C1473)&amp;"♦"&amp;'Data Export'!D1473,"")</f>
        <v/>
      </c>
      <c r="I1473" s="63" t="str">
        <f>IF(H1473="","",IFERROR(INDEX('Data Export'!G1473:CZ1473,1,MATCH(前十整体车型排名!$B$4,'Data Export'!$G$1:$CZ$1,0)),0))</f>
        <v/>
      </c>
      <c r="J1473" s="62" t="str">
        <f>IF(H1473="","",IF(OR('Data Export'!F1473="三厢轿车",'Data Export'!F1473="掀背轿车",'Data Export'!F1473="旅行车",'Data Export'!F1473="微型车",'Data Export'!F1473="硬顶跑车",'Data Export'!F1473="敞蓬车",'Data Export'!F1473="Targa"),"轿车",IF(OR('Data Export'!F1473="小型MPV",'Data Export'!F1473="客车"),"MPV",IF('Data Export'!F1473="运动型多功能车","SUV","其他"))))</f>
        <v/>
      </c>
      <c r="K1473" s="62"/>
      <c r="L1473" s="62"/>
      <c r="M1473" s="62"/>
      <c r="N1473" s="62"/>
      <c r="O1473" s="62"/>
      <c r="P1473" s="62"/>
      <c r="Q1473" s="62"/>
    </row>
    <row r="1474" spans="1:17">
      <c r="A1474" s="62"/>
      <c r="B1474" s="62"/>
      <c r="C1474" s="62"/>
      <c r="D1474" s="62"/>
      <c r="E1474" s="62"/>
      <c r="F1474" s="62"/>
      <c r="G1474" s="62"/>
      <c r="H1474" s="62" t="str">
        <f>IF(AND('Data Export'!A1474=前十整体车型排名!$B$2,'Data Export'!B1474=前十整体车型排名!$B$3,'Data Export'!D1474&lt;&gt;""),UPPER('Data Export'!C1474)&amp;"♦"&amp;'Data Export'!D1474,"")</f>
        <v/>
      </c>
      <c r="I1474" s="63" t="str">
        <f>IF(H1474="","",IFERROR(INDEX('Data Export'!G1474:CZ1474,1,MATCH(前十整体车型排名!$B$4,'Data Export'!$G$1:$CZ$1,0)),0))</f>
        <v/>
      </c>
      <c r="J1474" s="62" t="str">
        <f>IF(H1474="","",IF(OR('Data Export'!F1474="三厢轿车",'Data Export'!F1474="掀背轿车",'Data Export'!F1474="旅行车",'Data Export'!F1474="微型车",'Data Export'!F1474="硬顶跑车",'Data Export'!F1474="敞蓬车",'Data Export'!F1474="Targa"),"轿车",IF(OR('Data Export'!F1474="小型MPV",'Data Export'!F1474="客车"),"MPV",IF('Data Export'!F1474="运动型多功能车","SUV","其他"))))</f>
        <v/>
      </c>
      <c r="K1474" s="62"/>
      <c r="L1474" s="62"/>
      <c r="M1474" s="62"/>
      <c r="N1474" s="62"/>
      <c r="O1474" s="62"/>
      <c r="P1474" s="62"/>
      <c r="Q1474" s="62"/>
    </row>
    <row r="1475" spans="1:17">
      <c r="A1475" s="62"/>
      <c r="B1475" s="62"/>
      <c r="C1475" s="62"/>
      <c r="D1475" s="62"/>
      <c r="E1475" s="62"/>
      <c r="F1475" s="62"/>
      <c r="G1475" s="62"/>
      <c r="H1475" s="62" t="str">
        <f>IF(AND('Data Export'!A1475=前十整体车型排名!$B$2,'Data Export'!B1475=前十整体车型排名!$B$3,'Data Export'!D1475&lt;&gt;""),UPPER('Data Export'!C1475)&amp;"♦"&amp;'Data Export'!D1475,"")</f>
        <v/>
      </c>
      <c r="I1475" s="63" t="str">
        <f>IF(H1475="","",IFERROR(INDEX('Data Export'!G1475:CZ1475,1,MATCH(前十整体车型排名!$B$4,'Data Export'!$G$1:$CZ$1,0)),0))</f>
        <v/>
      </c>
      <c r="J1475" s="62" t="str">
        <f>IF(H1475="","",IF(OR('Data Export'!F1475="三厢轿车",'Data Export'!F1475="掀背轿车",'Data Export'!F1475="旅行车",'Data Export'!F1475="微型车",'Data Export'!F1475="硬顶跑车",'Data Export'!F1475="敞蓬车",'Data Export'!F1475="Targa"),"轿车",IF(OR('Data Export'!F1475="小型MPV",'Data Export'!F1475="客车"),"MPV",IF('Data Export'!F1475="运动型多功能车","SUV","其他"))))</f>
        <v/>
      </c>
      <c r="K1475" s="62"/>
      <c r="L1475" s="62"/>
      <c r="M1475" s="62"/>
      <c r="N1475" s="62"/>
      <c r="O1475" s="62"/>
      <c r="P1475" s="62"/>
      <c r="Q1475" s="62"/>
    </row>
    <row r="1476" spans="1:17">
      <c r="A1476" s="62"/>
      <c r="B1476" s="62"/>
      <c r="C1476" s="62"/>
      <c r="D1476" s="62"/>
      <c r="E1476" s="62"/>
      <c r="F1476" s="62"/>
      <c r="G1476" s="62"/>
      <c r="H1476" s="62" t="str">
        <f>IF(AND('Data Export'!A1476=前十整体车型排名!$B$2,'Data Export'!B1476=前十整体车型排名!$B$3,'Data Export'!D1476&lt;&gt;""),UPPER('Data Export'!C1476)&amp;"♦"&amp;'Data Export'!D1476,"")</f>
        <v/>
      </c>
      <c r="I1476" s="63" t="str">
        <f>IF(H1476="","",IFERROR(INDEX('Data Export'!G1476:CZ1476,1,MATCH(前十整体车型排名!$B$4,'Data Export'!$G$1:$CZ$1,0)),0))</f>
        <v/>
      </c>
      <c r="J1476" s="62" t="str">
        <f>IF(H1476="","",IF(OR('Data Export'!F1476="三厢轿车",'Data Export'!F1476="掀背轿车",'Data Export'!F1476="旅行车",'Data Export'!F1476="微型车",'Data Export'!F1476="硬顶跑车",'Data Export'!F1476="敞蓬车",'Data Export'!F1476="Targa"),"轿车",IF(OR('Data Export'!F1476="小型MPV",'Data Export'!F1476="客车"),"MPV",IF('Data Export'!F1476="运动型多功能车","SUV","其他"))))</f>
        <v/>
      </c>
      <c r="K1476" s="62"/>
      <c r="L1476" s="62"/>
      <c r="M1476" s="62"/>
      <c r="N1476" s="62"/>
      <c r="O1476" s="62"/>
      <c r="P1476" s="62"/>
      <c r="Q1476" s="62"/>
    </row>
    <row r="1477" spans="1:17">
      <c r="A1477" s="62"/>
      <c r="B1477" s="62"/>
      <c r="C1477" s="62"/>
      <c r="D1477" s="62"/>
      <c r="E1477" s="62"/>
      <c r="F1477" s="62"/>
      <c r="G1477" s="62"/>
      <c r="H1477" s="62" t="str">
        <f>IF(AND('Data Export'!A1477=前十整体车型排名!$B$2,'Data Export'!B1477=前十整体车型排名!$B$3,'Data Export'!D1477&lt;&gt;""),UPPER('Data Export'!C1477)&amp;"♦"&amp;'Data Export'!D1477,"")</f>
        <v/>
      </c>
      <c r="I1477" s="63" t="str">
        <f>IF(H1477="","",IFERROR(INDEX('Data Export'!G1477:CZ1477,1,MATCH(前十整体车型排名!$B$4,'Data Export'!$G$1:$CZ$1,0)),0))</f>
        <v/>
      </c>
      <c r="J1477" s="62" t="str">
        <f>IF(H1477="","",IF(OR('Data Export'!F1477="三厢轿车",'Data Export'!F1477="掀背轿车",'Data Export'!F1477="旅行车",'Data Export'!F1477="微型车",'Data Export'!F1477="硬顶跑车",'Data Export'!F1477="敞蓬车",'Data Export'!F1477="Targa"),"轿车",IF(OR('Data Export'!F1477="小型MPV",'Data Export'!F1477="客车"),"MPV",IF('Data Export'!F1477="运动型多功能车","SUV","其他"))))</f>
        <v/>
      </c>
      <c r="K1477" s="62"/>
      <c r="L1477" s="62"/>
      <c r="M1477" s="62"/>
      <c r="N1477" s="62"/>
      <c r="O1477" s="62"/>
      <c r="P1477" s="62"/>
      <c r="Q1477" s="62"/>
    </row>
    <row r="1478" spans="1:17">
      <c r="A1478" s="62"/>
      <c r="B1478" s="62"/>
      <c r="C1478" s="62"/>
      <c r="D1478" s="62"/>
      <c r="E1478" s="62"/>
      <c r="F1478" s="62"/>
      <c r="G1478" s="62"/>
      <c r="H1478" s="62" t="str">
        <f>IF(AND('Data Export'!A1478=前十整体车型排名!$B$2,'Data Export'!B1478=前十整体车型排名!$B$3,'Data Export'!D1478&lt;&gt;""),UPPER('Data Export'!C1478)&amp;"♦"&amp;'Data Export'!D1478,"")</f>
        <v/>
      </c>
      <c r="I1478" s="63" t="str">
        <f>IF(H1478="","",IFERROR(INDEX('Data Export'!G1478:CZ1478,1,MATCH(前十整体车型排名!$B$4,'Data Export'!$G$1:$CZ$1,0)),0))</f>
        <v/>
      </c>
      <c r="J1478" s="62" t="str">
        <f>IF(H1478="","",IF(OR('Data Export'!F1478="三厢轿车",'Data Export'!F1478="掀背轿车",'Data Export'!F1478="旅行车",'Data Export'!F1478="微型车",'Data Export'!F1478="硬顶跑车",'Data Export'!F1478="敞蓬车",'Data Export'!F1478="Targa"),"轿车",IF(OR('Data Export'!F1478="小型MPV",'Data Export'!F1478="客车"),"MPV",IF('Data Export'!F1478="运动型多功能车","SUV","其他"))))</f>
        <v/>
      </c>
      <c r="K1478" s="62"/>
      <c r="L1478" s="62"/>
      <c r="M1478" s="62"/>
      <c r="N1478" s="62"/>
      <c r="O1478" s="62"/>
      <c r="P1478" s="62"/>
      <c r="Q1478" s="62"/>
    </row>
    <row r="1479" spans="1:17">
      <c r="A1479" s="62"/>
      <c r="B1479" s="62"/>
      <c r="C1479" s="62"/>
      <c r="D1479" s="62"/>
      <c r="E1479" s="62"/>
      <c r="F1479" s="62"/>
      <c r="G1479" s="62"/>
      <c r="H1479" s="62" t="str">
        <f>IF(AND('Data Export'!A1479=前十整体车型排名!$B$2,'Data Export'!B1479=前十整体车型排名!$B$3,'Data Export'!D1479&lt;&gt;""),UPPER('Data Export'!C1479)&amp;"♦"&amp;'Data Export'!D1479,"")</f>
        <v/>
      </c>
      <c r="I1479" s="63" t="str">
        <f>IF(H1479="","",IFERROR(INDEX('Data Export'!G1479:CZ1479,1,MATCH(前十整体车型排名!$B$4,'Data Export'!$G$1:$CZ$1,0)),0))</f>
        <v/>
      </c>
      <c r="J1479" s="62" t="str">
        <f>IF(H1479="","",IF(OR('Data Export'!F1479="三厢轿车",'Data Export'!F1479="掀背轿车",'Data Export'!F1479="旅行车",'Data Export'!F1479="微型车",'Data Export'!F1479="硬顶跑车",'Data Export'!F1479="敞蓬车",'Data Export'!F1479="Targa"),"轿车",IF(OR('Data Export'!F1479="小型MPV",'Data Export'!F1479="客车"),"MPV",IF('Data Export'!F1479="运动型多功能车","SUV","其他"))))</f>
        <v/>
      </c>
      <c r="K1479" s="62"/>
      <c r="L1479" s="62"/>
      <c r="M1479" s="62"/>
      <c r="N1479" s="62"/>
      <c r="O1479" s="62"/>
      <c r="P1479" s="62"/>
      <c r="Q1479" s="62"/>
    </row>
    <row r="1480" spans="1:17">
      <c r="A1480" s="62"/>
      <c r="B1480" s="62"/>
      <c r="C1480" s="62"/>
      <c r="D1480" s="62"/>
      <c r="E1480" s="62"/>
      <c r="F1480" s="62"/>
      <c r="G1480" s="62"/>
      <c r="H1480" s="62" t="str">
        <f>IF(AND('Data Export'!A1480=前十整体车型排名!$B$2,'Data Export'!B1480=前十整体车型排名!$B$3,'Data Export'!D1480&lt;&gt;""),UPPER('Data Export'!C1480)&amp;"♦"&amp;'Data Export'!D1480,"")</f>
        <v/>
      </c>
      <c r="I1480" s="63" t="str">
        <f>IF(H1480="","",IFERROR(INDEX('Data Export'!G1480:CZ1480,1,MATCH(前十整体车型排名!$B$4,'Data Export'!$G$1:$CZ$1,0)),0))</f>
        <v/>
      </c>
      <c r="J1480" s="62" t="str">
        <f>IF(H1480="","",IF(OR('Data Export'!F1480="三厢轿车",'Data Export'!F1480="掀背轿车",'Data Export'!F1480="旅行车",'Data Export'!F1480="微型车",'Data Export'!F1480="硬顶跑车",'Data Export'!F1480="敞蓬车",'Data Export'!F1480="Targa"),"轿车",IF(OR('Data Export'!F1480="小型MPV",'Data Export'!F1480="客车"),"MPV",IF('Data Export'!F1480="运动型多功能车","SUV","其他"))))</f>
        <v/>
      </c>
      <c r="K1480" s="62"/>
      <c r="L1480" s="62"/>
      <c r="M1480" s="62"/>
      <c r="N1480" s="62"/>
      <c r="O1480" s="62"/>
      <c r="P1480" s="62"/>
      <c r="Q1480" s="62"/>
    </row>
    <row r="1481" spans="1:17">
      <c r="A1481" s="62"/>
      <c r="B1481" s="62"/>
      <c r="C1481" s="62"/>
      <c r="D1481" s="62"/>
      <c r="E1481" s="62"/>
      <c r="F1481" s="62"/>
      <c r="G1481" s="62"/>
      <c r="H1481" s="62" t="str">
        <f>IF(AND('Data Export'!A1481=前十整体车型排名!$B$2,'Data Export'!B1481=前十整体车型排名!$B$3,'Data Export'!D1481&lt;&gt;""),UPPER('Data Export'!C1481)&amp;"♦"&amp;'Data Export'!D1481,"")</f>
        <v/>
      </c>
      <c r="I1481" s="63" t="str">
        <f>IF(H1481="","",IFERROR(INDEX('Data Export'!G1481:CZ1481,1,MATCH(前十整体车型排名!$B$4,'Data Export'!$G$1:$CZ$1,0)),0))</f>
        <v/>
      </c>
      <c r="J1481" s="62" t="str">
        <f>IF(H1481="","",IF(OR('Data Export'!F1481="三厢轿车",'Data Export'!F1481="掀背轿车",'Data Export'!F1481="旅行车",'Data Export'!F1481="微型车",'Data Export'!F1481="硬顶跑车",'Data Export'!F1481="敞蓬车",'Data Export'!F1481="Targa"),"轿车",IF(OR('Data Export'!F1481="小型MPV",'Data Export'!F1481="客车"),"MPV",IF('Data Export'!F1481="运动型多功能车","SUV","其他"))))</f>
        <v/>
      </c>
      <c r="K1481" s="62"/>
      <c r="L1481" s="62"/>
      <c r="M1481" s="62"/>
      <c r="N1481" s="62"/>
      <c r="O1481" s="62"/>
      <c r="P1481" s="62"/>
      <c r="Q1481" s="62"/>
    </row>
    <row r="1482" spans="1:17">
      <c r="A1482" s="62"/>
      <c r="B1482" s="62"/>
      <c r="C1482" s="62"/>
      <c r="D1482" s="62"/>
      <c r="E1482" s="62"/>
      <c r="F1482" s="62"/>
      <c r="G1482" s="62"/>
      <c r="H1482" s="62" t="str">
        <f>IF(AND('Data Export'!A1482=前十整体车型排名!$B$2,'Data Export'!B1482=前十整体车型排名!$B$3,'Data Export'!D1482&lt;&gt;""),UPPER('Data Export'!C1482)&amp;"♦"&amp;'Data Export'!D1482,"")</f>
        <v/>
      </c>
      <c r="I1482" s="63" t="str">
        <f>IF(H1482="","",IFERROR(INDEX('Data Export'!G1482:CZ1482,1,MATCH(前十整体车型排名!$B$4,'Data Export'!$G$1:$CZ$1,0)),0))</f>
        <v/>
      </c>
      <c r="J1482" s="62" t="str">
        <f>IF(H1482="","",IF(OR('Data Export'!F1482="三厢轿车",'Data Export'!F1482="掀背轿车",'Data Export'!F1482="旅行车",'Data Export'!F1482="微型车",'Data Export'!F1482="硬顶跑车",'Data Export'!F1482="敞蓬车",'Data Export'!F1482="Targa"),"轿车",IF(OR('Data Export'!F1482="小型MPV",'Data Export'!F1482="客车"),"MPV",IF('Data Export'!F1482="运动型多功能车","SUV","其他"))))</f>
        <v/>
      </c>
      <c r="K1482" s="62"/>
      <c r="L1482" s="62"/>
      <c r="M1482" s="62"/>
      <c r="N1482" s="62"/>
      <c r="O1482" s="62"/>
      <c r="P1482" s="62"/>
      <c r="Q1482" s="62"/>
    </row>
    <row r="1483" spans="1:17">
      <c r="A1483" s="62"/>
      <c r="B1483" s="62"/>
      <c r="C1483" s="62"/>
      <c r="D1483" s="62"/>
      <c r="E1483" s="62"/>
      <c r="F1483" s="62"/>
      <c r="G1483" s="62"/>
      <c r="H1483" s="62" t="str">
        <f>IF(AND('Data Export'!A1483=前十整体车型排名!$B$2,'Data Export'!B1483=前十整体车型排名!$B$3,'Data Export'!D1483&lt;&gt;""),UPPER('Data Export'!C1483)&amp;"♦"&amp;'Data Export'!D1483,"")</f>
        <v/>
      </c>
      <c r="I1483" s="63" t="str">
        <f>IF(H1483="","",IFERROR(INDEX('Data Export'!G1483:CZ1483,1,MATCH(前十整体车型排名!$B$4,'Data Export'!$G$1:$CZ$1,0)),0))</f>
        <v/>
      </c>
      <c r="J1483" s="62" t="str">
        <f>IF(H1483="","",IF(OR('Data Export'!F1483="三厢轿车",'Data Export'!F1483="掀背轿车",'Data Export'!F1483="旅行车",'Data Export'!F1483="微型车",'Data Export'!F1483="硬顶跑车",'Data Export'!F1483="敞蓬车",'Data Export'!F1483="Targa"),"轿车",IF(OR('Data Export'!F1483="小型MPV",'Data Export'!F1483="客车"),"MPV",IF('Data Export'!F1483="运动型多功能车","SUV","其他"))))</f>
        <v/>
      </c>
      <c r="K1483" s="62"/>
      <c r="L1483" s="62"/>
      <c r="M1483" s="62"/>
      <c r="N1483" s="62"/>
      <c r="O1483" s="62"/>
      <c r="P1483" s="62"/>
      <c r="Q1483" s="62"/>
    </row>
    <row r="1484" spans="1:17">
      <c r="A1484" s="62"/>
      <c r="B1484" s="62"/>
      <c r="C1484" s="62"/>
      <c r="D1484" s="62"/>
      <c r="E1484" s="62"/>
      <c r="F1484" s="62"/>
      <c r="G1484" s="62"/>
      <c r="H1484" s="62" t="str">
        <f>IF(AND('Data Export'!A1484=前十整体车型排名!$B$2,'Data Export'!B1484=前十整体车型排名!$B$3,'Data Export'!D1484&lt;&gt;""),UPPER('Data Export'!C1484)&amp;"♦"&amp;'Data Export'!D1484,"")</f>
        <v/>
      </c>
      <c r="I1484" s="63" t="str">
        <f>IF(H1484="","",IFERROR(INDEX('Data Export'!G1484:CZ1484,1,MATCH(前十整体车型排名!$B$4,'Data Export'!$G$1:$CZ$1,0)),0))</f>
        <v/>
      </c>
      <c r="J1484" s="62" t="str">
        <f>IF(H1484="","",IF(OR('Data Export'!F1484="三厢轿车",'Data Export'!F1484="掀背轿车",'Data Export'!F1484="旅行车",'Data Export'!F1484="微型车",'Data Export'!F1484="硬顶跑车",'Data Export'!F1484="敞蓬车",'Data Export'!F1484="Targa"),"轿车",IF(OR('Data Export'!F1484="小型MPV",'Data Export'!F1484="客车"),"MPV",IF('Data Export'!F1484="运动型多功能车","SUV","其他"))))</f>
        <v/>
      </c>
      <c r="K1484" s="62"/>
      <c r="L1484" s="62"/>
      <c r="M1484" s="62"/>
      <c r="N1484" s="62"/>
      <c r="O1484" s="62"/>
      <c r="P1484" s="62"/>
      <c r="Q1484" s="62"/>
    </row>
    <row r="1485" spans="1:17">
      <c r="A1485" s="62"/>
      <c r="B1485" s="62"/>
      <c r="C1485" s="62"/>
      <c r="D1485" s="62"/>
      <c r="E1485" s="62"/>
      <c r="F1485" s="62"/>
      <c r="G1485" s="62"/>
      <c r="H1485" s="62" t="str">
        <f>IF(AND('Data Export'!A1485=前十整体车型排名!$B$2,'Data Export'!B1485=前十整体车型排名!$B$3,'Data Export'!D1485&lt;&gt;""),UPPER('Data Export'!C1485)&amp;"♦"&amp;'Data Export'!D1485,"")</f>
        <v/>
      </c>
      <c r="I1485" s="63" t="str">
        <f>IF(H1485="","",IFERROR(INDEX('Data Export'!G1485:CZ1485,1,MATCH(前十整体车型排名!$B$4,'Data Export'!$G$1:$CZ$1,0)),0))</f>
        <v/>
      </c>
      <c r="J1485" s="62" t="str">
        <f>IF(H1485="","",IF(OR('Data Export'!F1485="三厢轿车",'Data Export'!F1485="掀背轿车",'Data Export'!F1485="旅行车",'Data Export'!F1485="微型车",'Data Export'!F1485="硬顶跑车",'Data Export'!F1485="敞蓬车",'Data Export'!F1485="Targa"),"轿车",IF(OR('Data Export'!F1485="小型MPV",'Data Export'!F1485="客车"),"MPV",IF('Data Export'!F1485="运动型多功能车","SUV","其他"))))</f>
        <v/>
      </c>
      <c r="K1485" s="62"/>
      <c r="L1485" s="62"/>
      <c r="M1485" s="62"/>
      <c r="N1485" s="62"/>
      <c r="O1485" s="62"/>
      <c r="P1485" s="62"/>
      <c r="Q1485" s="62"/>
    </row>
    <row r="1486" spans="1:17">
      <c r="A1486" s="62"/>
      <c r="B1486" s="62"/>
      <c r="C1486" s="62"/>
      <c r="D1486" s="62"/>
      <c r="E1486" s="62"/>
      <c r="F1486" s="62"/>
      <c r="G1486" s="62"/>
      <c r="H1486" s="62" t="str">
        <f>IF(AND('Data Export'!A1486=前十整体车型排名!$B$2,'Data Export'!B1486=前十整体车型排名!$B$3,'Data Export'!D1486&lt;&gt;""),UPPER('Data Export'!C1486)&amp;"♦"&amp;'Data Export'!D1486,"")</f>
        <v/>
      </c>
      <c r="I1486" s="63" t="str">
        <f>IF(H1486="","",IFERROR(INDEX('Data Export'!G1486:CZ1486,1,MATCH(前十整体车型排名!$B$4,'Data Export'!$G$1:$CZ$1,0)),0))</f>
        <v/>
      </c>
      <c r="J1486" s="62" t="str">
        <f>IF(H1486="","",IF(OR('Data Export'!F1486="三厢轿车",'Data Export'!F1486="掀背轿车",'Data Export'!F1486="旅行车",'Data Export'!F1486="微型车",'Data Export'!F1486="硬顶跑车",'Data Export'!F1486="敞蓬车",'Data Export'!F1486="Targa"),"轿车",IF(OR('Data Export'!F1486="小型MPV",'Data Export'!F1486="客车"),"MPV",IF('Data Export'!F1486="运动型多功能车","SUV","其他"))))</f>
        <v/>
      </c>
      <c r="K1486" s="62"/>
      <c r="L1486" s="62"/>
      <c r="M1486" s="62"/>
      <c r="N1486" s="62"/>
      <c r="O1486" s="62"/>
      <c r="P1486" s="62"/>
      <c r="Q1486" s="62"/>
    </row>
    <row r="1487" spans="1:17">
      <c r="A1487" s="62"/>
      <c r="B1487" s="62"/>
      <c r="C1487" s="62"/>
      <c r="D1487" s="62"/>
      <c r="E1487" s="62"/>
      <c r="F1487" s="62"/>
      <c r="G1487" s="62"/>
      <c r="H1487" s="62" t="str">
        <f>IF(AND('Data Export'!A1487=前十整体车型排名!$B$2,'Data Export'!B1487=前十整体车型排名!$B$3,'Data Export'!D1487&lt;&gt;""),UPPER('Data Export'!C1487)&amp;"♦"&amp;'Data Export'!D1487,"")</f>
        <v/>
      </c>
      <c r="I1487" s="63" t="str">
        <f>IF(H1487="","",IFERROR(INDEX('Data Export'!G1487:CZ1487,1,MATCH(前十整体车型排名!$B$4,'Data Export'!$G$1:$CZ$1,0)),0))</f>
        <v/>
      </c>
      <c r="J1487" s="62" t="str">
        <f>IF(H1487="","",IF(OR('Data Export'!F1487="三厢轿车",'Data Export'!F1487="掀背轿车",'Data Export'!F1487="旅行车",'Data Export'!F1487="微型车",'Data Export'!F1487="硬顶跑车",'Data Export'!F1487="敞蓬车",'Data Export'!F1487="Targa"),"轿车",IF(OR('Data Export'!F1487="小型MPV",'Data Export'!F1487="客车"),"MPV",IF('Data Export'!F1487="运动型多功能车","SUV","其他"))))</f>
        <v/>
      </c>
      <c r="K1487" s="62"/>
      <c r="L1487" s="62"/>
      <c r="M1487" s="62"/>
      <c r="N1487" s="62"/>
      <c r="O1487" s="62"/>
      <c r="P1487" s="62"/>
      <c r="Q1487" s="62"/>
    </row>
    <row r="1488" spans="1:17">
      <c r="A1488" s="62"/>
      <c r="B1488" s="62"/>
      <c r="C1488" s="62"/>
      <c r="D1488" s="62"/>
      <c r="E1488" s="62"/>
      <c r="F1488" s="62"/>
      <c r="G1488" s="62"/>
      <c r="H1488" s="62" t="str">
        <f>IF(AND('Data Export'!A1488=前十整体车型排名!$B$2,'Data Export'!B1488=前十整体车型排名!$B$3,'Data Export'!D1488&lt;&gt;""),UPPER('Data Export'!C1488)&amp;"♦"&amp;'Data Export'!D1488,"")</f>
        <v/>
      </c>
      <c r="I1488" s="63" t="str">
        <f>IF(H1488="","",IFERROR(INDEX('Data Export'!G1488:CZ1488,1,MATCH(前十整体车型排名!$B$4,'Data Export'!$G$1:$CZ$1,0)),0))</f>
        <v/>
      </c>
      <c r="J1488" s="62" t="str">
        <f>IF(H1488="","",IF(OR('Data Export'!F1488="三厢轿车",'Data Export'!F1488="掀背轿车",'Data Export'!F1488="旅行车",'Data Export'!F1488="微型车",'Data Export'!F1488="硬顶跑车",'Data Export'!F1488="敞蓬车",'Data Export'!F1488="Targa"),"轿车",IF(OR('Data Export'!F1488="小型MPV",'Data Export'!F1488="客车"),"MPV",IF('Data Export'!F1488="运动型多功能车","SUV","其他"))))</f>
        <v/>
      </c>
      <c r="K1488" s="62"/>
      <c r="L1488" s="62"/>
      <c r="M1488" s="62"/>
      <c r="N1488" s="62"/>
      <c r="O1488" s="62"/>
      <c r="P1488" s="62"/>
      <c r="Q1488" s="62"/>
    </row>
    <row r="1489" spans="1:17">
      <c r="A1489" s="62"/>
      <c r="B1489" s="62"/>
      <c r="C1489" s="62"/>
      <c r="D1489" s="62"/>
      <c r="E1489" s="62"/>
      <c r="F1489" s="62"/>
      <c r="G1489" s="62"/>
      <c r="H1489" s="62" t="str">
        <f>IF(AND('Data Export'!A1489=前十整体车型排名!$B$2,'Data Export'!B1489=前十整体车型排名!$B$3,'Data Export'!D1489&lt;&gt;""),UPPER('Data Export'!C1489)&amp;"♦"&amp;'Data Export'!D1489,"")</f>
        <v/>
      </c>
      <c r="I1489" s="63" t="str">
        <f>IF(H1489="","",IFERROR(INDEX('Data Export'!G1489:CZ1489,1,MATCH(前十整体车型排名!$B$4,'Data Export'!$G$1:$CZ$1,0)),0))</f>
        <v/>
      </c>
      <c r="J1489" s="62" t="str">
        <f>IF(H1489="","",IF(OR('Data Export'!F1489="三厢轿车",'Data Export'!F1489="掀背轿车",'Data Export'!F1489="旅行车",'Data Export'!F1489="微型车",'Data Export'!F1489="硬顶跑车",'Data Export'!F1489="敞蓬车",'Data Export'!F1489="Targa"),"轿车",IF(OR('Data Export'!F1489="小型MPV",'Data Export'!F1489="客车"),"MPV",IF('Data Export'!F1489="运动型多功能车","SUV","其他"))))</f>
        <v/>
      </c>
      <c r="K1489" s="62"/>
      <c r="L1489" s="62"/>
      <c r="M1489" s="62"/>
      <c r="N1489" s="62"/>
      <c r="O1489" s="62"/>
      <c r="P1489" s="62"/>
      <c r="Q1489" s="62"/>
    </row>
    <row r="1490" spans="1:17">
      <c r="A1490" s="62"/>
      <c r="B1490" s="62"/>
      <c r="C1490" s="62"/>
      <c r="D1490" s="62"/>
      <c r="E1490" s="62"/>
      <c r="F1490" s="62"/>
      <c r="G1490" s="62"/>
      <c r="H1490" s="62" t="str">
        <f>IF(AND('Data Export'!A1490=前十整体车型排名!$B$2,'Data Export'!B1490=前十整体车型排名!$B$3,'Data Export'!D1490&lt;&gt;""),UPPER('Data Export'!C1490)&amp;"♦"&amp;'Data Export'!D1490,"")</f>
        <v/>
      </c>
      <c r="I1490" s="63" t="str">
        <f>IF(H1490="","",IFERROR(INDEX('Data Export'!G1490:CZ1490,1,MATCH(前十整体车型排名!$B$4,'Data Export'!$G$1:$CZ$1,0)),0))</f>
        <v/>
      </c>
      <c r="J1490" s="62" t="str">
        <f>IF(H1490="","",IF(OR('Data Export'!F1490="三厢轿车",'Data Export'!F1490="掀背轿车",'Data Export'!F1490="旅行车",'Data Export'!F1490="微型车",'Data Export'!F1490="硬顶跑车",'Data Export'!F1490="敞蓬车",'Data Export'!F1490="Targa"),"轿车",IF(OR('Data Export'!F1490="小型MPV",'Data Export'!F1490="客车"),"MPV",IF('Data Export'!F1490="运动型多功能车","SUV","其他"))))</f>
        <v/>
      </c>
      <c r="K1490" s="62"/>
      <c r="L1490" s="62"/>
      <c r="M1490" s="62"/>
      <c r="N1490" s="62"/>
      <c r="O1490" s="62"/>
      <c r="P1490" s="62"/>
      <c r="Q1490" s="62"/>
    </row>
    <row r="1491" spans="1:17">
      <c r="A1491" s="62"/>
      <c r="B1491" s="62"/>
      <c r="C1491" s="62"/>
      <c r="D1491" s="62"/>
      <c r="E1491" s="62"/>
      <c r="F1491" s="62"/>
      <c r="G1491" s="62"/>
      <c r="H1491" s="62" t="str">
        <f>IF(AND('Data Export'!A1491=前十整体车型排名!$B$2,'Data Export'!B1491=前十整体车型排名!$B$3,'Data Export'!D1491&lt;&gt;""),UPPER('Data Export'!C1491)&amp;"♦"&amp;'Data Export'!D1491,"")</f>
        <v/>
      </c>
      <c r="I1491" s="63" t="str">
        <f>IF(H1491="","",IFERROR(INDEX('Data Export'!G1491:CZ1491,1,MATCH(前十整体车型排名!$B$4,'Data Export'!$G$1:$CZ$1,0)),0))</f>
        <v/>
      </c>
      <c r="J1491" s="62" t="str">
        <f>IF(H1491="","",IF(OR('Data Export'!F1491="三厢轿车",'Data Export'!F1491="掀背轿车",'Data Export'!F1491="旅行车",'Data Export'!F1491="微型车",'Data Export'!F1491="硬顶跑车",'Data Export'!F1491="敞蓬车",'Data Export'!F1491="Targa"),"轿车",IF(OR('Data Export'!F1491="小型MPV",'Data Export'!F1491="客车"),"MPV",IF('Data Export'!F1491="运动型多功能车","SUV","其他"))))</f>
        <v/>
      </c>
      <c r="K1491" s="62"/>
      <c r="L1491" s="62"/>
      <c r="M1491" s="62"/>
      <c r="N1491" s="62"/>
      <c r="O1491" s="62"/>
      <c r="P1491" s="62"/>
      <c r="Q1491" s="62"/>
    </row>
    <row r="1492" spans="1:17">
      <c r="A1492" s="62"/>
      <c r="B1492" s="62"/>
      <c r="C1492" s="62"/>
      <c r="D1492" s="62"/>
      <c r="E1492" s="62"/>
      <c r="F1492" s="62"/>
      <c r="G1492" s="62"/>
      <c r="H1492" s="62" t="str">
        <f>IF(AND('Data Export'!A1492=前十整体车型排名!$B$2,'Data Export'!B1492=前十整体车型排名!$B$3,'Data Export'!D1492&lt;&gt;""),UPPER('Data Export'!C1492)&amp;"♦"&amp;'Data Export'!D1492,"")</f>
        <v/>
      </c>
      <c r="I1492" s="63" t="str">
        <f>IF(H1492="","",IFERROR(INDEX('Data Export'!G1492:CZ1492,1,MATCH(前十整体车型排名!$B$4,'Data Export'!$G$1:$CZ$1,0)),0))</f>
        <v/>
      </c>
      <c r="J1492" s="62" t="str">
        <f>IF(H1492="","",IF(OR('Data Export'!F1492="三厢轿车",'Data Export'!F1492="掀背轿车",'Data Export'!F1492="旅行车",'Data Export'!F1492="微型车",'Data Export'!F1492="硬顶跑车",'Data Export'!F1492="敞蓬车",'Data Export'!F1492="Targa"),"轿车",IF(OR('Data Export'!F1492="小型MPV",'Data Export'!F1492="客车"),"MPV",IF('Data Export'!F1492="运动型多功能车","SUV","其他"))))</f>
        <v/>
      </c>
      <c r="K1492" s="62"/>
      <c r="L1492" s="62"/>
      <c r="M1492" s="62"/>
      <c r="N1492" s="62"/>
      <c r="O1492" s="62"/>
      <c r="P1492" s="62"/>
      <c r="Q1492" s="62"/>
    </row>
    <row r="1493" spans="1:17">
      <c r="A1493" s="62"/>
      <c r="B1493" s="62"/>
      <c r="C1493" s="62"/>
      <c r="D1493" s="62"/>
      <c r="E1493" s="62"/>
      <c r="F1493" s="62"/>
      <c r="G1493" s="62"/>
      <c r="H1493" s="62" t="str">
        <f>IF(AND('Data Export'!A1493=前十整体车型排名!$B$2,'Data Export'!B1493=前十整体车型排名!$B$3,'Data Export'!D1493&lt;&gt;""),UPPER('Data Export'!C1493)&amp;"♦"&amp;'Data Export'!D1493,"")</f>
        <v/>
      </c>
      <c r="I1493" s="63" t="str">
        <f>IF(H1493="","",IFERROR(INDEX('Data Export'!G1493:CZ1493,1,MATCH(前十整体车型排名!$B$4,'Data Export'!$G$1:$CZ$1,0)),0))</f>
        <v/>
      </c>
      <c r="J1493" s="62" t="str">
        <f>IF(H1493="","",IF(OR('Data Export'!F1493="三厢轿车",'Data Export'!F1493="掀背轿车",'Data Export'!F1493="旅行车",'Data Export'!F1493="微型车",'Data Export'!F1493="硬顶跑车",'Data Export'!F1493="敞蓬车",'Data Export'!F1493="Targa"),"轿车",IF(OR('Data Export'!F1493="小型MPV",'Data Export'!F1493="客车"),"MPV",IF('Data Export'!F1493="运动型多功能车","SUV","其他"))))</f>
        <v/>
      </c>
      <c r="K1493" s="62"/>
      <c r="L1493" s="62"/>
      <c r="M1493" s="62"/>
      <c r="N1493" s="62"/>
      <c r="O1493" s="62"/>
      <c r="P1493" s="62"/>
      <c r="Q1493" s="62"/>
    </row>
    <row r="1494" spans="1:17">
      <c r="A1494" s="62"/>
      <c r="B1494" s="62"/>
      <c r="C1494" s="62"/>
      <c r="D1494" s="62"/>
      <c r="E1494" s="62"/>
      <c r="F1494" s="62"/>
      <c r="G1494" s="62"/>
      <c r="H1494" s="62" t="str">
        <f>IF(AND('Data Export'!A1494=前十整体车型排名!$B$2,'Data Export'!B1494=前十整体车型排名!$B$3,'Data Export'!D1494&lt;&gt;""),UPPER('Data Export'!C1494)&amp;"♦"&amp;'Data Export'!D1494,"")</f>
        <v/>
      </c>
      <c r="I1494" s="63" t="str">
        <f>IF(H1494="","",IFERROR(INDEX('Data Export'!G1494:CZ1494,1,MATCH(前十整体车型排名!$B$4,'Data Export'!$G$1:$CZ$1,0)),0))</f>
        <v/>
      </c>
      <c r="J1494" s="62" t="str">
        <f>IF(H1494="","",IF(OR('Data Export'!F1494="三厢轿车",'Data Export'!F1494="掀背轿车",'Data Export'!F1494="旅行车",'Data Export'!F1494="微型车",'Data Export'!F1494="硬顶跑车",'Data Export'!F1494="敞蓬车",'Data Export'!F1494="Targa"),"轿车",IF(OR('Data Export'!F1494="小型MPV",'Data Export'!F1494="客车"),"MPV",IF('Data Export'!F1494="运动型多功能车","SUV","其他"))))</f>
        <v/>
      </c>
      <c r="K1494" s="62"/>
      <c r="L1494" s="62"/>
      <c r="M1494" s="62"/>
      <c r="N1494" s="62"/>
      <c r="O1494" s="62"/>
      <c r="P1494" s="62"/>
      <c r="Q1494" s="62"/>
    </row>
    <row r="1495" spans="1:17">
      <c r="A1495" s="62"/>
      <c r="B1495" s="62"/>
      <c r="C1495" s="62"/>
      <c r="D1495" s="62"/>
      <c r="E1495" s="62"/>
      <c r="F1495" s="62"/>
      <c r="G1495" s="62"/>
      <c r="H1495" s="62" t="str">
        <f>IF(AND('Data Export'!A1495=前十整体车型排名!$B$2,'Data Export'!B1495=前十整体车型排名!$B$3,'Data Export'!D1495&lt;&gt;""),UPPER('Data Export'!C1495)&amp;"♦"&amp;'Data Export'!D1495,"")</f>
        <v/>
      </c>
      <c r="I1495" s="63" t="str">
        <f>IF(H1495="","",IFERROR(INDEX('Data Export'!G1495:CZ1495,1,MATCH(前十整体车型排名!$B$4,'Data Export'!$G$1:$CZ$1,0)),0))</f>
        <v/>
      </c>
      <c r="J1495" s="62" t="str">
        <f>IF(H1495="","",IF(OR('Data Export'!F1495="三厢轿车",'Data Export'!F1495="掀背轿车",'Data Export'!F1495="旅行车",'Data Export'!F1495="微型车",'Data Export'!F1495="硬顶跑车",'Data Export'!F1495="敞蓬车",'Data Export'!F1495="Targa"),"轿车",IF(OR('Data Export'!F1495="小型MPV",'Data Export'!F1495="客车"),"MPV",IF('Data Export'!F1495="运动型多功能车","SUV","其他"))))</f>
        <v/>
      </c>
      <c r="K1495" s="62"/>
      <c r="L1495" s="62"/>
      <c r="M1495" s="62"/>
      <c r="N1495" s="62"/>
      <c r="O1495" s="62"/>
      <c r="P1495" s="62"/>
      <c r="Q1495" s="62"/>
    </row>
    <row r="1496" spans="1:17">
      <c r="A1496" s="62"/>
      <c r="B1496" s="62"/>
      <c r="C1496" s="62"/>
      <c r="D1496" s="62"/>
      <c r="E1496" s="62"/>
      <c r="F1496" s="62"/>
      <c r="G1496" s="62"/>
      <c r="H1496" s="62" t="str">
        <f>IF(AND('Data Export'!A1496=前十整体车型排名!$B$2,'Data Export'!B1496=前十整体车型排名!$B$3,'Data Export'!D1496&lt;&gt;""),UPPER('Data Export'!C1496)&amp;"♦"&amp;'Data Export'!D1496,"")</f>
        <v/>
      </c>
      <c r="I1496" s="63" t="str">
        <f>IF(H1496="","",IFERROR(INDEX('Data Export'!G1496:CZ1496,1,MATCH(前十整体车型排名!$B$4,'Data Export'!$G$1:$CZ$1,0)),0))</f>
        <v/>
      </c>
      <c r="J1496" s="62" t="str">
        <f>IF(H1496="","",IF(OR('Data Export'!F1496="三厢轿车",'Data Export'!F1496="掀背轿车",'Data Export'!F1496="旅行车",'Data Export'!F1496="微型车",'Data Export'!F1496="硬顶跑车",'Data Export'!F1496="敞蓬车",'Data Export'!F1496="Targa"),"轿车",IF(OR('Data Export'!F1496="小型MPV",'Data Export'!F1496="客车"),"MPV",IF('Data Export'!F1496="运动型多功能车","SUV","其他"))))</f>
        <v/>
      </c>
      <c r="K1496" s="62"/>
      <c r="L1496" s="62"/>
      <c r="M1496" s="62"/>
      <c r="N1496" s="62"/>
      <c r="O1496" s="62"/>
      <c r="P1496" s="62"/>
      <c r="Q1496" s="62"/>
    </row>
    <row r="1497" spans="1:17">
      <c r="A1497" s="62"/>
      <c r="B1497" s="62"/>
      <c r="C1497" s="62"/>
      <c r="D1497" s="62"/>
      <c r="E1497" s="62"/>
      <c r="F1497" s="62"/>
      <c r="G1497" s="62"/>
      <c r="H1497" s="62" t="str">
        <f>IF(AND('Data Export'!A1497=前十整体车型排名!$B$2,'Data Export'!B1497=前十整体车型排名!$B$3,'Data Export'!D1497&lt;&gt;""),UPPER('Data Export'!C1497)&amp;"♦"&amp;'Data Export'!D1497,"")</f>
        <v/>
      </c>
      <c r="I1497" s="63" t="str">
        <f>IF(H1497="","",IFERROR(INDEX('Data Export'!G1497:CZ1497,1,MATCH(前十整体车型排名!$B$4,'Data Export'!$G$1:$CZ$1,0)),0))</f>
        <v/>
      </c>
      <c r="J1497" s="62" t="str">
        <f>IF(H1497="","",IF(OR('Data Export'!F1497="三厢轿车",'Data Export'!F1497="掀背轿车",'Data Export'!F1497="旅行车",'Data Export'!F1497="微型车",'Data Export'!F1497="硬顶跑车",'Data Export'!F1497="敞蓬车",'Data Export'!F1497="Targa"),"轿车",IF(OR('Data Export'!F1497="小型MPV",'Data Export'!F1497="客车"),"MPV",IF('Data Export'!F1497="运动型多功能车","SUV","其他"))))</f>
        <v/>
      </c>
      <c r="K1497" s="62"/>
      <c r="L1497" s="62"/>
      <c r="M1497" s="62"/>
      <c r="N1497" s="62"/>
      <c r="O1497" s="62"/>
      <c r="P1497" s="62"/>
      <c r="Q1497" s="62"/>
    </row>
    <row r="1498" spans="1:17">
      <c r="A1498" s="62"/>
      <c r="B1498" s="62"/>
      <c r="C1498" s="62"/>
      <c r="D1498" s="62"/>
      <c r="E1498" s="62"/>
      <c r="F1498" s="62"/>
      <c r="G1498" s="62"/>
      <c r="H1498" s="62" t="str">
        <f>IF(AND('Data Export'!A1498=前十整体车型排名!$B$2,'Data Export'!B1498=前十整体车型排名!$B$3,'Data Export'!D1498&lt;&gt;""),UPPER('Data Export'!C1498)&amp;"♦"&amp;'Data Export'!D1498,"")</f>
        <v/>
      </c>
      <c r="I1498" s="63" t="str">
        <f>IF(H1498="","",IFERROR(INDEX('Data Export'!G1498:CZ1498,1,MATCH(前十整体车型排名!$B$4,'Data Export'!$G$1:$CZ$1,0)),0))</f>
        <v/>
      </c>
      <c r="J1498" s="62" t="str">
        <f>IF(H1498="","",IF(OR('Data Export'!F1498="三厢轿车",'Data Export'!F1498="掀背轿车",'Data Export'!F1498="旅行车",'Data Export'!F1498="微型车",'Data Export'!F1498="硬顶跑车",'Data Export'!F1498="敞蓬车",'Data Export'!F1498="Targa"),"轿车",IF(OR('Data Export'!F1498="小型MPV",'Data Export'!F1498="客车"),"MPV",IF('Data Export'!F1498="运动型多功能车","SUV","其他"))))</f>
        <v/>
      </c>
      <c r="K1498" s="62"/>
      <c r="L1498" s="62"/>
      <c r="M1498" s="62"/>
      <c r="N1498" s="62"/>
      <c r="O1498" s="62"/>
      <c r="P1498" s="62"/>
      <c r="Q1498" s="62"/>
    </row>
    <row r="1499" spans="1:17">
      <c r="A1499" s="62"/>
      <c r="B1499" s="62"/>
      <c r="C1499" s="62"/>
      <c r="D1499" s="62"/>
      <c r="E1499" s="62"/>
      <c r="F1499" s="62"/>
      <c r="G1499" s="62"/>
      <c r="H1499" s="62" t="str">
        <f>IF(AND('Data Export'!A1499=前十整体车型排名!$B$2,'Data Export'!B1499=前十整体车型排名!$B$3,'Data Export'!D1499&lt;&gt;""),UPPER('Data Export'!C1499)&amp;"♦"&amp;'Data Export'!D1499,"")</f>
        <v/>
      </c>
      <c r="I1499" s="63" t="str">
        <f>IF(H1499="","",IFERROR(INDEX('Data Export'!G1499:CZ1499,1,MATCH(前十整体车型排名!$B$4,'Data Export'!$G$1:$CZ$1,0)),0))</f>
        <v/>
      </c>
      <c r="J1499" s="62" t="str">
        <f>IF(H1499="","",IF(OR('Data Export'!F1499="三厢轿车",'Data Export'!F1499="掀背轿车",'Data Export'!F1499="旅行车",'Data Export'!F1499="微型车",'Data Export'!F1499="硬顶跑车",'Data Export'!F1499="敞蓬车",'Data Export'!F1499="Targa"),"轿车",IF(OR('Data Export'!F1499="小型MPV",'Data Export'!F1499="客车"),"MPV",IF('Data Export'!F1499="运动型多功能车","SUV","其他"))))</f>
        <v/>
      </c>
      <c r="K1499" s="62"/>
      <c r="L1499" s="62"/>
      <c r="M1499" s="62"/>
      <c r="N1499" s="62"/>
      <c r="O1499" s="62"/>
      <c r="P1499" s="62"/>
      <c r="Q1499" s="62"/>
    </row>
    <row r="1500" spans="1:17">
      <c r="A1500" s="62"/>
      <c r="B1500" s="62"/>
      <c r="C1500" s="62"/>
      <c r="D1500" s="62"/>
      <c r="E1500" s="62"/>
      <c r="F1500" s="62"/>
      <c r="G1500" s="62"/>
      <c r="H1500" s="62" t="str">
        <f>IF(AND('Data Export'!A1500=前十整体车型排名!$B$2,'Data Export'!B1500=前十整体车型排名!$B$3,'Data Export'!D1500&lt;&gt;""),UPPER('Data Export'!C1500)&amp;"♦"&amp;'Data Export'!D1500,"")</f>
        <v/>
      </c>
      <c r="I1500" s="63" t="str">
        <f>IF(H1500="","",IFERROR(INDEX('Data Export'!G1500:CZ1500,1,MATCH(前十整体车型排名!$B$4,'Data Export'!$G$1:$CZ$1,0)),0))</f>
        <v/>
      </c>
      <c r="J1500" s="62" t="str">
        <f>IF(H1500="","",IF(OR('Data Export'!F1500="三厢轿车",'Data Export'!F1500="掀背轿车",'Data Export'!F1500="旅行车",'Data Export'!F1500="微型车",'Data Export'!F1500="硬顶跑车",'Data Export'!F1500="敞蓬车",'Data Export'!F1500="Targa"),"轿车",IF(OR('Data Export'!F1500="小型MPV",'Data Export'!F1500="客车"),"MPV",IF('Data Export'!F1500="运动型多功能车","SUV","其他"))))</f>
        <v/>
      </c>
      <c r="K1500" s="62"/>
      <c r="L1500" s="62"/>
      <c r="M1500" s="62"/>
      <c r="N1500" s="62"/>
      <c r="O1500" s="62"/>
      <c r="P1500" s="62"/>
      <c r="Q1500" s="62"/>
    </row>
    <row r="1501" spans="1:17">
      <c r="A1501" s="62"/>
      <c r="B1501" s="62"/>
      <c r="C1501" s="62"/>
      <c r="D1501" s="62"/>
      <c r="E1501" s="62"/>
      <c r="F1501" s="62"/>
      <c r="G1501" s="62"/>
      <c r="H1501" s="62" t="str">
        <f>IF(AND('Data Export'!A1501=前十整体车型排名!$B$2,'Data Export'!B1501=前十整体车型排名!$B$3,'Data Export'!D1501&lt;&gt;""),UPPER('Data Export'!C1501)&amp;"♦"&amp;'Data Export'!D1501,"")</f>
        <v/>
      </c>
      <c r="I1501" s="63" t="str">
        <f>IF(H1501="","",IFERROR(INDEX('Data Export'!G1501:CZ1501,1,MATCH(前十整体车型排名!$B$4,'Data Export'!$G$1:$CZ$1,0)),0))</f>
        <v/>
      </c>
      <c r="J1501" s="62" t="str">
        <f>IF(H1501="","",IF(OR('Data Export'!F1501="三厢轿车",'Data Export'!F1501="掀背轿车",'Data Export'!F1501="旅行车",'Data Export'!F1501="微型车",'Data Export'!F1501="硬顶跑车",'Data Export'!F1501="敞蓬车",'Data Export'!F1501="Targa"),"轿车",IF(OR('Data Export'!F1501="小型MPV",'Data Export'!F1501="客车"),"MPV",IF('Data Export'!F1501="运动型多功能车","SUV","其他"))))</f>
        <v/>
      </c>
      <c r="K1501" s="62"/>
      <c r="L1501" s="62"/>
      <c r="M1501" s="62"/>
      <c r="N1501" s="62"/>
      <c r="O1501" s="62"/>
      <c r="P1501" s="62"/>
      <c r="Q1501" s="62"/>
    </row>
    <row r="1502" spans="1:17">
      <c r="A1502" s="62"/>
      <c r="B1502" s="62"/>
      <c r="C1502" s="62"/>
      <c r="D1502" s="62"/>
      <c r="E1502" s="62"/>
      <c r="F1502" s="62"/>
      <c r="G1502" s="62"/>
      <c r="H1502" s="62" t="str">
        <f>IF(AND('Data Export'!A1502=前十整体车型排名!$B$2,'Data Export'!B1502=前十整体车型排名!$B$3,'Data Export'!D1502&lt;&gt;""),UPPER('Data Export'!C1502)&amp;"♦"&amp;'Data Export'!D1502,"")</f>
        <v/>
      </c>
      <c r="I1502" s="63" t="str">
        <f>IF(H1502="","",IFERROR(INDEX('Data Export'!G1502:CZ1502,1,MATCH(前十整体车型排名!$B$4,'Data Export'!$G$1:$CZ$1,0)),0))</f>
        <v/>
      </c>
      <c r="J1502" s="62" t="str">
        <f>IF(H1502="","",IF(OR('Data Export'!F1502="三厢轿车",'Data Export'!F1502="掀背轿车",'Data Export'!F1502="旅行车",'Data Export'!F1502="微型车",'Data Export'!F1502="硬顶跑车",'Data Export'!F1502="敞蓬车",'Data Export'!F1502="Targa"),"轿车",IF(OR('Data Export'!F1502="小型MPV",'Data Export'!F1502="客车"),"MPV",IF('Data Export'!F1502="运动型多功能车","SUV","其他"))))</f>
        <v/>
      </c>
      <c r="K1502" s="62"/>
      <c r="L1502" s="62"/>
      <c r="M1502" s="62"/>
      <c r="N1502" s="62"/>
      <c r="O1502" s="62"/>
      <c r="P1502" s="62"/>
      <c r="Q1502" s="62"/>
    </row>
    <row r="1503" spans="1:17">
      <c r="A1503" s="62"/>
      <c r="B1503" s="62"/>
      <c r="C1503" s="62"/>
      <c r="D1503" s="62"/>
      <c r="E1503" s="62"/>
      <c r="F1503" s="62"/>
      <c r="G1503" s="62"/>
      <c r="H1503" s="62" t="str">
        <f>IF(AND('Data Export'!A1503=前十整体车型排名!$B$2,'Data Export'!B1503=前十整体车型排名!$B$3,'Data Export'!D1503&lt;&gt;""),UPPER('Data Export'!C1503)&amp;"♦"&amp;'Data Export'!D1503,"")</f>
        <v/>
      </c>
      <c r="I1503" s="63" t="str">
        <f>IF(H1503="","",IFERROR(INDEX('Data Export'!G1503:CZ1503,1,MATCH(前十整体车型排名!$B$4,'Data Export'!$G$1:$CZ$1,0)),0))</f>
        <v/>
      </c>
      <c r="J1503" s="62" t="str">
        <f>IF(H1503="","",IF(OR('Data Export'!F1503="三厢轿车",'Data Export'!F1503="掀背轿车",'Data Export'!F1503="旅行车",'Data Export'!F1503="微型车",'Data Export'!F1503="硬顶跑车",'Data Export'!F1503="敞蓬车",'Data Export'!F1503="Targa"),"轿车",IF(OR('Data Export'!F1503="小型MPV",'Data Export'!F1503="客车"),"MPV",IF('Data Export'!F1503="运动型多功能车","SUV","其他"))))</f>
        <v/>
      </c>
      <c r="K1503" s="62"/>
      <c r="L1503" s="62"/>
      <c r="M1503" s="62"/>
      <c r="N1503" s="62"/>
      <c r="O1503" s="62"/>
      <c r="P1503" s="62"/>
      <c r="Q1503" s="62"/>
    </row>
    <row r="1504" spans="1:17">
      <c r="A1504" s="62"/>
      <c r="B1504" s="62"/>
      <c r="C1504" s="62"/>
      <c r="D1504" s="62"/>
      <c r="E1504" s="62"/>
      <c r="F1504" s="62"/>
      <c r="G1504" s="62"/>
      <c r="H1504" s="62" t="str">
        <f>IF(AND('Data Export'!A1504=前十整体车型排名!$B$2,'Data Export'!B1504=前十整体车型排名!$B$3,'Data Export'!D1504&lt;&gt;""),UPPER('Data Export'!C1504)&amp;"♦"&amp;'Data Export'!D1504,"")</f>
        <v/>
      </c>
      <c r="I1504" s="63" t="str">
        <f>IF(H1504="","",IFERROR(INDEX('Data Export'!G1504:CZ1504,1,MATCH(前十整体车型排名!$B$4,'Data Export'!$G$1:$CZ$1,0)),0))</f>
        <v/>
      </c>
      <c r="J1504" s="62" t="str">
        <f>IF(H1504="","",IF(OR('Data Export'!F1504="三厢轿车",'Data Export'!F1504="掀背轿车",'Data Export'!F1504="旅行车",'Data Export'!F1504="微型车",'Data Export'!F1504="硬顶跑车",'Data Export'!F1504="敞蓬车",'Data Export'!F1504="Targa"),"轿车",IF(OR('Data Export'!F1504="小型MPV",'Data Export'!F1504="客车"),"MPV",IF('Data Export'!F1504="运动型多功能车","SUV","其他"))))</f>
        <v/>
      </c>
      <c r="K1504" s="62"/>
      <c r="L1504" s="62"/>
      <c r="M1504" s="62"/>
      <c r="N1504" s="62"/>
      <c r="O1504" s="62"/>
      <c r="P1504" s="62"/>
      <c r="Q1504" s="62"/>
    </row>
    <row r="1505" spans="1:17">
      <c r="A1505" s="62"/>
      <c r="B1505" s="62"/>
      <c r="C1505" s="62"/>
      <c r="D1505" s="62"/>
      <c r="E1505" s="62"/>
      <c r="F1505" s="62"/>
      <c r="G1505" s="62"/>
      <c r="H1505" s="62" t="str">
        <f>IF(AND('Data Export'!A1505=前十整体车型排名!$B$2,'Data Export'!B1505=前十整体车型排名!$B$3,'Data Export'!D1505&lt;&gt;""),UPPER('Data Export'!C1505)&amp;"♦"&amp;'Data Export'!D1505,"")</f>
        <v/>
      </c>
      <c r="I1505" s="63" t="str">
        <f>IF(H1505="","",IFERROR(INDEX('Data Export'!G1505:CZ1505,1,MATCH(前十整体车型排名!$B$4,'Data Export'!$G$1:$CZ$1,0)),0))</f>
        <v/>
      </c>
      <c r="J1505" s="62" t="str">
        <f>IF(H1505="","",IF(OR('Data Export'!F1505="三厢轿车",'Data Export'!F1505="掀背轿车",'Data Export'!F1505="旅行车",'Data Export'!F1505="微型车",'Data Export'!F1505="硬顶跑车",'Data Export'!F1505="敞蓬车",'Data Export'!F1505="Targa"),"轿车",IF(OR('Data Export'!F1505="小型MPV",'Data Export'!F1505="客车"),"MPV",IF('Data Export'!F1505="运动型多功能车","SUV","其他"))))</f>
        <v/>
      </c>
      <c r="K1505" s="62"/>
      <c r="L1505" s="62"/>
      <c r="M1505" s="62"/>
      <c r="N1505" s="62"/>
      <c r="O1505" s="62"/>
      <c r="P1505" s="62"/>
      <c r="Q1505" s="62"/>
    </row>
    <row r="1506" spans="1:17">
      <c r="A1506" s="62"/>
      <c r="B1506" s="62"/>
      <c r="C1506" s="62"/>
      <c r="D1506" s="62"/>
      <c r="E1506" s="62"/>
      <c r="F1506" s="62"/>
      <c r="G1506" s="62"/>
      <c r="H1506" s="62" t="str">
        <f>IF(AND('Data Export'!A1506=前十整体车型排名!$B$2,'Data Export'!B1506=前十整体车型排名!$B$3,'Data Export'!D1506&lt;&gt;""),UPPER('Data Export'!C1506)&amp;"♦"&amp;'Data Export'!D1506,"")</f>
        <v/>
      </c>
      <c r="I1506" s="63" t="str">
        <f>IF(H1506="","",IFERROR(INDEX('Data Export'!G1506:CZ1506,1,MATCH(前十整体车型排名!$B$4,'Data Export'!$G$1:$CZ$1,0)),0))</f>
        <v/>
      </c>
      <c r="J1506" s="62" t="str">
        <f>IF(H1506="","",IF(OR('Data Export'!F1506="三厢轿车",'Data Export'!F1506="掀背轿车",'Data Export'!F1506="旅行车",'Data Export'!F1506="微型车",'Data Export'!F1506="硬顶跑车",'Data Export'!F1506="敞蓬车",'Data Export'!F1506="Targa"),"轿车",IF(OR('Data Export'!F1506="小型MPV",'Data Export'!F1506="客车"),"MPV",IF('Data Export'!F1506="运动型多功能车","SUV","其他"))))</f>
        <v/>
      </c>
      <c r="K1506" s="62"/>
      <c r="L1506" s="62"/>
      <c r="M1506" s="62"/>
      <c r="N1506" s="62"/>
      <c r="O1506" s="62"/>
      <c r="P1506" s="62"/>
      <c r="Q1506" s="62"/>
    </row>
    <row r="1507" spans="1:17">
      <c r="A1507" s="62"/>
      <c r="B1507" s="62"/>
      <c r="C1507" s="62"/>
      <c r="D1507" s="62"/>
      <c r="E1507" s="62"/>
      <c r="F1507" s="62"/>
      <c r="G1507" s="62"/>
      <c r="H1507" s="62" t="str">
        <f>IF(AND('Data Export'!A1507=前十整体车型排名!$B$2,'Data Export'!B1507=前十整体车型排名!$B$3,'Data Export'!D1507&lt;&gt;""),UPPER('Data Export'!C1507)&amp;"♦"&amp;'Data Export'!D1507,"")</f>
        <v/>
      </c>
      <c r="I1507" s="63" t="str">
        <f>IF(H1507="","",IFERROR(INDEX('Data Export'!G1507:CZ1507,1,MATCH(前十整体车型排名!$B$4,'Data Export'!$G$1:$CZ$1,0)),0))</f>
        <v/>
      </c>
      <c r="J1507" s="62" t="str">
        <f>IF(H1507="","",IF(OR('Data Export'!F1507="三厢轿车",'Data Export'!F1507="掀背轿车",'Data Export'!F1507="旅行车",'Data Export'!F1507="微型车",'Data Export'!F1507="硬顶跑车",'Data Export'!F1507="敞蓬车",'Data Export'!F1507="Targa"),"轿车",IF(OR('Data Export'!F1507="小型MPV",'Data Export'!F1507="客车"),"MPV",IF('Data Export'!F1507="运动型多功能车","SUV","其他"))))</f>
        <v/>
      </c>
      <c r="K1507" s="62"/>
      <c r="L1507" s="62"/>
      <c r="M1507" s="62"/>
      <c r="N1507" s="62"/>
      <c r="O1507" s="62"/>
      <c r="P1507" s="62"/>
      <c r="Q1507" s="62"/>
    </row>
    <row r="1508" spans="1:17">
      <c r="A1508" s="62"/>
      <c r="B1508" s="62"/>
      <c r="C1508" s="62"/>
      <c r="D1508" s="62"/>
      <c r="E1508" s="62"/>
      <c r="F1508" s="62"/>
      <c r="G1508" s="62"/>
      <c r="H1508" s="62" t="str">
        <f>IF(AND('Data Export'!A1508=前十整体车型排名!$B$2,'Data Export'!B1508=前十整体车型排名!$B$3,'Data Export'!D1508&lt;&gt;""),UPPER('Data Export'!C1508)&amp;"♦"&amp;'Data Export'!D1508,"")</f>
        <v/>
      </c>
      <c r="I1508" s="63" t="str">
        <f>IF(H1508="","",IFERROR(INDEX('Data Export'!G1508:CZ1508,1,MATCH(前十整体车型排名!$B$4,'Data Export'!$G$1:$CZ$1,0)),0))</f>
        <v/>
      </c>
      <c r="J1508" s="62" t="str">
        <f>IF(H1508="","",IF(OR('Data Export'!F1508="三厢轿车",'Data Export'!F1508="掀背轿车",'Data Export'!F1508="旅行车",'Data Export'!F1508="微型车",'Data Export'!F1508="硬顶跑车",'Data Export'!F1508="敞蓬车",'Data Export'!F1508="Targa"),"轿车",IF(OR('Data Export'!F1508="小型MPV",'Data Export'!F1508="客车"),"MPV",IF('Data Export'!F1508="运动型多功能车","SUV","其他"))))</f>
        <v/>
      </c>
      <c r="K1508" s="62"/>
      <c r="L1508" s="62"/>
      <c r="M1508" s="62"/>
      <c r="N1508" s="62"/>
      <c r="O1508" s="62"/>
      <c r="P1508" s="62"/>
      <c r="Q1508" s="62"/>
    </row>
    <row r="1509" spans="1:17">
      <c r="A1509" s="62"/>
      <c r="B1509" s="62"/>
      <c r="C1509" s="62"/>
      <c r="D1509" s="62"/>
      <c r="E1509" s="62"/>
      <c r="F1509" s="62"/>
      <c r="G1509" s="62"/>
      <c r="H1509" s="62" t="str">
        <f>IF(AND('Data Export'!A1509=前十整体车型排名!$B$2,'Data Export'!B1509=前十整体车型排名!$B$3,'Data Export'!D1509&lt;&gt;""),UPPER('Data Export'!C1509)&amp;"♦"&amp;'Data Export'!D1509,"")</f>
        <v/>
      </c>
      <c r="I1509" s="63" t="str">
        <f>IF(H1509="","",IFERROR(INDEX('Data Export'!G1509:CZ1509,1,MATCH(前十整体车型排名!$B$4,'Data Export'!$G$1:$CZ$1,0)),0))</f>
        <v/>
      </c>
      <c r="J1509" s="62" t="str">
        <f>IF(H1509="","",IF(OR('Data Export'!F1509="三厢轿车",'Data Export'!F1509="掀背轿车",'Data Export'!F1509="旅行车",'Data Export'!F1509="微型车",'Data Export'!F1509="硬顶跑车",'Data Export'!F1509="敞蓬车",'Data Export'!F1509="Targa"),"轿车",IF(OR('Data Export'!F1509="小型MPV",'Data Export'!F1509="客车"),"MPV",IF('Data Export'!F1509="运动型多功能车","SUV","其他"))))</f>
        <v/>
      </c>
      <c r="K1509" s="62"/>
      <c r="L1509" s="62"/>
      <c r="M1509" s="62"/>
      <c r="N1509" s="62"/>
      <c r="O1509" s="62"/>
      <c r="P1509" s="62"/>
      <c r="Q1509" s="62"/>
    </row>
    <row r="1510" spans="1:17">
      <c r="A1510" s="62"/>
      <c r="B1510" s="62"/>
      <c r="C1510" s="62"/>
      <c r="D1510" s="62"/>
      <c r="E1510" s="62"/>
      <c r="F1510" s="62"/>
      <c r="G1510" s="62"/>
      <c r="H1510" s="62" t="str">
        <f>IF(AND('Data Export'!A1510=前十整体车型排名!$B$2,'Data Export'!B1510=前十整体车型排名!$B$3,'Data Export'!D1510&lt;&gt;""),UPPER('Data Export'!C1510)&amp;"♦"&amp;'Data Export'!D1510,"")</f>
        <v/>
      </c>
      <c r="I1510" s="63" t="str">
        <f>IF(H1510="","",IFERROR(INDEX('Data Export'!G1510:CZ1510,1,MATCH(前十整体车型排名!$B$4,'Data Export'!$G$1:$CZ$1,0)),0))</f>
        <v/>
      </c>
      <c r="J1510" s="62" t="str">
        <f>IF(H1510="","",IF(OR('Data Export'!F1510="三厢轿车",'Data Export'!F1510="掀背轿车",'Data Export'!F1510="旅行车",'Data Export'!F1510="微型车",'Data Export'!F1510="硬顶跑车",'Data Export'!F1510="敞蓬车",'Data Export'!F1510="Targa"),"轿车",IF(OR('Data Export'!F1510="小型MPV",'Data Export'!F1510="客车"),"MPV",IF('Data Export'!F1510="运动型多功能车","SUV","其他"))))</f>
        <v/>
      </c>
      <c r="K1510" s="62"/>
      <c r="L1510" s="62"/>
      <c r="M1510" s="62"/>
      <c r="N1510" s="62"/>
      <c r="O1510" s="62"/>
      <c r="P1510" s="62"/>
      <c r="Q1510" s="62"/>
    </row>
    <row r="1511" spans="1:17">
      <c r="A1511" s="62"/>
      <c r="B1511" s="62"/>
      <c r="C1511" s="62"/>
      <c r="D1511" s="62"/>
      <c r="E1511" s="62"/>
      <c r="F1511" s="62"/>
      <c r="G1511" s="62"/>
      <c r="H1511" s="62" t="str">
        <f>IF(AND('Data Export'!A1511=前十整体车型排名!$B$2,'Data Export'!B1511=前十整体车型排名!$B$3,'Data Export'!D1511&lt;&gt;""),UPPER('Data Export'!C1511)&amp;"♦"&amp;'Data Export'!D1511,"")</f>
        <v/>
      </c>
      <c r="I1511" s="63" t="str">
        <f>IF(H1511="","",IFERROR(INDEX('Data Export'!G1511:CZ1511,1,MATCH(前十整体车型排名!$B$4,'Data Export'!$G$1:$CZ$1,0)),0))</f>
        <v/>
      </c>
      <c r="J1511" s="62" t="str">
        <f>IF(H1511="","",IF(OR('Data Export'!F1511="三厢轿车",'Data Export'!F1511="掀背轿车",'Data Export'!F1511="旅行车",'Data Export'!F1511="微型车",'Data Export'!F1511="硬顶跑车",'Data Export'!F1511="敞蓬车",'Data Export'!F1511="Targa"),"轿车",IF(OR('Data Export'!F1511="小型MPV",'Data Export'!F1511="客车"),"MPV",IF('Data Export'!F1511="运动型多功能车","SUV","其他"))))</f>
        <v/>
      </c>
      <c r="K1511" s="62"/>
      <c r="L1511" s="62"/>
      <c r="M1511" s="62"/>
      <c r="N1511" s="62"/>
      <c r="O1511" s="62"/>
      <c r="P1511" s="62"/>
      <c r="Q1511" s="62"/>
    </row>
    <row r="1512" spans="1:17">
      <c r="A1512" s="62"/>
      <c r="B1512" s="62"/>
      <c r="C1512" s="62"/>
      <c r="D1512" s="62"/>
      <c r="E1512" s="62"/>
      <c r="F1512" s="62"/>
      <c r="G1512" s="62"/>
      <c r="H1512" s="62" t="str">
        <f>IF(AND('Data Export'!A1512=前十整体车型排名!$B$2,'Data Export'!B1512=前十整体车型排名!$B$3,'Data Export'!D1512&lt;&gt;""),UPPER('Data Export'!C1512)&amp;"♦"&amp;'Data Export'!D1512,"")</f>
        <v/>
      </c>
      <c r="I1512" s="63" t="str">
        <f>IF(H1512="","",IFERROR(INDEX('Data Export'!G1512:CZ1512,1,MATCH(前十整体车型排名!$B$4,'Data Export'!$G$1:$CZ$1,0)),0))</f>
        <v/>
      </c>
      <c r="J1512" s="62" t="str">
        <f>IF(H1512="","",IF(OR('Data Export'!F1512="三厢轿车",'Data Export'!F1512="掀背轿车",'Data Export'!F1512="旅行车",'Data Export'!F1512="微型车",'Data Export'!F1512="硬顶跑车",'Data Export'!F1512="敞蓬车",'Data Export'!F1512="Targa"),"轿车",IF(OR('Data Export'!F1512="小型MPV",'Data Export'!F1512="客车"),"MPV",IF('Data Export'!F1512="运动型多功能车","SUV","其他"))))</f>
        <v/>
      </c>
      <c r="K1512" s="62"/>
      <c r="L1512" s="62"/>
      <c r="M1512" s="62"/>
      <c r="N1512" s="62"/>
      <c r="O1512" s="62"/>
      <c r="P1512" s="62"/>
      <c r="Q1512" s="62"/>
    </row>
    <row r="1513" spans="1:17">
      <c r="A1513" s="62"/>
      <c r="B1513" s="62"/>
      <c r="C1513" s="62"/>
      <c r="D1513" s="62"/>
      <c r="E1513" s="62"/>
      <c r="F1513" s="62"/>
      <c r="G1513" s="62"/>
      <c r="H1513" s="62" t="str">
        <f>IF(AND('Data Export'!A1513=前十整体车型排名!$B$2,'Data Export'!B1513=前十整体车型排名!$B$3,'Data Export'!D1513&lt;&gt;""),UPPER('Data Export'!C1513)&amp;"♦"&amp;'Data Export'!D1513,"")</f>
        <v/>
      </c>
      <c r="I1513" s="63" t="str">
        <f>IF(H1513="","",IFERROR(INDEX('Data Export'!G1513:CZ1513,1,MATCH(前十整体车型排名!$B$4,'Data Export'!$G$1:$CZ$1,0)),0))</f>
        <v/>
      </c>
      <c r="J1513" s="62" t="str">
        <f>IF(H1513="","",IF(OR('Data Export'!F1513="三厢轿车",'Data Export'!F1513="掀背轿车",'Data Export'!F1513="旅行车",'Data Export'!F1513="微型车",'Data Export'!F1513="硬顶跑车",'Data Export'!F1513="敞蓬车",'Data Export'!F1513="Targa"),"轿车",IF(OR('Data Export'!F1513="小型MPV",'Data Export'!F1513="客车"),"MPV",IF('Data Export'!F1513="运动型多功能车","SUV","其他"))))</f>
        <v/>
      </c>
      <c r="K1513" s="62"/>
      <c r="L1513" s="62"/>
      <c r="M1513" s="62"/>
      <c r="N1513" s="62"/>
      <c r="O1513" s="62"/>
      <c r="P1513" s="62"/>
      <c r="Q1513" s="62"/>
    </row>
    <row r="1514" spans="1:17">
      <c r="A1514" s="62"/>
      <c r="B1514" s="62"/>
      <c r="C1514" s="62"/>
      <c r="D1514" s="62"/>
      <c r="E1514" s="62"/>
      <c r="F1514" s="62"/>
      <c r="G1514" s="62"/>
      <c r="H1514" s="62" t="str">
        <f>IF(AND('Data Export'!A1514=前十整体车型排名!$B$2,'Data Export'!B1514=前十整体车型排名!$B$3,'Data Export'!D1514&lt;&gt;""),UPPER('Data Export'!C1514)&amp;"♦"&amp;'Data Export'!D1514,"")</f>
        <v/>
      </c>
      <c r="I1514" s="63" t="str">
        <f>IF(H1514="","",IFERROR(INDEX('Data Export'!G1514:CZ1514,1,MATCH(前十整体车型排名!$B$4,'Data Export'!$G$1:$CZ$1,0)),0))</f>
        <v/>
      </c>
      <c r="J1514" s="62" t="str">
        <f>IF(H1514="","",IF(OR('Data Export'!F1514="三厢轿车",'Data Export'!F1514="掀背轿车",'Data Export'!F1514="旅行车",'Data Export'!F1514="微型车",'Data Export'!F1514="硬顶跑车",'Data Export'!F1514="敞蓬车",'Data Export'!F1514="Targa"),"轿车",IF(OR('Data Export'!F1514="小型MPV",'Data Export'!F1514="客车"),"MPV",IF('Data Export'!F1514="运动型多功能车","SUV","其他"))))</f>
        <v/>
      </c>
      <c r="K1514" s="62"/>
      <c r="L1514" s="62"/>
      <c r="M1514" s="62"/>
      <c r="N1514" s="62"/>
      <c r="O1514" s="62"/>
      <c r="P1514" s="62"/>
      <c r="Q1514" s="62"/>
    </row>
    <row r="1515" spans="1:17">
      <c r="A1515" s="62"/>
      <c r="B1515" s="62"/>
      <c r="C1515" s="62"/>
      <c r="D1515" s="62"/>
      <c r="E1515" s="62"/>
      <c r="F1515" s="62"/>
      <c r="G1515" s="62"/>
      <c r="H1515" s="62" t="str">
        <f>IF(AND('Data Export'!A1515=前十整体车型排名!$B$2,'Data Export'!B1515=前十整体车型排名!$B$3,'Data Export'!D1515&lt;&gt;""),UPPER('Data Export'!C1515)&amp;"♦"&amp;'Data Export'!D1515,"")</f>
        <v/>
      </c>
      <c r="I1515" s="63" t="str">
        <f>IF(H1515="","",IFERROR(INDEX('Data Export'!G1515:CZ1515,1,MATCH(前十整体车型排名!$B$4,'Data Export'!$G$1:$CZ$1,0)),0))</f>
        <v/>
      </c>
      <c r="J1515" s="62" t="str">
        <f>IF(H1515="","",IF(OR('Data Export'!F1515="三厢轿车",'Data Export'!F1515="掀背轿车",'Data Export'!F1515="旅行车",'Data Export'!F1515="微型车",'Data Export'!F1515="硬顶跑车",'Data Export'!F1515="敞蓬车",'Data Export'!F1515="Targa"),"轿车",IF(OR('Data Export'!F1515="小型MPV",'Data Export'!F1515="客车"),"MPV",IF('Data Export'!F1515="运动型多功能车","SUV","其他"))))</f>
        <v/>
      </c>
      <c r="K1515" s="62"/>
      <c r="L1515" s="62"/>
      <c r="M1515" s="62"/>
      <c r="N1515" s="62"/>
      <c r="O1515" s="62"/>
      <c r="P1515" s="62"/>
      <c r="Q1515" s="62"/>
    </row>
    <row r="1516" spans="1:17">
      <c r="A1516" s="62"/>
      <c r="B1516" s="62"/>
      <c r="C1516" s="62"/>
      <c r="D1516" s="62"/>
      <c r="E1516" s="62"/>
      <c r="F1516" s="62"/>
      <c r="G1516" s="62"/>
      <c r="H1516" s="62" t="str">
        <f>IF(AND('Data Export'!A1516=前十整体车型排名!$B$2,'Data Export'!B1516=前十整体车型排名!$B$3,'Data Export'!D1516&lt;&gt;""),UPPER('Data Export'!C1516)&amp;"♦"&amp;'Data Export'!D1516,"")</f>
        <v/>
      </c>
      <c r="I1516" s="63" t="str">
        <f>IF(H1516="","",IFERROR(INDEX('Data Export'!G1516:CZ1516,1,MATCH(前十整体车型排名!$B$4,'Data Export'!$G$1:$CZ$1,0)),0))</f>
        <v/>
      </c>
      <c r="J1516" s="62" t="str">
        <f>IF(H1516="","",IF(OR('Data Export'!F1516="三厢轿车",'Data Export'!F1516="掀背轿车",'Data Export'!F1516="旅行车",'Data Export'!F1516="微型车",'Data Export'!F1516="硬顶跑车",'Data Export'!F1516="敞蓬车",'Data Export'!F1516="Targa"),"轿车",IF(OR('Data Export'!F1516="小型MPV",'Data Export'!F1516="客车"),"MPV",IF('Data Export'!F1516="运动型多功能车","SUV","其他"))))</f>
        <v/>
      </c>
      <c r="K1516" s="62"/>
      <c r="L1516" s="62"/>
      <c r="M1516" s="62"/>
      <c r="N1516" s="62"/>
      <c r="O1516" s="62"/>
      <c r="P1516" s="62"/>
      <c r="Q1516" s="62"/>
    </row>
    <row r="1517" spans="1:17">
      <c r="A1517" s="62"/>
      <c r="B1517" s="62"/>
      <c r="C1517" s="62"/>
      <c r="D1517" s="62"/>
      <c r="E1517" s="62"/>
      <c r="F1517" s="62"/>
      <c r="G1517" s="62"/>
      <c r="H1517" s="62" t="str">
        <f>IF(AND('Data Export'!A1517=前十整体车型排名!$B$2,'Data Export'!B1517=前十整体车型排名!$B$3,'Data Export'!D1517&lt;&gt;""),UPPER('Data Export'!C1517)&amp;"♦"&amp;'Data Export'!D1517,"")</f>
        <v/>
      </c>
      <c r="I1517" s="63" t="str">
        <f>IF(H1517="","",IFERROR(INDEX('Data Export'!G1517:CZ1517,1,MATCH(前十整体车型排名!$B$4,'Data Export'!$G$1:$CZ$1,0)),0))</f>
        <v/>
      </c>
      <c r="J1517" s="62" t="str">
        <f>IF(H1517="","",IF(OR('Data Export'!F1517="三厢轿车",'Data Export'!F1517="掀背轿车",'Data Export'!F1517="旅行车",'Data Export'!F1517="微型车",'Data Export'!F1517="硬顶跑车",'Data Export'!F1517="敞蓬车",'Data Export'!F1517="Targa"),"轿车",IF(OR('Data Export'!F1517="小型MPV",'Data Export'!F1517="客车"),"MPV",IF('Data Export'!F1517="运动型多功能车","SUV","其他"))))</f>
        <v/>
      </c>
      <c r="K1517" s="62"/>
      <c r="L1517" s="62"/>
      <c r="M1517" s="62"/>
      <c r="N1517" s="62"/>
      <c r="O1517" s="62"/>
      <c r="P1517" s="62"/>
      <c r="Q1517" s="62"/>
    </row>
    <row r="1518" spans="1:17">
      <c r="A1518" s="62"/>
      <c r="B1518" s="62"/>
      <c r="C1518" s="62"/>
      <c r="D1518" s="62"/>
      <c r="E1518" s="62"/>
      <c r="F1518" s="62"/>
      <c r="G1518" s="62"/>
      <c r="H1518" s="62" t="str">
        <f>IF(AND('Data Export'!A1518=前十整体车型排名!$B$2,'Data Export'!B1518=前十整体车型排名!$B$3,'Data Export'!D1518&lt;&gt;""),UPPER('Data Export'!C1518)&amp;"♦"&amp;'Data Export'!D1518,"")</f>
        <v/>
      </c>
      <c r="I1518" s="63" t="str">
        <f>IF(H1518="","",IFERROR(INDEX('Data Export'!G1518:CZ1518,1,MATCH(前十整体车型排名!$B$4,'Data Export'!$G$1:$CZ$1,0)),0))</f>
        <v/>
      </c>
      <c r="J1518" s="62" t="str">
        <f>IF(H1518="","",IF(OR('Data Export'!F1518="三厢轿车",'Data Export'!F1518="掀背轿车",'Data Export'!F1518="旅行车",'Data Export'!F1518="微型车",'Data Export'!F1518="硬顶跑车",'Data Export'!F1518="敞蓬车",'Data Export'!F1518="Targa"),"轿车",IF(OR('Data Export'!F1518="小型MPV",'Data Export'!F1518="客车"),"MPV",IF('Data Export'!F1518="运动型多功能车","SUV","其他"))))</f>
        <v/>
      </c>
      <c r="K1518" s="62"/>
      <c r="L1518" s="62"/>
      <c r="M1518" s="62"/>
      <c r="N1518" s="62"/>
      <c r="O1518" s="62"/>
      <c r="P1518" s="62"/>
      <c r="Q1518" s="62"/>
    </row>
    <row r="1519" spans="1:17">
      <c r="A1519" s="62"/>
      <c r="B1519" s="62"/>
      <c r="C1519" s="62"/>
      <c r="D1519" s="62"/>
      <c r="E1519" s="62"/>
      <c r="F1519" s="62"/>
      <c r="G1519" s="62"/>
      <c r="H1519" s="62" t="str">
        <f>IF(AND('Data Export'!A1519=前十整体车型排名!$B$2,'Data Export'!B1519=前十整体车型排名!$B$3,'Data Export'!D1519&lt;&gt;""),UPPER('Data Export'!C1519)&amp;"♦"&amp;'Data Export'!D1519,"")</f>
        <v/>
      </c>
      <c r="I1519" s="63" t="str">
        <f>IF(H1519="","",IFERROR(INDEX('Data Export'!G1519:CZ1519,1,MATCH(前十整体车型排名!$B$4,'Data Export'!$G$1:$CZ$1,0)),0))</f>
        <v/>
      </c>
      <c r="J1519" s="62" t="str">
        <f>IF(H1519="","",IF(OR('Data Export'!F1519="三厢轿车",'Data Export'!F1519="掀背轿车",'Data Export'!F1519="旅行车",'Data Export'!F1519="微型车",'Data Export'!F1519="硬顶跑车",'Data Export'!F1519="敞蓬车",'Data Export'!F1519="Targa"),"轿车",IF(OR('Data Export'!F1519="小型MPV",'Data Export'!F1519="客车"),"MPV",IF('Data Export'!F1519="运动型多功能车","SUV","其他"))))</f>
        <v/>
      </c>
      <c r="K1519" s="62"/>
      <c r="L1519" s="62"/>
      <c r="M1519" s="62"/>
      <c r="N1519" s="62"/>
      <c r="O1519" s="62"/>
      <c r="P1519" s="62"/>
      <c r="Q1519" s="62"/>
    </row>
    <row r="1520" spans="1:17">
      <c r="A1520" s="62"/>
      <c r="B1520" s="62"/>
      <c r="C1520" s="62"/>
      <c r="D1520" s="62"/>
      <c r="E1520" s="62"/>
      <c r="F1520" s="62"/>
      <c r="G1520" s="62"/>
      <c r="H1520" s="62" t="str">
        <f>IF(AND('Data Export'!A1520=前十整体车型排名!$B$2,'Data Export'!B1520=前十整体车型排名!$B$3,'Data Export'!D1520&lt;&gt;""),UPPER('Data Export'!C1520)&amp;"♦"&amp;'Data Export'!D1520,"")</f>
        <v/>
      </c>
      <c r="I1520" s="63" t="str">
        <f>IF(H1520="","",IFERROR(INDEX('Data Export'!G1520:CZ1520,1,MATCH(前十整体车型排名!$B$4,'Data Export'!$G$1:$CZ$1,0)),0))</f>
        <v/>
      </c>
      <c r="J1520" s="62" t="str">
        <f>IF(H1520="","",IF(OR('Data Export'!F1520="三厢轿车",'Data Export'!F1520="掀背轿车",'Data Export'!F1520="旅行车",'Data Export'!F1520="微型车",'Data Export'!F1520="硬顶跑车",'Data Export'!F1520="敞蓬车",'Data Export'!F1520="Targa"),"轿车",IF(OR('Data Export'!F1520="小型MPV",'Data Export'!F1520="客车"),"MPV",IF('Data Export'!F1520="运动型多功能车","SUV","其他"))))</f>
        <v/>
      </c>
      <c r="K1520" s="62"/>
      <c r="L1520" s="62"/>
      <c r="M1520" s="62"/>
      <c r="N1520" s="62"/>
      <c r="O1520" s="62"/>
      <c r="P1520" s="62"/>
      <c r="Q1520" s="62"/>
    </row>
    <row r="1521" spans="1:17">
      <c r="A1521" s="62"/>
      <c r="B1521" s="62"/>
      <c r="C1521" s="62"/>
      <c r="D1521" s="62"/>
      <c r="E1521" s="62"/>
      <c r="F1521" s="62"/>
      <c r="G1521" s="62"/>
      <c r="H1521" s="62" t="str">
        <f>IF(AND('Data Export'!A1521=前十整体车型排名!$B$2,'Data Export'!B1521=前十整体车型排名!$B$3,'Data Export'!D1521&lt;&gt;""),UPPER('Data Export'!C1521)&amp;"♦"&amp;'Data Export'!D1521,"")</f>
        <v/>
      </c>
      <c r="I1521" s="63" t="str">
        <f>IF(H1521="","",IFERROR(INDEX('Data Export'!G1521:CZ1521,1,MATCH(前十整体车型排名!$B$4,'Data Export'!$G$1:$CZ$1,0)),0))</f>
        <v/>
      </c>
      <c r="J1521" s="62" t="str">
        <f>IF(H1521="","",IF(OR('Data Export'!F1521="三厢轿车",'Data Export'!F1521="掀背轿车",'Data Export'!F1521="旅行车",'Data Export'!F1521="微型车",'Data Export'!F1521="硬顶跑车",'Data Export'!F1521="敞蓬车",'Data Export'!F1521="Targa"),"轿车",IF(OR('Data Export'!F1521="小型MPV",'Data Export'!F1521="客车"),"MPV",IF('Data Export'!F1521="运动型多功能车","SUV","其他"))))</f>
        <v/>
      </c>
      <c r="K1521" s="62"/>
      <c r="L1521" s="62"/>
      <c r="M1521" s="62"/>
      <c r="N1521" s="62"/>
      <c r="O1521" s="62"/>
      <c r="P1521" s="62"/>
      <c r="Q1521" s="62"/>
    </row>
    <row r="1522" spans="1:17">
      <c r="A1522" s="62"/>
      <c r="B1522" s="62"/>
      <c r="C1522" s="62"/>
      <c r="D1522" s="62"/>
      <c r="E1522" s="62"/>
      <c r="F1522" s="62"/>
      <c r="G1522" s="62"/>
      <c r="H1522" s="62" t="str">
        <f>IF(AND('Data Export'!A1522=前十整体车型排名!$B$2,'Data Export'!B1522=前十整体车型排名!$B$3,'Data Export'!D1522&lt;&gt;""),UPPER('Data Export'!C1522)&amp;"♦"&amp;'Data Export'!D1522,"")</f>
        <v/>
      </c>
      <c r="I1522" s="63" t="str">
        <f>IF(H1522="","",IFERROR(INDEX('Data Export'!G1522:CZ1522,1,MATCH(前十整体车型排名!$B$4,'Data Export'!$G$1:$CZ$1,0)),0))</f>
        <v/>
      </c>
      <c r="J1522" s="62" t="str">
        <f>IF(H1522="","",IF(OR('Data Export'!F1522="三厢轿车",'Data Export'!F1522="掀背轿车",'Data Export'!F1522="旅行车",'Data Export'!F1522="微型车",'Data Export'!F1522="硬顶跑车",'Data Export'!F1522="敞蓬车",'Data Export'!F1522="Targa"),"轿车",IF(OR('Data Export'!F1522="小型MPV",'Data Export'!F1522="客车"),"MPV",IF('Data Export'!F1522="运动型多功能车","SUV","其他"))))</f>
        <v/>
      </c>
      <c r="K1522" s="62"/>
      <c r="L1522" s="62"/>
      <c r="M1522" s="62"/>
      <c r="N1522" s="62"/>
      <c r="O1522" s="62"/>
      <c r="P1522" s="62"/>
      <c r="Q1522" s="62"/>
    </row>
    <row r="1523" spans="1:17">
      <c r="A1523" s="62"/>
      <c r="B1523" s="62"/>
      <c r="C1523" s="62"/>
      <c r="D1523" s="62"/>
      <c r="E1523" s="62"/>
      <c r="F1523" s="62"/>
      <c r="G1523" s="62"/>
      <c r="H1523" s="62" t="str">
        <f>IF(AND('Data Export'!A1523=前十整体车型排名!$B$2,'Data Export'!B1523=前十整体车型排名!$B$3,'Data Export'!D1523&lt;&gt;""),UPPER('Data Export'!C1523)&amp;"♦"&amp;'Data Export'!D1523,"")</f>
        <v/>
      </c>
      <c r="I1523" s="63" t="str">
        <f>IF(H1523="","",IFERROR(INDEX('Data Export'!G1523:CZ1523,1,MATCH(前十整体车型排名!$B$4,'Data Export'!$G$1:$CZ$1,0)),0))</f>
        <v/>
      </c>
      <c r="J1523" s="62" t="str">
        <f>IF(H1523="","",IF(OR('Data Export'!F1523="三厢轿车",'Data Export'!F1523="掀背轿车",'Data Export'!F1523="旅行车",'Data Export'!F1523="微型车",'Data Export'!F1523="硬顶跑车",'Data Export'!F1523="敞蓬车",'Data Export'!F1523="Targa"),"轿车",IF(OR('Data Export'!F1523="小型MPV",'Data Export'!F1523="客车"),"MPV",IF('Data Export'!F1523="运动型多功能车","SUV","其他"))))</f>
        <v/>
      </c>
      <c r="K1523" s="62"/>
      <c r="L1523" s="62"/>
      <c r="M1523" s="62"/>
      <c r="N1523" s="62"/>
      <c r="O1523" s="62"/>
      <c r="P1523" s="62"/>
      <c r="Q1523" s="62"/>
    </row>
    <row r="1524" spans="1:17">
      <c r="A1524" s="62"/>
      <c r="B1524" s="62"/>
      <c r="C1524" s="62"/>
      <c r="D1524" s="62"/>
      <c r="E1524" s="62"/>
      <c r="F1524" s="62"/>
      <c r="G1524" s="62"/>
      <c r="H1524" s="62" t="str">
        <f>IF(AND('Data Export'!A1524=前十整体车型排名!$B$2,'Data Export'!B1524=前十整体车型排名!$B$3,'Data Export'!D1524&lt;&gt;""),UPPER('Data Export'!C1524)&amp;"♦"&amp;'Data Export'!D1524,"")</f>
        <v/>
      </c>
      <c r="I1524" s="63" t="str">
        <f>IF(H1524="","",IFERROR(INDEX('Data Export'!G1524:CZ1524,1,MATCH(前十整体车型排名!$B$4,'Data Export'!$G$1:$CZ$1,0)),0))</f>
        <v/>
      </c>
      <c r="J1524" s="62" t="str">
        <f>IF(H1524="","",IF(OR('Data Export'!F1524="三厢轿车",'Data Export'!F1524="掀背轿车",'Data Export'!F1524="旅行车",'Data Export'!F1524="微型车",'Data Export'!F1524="硬顶跑车",'Data Export'!F1524="敞蓬车",'Data Export'!F1524="Targa"),"轿车",IF(OR('Data Export'!F1524="小型MPV",'Data Export'!F1524="客车"),"MPV",IF('Data Export'!F1524="运动型多功能车","SUV","其他"))))</f>
        <v/>
      </c>
      <c r="K1524" s="62"/>
      <c r="L1524" s="62"/>
      <c r="M1524" s="62"/>
      <c r="N1524" s="62"/>
      <c r="O1524" s="62"/>
      <c r="P1524" s="62"/>
      <c r="Q1524" s="62"/>
    </row>
    <row r="1525" spans="1:17">
      <c r="A1525" s="62"/>
      <c r="B1525" s="62"/>
      <c r="C1525" s="62"/>
      <c r="D1525" s="62"/>
      <c r="E1525" s="62"/>
      <c r="F1525" s="62"/>
      <c r="G1525" s="62"/>
      <c r="H1525" s="62" t="str">
        <f>IF(AND('Data Export'!A1525=前十整体车型排名!$B$2,'Data Export'!B1525=前十整体车型排名!$B$3,'Data Export'!D1525&lt;&gt;""),UPPER('Data Export'!C1525)&amp;"♦"&amp;'Data Export'!D1525,"")</f>
        <v/>
      </c>
      <c r="I1525" s="63" t="str">
        <f>IF(H1525="","",IFERROR(INDEX('Data Export'!G1525:CZ1525,1,MATCH(前十整体车型排名!$B$4,'Data Export'!$G$1:$CZ$1,0)),0))</f>
        <v/>
      </c>
      <c r="J1525" s="62" t="str">
        <f>IF(H1525="","",IF(OR('Data Export'!F1525="三厢轿车",'Data Export'!F1525="掀背轿车",'Data Export'!F1525="旅行车",'Data Export'!F1525="微型车",'Data Export'!F1525="硬顶跑车",'Data Export'!F1525="敞蓬车",'Data Export'!F1525="Targa"),"轿车",IF(OR('Data Export'!F1525="小型MPV",'Data Export'!F1525="客车"),"MPV",IF('Data Export'!F1525="运动型多功能车","SUV","其他"))))</f>
        <v/>
      </c>
      <c r="K1525" s="62"/>
      <c r="L1525" s="62"/>
      <c r="M1525" s="62"/>
      <c r="N1525" s="62"/>
      <c r="O1525" s="62"/>
      <c r="P1525" s="62"/>
      <c r="Q1525" s="62"/>
    </row>
    <row r="1526" spans="1:17">
      <c r="A1526" s="62"/>
      <c r="B1526" s="62"/>
      <c r="C1526" s="62"/>
      <c r="D1526" s="62"/>
      <c r="E1526" s="62"/>
      <c r="F1526" s="62"/>
      <c r="G1526" s="62"/>
      <c r="H1526" s="62" t="str">
        <f>IF(AND('Data Export'!A1526=前十整体车型排名!$B$2,'Data Export'!B1526=前十整体车型排名!$B$3,'Data Export'!D1526&lt;&gt;""),UPPER('Data Export'!C1526)&amp;"♦"&amp;'Data Export'!D1526,"")</f>
        <v/>
      </c>
      <c r="I1526" s="63" t="str">
        <f>IF(H1526="","",IFERROR(INDEX('Data Export'!G1526:CZ1526,1,MATCH(前十整体车型排名!$B$4,'Data Export'!$G$1:$CZ$1,0)),0))</f>
        <v/>
      </c>
      <c r="J1526" s="62" t="str">
        <f>IF(H1526="","",IF(OR('Data Export'!F1526="三厢轿车",'Data Export'!F1526="掀背轿车",'Data Export'!F1526="旅行车",'Data Export'!F1526="微型车",'Data Export'!F1526="硬顶跑车",'Data Export'!F1526="敞蓬车",'Data Export'!F1526="Targa"),"轿车",IF(OR('Data Export'!F1526="小型MPV",'Data Export'!F1526="客车"),"MPV",IF('Data Export'!F1526="运动型多功能车","SUV","其他"))))</f>
        <v/>
      </c>
      <c r="K1526" s="62"/>
      <c r="L1526" s="62"/>
      <c r="M1526" s="62"/>
      <c r="N1526" s="62"/>
      <c r="O1526" s="62"/>
      <c r="P1526" s="62"/>
      <c r="Q1526" s="62"/>
    </row>
    <row r="1527" spans="1:17">
      <c r="A1527" s="62"/>
      <c r="B1527" s="62"/>
      <c r="C1527" s="62"/>
      <c r="D1527" s="62"/>
      <c r="E1527" s="62"/>
      <c r="F1527" s="62"/>
      <c r="G1527" s="62"/>
      <c r="H1527" s="62" t="str">
        <f>IF(AND('Data Export'!A1527=前十整体车型排名!$B$2,'Data Export'!B1527=前十整体车型排名!$B$3,'Data Export'!D1527&lt;&gt;""),UPPER('Data Export'!C1527)&amp;"♦"&amp;'Data Export'!D1527,"")</f>
        <v/>
      </c>
      <c r="I1527" s="63" t="str">
        <f>IF(H1527="","",IFERROR(INDEX('Data Export'!G1527:CZ1527,1,MATCH(前十整体车型排名!$B$4,'Data Export'!$G$1:$CZ$1,0)),0))</f>
        <v/>
      </c>
      <c r="J1527" s="62" t="str">
        <f>IF(H1527="","",IF(OR('Data Export'!F1527="三厢轿车",'Data Export'!F1527="掀背轿车",'Data Export'!F1527="旅行车",'Data Export'!F1527="微型车",'Data Export'!F1527="硬顶跑车",'Data Export'!F1527="敞蓬车",'Data Export'!F1527="Targa"),"轿车",IF(OR('Data Export'!F1527="小型MPV",'Data Export'!F1527="客车"),"MPV",IF('Data Export'!F1527="运动型多功能车","SUV","其他"))))</f>
        <v/>
      </c>
      <c r="K1527" s="62"/>
      <c r="L1527" s="62"/>
      <c r="M1527" s="62"/>
      <c r="N1527" s="62"/>
      <c r="O1527" s="62"/>
      <c r="P1527" s="62"/>
      <c r="Q1527" s="62"/>
    </row>
    <row r="1528" spans="1:17">
      <c r="A1528" s="62"/>
      <c r="B1528" s="62"/>
      <c r="C1528" s="62"/>
      <c r="D1528" s="62"/>
      <c r="E1528" s="62"/>
      <c r="F1528" s="62"/>
      <c r="G1528" s="62"/>
      <c r="H1528" s="62" t="str">
        <f>IF(AND('Data Export'!A1528=前十整体车型排名!$B$2,'Data Export'!B1528=前十整体车型排名!$B$3,'Data Export'!D1528&lt;&gt;""),UPPER('Data Export'!C1528)&amp;"♦"&amp;'Data Export'!D1528,"")</f>
        <v/>
      </c>
      <c r="I1528" s="63" t="str">
        <f>IF(H1528="","",IFERROR(INDEX('Data Export'!G1528:CZ1528,1,MATCH(前十整体车型排名!$B$4,'Data Export'!$G$1:$CZ$1,0)),0))</f>
        <v/>
      </c>
      <c r="J1528" s="62" t="str">
        <f>IF(H1528="","",IF(OR('Data Export'!F1528="三厢轿车",'Data Export'!F1528="掀背轿车",'Data Export'!F1528="旅行车",'Data Export'!F1528="微型车",'Data Export'!F1528="硬顶跑车",'Data Export'!F1528="敞蓬车",'Data Export'!F1528="Targa"),"轿车",IF(OR('Data Export'!F1528="小型MPV",'Data Export'!F1528="客车"),"MPV",IF('Data Export'!F1528="运动型多功能车","SUV","其他"))))</f>
        <v/>
      </c>
      <c r="K1528" s="62"/>
      <c r="L1528" s="62"/>
      <c r="M1528" s="62"/>
      <c r="N1528" s="62"/>
      <c r="O1528" s="62"/>
      <c r="P1528" s="62"/>
      <c r="Q1528" s="62"/>
    </row>
    <row r="1529" spans="1:17">
      <c r="A1529" s="62"/>
      <c r="B1529" s="62"/>
      <c r="C1529" s="62"/>
      <c r="D1529" s="62"/>
      <c r="E1529" s="62"/>
      <c r="F1529" s="62"/>
      <c r="G1529" s="62"/>
      <c r="H1529" s="62" t="str">
        <f>IF(AND('Data Export'!A1529=前十整体车型排名!$B$2,'Data Export'!B1529=前十整体车型排名!$B$3,'Data Export'!D1529&lt;&gt;""),UPPER('Data Export'!C1529)&amp;"♦"&amp;'Data Export'!D1529,"")</f>
        <v/>
      </c>
      <c r="I1529" s="63" t="str">
        <f>IF(H1529="","",IFERROR(INDEX('Data Export'!G1529:CZ1529,1,MATCH(前十整体车型排名!$B$4,'Data Export'!$G$1:$CZ$1,0)),0))</f>
        <v/>
      </c>
      <c r="J1529" s="62" t="str">
        <f>IF(H1529="","",IF(OR('Data Export'!F1529="三厢轿车",'Data Export'!F1529="掀背轿车",'Data Export'!F1529="旅行车",'Data Export'!F1529="微型车",'Data Export'!F1529="硬顶跑车",'Data Export'!F1529="敞蓬车",'Data Export'!F1529="Targa"),"轿车",IF(OR('Data Export'!F1529="小型MPV",'Data Export'!F1529="客车"),"MPV",IF('Data Export'!F1529="运动型多功能车","SUV","其他"))))</f>
        <v/>
      </c>
      <c r="K1529" s="62"/>
      <c r="L1529" s="62"/>
      <c r="M1529" s="62"/>
      <c r="N1529" s="62"/>
      <c r="O1529" s="62"/>
      <c r="P1529" s="62"/>
      <c r="Q1529" s="62"/>
    </row>
    <row r="1530" spans="1:17">
      <c r="A1530" s="62"/>
      <c r="B1530" s="62"/>
      <c r="C1530" s="62"/>
      <c r="D1530" s="62"/>
      <c r="E1530" s="62"/>
      <c r="F1530" s="62"/>
      <c r="G1530" s="62"/>
      <c r="H1530" s="62" t="str">
        <f>IF(AND('Data Export'!A1530=前十整体车型排名!$B$2,'Data Export'!B1530=前十整体车型排名!$B$3,'Data Export'!D1530&lt;&gt;""),UPPER('Data Export'!C1530)&amp;"♦"&amp;'Data Export'!D1530,"")</f>
        <v/>
      </c>
      <c r="I1530" s="63" t="str">
        <f>IF(H1530="","",IFERROR(INDEX('Data Export'!G1530:CZ1530,1,MATCH(前十整体车型排名!$B$4,'Data Export'!$G$1:$CZ$1,0)),0))</f>
        <v/>
      </c>
      <c r="J1530" s="62" t="str">
        <f>IF(H1530="","",IF(OR('Data Export'!F1530="三厢轿车",'Data Export'!F1530="掀背轿车",'Data Export'!F1530="旅行车",'Data Export'!F1530="微型车",'Data Export'!F1530="硬顶跑车",'Data Export'!F1530="敞蓬车",'Data Export'!F1530="Targa"),"轿车",IF(OR('Data Export'!F1530="小型MPV",'Data Export'!F1530="客车"),"MPV",IF('Data Export'!F1530="运动型多功能车","SUV","其他"))))</f>
        <v/>
      </c>
      <c r="K1530" s="62"/>
      <c r="L1530" s="62"/>
      <c r="M1530" s="62"/>
      <c r="N1530" s="62"/>
      <c r="O1530" s="62"/>
      <c r="P1530" s="62"/>
      <c r="Q1530" s="62"/>
    </row>
    <row r="1531" spans="1:17">
      <c r="A1531" s="62"/>
      <c r="B1531" s="62"/>
      <c r="C1531" s="62"/>
      <c r="D1531" s="62"/>
      <c r="E1531" s="62"/>
      <c r="F1531" s="62"/>
      <c r="G1531" s="62"/>
      <c r="H1531" s="62" t="str">
        <f>IF(AND('Data Export'!A1531=前十整体车型排名!$B$2,'Data Export'!B1531=前十整体车型排名!$B$3,'Data Export'!D1531&lt;&gt;""),UPPER('Data Export'!C1531)&amp;"♦"&amp;'Data Export'!D1531,"")</f>
        <v/>
      </c>
      <c r="I1531" s="63" t="str">
        <f>IF(H1531="","",IFERROR(INDEX('Data Export'!G1531:CZ1531,1,MATCH(前十整体车型排名!$B$4,'Data Export'!$G$1:$CZ$1,0)),0))</f>
        <v/>
      </c>
      <c r="J1531" s="62" t="str">
        <f>IF(H1531="","",IF(OR('Data Export'!F1531="三厢轿车",'Data Export'!F1531="掀背轿车",'Data Export'!F1531="旅行车",'Data Export'!F1531="微型车",'Data Export'!F1531="硬顶跑车",'Data Export'!F1531="敞蓬车",'Data Export'!F1531="Targa"),"轿车",IF(OR('Data Export'!F1531="小型MPV",'Data Export'!F1531="客车"),"MPV",IF('Data Export'!F1531="运动型多功能车","SUV","其他"))))</f>
        <v/>
      </c>
      <c r="K1531" s="62"/>
      <c r="L1531" s="62"/>
      <c r="M1531" s="62"/>
      <c r="N1531" s="62"/>
      <c r="O1531" s="62"/>
      <c r="P1531" s="62"/>
      <c r="Q1531" s="62"/>
    </row>
    <row r="1532" spans="1:17">
      <c r="A1532" s="62"/>
      <c r="B1532" s="62"/>
      <c r="C1532" s="62"/>
      <c r="D1532" s="62"/>
      <c r="E1532" s="62"/>
      <c r="F1532" s="62"/>
      <c r="G1532" s="62"/>
      <c r="H1532" s="62" t="str">
        <f>IF(AND('Data Export'!A1532=前十整体车型排名!$B$2,'Data Export'!B1532=前十整体车型排名!$B$3,'Data Export'!D1532&lt;&gt;""),UPPER('Data Export'!C1532)&amp;"♦"&amp;'Data Export'!D1532,"")</f>
        <v/>
      </c>
      <c r="I1532" s="63" t="str">
        <f>IF(H1532="","",IFERROR(INDEX('Data Export'!G1532:CZ1532,1,MATCH(前十整体车型排名!$B$4,'Data Export'!$G$1:$CZ$1,0)),0))</f>
        <v/>
      </c>
      <c r="J1532" s="62" t="str">
        <f>IF(H1532="","",IF(OR('Data Export'!F1532="三厢轿车",'Data Export'!F1532="掀背轿车",'Data Export'!F1532="旅行车",'Data Export'!F1532="微型车",'Data Export'!F1532="硬顶跑车",'Data Export'!F1532="敞蓬车",'Data Export'!F1532="Targa"),"轿车",IF(OR('Data Export'!F1532="小型MPV",'Data Export'!F1532="客车"),"MPV",IF('Data Export'!F1532="运动型多功能车","SUV","其他"))))</f>
        <v/>
      </c>
      <c r="K1532" s="62"/>
      <c r="L1532" s="62"/>
      <c r="M1532" s="62"/>
      <c r="N1532" s="62"/>
      <c r="O1532" s="62"/>
      <c r="P1532" s="62"/>
      <c r="Q1532" s="62"/>
    </row>
    <row r="1533" spans="1:17">
      <c r="A1533" s="62"/>
      <c r="B1533" s="62"/>
      <c r="C1533" s="62"/>
      <c r="D1533" s="62"/>
      <c r="E1533" s="62"/>
      <c r="F1533" s="62"/>
      <c r="G1533" s="62"/>
      <c r="H1533" s="62" t="str">
        <f>IF(AND('Data Export'!A1533=前十整体车型排名!$B$2,'Data Export'!B1533=前十整体车型排名!$B$3,'Data Export'!D1533&lt;&gt;""),UPPER('Data Export'!C1533)&amp;"♦"&amp;'Data Export'!D1533,"")</f>
        <v/>
      </c>
      <c r="I1533" s="63" t="str">
        <f>IF(H1533="","",IFERROR(INDEX('Data Export'!G1533:CZ1533,1,MATCH(前十整体车型排名!$B$4,'Data Export'!$G$1:$CZ$1,0)),0))</f>
        <v/>
      </c>
      <c r="J1533" s="62" t="str">
        <f>IF(H1533="","",IF(OR('Data Export'!F1533="三厢轿车",'Data Export'!F1533="掀背轿车",'Data Export'!F1533="旅行车",'Data Export'!F1533="微型车",'Data Export'!F1533="硬顶跑车",'Data Export'!F1533="敞蓬车",'Data Export'!F1533="Targa"),"轿车",IF(OR('Data Export'!F1533="小型MPV",'Data Export'!F1533="客车"),"MPV",IF('Data Export'!F1533="运动型多功能车","SUV","其他"))))</f>
        <v/>
      </c>
      <c r="K1533" s="62"/>
      <c r="L1533" s="62"/>
      <c r="M1533" s="62"/>
      <c r="N1533" s="62"/>
      <c r="O1533" s="62"/>
      <c r="P1533" s="62"/>
      <c r="Q1533" s="62"/>
    </row>
    <row r="1534" spans="1:17">
      <c r="A1534" s="62"/>
      <c r="B1534" s="62"/>
      <c r="C1534" s="62"/>
      <c r="D1534" s="62"/>
      <c r="E1534" s="62"/>
      <c r="F1534" s="62"/>
      <c r="G1534" s="62"/>
      <c r="H1534" s="62" t="str">
        <f>IF(AND('Data Export'!A1534=前十整体车型排名!$B$2,'Data Export'!B1534=前十整体车型排名!$B$3,'Data Export'!D1534&lt;&gt;""),UPPER('Data Export'!C1534)&amp;"♦"&amp;'Data Export'!D1534,"")</f>
        <v/>
      </c>
      <c r="I1534" s="63" t="str">
        <f>IF(H1534="","",IFERROR(INDEX('Data Export'!G1534:CZ1534,1,MATCH(前十整体车型排名!$B$4,'Data Export'!$G$1:$CZ$1,0)),0))</f>
        <v/>
      </c>
      <c r="J1534" s="62" t="str">
        <f>IF(H1534="","",IF(OR('Data Export'!F1534="三厢轿车",'Data Export'!F1534="掀背轿车",'Data Export'!F1534="旅行车",'Data Export'!F1534="微型车",'Data Export'!F1534="硬顶跑车",'Data Export'!F1534="敞蓬车",'Data Export'!F1534="Targa"),"轿车",IF(OR('Data Export'!F1534="小型MPV",'Data Export'!F1534="客车"),"MPV",IF('Data Export'!F1534="运动型多功能车","SUV","其他"))))</f>
        <v/>
      </c>
      <c r="K1534" s="62"/>
      <c r="L1534" s="62"/>
      <c r="M1534" s="62"/>
      <c r="N1534" s="62"/>
      <c r="O1534" s="62"/>
      <c r="P1534" s="62"/>
      <c r="Q1534" s="62"/>
    </row>
    <row r="1535" spans="1:17">
      <c r="A1535" s="62"/>
      <c r="B1535" s="62"/>
      <c r="C1535" s="62"/>
      <c r="D1535" s="62"/>
      <c r="E1535" s="62"/>
      <c r="F1535" s="62"/>
      <c r="G1535" s="62"/>
      <c r="H1535" s="62" t="str">
        <f>IF(AND('Data Export'!A1535=前十整体车型排名!$B$2,'Data Export'!B1535=前十整体车型排名!$B$3,'Data Export'!D1535&lt;&gt;""),UPPER('Data Export'!C1535)&amp;"♦"&amp;'Data Export'!D1535,"")</f>
        <v/>
      </c>
      <c r="I1535" s="63" t="str">
        <f>IF(H1535="","",IFERROR(INDEX('Data Export'!G1535:CZ1535,1,MATCH(前十整体车型排名!$B$4,'Data Export'!$G$1:$CZ$1,0)),0))</f>
        <v/>
      </c>
      <c r="J1535" s="62" t="str">
        <f>IF(H1535="","",IF(OR('Data Export'!F1535="三厢轿车",'Data Export'!F1535="掀背轿车",'Data Export'!F1535="旅行车",'Data Export'!F1535="微型车",'Data Export'!F1535="硬顶跑车",'Data Export'!F1535="敞蓬车",'Data Export'!F1535="Targa"),"轿车",IF(OR('Data Export'!F1535="小型MPV",'Data Export'!F1535="客车"),"MPV",IF('Data Export'!F1535="运动型多功能车","SUV","其他"))))</f>
        <v/>
      </c>
      <c r="K1535" s="62"/>
      <c r="L1535" s="62"/>
      <c r="M1535" s="62"/>
      <c r="N1535" s="62"/>
      <c r="O1535" s="62"/>
      <c r="P1535" s="62"/>
      <c r="Q1535" s="62"/>
    </row>
    <row r="1536" spans="1:17">
      <c r="A1536" s="62"/>
      <c r="B1536" s="62"/>
      <c r="C1536" s="62"/>
      <c r="D1536" s="62"/>
      <c r="E1536" s="62"/>
      <c r="F1536" s="62"/>
      <c r="G1536" s="62"/>
      <c r="H1536" s="62" t="str">
        <f>IF(AND('Data Export'!A1536=前十整体车型排名!$B$2,'Data Export'!B1536=前十整体车型排名!$B$3,'Data Export'!D1536&lt;&gt;""),UPPER('Data Export'!C1536)&amp;"♦"&amp;'Data Export'!D1536,"")</f>
        <v/>
      </c>
      <c r="I1536" s="63" t="str">
        <f>IF(H1536="","",IFERROR(INDEX('Data Export'!G1536:CZ1536,1,MATCH(前十整体车型排名!$B$4,'Data Export'!$G$1:$CZ$1,0)),0))</f>
        <v/>
      </c>
      <c r="J1536" s="62" t="str">
        <f>IF(H1536="","",IF(OR('Data Export'!F1536="三厢轿车",'Data Export'!F1536="掀背轿车",'Data Export'!F1536="旅行车",'Data Export'!F1536="微型车",'Data Export'!F1536="硬顶跑车",'Data Export'!F1536="敞蓬车",'Data Export'!F1536="Targa"),"轿车",IF(OR('Data Export'!F1536="小型MPV",'Data Export'!F1536="客车"),"MPV",IF('Data Export'!F1536="运动型多功能车","SUV","其他"))))</f>
        <v/>
      </c>
      <c r="K1536" s="62"/>
      <c r="L1536" s="62"/>
      <c r="M1536" s="62"/>
      <c r="N1536" s="62"/>
      <c r="O1536" s="62"/>
      <c r="P1536" s="62"/>
      <c r="Q1536" s="62"/>
    </row>
    <row r="1537" spans="1:17">
      <c r="A1537" s="62"/>
      <c r="B1537" s="62"/>
      <c r="C1537" s="62"/>
      <c r="D1537" s="62"/>
      <c r="E1537" s="62"/>
      <c r="F1537" s="62"/>
      <c r="G1537" s="62"/>
      <c r="H1537" s="62" t="str">
        <f>IF(AND('Data Export'!A1537=前十整体车型排名!$B$2,'Data Export'!B1537=前十整体车型排名!$B$3,'Data Export'!D1537&lt;&gt;""),UPPER('Data Export'!C1537)&amp;"♦"&amp;'Data Export'!D1537,"")</f>
        <v/>
      </c>
      <c r="I1537" s="63" t="str">
        <f>IF(H1537="","",IFERROR(INDEX('Data Export'!G1537:CZ1537,1,MATCH(前十整体车型排名!$B$4,'Data Export'!$G$1:$CZ$1,0)),0))</f>
        <v/>
      </c>
      <c r="J1537" s="62" t="str">
        <f>IF(H1537="","",IF(OR('Data Export'!F1537="三厢轿车",'Data Export'!F1537="掀背轿车",'Data Export'!F1537="旅行车",'Data Export'!F1537="微型车",'Data Export'!F1537="硬顶跑车",'Data Export'!F1537="敞蓬车",'Data Export'!F1537="Targa"),"轿车",IF(OR('Data Export'!F1537="小型MPV",'Data Export'!F1537="客车"),"MPV",IF('Data Export'!F1537="运动型多功能车","SUV","其他"))))</f>
        <v/>
      </c>
      <c r="K1537" s="62"/>
      <c r="L1537" s="62"/>
      <c r="M1537" s="62"/>
      <c r="N1537" s="62"/>
      <c r="O1537" s="62"/>
      <c r="P1537" s="62"/>
      <c r="Q1537" s="62"/>
    </row>
    <row r="1538" spans="1:17">
      <c r="A1538" s="62"/>
      <c r="B1538" s="62"/>
      <c r="C1538" s="62"/>
      <c r="D1538" s="62"/>
      <c r="E1538" s="62"/>
      <c r="F1538" s="62"/>
      <c r="G1538" s="62"/>
      <c r="H1538" s="62" t="str">
        <f>IF(AND('Data Export'!A1538=前十整体车型排名!$B$2,'Data Export'!B1538=前十整体车型排名!$B$3,'Data Export'!D1538&lt;&gt;""),UPPER('Data Export'!C1538)&amp;"♦"&amp;'Data Export'!D1538,"")</f>
        <v/>
      </c>
      <c r="I1538" s="63" t="str">
        <f>IF(H1538="","",IFERROR(INDEX('Data Export'!G1538:CZ1538,1,MATCH(前十整体车型排名!$B$4,'Data Export'!$G$1:$CZ$1,0)),0))</f>
        <v/>
      </c>
      <c r="J1538" s="62" t="str">
        <f>IF(H1538="","",IF(OR('Data Export'!F1538="三厢轿车",'Data Export'!F1538="掀背轿车",'Data Export'!F1538="旅行车",'Data Export'!F1538="微型车",'Data Export'!F1538="硬顶跑车",'Data Export'!F1538="敞蓬车",'Data Export'!F1538="Targa"),"轿车",IF(OR('Data Export'!F1538="小型MPV",'Data Export'!F1538="客车"),"MPV",IF('Data Export'!F1538="运动型多功能车","SUV","其他"))))</f>
        <v/>
      </c>
      <c r="K1538" s="62"/>
      <c r="L1538" s="62"/>
      <c r="M1538" s="62"/>
      <c r="N1538" s="62"/>
      <c r="O1538" s="62"/>
      <c r="P1538" s="62"/>
      <c r="Q1538" s="62"/>
    </row>
    <row r="1539" spans="1:17">
      <c r="A1539" s="62"/>
      <c r="B1539" s="62"/>
      <c r="C1539" s="62"/>
      <c r="D1539" s="62"/>
      <c r="E1539" s="62"/>
      <c r="F1539" s="62"/>
      <c r="G1539" s="62"/>
      <c r="H1539" s="62" t="str">
        <f>IF(AND('Data Export'!A1539=前十整体车型排名!$B$2,'Data Export'!B1539=前十整体车型排名!$B$3,'Data Export'!D1539&lt;&gt;""),UPPER('Data Export'!C1539)&amp;"♦"&amp;'Data Export'!D1539,"")</f>
        <v/>
      </c>
      <c r="I1539" s="63" t="str">
        <f>IF(H1539="","",IFERROR(INDEX('Data Export'!G1539:CZ1539,1,MATCH(前十整体车型排名!$B$4,'Data Export'!$G$1:$CZ$1,0)),0))</f>
        <v/>
      </c>
      <c r="J1539" s="62" t="str">
        <f>IF(H1539="","",IF(OR('Data Export'!F1539="三厢轿车",'Data Export'!F1539="掀背轿车",'Data Export'!F1539="旅行车",'Data Export'!F1539="微型车",'Data Export'!F1539="硬顶跑车",'Data Export'!F1539="敞蓬车",'Data Export'!F1539="Targa"),"轿车",IF(OR('Data Export'!F1539="小型MPV",'Data Export'!F1539="客车"),"MPV",IF('Data Export'!F1539="运动型多功能车","SUV","其他"))))</f>
        <v/>
      </c>
      <c r="K1539" s="62"/>
      <c r="L1539" s="62"/>
      <c r="M1539" s="62"/>
      <c r="N1539" s="62"/>
      <c r="O1539" s="62"/>
      <c r="P1539" s="62"/>
      <c r="Q1539" s="62"/>
    </row>
    <row r="1540" spans="1:17">
      <c r="A1540" s="62"/>
      <c r="B1540" s="62"/>
      <c r="C1540" s="62"/>
      <c r="D1540" s="62"/>
      <c r="E1540" s="62"/>
      <c r="F1540" s="62"/>
      <c r="G1540" s="62"/>
      <c r="H1540" s="62" t="str">
        <f>IF(AND('Data Export'!A1540=前十整体车型排名!$B$2,'Data Export'!B1540=前十整体车型排名!$B$3,'Data Export'!D1540&lt;&gt;""),UPPER('Data Export'!C1540)&amp;"♦"&amp;'Data Export'!D1540,"")</f>
        <v/>
      </c>
      <c r="I1540" s="63" t="str">
        <f>IF(H1540="","",IFERROR(INDEX('Data Export'!G1540:CZ1540,1,MATCH(前十整体车型排名!$B$4,'Data Export'!$G$1:$CZ$1,0)),0))</f>
        <v/>
      </c>
      <c r="J1540" s="62" t="str">
        <f>IF(H1540="","",IF(OR('Data Export'!F1540="三厢轿车",'Data Export'!F1540="掀背轿车",'Data Export'!F1540="旅行车",'Data Export'!F1540="微型车",'Data Export'!F1540="硬顶跑车",'Data Export'!F1540="敞蓬车",'Data Export'!F1540="Targa"),"轿车",IF(OR('Data Export'!F1540="小型MPV",'Data Export'!F1540="客车"),"MPV",IF('Data Export'!F1540="运动型多功能车","SUV","其他"))))</f>
        <v/>
      </c>
      <c r="K1540" s="62"/>
      <c r="L1540" s="62"/>
      <c r="M1540" s="62"/>
      <c r="N1540" s="62"/>
      <c r="O1540" s="62"/>
      <c r="P1540" s="62"/>
      <c r="Q1540" s="62"/>
    </row>
    <row r="1541" spans="1:17">
      <c r="A1541" s="62"/>
      <c r="B1541" s="62"/>
      <c r="C1541" s="62"/>
      <c r="D1541" s="62"/>
      <c r="E1541" s="62"/>
      <c r="F1541" s="62"/>
      <c r="G1541" s="62"/>
      <c r="H1541" s="62" t="str">
        <f>IF(AND('Data Export'!A1541=前十整体车型排名!$B$2,'Data Export'!B1541=前十整体车型排名!$B$3,'Data Export'!D1541&lt;&gt;""),UPPER('Data Export'!C1541)&amp;"♦"&amp;'Data Export'!D1541,"")</f>
        <v/>
      </c>
      <c r="I1541" s="63" t="str">
        <f>IF(H1541="","",IFERROR(INDEX('Data Export'!G1541:CZ1541,1,MATCH(前十整体车型排名!$B$4,'Data Export'!$G$1:$CZ$1,0)),0))</f>
        <v/>
      </c>
      <c r="J1541" s="62" t="str">
        <f>IF(H1541="","",IF(OR('Data Export'!F1541="三厢轿车",'Data Export'!F1541="掀背轿车",'Data Export'!F1541="旅行车",'Data Export'!F1541="微型车",'Data Export'!F1541="硬顶跑车",'Data Export'!F1541="敞蓬车",'Data Export'!F1541="Targa"),"轿车",IF(OR('Data Export'!F1541="小型MPV",'Data Export'!F1541="客车"),"MPV",IF('Data Export'!F1541="运动型多功能车","SUV","其他"))))</f>
        <v/>
      </c>
      <c r="K1541" s="62"/>
      <c r="L1541" s="62"/>
      <c r="M1541" s="62"/>
      <c r="N1541" s="62"/>
      <c r="O1541" s="62"/>
      <c r="P1541" s="62"/>
      <c r="Q1541" s="62"/>
    </row>
    <row r="1542" spans="1:17">
      <c r="A1542" s="62"/>
      <c r="B1542" s="62"/>
      <c r="C1542" s="62"/>
      <c r="D1542" s="62"/>
      <c r="E1542" s="62"/>
      <c r="F1542" s="62"/>
      <c r="G1542" s="62"/>
      <c r="H1542" s="62" t="str">
        <f>IF(AND('Data Export'!A1542=前十整体车型排名!$B$2,'Data Export'!B1542=前十整体车型排名!$B$3,'Data Export'!D1542&lt;&gt;""),UPPER('Data Export'!C1542)&amp;"♦"&amp;'Data Export'!D1542,"")</f>
        <v/>
      </c>
      <c r="I1542" s="63" t="str">
        <f>IF(H1542="","",IFERROR(INDEX('Data Export'!G1542:CZ1542,1,MATCH(前十整体车型排名!$B$4,'Data Export'!$G$1:$CZ$1,0)),0))</f>
        <v/>
      </c>
      <c r="J1542" s="62" t="str">
        <f>IF(H1542="","",IF(OR('Data Export'!F1542="三厢轿车",'Data Export'!F1542="掀背轿车",'Data Export'!F1542="旅行车",'Data Export'!F1542="微型车",'Data Export'!F1542="硬顶跑车",'Data Export'!F1542="敞蓬车",'Data Export'!F1542="Targa"),"轿车",IF(OR('Data Export'!F1542="小型MPV",'Data Export'!F1542="客车"),"MPV",IF('Data Export'!F1542="运动型多功能车","SUV","其他"))))</f>
        <v/>
      </c>
      <c r="K1542" s="62"/>
      <c r="L1542" s="62"/>
      <c r="M1542" s="62"/>
      <c r="N1542" s="62"/>
      <c r="O1542" s="62"/>
      <c r="P1542" s="62"/>
      <c r="Q1542" s="62"/>
    </row>
    <row r="1543" spans="1:17">
      <c r="A1543" s="62"/>
      <c r="B1543" s="62"/>
      <c r="C1543" s="62"/>
      <c r="D1543" s="62"/>
      <c r="E1543" s="62"/>
      <c r="F1543" s="62"/>
      <c r="G1543" s="62"/>
      <c r="H1543" s="62" t="str">
        <f>IF(AND('Data Export'!A1543=前十整体车型排名!$B$2,'Data Export'!B1543=前十整体车型排名!$B$3,'Data Export'!D1543&lt;&gt;""),UPPER('Data Export'!C1543)&amp;"♦"&amp;'Data Export'!D1543,"")</f>
        <v/>
      </c>
      <c r="I1543" s="63" t="str">
        <f>IF(H1543="","",IFERROR(INDEX('Data Export'!G1543:CZ1543,1,MATCH(前十整体车型排名!$B$4,'Data Export'!$G$1:$CZ$1,0)),0))</f>
        <v/>
      </c>
      <c r="J1543" s="62" t="str">
        <f>IF(H1543="","",IF(OR('Data Export'!F1543="三厢轿车",'Data Export'!F1543="掀背轿车",'Data Export'!F1543="旅行车",'Data Export'!F1543="微型车",'Data Export'!F1543="硬顶跑车",'Data Export'!F1543="敞蓬车",'Data Export'!F1543="Targa"),"轿车",IF(OR('Data Export'!F1543="小型MPV",'Data Export'!F1543="客车"),"MPV",IF('Data Export'!F1543="运动型多功能车","SUV","其他"))))</f>
        <v/>
      </c>
      <c r="K1543" s="62"/>
      <c r="L1543" s="62"/>
      <c r="M1543" s="62"/>
      <c r="N1543" s="62"/>
      <c r="O1543" s="62"/>
      <c r="P1543" s="62"/>
      <c r="Q1543" s="62"/>
    </row>
    <row r="1544" spans="1:17">
      <c r="A1544" s="62"/>
      <c r="B1544" s="62"/>
      <c r="C1544" s="62"/>
      <c r="D1544" s="62"/>
      <c r="E1544" s="62"/>
      <c r="F1544" s="62"/>
      <c r="G1544" s="62"/>
      <c r="H1544" s="62" t="str">
        <f>IF(AND('Data Export'!A1544=前十整体车型排名!$B$2,'Data Export'!B1544=前十整体车型排名!$B$3,'Data Export'!D1544&lt;&gt;""),UPPER('Data Export'!C1544)&amp;"♦"&amp;'Data Export'!D1544,"")</f>
        <v/>
      </c>
      <c r="I1544" s="63" t="str">
        <f>IF(H1544="","",IFERROR(INDEX('Data Export'!G1544:CZ1544,1,MATCH(前十整体车型排名!$B$4,'Data Export'!$G$1:$CZ$1,0)),0))</f>
        <v/>
      </c>
      <c r="J1544" s="62" t="str">
        <f>IF(H1544="","",IF(OR('Data Export'!F1544="三厢轿车",'Data Export'!F1544="掀背轿车",'Data Export'!F1544="旅行车",'Data Export'!F1544="微型车",'Data Export'!F1544="硬顶跑车",'Data Export'!F1544="敞蓬车",'Data Export'!F1544="Targa"),"轿车",IF(OR('Data Export'!F1544="小型MPV",'Data Export'!F1544="客车"),"MPV",IF('Data Export'!F1544="运动型多功能车","SUV","其他"))))</f>
        <v/>
      </c>
      <c r="K1544" s="62"/>
      <c r="L1544" s="62"/>
      <c r="M1544" s="62"/>
      <c r="N1544" s="62"/>
      <c r="O1544" s="62"/>
      <c r="P1544" s="62"/>
      <c r="Q1544" s="62"/>
    </row>
    <row r="1545" spans="1:17">
      <c r="A1545" s="62"/>
      <c r="B1545" s="62"/>
      <c r="C1545" s="62"/>
      <c r="D1545" s="62"/>
      <c r="E1545" s="62"/>
      <c r="F1545" s="62"/>
      <c r="G1545" s="62"/>
      <c r="H1545" s="62" t="str">
        <f>IF(AND('Data Export'!A1545=前十整体车型排名!$B$2,'Data Export'!B1545=前十整体车型排名!$B$3,'Data Export'!D1545&lt;&gt;""),UPPER('Data Export'!C1545)&amp;"♦"&amp;'Data Export'!D1545,"")</f>
        <v/>
      </c>
      <c r="I1545" s="63" t="str">
        <f>IF(H1545="","",IFERROR(INDEX('Data Export'!G1545:CZ1545,1,MATCH(前十整体车型排名!$B$4,'Data Export'!$G$1:$CZ$1,0)),0))</f>
        <v/>
      </c>
      <c r="J1545" s="62" t="str">
        <f>IF(H1545="","",IF(OR('Data Export'!F1545="三厢轿车",'Data Export'!F1545="掀背轿车",'Data Export'!F1545="旅行车",'Data Export'!F1545="微型车",'Data Export'!F1545="硬顶跑车",'Data Export'!F1545="敞蓬车",'Data Export'!F1545="Targa"),"轿车",IF(OR('Data Export'!F1545="小型MPV",'Data Export'!F1545="客车"),"MPV",IF('Data Export'!F1545="运动型多功能车","SUV","其他"))))</f>
        <v/>
      </c>
      <c r="K1545" s="62"/>
      <c r="L1545" s="62"/>
      <c r="M1545" s="62"/>
      <c r="N1545" s="62"/>
      <c r="O1545" s="62"/>
      <c r="P1545" s="62"/>
      <c r="Q1545" s="62"/>
    </row>
    <row r="1546" spans="1:17">
      <c r="A1546" s="62"/>
      <c r="B1546" s="62"/>
      <c r="C1546" s="62"/>
      <c r="D1546" s="62"/>
      <c r="E1546" s="62"/>
      <c r="F1546" s="62"/>
      <c r="G1546" s="62"/>
      <c r="H1546" s="62" t="str">
        <f>IF(AND('Data Export'!A1546=前十整体车型排名!$B$2,'Data Export'!B1546=前十整体车型排名!$B$3,'Data Export'!D1546&lt;&gt;""),UPPER('Data Export'!C1546)&amp;"♦"&amp;'Data Export'!D1546,"")</f>
        <v/>
      </c>
      <c r="I1546" s="63" t="str">
        <f>IF(H1546="","",IFERROR(INDEX('Data Export'!G1546:CZ1546,1,MATCH(前十整体车型排名!$B$4,'Data Export'!$G$1:$CZ$1,0)),0))</f>
        <v/>
      </c>
      <c r="J1546" s="62" t="str">
        <f>IF(H1546="","",IF(OR('Data Export'!F1546="三厢轿车",'Data Export'!F1546="掀背轿车",'Data Export'!F1546="旅行车",'Data Export'!F1546="微型车",'Data Export'!F1546="硬顶跑车",'Data Export'!F1546="敞蓬车",'Data Export'!F1546="Targa"),"轿车",IF(OR('Data Export'!F1546="小型MPV",'Data Export'!F1546="客车"),"MPV",IF('Data Export'!F1546="运动型多功能车","SUV","其他"))))</f>
        <v/>
      </c>
      <c r="K1546" s="62"/>
      <c r="L1546" s="62"/>
      <c r="M1546" s="62"/>
      <c r="N1546" s="62"/>
      <c r="O1546" s="62"/>
      <c r="P1546" s="62"/>
      <c r="Q1546" s="62"/>
    </row>
    <row r="1547" spans="1:17">
      <c r="A1547" s="62"/>
      <c r="B1547" s="62"/>
      <c r="C1547" s="62"/>
      <c r="D1547" s="62"/>
      <c r="E1547" s="62"/>
      <c r="F1547" s="62"/>
      <c r="G1547" s="62"/>
      <c r="H1547" s="62" t="str">
        <f>IF(AND('Data Export'!A1547=前十整体车型排名!$B$2,'Data Export'!B1547=前十整体车型排名!$B$3,'Data Export'!D1547&lt;&gt;""),UPPER('Data Export'!C1547)&amp;"♦"&amp;'Data Export'!D1547,"")</f>
        <v/>
      </c>
      <c r="I1547" s="63" t="str">
        <f>IF(H1547="","",IFERROR(INDEX('Data Export'!G1547:CZ1547,1,MATCH(前十整体车型排名!$B$4,'Data Export'!$G$1:$CZ$1,0)),0))</f>
        <v/>
      </c>
      <c r="J1547" s="62" t="str">
        <f>IF(H1547="","",IF(OR('Data Export'!F1547="三厢轿车",'Data Export'!F1547="掀背轿车",'Data Export'!F1547="旅行车",'Data Export'!F1547="微型车",'Data Export'!F1547="硬顶跑车",'Data Export'!F1547="敞蓬车",'Data Export'!F1547="Targa"),"轿车",IF(OR('Data Export'!F1547="小型MPV",'Data Export'!F1547="客车"),"MPV",IF('Data Export'!F1547="运动型多功能车","SUV","其他"))))</f>
        <v/>
      </c>
      <c r="K1547" s="62"/>
      <c r="L1547" s="62"/>
      <c r="M1547" s="62"/>
      <c r="N1547" s="62"/>
      <c r="O1547" s="62"/>
      <c r="P1547" s="62"/>
      <c r="Q1547" s="62"/>
    </row>
    <row r="1548" spans="1:17">
      <c r="A1548" s="62"/>
      <c r="B1548" s="62"/>
      <c r="C1548" s="62"/>
      <c r="D1548" s="62"/>
      <c r="E1548" s="62"/>
      <c r="F1548" s="62"/>
      <c r="G1548" s="62"/>
      <c r="H1548" s="62" t="str">
        <f>IF(AND('Data Export'!A1548=前十整体车型排名!$B$2,'Data Export'!B1548=前十整体车型排名!$B$3,'Data Export'!D1548&lt;&gt;""),UPPER('Data Export'!C1548)&amp;"♦"&amp;'Data Export'!D1548,"")</f>
        <v/>
      </c>
      <c r="I1548" s="63" t="str">
        <f>IF(H1548="","",IFERROR(INDEX('Data Export'!G1548:CZ1548,1,MATCH(前十整体车型排名!$B$4,'Data Export'!$G$1:$CZ$1,0)),0))</f>
        <v/>
      </c>
      <c r="J1548" s="62" t="str">
        <f>IF(H1548="","",IF(OR('Data Export'!F1548="三厢轿车",'Data Export'!F1548="掀背轿车",'Data Export'!F1548="旅行车",'Data Export'!F1548="微型车",'Data Export'!F1548="硬顶跑车",'Data Export'!F1548="敞蓬车",'Data Export'!F1548="Targa"),"轿车",IF(OR('Data Export'!F1548="小型MPV",'Data Export'!F1548="客车"),"MPV",IF('Data Export'!F1548="运动型多功能车","SUV","其他"))))</f>
        <v/>
      </c>
      <c r="K1548" s="62"/>
      <c r="L1548" s="62"/>
      <c r="M1548" s="62"/>
      <c r="N1548" s="62"/>
      <c r="O1548" s="62"/>
      <c r="P1548" s="62"/>
      <c r="Q1548" s="62"/>
    </row>
    <row r="1549" spans="1:17">
      <c r="A1549" s="62"/>
      <c r="B1549" s="62"/>
      <c r="C1549" s="62"/>
      <c r="D1549" s="62"/>
      <c r="E1549" s="62"/>
      <c r="F1549" s="62"/>
      <c r="G1549" s="62"/>
      <c r="H1549" s="62" t="str">
        <f>IF(AND('Data Export'!A1549=前十整体车型排名!$B$2,'Data Export'!B1549=前十整体车型排名!$B$3,'Data Export'!D1549&lt;&gt;""),UPPER('Data Export'!C1549)&amp;"♦"&amp;'Data Export'!D1549,"")</f>
        <v/>
      </c>
      <c r="I1549" s="63" t="str">
        <f>IF(H1549="","",IFERROR(INDEX('Data Export'!G1549:CZ1549,1,MATCH(前十整体车型排名!$B$4,'Data Export'!$G$1:$CZ$1,0)),0))</f>
        <v/>
      </c>
      <c r="J1549" s="62" t="str">
        <f>IF(H1549="","",IF(OR('Data Export'!F1549="三厢轿车",'Data Export'!F1549="掀背轿车",'Data Export'!F1549="旅行车",'Data Export'!F1549="微型车",'Data Export'!F1549="硬顶跑车",'Data Export'!F1549="敞蓬车",'Data Export'!F1549="Targa"),"轿车",IF(OR('Data Export'!F1549="小型MPV",'Data Export'!F1549="客车"),"MPV",IF('Data Export'!F1549="运动型多功能车","SUV","其他"))))</f>
        <v/>
      </c>
      <c r="K1549" s="62"/>
      <c r="L1549" s="62"/>
      <c r="M1549" s="62"/>
      <c r="N1549" s="62"/>
      <c r="O1549" s="62"/>
      <c r="P1549" s="62"/>
      <c r="Q1549" s="62"/>
    </row>
    <row r="1550" spans="1:17">
      <c r="A1550" s="62"/>
      <c r="B1550" s="62"/>
      <c r="C1550" s="62"/>
      <c r="D1550" s="62"/>
      <c r="E1550" s="62"/>
      <c r="F1550" s="62"/>
      <c r="G1550" s="62"/>
      <c r="H1550" s="62" t="str">
        <f>IF(AND('Data Export'!A1550=前十整体车型排名!$B$2,'Data Export'!B1550=前十整体车型排名!$B$3,'Data Export'!D1550&lt;&gt;""),UPPER('Data Export'!C1550)&amp;"♦"&amp;'Data Export'!D1550,"")</f>
        <v/>
      </c>
      <c r="I1550" s="63" t="str">
        <f>IF(H1550="","",IFERROR(INDEX('Data Export'!G1550:CZ1550,1,MATCH(前十整体车型排名!$B$4,'Data Export'!$G$1:$CZ$1,0)),0))</f>
        <v/>
      </c>
      <c r="J1550" s="62" t="str">
        <f>IF(H1550="","",IF(OR('Data Export'!F1550="三厢轿车",'Data Export'!F1550="掀背轿车",'Data Export'!F1550="旅行车",'Data Export'!F1550="微型车",'Data Export'!F1550="硬顶跑车",'Data Export'!F1550="敞蓬车",'Data Export'!F1550="Targa"),"轿车",IF(OR('Data Export'!F1550="小型MPV",'Data Export'!F1550="客车"),"MPV",IF('Data Export'!F1550="运动型多功能车","SUV","其他"))))</f>
        <v/>
      </c>
      <c r="K1550" s="62"/>
      <c r="L1550" s="62"/>
      <c r="M1550" s="62"/>
      <c r="N1550" s="62"/>
      <c r="O1550" s="62"/>
      <c r="P1550" s="62"/>
      <c r="Q1550" s="62"/>
    </row>
    <row r="1551" spans="1:17">
      <c r="A1551" s="62"/>
      <c r="B1551" s="62"/>
      <c r="C1551" s="62"/>
      <c r="D1551" s="62"/>
      <c r="E1551" s="62"/>
      <c r="F1551" s="62"/>
      <c r="G1551" s="62"/>
      <c r="H1551" s="62" t="str">
        <f>IF(AND('Data Export'!A1551=前十整体车型排名!$B$2,'Data Export'!B1551=前十整体车型排名!$B$3,'Data Export'!D1551&lt;&gt;""),UPPER('Data Export'!C1551)&amp;"♦"&amp;'Data Export'!D1551,"")</f>
        <v/>
      </c>
      <c r="I1551" s="63" t="str">
        <f>IF(H1551="","",IFERROR(INDEX('Data Export'!G1551:CZ1551,1,MATCH(前十整体车型排名!$B$4,'Data Export'!$G$1:$CZ$1,0)),0))</f>
        <v/>
      </c>
      <c r="J1551" s="62" t="str">
        <f>IF(H1551="","",IF(OR('Data Export'!F1551="三厢轿车",'Data Export'!F1551="掀背轿车",'Data Export'!F1551="旅行车",'Data Export'!F1551="微型车",'Data Export'!F1551="硬顶跑车",'Data Export'!F1551="敞蓬车",'Data Export'!F1551="Targa"),"轿车",IF(OR('Data Export'!F1551="小型MPV",'Data Export'!F1551="客车"),"MPV",IF('Data Export'!F1551="运动型多功能车","SUV","其他"))))</f>
        <v/>
      </c>
      <c r="K1551" s="62"/>
      <c r="L1551" s="62"/>
      <c r="M1551" s="62"/>
      <c r="N1551" s="62"/>
      <c r="O1551" s="62"/>
      <c r="P1551" s="62"/>
      <c r="Q1551" s="62"/>
    </row>
    <row r="1552" spans="1:17">
      <c r="A1552" s="62"/>
      <c r="B1552" s="62"/>
      <c r="C1552" s="62"/>
      <c r="D1552" s="62"/>
      <c r="E1552" s="62"/>
      <c r="F1552" s="62"/>
      <c r="G1552" s="62"/>
      <c r="H1552" s="62" t="str">
        <f>IF(AND('Data Export'!A1552=前十整体车型排名!$B$2,'Data Export'!B1552=前十整体车型排名!$B$3,'Data Export'!D1552&lt;&gt;""),UPPER('Data Export'!C1552)&amp;"♦"&amp;'Data Export'!D1552,"")</f>
        <v/>
      </c>
      <c r="I1552" s="63" t="str">
        <f>IF(H1552="","",IFERROR(INDEX('Data Export'!G1552:CZ1552,1,MATCH(前十整体车型排名!$B$4,'Data Export'!$G$1:$CZ$1,0)),0))</f>
        <v/>
      </c>
      <c r="J1552" s="62" t="str">
        <f>IF(H1552="","",IF(OR('Data Export'!F1552="三厢轿车",'Data Export'!F1552="掀背轿车",'Data Export'!F1552="旅行车",'Data Export'!F1552="微型车",'Data Export'!F1552="硬顶跑车",'Data Export'!F1552="敞蓬车",'Data Export'!F1552="Targa"),"轿车",IF(OR('Data Export'!F1552="小型MPV",'Data Export'!F1552="客车"),"MPV",IF('Data Export'!F1552="运动型多功能车","SUV","其他"))))</f>
        <v/>
      </c>
      <c r="K1552" s="62"/>
      <c r="L1552" s="62"/>
      <c r="M1552" s="62"/>
      <c r="N1552" s="62"/>
      <c r="O1552" s="62"/>
      <c r="P1552" s="62"/>
      <c r="Q1552" s="62"/>
    </row>
    <row r="1553" spans="1:17">
      <c r="A1553" s="62"/>
      <c r="B1553" s="62"/>
      <c r="C1553" s="62"/>
      <c r="D1553" s="62"/>
      <c r="E1553" s="62"/>
      <c r="F1553" s="62"/>
      <c r="G1553" s="62"/>
      <c r="H1553" s="62" t="str">
        <f>IF(AND('Data Export'!A1553=前十整体车型排名!$B$2,'Data Export'!B1553=前十整体车型排名!$B$3,'Data Export'!D1553&lt;&gt;""),UPPER('Data Export'!C1553)&amp;"♦"&amp;'Data Export'!D1553,"")</f>
        <v/>
      </c>
      <c r="I1553" s="63" t="str">
        <f>IF(H1553="","",IFERROR(INDEX('Data Export'!G1553:CZ1553,1,MATCH(前十整体车型排名!$B$4,'Data Export'!$G$1:$CZ$1,0)),0))</f>
        <v/>
      </c>
      <c r="J1553" s="62" t="str">
        <f>IF(H1553="","",IF(OR('Data Export'!F1553="三厢轿车",'Data Export'!F1553="掀背轿车",'Data Export'!F1553="旅行车",'Data Export'!F1553="微型车",'Data Export'!F1553="硬顶跑车",'Data Export'!F1553="敞蓬车",'Data Export'!F1553="Targa"),"轿车",IF(OR('Data Export'!F1553="小型MPV",'Data Export'!F1553="客车"),"MPV",IF('Data Export'!F1553="运动型多功能车","SUV","其他"))))</f>
        <v/>
      </c>
      <c r="K1553" s="62"/>
      <c r="L1553" s="62"/>
      <c r="M1553" s="62"/>
      <c r="N1553" s="62"/>
      <c r="O1553" s="62"/>
      <c r="P1553" s="62"/>
      <c r="Q1553" s="62"/>
    </row>
    <row r="1554" spans="1:17">
      <c r="A1554" s="62"/>
      <c r="B1554" s="62"/>
      <c r="C1554" s="62"/>
      <c r="D1554" s="62"/>
      <c r="E1554" s="62"/>
      <c r="F1554" s="62"/>
      <c r="G1554" s="62"/>
      <c r="H1554" s="62" t="str">
        <f>IF(AND('Data Export'!A1554=前十整体车型排名!$B$2,'Data Export'!B1554=前十整体车型排名!$B$3,'Data Export'!D1554&lt;&gt;""),UPPER('Data Export'!C1554)&amp;"♦"&amp;'Data Export'!D1554,"")</f>
        <v/>
      </c>
      <c r="I1554" s="63" t="str">
        <f>IF(H1554="","",IFERROR(INDEX('Data Export'!G1554:CZ1554,1,MATCH(前十整体车型排名!$B$4,'Data Export'!$G$1:$CZ$1,0)),0))</f>
        <v/>
      </c>
      <c r="J1554" s="62" t="str">
        <f>IF(H1554="","",IF(OR('Data Export'!F1554="三厢轿车",'Data Export'!F1554="掀背轿车",'Data Export'!F1554="旅行车",'Data Export'!F1554="微型车",'Data Export'!F1554="硬顶跑车",'Data Export'!F1554="敞蓬车",'Data Export'!F1554="Targa"),"轿车",IF(OR('Data Export'!F1554="小型MPV",'Data Export'!F1554="客车"),"MPV",IF('Data Export'!F1554="运动型多功能车","SUV","其他"))))</f>
        <v/>
      </c>
      <c r="K1554" s="62"/>
      <c r="L1554" s="62"/>
      <c r="M1554" s="62"/>
      <c r="N1554" s="62"/>
      <c r="O1554" s="62"/>
      <c r="P1554" s="62"/>
      <c r="Q1554" s="62"/>
    </row>
    <row r="1555" spans="1:17">
      <c r="A1555" s="62"/>
      <c r="B1555" s="62"/>
      <c r="C1555" s="62"/>
      <c r="D1555" s="62"/>
      <c r="E1555" s="62"/>
      <c r="F1555" s="62"/>
      <c r="G1555" s="62"/>
      <c r="H1555" s="62" t="str">
        <f>IF(AND('Data Export'!A1555=前十整体车型排名!$B$2,'Data Export'!B1555=前十整体车型排名!$B$3,'Data Export'!D1555&lt;&gt;""),UPPER('Data Export'!C1555)&amp;"♦"&amp;'Data Export'!D1555,"")</f>
        <v/>
      </c>
      <c r="I1555" s="63" t="str">
        <f>IF(H1555="","",IFERROR(INDEX('Data Export'!G1555:CZ1555,1,MATCH(前十整体车型排名!$B$4,'Data Export'!$G$1:$CZ$1,0)),0))</f>
        <v/>
      </c>
      <c r="J1555" s="62" t="str">
        <f>IF(H1555="","",IF(OR('Data Export'!F1555="三厢轿车",'Data Export'!F1555="掀背轿车",'Data Export'!F1555="旅行车",'Data Export'!F1555="微型车",'Data Export'!F1555="硬顶跑车",'Data Export'!F1555="敞蓬车",'Data Export'!F1555="Targa"),"轿车",IF(OR('Data Export'!F1555="小型MPV",'Data Export'!F1555="客车"),"MPV",IF('Data Export'!F1555="运动型多功能车","SUV","其他"))))</f>
        <v/>
      </c>
      <c r="K1555" s="62"/>
      <c r="L1555" s="62"/>
      <c r="M1555" s="62"/>
      <c r="N1555" s="62"/>
      <c r="O1555" s="62"/>
      <c r="P1555" s="62"/>
      <c r="Q1555" s="62"/>
    </row>
    <row r="1556" spans="1:17">
      <c r="A1556" s="62"/>
      <c r="B1556" s="62"/>
      <c r="C1556" s="62"/>
      <c r="D1556" s="62"/>
      <c r="E1556" s="62"/>
      <c r="F1556" s="62"/>
      <c r="G1556" s="62"/>
      <c r="H1556" s="62" t="str">
        <f>IF(AND('Data Export'!A1556=前十整体车型排名!$B$2,'Data Export'!B1556=前十整体车型排名!$B$3,'Data Export'!D1556&lt;&gt;""),UPPER('Data Export'!C1556)&amp;"♦"&amp;'Data Export'!D1556,"")</f>
        <v/>
      </c>
      <c r="I1556" s="63" t="str">
        <f>IF(H1556="","",IFERROR(INDEX('Data Export'!G1556:CZ1556,1,MATCH(前十整体车型排名!$B$4,'Data Export'!$G$1:$CZ$1,0)),0))</f>
        <v/>
      </c>
      <c r="J1556" s="62" t="str">
        <f>IF(H1556="","",IF(OR('Data Export'!F1556="三厢轿车",'Data Export'!F1556="掀背轿车",'Data Export'!F1556="旅行车",'Data Export'!F1556="微型车",'Data Export'!F1556="硬顶跑车",'Data Export'!F1556="敞蓬车",'Data Export'!F1556="Targa"),"轿车",IF(OR('Data Export'!F1556="小型MPV",'Data Export'!F1556="客车"),"MPV",IF('Data Export'!F1556="运动型多功能车","SUV","其他"))))</f>
        <v/>
      </c>
      <c r="K1556" s="62"/>
      <c r="L1556" s="62"/>
      <c r="M1556" s="62"/>
      <c r="N1556" s="62"/>
      <c r="O1556" s="62"/>
      <c r="P1556" s="62"/>
      <c r="Q1556" s="62"/>
    </row>
    <row r="1557" spans="1:17">
      <c r="A1557" s="62"/>
      <c r="B1557" s="62"/>
      <c r="C1557" s="62"/>
      <c r="D1557" s="62"/>
      <c r="E1557" s="62"/>
      <c r="F1557" s="62"/>
      <c r="G1557" s="62"/>
      <c r="H1557" s="62" t="str">
        <f>IF(AND('Data Export'!A1557=前十整体车型排名!$B$2,'Data Export'!B1557=前十整体车型排名!$B$3,'Data Export'!D1557&lt;&gt;""),UPPER('Data Export'!C1557)&amp;"♦"&amp;'Data Export'!D1557,"")</f>
        <v/>
      </c>
      <c r="I1557" s="63" t="str">
        <f>IF(H1557="","",IFERROR(INDEX('Data Export'!G1557:CZ1557,1,MATCH(前十整体车型排名!$B$4,'Data Export'!$G$1:$CZ$1,0)),0))</f>
        <v/>
      </c>
      <c r="J1557" s="62" t="str">
        <f>IF(H1557="","",IF(OR('Data Export'!F1557="三厢轿车",'Data Export'!F1557="掀背轿车",'Data Export'!F1557="旅行车",'Data Export'!F1557="微型车",'Data Export'!F1557="硬顶跑车",'Data Export'!F1557="敞蓬车",'Data Export'!F1557="Targa"),"轿车",IF(OR('Data Export'!F1557="小型MPV",'Data Export'!F1557="客车"),"MPV",IF('Data Export'!F1557="运动型多功能车","SUV","其他"))))</f>
        <v/>
      </c>
      <c r="K1557" s="62"/>
      <c r="L1557" s="62"/>
      <c r="M1557" s="62"/>
      <c r="N1557" s="62"/>
      <c r="O1557" s="62"/>
      <c r="P1557" s="62"/>
      <c r="Q1557" s="62"/>
    </row>
    <row r="1558" spans="1:17">
      <c r="A1558" s="62"/>
      <c r="B1558" s="62"/>
      <c r="C1558" s="62"/>
      <c r="D1558" s="62"/>
      <c r="E1558" s="62"/>
      <c r="F1558" s="62"/>
      <c r="G1558" s="62"/>
      <c r="H1558" s="62" t="str">
        <f>IF(AND('Data Export'!A1558=前十整体车型排名!$B$2,'Data Export'!B1558=前十整体车型排名!$B$3,'Data Export'!D1558&lt;&gt;""),UPPER('Data Export'!C1558)&amp;"♦"&amp;'Data Export'!D1558,"")</f>
        <v/>
      </c>
      <c r="I1558" s="63" t="str">
        <f>IF(H1558="","",IFERROR(INDEX('Data Export'!G1558:CZ1558,1,MATCH(前十整体车型排名!$B$4,'Data Export'!$G$1:$CZ$1,0)),0))</f>
        <v/>
      </c>
      <c r="J1558" s="62" t="str">
        <f>IF(H1558="","",IF(OR('Data Export'!F1558="三厢轿车",'Data Export'!F1558="掀背轿车",'Data Export'!F1558="旅行车",'Data Export'!F1558="微型车",'Data Export'!F1558="硬顶跑车",'Data Export'!F1558="敞蓬车",'Data Export'!F1558="Targa"),"轿车",IF(OR('Data Export'!F1558="小型MPV",'Data Export'!F1558="客车"),"MPV",IF('Data Export'!F1558="运动型多功能车","SUV","其他"))))</f>
        <v/>
      </c>
      <c r="K1558" s="62"/>
      <c r="L1558" s="62"/>
      <c r="M1558" s="62"/>
      <c r="N1558" s="62"/>
      <c r="O1558" s="62"/>
      <c r="P1558" s="62"/>
      <c r="Q1558" s="62"/>
    </row>
    <row r="1559" spans="1:17">
      <c r="A1559" s="62"/>
      <c r="B1559" s="62"/>
      <c r="C1559" s="62"/>
      <c r="D1559" s="62"/>
      <c r="E1559" s="62"/>
      <c r="F1559" s="62"/>
      <c r="G1559" s="62"/>
      <c r="H1559" s="62" t="str">
        <f>IF(AND('Data Export'!A1559=前十整体车型排名!$B$2,'Data Export'!B1559=前十整体车型排名!$B$3,'Data Export'!D1559&lt;&gt;""),UPPER('Data Export'!C1559)&amp;"♦"&amp;'Data Export'!D1559,"")</f>
        <v/>
      </c>
      <c r="I1559" s="63" t="str">
        <f>IF(H1559="","",IFERROR(INDEX('Data Export'!G1559:CZ1559,1,MATCH(前十整体车型排名!$B$4,'Data Export'!$G$1:$CZ$1,0)),0))</f>
        <v/>
      </c>
      <c r="J1559" s="62" t="str">
        <f>IF(H1559="","",IF(OR('Data Export'!F1559="三厢轿车",'Data Export'!F1559="掀背轿车",'Data Export'!F1559="旅行车",'Data Export'!F1559="微型车",'Data Export'!F1559="硬顶跑车",'Data Export'!F1559="敞蓬车",'Data Export'!F1559="Targa"),"轿车",IF(OR('Data Export'!F1559="小型MPV",'Data Export'!F1559="客车"),"MPV",IF('Data Export'!F1559="运动型多功能车","SUV","其他"))))</f>
        <v/>
      </c>
      <c r="K1559" s="62"/>
      <c r="L1559" s="62"/>
      <c r="M1559" s="62"/>
      <c r="N1559" s="62"/>
      <c r="O1559" s="62"/>
      <c r="P1559" s="62"/>
      <c r="Q1559" s="62"/>
    </row>
    <row r="1560" spans="1:17">
      <c r="A1560" s="62"/>
      <c r="B1560" s="62"/>
      <c r="C1560" s="62"/>
      <c r="D1560" s="62"/>
      <c r="E1560" s="62"/>
      <c r="F1560" s="62"/>
      <c r="G1560" s="62"/>
      <c r="H1560" s="62" t="str">
        <f>IF(AND('Data Export'!A1560=前十整体车型排名!$B$2,'Data Export'!B1560=前十整体车型排名!$B$3,'Data Export'!D1560&lt;&gt;""),UPPER('Data Export'!C1560)&amp;"♦"&amp;'Data Export'!D1560,"")</f>
        <v/>
      </c>
      <c r="I1560" s="63" t="str">
        <f>IF(H1560="","",IFERROR(INDEX('Data Export'!G1560:CZ1560,1,MATCH(前十整体车型排名!$B$4,'Data Export'!$G$1:$CZ$1,0)),0))</f>
        <v/>
      </c>
      <c r="J1560" s="62" t="str">
        <f>IF(H1560="","",IF(OR('Data Export'!F1560="三厢轿车",'Data Export'!F1560="掀背轿车",'Data Export'!F1560="旅行车",'Data Export'!F1560="微型车",'Data Export'!F1560="硬顶跑车",'Data Export'!F1560="敞蓬车",'Data Export'!F1560="Targa"),"轿车",IF(OR('Data Export'!F1560="小型MPV",'Data Export'!F1560="客车"),"MPV",IF('Data Export'!F1560="运动型多功能车","SUV","其他"))))</f>
        <v/>
      </c>
      <c r="K1560" s="62"/>
      <c r="L1560" s="62"/>
      <c r="M1560" s="62"/>
      <c r="N1560" s="62"/>
      <c r="O1560" s="62"/>
      <c r="P1560" s="62"/>
      <c r="Q1560" s="62"/>
    </row>
    <row r="1561" spans="1:17">
      <c r="A1561" s="62"/>
      <c r="B1561" s="62"/>
      <c r="C1561" s="62"/>
      <c r="D1561" s="62"/>
      <c r="E1561" s="62"/>
      <c r="F1561" s="62"/>
      <c r="G1561" s="62"/>
      <c r="H1561" s="62" t="str">
        <f>IF(AND('Data Export'!A1561=前十整体车型排名!$B$2,'Data Export'!B1561=前十整体车型排名!$B$3,'Data Export'!D1561&lt;&gt;""),UPPER('Data Export'!C1561)&amp;"♦"&amp;'Data Export'!D1561,"")</f>
        <v/>
      </c>
      <c r="I1561" s="63" t="str">
        <f>IF(H1561="","",IFERROR(INDEX('Data Export'!G1561:CZ1561,1,MATCH(前十整体车型排名!$B$4,'Data Export'!$G$1:$CZ$1,0)),0))</f>
        <v/>
      </c>
      <c r="J1561" s="62" t="str">
        <f>IF(H1561="","",IF(OR('Data Export'!F1561="三厢轿车",'Data Export'!F1561="掀背轿车",'Data Export'!F1561="旅行车",'Data Export'!F1561="微型车",'Data Export'!F1561="硬顶跑车",'Data Export'!F1561="敞蓬车",'Data Export'!F1561="Targa"),"轿车",IF(OR('Data Export'!F1561="小型MPV",'Data Export'!F1561="客车"),"MPV",IF('Data Export'!F1561="运动型多功能车","SUV","其他"))))</f>
        <v/>
      </c>
      <c r="K1561" s="62"/>
      <c r="L1561" s="62"/>
      <c r="M1561" s="62"/>
      <c r="N1561" s="62"/>
      <c r="O1561" s="62"/>
      <c r="P1561" s="62"/>
      <c r="Q1561" s="62"/>
    </row>
    <row r="1562" spans="1:17">
      <c r="A1562" s="62"/>
      <c r="B1562" s="62"/>
      <c r="C1562" s="62"/>
      <c r="D1562" s="62"/>
      <c r="E1562" s="62"/>
      <c r="F1562" s="62"/>
      <c r="G1562" s="62"/>
      <c r="H1562" s="62" t="str">
        <f>IF(AND('Data Export'!A1562=前十整体车型排名!$B$2,'Data Export'!B1562=前十整体车型排名!$B$3,'Data Export'!D1562&lt;&gt;""),UPPER('Data Export'!C1562)&amp;"♦"&amp;'Data Export'!D1562,"")</f>
        <v/>
      </c>
      <c r="I1562" s="63" t="str">
        <f>IF(H1562="","",IFERROR(INDEX('Data Export'!G1562:CZ1562,1,MATCH(前十整体车型排名!$B$4,'Data Export'!$G$1:$CZ$1,0)),0))</f>
        <v/>
      </c>
      <c r="J1562" s="62" t="str">
        <f>IF(H1562="","",IF(OR('Data Export'!F1562="三厢轿车",'Data Export'!F1562="掀背轿车",'Data Export'!F1562="旅行车",'Data Export'!F1562="微型车",'Data Export'!F1562="硬顶跑车",'Data Export'!F1562="敞蓬车",'Data Export'!F1562="Targa"),"轿车",IF(OR('Data Export'!F1562="小型MPV",'Data Export'!F1562="客车"),"MPV",IF('Data Export'!F1562="运动型多功能车","SUV","其他"))))</f>
        <v/>
      </c>
      <c r="K1562" s="62"/>
      <c r="L1562" s="62"/>
      <c r="M1562" s="62"/>
      <c r="N1562" s="62"/>
      <c r="O1562" s="62"/>
      <c r="P1562" s="62"/>
      <c r="Q1562" s="62"/>
    </row>
    <row r="1563" spans="1:17">
      <c r="A1563" s="62"/>
      <c r="B1563" s="62"/>
      <c r="C1563" s="62"/>
      <c r="D1563" s="62"/>
      <c r="E1563" s="62"/>
      <c r="F1563" s="62"/>
      <c r="G1563" s="62"/>
      <c r="H1563" s="62" t="str">
        <f>IF(AND('Data Export'!A1563=前十整体车型排名!$B$2,'Data Export'!B1563=前十整体车型排名!$B$3,'Data Export'!D1563&lt;&gt;""),UPPER('Data Export'!C1563)&amp;"♦"&amp;'Data Export'!D1563,"")</f>
        <v/>
      </c>
      <c r="I1563" s="63" t="str">
        <f>IF(H1563="","",IFERROR(INDEX('Data Export'!G1563:CZ1563,1,MATCH(前十整体车型排名!$B$4,'Data Export'!$G$1:$CZ$1,0)),0))</f>
        <v/>
      </c>
      <c r="J1563" s="62" t="str">
        <f>IF(H1563="","",IF(OR('Data Export'!F1563="三厢轿车",'Data Export'!F1563="掀背轿车",'Data Export'!F1563="旅行车",'Data Export'!F1563="微型车",'Data Export'!F1563="硬顶跑车",'Data Export'!F1563="敞蓬车",'Data Export'!F1563="Targa"),"轿车",IF(OR('Data Export'!F1563="小型MPV",'Data Export'!F1563="客车"),"MPV",IF('Data Export'!F1563="运动型多功能车","SUV","其他"))))</f>
        <v/>
      </c>
      <c r="K1563" s="62"/>
      <c r="L1563" s="62"/>
      <c r="M1563" s="62"/>
      <c r="N1563" s="62"/>
      <c r="O1563" s="62"/>
      <c r="P1563" s="62"/>
      <c r="Q1563" s="62"/>
    </row>
    <row r="1564" spans="1:17">
      <c r="A1564" s="62"/>
      <c r="B1564" s="62"/>
      <c r="C1564" s="62"/>
      <c r="D1564" s="62"/>
      <c r="E1564" s="62"/>
      <c r="F1564" s="62"/>
      <c r="G1564" s="62"/>
      <c r="H1564" s="62" t="str">
        <f>IF(AND('Data Export'!A1564=前十整体车型排名!$B$2,'Data Export'!B1564=前十整体车型排名!$B$3,'Data Export'!D1564&lt;&gt;""),UPPER('Data Export'!C1564)&amp;"♦"&amp;'Data Export'!D1564,"")</f>
        <v/>
      </c>
      <c r="I1564" s="63" t="str">
        <f>IF(H1564="","",IFERROR(INDEX('Data Export'!G1564:CZ1564,1,MATCH(前十整体车型排名!$B$4,'Data Export'!$G$1:$CZ$1,0)),0))</f>
        <v/>
      </c>
      <c r="J1564" s="62" t="str">
        <f>IF(H1564="","",IF(OR('Data Export'!F1564="三厢轿车",'Data Export'!F1564="掀背轿车",'Data Export'!F1564="旅行车",'Data Export'!F1564="微型车",'Data Export'!F1564="硬顶跑车",'Data Export'!F1564="敞蓬车",'Data Export'!F1564="Targa"),"轿车",IF(OR('Data Export'!F1564="小型MPV",'Data Export'!F1564="客车"),"MPV",IF('Data Export'!F1564="运动型多功能车","SUV","其他"))))</f>
        <v/>
      </c>
      <c r="K1564" s="62"/>
      <c r="L1564" s="62"/>
      <c r="M1564" s="62"/>
      <c r="N1564" s="62"/>
      <c r="O1564" s="62"/>
      <c r="P1564" s="62"/>
      <c r="Q1564" s="62"/>
    </row>
    <row r="1565" spans="1:17">
      <c r="A1565" s="62"/>
      <c r="B1565" s="62"/>
      <c r="C1565" s="62"/>
      <c r="D1565" s="62"/>
      <c r="E1565" s="62"/>
      <c r="F1565" s="62"/>
      <c r="G1565" s="62"/>
      <c r="H1565" s="62" t="str">
        <f>IF(AND('Data Export'!A1565=前十整体车型排名!$B$2,'Data Export'!B1565=前十整体车型排名!$B$3,'Data Export'!D1565&lt;&gt;""),UPPER('Data Export'!C1565)&amp;"♦"&amp;'Data Export'!D1565,"")</f>
        <v/>
      </c>
      <c r="I1565" s="63" t="str">
        <f>IF(H1565="","",IFERROR(INDEX('Data Export'!G1565:CZ1565,1,MATCH(前十整体车型排名!$B$4,'Data Export'!$G$1:$CZ$1,0)),0))</f>
        <v/>
      </c>
      <c r="J1565" s="62" t="str">
        <f>IF(H1565="","",IF(OR('Data Export'!F1565="三厢轿车",'Data Export'!F1565="掀背轿车",'Data Export'!F1565="旅行车",'Data Export'!F1565="微型车",'Data Export'!F1565="硬顶跑车",'Data Export'!F1565="敞蓬车",'Data Export'!F1565="Targa"),"轿车",IF(OR('Data Export'!F1565="小型MPV",'Data Export'!F1565="客车"),"MPV",IF('Data Export'!F1565="运动型多功能车","SUV","其他"))))</f>
        <v/>
      </c>
      <c r="K1565" s="62"/>
      <c r="L1565" s="62"/>
      <c r="M1565" s="62"/>
      <c r="N1565" s="62"/>
      <c r="O1565" s="62"/>
      <c r="P1565" s="62"/>
      <c r="Q1565" s="62"/>
    </row>
    <row r="1566" spans="1:17">
      <c r="A1566" s="62"/>
      <c r="B1566" s="62"/>
      <c r="C1566" s="62"/>
      <c r="D1566" s="62"/>
      <c r="E1566" s="62"/>
      <c r="F1566" s="62"/>
      <c r="G1566" s="62"/>
      <c r="H1566" s="62" t="str">
        <f>IF(AND('Data Export'!A1566=前十整体车型排名!$B$2,'Data Export'!B1566=前十整体车型排名!$B$3,'Data Export'!D1566&lt;&gt;""),UPPER('Data Export'!C1566)&amp;"♦"&amp;'Data Export'!D1566,"")</f>
        <v/>
      </c>
      <c r="I1566" s="63" t="str">
        <f>IF(H1566="","",IFERROR(INDEX('Data Export'!G1566:CZ1566,1,MATCH(前十整体车型排名!$B$4,'Data Export'!$G$1:$CZ$1,0)),0))</f>
        <v/>
      </c>
      <c r="J1566" s="62" t="str">
        <f>IF(H1566="","",IF(OR('Data Export'!F1566="三厢轿车",'Data Export'!F1566="掀背轿车",'Data Export'!F1566="旅行车",'Data Export'!F1566="微型车",'Data Export'!F1566="硬顶跑车",'Data Export'!F1566="敞蓬车",'Data Export'!F1566="Targa"),"轿车",IF(OR('Data Export'!F1566="小型MPV",'Data Export'!F1566="客车"),"MPV",IF('Data Export'!F1566="运动型多功能车","SUV","其他"))))</f>
        <v/>
      </c>
      <c r="K1566" s="62"/>
      <c r="L1566" s="62"/>
      <c r="M1566" s="62"/>
      <c r="N1566" s="62"/>
      <c r="O1566" s="62"/>
      <c r="P1566" s="62"/>
      <c r="Q1566" s="62"/>
    </row>
    <row r="1567" spans="1:17">
      <c r="A1567" s="62"/>
      <c r="B1567" s="62"/>
      <c r="C1567" s="62"/>
      <c r="D1567" s="62"/>
      <c r="E1567" s="62"/>
      <c r="F1567" s="62"/>
      <c r="G1567" s="62"/>
      <c r="H1567" s="62" t="str">
        <f>IF(AND('Data Export'!A1567=前十整体车型排名!$B$2,'Data Export'!B1567=前十整体车型排名!$B$3,'Data Export'!D1567&lt;&gt;""),UPPER('Data Export'!C1567)&amp;"♦"&amp;'Data Export'!D1567,"")</f>
        <v/>
      </c>
      <c r="I1567" s="63" t="str">
        <f>IF(H1567="","",IFERROR(INDEX('Data Export'!G1567:CZ1567,1,MATCH(前十整体车型排名!$B$4,'Data Export'!$G$1:$CZ$1,0)),0))</f>
        <v/>
      </c>
      <c r="J1567" s="62" t="str">
        <f>IF(H1567="","",IF(OR('Data Export'!F1567="三厢轿车",'Data Export'!F1567="掀背轿车",'Data Export'!F1567="旅行车",'Data Export'!F1567="微型车",'Data Export'!F1567="硬顶跑车",'Data Export'!F1567="敞蓬车",'Data Export'!F1567="Targa"),"轿车",IF(OR('Data Export'!F1567="小型MPV",'Data Export'!F1567="客车"),"MPV",IF('Data Export'!F1567="运动型多功能车","SUV","其他"))))</f>
        <v/>
      </c>
      <c r="K1567" s="62"/>
      <c r="L1567" s="62"/>
      <c r="M1567" s="62"/>
      <c r="N1567" s="62"/>
      <c r="O1567" s="62"/>
      <c r="P1567" s="62"/>
      <c r="Q1567" s="62"/>
    </row>
    <row r="1568" spans="1:17">
      <c r="A1568" s="62"/>
      <c r="B1568" s="62"/>
      <c r="C1568" s="62"/>
      <c r="D1568" s="62"/>
      <c r="E1568" s="62"/>
      <c r="F1568" s="62"/>
      <c r="G1568" s="62"/>
      <c r="H1568" s="62" t="str">
        <f>IF(AND('Data Export'!A1568=前十整体车型排名!$B$2,'Data Export'!B1568=前十整体车型排名!$B$3,'Data Export'!D1568&lt;&gt;""),UPPER('Data Export'!C1568)&amp;"♦"&amp;'Data Export'!D1568,"")</f>
        <v/>
      </c>
      <c r="I1568" s="63" t="str">
        <f>IF(H1568="","",IFERROR(INDEX('Data Export'!G1568:CZ1568,1,MATCH(前十整体车型排名!$B$4,'Data Export'!$G$1:$CZ$1,0)),0))</f>
        <v/>
      </c>
      <c r="J1568" s="62" t="str">
        <f>IF(H1568="","",IF(OR('Data Export'!F1568="三厢轿车",'Data Export'!F1568="掀背轿车",'Data Export'!F1568="旅行车",'Data Export'!F1568="微型车",'Data Export'!F1568="硬顶跑车",'Data Export'!F1568="敞蓬车",'Data Export'!F1568="Targa"),"轿车",IF(OR('Data Export'!F1568="小型MPV",'Data Export'!F1568="客车"),"MPV",IF('Data Export'!F1568="运动型多功能车","SUV","其他"))))</f>
        <v/>
      </c>
      <c r="K1568" s="62"/>
      <c r="L1568" s="62"/>
      <c r="M1568" s="62"/>
      <c r="N1568" s="62"/>
      <c r="O1568" s="62"/>
      <c r="P1568" s="62"/>
      <c r="Q1568" s="62"/>
    </row>
    <row r="1569" spans="1:17">
      <c r="A1569" s="62"/>
      <c r="B1569" s="62"/>
      <c r="C1569" s="62"/>
      <c r="D1569" s="62"/>
      <c r="E1569" s="62"/>
      <c r="F1569" s="62"/>
      <c r="G1569" s="62"/>
      <c r="H1569" s="62" t="str">
        <f>IF(AND('Data Export'!A1569=前十整体车型排名!$B$2,'Data Export'!B1569=前十整体车型排名!$B$3,'Data Export'!D1569&lt;&gt;""),UPPER('Data Export'!C1569)&amp;"♦"&amp;'Data Export'!D1569,"")</f>
        <v/>
      </c>
      <c r="I1569" s="63" t="str">
        <f>IF(H1569="","",IFERROR(INDEX('Data Export'!G1569:CZ1569,1,MATCH(前十整体车型排名!$B$4,'Data Export'!$G$1:$CZ$1,0)),0))</f>
        <v/>
      </c>
      <c r="J1569" s="62" t="str">
        <f>IF(H1569="","",IF(OR('Data Export'!F1569="三厢轿车",'Data Export'!F1569="掀背轿车",'Data Export'!F1569="旅行车",'Data Export'!F1569="微型车",'Data Export'!F1569="硬顶跑车",'Data Export'!F1569="敞蓬车",'Data Export'!F1569="Targa"),"轿车",IF(OR('Data Export'!F1569="小型MPV",'Data Export'!F1569="客车"),"MPV",IF('Data Export'!F1569="运动型多功能车","SUV","其他"))))</f>
        <v/>
      </c>
      <c r="K1569" s="62"/>
      <c r="L1569" s="62"/>
      <c r="M1569" s="62"/>
      <c r="N1569" s="62"/>
      <c r="O1569" s="62"/>
      <c r="P1569" s="62"/>
      <c r="Q1569" s="62"/>
    </row>
    <row r="1570" spans="1:17">
      <c r="A1570" s="62"/>
      <c r="B1570" s="62"/>
      <c r="C1570" s="62"/>
      <c r="D1570" s="62"/>
      <c r="E1570" s="62"/>
      <c r="F1570" s="62"/>
      <c r="G1570" s="62"/>
      <c r="H1570" s="62" t="str">
        <f>IF(AND('Data Export'!A1570=前十整体车型排名!$B$2,'Data Export'!B1570=前十整体车型排名!$B$3,'Data Export'!D1570&lt;&gt;""),UPPER('Data Export'!C1570)&amp;"♦"&amp;'Data Export'!D1570,"")</f>
        <v/>
      </c>
      <c r="I1570" s="63" t="str">
        <f>IF(H1570="","",IFERROR(INDEX('Data Export'!G1570:CZ1570,1,MATCH(前十整体车型排名!$B$4,'Data Export'!$G$1:$CZ$1,0)),0))</f>
        <v/>
      </c>
      <c r="J1570" s="62" t="str">
        <f>IF(H1570="","",IF(OR('Data Export'!F1570="三厢轿车",'Data Export'!F1570="掀背轿车",'Data Export'!F1570="旅行车",'Data Export'!F1570="微型车",'Data Export'!F1570="硬顶跑车",'Data Export'!F1570="敞蓬车",'Data Export'!F1570="Targa"),"轿车",IF(OR('Data Export'!F1570="小型MPV",'Data Export'!F1570="客车"),"MPV",IF('Data Export'!F1570="运动型多功能车","SUV","其他"))))</f>
        <v/>
      </c>
      <c r="K1570" s="62"/>
      <c r="L1570" s="62"/>
      <c r="M1570" s="62"/>
      <c r="N1570" s="62"/>
      <c r="O1570" s="62"/>
      <c r="P1570" s="62"/>
      <c r="Q1570" s="62"/>
    </row>
    <row r="1571" spans="1:17">
      <c r="A1571" s="62"/>
      <c r="B1571" s="62"/>
      <c r="C1571" s="62"/>
      <c r="D1571" s="62"/>
      <c r="E1571" s="62"/>
      <c r="F1571" s="62"/>
      <c r="G1571" s="62"/>
      <c r="H1571" s="62" t="str">
        <f>IF(AND('Data Export'!A1571=前十整体车型排名!$B$2,'Data Export'!B1571=前十整体车型排名!$B$3,'Data Export'!D1571&lt;&gt;""),UPPER('Data Export'!C1571)&amp;"♦"&amp;'Data Export'!D1571,"")</f>
        <v/>
      </c>
      <c r="I1571" s="63" t="str">
        <f>IF(H1571="","",IFERROR(INDEX('Data Export'!G1571:CZ1571,1,MATCH(前十整体车型排名!$B$4,'Data Export'!$G$1:$CZ$1,0)),0))</f>
        <v/>
      </c>
      <c r="J1571" s="62" t="str">
        <f>IF(H1571="","",IF(OR('Data Export'!F1571="三厢轿车",'Data Export'!F1571="掀背轿车",'Data Export'!F1571="旅行车",'Data Export'!F1571="微型车",'Data Export'!F1571="硬顶跑车",'Data Export'!F1571="敞蓬车",'Data Export'!F1571="Targa"),"轿车",IF(OR('Data Export'!F1571="小型MPV",'Data Export'!F1571="客车"),"MPV",IF('Data Export'!F1571="运动型多功能车","SUV","其他"))))</f>
        <v/>
      </c>
      <c r="K1571" s="62"/>
      <c r="L1571" s="62"/>
      <c r="M1571" s="62"/>
      <c r="N1571" s="62"/>
      <c r="O1571" s="62"/>
      <c r="P1571" s="62"/>
      <c r="Q1571" s="62"/>
    </row>
    <row r="1572" spans="1:17">
      <c r="A1572" s="62"/>
      <c r="B1572" s="62"/>
      <c r="C1572" s="62"/>
      <c r="D1572" s="62"/>
      <c r="E1572" s="62"/>
      <c r="F1572" s="62"/>
      <c r="G1572" s="62"/>
      <c r="H1572" s="62" t="str">
        <f>IF(AND('Data Export'!A1572=前十整体车型排名!$B$2,'Data Export'!B1572=前十整体车型排名!$B$3,'Data Export'!D1572&lt;&gt;""),UPPER('Data Export'!C1572)&amp;"♦"&amp;'Data Export'!D1572,"")</f>
        <v/>
      </c>
      <c r="I1572" s="63" t="str">
        <f>IF(H1572="","",IFERROR(INDEX('Data Export'!G1572:CZ1572,1,MATCH(前十整体车型排名!$B$4,'Data Export'!$G$1:$CZ$1,0)),0))</f>
        <v/>
      </c>
      <c r="J1572" s="62" t="str">
        <f>IF(H1572="","",IF(OR('Data Export'!F1572="三厢轿车",'Data Export'!F1572="掀背轿车",'Data Export'!F1572="旅行车",'Data Export'!F1572="微型车",'Data Export'!F1572="硬顶跑车",'Data Export'!F1572="敞蓬车",'Data Export'!F1572="Targa"),"轿车",IF(OR('Data Export'!F1572="小型MPV",'Data Export'!F1572="客车"),"MPV",IF('Data Export'!F1572="运动型多功能车","SUV","其他"))))</f>
        <v/>
      </c>
      <c r="K1572" s="62"/>
      <c r="L1572" s="62"/>
      <c r="M1572" s="62"/>
      <c r="N1572" s="62"/>
      <c r="O1572" s="62"/>
      <c r="P1572" s="62"/>
      <c r="Q1572" s="62"/>
    </row>
    <row r="1573" spans="1:17">
      <c r="A1573" s="62"/>
      <c r="B1573" s="62"/>
      <c r="C1573" s="62"/>
      <c r="D1573" s="62"/>
      <c r="E1573" s="62"/>
      <c r="F1573" s="62"/>
      <c r="G1573" s="62"/>
      <c r="H1573" s="62" t="str">
        <f>IF(AND('Data Export'!A1573=前十整体车型排名!$B$2,'Data Export'!B1573=前十整体车型排名!$B$3,'Data Export'!D1573&lt;&gt;""),UPPER('Data Export'!C1573)&amp;"♦"&amp;'Data Export'!D1573,"")</f>
        <v/>
      </c>
      <c r="I1573" s="63" t="str">
        <f>IF(H1573="","",IFERROR(INDEX('Data Export'!G1573:CZ1573,1,MATCH(前十整体车型排名!$B$4,'Data Export'!$G$1:$CZ$1,0)),0))</f>
        <v/>
      </c>
      <c r="J1573" s="62" t="str">
        <f>IF(H1573="","",IF(OR('Data Export'!F1573="三厢轿车",'Data Export'!F1573="掀背轿车",'Data Export'!F1573="旅行车",'Data Export'!F1573="微型车",'Data Export'!F1573="硬顶跑车",'Data Export'!F1573="敞蓬车",'Data Export'!F1573="Targa"),"轿车",IF(OR('Data Export'!F1573="小型MPV",'Data Export'!F1573="客车"),"MPV",IF('Data Export'!F1573="运动型多功能车","SUV","其他"))))</f>
        <v/>
      </c>
      <c r="K1573" s="62"/>
      <c r="L1573" s="62"/>
      <c r="M1573" s="62"/>
      <c r="N1573" s="62"/>
      <c r="O1573" s="62"/>
      <c r="P1573" s="62"/>
      <c r="Q1573" s="62"/>
    </row>
    <row r="1574" spans="1:17">
      <c r="A1574" s="62"/>
      <c r="B1574" s="62"/>
      <c r="C1574" s="62"/>
      <c r="D1574" s="62"/>
      <c r="E1574" s="62"/>
      <c r="F1574" s="62"/>
      <c r="G1574" s="62"/>
      <c r="H1574" s="62" t="str">
        <f>IF(AND('Data Export'!A1574=前十整体车型排名!$B$2,'Data Export'!B1574=前十整体车型排名!$B$3,'Data Export'!D1574&lt;&gt;""),UPPER('Data Export'!C1574)&amp;"♦"&amp;'Data Export'!D1574,"")</f>
        <v/>
      </c>
      <c r="I1574" s="63" t="str">
        <f>IF(H1574="","",IFERROR(INDEX('Data Export'!G1574:CZ1574,1,MATCH(前十整体车型排名!$B$4,'Data Export'!$G$1:$CZ$1,0)),0))</f>
        <v/>
      </c>
      <c r="J1574" s="62" t="str">
        <f>IF(H1574="","",IF(OR('Data Export'!F1574="三厢轿车",'Data Export'!F1574="掀背轿车",'Data Export'!F1574="旅行车",'Data Export'!F1574="微型车",'Data Export'!F1574="硬顶跑车",'Data Export'!F1574="敞蓬车",'Data Export'!F1574="Targa"),"轿车",IF(OR('Data Export'!F1574="小型MPV",'Data Export'!F1574="客车"),"MPV",IF('Data Export'!F1574="运动型多功能车","SUV","其他"))))</f>
        <v/>
      </c>
      <c r="K1574" s="62"/>
      <c r="L1574" s="62"/>
      <c r="M1574" s="62"/>
      <c r="N1574" s="62"/>
      <c r="O1574" s="62"/>
      <c r="P1574" s="62"/>
      <c r="Q1574" s="62"/>
    </row>
    <row r="1575" spans="1:17">
      <c r="A1575" s="62"/>
      <c r="B1575" s="62"/>
      <c r="C1575" s="62"/>
      <c r="D1575" s="62"/>
      <c r="E1575" s="62"/>
      <c r="F1575" s="62"/>
      <c r="G1575" s="62"/>
      <c r="H1575" s="62" t="str">
        <f>IF(AND('Data Export'!A1575=前十整体车型排名!$B$2,'Data Export'!B1575=前十整体车型排名!$B$3,'Data Export'!D1575&lt;&gt;""),UPPER('Data Export'!C1575)&amp;"♦"&amp;'Data Export'!D1575,"")</f>
        <v/>
      </c>
      <c r="I1575" s="63" t="str">
        <f>IF(H1575="","",IFERROR(INDEX('Data Export'!G1575:CZ1575,1,MATCH(前十整体车型排名!$B$4,'Data Export'!$G$1:$CZ$1,0)),0))</f>
        <v/>
      </c>
      <c r="J1575" s="62" t="str">
        <f>IF(H1575="","",IF(OR('Data Export'!F1575="三厢轿车",'Data Export'!F1575="掀背轿车",'Data Export'!F1575="旅行车",'Data Export'!F1575="微型车",'Data Export'!F1575="硬顶跑车",'Data Export'!F1575="敞蓬车",'Data Export'!F1575="Targa"),"轿车",IF(OR('Data Export'!F1575="小型MPV",'Data Export'!F1575="客车"),"MPV",IF('Data Export'!F1575="运动型多功能车","SUV","其他"))))</f>
        <v/>
      </c>
      <c r="K1575" s="62"/>
      <c r="L1575" s="62"/>
      <c r="M1575" s="62"/>
      <c r="N1575" s="62"/>
      <c r="O1575" s="62"/>
      <c r="P1575" s="62"/>
      <c r="Q1575" s="62"/>
    </row>
    <row r="1576" spans="1:17">
      <c r="A1576" s="62"/>
      <c r="B1576" s="62"/>
      <c r="C1576" s="62"/>
      <c r="D1576" s="62"/>
      <c r="E1576" s="62"/>
      <c r="F1576" s="62"/>
      <c r="G1576" s="62"/>
      <c r="H1576" s="62" t="str">
        <f>IF(AND('Data Export'!A1576=前十整体车型排名!$B$2,'Data Export'!B1576=前十整体车型排名!$B$3,'Data Export'!D1576&lt;&gt;""),UPPER('Data Export'!C1576)&amp;"♦"&amp;'Data Export'!D1576,"")</f>
        <v/>
      </c>
      <c r="I1576" s="63" t="str">
        <f>IF(H1576="","",IFERROR(INDEX('Data Export'!G1576:CZ1576,1,MATCH(前十整体车型排名!$B$4,'Data Export'!$G$1:$CZ$1,0)),0))</f>
        <v/>
      </c>
      <c r="J1576" s="62" t="str">
        <f>IF(H1576="","",IF(OR('Data Export'!F1576="三厢轿车",'Data Export'!F1576="掀背轿车",'Data Export'!F1576="旅行车",'Data Export'!F1576="微型车",'Data Export'!F1576="硬顶跑车",'Data Export'!F1576="敞蓬车",'Data Export'!F1576="Targa"),"轿车",IF(OR('Data Export'!F1576="小型MPV",'Data Export'!F1576="客车"),"MPV",IF('Data Export'!F1576="运动型多功能车","SUV","其他"))))</f>
        <v/>
      </c>
      <c r="K1576" s="62"/>
      <c r="L1576" s="62"/>
      <c r="M1576" s="62"/>
      <c r="N1576" s="62"/>
      <c r="O1576" s="62"/>
      <c r="P1576" s="62"/>
      <c r="Q1576" s="62"/>
    </row>
    <row r="1577" spans="1:17">
      <c r="A1577" s="62"/>
      <c r="B1577" s="62"/>
      <c r="C1577" s="62"/>
      <c r="D1577" s="62"/>
      <c r="E1577" s="62"/>
      <c r="F1577" s="62"/>
      <c r="G1577" s="62"/>
      <c r="H1577" s="62" t="str">
        <f>IF(AND('Data Export'!A1577=前十整体车型排名!$B$2,'Data Export'!B1577=前十整体车型排名!$B$3,'Data Export'!D1577&lt;&gt;""),UPPER('Data Export'!C1577)&amp;"♦"&amp;'Data Export'!D1577,"")</f>
        <v/>
      </c>
      <c r="I1577" s="63" t="str">
        <f>IF(H1577="","",IFERROR(INDEX('Data Export'!G1577:CZ1577,1,MATCH(前十整体车型排名!$B$4,'Data Export'!$G$1:$CZ$1,0)),0))</f>
        <v/>
      </c>
      <c r="J1577" s="62" t="str">
        <f>IF(H1577="","",IF(OR('Data Export'!F1577="三厢轿车",'Data Export'!F1577="掀背轿车",'Data Export'!F1577="旅行车",'Data Export'!F1577="微型车",'Data Export'!F1577="硬顶跑车",'Data Export'!F1577="敞蓬车",'Data Export'!F1577="Targa"),"轿车",IF(OR('Data Export'!F1577="小型MPV",'Data Export'!F1577="客车"),"MPV",IF('Data Export'!F1577="运动型多功能车","SUV","其他"))))</f>
        <v/>
      </c>
      <c r="K1577" s="62"/>
      <c r="L1577" s="62"/>
      <c r="M1577" s="62"/>
      <c r="N1577" s="62"/>
      <c r="O1577" s="62"/>
      <c r="P1577" s="62"/>
      <c r="Q1577" s="62"/>
    </row>
    <row r="1578" spans="1:17">
      <c r="A1578" s="62"/>
      <c r="B1578" s="62"/>
      <c r="C1578" s="62"/>
      <c r="D1578" s="62"/>
      <c r="E1578" s="62"/>
      <c r="F1578" s="62"/>
      <c r="G1578" s="62"/>
      <c r="H1578" s="62" t="str">
        <f>IF(AND('Data Export'!A1578=前十整体车型排名!$B$2,'Data Export'!B1578=前十整体车型排名!$B$3,'Data Export'!D1578&lt;&gt;""),UPPER('Data Export'!C1578)&amp;"♦"&amp;'Data Export'!D1578,"")</f>
        <v/>
      </c>
      <c r="I1578" s="63" t="str">
        <f>IF(H1578="","",IFERROR(INDEX('Data Export'!G1578:CZ1578,1,MATCH(前十整体车型排名!$B$4,'Data Export'!$G$1:$CZ$1,0)),0))</f>
        <v/>
      </c>
      <c r="J1578" s="62" t="str">
        <f>IF(H1578="","",IF(OR('Data Export'!F1578="三厢轿车",'Data Export'!F1578="掀背轿车",'Data Export'!F1578="旅行车",'Data Export'!F1578="微型车",'Data Export'!F1578="硬顶跑车",'Data Export'!F1578="敞蓬车",'Data Export'!F1578="Targa"),"轿车",IF(OR('Data Export'!F1578="小型MPV",'Data Export'!F1578="客车"),"MPV",IF('Data Export'!F1578="运动型多功能车","SUV","其他"))))</f>
        <v/>
      </c>
      <c r="K1578" s="62"/>
      <c r="L1578" s="62"/>
      <c r="M1578" s="62"/>
      <c r="N1578" s="62"/>
      <c r="O1578" s="62"/>
      <c r="P1578" s="62"/>
      <c r="Q1578" s="62"/>
    </row>
    <row r="1579" spans="1:17">
      <c r="A1579" s="62"/>
      <c r="B1579" s="62"/>
      <c r="C1579" s="62"/>
      <c r="D1579" s="62"/>
      <c r="E1579" s="62"/>
      <c r="F1579" s="62"/>
      <c r="G1579" s="62"/>
      <c r="H1579" s="62" t="str">
        <f>IF(AND('Data Export'!A1579=前十整体车型排名!$B$2,'Data Export'!B1579=前十整体车型排名!$B$3,'Data Export'!D1579&lt;&gt;""),UPPER('Data Export'!C1579)&amp;"♦"&amp;'Data Export'!D1579,"")</f>
        <v/>
      </c>
      <c r="I1579" s="63" t="str">
        <f>IF(H1579="","",IFERROR(INDEX('Data Export'!G1579:CZ1579,1,MATCH(前十整体车型排名!$B$4,'Data Export'!$G$1:$CZ$1,0)),0))</f>
        <v/>
      </c>
      <c r="J1579" s="62" t="str">
        <f>IF(H1579="","",IF(OR('Data Export'!F1579="三厢轿车",'Data Export'!F1579="掀背轿车",'Data Export'!F1579="旅行车",'Data Export'!F1579="微型车",'Data Export'!F1579="硬顶跑车",'Data Export'!F1579="敞蓬车",'Data Export'!F1579="Targa"),"轿车",IF(OR('Data Export'!F1579="小型MPV",'Data Export'!F1579="客车"),"MPV",IF('Data Export'!F1579="运动型多功能车","SUV","其他"))))</f>
        <v/>
      </c>
      <c r="K1579" s="62"/>
      <c r="L1579" s="62"/>
      <c r="M1579" s="62"/>
      <c r="N1579" s="62"/>
      <c r="O1579" s="62"/>
      <c r="P1579" s="62"/>
      <c r="Q1579" s="62"/>
    </row>
    <row r="1580" spans="1:17">
      <c r="A1580" s="62"/>
      <c r="B1580" s="62"/>
      <c r="C1580" s="62"/>
      <c r="D1580" s="62"/>
      <c r="E1580" s="62"/>
      <c r="F1580" s="62"/>
      <c r="G1580" s="62"/>
      <c r="H1580" s="62" t="str">
        <f>IF(AND('Data Export'!A1580=前十整体车型排名!$B$2,'Data Export'!B1580=前十整体车型排名!$B$3,'Data Export'!D1580&lt;&gt;""),UPPER('Data Export'!C1580)&amp;"♦"&amp;'Data Export'!D1580,"")</f>
        <v/>
      </c>
      <c r="I1580" s="63" t="str">
        <f>IF(H1580="","",IFERROR(INDEX('Data Export'!G1580:CZ1580,1,MATCH(前十整体车型排名!$B$4,'Data Export'!$G$1:$CZ$1,0)),0))</f>
        <v/>
      </c>
      <c r="J1580" s="62" t="str">
        <f>IF(H1580="","",IF(OR('Data Export'!F1580="三厢轿车",'Data Export'!F1580="掀背轿车",'Data Export'!F1580="旅行车",'Data Export'!F1580="微型车",'Data Export'!F1580="硬顶跑车",'Data Export'!F1580="敞蓬车",'Data Export'!F1580="Targa"),"轿车",IF(OR('Data Export'!F1580="小型MPV",'Data Export'!F1580="客车"),"MPV",IF('Data Export'!F1580="运动型多功能车","SUV","其他"))))</f>
        <v/>
      </c>
      <c r="K1580" s="62"/>
      <c r="L1580" s="62"/>
      <c r="M1580" s="62"/>
      <c r="N1580" s="62"/>
      <c r="O1580" s="62"/>
      <c r="P1580" s="62"/>
      <c r="Q1580" s="62"/>
    </row>
    <row r="1581" spans="1:17">
      <c r="A1581" s="62"/>
      <c r="B1581" s="62"/>
      <c r="C1581" s="62"/>
      <c r="D1581" s="62"/>
      <c r="E1581" s="62"/>
      <c r="F1581" s="62"/>
      <c r="G1581" s="62"/>
      <c r="H1581" s="62" t="str">
        <f>IF(AND('Data Export'!A1581=前十整体车型排名!$B$2,'Data Export'!B1581=前十整体车型排名!$B$3,'Data Export'!D1581&lt;&gt;""),UPPER('Data Export'!C1581)&amp;"♦"&amp;'Data Export'!D1581,"")</f>
        <v/>
      </c>
      <c r="I1581" s="63" t="str">
        <f>IF(H1581="","",IFERROR(INDEX('Data Export'!G1581:CZ1581,1,MATCH(前十整体车型排名!$B$4,'Data Export'!$G$1:$CZ$1,0)),0))</f>
        <v/>
      </c>
      <c r="J1581" s="62" t="str">
        <f>IF(H1581="","",IF(OR('Data Export'!F1581="三厢轿车",'Data Export'!F1581="掀背轿车",'Data Export'!F1581="旅行车",'Data Export'!F1581="微型车",'Data Export'!F1581="硬顶跑车",'Data Export'!F1581="敞蓬车",'Data Export'!F1581="Targa"),"轿车",IF(OR('Data Export'!F1581="小型MPV",'Data Export'!F1581="客车"),"MPV",IF('Data Export'!F1581="运动型多功能车","SUV","其他"))))</f>
        <v/>
      </c>
      <c r="K1581" s="62"/>
      <c r="L1581" s="62"/>
      <c r="M1581" s="62"/>
      <c r="N1581" s="62"/>
      <c r="O1581" s="62"/>
      <c r="P1581" s="62"/>
      <c r="Q1581" s="62"/>
    </row>
    <row r="1582" spans="1:17">
      <c r="A1582" s="62"/>
      <c r="B1582" s="62"/>
      <c r="C1582" s="62"/>
      <c r="D1582" s="62"/>
      <c r="E1582" s="62"/>
      <c r="F1582" s="62"/>
      <c r="G1582" s="62"/>
      <c r="H1582" s="62" t="str">
        <f>IF(AND('Data Export'!A1582=前十整体车型排名!$B$2,'Data Export'!B1582=前十整体车型排名!$B$3,'Data Export'!D1582&lt;&gt;""),UPPER('Data Export'!C1582)&amp;"♦"&amp;'Data Export'!D1582,"")</f>
        <v/>
      </c>
      <c r="I1582" s="63" t="str">
        <f>IF(H1582="","",IFERROR(INDEX('Data Export'!G1582:CZ1582,1,MATCH(前十整体车型排名!$B$4,'Data Export'!$G$1:$CZ$1,0)),0))</f>
        <v/>
      </c>
      <c r="J1582" s="62" t="str">
        <f>IF(H1582="","",IF(OR('Data Export'!F1582="三厢轿车",'Data Export'!F1582="掀背轿车",'Data Export'!F1582="旅行车",'Data Export'!F1582="微型车",'Data Export'!F1582="硬顶跑车",'Data Export'!F1582="敞蓬车",'Data Export'!F1582="Targa"),"轿车",IF(OR('Data Export'!F1582="小型MPV",'Data Export'!F1582="客车"),"MPV",IF('Data Export'!F1582="运动型多功能车","SUV","其他"))))</f>
        <v/>
      </c>
      <c r="K1582" s="62"/>
      <c r="L1582" s="62"/>
      <c r="M1582" s="62"/>
      <c r="N1582" s="62"/>
      <c r="O1582" s="62"/>
      <c r="P1582" s="62"/>
      <c r="Q1582" s="62"/>
    </row>
    <row r="1583" spans="1:17">
      <c r="A1583" s="62"/>
      <c r="B1583" s="62"/>
      <c r="C1583" s="62"/>
      <c r="D1583" s="62"/>
      <c r="E1583" s="62"/>
      <c r="F1583" s="62"/>
      <c r="G1583" s="62"/>
      <c r="H1583" s="62" t="str">
        <f>IF(AND('Data Export'!A1583=前十整体车型排名!$B$2,'Data Export'!B1583=前十整体车型排名!$B$3,'Data Export'!D1583&lt;&gt;""),UPPER('Data Export'!C1583)&amp;"♦"&amp;'Data Export'!D1583,"")</f>
        <v/>
      </c>
      <c r="I1583" s="63" t="str">
        <f>IF(H1583="","",IFERROR(INDEX('Data Export'!G1583:CZ1583,1,MATCH(前十整体车型排名!$B$4,'Data Export'!$G$1:$CZ$1,0)),0))</f>
        <v/>
      </c>
      <c r="J1583" s="62" t="str">
        <f>IF(H1583="","",IF(OR('Data Export'!F1583="三厢轿车",'Data Export'!F1583="掀背轿车",'Data Export'!F1583="旅行车",'Data Export'!F1583="微型车",'Data Export'!F1583="硬顶跑车",'Data Export'!F1583="敞蓬车",'Data Export'!F1583="Targa"),"轿车",IF(OR('Data Export'!F1583="小型MPV",'Data Export'!F1583="客车"),"MPV",IF('Data Export'!F1583="运动型多功能车","SUV","其他"))))</f>
        <v/>
      </c>
      <c r="K1583" s="62"/>
      <c r="L1583" s="62"/>
      <c r="M1583" s="62"/>
      <c r="N1583" s="62"/>
      <c r="O1583" s="62"/>
      <c r="P1583" s="62"/>
      <c r="Q1583" s="62"/>
    </row>
    <row r="1584" spans="1:17">
      <c r="A1584" s="62"/>
      <c r="B1584" s="62"/>
      <c r="C1584" s="62"/>
      <c r="D1584" s="62"/>
      <c r="E1584" s="62"/>
      <c r="F1584" s="62"/>
      <c r="G1584" s="62"/>
      <c r="H1584" s="62" t="str">
        <f>IF(AND('Data Export'!A1584=前十整体车型排名!$B$2,'Data Export'!B1584=前十整体车型排名!$B$3,'Data Export'!D1584&lt;&gt;""),UPPER('Data Export'!C1584)&amp;"♦"&amp;'Data Export'!D1584,"")</f>
        <v/>
      </c>
      <c r="I1584" s="63" t="str">
        <f>IF(H1584="","",IFERROR(INDEX('Data Export'!G1584:CZ1584,1,MATCH(前十整体车型排名!$B$4,'Data Export'!$G$1:$CZ$1,0)),0))</f>
        <v/>
      </c>
      <c r="J1584" s="62" t="str">
        <f>IF(H1584="","",IF(OR('Data Export'!F1584="三厢轿车",'Data Export'!F1584="掀背轿车",'Data Export'!F1584="旅行车",'Data Export'!F1584="微型车",'Data Export'!F1584="硬顶跑车",'Data Export'!F1584="敞蓬车",'Data Export'!F1584="Targa"),"轿车",IF(OR('Data Export'!F1584="小型MPV",'Data Export'!F1584="客车"),"MPV",IF('Data Export'!F1584="运动型多功能车","SUV","其他"))))</f>
        <v/>
      </c>
      <c r="K1584" s="62"/>
      <c r="L1584" s="62"/>
      <c r="M1584" s="62"/>
      <c r="N1584" s="62"/>
      <c r="O1584" s="62"/>
      <c r="P1584" s="62"/>
      <c r="Q1584" s="62"/>
    </row>
    <row r="1585" spans="1:17">
      <c r="A1585" s="62"/>
      <c r="B1585" s="62"/>
      <c r="C1585" s="62"/>
      <c r="D1585" s="62"/>
      <c r="E1585" s="62"/>
      <c r="F1585" s="62"/>
      <c r="G1585" s="62"/>
      <c r="H1585" s="62" t="str">
        <f>IF(AND('Data Export'!A1585=前十整体车型排名!$B$2,'Data Export'!B1585=前十整体车型排名!$B$3,'Data Export'!D1585&lt;&gt;""),UPPER('Data Export'!C1585)&amp;"♦"&amp;'Data Export'!D1585,"")</f>
        <v/>
      </c>
      <c r="I1585" s="63" t="str">
        <f>IF(H1585="","",IFERROR(INDEX('Data Export'!G1585:CZ1585,1,MATCH(前十整体车型排名!$B$4,'Data Export'!$G$1:$CZ$1,0)),0))</f>
        <v/>
      </c>
      <c r="J1585" s="62" t="str">
        <f>IF(H1585="","",IF(OR('Data Export'!F1585="三厢轿车",'Data Export'!F1585="掀背轿车",'Data Export'!F1585="旅行车",'Data Export'!F1585="微型车",'Data Export'!F1585="硬顶跑车",'Data Export'!F1585="敞蓬车",'Data Export'!F1585="Targa"),"轿车",IF(OR('Data Export'!F1585="小型MPV",'Data Export'!F1585="客车"),"MPV",IF('Data Export'!F1585="运动型多功能车","SUV","其他"))))</f>
        <v/>
      </c>
      <c r="K1585" s="62"/>
      <c r="L1585" s="62"/>
      <c r="M1585" s="62"/>
      <c r="N1585" s="62"/>
      <c r="O1585" s="62"/>
      <c r="P1585" s="62"/>
      <c r="Q1585" s="62"/>
    </row>
    <row r="1586" spans="1:17">
      <c r="A1586" s="62"/>
      <c r="B1586" s="62"/>
      <c r="C1586" s="62"/>
      <c r="D1586" s="62"/>
      <c r="E1586" s="62"/>
      <c r="F1586" s="62"/>
      <c r="G1586" s="62"/>
      <c r="H1586" s="62" t="str">
        <f>IF(AND('Data Export'!A1586=前十整体车型排名!$B$2,'Data Export'!B1586=前十整体车型排名!$B$3,'Data Export'!D1586&lt;&gt;""),UPPER('Data Export'!C1586)&amp;"♦"&amp;'Data Export'!D1586,"")</f>
        <v/>
      </c>
      <c r="I1586" s="63" t="str">
        <f>IF(H1586="","",IFERROR(INDEX('Data Export'!G1586:CZ1586,1,MATCH(前十整体车型排名!$B$4,'Data Export'!$G$1:$CZ$1,0)),0))</f>
        <v/>
      </c>
      <c r="J1586" s="62" t="str">
        <f>IF(H1586="","",IF(OR('Data Export'!F1586="三厢轿车",'Data Export'!F1586="掀背轿车",'Data Export'!F1586="旅行车",'Data Export'!F1586="微型车",'Data Export'!F1586="硬顶跑车",'Data Export'!F1586="敞蓬车",'Data Export'!F1586="Targa"),"轿车",IF(OR('Data Export'!F1586="小型MPV",'Data Export'!F1586="客车"),"MPV",IF('Data Export'!F1586="运动型多功能车","SUV","其他"))))</f>
        <v/>
      </c>
      <c r="K1586" s="62"/>
      <c r="L1586" s="62"/>
      <c r="M1586" s="62"/>
      <c r="N1586" s="62"/>
      <c r="O1586" s="62"/>
      <c r="P1586" s="62"/>
      <c r="Q1586" s="62"/>
    </row>
    <row r="1587" spans="1:17">
      <c r="A1587" s="62"/>
      <c r="B1587" s="62"/>
      <c r="C1587" s="62"/>
      <c r="D1587" s="62"/>
      <c r="E1587" s="62"/>
      <c r="F1587" s="62"/>
      <c r="G1587" s="62"/>
      <c r="H1587" s="62" t="str">
        <f>IF(AND('Data Export'!A1587=前十整体车型排名!$B$2,'Data Export'!B1587=前十整体车型排名!$B$3,'Data Export'!D1587&lt;&gt;""),UPPER('Data Export'!C1587)&amp;"♦"&amp;'Data Export'!D1587,"")</f>
        <v/>
      </c>
      <c r="I1587" s="63" t="str">
        <f>IF(H1587="","",IFERROR(INDEX('Data Export'!G1587:CZ1587,1,MATCH(前十整体车型排名!$B$4,'Data Export'!$G$1:$CZ$1,0)),0))</f>
        <v/>
      </c>
      <c r="J1587" s="62" t="str">
        <f>IF(H1587="","",IF(OR('Data Export'!F1587="三厢轿车",'Data Export'!F1587="掀背轿车",'Data Export'!F1587="旅行车",'Data Export'!F1587="微型车",'Data Export'!F1587="硬顶跑车",'Data Export'!F1587="敞蓬车",'Data Export'!F1587="Targa"),"轿车",IF(OR('Data Export'!F1587="小型MPV",'Data Export'!F1587="客车"),"MPV",IF('Data Export'!F1587="运动型多功能车","SUV","其他"))))</f>
        <v/>
      </c>
      <c r="K1587" s="62"/>
      <c r="L1587" s="62"/>
      <c r="M1587" s="62"/>
      <c r="N1587" s="62"/>
      <c r="O1587" s="62"/>
      <c r="P1587" s="62"/>
      <c r="Q1587" s="62"/>
    </row>
    <row r="1588" spans="1:17">
      <c r="A1588" s="62"/>
      <c r="B1588" s="62"/>
      <c r="C1588" s="62"/>
      <c r="D1588" s="62"/>
      <c r="E1588" s="62"/>
      <c r="F1588" s="62"/>
      <c r="G1588" s="62"/>
      <c r="H1588" s="62" t="str">
        <f>IF(AND('Data Export'!A1588=前十整体车型排名!$B$2,'Data Export'!B1588=前十整体车型排名!$B$3,'Data Export'!D1588&lt;&gt;""),UPPER('Data Export'!C1588)&amp;"♦"&amp;'Data Export'!D1588,"")</f>
        <v/>
      </c>
      <c r="I1588" s="63" t="str">
        <f>IF(H1588="","",IFERROR(INDEX('Data Export'!G1588:CZ1588,1,MATCH(前十整体车型排名!$B$4,'Data Export'!$G$1:$CZ$1,0)),0))</f>
        <v/>
      </c>
      <c r="J1588" s="62" t="str">
        <f>IF(H1588="","",IF(OR('Data Export'!F1588="三厢轿车",'Data Export'!F1588="掀背轿车",'Data Export'!F1588="旅行车",'Data Export'!F1588="微型车",'Data Export'!F1588="硬顶跑车",'Data Export'!F1588="敞蓬车",'Data Export'!F1588="Targa"),"轿车",IF(OR('Data Export'!F1588="小型MPV",'Data Export'!F1588="客车"),"MPV",IF('Data Export'!F1588="运动型多功能车","SUV","其他"))))</f>
        <v/>
      </c>
      <c r="K1588" s="62"/>
      <c r="L1588" s="62"/>
      <c r="M1588" s="62"/>
      <c r="N1588" s="62"/>
      <c r="O1588" s="62"/>
      <c r="P1588" s="62"/>
      <c r="Q1588" s="62"/>
    </row>
    <row r="1589" spans="1:17">
      <c r="A1589" s="62"/>
      <c r="B1589" s="62"/>
      <c r="C1589" s="62"/>
      <c r="D1589" s="62"/>
      <c r="E1589" s="62"/>
      <c r="F1589" s="62"/>
      <c r="G1589" s="62"/>
      <c r="H1589" s="62" t="str">
        <f>IF(AND('Data Export'!A1589=前十整体车型排名!$B$2,'Data Export'!B1589=前十整体车型排名!$B$3,'Data Export'!D1589&lt;&gt;""),UPPER('Data Export'!C1589)&amp;"♦"&amp;'Data Export'!D1589,"")</f>
        <v/>
      </c>
      <c r="I1589" s="63" t="str">
        <f>IF(H1589="","",IFERROR(INDEX('Data Export'!G1589:CZ1589,1,MATCH(前十整体车型排名!$B$4,'Data Export'!$G$1:$CZ$1,0)),0))</f>
        <v/>
      </c>
      <c r="J1589" s="62" t="str">
        <f>IF(H1589="","",IF(OR('Data Export'!F1589="三厢轿车",'Data Export'!F1589="掀背轿车",'Data Export'!F1589="旅行车",'Data Export'!F1589="微型车",'Data Export'!F1589="硬顶跑车",'Data Export'!F1589="敞蓬车",'Data Export'!F1589="Targa"),"轿车",IF(OR('Data Export'!F1589="小型MPV",'Data Export'!F1589="客车"),"MPV",IF('Data Export'!F1589="运动型多功能车","SUV","其他"))))</f>
        <v/>
      </c>
      <c r="K1589" s="62"/>
      <c r="L1589" s="62"/>
      <c r="M1589" s="62"/>
      <c r="N1589" s="62"/>
      <c r="O1589" s="62"/>
      <c r="P1589" s="62"/>
      <c r="Q1589" s="62"/>
    </row>
    <row r="1590" spans="1:17">
      <c r="A1590" s="62"/>
      <c r="B1590" s="62"/>
      <c r="C1590" s="62"/>
      <c r="D1590" s="62"/>
      <c r="E1590" s="62"/>
      <c r="F1590" s="62"/>
      <c r="G1590" s="62"/>
      <c r="H1590" s="62" t="str">
        <f>IF(AND('Data Export'!A1590=前十整体车型排名!$B$2,'Data Export'!B1590=前十整体车型排名!$B$3,'Data Export'!D1590&lt;&gt;""),UPPER('Data Export'!C1590)&amp;"♦"&amp;'Data Export'!D1590,"")</f>
        <v/>
      </c>
      <c r="I1590" s="63" t="str">
        <f>IF(H1590="","",IFERROR(INDEX('Data Export'!G1590:CZ1590,1,MATCH(前十整体车型排名!$B$4,'Data Export'!$G$1:$CZ$1,0)),0))</f>
        <v/>
      </c>
      <c r="J1590" s="62" t="str">
        <f>IF(H1590="","",IF(OR('Data Export'!F1590="三厢轿车",'Data Export'!F1590="掀背轿车",'Data Export'!F1590="旅行车",'Data Export'!F1590="微型车",'Data Export'!F1590="硬顶跑车",'Data Export'!F1590="敞蓬车",'Data Export'!F1590="Targa"),"轿车",IF(OR('Data Export'!F1590="小型MPV",'Data Export'!F1590="客车"),"MPV",IF('Data Export'!F1590="运动型多功能车","SUV","其他"))))</f>
        <v/>
      </c>
      <c r="K1590" s="62"/>
      <c r="L1590" s="62"/>
      <c r="M1590" s="62"/>
      <c r="N1590" s="62"/>
      <c r="O1590" s="62"/>
      <c r="P1590" s="62"/>
      <c r="Q1590" s="62"/>
    </row>
    <row r="1591" spans="1:17">
      <c r="A1591" s="62"/>
      <c r="B1591" s="62"/>
      <c r="C1591" s="62"/>
      <c r="D1591" s="62"/>
      <c r="E1591" s="62"/>
      <c r="F1591" s="62"/>
      <c r="G1591" s="62"/>
      <c r="H1591" s="62" t="str">
        <f>IF(AND('Data Export'!A1591=前十整体车型排名!$B$2,'Data Export'!B1591=前十整体车型排名!$B$3,'Data Export'!D1591&lt;&gt;""),UPPER('Data Export'!C1591)&amp;"♦"&amp;'Data Export'!D1591,"")</f>
        <v/>
      </c>
      <c r="I1591" s="63" t="str">
        <f>IF(H1591="","",IFERROR(INDEX('Data Export'!G1591:CZ1591,1,MATCH(前十整体车型排名!$B$4,'Data Export'!$G$1:$CZ$1,0)),0))</f>
        <v/>
      </c>
      <c r="J1591" s="62" t="str">
        <f>IF(H1591="","",IF(OR('Data Export'!F1591="三厢轿车",'Data Export'!F1591="掀背轿车",'Data Export'!F1591="旅行车",'Data Export'!F1591="微型车",'Data Export'!F1591="硬顶跑车",'Data Export'!F1591="敞蓬车",'Data Export'!F1591="Targa"),"轿车",IF(OR('Data Export'!F1591="小型MPV",'Data Export'!F1591="客车"),"MPV",IF('Data Export'!F1591="运动型多功能车","SUV","其他"))))</f>
        <v/>
      </c>
      <c r="K1591" s="62"/>
      <c r="L1591" s="62"/>
      <c r="M1591" s="62"/>
      <c r="N1591" s="62"/>
      <c r="O1591" s="62"/>
      <c r="P1591" s="62"/>
      <c r="Q1591" s="62"/>
    </row>
    <row r="1592" spans="1:17">
      <c r="A1592" s="62"/>
      <c r="B1592" s="62"/>
      <c r="C1592" s="62"/>
      <c r="D1592" s="62"/>
      <c r="E1592" s="62"/>
      <c r="F1592" s="62"/>
      <c r="G1592" s="62"/>
      <c r="H1592" s="62" t="str">
        <f>IF(AND('Data Export'!A1592=前十整体车型排名!$B$2,'Data Export'!B1592=前十整体车型排名!$B$3,'Data Export'!D1592&lt;&gt;""),UPPER('Data Export'!C1592)&amp;"♦"&amp;'Data Export'!D1592,"")</f>
        <v/>
      </c>
      <c r="I1592" s="63" t="str">
        <f>IF(H1592="","",IFERROR(INDEX('Data Export'!G1592:CZ1592,1,MATCH(前十整体车型排名!$B$4,'Data Export'!$G$1:$CZ$1,0)),0))</f>
        <v/>
      </c>
      <c r="J1592" s="62" t="str">
        <f>IF(H1592="","",IF(OR('Data Export'!F1592="三厢轿车",'Data Export'!F1592="掀背轿车",'Data Export'!F1592="旅行车",'Data Export'!F1592="微型车",'Data Export'!F1592="硬顶跑车",'Data Export'!F1592="敞蓬车",'Data Export'!F1592="Targa"),"轿车",IF(OR('Data Export'!F1592="小型MPV",'Data Export'!F1592="客车"),"MPV",IF('Data Export'!F1592="运动型多功能车","SUV","其他"))))</f>
        <v/>
      </c>
      <c r="K1592" s="62"/>
      <c r="L1592" s="62"/>
      <c r="M1592" s="62"/>
      <c r="N1592" s="62"/>
      <c r="O1592" s="62"/>
      <c r="P1592" s="62"/>
      <c r="Q1592" s="62"/>
    </row>
    <row r="1593" spans="1:17">
      <c r="A1593" s="62"/>
      <c r="B1593" s="62"/>
      <c r="C1593" s="62"/>
      <c r="D1593" s="62"/>
      <c r="E1593" s="62"/>
      <c r="F1593" s="62"/>
      <c r="G1593" s="62"/>
      <c r="H1593" s="62" t="str">
        <f>IF(AND('Data Export'!A1593=前十整体车型排名!$B$2,'Data Export'!B1593=前十整体车型排名!$B$3,'Data Export'!D1593&lt;&gt;""),UPPER('Data Export'!C1593)&amp;"♦"&amp;'Data Export'!D1593,"")</f>
        <v/>
      </c>
      <c r="I1593" s="63" t="str">
        <f>IF(H1593="","",IFERROR(INDEX('Data Export'!G1593:CZ1593,1,MATCH(前十整体车型排名!$B$4,'Data Export'!$G$1:$CZ$1,0)),0))</f>
        <v/>
      </c>
      <c r="J1593" s="62" t="str">
        <f>IF(H1593="","",IF(OR('Data Export'!F1593="三厢轿车",'Data Export'!F1593="掀背轿车",'Data Export'!F1593="旅行车",'Data Export'!F1593="微型车",'Data Export'!F1593="硬顶跑车",'Data Export'!F1593="敞蓬车",'Data Export'!F1593="Targa"),"轿车",IF(OR('Data Export'!F1593="小型MPV",'Data Export'!F1593="客车"),"MPV",IF('Data Export'!F1593="运动型多功能车","SUV","其他"))))</f>
        <v/>
      </c>
      <c r="K1593" s="62"/>
      <c r="L1593" s="62"/>
      <c r="M1593" s="62"/>
      <c r="N1593" s="62"/>
      <c r="O1593" s="62"/>
      <c r="P1593" s="62"/>
      <c r="Q1593" s="62"/>
    </row>
    <row r="1594" spans="1:17">
      <c r="A1594" s="62"/>
      <c r="B1594" s="62"/>
      <c r="C1594" s="62"/>
      <c r="D1594" s="62"/>
      <c r="E1594" s="62"/>
      <c r="F1594" s="62"/>
      <c r="G1594" s="62"/>
      <c r="H1594" s="62" t="str">
        <f>IF(AND('Data Export'!A1594=前十整体车型排名!$B$2,'Data Export'!B1594=前十整体车型排名!$B$3,'Data Export'!D1594&lt;&gt;""),UPPER('Data Export'!C1594)&amp;"♦"&amp;'Data Export'!D1594,"")</f>
        <v/>
      </c>
      <c r="I1594" s="63" t="str">
        <f>IF(H1594="","",IFERROR(INDEX('Data Export'!G1594:CZ1594,1,MATCH(前十整体车型排名!$B$4,'Data Export'!$G$1:$CZ$1,0)),0))</f>
        <v/>
      </c>
      <c r="J1594" s="62" t="str">
        <f>IF(H1594="","",IF(OR('Data Export'!F1594="三厢轿车",'Data Export'!F1594="掀背轿车",'Data Export'!F1594="旅行车",'Data Export'!F1594="微型车",'Data Export'!F1594="硬顶跑车",'Data Export'!F1594="敞蓬车",'Data Export'!F1594="Targa"),"轿车",IF(OR('Data Export'!F1594="小型MPV",'Data Export'!F1594="客车"),"MPV",IF('Data Export'!F1594="运动型多功能车","SUV","其他"))))</f>
        <v/>
      </c>
      <c r="K1594" s="62"/>
      <c r="L1594" s="62"/>
      <c r="M1594" s="62"/>
      <c r="N1594" s="62"/>
      <c r="O1594" s="62"/>
      <c r="P1594" s="62"/>
      <c r="Q1594" s="62"/>
    </row>
    <row r="1595" spans="1:17">
      <c r="A1595" s="62"/>
      <c r="B1595" s="62"/>
      <c r="C1595" s="62"/>
      <c r="D1595" s="62"/>
      <c r="E1595" s="62"/>
      <c r="F1595" s="62"/>
      <c r="G1595" s="62"/>
      <c r="H1595" s="62" t="str">
        <f>IF(AND('Data Export'!A1595=前十整体车型排名!$B$2,'Data Export'!B1595=前十整体车型排名!$B$3,'Data Export'!D1595&lt;&gt;""),UPPER('Data Export'!C1595)&amp;"♦"&amp;'Data Export'!D1595,"")</f>
        <v/>
      </c>
      <c r="I1595" s="63" t="str">
        <f>IF(H1595="","",IFERROR(INDEX('Data Export'!G1595:CZ1595,1,MATCH(前十整体车型排名!$B$4,'Data Export'!$G$1:$CZ$1,0)),0))</f>
        <v/>
      </c>
      <c r="J1595" s="62" t="str">
        <f>IF(H1595="","",IF(OR('Data Export'!F1595="三厢轿车",'Data Export'!F1595="掀背轿车",'Data Export'!F1595="旅行车",'Data Export'!F1595="微型车",'Data Export'!F1595="硬顶跑车",'Data Export'!F1595="敞蓬车",'Data Export'!F1595="Targa"),"轿车",IF(OR('Data Export'!F1595="小型MPV",'Data Export'!F1595="客车"),"MPV",IF('Data Export'!F1595="运动型多功能车","SUV","其他"))))</f>
        <v/>
      </c>
      <c r="K1595" s="62"/>
      <c r="L1595" s="62"/>
      <c r="M1595" s="62"/>
      <c r="N1595" s="62"/>
      <c r="O1595" s="62"/>
      <c r="P1595" s="62"/>
      <c r="Q1595" s="62"/>
    </row>
    <row r="1596" spans="1:17">
      <c r="A1596" s="62"/>
      <c r="B1596" s="62"/>
      <c r="C1596" s="62"/>
      <c r="D1596" s="62"/>
      <c r="E1596" s="62"/>
      <c r="F1596" s="62"/>
      <c r="G1596" s="62"/>
      <c r="H1596" s="62" t="str">
        <f>IF(AND('Data Export'!A1596=前十整体车型排名!$B$2,'Data Export'!B1596=前十整体车型排名!$B$3,'Data Export'!D1596&lt;&gt;""),UPPER('Data Export'!C1596)&amp;"♦"&amp;'Data Export'!D1596,"")</f>
        <v/>
      </c>
      <c r="I1596" s="63" t="str">
        <f>IF(H1596="","",IFERROR(INDEX('Data Export'!G1596:CZ1596,1,MATCH(前十整体车型排名!$B$4,'Data Export'!$G$1:$CZ$1,0)),0))</f>
        <v/>
      </c>
      <c r="J1596" s="62" t="str">
        <f>IF(H1596="","",IF(OR('Data Export'!F1596="三厢轿车",'Data Export'!F1596="掀背轿车",'Data Export'!F1596="旅行车",'Data Export'!F1596="微型车",'Data Export'!F1596="硬顶跑车",'Data Export'!F1596="敞蓬车",'Data Export'!F1596="Targa"),"轿车",IF(OR('Data Export'!F1596="小型MPV",'Data Export'!F1596="客车"),"MPV",IF('Data Export'!F1596="运动型多功能车","SUV","其他"))))</f>
        <v/>
      </c>
      <c r="K1596" s="62"/>
      <c r="L1596" s="62"/>
      <c r="M1596" s="62"/>
      <c r="N1596" s="62"/>
      <c r="O1596" s="62"/>
      <c r="P1596" s="62"/>
      <c r="Q1596" s="62"/>
    </row>
    <row r="1597" spans="1:17">
      <c r="A1597" s="62"/>
      <c r="B1597" s="62"/>
      <c r="C1597" s="62"/>
      <c r="D1597" s="62"/>
      <c r="E1597" s="62"/>
      <c r="F1597" s="62"/>
      <c r="G1597" s="62"/>
      <c r="H1597" s="62" t="str">
        <f>IF(AND('Data Export'!A1597=前十整体车型排名!$B$2,'Data Export'!B1597=前十整体车型排名!$B$3,'Data Export'!D1597&lt;&gt;""),UPPER('Data Export'!C1597)&amp;"♦"&amp;'Data Export'!D1597,"")</f>
        <v/>
      </c>
      <c r="I1597" s="63" t="str">
        <f>IF(H1597="","",IFERROR(INDEX('Data Export'!G1597:CZ1597,1,MATCH(前十整体车型排名!$B$4,'Data Export'!$G$1:$CZ$1,0)),0))</f>
        <v/>
      </c>
      <c r="J1597" s="62" t="str">
        <f>IF(H1597="","",IF(OR('Data Export'!F1597="三厢轿车",'Data Export'!F1597="掀背轿车",'Data Export'!F1597="旅行车",'Data Export'!F1597="微型车",'Data Export'!F1597="硬顶跑车",'Data Export'!F1597="敞蓬车",'Data Export'!F1597="Targa"),"轿车",IF(OR('Data Export'!F1597="小型MPV",'Data Export'!F1597="客车"),"MPV",IF('Data Export'!F1597="运动型多功能车","SUV","其他"))))</f>
        <v/>
      </c>
      <c r="K1597" s="62"/>
      <c r="L1597" s="62"/>
      <c r="M1597" s="62"/>
      <c r="N1597" s="62"/>
      <c r="O1597" s="62"/>
      <c r="P1597" s="62"/>
      <c r="Q1597" s="62"/>
    </row>
    <row r="1598" spans="1:17">
      <c r="A1598" s="62"/>
      <c r="B1598" s="62"/>
      <c r="C1598" s="62"/>
      <c r="D1598" s="62"/>
      <c r="E1598" s="62"/>
      <c r="F1598" s="62"/>
      <c r="G1598" s="62"/>
      <c r="H1598" s="62" t="str">
        <f>IF(AND('Data Export'!A1598=前十整体车型排名!$B$2,'Data Export'!B1598=前十整体车型排名!$B$3,'Data Export'!D1598&lt;&gt;""),UPPER('Data Export'!C1598)&amp;"♦"&amp;'Data Export'!D1598,"")</f>
        <v/>
      </c>
      <c r="I1598" s="63" t="str">
        <f>IF(H1598="","",IFERROR(INDEX('Data Export'!G1598:CZ1598,1,MATCH(前十整体车型排名!$B$4,'Data Export'!$G$1:$CZ$1,0)),0))</f>
        <v/>
      </c>
      <c r="J1598" s="62" t="str">
        <f>IF(H1598="","",IF(OR('Data Export'!F1598="三厢轿车",'Data Export'!F1598="掀背轿车",'Data Export'!F1598="旅行车",'Data Export'!F1598="微型车",'Data Export'!F1598="硬顶跑车",'Data Export'!F1598="敞蓬车",'Data Export'!F1598="Targa"),"轿车",IF(OR('Data Export'!F1598="小型MPV",'Data Export'!F1598="客车"),"MPV",IF('Data Export'!F1598="运动型多功能车","SUV","其他"))))</f>
        <v/>
      </c>
      <c r="K1598" s="62"/>
      <c r="L1598" s="62"/>
      <c r="M1598" s="62"/>
      <c r="N1598" s="62"/>
      <c r="O1598" s="62"/>
      <c r="P1598" s="62"/>
      <c r="Q1598" s="62"/>
    </row>
    <row r="1599" spans="1:17">
      <c r="A1599" s="62"/>
      <c r="B1599" s="62"/>
      <c r="C1599" s="62"/>
      <c r="D1599" s="62"/>
      <c r="E1599" s="62"/>
      <c r="F1599" s="62"/>
      <c r="G1599" s="62"/>
      <c r="H1599" s="62" t="str">
        <f>IF(AND('Data Export'!A1599=前十整体车型排名!$B$2,'Data Export'!B1599=前十整体车型排名!$B$3,'Data Export'!D1599&lt;&gt;""),UPPER('Data Export'!C1599)&amp;"♦"&amp;'Data Export'!D1599,"")</f>
        <v/>
      </c>
      <c r="I1599" s="63" t="str">
        <f>IF(H1599="","",IFERROR(INDEX('Data Export'!G1599:CZ1599,1,MATCH(前十整体车型排名!$B$4,'Data Export'!$G$1:$CZ$1,0)),0))</f>
        <v/>
      </c>
      <c r="J1599" s="62" t="str">
        <f>IF(H1599="","",IF(OR('Data Export'!F1599="三厢轿车",'Data Export'!F1599="掀背轿车",'Data Export'!F1599="旅行车",'Data Export'!F1599="微型车",'Data Export'!F1599="硬顶跑车",'Data Export'!F1599="敞蓬车",'Data Export'!F1599="Targa"),"轿车",IF(OR('Data Export'!F1599="小型MPV",'Data Export'!F1599="客车"),"MPV",IF('Data Export'!F1599="运动型多功能车","SUV","其他"))))</f>
        <v/>
      </c>
      <c r="K1599" s="62"/>
      <c r="L1599" s="62"/>
      <c r="M1599" s="62"/>
      <c r="N1599" s="62"/>
      <c r="O1599" s="62"/>
      <c r="P1599" s="62"/>
      <c r="Q1599" s="62"/>
    </row>
    <row r="1600" spans="1:17">
      <c r="A1600" s="62"/>
      <c r="B1600" s="62"/>
      <c r="C1600" s="62"/>
      <c r="D1600" s="62"/>
      <c r="E1600" s="62"/>
      <c r="F1600" s="62"/>
      <c r="G1600" s="62"/>
      <c r="H1600" s="62" t="str">
        <f>IF(AND('Data Export'!A1600=前十整体车型排名!$B$2,'Data Export'!B1600=前十整体车型排名!$B$3,'Data Export'!D1600&lt;&gt;""),UPPER('Data Export'!C1600)&amp;"♦"&amp;'Data Export'!D1600,"")</f>
        <v/>
      </c>
      <c r="I1600" s="63" t="str">
        <f>IF(H1600="","",IFERROR(INDEX('Data Export'!G1600:CZ1600,1,MATCH(前十整体车型排名!$B$4,'Data Export'!$G$1:$CZ$1,0)),0))</f>
        <v/>
      </c>
      <c r="J1600" s="62" t="str">
        <f>IF(H1600="","",IF(OR('Data Export'!F1600="三厢轿车",'Data Export'!F1600="掀背轿车",'Data Export'!F1600="旅行车",'Data Export'!F1600="微型车",'Data Export'!F1600="硬顶跑车",'Data Export'!F1600="敞蓬车",'Data Export'!F1600="Targa"),"轿车",IF(OR('Data Export'!F1600="小型MPV",'Data Export'!F1600="客车"),"MPV",IF('Data Export'!F1600="运动型多功能车","SUV","其他"))))</f>
        <v/>
      </c>
      <c r="K1600" s="62"/>
      <c r="L1600" s="62"/>
      <c r="M1600" s="62"/>
      <c r="N1600" s="62"/>
      <c r="O1600" s="62"/>
      <c r="P1600" s="62"/>
      <c r="Q1600" s="62"/>
    </row>
    <row r="1601" spans="1:17">
      <c r="A1601" s="62"/>
      <c r="B1601" s="62"/>
      <c r="C1601" s="62"/>
      <c r="D1601" s="62"/>
      <c r="E1601" s="62"/>
      <c r="F1601" s="62"/>
      <c r="G1601" s="62"/>
      <c r="H1601" s="62" t="str">
        <f>IF(AND('Data Export'!A1601=前十整体车型排名!$B$2,'Data Export'!B1601=前十整体车型排名!$B$3,'Data Export'!D1601&lt;&gt;""),UPPER('Data Export'!C1601)&amp;"♦"&amp;'Data Export'!D1601,"")</f>
        <v/>
      </c>
      <c r="I1601" s="63" t="str">
        <f>IF(H1601="","",IFERROR(INDEX('Data Export'!G1601:CZ1601,1,MATCH(前十整体车型排名!$B$4,'Data Export'!$G$1:$CZ$1,0)),0))</f>
        <v/>
      </c>
      <c r="J1601" s="62" t="str">
        <f>IF(H1601="","",IF(OR('Data Export'!F1601="三厢轿车",'Data Export'!F1601="掀背轿车",'Data Export'!F1601="旅行车",'Data Export'!F1601="微型车",'Data Export'!F1601="硬顶跑车",'Data Export'!F1601="敞蓬车",'Data Export'!F1601="Targa"),"轿车",IF(OR('Data Export'!F1601="小型MPV",'Data Export'!F1601="客车"),"MPV",IF('Data Export'!F1601="运动型多功能车","SUV","其他"))))</f>
        <v/>
      </c>
      <c r="K1601" s="62"/>
      <c r="L1601" s="62"/>
      <c r="M1601" s="62"/>
      <c r="N1601" s="62"/>
      <c r="O1601" s="62"/>
      <c r="P1601" s="62"/>
      <c r="Q1601" s="62"/>
    </row>
    <row r="1602" spans="1:17">
      <c r="A1602" s="62"/>
      <c r="B1602" s="62"/>
      <c r="C1602" s="62"/>
      <c r="D1602" s="62"/>
      <c r="E1602" s="62"/>
      <c r="F1602" s="62"/>
      <c r="G1602" s="62"/>
      <c r="H1602" s="62" t="str">
        <f>IF(AND('Data Export'!A1602=前十整体车型排名!$B$2,'Data Export'!B1602=前十整体车型排名!$B$3,'Data Export'!D1602&lt;&gt;""),UPPER('Data Export'!C1602)&amp;"♦"&amp;'Data Export'!D1602,"")</f>
        <v/>
      </c>
      <c r="I1602" s="63" t="str">
        <f>IF(H1602="","",IFERROR(INDEX('Data Export'!G1602:CZ1602,1,MATCH(前十整体车型排名!$B$4,'Data Export'!$G$1:$CZ$1,0)),0))</f>
        <v/>
      </c>
      <c r="J1602" s="62" t="str">
        <f>IF(H1602="","",IF(OR('Data Export'!F1602="三厢轿车",'Data Export'!F1602="掀背轿车",'Data Export'!F1602="旅行车",'Data Export'!F1602="微型车",'Data Export'!F1602="硬顶跑车",'Data Export'!F1602="敞蓬车",'Data Export'!F1602="Targa"),"轿车",IF(OR('Data Export'!F1602="小型MPV",'Data Export'!F1602="客车"),"MPV",IF('Data Export'!F1602="运动型多功能车","SUV","其他"))))</f>
        <v/>
      </c>
      <c r="K1602" s="62"/>
      <c r="L1602" s="62"/>
      <c r="M1602" s="62"/>
      <c r="N1602" s="62"/>
      <c r="O1602" s="62"/>
      <c r="P1602" s="62"/>
      <c r="Q1602" s="62"/>
    </row>
    <row r="1603" spans="1:17">
      <c r="A1603" s="62"/>
      <c r="B1603" s="62"/>
      <c r="C1603" s="62"/>
      <c r="D1603" s="62"/>
      <c r="E1603" s="62"/>
      <c r="F1603" s="62"/>
      <c r="G1603" s="62"/>
      <c r="H1603" s="62" t="str">
        <f>IF(AND('Data Export'!A1603=前十整体车型排名!$B$2,'Data Export'!B1603=前十整体车型排名!$B$3,'Data Export'!D1603&lt;&gt;""),UPPER('Data Export'!C1603)&amp;"♦"&amp;'Data Export'!D1603,"")</f>
        <v/>
      </c>
      <c r="I1603" s="63" t="str">
        <f>IF(H1603="","",IFERROR(INDEX('Data Export'!G1603:CZ1603,1,MATCH(前十整体车型排名!$B$4,'Data Export'!$G$1:$CZ$1,0)),0))</f>
        <v/>
      </c>
      <c r="J1603" s="62" t="str">
        <f>IF(H1603="","",IF(OR('Data Export'!F1603="三厢轿车",'Data Export'!F1603="掀背轿车",'Data Export'!F1603="旅行车",'Data Export'!F1603="微型车",'Data Export'!F1603="硬顶跑车",'Data Export'!F1603="敞蓬车",'Data Export'!F1603="Targa"),"轿车",IF(OR('Data Export'!F1603="小型MPV",'Data Export'!F1603="客车"),"MPV",IF('Data Export'!F1603="运动型多功能车","SUV","其他"))))</f>
        <v/>
      </c>
      <c r="K1603" s="62"/>
      <c r="L1603" s="62"/>
      <c r="M1603" s="62"/>
      <c r="N1603" s="62"/>
      <c r="O1603" s="62"/>
      <c r="P1603" s="62"/>
      <c r="Q1603" s="62"/>
    </row>
    <row r="1604" spans="1:17">
      <c r="A1604" s="62"/>
      <c r="B1604" s="62"/>
      <c r="C1604" s="62"/>
      <c r="D1604" s="62"/>
      <c r="E1604" s="62"/>
      <c r="F1604" s="62"/>
      <c r="G1604" s="62"/>
      <c r="H1604" s="62" t="str">
        <f>IF(AND('Data Export'!A1604=前十整体车型排名!$B$2,'Data Export'!B1604=前十整体车型排名!$B$3,'Data Export'!D1604&lt;&gt;""),UPPER('Data Export'!C1604)&amp;"♦"&amp;'Data Export'!D1604,"")</f>
        <v/>
      </c>
      <c r="I1604" s="63" t="str">
        <f>IF(H1604="","",IFERROR(INDEX('Data Export'!G1604:CZ1604,1,MATCH(前十整体车型排名!$B$4,'Data Export'!$G$1:$CZ$1,0)),0))</f>
        <v/>
      </c>
      <c r="J1604" s="62" t="str">
        <f>IF(H1604="","",IF(OR('Data Export'!F1604="三厢轿车",'Data Export'!F1604="掀背轿车",'Data Export'!F1604="旅行车",'Data Export'!F1604="微型车",'Data Export'!F1604="硬顶跑车",'Data Export'!F1604="敞蓬车",'Data Export'!F1604="Targa"),"轿车",IF(OR('Data Export'!F1604="小型MPV",'Data Export'!F1604="客车"),"MPV",IF('Data Export'!F1604="运动型多功能车","SUV","其他"))))</f>
        <v/>
      </c>
      <c r="K1604" s="62"/>
      <c r="L1604" s="62"/>
      <c r="M1604" s="62"/>
      <c r="N1604" s="62"/>
      <c r="O1604" s="62"/>
      <c r="P1604" s="62"/>
      <c r="Q1604" s="62"/>
    </row>
    <row r="1605" spans="1:17">
      <c r="A1605" s="62"/>
      <c r="B1605" s="62"/>
      <c r="C1605" s="62"/>
      <c r="D1605" s="62"/>
      <c r="E1605" s="62"/>
      <c r="F1605" s="62"/>
      <c r="G1605" s="62"/>
      <c r="H1605" s="62" t="str">
        <f>IF(AND('Data Export'!A1605=前十整体车型排名!$B$2,'Data Export'!B1605=前十整体车型排名!$B$3,'Data Export'!D1605&lt;&gt;""),UPPER('Data Export'!C1605)&amp;"♦"&amp;'Data Export'!D1605,"")</f>
        <v/>
      </c>
      <c r="I1605" s="63" t="str">
        <f>IF(H1605="","",IFERROR(INDEX('Data Export'!G1605:CZ1605,1,MATCH(前十整体车型排名!$B$4,'Data Export'!$G$1:$CZ$1,0)),0))</f>
        <v/>
      </c>
      <c r="J1605" s="62" t="str">
        <f>IF(H1605="","",IF(OR('Data Export'!F1605="三厢轿车",'Data Export'!F1605="掀背轿车",'Data Export'!F1605="旅行车",'Data Export'!F1605="微型车",'Data Export'!F1605="硬顶跑车",'Data Export'!F1605="敞蓬车",'Data Export'!F1605="Targa"),"轿车",IF(OR('Data Export'!F1605="小型MPV",'Data Export'!F1605="客车"),"MPV",IF('Data Export'!F1605="运动型多功能车","SUV","其他"))))</f>
        <v/>
      </c>
      <c r="K1605" s="62"/>
      <c r="L1605" s="62"/>
      <c r="M1605" s="62"/>
      <c r="N1605" s="62"/>
      <c r="O1605" s="62"/>
      <c r="P1605" s="62"/>
      <c r="Q1605" s="62"/>
    </row>
    <row r="1606" spans="1:17">
      <c r="A1606" s="62"/>
      <c r="B1606" s="62"/>
      <c r="C1606" s="62"/>
      <c r="D1606" s="62"/>
      <c r="E1606" s="62"/>
      <c r="F1606" s="62"/>
      <c r="G1606" s="62"/>
      <c r="H1606" s="62" t="str">
        <f>IF(AND('Data Export'!A1606=前十整体车型排名!$B$2,'Data Export'!B1606=前十整体车型排名!$B$3,'Data Export'!D1606&lt;&gt;""),UPPER('Data Export'!C1606)&amp;"♦"&amp;'Data Export'!D1606,"")</f>
        <v/>
      </c>
      <c r="I1606" s="63" t="str">
        <f>IF(H1606="","",IFERROR(INDEX('Data Export'!G1606:CZ1606,1,MATCH(前十整体车型排名!$B$4,'Data Export'!$G$1:$CZ$1,0)),0))</f>
        <v/>
      </c>
      <c r="J1606" s="62" t="str">
        <f>IF(H1606="","",IF(OR('Data Export'!F1606="三厢轿车",'Data Export'!F1606="掀背轿车",'Data Export'!F1606="旅行车",'Data Export'!F1606="微型车",'Data Export'!F1606="硬顶跑车",'Data Export'!F1606="敞蓬车",'Data Export'!F1606="Targa"),"轿车",IF(OR('Data Export'!F1606="小型MPV",'Data Export'!F1606="客车"),"MPV",IF('Data Export'!F1606="运动型多功能车","SUV","其他"))))</f>
        <v/>
      </c>
      <c r="K1606" s="62"/>
      <c r="L1606" s="62"/>
      <c r="M1606" s="62"/>
      <c r="N1606" s="62"/>
      <c r="O1606" s="62"/>
      <c r="P1606" s="62"/>
      <c r="Q1606" s="62"/>
    </row>
    <row r="1607" spans="1:17">
      <c r="A1607" s="62"/>
      <c r="B1607" s="62"/>
      <c r="C1607" s="62"/>
      <c r="D1607" s="62"/>
      <c r="E1607" s="62"/>
      <c r="F1607" s="62"/>
      <c r="G1607" s="62"/>
      <c r="H1607" s="62" t="str">
        <f>IF(AND('Data Export'!A1607=前十整体车型排名!$B$2,'Data Export'!B1607=前十整体车型排名!$B$3,'Data Export'!D1607&lt;&gt;""),UPPER('Data Export'!C1607)&amp;"♦"&amp;'Data Export'!D1607,"")</f>
        <v/>
      </c>
      <c r="I1607" s="63" t="str">
        <f>IF(H1607="","",IFERROR(INDEX('Data Export'!G1607:CZ1607,1,MATCH(前十整体车型排名!$B$4,'Data Export'!$G$1:$CZ$1,0)),0))</f>
        <v/>
      </c>
      <c r="J1607" s="62" t="str">
        <f>IF(H1607="","",IF(OR('Data Export'!F1607="三厢轿车",'Data Export'!F1607="掀背轿车",'Data Export'!F1607="旅行车",'Data Export'!F1607="微型车",'Data Export'!F1607="硬顶跑车",'Data Export'!F1607="敞蓬车",'Data Export'!F1607="Targa"),"轿车",IF(OR('Data Export'!F1607="小型MPV",'Data Export'!F1607="客车"),"MPV",IF('Data Export'!F1607="运动型多功能车","SUV","其他"))))</f>
        <v/>
      </c>
      <c r="K1607" s="62"/>
      <c r="L1607" s="62"/>
      <c r="M1607" s="62"/>
      <c r="N1607" s="62"/>
      <c r="O1607" s="62"/>
      <c r="P1607" s="62"/>
      <c r="Q1607" s="62"/>
    </row>
    <row r="1608" spans="1:17">
      <c r="A1608" s="62"/>
      <c r="B1608" s="62"/>
      <c r="C1608" s="62"/>
      <c r="D1608" s="62"/>
      <c r="E1608" s="62"/>
      <c r="F1608" s="62"/>
      <c r="G1608" s="62"/>
      <c r="H1608" s="62" t="str">
        <f>IF(AND('Data Export'!A1608=前十整体车型排名!$B$2,'Data Export'!B1608=前十整体车型排名!$B$3,'Data Export'!D1608&lt;&gt;""),UPPER('Data Export'!C1608)&amp;"♦"&amp;'Data Export'!D1608,"")</f>
        <v/>
      </c>
      <c r="I1608" s="63" t="str">
        <f>IF(H1608="","",IFERROR(INDEX('Data Export'!G1608:CZ1608,1,MATCH(前十整体车型排名!$B$4,'Data Export'!$G$1:$CZ$1,0)),0))</f>
        <v/>
      </c>
      <c r="J1608" s="62" t="str">
        <f>IF(H1608="","",IF(OR('Data Export'!F1608="三厢轿车",'Data Export'!F1608="掀背轿车",'Data Export'!F1608="旅行车",'Data Export'!F1608="微型车",'Data Export'!F1608="硬顶跑车",'Data Export'!F1608="敞蓬车",'Data Export'!F1608="Targa"),"轿车",IF(OR('Data Export'!F1608="小型MPV",'Data Export'!F1608="客车"),"MPV",IF('Data Export'!F1608="运动型多功能车","SUV","其他"))))</f>
        <v/>
      </c>
      <c r="K1608" s="62"/>
      <c r="L1608" s="62"/>
      <c r="M1608" s="62"/>
      <c r="N1608" s="62"/>
      <c r="O1608" s="62"/>
      <c r="P1608" s="62"/>
      <c r="Q1608" s="62"/>
    </row>
    <row r="1609" spans="1:17">
      <c r="A1609" s="62"/>
      <c r="B1609" s="62"/>
      <c r="C1609" s="62"/>
      <c r="D1609" s="62"/>
      <c r="E1609" s="62"/>
      <c r="F1609" s="62"/>
      <c r="G1609" s="62"/>
      <c r="H1609" s="62" t="str">
        <f>IF(AND('Data Export'!A1609=前十整体车型排名!$B$2,'Data Export'!B1609=前十整体车型排名!$B$3,'Data Export'!D1609&lt;&gt;""),UPPER('Data Export'!C1609)&amp;"♦"&amp;'Data Export'!D1609,"")</f>
        <v/>
      </c>
      <c r="I1609" s="63" t="str">
        <f>IF(H1609="","",IFERROR(INDEX('Data Export'!G1609:CZ1609,1,MATCH(前十整体车型排名!$B$4,'Data Export'!$G$1:$CZ$1,0)),0))</f>
        <v/>
      </c>
      <c r="J1609" s="62" t="str">
        <f>IF(H1609="","",IF(OR('Data Export'!F1609="三厢轿车",'Data Export'!F1609="掀背轿车",'Data Export'!F1609="旅行车",'Data Export'!F1609="微型车",'Data Export'!F1609="硬顶跑车",'Data Export'!F1609="敞蓬车",'Data Export'!F1609="Targa"),"轿车",IF(OR('Data Export'!F1609="小型MPV",'Data Export'!F1609="客车"),"MPV",IF('Data Export'!F1609="运动型多功能车","SUV","其他"))))</f>
        <v/>
      </c>
      <c r="K1609" s="62"/>
      <c r="L1609" s="62"/>
      <c r="M1609" s="62"/>
      <c r="N1609" s="62"/>
      <c r="O1609" s="62"/>
      <c r="P1609" s="62"/>
      <c r="Q1609" s="62"/>
    </row>
    <row r="1610" spans="1:17">
      <c r="A1610" s="62"/>
      <c r="B1610" s="62"/>
      <c r="C1610" s="62"/>
      <c r="D1610" s="62"/>
      <c r="E1610" s="62"/>
      <c r="F1610" s="62"/>
      <c r="G1610" s="62"/>
      <c r="H1610" s="62" t="str">
        <f>IF(AND('Data Export'!A1610=前十整体车型排名!$B$2,'Data Export'!B1610=前十整体车型排名!$B$3,'Data Export'!D1610&lt;&gt;""),UPPER('Data Export'!C1610)&amp;"♦"&amp;'Data Export'!D1610,"")</f>
        <v/>
      </c>
      <c r="I1610" s="63" t="str">
        <f>IF(H1610="","",IFERROR(INDEX('Data Export'!G1610:CZ1610,1,MATCH(前十整体车型排名!$B$4,'Data Export'!$G$1:$CZ$1,0)),0))</f>
        <v/>
      </c>
      <c r="J1610" s="62" t="str">
        <f>IF(H1610="","",IF(OR('Data Export'!F1610="三厢轿车",'Data Export'!F1610="掀背轿车",'Data Export'!F1610="旅行车",'Data Export'!F1610="微型车",'Data Export'!F1610="硬顶跑车",'Data Export'!F1610="敞蓬车",'Data Export'!F1610="Targa"),"轿车",IF(OR('Data Export'!F1610="小型MPV",'Data Export'!F1610="客车"),"MPV",IF('Data Export'!F1610="运动型多功能车","SUV","其他"))))</f>
        <v/>
      </c>
      <c r="K1610" s="62"/>
      <c r="L1610" s="62"/>
      <c r="M1610" s="62"/>
      <c r="N1610" s="62"/>
      <c r="O1610" s="62"/>
      <c r="P1610" s="62"/>
      <c r="Q1610" s="62"/>
    </row>
    <row r="1611" spans="1:17">
      <c r="A1611" s="62"/>
      <c r="B1611" s="62"/>
      <c r="C1611" s="62"/>
      <c r="D1611" s="62"/>
      <c r="E1611" s="62"/>
      <c r="F1611" s="62"/>
      <c r="G1611" s="62"/>
      <c r="H1611" s="62" t="str">
        <f>IF(AND('Data Export'!A1611=前十整体车型排名!$B$2,'Data Export'!B1611=前十整体车型排名!$B$3,'Data Export'!D1611&lt;&gt;""),UPPER('Data Export'!C1611)&amp;"♦"&amp;'Data Export'!D1611,"")</f>
        <v/>
      </c>
      <c r="I1611" s="63" t="str">
        <f>IF(H1611="","",IFERROR(INDEX('Data Export'!G1611:CZ1611,1,MATCH(前十整体车型排名!$B$4,'Data Export'!$G$1:$CZ$1,0)),0))</f>
        <v/>
      </c>
      <c r="J1611" s="62" t="str">
        <f>IF(H1611="","",IF(OR('Data Export'!F1611="三厢轿车",'Data Export'!F1611="掀背轿车",'Data Export'!F1611="旅行车",'Data Export'!F1611="微型车",'Data Export'!F1611="硬顶跑车",'Data Export'!F1611="敞蓬车",'Data Export'!F1611="Targa"),"轿车",IF(OR('Data Export'!F1611="小型MPV",'Data Export'!F1611="客车"),"MPV",IF('Data Export'!F1611="运动型多功能车","SUV","其他"))))</f>
        <v/>
      </c>
      <c r="K1611" s="62"/>
      <c r="L1611" s="62"/>
      <c r="M1611" s="62"/>
      <c r="N1611" s="62"/>
      <c r="O1611" s="62"/>
      <c r="P1611" s="62"/>
      <c r="Q1611" s="62"/>
    </row>
    <row r="1612" spans="1:17">
      <c r="A1612" s="62"/>
      <c r="B1612" s="62"/>
      <c r="C1612" s="62"/>
      <c r="D1612" s="62"/>
      <c r="E1612" s="62"/>
      <c r="F1612" s="62"/>
      <c r="G1612" s="62"/>
      <c r="H1612" s="62" t="str">
        <f>IF(AND('Data Export'!A1612=前十整体车型排名!$B$2,'Data Export'!B1612=前十整体车型排名!$B$3,'Data Export'!D1612&lt;&gt;""),UPPER('Data Export'!C1612)&amp;"♦"&amp;'Data Export'!D1612,"")</f>
        <v/>
      </c>
      <c r="I1612" s="63" t="str">
        <f>IF(H1612="","",IFERROR(INDEX('Data Export'!G1612:CZ1612,1,MATCH(前十整体车型排名!$B$4,'Data Export'!$G$1:$CZ$1,0)),0))</f>
        <v/>
      </c>
      <c r="J1612" s="62" t="str">
        <f>IF(H1612="","",IF(OR('Data Export'!F1612="三厢轿车",'Data Export'!F1612="掀背轿车",'Data Export'!F1612="旅行车",'Data Export'!F1612="微型车",'Data Export'!F1612="硬顶跑车",'Data Export'!F1612="敞蓬车",'Data Export'!F1612="Targa"),"轿车",IF(OR('Data Export'!F1612="小型MPV",'Data Export'!F1612="客车"),"MPV",IF('Data Export'!F1612="运动型多功能车","SUV","其他"))))</f>
        <v/>
      </c>
      <c r="K1612" s="62"/>
      <c r="L1612" s="62"/>
      <c r="M1612" s="62"/>
      <c r="N1612" s="62"/>
      <c r="O1612" s="62"/>
      <c r="P1612" s="62"/>
      <c r="Q1612" s="62"/>
    </row>
    <row r="1613" spans="1:17">
      <c r="A1613" s="62"/>
      <c r="B1613" s="62"/>
      <c r="C1613" s="62"/>
      <c r="D1613" s="62"/>
      <c r="E1613" s="62"/>
      <c r="F1613" s="62"/>
      <c r="G1613" s="62"/>
      <c r="H1613" s="62" t="str">
        <f>IF(AND('Data Export'!A1613=前十整体车型排名!$B$2,'Data Export'!B1613=前十整体车型排名!$B$3,'Data Export'!D1613&lt;&gt;""),UPPER('Data Export'!C1613)&amp;"♦"&amp;'Data Export'!D1613,"")</f>
        <v/>
      </c>
      <c r="I1613" s="63" t="str">
        <f>IF(H1613="","",IFERROR(INDEX('Data Export'!G1613:CZ1613,1,MATCH(前十整体车型排名!$B$4,'Data Export'!$G$1:$CZ$1,0)),0))</f>
        <v/>
      </c>
      <c r="J1613" s="62" t="str">
        <f>IF(H1613="","",IF(OR('Data Export'!F1613="三厢轿车",'Data Export'!F1613="掀背轿车",'Data Export'!F1613="旅行车",'Data Export'!F1613="微型车",'Data Export'!F1613="硬顶跑车",'Data Export'!F1613="敞蓬车",'Data Export'!F1613="Targa"),"轿车",IF(OR('Data Export'!F1613="小型MPV",'Data Export'!F1613="客车"),"MPV",IF('Data Export'!F1613="运动型多功能车","SUV","其他"))))</f>
        <v/>
      </c>
      <c r="K1613" s="62"/>
      <c r="L1613" s="62"/>
      <c r="M1613" s="62"/>
      <c r="N1613" s="62"/>
      <c r="O1613" s="62"/>
      <c r="P1613" s="62"/>
      <c r="Q1613" s="62"/>
    </row>
    <row r="1614" spans="1:17">
      <c r="A1614" s="62"/>
      <c r="B1614" s="62"/>
      <c r="C1614" s="62"/>
      <c r="D1614" s="62"/>
      <c r="E1614" s="62"/>
      <c r="F1614" s="62"/>
      <c r="G1614" s="62"/>
      <c r="H1614" s="62" t="str">
        <f>IF(AND('Data Export'!A1614=前十整体车型排名!$B$2,'Data Export'!B1614=前十整体车型排名!$B$3,'Data Export'!D1614&lt;&gt;""),UPPER('Data Export'!C1614)&amp;"♦"&amp;'Data Export'!D1614,"")</f>
        <v/>
      </c>
      <c r="I1614" s="63" t="str">
        <f>IF(H1614="","",IFERROR(INDEX('Data Export'!G1614:CZ1614,1,MATCH(前十整体车型排名!$B$4,'Data Export'!$G$1:$CZ$1,0)),0))</f>
        <v/>
      </c>
      <c r="J1614" s="62" t="str">
        <f>IF(H1614="","",IF(OR('Data Export'!F1614="三厢轿车",'Data Export'!F1614="掀背轿车",'Data Export'!F1614="旅行车",'Data Export'!F1614="微型车",'Data Export'!F1614="硬顶跑车",'Data Export'!F1614="敞蓬车",'Data Export'!F1614="Targa"),"轿车",IF(OR('Data Export'!F1614="小型MPV",'Data Export'!F1614="客车"),"MPV",IF('Data Export'!F1614="运动型多功能车","SUV","其他"))))</f>
        <v/>
      </c>
      <c r="K1614" s="62"/>
      <c r="L1614" s="62"/>
      <c r="M1614" s="62"/>
      <c r="N1614" s="62"/>
      <c r="O1614" s="62"/>
      <c r="P1614" s="62"/>
      <c r="Q1614" s="62"/>
    </row>
    <row r="1615" spans="1:17">
      <c r="A1615" s="62"/>
      <c r="B1615" s="62"/>
      <c r="C1615" s="62"/>
      <c r="D1615" s="62"/>
      <c r="E1615" s="62"/>
      <c r="F1615" s="62"/>
      <c r="G1615" s="62"/>
      <c r="H1615" s="62" t="str">
        <f>IF(AND('Data Export'!A1615=前十整体车型排名!$B$2,'Data Export'!B1615=前十整体车型排名!$B$3,'Data Export'!D1615&lt;&gt;""),UPPER('Data Export'!C1615)&amp;"♦"&amp;'Data Export'!D1615,"")</f>
        <v/>
      </c>
      <c r="I1615" s="63" t="str">
        <f>IF(H1615="","",IFERROR(INDEX('Data Export'!G1615:CZ1615,1,MATCH(前十整体车型排名!$B$4,'Data Export'!$G$1:$CZ$1,0)),0))</f>
        <v/>
      </c>
      <c r="J1615" s="62" t="str">
        <f>IF(H1615="","",IF(OR('Data Export'!F1615="三厢轿车",'Data Export'!F1615="掀背轿车",'Data Export'!F1615="旅行车",'Data Export'!F1615="微型车",'Data Export'!F1615="硬顶跑车",'Data Export'!F1615="敞蓬车",'Data Export'!F1615="Targa"),"轿车",IF(OR('Data Export'!F1615="小型MPV",'Data Export'!F1615="客车"),"MPV",IF('Data Export'!F1615="运动型多功能车","SUV","其他"))))</f>
        <v/>
      </c>
      <c r="K1615" s="62"/>
      <c r="L1615" s="62"/>
      <c r="M1615" s="62"/>
      <c r="N1615" s="62"/>
      <c r="O1615" s="62"/>
      <c r="P1615" s="62"/>
      <c r="Q1615" s="62"/>
    </row>
    <row r="1616" spans="1:17">
      <c r="A1616" s="62"/>
      <c r="B1616" s="62"/>
      <c r="C1616" s="62"/>
      <c r="D1616" s="62"/>
      <c r="E1616" s="62"/>
      <c r="F1616" s="62"/>
      <c r="G1616" s="62"/>
      <c r="H1616" s="62" t="str">
        <f>IF(AND('Data Export'!A1616=前十整体车型排名!$B$2,'Data Export'!B1616=前十整体车型排名!$B$3,'Data Export'!D1616&lt;&gt;""),UPPER('Data Export'!C1616)&amp;"♦"&amp;'Data Export'!D1616,"")</f>
        <v/>
      </c>
      <c r="I1616" s="63" t="str">
        <f>IF(H1616="","",IFERROR(INDEX('Data Export'!G1616:CZ1616,1,MATCH(前十整体车型排名!$B$4,'Data Export'!$G$1:$CZ$1,0)),0))</f>
        <v/>
      </c>
      <c r="J1616" s="62" t="str">
        <f>IF(H1616="","",IF(OR('Data Export'!F1616="三厢轿车",'Data Export'!F1616="掀背轿车",'Data Export'!F1616="旅行车",'Data Export'!F1616="微型车",'Data Export'!F1616="硬顶跑车",'Data Export'!F1616="敞蓬车",'Data Export'!F1616="Targa"),"轿车",IF(OR('Data Export'!F1616="小型MPV",'Data Export'!F1616="客车"),"MPV",IF('Data Export'!F1616="运动型多功能车","SUV","其他"))))</f>
        <v/>
      </c>
      <c r="K1616" s="62"/>
      <c r="L1616" s="62"/>
      <c r="M1616" s="62"/>
      <c r="N1616" s="62"/>
      <c r="O1616" s="62"/>
      <c r="P1616" s="62"/>
      <c r="Q1616" s="62"/>
    </row>
    <row r="1617" spans="1:17">
      <c r="A1617" s="62"/>
      <c r="B1617" s="62"/>
      <c r="C1617" s="62"/>
      <c r="D1617" s="62"/>
      <c r="E1617" s="62"/>
      <c r="F1617" s="62"/>
      <c r="G1617" s="62"/>
      <c r="H1617" s="62" t="str">
        <f>IF(AND('Data Export'!A1617=前十整体车型排名!$B$2,'Data Export'!B1617=前十整体车型排名!$B$3,'Data Export'!D1617&lt;&gt;""),UPPER('Data Export'!C1617)&amp;"♦"&amp;'Data Export'!D1617,"")</f>
        <v/>
      </c>
      <c r="I1617" s="63" t="str">
        <f>IF(H1617="","",IFERROR(INDEX('Data Export'!G1617:CZ1617,1,MATCH(前十整体车型排名!$B$4,'Data Export'!$G$1:$CZ$1,0)),0))</f>
        <v/>
      </c>
      <c r="J1617" s="62" t="str">
        <f>IF(H1617="","",IF(OR('Data Export'!F1617="三厢轿车",'Data Export'!F1617="掀背轿车",'Data Export'!F1617="旅行车",'Data Export'!F1617="微型车",'Data Export'!F1617="硬顶跑车",'Data Export'!F1617="敞蓬车",'Data Export'!F1617="Targa"),"轿车",IF(OR('Data Export'!F1617="小型MPV",'Data Export'!F1617="客车"),"MPV",IF('Data Export'!F1617="运动型多功能车","SUV","其他"))))</f>
        <v/>
      </c>
      <c r="K1617" s="62"/>
      <c r="L1617" s="62"/>
      <c r="M1617" s="62"/>
      <c r="N1617" s="62"/>
      <c r="O1617" s="62"/>
      <c r="P1617" s="62"/>
      <c r="Q1617" s="62"/>
    </row>
    <row r="1618" spans="1:17">
      <c r="A1618" s="62"/>
      <c r="B1618" s="62"/>
      <c r="C1618" s="62"/>
      <c r="D1618" s="62"/>
      <c r="E1618" s="62"/>
      <c r="F1618" s="62"/>
      <c r="G1618" s="62"/>
      <c r="H1618" s="62" t="str">
        <f>IF(AND('Data Export'!A1618=前十整体车型排名!$B$2,'Data Export'!B1618=前十整体车型排名!$B$3,'Data Export'!D1618&lt;&gt;""),UPPER('Data Export'!C1618)&amp;"♦"&amp;'Data Export'!D1618,"")</f>
        <v/>
      </c>
      <c r="I1618" s="63" t="str">
        <f>IF(H1618="","",IFERROR(INDEX('Data Export'!G1618:CZ1618,1,MATCH(前十整体车型排名!$B$4,'Data Export'!$G$1:$CZ$1,0)),0))</f>
        <v/>
      </c>
      <c r="J1618" s="62" t="str">
        <f>IF(H1618="","",IF(OR('Data Export'!F1618="三厢轿车",'Data Export'!F1618="掀背轿车",'Data Export'!F1618="旅行车",'Data Export'!F1618="微型车",'Data Export'!F1618="硬顶跑车",'Data Export'!F1618="敞蓬车",'Data Export'!F1618="Targa"),"轿车",IF(OR('Data Export'!F1618="小型MPV",'Data Export'!F1618="客车"),"MPV",IF('Data Export'!F1618="运动型多功能车","SUV","其他"))))</f>
        <v/>
      </c>
      <c r="K1618" s="62"/>
      <c r="L1618" s="62"/>
      <c r="M1618" s="62"/>
      <c r="N1618" s="62"/>
      <c r="O1618" s="62"/>
      <c r="P1618" s="62"/>
      <c r="Q1618" s="62"/>
    </row>
    <row r="1619" spans="1:17">
      <c r="A1619" s="62"/>
      <c r="B1619" s="62"/>
      <c r="C1619" s="62"/>
      <c r="D1619" s="62"/>
      <c r="E1619" s="62"/>
      <c r="F1619" s="62"/>
      <c r="G1619" s="62"/>
      <c r="H1619" s="62" t="str">
        <f>IF(AND('Data Export'!A1619=前十整体车型排名!$B$2,'Data Export'!B1619=前十整体车型排名!$B$3,'Data Export'!D1619&lt;&gt;""),UPPER('Data Export'!C1619)&amp;"♦"&amp;'Data Export'!D1619,"")</f>
        <v/>
      </c>
      <c r="I1619" s="63" t="str">
        <f>IF(H1619="","",IFERROR(INDEX('Data Export'!G1619:CZ1619,1,MATCH(前十整体车型排名!$B$4,'Data Export'!$G$1:$CZ$1,0)),0))</f>
        <v/>
      </c>
      <c r="J1619" s="62" t="str">
        <f>IF(H1619="","",IF(OR('Data Export'!F1619="三厢轿车",'Data Export'!F1619="掀背轿车",'Data Export'!F1619="旅行车",'Data Export'!F1619="微型车",'Data Export'!F1619="硬顶跑车",'Data Export'!F1619="敞蓬车",'Data Export'!F1619="Targa"),"轿车",IF(OR('Data Export'!F1619="小型MPV",'Data Export'!F1619="客车"),"MPV",IF('Data Export'!F1619="运动型多功能车","SUV","其他"))))</f>
        <v/>
      </c>
      <c r="K1619" s="62"/>
      <c r="L1619" s="62"/>
      <c r="M1619" s="62"/>
      <c r="N1619" s="62"/>
      <c r="O1619" s="62"/>
      <c r="P1619" s="62"/>
      <c r="Q1619" s="62"/>
    </row>
    <row r="1620" spans="1:17">
      <c r="A1620" s="62"/>
      <c r="B1620" s="62"/>
      <c r="C1620" s="62"/>
      <c r="D1620" s="62"/>
      <c r="E1620" s="62"/>
      <c r="F1620" s="62"/>
      <c r="G1620" s="62"/>
      <c r="H1620" s="62" t="str">
        <f>IF(AND('Data Export'!A1620=前十整体车型排名!$B$2,'Data Export'!B1620=前十整体车型排名!$B$3,'Data Export'!D1620&lt;&gt;""),UPPER('Data Export'!C1620)&amp;"♦"&amp;'Data Export'!D1620,"")</f>
        <v/>
      </c>
      <c r="I1620" s="63" t="str">
        <f>IF(H1620="","",IFERROR(INDEX('Data Export'!G1620:CZ1620,1,MATCH(前十整体车型排名!$B$4,'Data Export'!$G$1:$CZ$1,0)),0))</f>
        <v/>
      </c>
      <c r="J1620" s="62" t="str">
        <f>IF(H1620="","",IF(OR('Data Export'!F1620="三厢轿车",'Data Export'!F1620="掀背轿车",'Data Export'!F1620="旅行车",'Data Export'!F1620="微型车",'Data Export'!F1620="硬顶跑车",'Data Export'!F1620="敞蓬车",'Data Export'!F1620="Targa"),"轿车",IF(OR('Data Export'!F1620="小型MPV",'Data Export'!F1620="客车"),"MPV",IF('Data Export'!F1620="运动型多功能车","SUV","其他"))))</f>
        <v/>
      </c>
      <c r="K1620" s="62"/>
      <c r="L1620" s="62"/>
      <c r="M1620" s="62"/>
      <c r="N1620" s="62"/>
      <c r="O1620" s="62"/>
      <c r="P1620" s="62"/>
      <c r="Q1620" s="62"/>
    </row>
    <row r="1621" spans="1:17">
      <c r="A1621" s="62"/>
      <c r="B1621" s="62"/>
      <c r="C1621" s="62"/>
      <c r="D1621" s="62"/>
      <c r="E1621" s="62"/>
      <c r="F1621" s="62"/>
      <c r="G1621" s="62"/>
      <c r="H1621" s="62" t="str">
        <f>IF(AND('Data Export'!A1621=前十整体车型排名!$B$2,'Data Export'!B1621=前十整体车型排名!$B$3,'Data Export'!D1621&lt;&gt;""),UPPER('Data Export'!C1621)&amp;"♦"&amp;'Data Export'!D1621,"")</f>
        <v/>
      </c>
      <c r="I1621" s="63" t="str">
        <f>IF(H1621="","",IFERROR(INDEX('Data Export'!G1621:CZ1621,1,MATCH(前十整体车型排名!$B$4,'Data Export'!$G$1:$CZ$1,0)),0))</f>
        <v/>
      </c>
      <c r="J1621" s="62" t="str">
        <f>IF(H1621="","",IF(OR('Data Export'!F1621="三厢轿车",'Data Export'!F1621="掀背轿车",'Data Export'!F1621="旅行车",'Data Export'!F1621="微型车",'Data Export'!F1621="硬顶跑车",'Data Export'!F1621="敞蓬车",'Data Export'!F1621="Targa"),"轿车",IF(OR('Data Export'!F1621="小型MPV",'Data Export'!F1621="客车"),"MPV",IF('Data Export'!F1621="运动型多功能车","SUV","其他"))))</f>
        <v/>
      </c>
      <c r="K1621" s="62"/>
      <c r="L1621" s="62"/>
      <c r="M1621" s="62"/>
      <c r="N1621" s="62"/>
      <c r="O1621" s="62"/>
      <c r="P1621" s="62"/>
      <c r="Q1621" s="62"/>
    </row>
    <row r="1622" spans="1:17">
      <c r="A1622" s="62"/>
      <c r="B1622" s="62"/>
      <c r="C1622" s="62"/>
      <c r="D1622" s="62"/>
      <c r="E1622" s="62"/>
      <c r="F1622" s="62"/>
      <c r="G1622" s="62"/>
      <c r="H1622" s="62" t="str">
        <f>IF(AND('Data Export'!A1622=前十整体车型排名!$B$2,'Data Export'!B1622=前十整体车型排名!$B$3,'Data Export'!D1622&lt;&gt;""),UPPER('Data Export'!C1622)&amp;"♦"&amp;'Data Export'!D1622,"")</f>
        <v/>
      </c>
      <c r="I1622" s="63" t="str">
        <f>IF(H1622="","",IFERROR(INDEX('Data Export'!G1622:CZ1622,1,MATCH(前十整体车型排名!$B$4,'Data Export'!$G$1:$CZ$1,0)),0))</f>
        <v/>
      </c>
      <c r="J1622" s="62" t="str">
        <f>IF(H1622="","",IF(OR('Data Export'!F1622="三厢轿车",'Data Export'!F1622="掀背轿车",'Data Export'!F1622="旅行车",'Data Export'!F1622="微型车",'Data Export'!F1622="硬顶跑车",'Data Export'!F1622="敞蓬车",'Data Export'!F1622="Targa"),"轿车",IF(OR('Data Export'!F1622="小型MPV",'Data Export'!F1622="客车"),"MPV",IF('Data Export'!F1622="运动型多功能车","SUV","其他"))))</f>
        <v/>
      </c>
      <c r="K1622" s="62"/>
      <c r="L1622" s="62"/>
      <c r="M1622" s="62"/>
      <c r="N1622" s="62"/>
      <c r="O1622" s="62"/>
      <c r="P1622" s="62"/>
      <c r="Q1622" s="62"/>
    </row>
    <row r="1623" spans="1:17">
      <c r="A1623" s="62"/>
      <c r="B1623" s="62"/>
      <c r="C1623" s="62"/>
      <c r="D1623" s="62"/>
      <c r="E1623" s="62"/>
      <c r="F1623" s="62"/>
      <c r="G1623" s="62"/>
      <c r="H1623" s="62" t="str">
        <f>IF(AND('Data Export'!A1623=前十整体车型排名!$B$2,'Data Export'!B1623=前十整体车型排名!$B$3,'Data Export'!D1623&lt;&gt;""),UPPER('Data Export'!C1623)&amp;"♦"&amp;'Data Export'!D1623,"")</f>
        <v/>
      </c>
      <c r="I1623" s="63" t="str">
        <f>IF(H1623="","",IFERROR(INDEX('Data Export'!G1623:CZ1623,1,MATCH(前十整体车型排名!$B$4,'Data Export'!$G$1:$CZ$1,0)),0))</f>
        <v/>
      </c>
      <c r="J1623" s="62" t="str">
        <f>IF(H1623="","",IF(OR('Data Export'!F1623="三厢轿车",'Data Export'!F1623="掀背轿车",'Data Export'!F1623="旅行车",'Data Export'!F1623="微型车",'Data Export'!F1623="硬顶跑车",'Data Export'!F1623="敞蓬车",'Data Export'!F1623="Targa"),"轿车",IF(OR('Data Export'!F1623="小型MPV",'Data Export'!F1623="客车"),"MPV",IF('Data Export'!F1623="运动型多功能车","SUV","其他"))))</f>
        <v/>
      </c>
      <c r="K1623" s="62"/>
      <c r="L1623" s="62"/>
      <c r="M1623" s="62"/>
      <c r="N1623" s="62"/>
      <c r="O1623" s="62"/>
      <c r="P1623" s="62"/>
      <c r="Q1623" s="62"/>
    </row>
    <row r="1624" spans="1:17">
      <c r="A1624" s="62"/>
      <c r="B1624" s="62"/>
      <c r="C1624" s="62"/>
      <c r="D1624" s="62"/>
      <c r="E1624" s="62"/>
      <c r="F1624" s="62"/>
      <c r="G1624" s="62"/>
      <c r="H1624" s="62" t="str">
        <f>IF(AND('Data Export'!A1624=前十整体车型排名!$B$2,'Data Export'!B1624=前十整体车型排名!$B$3,'Data Export'!D1624&lt;&gt;""),UPPER('Data Export'!C1624)&amp;"♦"&amp;'Data Export'!D1624,"")</f>
        <v/>
      </c>
      <c r="I1624" s="63" t="str">
        <f>IF(H1624="","",IFERROR(INDEX('Data Export'!G1624:CZ1624,1,MATCH(前十整体车型排名!$B$4,'Data Export'!$G$1:$CZ$1,0)),0))</f>
        <v/>
      </c>
      <c r="J1624" s="62" t="str">
        <f>IF(H1624="","",IF(OR('Data Export'!F1624="三厢轿车",'Data Export'!F1624="掀背轿车",'Data Export'!F1624="旅行车",'Data Export'!F1624="微型车",'Data Export'!F1624="硬顶跑车",'Data Export'!F1624="敞蓬车",'Data Export'!F1624="Targa"),"轿车",IF(OR('Data Export'!F1624="小型MPV",'Data Export'!F1624="客车"),"MPV",IF('Data Export'!F1624="运动型多功能车","SUV","其他"))))</f>
        <v/>
      </c>
      <c r="K1624" s="62"/>
      <c r="L1624" s="62"/>
      <c r="M1624" s="62"/>
      <c r="N1624" s="62"/>
      <c r="O1624" s="62"/>
      <c r="P1624" s="62"/>
      <c r="Q1624" s="62"/>
    </row>
    <row r="1625" spans="1:17">
      <c r="A1625" s="62"/>
      <c r="B1625" s="62"/>
      <c r="C1625" s="62"/>
      <c r="D1625" s="62"/>
      <c r="E1625" s="62"/>
      <c r="F1625" s="62"/>
      <c r="G1625" s="62"/>
      <c r="H1625" s="62" t="str">
        <f>IF(AND('Data Export'!A1625=前十整体车型排名!$B$2,'Data Export'!B1625=前十整体车型排名!$B$3,'Data Export'!D1625&lt;&gt;""),UPPER('Data Export'!C1625)&amp;"♦"&amp;'Data Export'!D1625,"")</f>
        <v/>
      </c>
      <c r="I1625" s="63" t="str">
        <f>IF(H1625="","",IFERROR(INDEX('Data Export'!G1625:CZ1625,1,MATCH(前十整体车型排名!$B$4,'Data Export'!$G$1:$CZ$1,0)),0))</f>
        <v/>
      </c>
      <c r="J1625" s="62" t="str">
        <f>IF(H1625="","",IF(OR('Data Export'!F1625="三厢轿车",'Data Export'!F1625="掀背轿车",'Data Export'!F1625="旅行车",'Data Export'!F1625="微型车",'Data Export'!F1625="硬顶跑车",'Data Export'!F1625="敞蓬车",'Data Export'!F1625="Targa"),"轿车",IF(OR('Data Export'!F1625="小型MPV",'Data Export'!F1625="客车"),"MPV",IF('Data Export'!F1625="运动型多功能车","SUV","其他"))))</f>
        <v/>
      </c>
      <c r="K1625" s="62"/>
      <c r="L1625" s="62"/>
      <c r="M1625" s="62"/>
      <c r="N1625" s="62"/>
      <c r="O1625" s="62"/>
      <c r="P1625" s="62"/>
      <c r="Q1625" s="62"/>
    </row>
    <row r="1626" spans="1:17">
      <c r="A1626" s="62"/>
      <c r="B1626" s="62"/>
      <c r="C1626" s="62"/>
      <c r="D1626" s="62"/>
      <c r="E1626" s="62"/>
      <c r="F1626" s="62"/>
      <c r="G1626" s="62"/>
      <c r="H1626" s="62" t="str">
        <f>IF(AND('Data Export'!A1626=前十整体车型排名!$B$2,'Data Export'!B1626=前十整体车型排名!$B$3,'Data Export'!D1626&lt;&gt;""),UPPER('Data Export'!C1626)&amp;"♦"&amp;'Data Export'!D1626,"")</f>
        <v/>
      </c>
      <c r="I1626" s="63" t="str">
        <f>IF(H1626="","",IFERROR(INDEX('Data Export'!G1626:CZ1626,1,MATCH(前十整体车型排名!$B$4,'Data Export'!$G$1:$CZ$1,0)),0))</f>
        <v/>
      </c>
      <c r="J1626" s="62" t="str">
        <f>IF(H1626="","",IF(OR('Data Export'!F1626="三厢轿车",'Data Export'!F1626="掀背轿车",'Data Export'!F1626="旅行车",'Data Export'!F1626="微型车",'Data Export'!F1626="硬顶跑车",'Data Export'!F1626="敞蓬车",'Data Export'!F1626="Targa"),"轿车",IF(OR('Data Export'!F1626="小型MPV",'Data Export'!F1626="客车"),"MPV",IF('Data Export'!F1626="运动型多功能车","SUV","其他"))))</f>
        <v/>
      </c>
      <c r="K1626" s="62"/>
      <c r="L1626" s="62"/>
      <c r="M1626" s="62"/>
      <c r="N1626" s="62"/>
      <c r="O1626" s="62"/>
      <c r="P1626" s="62"/>
      <c r="Q1626" s="62"/>
    </row>
    <row r="1627" spans="1:17">
      <c r="A1627" s="62"/>
      <c r="B1627" s="62"/>
      <c r="C1627" s="62"/>
      <c r="D1627" s="62"/>
      <c r="E1627" s="62"/>
      <c r="F1627" s="62"/>
      <c r="G1627" s="62"/>
      <c r="H1627" s="62" t="str">
        <f>IF(AND('Data Export'!A1627=前十整体车型排名!$B$2,'Data Export'!B1627=前十整体车型排名!$B$3,'Data Export'!D1627&lt;&gt;""),UPPER('Data Export'!C1627)&amp;"♦"&amp;'Data Export'!D1627,"")</f>
        <v/>
      </c>
      <c r="I1627" s="63" t="str">
        <f>IF(H1627="","",IFERROR(INDEX('Data Export'!G1627:CZ1627,1,MATCH(前十整体车型排名!$B$4,'Data Export'!$G$1:$CZ$1,0)),0))</f>
        <v/>
      </c>
      <c r="J1627" s="62" t="str">
        <f>IF(H1627="","",IF(OR('Data Export'!F1627="三厢轿车",'Data Export'!F1627="掀背轿车",'Data Export'!F1627="旅行车",'Data Export'!F1627="微型车",'Data Export'!F1627="硬顶跑车",'Data Export'!F1627="敞蓬车",'Data Export'!F1627="Targa"),"轿车",IF(OR('Data Export'!F1627="小型MPV",'Data Export'!F1627="客车"),"MPV",IF('Data Export'!F1627="运动型多功能车","SUV","其他"))))</f>
        <v/>
      </c>
      <c r="K1627" s="62"/>
      <c r="L1627" s="62"/>
      <c r="M1627" s="62"/>
      <c r="N1627" s="62"/>
      <c r="O1627" s="62"/>
      <c r="P1627" s="62"/>
      <c r="Q1627" s="62"/>
    </row>
    <row r="1628" spans="1:17">
      <c r="A1628" s="62"/>
      <c r="B1628" s="62"/>
      <c r="C1628" s="62"/>
      <c r="D1628" s="62"/>
      <c r="E1628" s="62"/>
      <c r="F1628" s="62"/>
      <c r="G1628" s="62"/>
      <c r="H1628" s="62" t="str">
        <f>IF(AND('Data Export'!A1628=前十整体车型排名!$B$2,'Data Export'!B1628=前十整体车型排名!$B$3,'Data Export'!D1628&lt;&gt;""),UPPER('Data Export'!C1628)&amp;"♦"&amp;'Data Export'!D1628,"")</f>
        <v/>
      </c>
      <c r="I1628" s="63" t="str">
        <f>IF(H1628="","",IFERROR(INDEX('Data Export'!G1628:CZ1628,1,MATCH(前十整体车型排名!$B$4,'Data Export'!$G$1:$CZ$1,0)),0))</f>
        <v/>
      </c>
      <c r="J1628" s="62" t="str">
        <f>IF(H1628="","",IF(OR('Data Export'!F1628="三厢轿车",'Data Export'!F1628="掀背轿车",'Data Export'!F1628="旅行车",'Data Export'!F1628="微型车",'Data Export'!F1628="硬顶跑车",'Data Export'!F1628="敞蓬车",'Data Export'!F1628="Targa"),"轿车",IF(OR('Data Export'!F1628="小型MPV",'Data Export'!F1628="客车"),"MPV",IF('Data Export'!F1628="运动型多功能车","SUV","其他"))))</f>
        <v/>
      </c>
      <c r="K1628" s="62"/>
      <c r="L1628" s="62"/>
      <c r="M1628" s="62"/>
      <c r="N1628" s="62"/>
      <c r="O1628" s="62"/>
      <c r="P1628" s="62"/>
      <c r="Q1628" s="62"/>
    </row>
    <row r="1629" spans="1:17">
      <c r="A1629" s="62"/>
      <c r="B1629" s="62"/>
      <c r="C1629" s="62"/>
      <c r="D1629" s="62"/>
      <c r="E1629" s="62"/>
      <c r="F1629" s="62"/>
      <c r="G1629" s="62"/>
      <c r="H1629" s="62" t="str">
        <f>IF(AND('Data Export'!A1629=前十整体车型排名!$B$2,'Data Export'!B1629=前十整体车型排名!$B$3,'Data Export'!D1629&lt;&gt;""),UPPER('Data Export'!C1629)&amp;"♦"&amp;'Data Export'!D1629,"")</f>
        <v/>
      </c>
      <c r="I1629" s="63" t="str">
        <f>IF(H1629="","",IFERROR(INDEX('Data Export'!G1629:CZ1629,1,MATCH(前十整体车型排名!$B$4,'Data Export'!$G$1:$CZ$1,0)),0))</f>
        <v/>
      </c>
      <c r="J1629" s="62" t="str">
        <f>IF(H1629="","",IF(OR('Data Export'!F1629="三厢轿车",'Data Export'!F1629="掀背轿车",'Data Export'!F1629="旅行车",'Data Export'!F1629="微型车",'Data Export'!F1629="硬顶跑车",'Data Export'!F1629="敞蓬车",'Data Export'!F1629="Targa"),"轿车",IF(OR('Data Export'!F1629="小型MPV",'Data Export'!F1629="客车"),"MPV",IF('Data Export'!F1629="运动型多功能车","SUV","其他"))))</f>
        <v/>
      </c>
      <c r="K1629" s="62"/>
      <c r="L1629" s="62"/>
      <c r="M1629" s="62"/>
      <c r="N1629" s="62"/>
      <c r="O1629" s="62"/>
      <c r="P1629" s="62"/>
      <c r="Q1629" s="62"/>
    </row>
    <row r="1630" spans="1:17">
      <c r="A1630" s="62"/>
      <c r="B1630" s="62"/>
      <c r="C1630" s="62"/>
      <c r="D1630" s="62"/>
      <c r="E1630" s="62"/>
      <c r="F1630" s="62"/>
      <c r="G1630" s="62"/>
      <c r="H1630" s="62" t="str">
        <f>IF(AND('Data Export'!A1630=前十整体车型排名!$B$2,'Data Export'!B1630=前十整体车型排名!$B$3,'Data Export'!D1630&lt;&gt;""),UPPER('Data Export'!C1630)&amp;"♦"&amp;'Data Export'!D1630,"")</f>
        <v/>
      </c>
      <c r="I1630" s="63" t="str">
        <f>IF(H1630="","",IFERROR(INDEX('Data Export'!G1630:CZ1630,1,MATCH(前十整体车型排名!$B$4,'Data Export'!$G$1:$CZ$1,0)),0))</f>
        <v/>
      </c>
      <c r="J1630" s="62" t="str">
        <f>IF(H1630="","",IF(OR('Data Export'!F1630="三厢轿车",'Data Export'!F1630="掀背轿车",'Data Export'!F1630="旅行车",'Data Export'!F1630="微型车",'Data Export'!F1630="硬顶跑车",'Data Export'!F1630="敞蓬车",'Data Export'!F1630="Targa"),"轿车",IF(OR('Data Export'!F1630="小型MPV",'Data Export'!F1630="客车"),"MPV",IF('Data Export'!F1630="运动型多功能车","SUV","其他"))))</f>
        <v/>
      </c>
      <c r="K1630" s="62"/>
      <c r="L1630" s="62"/>
      <c r="M1630" s="62"/>
      <c r="N1630" s="62"/>
      <c r="O1630" s="62"/>
      <c r="P1630" s="62"/>
      <c r="Q1630" s="62"/>
    </row>
    <row r="1631" spans="1:17">
      <c r="A1631" s="62"/>
      <c r="B1631" s="62"/>
      <c r="C1631" s="62"/>
      <c r="D1631" s="62"/>
      <c r="E1631" s="62"/>
      <c r="F1631" s="62"/>
      <c r="G1631" s="62"/>
      <c r="H1631" s="62" t="str">
        <f>IF(AND('Data Export'!A1631=前十整体车型排名!$B$2,'Data Export'!B1631=前十整体车型排名!$B$3,'Data Export'!D1631&lt;&gt;""),UPPER('Data Export'!C1631)&amp;"♦"&amp;'Data Export'!D1631,"")</f>
        <v/>
      </c>
      <c r="I1631" s="63" t="str">
        <f>IF(H1631="","",IFERROR(INDEX('Data Export'!G1631:CZ1631,1,MATCH(前十整体车型排名!$B$4,'Data Export'!$G$1:$CZ$1,0)),0))</f>
        <v/>
      </c>
      <c r="J1631" s="62" t="str">
        <f>IF(H1631="","",IF(OR('Data Export'!F1631="三厢轿车",'Data Export'!F1631="掀背轿车",'Data Export'!F1631="旅行车",'Data Export'!F1631="微型车",'Data Export'!F1631="硬顶跑车",'Data Export'!F1631="敞蓬车",'Data Export'!F1631="Targa"),"轿车",IF(OR('Data Export'!F1631="小型MPV",'Data Export'!F1631="客车"),"MPV",IF('Data Export'!F1631="运动型多功能车","SUV","其他"))))</f>
        <v/>
      </c>
      <c r="K1631" s="62"/>
      <c r="L1631" s="62"/>
      <c r="M1631" s="62"/>
      <c r="N1631" s="62"/>
      <c r="O1631" s="62"/>
      <c r="P1631" s="62"/>
      <c r="Q1631" s="62"/>
    </row>
    <row r="1632" spans="1:17">
      <c r="A1632" s="62"/>
      <c r="B1632" s="62"/>
      <c r="C1632" s="62"/>
      <c r="D1632" s="62"/>
      <c r="E1632" s="62"/>
      <c r="F1632" s="62"/>
      <c r="G1632" s="62"/>
      <c r="H1632" s="62" t="str">
        <f>IF(AND('Data Export'!A1632=前十整体车型排名!$B$2,'Data Export'!B1632=前十整体车型排名!$B$3,'Data Export'!D1632&lt;&gt;""),UPPER('Data Export'!C1632)&amp;"♦"&amp;'Data Export'!D1632,"")</f>
        <v/>
      </c>
      <c r="I1632" s="63" t="str">
        <f>IF(H1632="","",IFERROR(INDEX('Data Export'!G1632:CZ1632,1,MATCH(前十整体车型排名!$B$4,'Data Export'!$G$1:$CZ$1,0)),0))</f>
        <v/>
      </c>
      <c r="J1632" s="62" t="str">
        <f>IF(H1632="","",IF(OR('Data Export'!F1632="三厢轿车",'Data Export'!F1632="掀背轿车",'Data Export'!F1632="旅行车",'Data Export'!F1632="微型车",'Data Export'!F1632="硬顶跑车",'Data Export'!F1632="敞蓬车",'Data Export'!F1632="Targa"),"轿车",IF(OR('Data Export'!F1632="小型MPV",'Data Export'!F1632="客车"),"MPV",IF('Data Export'!F1632="运动型多功能车","SUV","其他"))))</f>
        <v/>
      </c>
      <c r="K1632" s="62"/>
      <c r="L1632" s="62"/>
      <c r="M1632" s="62"/>
      <c r="N1632" s="62"/>
      <c r="O1632" s="62"/>
      <c r="P1632" s="62"/>
      <c r="Q1632" s="62"/>
    </row>
    <row r="1633" spans="1:17">
      <c r="A1633" s="62"/>
      <c r="B1633" s="62"/>
      <c r="C1633" s="62"/>
      <c r="D1633" s="62"/>
      <c r="E1633" s="62"/>
      <c r="F1633" s="62"/>
      <c r="G1633" s="62"/>
      <c r="H1633" s="62" t="str">
        <f>IF(AND('Data Export'!A1633=前十整体车型排名!$B$2,'Data Export'!B1633=前十整体车型排名!$B$3,'Data Export'!D1633&lt;&gt;""),UPPER('Data Export'!C1633)&amp;"♦"&amp;'Data Export'!D1633,"")</f>
        <v/>
      </c>
      <c r="I1633" s="63" t="str">
        <f>IF(H1633="","",IFERROR(INDEX('Data Export'!G1633:CZ1633,1,MATCH(前十整体车型排名!$B$4,'Data Export'!$G$1:$CZ$1,0)),0))</f>
        <v/>
      </c>
      <c r="J1633" s="62" t="str">
        <f>IF(H1633="","",IF(OR('Data Export'!F1633="三厢轿车",'Data Export'!F1633="掀背轿车",'Data Export'!F1633="旅行车",'Data Export'!F1633="微型车",'Data Export'!F1633="硬顶跑车",'Data Export'!F1633="敞蓬车",'Data Export'!F1633="Targa"),"轿车",IF(OR('Data Export'!F1633="小型MPV",'Data Export'!F1633="客车"),"MPV",IF('Data Export'!F1633="运动型多功能车","SUV","其他"))))</f>
        <v/>
      </c>
      <c r="K1633" s="62"/>
      <c r="L1633" s="62"/>
      <c r="M1633" s="62"/>
      <c r="N1633" s="62"/>
      <c r="O1633" s="62"/>
      <c r="P1633" s="62"/>
      <c r="Q1633" s="62"/>
    </row>
    <row r="1634" spans="1:17">
      <c r="A1634" s="62"/>
      <c r="B1634" s="62"/>
      <c r="C1634" s="62"/>
      <c r="D1634" s="62"/>
      <c r="E1634" s="62"/>
      <c r="F1634" s="62"/>
      <c r="G1634" s="62"/>
      <c r="H1634" s="62" t="str">
        <f>IF(AND('Data Export'!A1634=前十整体车型排名!$B$2,'Data Export'!B1634=前十整体车型排名!$B$3,'Data Export'!D1634&lt;&gt;""),UPPER('Data Export'!C1634)&amp;"♦"&amp;'Data Export'!D1634,"")</f>
        <v/>
      </c>
      <c r="I1634" s="63" t="str">
        <f>IF(H1634="","",IFERROR(INDEX('Data Export'!G1634:CZ1634,1,MATCH(前十整体车型排名!$B$4,'Data Export'!$G$1:$CZ$1,0)),0))</f>
        <v/>
      </c>
      <c r="J1634" s="62" t="str">
        <f>IF(H1634="","",IF(OR('Data Export'!F1634="三厢轿车",'Data Export'!F1634="掀背轿车",'Data Export'!F1634="旅行车",'Data Export'!F1634="微型车",'Data Export'!F1634="硬顶跑车",'Data Export'!F1634="敞蓬车",'Data Export'!F1634="Targa"),"轿车",IF(OR('Data Export'!F1634="小型MPV",'Data Export'!F1634="客车"),"MPV",IF('Data Export'!F1634="运动型多功能车","SUV","其他"))))</f>
        <v/>
      </c>
      <c r="K1634" s="62"/>
      <c r="L1634" s="62"/>
      <c r="M1634" s="62"/>
      <c r="N1634" s="62"/>
      <c r="O1634" s="62"/>
      <c r="P1634" s="62"/>
      <c r="Q1634" s="62"/>
    </row>
    <row r="1635" spans="1:17">
      <c r="A1635" s="62"/>
      <c r="B1635" s="62"/>
      <c r="C1635" s="62"/>
      <c r="D1635" s="62"/>
      <c r="E1635" s="62"/>
      <c r="F1635" s="62"/>
      <c r="G1635" s="62"/>
      <c r="H1635" s="62" t="str">
        <f>IF(AND('Data Export'!A1635=前十整体车型排名!$B$2,'Data Export'!B1635=前十整体车型排名!$B$3,'Data Export'!D1635&lt;&gt;""),UPPER('Data Export'!C1635)&amp;"♦"&amp;'Data Export'!D1635,"")</f>
        <v/>
      </c>
      <c r="I1635" s="63" t="str">
        <f>IF(H1635="","",IFERROR(INDEX('Data Export'!G1635:CZ1635,1,MATCH(前十整体车型排名!$B$4,'Data Export'!$G$1:$CZ$1,0)),0))</f>
        <v/>
      </c>
      <c r="J1635" s="62" t="str">
        <f>IF(H1635="","",IF(OR('Data Export'!F1635="三厢轿车",'Data Export'!F1635="掀背轿车",'Data Export'!F1635="旅行车",'Data Export'!F1635="微型车",'Data Export'!F1635="硬顶跑车",'Data Export'!F1635="敞蓬车",'Data Export'!F1635="Targa"),"轿车",IF(OR('Data Export'!F1635="小型MPV",'Data Export'!F1635="客车"),"MPV",IF('Data Export'!F1635="运动型多功能车","SUV","其他"))))</f>
        <v/>
      </c>
      <c r="K1635" s="62"/>
      <c r="L1635" s="62"/>
      <c r="M1635" s="62"/>
      <c r="N1635" s="62"/>
      <c r="O1635" s="62"/>
      <c r="P1635" s="62"/>
      <c r="Q1635" s="62"/>
    </row>
    <row r="1636" spans="1:17">
      <c r="A1636" s="62"/>
      <c r="B1636" s="62"/>
      <c r="C1636" s="62"/>
      <c r="D1636" s="62"/>
      <c r="E1636" s="62"/>
      <c r="F1636" s="62"/>
      <c r="G1636" s="62"/>
      <c r="H1636" s="62" t="str">
        <f>IF(AND('Data Export'!A1636=前十整体车型排名!$B$2,'Data Export'!B1636=前十整体车型排名!$B$3,'Data Export'!D1636&lt;&gt;""),UPPER('Data Export'!C1636)&amp;"♦"&amp;'Data Export'!D1636,"")</f>
        <v/>
      </c>
      <c r="I1636" s="63" t="str">
        <f>IF(H1636="","",IFERROR(INDEX('Data Export'!G1636:CZ1636,1,MATCH(前十整体车型排名!$B$4,'Data Export'!$G$1:$CZ$1,0)),0))</f>
        <v/>
      </c>
      <c r="J1636" s="62" t="str">
        <f>IF(H1636="","",IF(OR('Data Export'!F1636="三厢轿车",'Data Export'!F1636="掀背轿车",'Data Export'!F1636="旅行车",'Data Export'!F1636="微型车",'Data Export'!F1636="硬顶跑车",'Data Export'!F1636="敞蓬车",'Data Export'!F1636="Targa"),"轿车",IF(OR('Data Export'!F1636="小型MPV",'Data Export'!F1636="客车"),"MPV",IF('Data Export'!F1636="运动型多功能车","SUV","其他"))))</f>
        <v/>
      </c>
      <c r="K1636" s="62"/>
      <c r="L1636" s="62"/>
      <c r="M1636" s="62"/>
      <c r="N1636" s="62"/>
      <c r="O1636" s="62"/>
      <c r="P1636" s="62"/>
      <c r="Q1636" s="62"/>
    </row>
    <row r="1637" spans="1:17">
      <c r="A1637" s="62"/>
      <c r="B1637" s="62"/>
      <c r="C1637" s="62"/>
      <c r="D1637" s="62"/>
      <c r="E1637" s="62"/>
      <c r="F1637" s="62"/>
      <c r="G1637" s="62"/>
      <c r="H1637" s="62" t="str">
        <f>IF(AND('Data Export'!A1637=前十整体车型排名!$B$2,'Data Export'!B1637=前十整体车型排名!$B$3,'Data Export'!D1637&lt;&gt;""),UPPER('Data Export'!C1637)&amp;"♦"&amp;'Data Export'!D1637,"")</f>
        <v/>
      </c>
      <c r="I1637" s="63" t="str">
        <f>IF(H1637="","",IFERROR(INDEX('Data Export'!G1637:CZ1637,1,MATCH(前十整体车型排名!$B$4,'Data Export'!$G$1:$CZ$1,0)),0))</f>
        <v/>
      </c>
      <c r="J1637" s="62" t="str">
        <f>IF(H1637="","",IF(OR('Data Export'!F1637="三厢轿车",'Data Export'!F1637="掀背轿车",'Data Export'!F1637="旅行车",'Data Export'!F1637="微型车",'Data Export'!F1637="硬顶跑车",'Data Export'!F1637="敞蓬车",'Data Export'!F1637="Targa"),"轿车",IF(OR('Data Export'!F1637="小型MPV",'Data Export'!F1637="客车"),"MPV",IF('Data Export'!F1637="运动型多功能车","SUV","其他"))))</f>
        <v/>
      </c>
      <c r="K1637" s="62"/>
      <c r="L1637" s="62"/>
      <c r="M1637" s="62"/>
      <c r="N1637" s="62"/>
      <c r="O1637" s="62"/>
      <c r="P1637" s="62"/>
      <c r="Q1637" s="62"/>
    </row>
    <row r="1638" spans="1:17">
      <c r="A1638" s="62"/>
      <c r="B1638" s="62"/>
      <c r="C1638" s="62"/>
      <c r="D1638" s="62"/>
      <c r="E1638" s="62"/>
      <c r="F1638" s="62"/>
      <c r="G1638" s="62"/>
      <c r="H1638" s="62" t="str">
        <f>IF(AND('Data Export'!A1638=前十整体车型排名!$B$2,'Data Export'!B1638=前十整体车型排名!$B$3,'Data Export'!D1638&lt;&gt;""),UPPER('Data Export'!C1638)&amp;"♦"&amp;'Data Export'!D1638,"")</f>
        <v/>
      </c>
      <c r="I1638" s="63" t="str">
        <f>IF(H1638="","",IFERROR(INDEX('Data Export'!G1638:CZ1638,1,MATCH(前十整体车型排名!$B$4,'Data Export'!$G$1:$CZ$1,0)),0))</f>
        <v/>
      </c>
      <c r="J1638" s="62" t="str">
        <f>IF(H1638="","",IF(OR('Data Export'!F1638="三厢轿车",'Data Export'!F1638="掀背轿车",'Data Export'!F1638="旅行车",'Data Export'!F1638="微型车",'Data Export'!F1638="硬顶跑车",'Data Export'!F1638="敞蓬车",'Data Export'!F1638="Targa"),"轿车",IF(OR('Data Export'!F1638="小型MPV",'Data Export'!F1638="客车"),"MPV",IF('Data Export'!F1638="运动型多功能车","SUV","其他"))))</f>
        <v/>
      </c>
      <c r="K1638" s="62"/>
      <c r="L1638" s="62"/>
      <c r="M1638" s="62"/>
      <c r="N1638" s="62"/>
      <c r="O1638" s="62"/>
      <c r="P1638" s="62"/>
      <c r="Q1638" s="62"/>
    </row>
    <row r="1639" spans="1:17">
      <c r="A1639" s="62"/>
      <c r="B1639" s="62"/>
      <c r="C1639" s="62"/>
      <c r="D1639" s="62"/>
      <c r="E1639" s="62"/>
      <c r="F1639" s="62"/>
      <c r="G1639" s="62"/>
      <c r="H1639" s="62" t="str">
        <f>IF(AND('Data Export'!A1639=前十整体车型排名!$B$2,'Data Export'!B1639=前十整体车型排名!$B$3,'Data Export'!D1639&lt;&gt;""),UPPER('Data Export'!C1639)&amp;"♦"&amp;'Data Export'!D1639,"")</f>
        <v/>
      </c>
      <c r="I1639" s="63" t="str">
        <f>IF(H1639="","",IFERROR(INDEX('Data Export'!G1639:CZ1639,1,MATCH(前十整体车型排名!$B$4,'Data Export'!$G$1:$CZ$1,0)),0))</f>
        <v/>
      </c>
      <c r="J1639" s="62" t="str">
        <f>IF(H1639="","",IF(OR('Data Export'!F1639="三厢轿车",'Data Export'!F1639="掀背轿车",'Data Export'!F1639="旅行车",'Data Export'!F1639="微型车",'Data Export'!F1639="硬顶跑车",'Data Export'!F1639="敞蓬车",'Data Export'!F1639="Targa"),"轿车",IF(OR('Data Export'!F1639="小型MPV",'Data Export'!F1639="客车"),"MPV",IF('Data Export'!F1639="运动型多功能车","SUV","其他"))))</f>
        <v/>
      </c>
      <c r="K1639" s="62"/>
      <c r="L1639" s="62"/>
      <c r="M1639" s="62"/>
      <c r="N1639" s="62"/>
      <c r="O1639" s="62"/>
      <c r="P1639" s="62"/>
      <c r="Q1639" s="62"/>
    </row>
    <row r="1640" spans="1:17">
      <c r="A1640" s="62"/>
      <c r="B1640" s="62"/>
      <c r="C1640" s="62"/>
      <c r="D1640" s="62"/>
      <c r="E1640" s="62"/>
      <c r="F1640" s="62"/>
      <c r="G1640" s="62"/>
      <c r="H1640" s="62" t="str">
        <f>IF(AND('Data Export'!A1640=前十整体车型排名!$B$2,'Data Export'!B1640=前十整体车型排名!$B$3,'Data Export'!D1640&lt;&gt;""),UPPER('Data Export'!C1640)&amp;"♦"&amp;'Data Export'!D1640,"")</f>
        <v/>
      </c>
      <c r="I1640" s="63" t="str">
        <f>IF(H1640="","",IFERROR(INDEX('Data Export'!G1640:CZ1640,1,MATCH(前十整体车型排名!$B$4,'Data Export'!$G$1:$CZ$1,0)),0))</f>
        <v/>
      </c>
      <c r="J1640" s="62" t="str">
        <f>IF(H1640="","",IF(OR('Data Export'!F1640="三厢轿车",'Data Export'!F1640="掀背轿车",'Data Export'!F1640="旅行车",'Data Export'!F1640="微型车",'Data Export'!F1640="硬顶跑车",'Data Export'!F1640="敞蓬车",'Data Export'!F1640="Targa"),"轿车",IF(OR('Data Export'!F1640="小型MPV",'Data Export'!F1640="客车"),"MPV",IF('Data Export'!F1640="运动型多功能车","SUV","其他"))))</f>
        <v/>
      </c>
      <c r="K1640" s="62"/>
      <c r="L1640" s="62"/>
      <c r="M1640" s="62"/>
      <c r="N1640" s="62"/>
      <c r="O1640" s="62"/>
      <c r="P1640" s="62"/>
      <c r="Q1640" s="62"/>
    </row>
    <row r="1641" spans="1:17">
      <c r="A1641" s="62"/>
      <c r="B1641" s="62"/>
      <c r="C1641" s="62"/>
      <c r="D1641" s="62"/>
      <c r="E1641" s="62"/>
      <c r="F1641" s="62"/>
      <c r="G1641" s="62"/>
      <c r="H1641" s="62" t="str">
        <f>IF(AND('Data Export'!A1641=前十整体车型排名!$B$2,'Data Export'!B1641=前十整体车型排名!$B$3,'Data Export'!D1641&lt;&gt;""),UPPER('Data Export'!C1641)&amp;"♦"&amp;'Data Export'!D1641,"")</f>
        <v/>
      </c>
      <c r="I1641" s="63" t="str">
        <f>IF(H1641="","",IFERROR(INDEX('Data Export'!G1641:CZ1641,1,MATCH(前十整体车型排名!$B$4,'Data Export'!$G$1:$CZ$1,0)),0))</f>
        <v/>
      </c>
      <c r="J1641" s="62" t="str">
        <f>IF(H1641="","",IF(OR('Data Export'!F1641="三厢轿车",'Data Export'!F1641="掀背轿车",'Data Export'!F1641="旅行车",'Data Export'!F1641="微型车",'Data Export'!F1641="硬顶跑车",'Data Export'!F1641="敞蓬车",'Data Export'!F1641="Targa"),"轿车",IF(OR('Data Export'!F1641="小型MPV",'Data Export'!F1641="客车"),"MPV",IF('Data Export'!F1641="运动型多功能车","SUV","其他"))))</f>
        <v/>
      </c>
      <c r="K1641" s="62"/>
      <c r="L1641" s="62"/>
      <c r="M1641" s="62"/>
      <c r="N1641" s="62"/>
      <c r="O1641" s="62"/>
      <c r="P1641" s="62"/>
      <c r="Q1641" s="62"/>
    </row>
    <row r="1642" spans="1:17">
      <c r="A1642" s="62"/>
      <c r="B1642" s="62"/>
      <c r="C1642" s="62"/>
      <c r="D1642" s="62"/>
      <c r="E1642" s="62"/>
      <c r="F1642" s="62"/>
      <c r="G1642" s="62"/>
      <c r="H1642" s="62" t="str">
        <f>IF(AND('Data Export'!A1642=前十整体车型排名!$B$2,'Data Export'!B1642=前十整体车型排名!$B$3,'Data Export'!D1642&lt;&gt;""),UPPER('Data Export'!C1642)&amp;"♦"&amp;'Data Export'!D1642,"")</f>
        <v/>
      </c>
      <c r="I1642" s="63" t="str">
        <f>IF(H1642="","",IFERROR(INDEX('Data Export'!G1642:CZ1642,1,MATCH(前十整体车型排名!$B$4,'Data Export'!$G$1:$CZ$1,0)),0))</f>
        <v/>
      </c>
      <c r="J1642" s="62" t="str">
        <f>IF(H1642="","",IF(OR('Data Export'!F1642="三厢轿车",'Data Export'!F1642="掀背轿车",'Data Export'!F1642="旅行车",'Data Export'!F1642="微型车",'Data Export'!F1642="硬顶跑车",'Data Export'!F1642="敞蓬车",'Data Export'!F1642="Targa"),"轿车",IF(OR('Data Export'!F1642="小型MPV",'Data Export'!F1642="客车"),"MPV",IF('Data Export'!F1642="运动型多功能车","SUV","其他"))))</f>
        <v/>
      </c>
      <c r="K1642" s="62"/>
      <c r="L1642" s="62"/>
      <c r="M1642" s="62"/>
      <c r="N1642" s="62"/>
      <c r="O1642" s="62"/>
      <c r="P1642" s="62"/>
      <c r="Q1642" s="62"/>
    </row>
    <row r="1643" spans="1:17">
      <c r="A1643" s="62"/>
      <c r="B1643" s="62"/>
      <c r="C1643" s="62"/>
      <c r="D1643" s="62"/>
      <c r="E1643" s="62"/>
      <c r="F1643" s="62"/>
      <c r="G1643" s="62"/>
      <c r="H1643" s="62" t="str">
        <f>IF(AND('Data Export'!A1643=前十整体车型排名!$B$2,'Data Export'!B1643=前十整体车型排名!$B$3,'Data Export'!D1643&lt;&gt;""),UPPER('Data Export'!C1643)&amp;"♦"&amp;'Data Export'!D1643,"")</f>
        <v/>
      </c>
      <c r="I1643" s="63" t="str">
        <f>IF(H1643="","",IFERROR(INDEX('Data Export'!G1643:CZ1643,1,MATCH(前十整体车型排名!$B$4,'Data Export'!$G$1:$CZ$1,0)),0))</f>
        <v/>
      </c>
      <c r="J1643" s="62" t="str">
        <f>IF(H1643="","",IF(OR('Data Export'!F1643="三厢轿车",'Data Export'!F1643="掀背轿车",'Data Export'!F1643="旅行车",'Data Export'!F1643="微型车",'Data Export'!F1643="硬顶跑车",'Data Export'!F1643="敞蓬车",'Data Export'!F1643="Targa"),"轿车",IF(OR('Data Export'!F1643="小型MPV",'Data Export'!F1643="客车"),"MPV",IF('Data Export'!F1643="运动型多功能车","SUV","其他"))))</f>
        <v/>
      </c>
      <c r="K1643" s="62"/>
      <c r="L1643" s="62"/>
      <c r="M1643" s="62"/>
      <c r="N1643" s="62"/>
      <c r="O1643" s="62"/>
      <c r="P1643" s="62"/>
      <c r="Q1643" s="62"/>
    </row>
    <row r="1644" spans="1:17">
      <c r="A1644" s="62"/>
      <c r="B1644" s="62"/>
      <c r="C1644" s="62"/>
      <c r="D1644" s="62"/>
      <c r="E1644" s="62"/>
      <c r="F1644" s="62"/>
      <c r="G1644" s="62"/>
      <c r="H1644" s="62" t="str">
        <f>IF(AND('Data Export'!A1644=前十整体车型排名!$B$2,'Data Export'!B1644=前十整体车型排名!$B$3,'Data Export'!D1644&lt;&gt;""),UPPER('Data Export'!C1644)&amp;"♦"&amp;'Data Export'!D1644,"")</f>
        <v/>
      </c>
      <c r="I1644" s="63" t="str">
        <f>IF(H1644="","",IFERROR(INDEX('Data Export'!G1644:CZ1644,1,MATCH(前十整体车型排名!$B$4,'Data Export'!$G$1:$CZ$1,0)),0))</f>
        <v/>
      </c>
      <c r="J1644" s="62" t="str">
        <f>IF(H1644="","",IF(OR('Data Export'!F1644="三厢轿车",'Data Export'!F1644="掀背轿车",'Data Export'!F1644="旅行车",'Data Export'!F1644="微型车",'Data Export'!F1644="硬顶跑车",'Data Export'!F1644="敞蓬车",'Data Export'!F1644="Targa"),"轿车",IF(OR('Data Export'!F1644="小型MPV",'Data Export'!F1644="客车"),"MPV",IF('Data Export'!F1644="运动型多功能车","SUV","其他"))))</f>
        <v/>
      </c>
      <c r="K1644" s="62"/>
      <c r="L1644" s="62"/>
      <c r="M1644" s="62"/>
      <c r="N1644" s="62"/>
      <c r="O1644" s="62"/>
      <c r="P1644" s="62"/>
      <c r="Q1644" s="62"/>
    </row>
    <row r="1645" spans="1:17">
      <c r="A1645" s="62"/>
      <c r="B1645" s="62"/>
      <c r="C1645" s="62"/>
      <c r="D1645" s="62"/>
      <c r="E1645" s="62"/>
      <c r="F1645" s="62"/>
      <c r="G1645" s="62"/>
      <c r="H1645" s="62" t="str">
        <f>IF(AND('Data Export'!A1645=前十整体车型排名!$B$2,'Data Export'!B1645=前十整体车型排名!$B$3,'Data Export'!D1645&lt;&gt;""),UPPER('Data Export'!C1645)&amp;"♦"&amp;'Data Export'!D1645,"")</f>
        <v/>
      </c>
      <c r="I1645" s="63" t="str">
        <f>IF(H1645="","",IFERROR(INDEX('Data Export'!G1645:CZ1645,1,MATCH(前十整体车型排名!$B$4,'Data Export'!$G$1:$CZ$1,0)),0))</f>
        <v/>
      </c>
      <c r="J1645" s="62" t="str">
        <f>IF(H1645="","",IF(OR('Data Export'!F1645="三厢轿车",'Data Export'!F1645="掀背轿车",'Data Export'!F1645="旅行车",'Data Export'!F1645="微型车",'Data Export'!F1645="硬顶跑车",'Data Export'!F1645="敞蓬车",'Data Export'!F1645="Targa"),"轿车",IF(OR('Data Export'!F1645="小型MPV",'Data Export'!F1645="客车"),"MPV",IF('Data Export'!F1645="运动型多功能车","SUV","其他"))))</f>
        <v/>
      </c>
      <c r="K1645" s="62"/>
      <c r="L1645" s="62"/>
      <c r="M1645" s="62"/>
      <c r="N1645" s="62"/>
      <c r="O1645" s="62"/>
      <c r="P1645" s="62"/>
      <c r="Q1645" s="62"/>
    </row>
    <row r="1646" spans="1:17">
      <c r="A1646" s="62"/>
      <c r="B1646" s="62"/>
      <c r="C1646" s="62"/>
      <c r="D1646" s="62"/>
      <c r="E1646" s="62"/>
      <c r="F1646" s="62"/>
      <c r="G1646" s="62"/>
      <c r="H1646" s="62" t="str">
        <f>IF(AND('Data Export'!A1646=前十整体车型排名!$B$2,'Data Export'!B1646=前十整体车型排名!$B$3,'Data Export'!D1646&lt;&gt;""),UPPER('Data Export'!C1646)&amp;"♦"&amp;'Data Export'!D1646,"")</f>
        <v/>
      </c>
      <c r="I1646" s="63" t="str">
        <f>IF(H1646="","",IFERROR(INDEX('Data Export'!G1646:CZ1646,1,MATCH(前十整体车型排名!$B$4,'Data Export'!$G$1:$CZ$1,0)),0))</f>
        <v/>
      </c>
      <c r="J1646" s="62" t="str">
        <f>IF(H1646="","",IF(OR('Data Export'!F1646="三厢轿车",'Data Export'!F1646="掀背轿车",'Data Export'!F1646="旅行车",'Data Export'!F1646="微型车",'Data Export'!F1646="硬顶跑车",'Data Export'!F1646="敞蓬车",'Data Export'!F1646="Targa"),"轿车",IF(OR('Data Export'!F1646="小型MPV",'Data Export'!F1646="客车"),"MPV",IF('Data Export'!F1646="运动型多功能车","SUV","其他"))))</f>
        <v/>
      </c>
      <c r="K1646" s="62"/>
      <c r="L1646" s="62"/>
      <c r="M1646" s="62"/>
      <c r="N1646" s="62"/>
      <c r="O1646" s="62"/>
      <c r="P1646" s="62"/>
      <c r="Q1646" s="62"/>
    </row>
    <row r="1647" spans="1:17">
      <c r="A1647" s="62"/>
      <c r="B1647" s="62"/>
      <c r="C1647" s="62"/>
      <c r="D1647" s="62"/>
      <c r="E1647" s="62"/>
      <c r="F1647" s="62"/>
      <c r="G1647" s="62"/>
      <c r="H1647" s="62" t="str">
        <f>IF(AND('Data Export'!A1647=前十整体车型排名!$B$2,'Data Export'!B1647=前十整体车型排名!$B$3,'Data Export'!D1647&lt;&gt;""),UPPER('Data Export'!C1647)&amp;"♦"&amp;'Data Export'!D1647,"")</f>
        <v/>
      </c>
      <c r="I1647" s="63" t="str">
        <f>IF(H1647="","",IFERROR(INDEX('Data Export'!G1647:CZ1647,1,MATCH(前十整体车型排名!$B$4,'Data Export'!$G$1:$CZ$1,0)),0))</f>
        <v/>
      </c>
      <c r="J1647" s="62" t="str">
        <f>IF(H1647="","",IF(OR('Data Export'!F1647="三厢轿车",'Data Export'!F1647="掀背轿车",'Data Export'!F1647="旅行车",'Data Export'!F1647="微型车",'Data Export'!F1647="硬顶跑车",'Data Export'!F1647="敞蓬车",'Data Export'!F1647="Targa"),"轿车",IF(OR('Data Export'!F1647="小型MPV",'Data Export'!F1647="客车"),"MPV",IF('Data Export'!F1647="运动型多功能车","SUV","其他"))))</f>
        <v/>
      </c>
      <c r="K1647" s="62"/>
      <c r="L1647" s="62"/>
      <c r="M1647" s="62"/>
      <c r="N1647" s="62"/>
      <c r="O1647" s="62"/>
      <c r="P1647" s="62"/>
      <c r="Q1647" s="62"/>
    </row>
    <row r="1648" spans="1:17">
      <c r="A1648" s="62"/>
      <c r="B1648" s="62"/>
      <c r="C1648" s="62"/>
      <c r="D1648" s="62"/>
      <c r="E1648" s="62"/>
      <c r="F1648" s="62"/>
      <c r="G1648" s="62"/>
      <c r="H1648" s="62" t="str">
        <f>IF(AND('Data Export'!A1648=前十整体车型排名!$B$2,'Data Export'!B1648=前十整体车型排名!$B$3,'Data Export'!D1648&lt;&gt;""),UPPER('Data Export'!C1648)&amp;"♦"&amp;'Data Export'!D1648,"")</f>
        <v/>
      </c>
      <c r="I1648" s="63" t="str">
        <f>IF(H1648="","",IFERROR(INDEX('Data Export'!G1648:CZ1648,1,MATCH(前十整体车型排名!$B$4,'Data Export'!$G$1:$CZ$1,0)),0))</f>
        <v/>
      </c>
      <c r="J1648" s="62" t="str">
        <f>IF(H1648="","",IF(OR('Data Export'!F1648="三厢轿车",'Data Export'!F1648="掀背轿车",'Data Export'!F1648="旅行车",'Data Export'!F1648="微型车",'Data Export'!F1648="硬顶跑车",'Data Export'!F1648="敞蓬车",'Data Export'!F1648="Targa"),"轿车",IF(OR('Data Export'!F1648="小型MPV",'Data Export'!F1648="客车"),"MPV",IF('Data Export'!F1648="运动型多功能车","SUV","其他"))))</f>
        <v/>
      </c>
      <c r="K1648" s="62"/>
      <c r="L1648" s="62"/>
      <c r="M1648" s="62"/>
      <c r="N1648" s="62"/>
      <c r="O1648" s="62"/>
      <c r="P1648" s="62"/>
      <c r="Q1648" s="62"/>
    </row>
    <row r="1649" spans="1:17">
      <c r="A1649" s="62"/>
      <c r="B1649" s="62"/>
      <c r="C1649" s="62"/>
      <c r="D1649" s="62"/>
      <c r="E1649" s="62"/>
      <c r="F1649" s="62"/>
      <c r="G1649" s="62"/>
      <c r="H1649" s="62" t="str">
        <f>IF(AND('Data Export'!A1649=前十整体车型排名!$B$2,'Data Export'!B1649=前十整体车型排名!$B$3,'Data Export'!D1649&lt;&gt;""),UPPER('Data Export'!C1649)&amp;"♦"&amp;'Data Export'!D1649,"")</f>
        <v/>
      </c>
      <c r="I1649" s="63" t="str">
        <f>IF(H1649="","",IFERROR(INDEX('Data Export'!G1649:CZ1649,1,MATCH(前十整体车型排名!$B$4,'Data Export'!$G$1:$CZ$1,0)),0))</f>
        <v/>
      </c>
      <c r="J1649" s="62" t="str">
        <f>IF(H1649="","",IF(OR('Data Export'!F1649="三厢轿车",'Data Export'!F1649="掀背轿车",'Data Export'!F1649="旅行车",'Data Export'!F1649="微型车",'Data Export'!F1649="硬顶跑车",'Data Export'!F1649="敞蓬车",'Data Export'!F1649="Targa"),"轿车",IF(OR('Data Export'!F1649="小型MPV",'Data Export'!F1649="客车"),"MPV",IF('Data Export'!F1649="运动型多功能车","SUV","其他"))))</f>
        <v/>
      </c>
      <c r="K1649" s="62"/>
      <c r="L1649" s="62"/>
      <c r="M1649" s="62"/>
      <c r="N1649" s="62"/>
      <c r="O1649" s="62"/>
      <c r="P1649" s="62"/>
      <c r="Q1649" s="62"/>
    </row>
    <row r="1650" spans="1:17">
      <c r="A1650" s="62"/>
      <c r="B1650" s="62"/>
      <c r="C1650" s="62"/>
      <c r="D1650" s="62"/>
      <c r="E1650" s="62"/>
      <c r="F1650" s="62"/>
      <c r="G1650" s="62"/>
      <c r="H1650" s="62" t="str">
        <f>IF(AND('Data Export'!A1650=前十整体车型排名!$B$2,'Data Export'!B1650=前十整体车型排名!$B$3,'Data Export'!D1650&lt;&gt;""),UPPER('Data Export'!C1650)&amp;"♦"&amp;'Data Export'!D1650,"")</f>
        <v/>
      </c>
      <c r="I1650" s="63" t="str">
        <f>IF(H1650="","",IFERROR(INDEX('Data Export'!G1650:CZ1650,1,MATCH(前十整体车型排名!$B$4,'Data Export'!$G$1:$CZ$1,0)),0))</f>
        <v/>
      </c>
      <c r="J1650" s="62" t="str">
        <f>IF(H1650="","",IF(OR('Data Export'!F1650="三厢轿车",'Data Export'!F1650="掀背轿车",'Data Export'!F1650="旅行车",'Data Export'!F1650="微型车",'Data Export'!F1650="硬顶跑车",'Data Export'!F1650="敞蓬车",'Data Export'!F1650="Targa"),"轿车",IF(OR('Data Export'!F1650="小型MPV",'Data Export'!F1650="客车"),"MPV",IF('Data Export'!F1650="运动型多功能车","SUV","其他"))))</f>
        <v/>
      </c>
      <c r="K1650" s="62"/>
      <c r="L1650" s="62"/>
      <c r="M1650" s="62"/>
      <c r="N1650" s="62"/>
      <c r="O1650" s="62"/>
      <c r="P1650" s="62"/>
      <c r="Q1650" s="62"/>
    </row>
    <row r="1651" spans="1:17">
      <c r="A1651" s="62"/>
      <c r="B1651" s="62"/>
      <c r="C1651" s="62"/>
      <c r="D1651" s="62"/>
      <c r="E1651" s="62"/>
      <c r="F1651" s="62"/>
      <c r="G1651" s="62"/>
      <c r="H1651" s="62" t="str">
        <f>IF(AND('Data Export'!A1651=前十整体车型排名!$B$2,'Data Export'!B1651=前十整体车型排名!$B$3,'Data Export'!D1651&lt;&gt;""),UPPER('Data Export'!C1651)&amp;"♦"&amp;'Data Export'!D1651,"")</f>
        <v/>
      </c>
      <c r="I1651" s="63" t="str">
        <f>IF(H1651="","",IFERROR(INDEX('Data Export'!G1651:CZ1651,1,MATCH(前十整体车型排名!$B$4,'Data Export'!$G$1:$CZ$1,0)),0))</f>
        <v/>
      </c>
      <c r="J1651" s="62" t="str">
        <f>IF(H1651="","",IF(OR('Data Export'!F1651="三厢轿车",'Data Export'!F1651="掀背轿车",'Data Export'!F1651="旅行车",'Data Export'!F1651="微型车",'Data Export'!F1651="硬顶跑车",'Data Export'!F1651="敞蓬车",'Data Export'!F1651="Targa"),"轿车",IF(OR('Data Export'!F1651="小型MPV",'Data Export'!F1651="客车"),"MPV",IF('Data Export'!F1651="运动型多功能车","SUV","其他"))))</f>
        <v/>
      </c>
      <c r="K1651" s="62"/>
      <c r="L1651" s="62"/>
      <c r="M1651" s="62"/>
      <c r="N1651" s="62"/>
      <c r="O1651" s="62"/>
      <c r="P1651" s="62"/>
      <c r="Q1651" s="62"/>
    </row>
    <row r="1652" spans="1:17">
      <c r="A1652" s="62"/>
      <c r="B1652" s="62"/>
      <c r="C1652" s="62"/>
      <c r="D1652" s="62"/>
      <c r="E1652" s="62"/>
      <c r="F1652" s="62"/>
      <c r="G1652" s="62"/>
      <c r="H1652" s="62" t="str">
        <f>IF(AND('Data Export'!A1652=前十整体车型排名!$B$2,'Data Export'!B1652=前十整体车型排名!$B$3,'Data Export'!D1652&lt;&gt;""),UPPER('Data Export'!C1652)&amp;"♦"&amp;'Data Export'!D1652,"")</f>
        <v/>
      </c>
      <c r="I1652" s="63" t="str">
        <f>IF(H1652="","",IFERROR(INDEX('Data Export'!G1652:CZ1652,1,MATCH(前十整体车型排名!$B$4,'Data Export'!$G$1:$CZ$1,0)),0))</f>
        <v/>
      </c>
      <c r="J1652" s="62" t="str">
        <f>IF(H1652="","",IF(OR('Data Export'!F1652="三厢轿车",'Data Export'!F1652="掀背轿车",'Data Export'!F1652="旅行车",'Data Export'!F1652="微型车",'Data Export'!F1652="硬顶跑车",'Data Export'!F1652="敞蓬车",'Data Export'!F1652="Targa"),"轿车",IF(OR('Data Export'!F1652="小型MPV",'Data Export'!F1652="客车"),"MPV",IF('Data Export'!F1652="运动型多功能车","SUV","其他"))))</f>
        <v/>
      </c>
      <c r="K1652" s="62"/>
      <c r="L1652" s="62"/>
      <c r="M1652" s="62"/>
      <c r="N1652" s="62"/>
      <c r="O1652" s="62"/>
      <c r="P1652" s="62"/>
      <c r="Q1652" s="62"/>
    </row>
    <row r="1653" spans="1:17">
      <c r="A1653" s="62"/>
      <c r="B1653" s="62"/>
      <c r="C1653" s="62"/>
      <c r="D1653" s="62"/>
      <c r="E1653" s="62"/>
      <c r="F1653" s="62"/>
      <c r="G1653" s="62"/>
      <c r="H1653" s="62" t="str">
        <f>IF(AND('Data Export'!A1653=前十整体车型排名!$B$2,'Data Export'!B1653=前十整体车型排名!$B$3,'Data Export'!D1653&lt;&gt;""),UPPER('Data Export'!C1653)&amp;"♦"&amp;'Data Export'!D1653,"")</f>
        <v/>
      </c>
      <c r="I1653" s="63" t="str">
        <f>IF(H1653="","",IFERROR(INDEX('Data Export'!G1653:CZ1653,1,MATCH(前十整体车型排名!$B$4,'Data Export'!$G$1:$CZ$1,0)),0))</f>
        <v/>
      </c>
      <c r="J1653" s="62" t="str">
        <f>IF(H1653="","",IF(OR('Data Export'!F1653="三厢轿车",'Data Export'!F1653="掀背轿车",'Data Export'!F1653="旅行车",'Data Export'!F1653="微型车",'Data Export'!F1653="硬顶跑车",'Data Export'!F1653="敞蓬车",'Data Export'!F1653="Targa"),"轿车",IF(OR('Data Export'!F1653="小型MPV",'Data Export'!F1653="客车"),"MPV",IF('Data Export'!F1653="运动型多功能车","SUV","其他"))))</f>
        <v/>
      </c>
      <c r="K1653" s="62"/>
      <c r="L1653" s="62"/>
      <c r="M1653" s="62"/>
      <c r="N1653" s="62"/>
      <c r="O1653" s="62"/>
      <c r="P1653" s="62"/>
      <c r="Q1653" s="62"/>
    </row>
    <row r="1654" spans="1:17">
      <c r="A1654" s="62"/>
      <c r="B1654" s="62"/>
      <c r="C1654" s="62"/>
      <c r="D1654" s="62"/>
      <c r="E1654" s="62"/>
      <c r="F1654" s="62"/>
      <c r="G1654" s="62"/>
      <c r="H1654" s="62" t="str">
        <f>IF(AND('Data Export'!A1654=前十整体车型排名!$B$2,'Data Export'!B1654=前十整体车型排名!$B$3,'Data Export'!D1654&lt;&gt;""),UPPER('Data Export'!C1654)&amp;"♦"&amp;'Data Export'!D1654,"")</f>
        <v/>
      </c>
      <c r="I1654" s="63" t="str">
        <f>IF(H1654="","",IFERROR(INDEX('Data Export'!G1654:CZ1654,1,MATCH(前十整体车型排名!$B$4,'Data Export'!$G$1:$CZ$1,0)),0))</f>
        <v/>
      </c>
      <c r="J1654" s="62" t="str">
        <f>IF(H1654="","",IF(OR('Data Export'!F1654="三厢轿车",'Data Export'!F1654="掀背轿车",'Data Export'!F1654="旅行车",'Data Export'!F1654="微型车",'Data Export'!F1654="硬顶跑车",'Data Export'!F1654="敞蓬车",'Data Export'!F1654="Targa"),"轿车",IF(OR('Data Export'!F1654="小型MPV",'Data Export'!F1654="客车"),"MPV",IF('Data Export'!F1654="运动型多功能车","SUV","其他"))))</f>
        <v/>
      </c>
      <c r="K1654" s="62"/>
      <c r="L1654" s="62"/>
      <c r="M1654" s="62"/>
      <c r="N1654" s="62"/>
      <c r="O1654" s="62"/>
      <c r="P1654" s="62"/>
      <c r="Q1654" s="62"/>
    </row>
    <row r="1655" spans="1:17">
      <c r="A1655" s="62"/>
      <c r="B1655" s="62"/>
      <c r="C1655" s="62"/>
      <c r="D1655" s="62"/>
      <c r="E1655" s="62"/>
      <c r="F1655" s="62"/>
      <c r="G1655" s="62"/>
      <c r="H1655" s="62" t="str">
        <f>IF(AND('Data Export'!A1655=前十整体车型排名!$B$2,'Data Export'!B1655=前十整体车型排名!$B$3,'Data Export'!D1655&lt;&gt;""),UPPER('Data Export'!C1655)&amp;"♦"&amp;'Data Export'!D1655,"")</f>
        <v/>
      </c>
      <c r="I1655" s="63" t="str">
        <f>IF(H1655="","",IFERROR(INDEX('Data Export'!G1655:CZ1655,1,MATCH(前十整体车型排名!$B$4,'Data Export'!$G$1:$CZ$1,0)),0))</f>
        <v/>
      </c>
      <c r="J1655" s="62" t="str">
        <f>IF(H1655="","",IF(OR('Data Export'!F1655="三厢轿车",'Data Export'!F1655="掀背轿车",'Data Export'!F1655="旅行车",'Data Export'!F1655="微型车",'Data Export'!F1655="硬顶跑车",'Data Export'!F1655="敞蓬车",'Data Export'!F1655="Targa"),"轿车",IF(OR('Data Export'!F1655="小型MPV",'Data Export'!F1655="客车"),"MPV",IF('Data Export'!F1655="运动型多功能车","SUV","其他"))))</f>
        <v/>
      </c>
      <c r="K1655" s="62"/>
      <c r="L1655" s="62"/>
      <c r="M1655" s="62"/>
      <c r="N1655" s="62"/>
      <c r="O1655" s="62"/>
      <c r="P1655" s="62"/>
      <c r="Q1655" s="62"/>
    </row>
    <row r="1656" spans="1:17">
      <c r="A1656" s="62"/>
      <c r="B1656" s="62"/>
      <c r="C1656" s="62"/>
      <c r="D1656" s="62"/>
      <c r="E1656" s="62"/>
      <c r="F1656" s="62"/>
      <c r="G1656" s="62"/>
      <c r="H1656" s="62" t="str">
        <f>IF(AND('Data Export'!A1656=前十整体车型排名!$B$2,'Data Export'!B1656=前十整体车型排名!$B$3,'Data Export'!D1656&lt;&gt;""),UPPER('Data Export'!C1656)&amp;"♦"&amp;'Data Export'!D1656,"")</f>
        <v/>
      </c>
      <c r="I1656" s="63" t="str">
        <f>IF(H1656="","",IFERROR(INDEX('Data Export'!G1656:CZ1656,1,MATCH(前十整体车型排名!$B$4,'Data Export'!$G$1:$CZ$1,0)),0))</f>
        <v/>
      </c>
      <c r="J1656" s="62" t="str">
        <f>IF(H1656="","",IF(OR('Data Export'!F1656="三厢轿车",'Data Export'!F1656="掀背轿车",'Data Export'!F1656="旅行车",'Data Export'!F1656="微型车",'Data Export'!F1656="硬顶跑车",'Data Export'!F1656="敞蓬车",'Data Export'!F1656="Targa"),"轿车",IF(OR('Data Export'!F1656="小型MPV",'Data Export'!F1656="客车"),"MPV",IF('Data Export'!F1656="运动型多功能车","SUV","其他"))))</f>
        <v/>
      </c>
      <c r="K1656" s="62"/>
      <c r="L1656" s="62"/>
      <c r="M1656" s="62"/>
      <c r="N1656" s="62"/>
      <c r="O1656" s="62"/>
      <c r="P1656" s="62"/>
      <c r="Q1656" s="62"/>
    </row>
    <row r="1657" spans="1:17">
      <c r="A1657" s="62"/>
      <c r="B1657" s="62"/>
      <c r="C1657" s="62"/>
      <c r="D1657" s="62"/>
      <c r="E1657" s="62"/>
      <c r="F1657" s="62"/>
      <c r="G1657" s="62"/>
      <c r="H1657" s="62" t="str">
        <f>IF(AND('Data Export'!A1657=前十整体车型排名!$B$2,'Data Export'!B1657=前十整体车型排名!$B$3,'Data Export'!D1657&lt;&gt;""),UPPER('Data Export'!C1657)&amp;"♦"&amp;'Data Export'!D1657,"")</f>
        <v/>
      </c>
      <c r="I1657" s="63" t="str">
        <f>IF(H1657="","",IFERROR(INDEX('Data Export'!G1657:CZ1657,1,MATCH(前十整体车型排名!$B$4,'Data Export'!$G$1:$CZ$1,0)),0))</f>
        <v/>
      </c>
      <c r="J1657" s="62" t="str">
        <f>IF(H1657="","",IF(OR('Data Export'!F1657="三厢轿车",'Data Export'!F1657="掀背轿车",'Data Export'!F1657="旅行车",'Data Export'!F1657="微型车",'Data Export'!F1657="硬顶跑车",'Data Export'!F1657="敞蓬车",'Data Export'!F1657="Targa"),"轿车",IF(OR('Data Export'!F1657="小型MPV",'Data Export'!F1657="客车"),"MPV",IF('Data Export'!F1657="运动型多功能车","SUV","其他"))))</f>
        <v/>
      </c>
      <c r="K1657" s="62"/>
      <c r="L1657" s="62"/>
      <c r="M1657" s="62"/>
      <c r="N1657" s="62"/>
      <c r="O1657" s="62"/>
      <c r="P1657" s="62"/>
      <c r="Q1657" s="62"/>
    </row>
    <row r="1658" spans="1:17">
      <c r="A1658" s="62"/>
      <c r="B1658" s="62"/>
      <c r="C1658" s="62"/>
      <c r="D1658" s="62"/>
      <c r="E1658" s="62"/>
      <c r="F1658" s="62"/>
      <c r="G1658" s="62"/>
      <c r="H1658" s="62" t="str">
        <f>IF(AND('Data Export'!A1658=前十整体车型排名!$B$2,'Data Export'!B1658=前十整体车型排名!$B$3,'Data Export'!D1658&lt;&gt;""),UPPER('Data Export'!C1658)&amp;"♦"&amp;'Data Export'!D1658,"")</f>
        <v/>
      </c>
      <c r="I1658" s="63" t="str">
        <f>IF(H1658="","",IFERROR(INDEX('Data Export'!G1658:CZ1658,1,MATCH(前十整体车型排名!$B$4,'Data Export'!$G$1:$CZ$1,0)),0))</f>
        <v/>
      </c>
      <c r="J1658" s="62" t="str">
        <f>IF(H1658="","",IF(OR('Data Export'!F1658="三厢轿车",'Data Export'!F1658="掀背轿车",'Data Export'!F1658="旅行车",'Data Export'!F1658="微型车",'Data Export'!F1658="硬顶跑车",'Data Export'!F1658="敞蓬车",'Data Export'!F1658="Targa"),"轿车",IF(OR('Data Export'!F1658="小型MPV",'Data Export'!F1658="客车"),"MPV",IF('Data Export'!F1658="运动型多功能车","SUV","其他"))))</f>
        <v/>
      </c>
      <c r="K1658" s="62"/>
      <c r="L1658" s="62"/>
      <c r="M1658" s="62"/>
      <c r="N1658" s="62"/>
      <c r="O1658" s="62"/>
      <c r="P1658" s="62"/>
      <c r="Q1658" s="62"/>
    </row>
    <row r="1659" spans="1:17">
      <c r="A1659" s="62"/>
      <c r="B1659" s="62"/>
      <c r="C1659" s="62"/>
      <c r="D1659" s="62"/>
      <c r="E1659" s="62"/>
      <c r="F1659" s="62"/>
      <c r="G1659" s="62"/>
      <c r="H1659" s="62" t="str">
        <f>IF(AND('Data Export'!A1659=前十整体车型排名!$B$2,'Data Export'!B1659=前十整体车型排名!$B$3,'Data Export'!D1659&lt;&gt;""),UPPER('Data Export'!C1659)&amp;"♦"&amp;'Data Export'!D1659,"")</f>
        <v/>
      </c>
      <c r="I1659" s="63" t="str">
        <f>IF(H1659="","",IFERROR(INDEX('Data Export'!G1659:CZ1659,1,MATCH(前十整体车型排名!$B$4,'Data Export'!$G$1:$CZ$1,0)),0))</f>
        <v/>
      </c>
      <c r="J1659" s="62" t="str">
        <f>IF(H1659="","",IF(OR('Data Export'!F1659="三厢轿车",'Data Export'!F1659="掀背轿车",'Data Export'!F1659="旅行车",'Data Export'!F1659="微型车",'Data Export'!F1659="硬顶跑车",'Data Export'!F1659="敞蓬车",'Data Export'!F1659="Targa"),"轿车",IF(OR('Data Export'!F1659="小型MPV",'Data Export'!F1659="客车"),"MPV",IF('Data Export'!F1659="运动型多功能车","SUV","其他"))))</f>
        <v/>
      </c>
      <c r="K1659" s="62"/>
      <c r="L1659" s="62"/>
      <c r="M1659" s="62"/>
      <c r="N1659" s="62"/>
      <c r="O1659" s="62"/>
      <c r="P1659" s="62"/>
      <c r="Q1659" s="62"/>
    </row>
    <row r="1660" spans="1:17">
      <c r="A1660" s="62"/>
      <c r="B1660" s="62"/>
      <c r="C1660" s="62"/>
      <c r="D1660" s="62"/>
      <c r="E1660" s="62"/>
      <c r="F1660" s="62"/>
      <c r="G1660" s="62"/>
      <c r="H1660" s="62" t="str">
        <f>IF(AND('Data Export'!A1660=前十整体车型排名!$B$2,'Data Export'!B1660=前十整体车型排名!$B$3,'Data Export'!D1660&lt;&gt;""),UPPER('Data Export'!C1660)&amp;"♦"&amp;'Data Export'!D1660,"")</f>
        <v/>
      </c>
      <c r="I1660" s="63" t="str">
        <f>IF(H1660="","",IFERROR(INDEX('Data Export'!G1660:CZ1660,1,MATCH(前十整体车型排名!$B$4,'Data Export'!$G$1:$CZ$1,0)),0))</f>
        <v/>
      </c>
      <c r="J1660" s="62" t="str">
        <f>IF(H1660="","",IF(OR('Data Export'!F1660="三厢轿车",'Data Export'!F1660="掀背轿车",'Data Export'!F1660="旅行车",'Data Export'!F1660="微型车",'Data Export'!F1660="硬顶跑车",'Data Export'!F1660="敞蓬车",'Data Export'!F1660="Targa"),"轿车",IF(OR('Data Export'!F1660="小型MPV",'Data Export'!F1660="客车"),"MPV",IF('Data Export'!F1660="运动型多功能车","SUV","其他"))))</f>
        <v/>
      </c>
      <c r="K1660" s="62"/>
      <c r="L1660" s="62"/>
      <c r="M1660" s="62"/>
      <c r="N1660" s="62"/>
      <c r="O1660" s="62"/>
      <c r="P1660" s="62"/>
      <c r="Q1660" s="62"/>
    </row>
    <row r="1661" spans="1:17">
      <c r="A1661" s="62"/>
      <c r="B1661" s="62"/>
      <c r="C1661" s="62"/>
      <c r="D1661" s="62"/>
      <c r="E1661" s="62"/>
      <c r="F1661" s="62"/>
      <c r="G1661" s="62"/>
      <c r="H1661" s="62" t="str">
        <f>IF(AND('Data Export'!A1661=前十整体车型排名!$B$2,'Data Export'!B1661=前十整体车型排名!$B$3,'Data Export'!D1661&lt;&gt;""),UPPER('Data Export'!C1661)&amp;"♦"&amp;'Data Export'!D1661,"")</f>
        <v/>
      </c>
      <c r="I1661" s="63" t="str">
        <f>IF(H1661="","",IFERROR(INDEX('Data Export'!G1661:CZ1661,1,MATCH(前十整体车型排名!$B$4,'Data Export'!$G$1:$CZ$1,0)),0))</f>
        <v/>
      </c>
      <c r="J1661" s="62" t="str">
        <f>IF(H1661="","",IF(OR('Data Export'!F1661="三厢轿车",'Data Export'!F1661="掀背轿车",'Data Export'!F1661="旅行车",'Data Export'!F1661="微型车",'Data Export'!F1661="硬顶跑车",'Data Export'!F1661="敞蓬车",'Data Export'!F1661="Targa"),"轿车",IF(OR('Data Export'!F1661="小型MPV",'Data Export'!F1661="客车"),"MPV",IF('Data Export'!F1661="运动型多功能车","SUV","其他"))))</f>
        <v/>
      </c>
      <c r="K1661" s="62"/>
      <c r="L1661" s="62"/>
      <c r="M1661" s="62"/>
      <c r="N1661" s="62"/>
      <c r="O1661" s="62"/>
      <c r="P1661" s="62"/>
      <c r="Q1661" s="62"/>
    </row>
    <row r="1662" spans="1:17">
      <c r="A1662" s="62"/>
      <c r="B1662" s="62"/>
      <c r="C1662" s="62"/>
      <c r="D1662" s="62"/>
      <c r="E1662" s="62"/>
      <c r="F1662" s="62"/>
      <c r="G1662" s="62"/>
      <c r="H1662" s="62" t="str">
        <f>IF(AND('Data Export'!A1662=前十整体车型排名!$B$2,'Data Export'!B1662=前十整体车型排名!$B$3,'Data Export'!D1662&lt;&gt;""),UPPER('Data Export'!C1662)&amp;"♦"&amp;'Data Export'!D1662,"")</f>
        <v/>
      </c>
      <c r="I1662" s="63" t="str">
        <f>IF(H1662="","",IFERROR(INDEX('Data Export'!G1662:CZ1662,1,MATCH(前十整体车型排名!$B$4,'Data Export'!$G$1:$CZ$1,0)),0))</f>
        <v/>
      </c>
      <c r="J1662" s="62" t="str">
        <f>IF(H1662="","",IF(OR('Data Export'!F1662="三厢轿车",'Data Export'!F1662="掀背轿车",'Data Export'!F1662="旅行车",'Data Export'!F1662="微型车",'Data Export'!F1662="硬顶跑车",'Data Export'!F1662="敞蓬车",'Data Export'!F1662="Targa"),"轿车",IF(OR('Data Export'!F1662="小型MPV",'Data Export'!F1662="客车"),"MPV",IF('Data Export'!F1662="运动型多功能车","SUV","其他"))))</f>
        <v/>
      </c>
      <c r="K1662" s="62"/>
      <c r="L1662" s="62"/>
      <c r="M1662" s="62"/>
      <c r="N1662" s="62"/>
      <c r="O1662" s="62"/>
      <c r="P1662" s="62"/>
      <c r="Q1662" s="62"/>
    </row>
    <row r="1663" spans="1:17">
      <c r="A1663" s="62"/>
      <c r="B1663" s="62"/>
      <c r="C1663" s="62"/>
      <c r="D1663" s="62"/>
      <c r="E1663" s="62"/>
      <c r="F1663" s="62"/>
      <c r="G1663" s="62"/>
      <c r="H1663" s="62" t="str">
        <f>IF(AND('Data Export'!A1663=前十整体车型排名!$B$2,'Data Export'!B1663=前十整体车型排名!$B$3,'Data Export'!D1663&lt;&gt;""),UPPER('Data Export'!C1663)&amp;"♦"&amp;'Data Export'!D1663,"")</f>
        <v/>
      </c>
      <c r="I1663" s="63" t="str">
        <f>IF(H1663="","",IFERROR(INDEX('Data Export'!G1663:CZ1663,1,MATCH(前十整体车型排名!$B$4,'Data Export'!$G$1:$CZ$1,0)),0))</f>
        <v/>
      </c>
      <c r="J1663" s="62" t="str">
        <f>IF(H1663="","",IF(OR('Data Export'!F1663="三厢轿车",'Data Export'!F1663="掀背轿车",'Data Export'!F1663="旅行车",'Data Export'!F1663="微型车",'Data Export'!F1663="硬顶跑车",'Data Export'!F1663="敞蓬车",'Data Export'!F1663="Targa"),"轿车",IF(OR('Data Export'!F1663="小型MPV",'Data Export'!F1663="客车"),"MPV",IF('Data Export'!F1663="运动型多功能车","SUV","其他"))))</f>
        <v/>
      </c>
      <c r="K1663" s="62"/>
      <c r="L1663" s="62"/>
      <c r="M1663" s="62"/>
      <c r="N1663" s="62"/>
      <c r="O1663" s="62"/>
      <c r="P1663" s="62"/>
      <c r="Q1663" s="62"/>
    </row>
    <row r="1664" spans="1:17">
      <c r="A1664" s="62"/>
      <c r="B1664" s="62"/>
      <c r="C1664" s="62"/>
      <c r="D1664" s="62"/>
      <c r="E1664" s="62"/>
      <c r="F1664" s="62"/>
      <c r="G1664" s="62"/>
      <c r="H1664" s="62" t="str">
        <f>IF(AND('Data Export'!A1664=前十整体车型排名!$B$2,'Data Export'!B1664=前十整体车型排名!$B$3,'Data Export'!D1664&lt;&gt;""),UPPER('Data Export'!C1664)&amp;"♦"&amp;'Data Export'!D1664,"")</f>
        <v/>
      </c>
      <c r="I1664" s="63" t="str">
        <f>IF(H1664="","",IFERROR(INDEX('Data Export'!G1664:CZ1664,1,MATCH(前十整体车型排名!$B$4,'Data Export'!$G$1:$CZ$1,0)),0))</f>
        <v/>
      </c>
      <c r="J1664" s="62" t="str">
        <f>IF(H1664="","",IF(OR('Data Export'!F1664="三厢轿车",'Data Export'!F1664="掀背轿车",'Data Export'!F1664="旅行车",'Data Export'!F1664="微型车",'Data Export'!F1664="硬顶跑车",'Data Export'!F1664="敞蓬车",'Data Export'!F1664="Targa"),"轿车",IF(OR('Data Export'!F1664="小型MPV",'Data Export'!F1664="客车"),"MPV",IF('Data Export'!F1664="运动型多功能车","SUV","其他"))))</f>
        <v/>
      </c>
      <c r="K1664" s="62"/>
      <c r="L1664" s="62"/>
      <c r="M1664" s="62"/>
      <c r="N1664" s="62"/>
      <c r="O1664" s="62"/>
      <c r="P1664" s="62"/>
      <c r="Q1664" s="62"/>
    </row>
    <row r="1665" spans="1:17">
      <c r="A1665" s="62"/>
      <c r="B1665" s="62"/>
      <c r="C1665" s="62"/>
      <c r="D1665" s="62"/>
      <c r="E1665" s="62"/>
      <c r="F1665" s="62"/>
      <c r="G1665" s="62"/>
      <c r="H1665" s="62" t="str">
        <f>IF(AND('Data Export'!A1665=前十整体车型排名!$B$2,'Data Export'!B1665=前十整体车型排名!$B$3,'Data Export'!D1665&lt;&gt;""),UPPER('Data Export'!C1665)&amp;"♦"&amp;'Data Export'!D1665,"")</f>
        <v/>
      </c>
      <c r="I1665" s="63" t="str">
        <f>IF(H1665="","",IFERROR(INDEX('Data Export'!G1665:CZ1665,1,MATCH(前十整体车型排名!$B$4,'Data Export'!$G$1:$CZ$1,0)),0))</f>
        <v/>
      </c>
      <c r="J1665" s="62" t="str">
        <f>IF(H1665="","",IF(OR('Data Export'!F1665="三厢轿车",'Data Export'!F1665="掀背轿车",'Data Export'!F1665="旅行车",'Data Export'!F1665="微型车",'Data Export'!F1665="硬顶跑车",'Data Export'!F1665="敞蓬车",'Data Export'!F1665="Targa"),"轿车",IF(OR('Data Export'!F1665="小型MPV",'Data Export'!F1665="客车"),"MPV",IF('Data Export'!F1665="运动型多功能车","SUV","其他"))))</f>
        <v/>
      </c>
      <c r="K1665" s="62"/>
      <c r="L1665" s="62"/>
      <c r="M1665" s="62"/>
      <c r="N1665" s="62"/>
      <c r="O1665" s="62"/>
      <c r="P1665" s="62"/>
      <c r="Q1665" s="62"/>
    </row>
    <row r="1666" spans="1:17">
      <c r="A1666" s="62"/>
      <c r="B1666" s="62"/>
      <c r="C1666" s="62"/>
      <c r="D1666" s="62"/>
      <c r="E1666" s="62"/>
      <c r="F1666" s="62"/>
      <c r="G1666" s="62"/>
      <c r="H1666" s="62" t="str">
        <f>IF(AND('Data Export'!A1666=前十整体车型排名!$B$2,'Data Export'!B1666=前十整体车型排名!$B$3,'Data Export'!D1666&lt;&gt;""),UPPER('Data Export'!C1666)&amp;"♦"&amp;'Data Export'!D1666,"")</f>
        <v/>
      </c>
      <c r="I1666" s="63" t="str">
        <f>IF(H1666="","",IFERROR(INDEX('Data Export'!G1666:CZ1666,1,MATCH(前十整体车型排名!$B$4,'Data Export'!$G$1:$CZ$1,0)),0))</f>
        <v/>
      </c>
      <c r="J1666" s="62" t="str">
        <f>IF(H1666="","",IF(OR('Data Export'!F1666="三厢轿车",'Data Export'!F1666="掀背轿车",'Data Export'!F1666="旅行车",'Data Export'!F1666="微型车",'Data Export'!F1666="硬顶跑车",'Data Export'!F1666="敞蓬车",'Data Export'!F1666="Targa"),"轿车",IF(OR('Data Export'!F1666="小型MPV",'Data Export'!F1666="客车"),"MPV",IF('Data Export'!F1666="运动型多功能车","SUV","其他"))))</f>
        <v/>
      </c>
      <c r="K1666" s="62"/>
      <c r="L1666" s="62"/>
      <c r="M1666" s="62"/>
      <c r="N1666" s="62"/>
      <c r="O1666" s="62"/>
      <c r="P1666" s="62"/>
      <c r="Q1666" s="62"/>
    </row>
    <row r="1667" spans="1:17">
      <c r="A1667" s="62"/>
      <c r="B1667" s="62"/>
      <c r="C1667" s="62"/>
      <c r="D1667" s="62"/>
      <c r="E1667" s="62"/>
      <c r="F1667" s="62"/>
      <c r="G1667" s="62"/>
      <c r="H1667" s="62" t="str">
        <f>IF(AND('Data Export'!A1667=前十整体车型排名!$B$2,'Data Export'!B1667=前十整体车型排名!$B$3,'Data Export'!D1667&lt;&gt;""),UPPER('Data Export'!C1667)&amp;"♦"&amp;'Data Export'!D1667,"")</f>
        <v/>
      </c>
      <c r="I1667" s="63" t="str">
        <f>IF(H1667="","",IFERROR(INDEX('Data Export'!G1667:CZ1667,1,MATCH(前十整体车型排名!$B$4,'Data Export'!$G$1:$CZ$1,0)),0))</f>
        <v/>
      </c>
      <c r="J1667" s="62" t="str">
        <f>IF(H1667="","",IF(OR('Data Export'!F1667="三厢轿车",'Data Export'!F1667="掀背轿车",'Data Export'!F1667="旅行车",'Data Export'!F1667="微型车",'Data Export'!F1667="硬顶跑车",'Data Export'!F1667="敞蓬车",'Data Export'!F1667="Targa"),"轿车",IF(OR('Data Export'!F1667="小型MPV",'Data Export'!F1667="客车"),"MPV",IF('Data Export'!F1667="运动型多功能车","SUV","其他"))))</f>
        <v/>
      </c>
      <c r="K1667" s="62"/>
      <c r="L1667" s="62"/>
      <c r="M1667" s="62"/>
      <c r="N1667" s="62"/>
      <c r="O1667" s="62"/>
      <c r="P1667" s="62"/>
      <c r="Q1667" s="62"/>
    </row>
    <row r="1668" spans="1:17">
      <c r="A1668" s="62"/>
      <c r="B1668" s="62"/>
      <c r="C1668" s="62"/>
      <c r="D1668" s="62"/>
      <c r="E1668" s="62"/>
      <c r="F1668" s="62"/>
      <c r="G1668" s="62"/>
      <c r="H1668" s="62" t="str">
        <f>IF(AND('Data Export'!A1668=前十整体车型排名!$B$2,'Data Export'!B1668=前十整体车型排名!$B$3,'Data Export'!D1668&lt;&gt;""),UPPER('Data Export'!C1668)&amp;"♦"&amp;'Data Export'!D1668,"")</f>
        <v/>
      </c>
      <c r="I1668" s="63" t="str">
        <f>IF(H1668="","",IFERROR(INDEX('Data Export'!G1668:CZ1668,1,MATCH(前十整体车型排名!$B$4,'Data Export'!$G$1:$CZ$1,0)),0))</f>
        <v/>
      </c>
      <c r="J1668" s="62" t="str">
        <f>IF(H1668="","",IF(OR('Data Export'!F1668="三厢轿车",'Data Export'!F1668="掀背轿车",'Data Export'!F1668="旅行车",'Data Export'!F1668="微型车",'Data Export'!F1668="硬顶跑车",'Data Export'!F1668="敞蓬车",'Data Export'!F1668="Targa"),"轿车",IF(OR('Data Export'!F1668="小型MPV",'Data Export'!F1668="客车"),"MPV",IF('Data Export'!F1668="运动型多功能车","SUV","其他"))))</f>
        <v/>
      </c>
      <c r="K1668" s="62"/>
      <c r="L1668" s="62"/>
      <c r="M1668" s="62"/>
      <c r="N1668" s="62"/>
      <c r="O1668" s="62"/>
      <c r="P1668" s="62"/>
      <c r="Q1668" s="62"/>
    </row>
    <row r="1669" spans="1:17">
      <c r="A1669" s="62"/>
      <c r="B1669" s="62"/>
      <c r="C1669" s="62"/>
      <c r="D1669" s="62"/>
      <c r="E1669" s="62"/>
      <c r="F1669" s="62"/>
      <c r="G1669" s="62"/>
      <c r="H1669" s="62" t="str">
        <f>IF(AND('Data Export'!A1669=前十整体车型排名!$B$2,'Data Export'!B1669=前十整体车型排名!$B$3,'Data Export'!D1669&lt;&gt;""),UPPER('Data Export'!C1669)&amp;"♦"&amp;'Data Export'!D1669,"")</f>
        <v/>
      </c>
      <c r="I1669" s="63" t="str">
        <f>IF(H1669="","",IFERROR(INDEX('Data Export'!G1669:CZ1669,1,MATCH(前十整体车型排名!$B$4,'Data Export'!$G$1:$CZ$1,0)),0))</f>
        <v/>
      </c>
      <c r="J1669" s="62" t="str">
        <f>IF(H1669="","",IF(OR('Data Export'!F1669="三厢轿车",'Data Export'!F1669="掀背轿车",'Data Export'!F1669="旅行车",'Data Export'!F1669="微型车",'Data Export'!F1669="硬顶跑车",'Data Export'!F1669="敞蓬车",'Data Export'!F1669="Targa"),"轿车",IF(OR('Data Export'!F1669="小型MPV",'Data Export'!F1669="客车"),"MPV",IF('Data Export'!F1669="运动型多功能车","SUV","其他"))))</f>
        <v/>
      </c>
      <c r="K1669" s="62"/>
      <c r="L1669" s="62"/>
      <c r="M1669" s="62"/>
      <c r="N1669" s="62"/>
      <c r="O1669" s="62"/>
      <c r="P1669" s="62"/>
      <c r="Q1669" s="62"/>
    </row>
    <row r="1670" spans="1:17">
      <c r="A1670" s="62"/>
      <c r="B1670" s="62"/>
      <c r="C1670" s="62"/>
      <c r="D1670" s="62"/>
      <c r="E1670" s="62"/>
      <c r="F1670" s="62"/>
      <c r="G1670" s="62"/>
      <c r="H1670" s="62" t="str">
        <f>IF(AND('Data Export'!A1670=前十整体车型排名!$B$2,'Data Export'!B1670=前十整体车型排名!$B$3,'Data Export'!D1670&lt;&gt;""),UPPER('Data Export'!C1670)&amp;"♦"&amp;'Data Export'!D1670,"")</f>
        <v/>
      </c>
      <c r="I1670" s="63" t="str">
        <f>IF(H1670="","",IFERROR(INDEX('Data Export'!G1670:CZ1670,1,MATCH(前十整体车型排名!$B$4,'Data Export'!$G$1:$CZ$1,0)),0))</f>
        <v/>
      </c>
      <c r="J1670" s="62" t="str">
        <f>IF(H1670="","",IF(OR('Data Export'!F1670="三厢轿车",'Data Export'!F1670="掀背轿车",'Data Export'!F1670="旅行车",'Data Export'!F1670="微型车",'Data Export'!F1670="硬顶跑车",'Data Export'!F1670="敞蓬车",'Data Export'!F1670="Targa"),"轿车",IF(OR('Data Export'!F1670="小型MPV",'Data Export'!F1670="客车"),"MPV",IF('Data Export'!F1670="运动型多功能车","SUV","其他"))))</f>
        <v/>
      </c>
      <c r="K1670" s="62"/>
      <c r="L1670" s="62"/>
      <c r="M1670" s="62"/>
      <c r="N1670" s="62"/>
      <c r="O1670" s="62"/>
      <c r="P1670" s="62"/>
      <c r="Q1670" s="62"/>
    </row>
    <row r="1671" spans="1:17">
      <c r="A1671" s="62"/>
      <c r="B1671" s="62"/>
      <c r="C1671" s="62"/>
      <c r="D1671" s="62"/>
      <c r="E1671" s="62"/>
      <c r="F1671" s="62"/>
      <c r="G1671" s="62"/>
      <c r="H1671" s="62" t="str">
        <f>IF(AND('Data Export'!A1671=前十整体车型排名!$B$2,'Data Export'!B1671=前十整体车型排名!$B$3,'Data Export'!D1671&lt;&gt;""),UPPER('Data Export'!C1671)&amp;"♦"&amp;'Data Export'!D1671,"")</f>
        <v/>
      </c>
      <c r="I1671" s="63" t="str">
        <f>IF(H1671="","",IFERROR(INDEX('Data Export'!G1671:CZ1671,1,MATCH(前十整体车型排名!$B$4,'Data Export'!$G$1:$CZ$1,0)),0))</f>
        <v/>
      </c>
      <c r="J1671" s="62" t="str">
        <f>IF(H1671="","",IF(OR('Data Export'!F1671="三厢轿车",'Data Export'!F1671="掀背轿车",'Data Export'!F1671="旅行车",'Data Export'!F1671="微型车",'Data Export'!F1671="硬顶跑车",'Data Export'!F1671="敞蓬车",'Data Export'!F1671="Targa"),"轿车",IF(OR('Data Export'!F1671="小型MPV",'Data Export'!F1671="客车"),"MPV",IF('Data Export'!F1671="运动型多功能车","SUV","其他"))))</f>
        <v/>
      </c>
      <c r="K1671" s="62"/>
      <c r="L1671" s="62"/>
      <c r="M1671" s="62"/>
      <c r="N1671" s="62"/>
      <c r="O1671" s="62"/>
      <c r="P1671" s="62"/>
      <c r="Q1671" s="62"/>
    </row>
    <row r="1672" spans="1:17">
      <c r="A1672" s="62"/>
      <c r="B1672" s="62"/>
      <c r="C1672" s="62"/>
      <c r="D1672" s="62"/>
      <c r="E1672" s="62"/>
      <c r="F1672" s="62"/>
      <c r="G1672" s="62"/>
      <c r="H1672" s="62" t="str">
        <f>IF(AND('Data Export'!A1672=前十整体车型排名!$B$2,'Data Export'!B1672=前十整体车型排名!$B$3,'Data Export'!D1672&lt;&gt;""),UPPER('Data Export'!C1672)&amp;"♦"&amp;'Data Export'!D1672,"")</f>
        <v/>
      </c>
      <c r="I1672" s="63" t="str">
        <f>IF(H1672="","",IFERROR(INDEX('Data Export'!G1672:CZ1672,1,MATCH(前十整体车型排名!$B$4,'Data Export'!$G$1:$CZ$1,0)),0))</f>
        <v/>
      </c>
      <c r="J1672" s="62" t="str">
        <f>IF(H1672="","",IF(OR('Data Export'!F1672="三厢轿车",'Data Export'!F1672="掀背轿车",'Data Export'!F1672="旅行车",'Data Export'!F1672="微型车",'Data Export'!F1672="硬顶跑车",'Data Export'!F1672="敞蓬车",'Data Export'!F1672="Targa"),"轿车",IF(OR('Data Export'!F1672="小型MPV",'Data Export'!F1672="客车"),"MPV",IF('Data Export'!F1672="运动型多功能车","SUV","其他"))))</f>
        <v/>
      </c>
      <c r="K1672" s="62"/>
      <c r="L1672" s="62"/>
      <c r="M1672" s="62"/>
      <c r="N1672" s="62"/>
      <c r="O1672" s="62"/>
      <c r="P1672" s="62"/>
      <c r="Q1672" s="62"/>
    </row>
    <row r="1673" spans="1:17">
      <c r="A1673" s="62"/>
      <c r="B1673" s="62"/>
      <c r="C1673" s="62"/>
      <c r="D1673" s="62"/>
      <c r="E1673" s="62"/>
      <c r="F1673" s="62"/>
      <c r="G1673" s="62"/>
      <c r="H1673" s="62" t="str">
        <f>IF(AND('Data Export'!A1673=前十整体车型排名!$B$2,'Data Export'!B1673=前十整体车型排名!$B$3,'Data Export'!D1673&lt;&gt;""),UPPER('Data Export'!C1673)&amp;"♦"&amp;'Data Export'!D1673,"")</f>
        <v/>
      </c>
      <c r="I1673" s="63" t="str">
        <f>IF(H1673="","",IFERROR(INDEX('Data Export'!G1673:CZ1673,1,MATCH(前十整体车型排名!$B$4,'Data Export'!$G$1:$CZ$1,0)),0))</f>
        <v/>
      </c>
      <c r="J1673" s="62" t="str">
        <f>IF(H1673="","",IF(OR('Data Export'!F1673="三厢轿车",'Data Export'!F1673="掀背轿车",'Data Export'!F1673="旅行车",'Data Export'!F1673="微型车",'Data Export'!F1673="硬顶跑车",'Data Export'!F1673="敞蓬车",'Data Export'!F1673="Targa"),"轿车",IF(OR('Data Export'!F1673="小型MPV",'Data Export'!F1673="客车"),"MPV",IF('Data Export'!F1673="运动型多功能车","SUV","其他"))))</f>
        <v/>
      </c>
      <c r="K1673" s="62"/>
      <c r="L1673" s="62"/>
      <c r="M1673" s="62"/>
      <c r="N1673" s="62"/>
      <c r="O1673" s="62"/>
      <c r="P1673" s="62"/>
      <c r="Q1673" s="62"/>
    </row>
    <row r="1674" spans="1:17">
      <c r="A1674" s="62"/>
      <c r="B1674" s="62"/>
      <c r="C1674" s="62"/>
      <c r="D1674" s="62"/>
      <c r="E1674" s="62"/>
      <c r="F1674" s="62"/>
      <c r="G1674" s="62"/>
      <c r="H1674" s="62" t="str">
        <f>IF(AND('Data Export'!A1674=前十整体车型排名!$B$2,'Data Export'!B1674=前十整体车型排名!$B$3,'Data Export'!D1674&lt;&gt;""),UPPER('Data Export'!C1674)&amp;"♦"&amp;'Data Export'!D1674,"")</f>
        <v/>
      </c>
      <c r="I1674" s="63" t="str">
        <f>IF(H1674="","",IFERROR(INDEX('Data Export'!G1674:CZ1674,1,MATCH(前十整体车型排名!$B$4,'Data Export'!$G$1:$CZ$1,0)),0))</f>
        <v/>
      </c>
      <c r="J1674" s="62" t="str">
        <f>IF(H1674="","",IF(OR('Data Export'!F1674="三厢轿车",'Data Export'!F1674="掀背轿车",'Data Export'!F1674="旅行车",'Data Export'!F1674="微型车",'Data Export'!F1674="硬顶跑车",'Data Export'!F1674="敞蓬车",'Data Export'!F1674="Targa"),"轿车",IF(OR('Data Export'!F1674="小型MPV",'Data Export'!F1674="客车"),"MPV",IF('Data Export'!F1674="运动型多功能车","SUV","其他"))))</f>
        <v/>
      </c>
      <c r="K1674" s="62"/>
      <c r="L1674" s="62"/>
      <c r="M1674" s="62"/>
      <c r="N1674" s="62"/>
      <c r="O1674" s="62"/>
      <c r="P1674" s="62"/>
      <c r="Q1674" s="62"/>
    </row>
    <row r="1675" spans="1:17">
      <c r="A1675" s="62"/>
      <c r="B1675" s="62"/>
      <c r="C1675" s="62"/>
      <c r="D1675" s="62"/>
      <c r="E1675" s="62"/>
      <c r="F1675" s="62"/>
      <c r="G1675" s="62"/>
      <c r="H1675" s="62" t="str">
        <f>IF(AND('Data Export'!A1675=前十整体车型排名!$B$2,'Data Export'!B1675=前十整体车型排名!$B$3,'Data Export'!D1675&lt;&gt;""),UPPER('Data Export'!C1675)&amp;"♦"&amp;'Data Export'!D1675,"")</f>
        <v/>
      </c>
      <c r="I1675" s="63" t="str">
        <f>IF(H1675="","",IFERROR(INDEX('Data Export'!G1675:CZ1675,1,MATCH(前十整体车型排名!$B$4,'Data Export'!$G$1:$CZ$1,0)),0))</f>
        <v/>
      </c>
      <c r="J1675" s="62" t="str">
        <f>IF(H1675="","",IF(OR('Data Export'!F1675="三厢轿车",'Data Export'!F1675="掀背轿车",'Data Export'!F1675="旅行车",'Data Export'!F1675="微型车",'Data Export'!F1675="硬顶跑车",'Data Export'!F1675="敞蓬车",'Data Export'!F1675="Targa"),"轿车",IF(OR('Data Export'!F1675="小型MPV",'Data Export'!F1675="客车"),"MPV",IF('Data Export'!F1675="运动型多功能车","SUV","其他"))))</f>
        <v/>
      </c>
      <c r="K1675" s="62"/>
      <c r="L1675" s="62"/>
      <c r="M1675" s="62"/>
      <c r="N1675" s="62"/>
      <c r="O1675" s="62"/>
      <c r="P1675" s="62"/>
      <c r="Q1675" s="62"/>
    </row>
    <row r="1676" spans="1:17">
      <c r="A1676" s="62"/>
      <c r="B1676" s="62"/>
      <c r="C1676" s="62"/>
      <c r="D1676" s="62"/>
      <c r="E1676" s="62"/>
      <c r="F1676" s="62"/>
      <c r="G1676" s="62"/>
      <c r="H1676" s="62" t="str">
        <f>IF(AND('Data Export'!A1676=前十整体车型排名!$B$2,'Data Export'!B1676=前十整体车型排名!$B$3,'Data Export'!D1676&lt;&gt;""),UPPER('Data Export'!C1676)&amp;"♦"&amp;'Data Export'!D1676,"")</f>
        <v/>
      </c>
      <c r="I1676" s="63" t="str">
        <f>IF(H1676="","",IFERROR(INDEX('Data Export'!G1676:CZ1676,1,MATCH(前十整体车型排名!$B$4,'Data Export'!$G$1:$CZ$1,0)),0))</f>
        <v/>
      </c>
      <c r="J1676" s="62" t="str">
        <f>IF(H1676="","",IF(OR('Data Export'!F1676="三厢轿车",'Data Export'!F1676="掀背轿车",'Data Export'!F1676="旅行车",'Data Export'!F1676="微型车",'Data Export'!F1676="硬顶跑车",'Data Export'!F1676="敞蓬车",'Data Export'!F1676="Targa"),"轿车",IF(OR('Data Export'!F1676="小型MPV",'Data Export'!F1676="客车"),"MPV",IF('Data Export'!F1676="运动型多功能车","SUV","其他"))))</f>
        <v/>
      </c>
      <c r="K1676" s="62"/>
      <c r="L1676" s="62"/>
      <c r="M1676" s="62"/>
      <c r="N1676" s="62"/>
      <c r="O1676" s="62"/>
      <c r="P1676" s="62"/>
      <c r="Q1676" s="62"/>
    </row>
    <row r="1677" spans="1:17">
      <c r="A1677" s="62"/>
      <c r="B1677" s="62"/>
      <c r="C1677" s="62"/>
      <c r="D1677" s="62"/>
      <c r="E1677" s="62"/>
      <c r="F1677" s="62"/>
      <c r="G1677" s="62"/>
      <c r="H1677" s="62" t="str">
        <f>IF(AND('Data Export'!A1677=前十整体车型排名!$B$2,'Data Export'!B1677=前十整体车型排名!$B$3,'Data Export'!D1677&lt;&gt;""),UPPER('Data Export'!C1677)&amp;"♦"&amp;'Data Export'!D1677,"")</f>
        <v/>
      </c>
      <c r="I1677" s="63" t="str">
        <f>IF(H1677="","",IFERROR(INDEX('Data Export'!G1677:CZ1677,1,MATCH(前十整体车型排名!$B$4,'Data Export'!$G$1:$CZ$1,0)),0))</f>
        <v/>
      </c>
      <c r="J1677" s="62" t="str">
        <f>IF(H1677="","",IF(OR('Data Export'!F1677="三厢轿车",'Data Export'!F1677="掀背轿车",'Data Export'!F1677="旅行车",'Data Export'!F1677="微型车",'Data Export'!F1677="硬顶跑车",'Data Export'!F1677="敞蓬车",'Data Export'!F1677="Targa"),"轿车",IF(OR('Data Export'!F1677="小型MPV",'Data Export'!F1677="客车"),"MPV",IF('Data Export'!F1677="运动型多功能车","SUV","其他"))))</f>
        <v/>
      </c>
      <c r="K1677" s="62"/>
      <c r="L1677" s="62"/>
      <c r="M1677" s="62"/>
      <c r="N1677" s="62"/>
      <c r="O1677" s="62"/>
      <c r="P1677" s="62"/>
      <c r="Q1677" s="62"/>
    </row>
    <row r="1678" spans="1:17">
      <c r="A1678" s="62"/>
      <c r="B1678" s="62"/>
      <c r="C1678" s="62"/>
      <c r="D1678" s="62"/>
      <c r="E1678" s="62"/>
      <c r="F1678" s="62"/>
      <c r="G1678" s="62"/>
      <c r="H1678" s="62" t="str">
        <f>IF(AND('Data Export'!A1678=前十整体车型排名!$B$2,'Data Export'!B1678=前十整体车型排名!$B$3,'Data Export'!D1678&lt;&gt;""),UPPER('Data Export'!C1678)&amp;"♦"&amp;'Data Export'!D1678,"")</f>
        <v/>
      </c>
      <c r="I1678" s="63" t="str">
        <f>IF(H1678="","",IFERROR(INDEX('Data Export'!G1678:CZ1678,1,MATCH(前十整体车型排名!$B$4,'Data Export'!$G$1:$CZ$1,0)),0))</f>
        <v/>
      </c>
      <c r="J1678" s="62" t="str">
        <f>IF(H1678="","",IF(OR('Data Export'!F1678="三厢轿车",'Data Export'!F1678="掀背轿车",'Data Export'!F1678="旅行车",'Data Export'!F1678="微型车",'Data Export'!F1678="硬顶跑车",'Data Export'!F1678="敞蓬车",'Data Export'!F1678="Targa"),"轿车",IF(OR('Data Export'!F1678="小型MPV",'Data Export'!F1678="客车"),"MPV",IF('Data Export'!F1678="运动型多功能车","SUV","其他"))))</f>
        <v/>
      </c>
      <c r="K1678" s="62"/>
      <c r="L1678" s="62"/>
      <c r="M1678" s="62"/>
      <c r="N1678" s="62"/>
      <c r="O1678" s="62"/>
      <c r="P1678" s="62"/>
      <c r="Q1678" s="62"/>
    </row>
    <row r="1679" spans="1:17">
      <c r="A1679" s="62"/>
      <c r="B1679" s="62"/>
      <c r="C1679" s="62"/>
      <c r="D1679" s="62"/>
      <c r="E1679" s="62"/>
      <c r="F1679" s="62"/>
      <c r="G1679" s="62"/>
      <c r="H1679" s="62" t="str">
        <f>IF(AND('Data Export'!A1679=前十整体车型排名!$B$2,'Data Export'!B1679=前十整体车型排名!$B$3,'Data Export'!D1679&lt;&gt;""),UPPER('Data Export'!C1679)&amp;"♦"&amp;'Data Export'!D1679,"")</f>
        <v/>
      </c>
      <c r="I1679" s="63" t="str">
        <f>IF(H1679="","",IFERROR(INDEX('Data Export'!G1679:CZ1679,1,MATCH(前十整体车型排名!$B$4,'Data Export'!$G$1:$CZ$1,0)),0))</f>
        <v/>
      </c>
      <c r="J1679" s="62" t="str">
        <f>IF(H1679="","",IF(OR('Data Export'!F1679="三厢轿车",'Data Export'!F1679="掀背轿车",'Data Export'!F1679="旅行车",'Data Export'!F1679="微型车",'Data Export'!F1679="硬顶跑车",'Data Export'!F1679="敞蓬车",'Data Export'!F1679="Targa"),"轿车",IF(OR('Data Export'!F1679="小型MPV",'Data Export'!F1679="客车"),"MPV",IF('Data Export'!F1679="运动型多功能车","SUV","其他"))))</f>
        <v/>
      </c>
      <c r="K1679" s="62"/>
      <c r="L1679" s="62"/>
      <c r="M1679" s="62"/>
      <c r="N1679" s="62"/>
      <c r="O1679" s="62"/>
      <c r="P1679" s="62"/>
      <c r="Q1679" s="62"/>
    </row>
    <row r="1680" spans="1:17">
      <c r="A1680" s="62"/>
      <c r="B1680" s="62"/>
      <c r="C1680" s="62"/>
      <c r="D1680" s="62"/>
      <c r="E1680" s="62"/>
      <c r="F1680" s="62"/>
      <c r="G1680" s="62"/>
      <c r="H1680" s="62" t="str">
        <f>IF(AND('Data Export'!A1680=前十整体车型排名!$B$2,'Data Export'!B1680=前十整体车型排名!$B$3,'Data Export'!D1680&lt;&gt;""),UPPER('Data Export'!C1680)&amp;"♦"&amp;'Data Export'!D1680,"")</f>
        <v/>
      </c>
      <c r="I1680" s="63" t="str">
        <f>IF(H1680="","",IFERROR(INDEX('Data Export'!G1680:CZ1680,1,MATCH(前十整体车型排名!$B$4,'Data Export'!$G$1:$CZ$1,0)),0))</f>
        <v/>
      </c>
      <c r="J1680" s="62" t="str">
        <f>IF(H1680="","",IF(OR('Data Export'!F1680="三厢轿车",'Data Export'!F1680="掀背轿车",'Data Export'!F1680="旅行车",'Data Export'!F1680="微型车",'Data Export'!F1680="硬顶跑车",'Data Export'!F1680="敞蓬车",'Data Export'!F1680="Targa"),"轿车",IF(OR('Data Export'!F1680="小型MPV",'Data Export'!F1680="客车"),"MPV",IF('Data Export'!F1680="运动型多功能车","SUV","其他"))))</f>
        <v/>
      </c>
      <c r="K1680" s="62"/>
      <c r="L1680" s="62"/>
      <c r="M1680" s="62"/>
      <c r="N1680" s="62"/>
      <c r="O1680" s="62"/>
      <c r="P1680" s="62"/>
      <c r="Q1680" s="62"/>
    </row>
    <row r="1681" spans="1:17">
      <c r="A1681" s="62"/>
      <c r="B1681" s="62"/>
      <c r="C1681" s="62"/>
      <c r="D1681" s="62"/>
      <c r="E1681" s="62"/>
      <c r="F1681" s="62"/>
      <c r="G1681" s="62"/>
      <c r="H1681" s="62" t="str">
        <f>IF(AND('Data Export'!A1681=前十整体车型排名!$B$2,'Data Export'!B1681=前十整体车型排名!$B$3,'Data Export'!D1681&lt;&gt;""),UPPER('Data Export'!C1681)&amp;"♦"&amp;'Data Export'!D1681,"")</f>
        <v/>
      </c>
      <c r="I1681" s="63" t="str">
        <f>IF(H1681="","",IFERROR(INDEX('Data Export'!G1681:CZ1681,1,MATCH(前十整体车型排名!$B$4,'Data Export'!$G$1:$CZ$1,0)),0))</f>
        <v/>
      </c>
      <c r="J1681" s="62" t="str">
        <f>IF(H1681="","",IF(OR('Data Export'!F1681="三厢轿车",'Data Export'!F1681="掀背轿车",'Data Export'!F1681="旅行车",'Data Export'!F1681="微型车",'Data Export'!F1681="硬顶跑车",'Data Export'!F1681="敞蓬车",'Data Export'!F1681="Targa"),"轿车",IF(OR('Data Export'!F1681="小型MPV",'Data Export'!F1681="客车"),"MPV",IF('Data Export'!F1681="运动型多功能车","SUV","其他"))))</f>
        <v/>
      </c>
      <c r="K1681" s="62"/>
      <c r="L1681" s="62"/>
      <c r="M1681" s="62"/>
      <c r="N1681" s="62"/>
      <c r="O1681" s="62"/>
      <c r="P1681" s="62"/>
      <c r="Q1681" s="62"/>
    </row>
    <row r="1682" spans="1:17">
      <c r="A1682" s="62"/>
      <c r="B1682" s="62"/>
      <c r="C1682" s="62"/>
      <c r="D1682" s="62"/>
      <c r="E1682" s="62"/>
      <c r="F1682" s="62"/>
      <c r="G1682" s="62"/>
      <c r="H1682" s="62" t="str">
        <f>IF(AND('Data Export'!A1682=前十整体车型排名!$B$2,'Data Export'!B1682=前十整体车型排名!$B$3,'Data Export'!D1682&lt;&gt;""),UPPER('Data Export'!C1682)&amp;"♦"&amp;'Data Export'!D1682,"")</f>
        <v/>
      </c>
      <c r="I1682" s="63" t="str">
        <f>IF(H1682="","",IFERROR(INDEX('Data Export'!G1682:CZ1682,1,MATCH(前十整体车型排名!$B$4,'Data Export'!$G$1:$CZ$1,0)),0))</f>
        <v/>
      </c>
      <c r="J1682" s="62" t="str">
        <f>IF(H1682="","",IF(OR('Data Export'!F1682="三厢轿车",'Data Export'!F1682="掀背轿车",'Data Export'!F1682="旅行车",'Data Export'!F1682="微型车",'Data Export'!F1682="硬顶跑车",'Data Export'!F1682="敞蓬车",'Data Export'!F1682="Targa"),"轿车",IF(OR('Data Export'!F1682="小型MPV",'Data Export'!F1682="客车"),"MPV",IF('Data Export'!F1682="运动型多功能车","SUV","其他"))))</f>
        <v/>
      </c>
      <c r="K1682" s="62"/>
      <c r="L1682" s="62"/>
      <c r="M1682" s="62"/>
      <c r="N1682" s="62"/>
      <c r="O1682" s="62"/>
      <c r="P1682" s="62"/>
      <c r="Q1682" s="62"/>
    </row>
    <row r="1683" spans="1:17">
      <c r="A1683" s="62"/>
      <c r="B1683" s="62"/>
      <c r="C1683" s="62"/>
      <c r="D1683" s="62"/>
      <c r="E1683" s="62"/>
      <c r="F1683" s="62"/>
      <c r="G1683" s="62"/>
      <c r="H1683" s="62" t="str">
        <f>IF(AND('Data Export'!A1683=前十整体车型排名!$B$2,'Data Export'!B1683=前十整体车型排名!$B$3,'Data Export'!D1683&lt;&gt;""),UPPER('Data Export'!C1683)&amp;"♦"&amp;'Data Export'!D1683,"")</f>
        <v/>
      </c>
      <c r="I1683" s="63" t="str">
        <f>IF(H1683="","",IFERROR(INDEX('Data Export'!G1683:CZ1683,1,MATCH(前十整体车型排名!$B$4,'Data Export'!$G$1:$CZ$1,0)),0))</f>
        <v/>
      </c>
      <c r="J1683" s="62" t="str">
        <f>IF(H1683="","",IF(OR('Data Export'!F1683="三厢轿车",'Data Export'!F1683="掀背轿车",'Data Export'!F1683="旅行车",'Data Export'!F1683="微型车",'Data Export'!F1683="硬顶跑车",'Data Export'!F1683="敞蓬车",'Data Export'!F1683="Targa"),"轿车",IF(OR('Data Export'!F1683="小型MPV",'Data Export'!F1683="客车"),"MPV",IF('Data Export'!F1683="运动型多功能车","SUV","其他"))))</f>
        <v/>
      </c>
      <c r="K1683" s="62"/>
      <c r="L1683" s="62"/>
      <c r="M1683" s="62"/>
      <c r="N1683" s="62"/>
      <c r="O1683" s="62"/>
      <c r="P1683" s="62"/>
      <c r="Q1683" s="62"/>
    </row>
    <row r="1684" spans="1:17">
      <c r="A1684" s="62"/>
      <c r="B1684" s="62"/>
      <c r="C1684" s="62"/>
      <c r="D1684" s="62"/>
      <c r="E1684" s="62"/>
      <c r="F1684" s="62"/>
      <c r="G1684" s="62"/>
      <c r="H1684" s="62" t="str">
        <f>IF(AND('Data Export'!A1684=前十整体车型排名!$B$2,'Data Export'!B1684=前十整体车型排名!$B$3,'Data Export'!D1684&lt;&gt;""),UPPER('Data Export'!C1684)&amp;"♦"&amp;'Data Export'!D1684,"")</f>
        <v/>
      </c>
      <c r="I1684" s="63" t="str">
        <f>IF(H1684="","",IFERROR(INDEX('Data Export'!G1684:CZ1684,1,MATCH(前十整体车型排名!$B$4,'Data Export'!$G$1:$CZ$1,0)),0))</f>
        <v/>
      </c>
      <c r="J1684" s="62" t="str">
        <f>IF(H1684="","",IF(OR('Data Export'!F1684="三厢轿车",'Data Export'!F1684="掀背轿车",'Data Export'!F1684="旅行车",'Data Export'!F1684="微型车",'Data Export'!F1684="硬顶跑车",'Data Export'!F1684="敞蓬车",'Data Export'!F1684="Targa"),"轿车",IF(OR('Data Export'!F1684="小型MPV",'Data Export'!F1684="客车"),"MPV",IF('Data Export'!F1684="运动型多功能车","SUV","其他"))))</f>
        <v/>
      </c>
      <c r="K1684" s="62"/>
      <c r="L1684" s="62"/>
      <c r="M1684" s="62"/>
      <c r="N1684" s="62"/>
      <c r="O1684" s="62"/>
      <c r="P1684" s="62"/>
      <c r="Q1684" s="62"/>
    </row>
    <row r="1685" spans="1:17">
      <c r="A1685" s="62"/>
      <c r="B1685" s="62"/>
      <c r="C1685" s="62"/>
      <c r="D1685" s="62"/>
      <c r="E1685" s="62"/>
      <c r="F1685" s="62"/>
      <c r="G1685" s="62"/>
      <c r="H1685" s="62" t="str">
        <f>IF(AND('Data Export'!A1685=前十整体车型排名!$B$2,'Data Export'!B1685=前十整体车型排名!$B$3,'Data Export'!D1685&lt;&gt;""),UPPER('Data Export'!C1685)&amp;"♦"&amp;'Data Export'!D1685,"")</f>
        <v/>
      </c>
      <c r="I1685" s="63" t="str">
        <f>IF(H1685="","",IFERROR(INDEX('Data Export'!G1685:CZ1685,1,MATCH(前十整体车型排名!$B$4,'Data Export'!$G$1:$CZ$1,0)),0))</f>
        <v/>
      </c>
      <c r="J1685" s="62" t="str">
        <f>IF(H1685="","",IF(OR('Data Export'!F1685="三厢轿车",'Data Export'!F1685="掀背轿车",'Data Export'!F1685="旅行车",'Data Export'!F1685="微型车",'Data Export'!F1685="硬顶跑车",'Data Export'!F1685="敞蓬车",'Data Export'!F1685="Targa"),"轿车",IF(OR('Data Export'!F1685="小型MPV",'Data Export'!F1685="客车"),"MPV",IF('Data Export'!F1685="运动型多功能车","SUV","其他"))))</f>
        <v/>
      </c>
      <c r="K1685" s="62"/>
      <c r="L1685" s="62"/>
      <c r="M1685" s="62"/>
      <c r="N1685" s="62"/>
      <c r="O1685" s="62"/>
      <c r="P1685" s="62"/>
      <c r="Q1685" s="62"/>
    </row>
    <row r="1686" spans="1:17">
      <c r="A1686" s="62"/>
      <c r="B1686" s="62"/>
      <c r="C1686" s="62"/>
      <c r="D1686" s="62"/>
      <c r="E1686" s="62"/>
      <c r="F1686" s="62"/>
      <c r="G1686" s="62"/>
      <c r="H1686" s="62" t="str">
        <f>IF(AND('Data Export'!A1686=前十整体车型排名!$B$2,'Data Export'!B1686=前十整体车型排名!$B$3,'Data Export'!D1686&lt;&gt;""),UPPER('Data Export'!C1686)&amp;"♦"&amp;'Data Export'!D1686,"")</f>
        <v/>
      </c>
      <c r="I1686" s="63" t="str">
        <f>IF(H1686="","",IFERROR(INDEX('Data Export'!G1686:CZ1686,1,MATCH(前十整体车型排名!$B$4,'Data Export'!$G$1:$CZ$1,0)),0))</f>
        <v/>
      </c>
      <c r="J1686" s="62" t="str">
        <f>IF(H1686="","",IF(OR('Data Export'!F1686="三厢轿车",'Data Export'!F1686="掀背轿车",'Data Export'!F1686="旅行车",'Data Export'!F1686="微型车",'Data Export'!F1686="硬顶跑车",'Data Export'!F1686="敞蓬车",'Data Export'!F1686="Targa"),"轿车",IF(OR('Data Export'!F1686="小型MPV",'Data Export'!F1686="客车"),"MPV",IF('Data Export'!F1686="运动型多功能车","SUV","其他"))))</f>
        <v/>
      </c>
      <c r="K1686" s="62"/>
      <c r="L1686" s="62"/>
      <c r="M1686" s="62"/>
      <c r="N1686" s="62"/>
      <c r="O1686" s="62"/>
      <c r="P1686" s="62"/>
      <c r="Q1686" s="62"/>
    </row>
    <row r="1687" spans="1:17">
      <c r="A1687" s="62"/>
      <c r="B1687" s="62"/>
      <c r="C1687" s="62"/>
      <c r="D1687" s="62"/>
      <c r="E1687" s="62"/>
      <c r="F1687" s="62"/>
      <c r="G1687" s="62"/>
      <c r="H1687" s="62" t="str">
        <f>IF(AND('Data Export'!A1687=前十整体车型排名!$B$2,'Data Export'!B1687=前十整体车型排名!$B$3,'Data Export'!D1687&lt;&gt;""),UPPER('Data Export'!C1687)&amp;"♦"&amp;'Data Export'!D1687,"")</f>
        <v/>
      </c>
      <c r="I1687" s="63" t="str">
        <f>IF(H1687="","",IFERROR(INDEX('Data Export'!G1687:CZ1687,1,MATCH(前十整体车型排名!$B$4,'Data Export'!$G$1:$CZ$1,0)),0))</f>
        <v/>
      </c>
      <c r="J1687" s="62" t="str">
        <f>IF(H1687="","",IF(OR('Data Export'!F1687="三厢轿车",'Data Export'!F1687="掀背轿车",'Data Export'!F1687="旅行车",'Data Export'!F1687="微型车",'Data Export'!F1687="硬顶跑车",'Data Export'!F1687="敞蓬车",'Data Export'!F1687="Targa"),"轿车",IF(OR('Data Export'!F1687="小型MPV",'Data Export'!F1687="客车"),"MPV",IF('Data Export'!F1687="运动型多功能车","SUV","其他"))))</f>
        <v/>
      </c>
      <c r="K1687" s="62"/>
      <c r="L1687" s="62"/>
      <c r="M1687" s="62"/>
      <c r="N1687" s="62"/>
      <c r="O1687" s="62"/>
      <c r="P1687" s="62"/>
      <c r="Q1687" s="62"/>
    </row>
    <row r="1688" spans="1:17">
      <c r="A1688" s="62"/>
      <c r="B1688" s="62"/>
      <c r="C1688" s="62"/>
      <c r="D1688" s="62"/>
      <c r="E1688" s="62"/>
      <c r="F1688" s="62"/>
      <c r="G1688" s="62"/>
      <c r="H1688" s="62" t="str">
        <f>IF(AND('Data Export'!A1688=前十整体车型排名!$B$2,'Data Export'!B1688=前十整体车型排名!$B$3,'Data Export'!D1688&lt;&gt;""),UPPER('Data Export'!C1688)&amp;"♦"&amp;'Data Export'!D1688,"")</f>
        <v/>
      </c>
      <c r="I1688" s="63" t="str">
        <f>IF(H1688="","",IFERROR(INDEX('Data Export'!G1688:CZ1688,1,MATCH(前十整体车型排名!$B$4,'Data Export'!$G$1:$CZ$1,0)),0))</f>
        <v/>
      </c>
      <c r="J1688" s="62" t="str">
        <f>IF(H1688="","",IF(OR('Data Export'!F1688="三厢轿车",'Data Export'!F1688="掀背轿车",'Data Export'!F1688="旅行车",'Data Export'!F1688="微型车",'Data Export'!F1688="硬顶跑车",'Data Export'!F1688="敞蓬车",'Data Export'!F1688="Targa"),"轿车",IF(OR('Data Export'!F1688="小型MPV",'Data Export'!F1688="客车"),"MPV",IF('Data Export'!F1688="运动型多功能车","SUV","其他"))))</f>
        <v/>
      </c>
      <c r="K1688" s="62"/>
      <c r="L1688" s="62"/>
      <c r="M1688" s="62"/>
      <c r="N1688" s="62"/>
      <c r="O1688" s="62"/>
      <c r="P1688" s="62"/>
      <c r="Q1688" s="62"/>
    </row>
    <row r="1689" spans="1:17">
      <c r="A1689" s="62"/>
      <c r="B1689" s="62"/>
      <c r="C1689" s="62"/>
      <c r="D1689" s="62"/>
      <c r="E1689" s="62"/>
      <c r="F1689" s="62"/>
      <c r="G1689" s="62"/>
      <c r="H1689" s="62" t="str">
        <f>IF(AND('Data Export'!A1689=前十整体车型排名!$B$2,'Data Export'!B1689=前十整体车型排名!$B$3,'Data Export'!D1689&lt;&gt;""),UPPER('Data Export'!C1689)&amp;"♦"&amp;'Data Export'!D1689,"")</f>
        <v/>
      </c>
      <c r="I1689" s="63" t="str">
        <f>IF(H1689="","",IFERROR(INDEX('Data Export'!G1689:CZ1689,1,MATCH(前十整体车型排名!$B$4,'Data Export'!$G$1:$CZ$1,0)),0))</f>
        <v/>
      </c>
      <c r="J1689" s="62" t="str">
        <f>IF(H1689="","",IF(OR('Data Export'!F1689="三厢轿车",'Data Export'!F1689="掀背轿车",'Data Export'!F1689="旅行车",'Data Export'!F1689="微型车",'Data Export'!F1689="硬顶跑车",'Data Export'!F1689="敞蓬车",'Data Export'!F1689="Targa"),"轿车",IF(OR('Data Export'!F1689="小型MPV",'Data Export'!F1689="客车"),"MPV",IF('Data Export'!F1689="运动型多功能车","SUV","其他"))))</f>
        <v/>
      </c>
      <c r="K1689" s="62"/>
      <c r="L1689" s="62"/>
      <c r="M1689" s="62"/>
      <c r="N1689" s="62"/>
      <c r="O1689" s="62"/>
      <c r="P1689" s="62"/>
      <c r="Q1689" s="62"/>
    </row>
    <row r="1690" spans="1:17">
      <c r="A1690" s="62"/>
      <c r="B1690" s="62"/>
      <c r="C1690" s="62"/>
      <c r="D1690" s="62"/>
      <c r="E1690" s="62"/>
      <c r="F1690" s="62"/>
      <c r="G1690" s="62"/>
      <c r="H1690" s="62" t="str">
        <f>IF(AND('Data Export'!A1690=前十整体车型排名!$B$2,'Data Export'!B1690=前十整体车型排名!$B$3,'Data Export'!D1690&lt;&gt;""),UPPER('Data Export'!C1690)&amp;"♦"&amp;'Data Export'!D1690,"")</f>
        <v/>
      </c>
      <c r="I1690" s="63" t="str">
        <f>IF(H1690="","",IFERROR(INDEX('Data Export'!G1690:CZ1690,1,MATCH(前十整体车型排名!$B$4,'Data Export'!$G$1:$CZ$1,0)),0))</f>
        <v/>
      </c>
      <c r="J1690" s="62" t="str">
        <f>IF(H1690="","",IF(OR('Data Export'!F1690="三厢轿车",'Data Export'!F1690="掀背轿车",'Data Export'!F1690="旅行车",'Data Export'!F1690="微型车",'Data Export'!F1690="硬顶跑车",'Data Export'!F1690="敞蓬车",'Data Export'!F1690="Targa"),"轿车",IF(OR('Data Export'!F1690="小型MPV",'Data Export'!F1690="客车"),"MPV",IF('Data Export'!F1690="运动型多功能车","SUV","其他"))))</f>
        <v/>
      </c>
      <c r="K1690" s="62"/>
      <c r="L1690" s="62"/>
      <c r="M1690" s="62"/>
      <c r="N1690" s="62"/>
      <c r="O1690" s="62"/>
      <c r="P1690" s="62"/>
      <c r="Q1690" s="62"/>
    </row>
    <row r="1691" spans="1:17">
      <c r="A1691" s="62"/>
      <c r="B1691" s="62"/>
      <c r="C1691" s="62"/>
      <c r="D1691" s="62"/>
      <c r="E1691" s="62"/>
      <c r="F1691" s="62"/>
      <c r="G1691" s="62"/>
      <c r="H1691" s="62" t="str">
        <f>IF(AND('Data Export'!A1691=前十整体车型排名!$B$2,'Data Export'!B1691=前十整体车型排名!$B$3,'Data Export'!D1691&lt;&gt;""),UPPER('Data Export'!C1691)&amp;"♦"&amp;'Data Export'!D1691,"")</f>
        <v/>
      </c>
      <c r="I1691" s="63" t="str">
        <f>IF(H1691="","",IFERROR(INDEX('Data Export'!G1691:CZ1691,1,MATCH(前十整体车型排名!$B$4,'Data Export'!$G$1:$CZ$1,0)),0))</f>
        <v/>
      </c>
      <c r="J1691" s="62" t="str">
        <f>IF(H1691="","",IF(OR('Data Export'!F1691="三厢轿车",'Data Export'!F1691="掀背轿车",'Data Export'!F1691="旅行车",'Data Export'!F1691="微型车",'Data Export'!F1691="硬顶跑车",'Data Export'!F1691="敞蓬车",'Data Export'!F1691="Targa"),"轿车",IF(OR('Data Export'!F1691="小型MPV",'Data Export'!F1691="客车"),"MPV",IF('Data Export'!F1691="运动型多功能车","SUV","其他"))))</f>
        <v/>
      </c>
      <c r="K1691" s="62"/>
      <c r="L1691" s="62"/>
      <c r="M1691" s="62"/>
      <c r="N1691" s="62"/>
      <c r="O1691" s="62"/>
      <c r="P1691" s="62"/>
      <c r="Q1691" s="62"/>
    </row>
    <row r="1692" spans="1:17">
      <c r="A1692" s="62"/>
      <c r="B1692" s="62"/>
      <c r="C1692" s="62"/>
      <c r="D1692" s="62"/>
      <c r="E1692" s="62"/>
      <c r="F1692" s="62"/>
      <c r="G1692" s="62"/>
      <c r="H1692" s="62" t="str">
        <f>IF(AND('Data Export'!A1692=前十整体车型排名!$B$2,'Data Export'!B1692=前十整体车型排名!$B$3,'Data Export'!D1692&lt;&gt;""),UPPER('Data Export'!C1692)&amp;"♦"&amp;'Data Export'!D1692,"")</f>
        <v/>
      </c>
      <c r="I1692" s="63" t="str">
        <f>IF(H1692="","",IFERROR(INDEX('Data Export'!G1692:CZ1692,1,MATCH(前十整体车型排名!$B$4,'Data Export'!$G$1:$CZ$1,0)),0))</f>
        <v/>
      </c>
      <c r="J1692" s="62" t="str">
        <f>IF(H1692="","",IF(OR('Data Export'!F1692="三厢轿车",'Data Export'!F1692="掀背轿车",'Data Export'!F1692="旅行车",'Data Export'!F1692="微型车",'Data Export'!F1692="硬顶跑车",'Data Export'!F1692="敞蓬车",'Data Export'!F1692="Targa"),"轿车",IF(OR('Data Export'!F1692="小型MPV",'Data Export'!F1692="客车"),"MPV",IF('Data Export'!F1692="运动型多功能车","SUV","其他"))))</f>
        <v/>
      </c>
      <c r="K1692" s="62"/>
      <c r="L1692" s="62"/>
      <c r="M1692" s="62"/>
      <c r="N1692" s="62"/>
      <c r="O1692" s="62"/>
      <c r="P1692" s="62"/>
      <c r="Q1692" s="62"/>
    </row>
    <row r="1693" spans="1:17">
      <c r="A1693" s="62"/>
      <c r="B1693" s="62"/>
      <c r="C1693" s="62"/>
      <c r="D1693" s="62"/>
      <c r="E1693" s="62"/>
      <c r="F1693" s="62"/>
      <c r="G1693" s="62"/>
      <c r="H1693" s="62" t="str">
        <f>IF(AND('Data Export'!A1693=前十整体车型排名!$B$2,'Data Export'!B1693=前十整体车型排名!$B$3,'Data Export'!D1693&lt;&gt;""),UPPER('Data Export'!C1693)&amp;"♦"&amp;'Data Export'!D1693,"")</f>
        <v/>
      </c>
      <c r="I1693" s="63" t="str">
        <f>IF(H1693="","",IFERROR(INDEX('Data Export'!G1693:CZ1693,1,MATCH(前十整体车型排名!$B$4,'Data Export'!$G$1:$CZ$1,0)),0))</f>
        <v/>
      </c>
      <c r="J1693" s="62" t="str">
        <f>IF(H1693="","",IF(OR('Data Export'!F1693="三厢轿车",'Data Export'!F1693="掀背轿车",'Data Export'!F1693="旅行车",'Data Export'!F1693="微型车",'Data Export'!F1693="硬顶跑车",'Data Export'!F1693="敞蓬车",'Data Export'!F1693="Targa"),"轿车",IF(OR('Data Export'!F1693="小型MPV",'Data Export'!F1693="客车"),"MPV",IF('Data Export'!F1693="运动型多功能车","SUV","其他"))))</f>
        <v/>
      </c>
      <c r="K1693" s="62"/>
      <c r="L1693" s="62"/>
      <c r="M1693" s="62"/>
      <c r="N1693" s="62"/>
      <c r="O1693" s="62"/>
      <c r="P1693" s="62"/>
      <c r="Q1693" s="62"/>
    </row>
    <row r="1694" spans="1:17">
      <c r="A1694" s="62"/>
      <c r="B1694" s="62"/>
      <c r="C1694" s="62"/>
      <c r="D1694" s="62"/>
      <c r="E1694" s="62"/>
      <c r="F1694" s="62"/>
      <c r="G1694" s="62"/>
      <c r="H1694" s="62" t="str">
        <f>IF(AND('Data Export'!A1694=前十整体车型排名!$B$2,'Data Export'!B1694=前十整体车型排名!$B$3,'Data Export'!D1694&lt;&gt;""),UPPER('Data Export'!C1694)&amp;"♦"&amp;'Data Export'!D1694,"")</f>
        <v/>
      </c>
      <c r="I1694" s="63" t="str">
        <f>IF(H1694="","",IFERROR(INDEX('Data Export'!G1694:CZ1694,1,MATCH(前十整体车型排名!$B$4,'Data Export'!$G$1:$CZ$1,0)),0))</f>
        <v/>
      </c>
      <c r="J1694" s="62" t="str">
        <f>IF(H1694="","",IF(OR('Data Export'!F1694="三厢轿车",'Data Export'!F1694="掀背轿车",'Data Export'!F1694="旅行车",'Data Export'!F1694="微型车",'Data Export'!F1694="硬顶跑车",'Data Export'!F1694="敞蓬车",'Data Export'!F1694="Targa"),"轿车",IF(OR('Data Export'!F1694="小型MPV",'Data Export'!F1694="客车"),"MPV",IF('Data Export'!F1694="运动型多功能车","SUV","其他"))))</f>
        <v/>
      </c>
      <c r="K1694" s="62"/>
      <c r="L1694" s="62"/>
      <c r="M1694" s="62"/>
      <c r="N1694" s="62"/>
      <c r="O1694" s="62"/>
      <c r="P1694" s="62"/>
      <c r="Q1694" s="62"/>
    </row>
    <row r="1695" spans="1:17">
      <c r="A1695" s="62"/>
      <c r="B1695" s="62"/>
      <c r="C1695" s="62"/>
      <c r="D1695" s="62"/>
      <c r="E1695" s="62"/>
      <c r="F1695" s="62"/>
      <c r="G1695" s="62"/>
      <c r="H1695" s="62" t="str">
        <f>IF(AND('Data Export'!A1695=前十整体车型排名!$B$2,'Data Export'!B1695=前十整体车型排名!$B$3,'Data Export'!D1695&lt;&gt;""),UPPER('Data Export'!C1695)&amp;"♦"&amp;'Data Export'!D1695,"")</f>
        <v/>
      </c>
      <c r="I1695" s="63" t="str">
        <f>IF(H1695="","",IFERROR(INDEX('Data Export'!G1695:CZ1695,1,MATCH(前十整体车型排名!$B$4,'Data Export'!$G$1:$CZ$1,0)),0))</f>
        <v/>
      </c>
      <c r="J1695" s="62" t="str">
        <f>IF(H1695="","",IF(OR('Data Export'!F1695="三厢轿车",'Data Export'!F1695="掀背轿车",'Data Export'!F1695="旅行车",'Data Export'!F1695="微型车",'Data Export'!F1695="硬顶跑车",'Data Export'!F1695="敞蓬车",'Data Export'!F1695="Targa"),"轿车",IF(OR('Data Export'!F1695="小型MPV",'Data Export'!F1695="客车"),"MPV",IF('Data Export'!F1695="运动型多功能车","SUV","其他"))))</f>
        <v/>
      </c>
      <c r="K1695" s="62"/>
      <c r="L1695" s="62"/>
      <c r="M1695" s="62"/>
      <c r="N1695" s="62"/>
      <c r="O1695" s="62"/>
      <c r="P1695" s="62"/>
      <c r="Q1695" s="62"/>
    </row>
    <row r="1696" spans="1:17">
      <c r="A1696" s="62"/>
      <c r="B1696" s="62"/>
      <c r="C1696" s="62"/>
      <c r="D1696" s="62"/>
      <c r="E1696" s="62"/>
      <c r="F1696" s="62"/>
      <c r="G1696" s="62"/>
      <c r="H1696" s="62" t="str">
        <f>IF(AND('Data Export'!A1696=前十整体车型排名!$B$2,'Data Export'!B1696=前十整体车型排名!$B$3,'Data Export'!D1696&lt;&gt;""),UPPER('Data Export'!C1696)&amp;"♦"&amp;'Data Export'!D1696,"")</f>
        <v/>
      </c>
      <c r="I1696" s="63" t="str">
        <f>IF(H1696="","",IFERROR(INDEX('Data Export'!G1696:CZ1696,1,MATCH(前十整体车型排名!$B$4,'Data Export'!$G$1:$CZ$1,0)),0))</f>
        <v/>
      </c>
      <c r="J1696" s="62" t="str">
        <f>IF(H1696="","",IF(OR('Data Export'!F1696="三厢轿车",'Data Export'!F1696="掀背轿车",'Data Export'!F1696="旅行车",'Data Export'!F1696="微型车",'Data Export'!F1696="硬顶跑车",'Data Export'!F1696="敞蓬车",'Data Export'!F1696="Targa"),"轿车",IF(OR('Data Export'!F1696="小型MPV",'Data Export'!F1696="客车"),"MPV",IF('Data Export'!F1696="运动型多功能车","SUV","其他"))))</f>
        <v/>
      </c>
      <c r="K1696" s="62"/>
      <c r="L1696" s="62"/>
      <c r="M1696" s="62"/>
      <c r="N1696" s="62"/>
      <c r="O1696" s="62"/>
      <c r="P1696" s="62"/>
      <c r="Q1696" s="62"/>
    </row>
    <row r="1697" spans="1:17">
      <c r="A1697" s="62"/>
      <c r="B1697" s="62"/>
      <c r="C1697" s="62"/>
      <c r="D1697" s="62"/>
      <c r="E1697" s="62"/>
      <c r="F1697" s="62"/>
      <c r="G1697" s="62"/>
      <c r="H1697" s="62" t="str">
        <f>IF(AND('Data Export'!A1697=前十整体车型排名!$B$2,'Data Export'!B1697=前十整体车型排名!$B$3,'Data Export'!D1697&lt;&gt;""),UPPER('Data Export'!C1697)&amp;"♦"&amp;'Data Export'!D1697,"")</f>
        <v/>
      </c>
      <c r="I1697" s="63" t="str">
        <f>IF(H1697="","",IFERROR(INDEX('Data Export'!G1697:CZ1697,1,MATCH(前十整体车型排名!$B$4,'Data Export'!$G$1:$CZ$1,0)),0))</f>
        <v/>
      </c>
      <c r="J1697" s="62" t="str">
        <f>IF(H1697="","",IF(OR('Data Export'!F1697="三厢轿车",'Data Export'!F1697="掀背轿车",'Data Export'!F1697="旅行车",'Data Export'!F1697="微型车",'Data Export'!F1697="硬顶跑车",'Data Export'!F1697="敞蓬车",'Data Export'!F1697="Targa"),"轿车",IF(OR('Data Export'!F1697="小型MPV",'Data Export'!F1697="客车"),"MPV",IF('Data Export'!F1697="运动型多功能车","SUV","其他"))))</f>
        <v/>
      </c>
      <c r="K1697" s="62"/>
      <c r="L1697" s="62"/>
      <c r="M1697" s="62"/>
      <c r="N1697" s="62"/>
      <c r="O1697" s="62"/>
      <c r="P1697" s="62"/>
      <c r="Q1697" s="62"/>
    </row>
    <row r="1698" spans="1:17">
      <c r="A1698" s="62"/>
      <c r="B1698" s="62"/>
      <c r="C1698" s="62"/>
      <c r="D1698" s="62"/>
      <c r="E1698" s="62"/>
      <c r="F1698" s="62"/>
      <c r="G1698" s="62"/>
      <c r="H1698" s="62" t="str">
        <f>IF(AND('Data Export'!A1698=前十整体车型排名!$B$2,'Data Export'!B1698=前十整体车型排名!$B$3,'Data Export'!D1698&lt;&gt;""),UPPER('Data Export'!C1698)&amp;"♦"&amp;'Data Export'!D1698,"")</f>
        <v/>
      </c>
      <c r="I1698" s="63" t="str">
        <f>IF(H1698="","",IFERROR(INDEX('Data Export'!G1698:CZ1698,1,MATCH(前十整体车型排名!$B$4,'Data Export'!$G$1:$CZ$1,0)),0))</f>
        <v/>
      </c>
      <c r="J1698" s="62" t="str">
        <f>IF(H1698="","",IF(OR('Data Export'!F1698="三厢轿车",'Data Export'!F1698="掀背轿车",'Data Export'!F1698="旅行车",'Data Export'!F1698="微型车",'Data Export'!F1698="硬顶跑车",'Data Export'!F1698="敞蓬车",'Data Export'!F1698="Targa"),"轿车",IF(OR('Data Export'!F1698="小型MPV",'Data Export'!F1698="客车"),"MPV",IF('Data Export'!F1698="运动型多功能车","SUV","其他"))))</f>
        <v/>
      </c>
      <c r="K1698" s="62"/>
      <c r="L1698" s="62"/>
      <c r="M1698" s="62"/>
      <c r="N1698" s="62"/>
      <c r="O1698" s="62"/>
      <c r="P1698" s="62"/>
      <c r="Q1698" s="62"/>
    </row>
    <row r="1699" spans="1:17">
      <c r="A1699" s="62"/>
      <c r="B1699" s="62"/>
      <c r="C1699" s="62"/>
      <c r="D1699" s="62"/>
      <c r="E1699" s="62"/>
      <c r="F1699" s="62"/>
      <c r="G1699" s="62"/>
      <c r="H1699" s="62" t="str">
        <f>IF(AND('Data Export'!A1699=前十整体车型排名!$B$2,'Data Export'!B1699=前十整体车型排名!$B$3,'Data Export'!D1699&lt;&gt;""),UPPER('Data Export'!C1699)&amp;"♦"&amp;'Data Export'!D1699,"")</f>
        <v/>
      </c>
      <c r="I1699" s="63" t="str">
        <f>IF(H1699="","",IFERROR(INDEX('Data Export'!G1699:CZ1699,1,MATCH(前十整体车型排名!$B$4,'Data Export'!$G$1:$CZ$1,0)),0))</f>
        <v/>
      </c>
      <c r="J1699" s="62" t="str">
        <f>IF(H1699="","",IF(OR('Data Export'!F1699="三厢轿车",'Data Export'!F1699="掀背轿车",'Data Export'!F1699="旅行车",'Data Export'!F1699="微型车",'Data Export'!F1699="硬顶跑车",'Data Export'!F1699="敞蓬车",'Data Export'!F1699="Targa"),"轿车",IF(OR('Data Export'!F1699="小型MPV",'Data Export'!F1699="客车"),"MPV",IF('Data Export'!F1699="运动型多功能车","SUV","其他"))))</f>
        <v/>
      </c>
      <c r="K1699" s="62"/>
      <c r="L1699" s="62"/>
      <c r="M1699" s="62"/>
      <c r="N1699" s="62"/>
      <c r="O1699" s="62"/>
      <c r="P1699" s="62"/>
      <c r="Q1699" s="62"/>
    </row>
    <row r="1700" spans="1:17">
      <c r="A1700" s="62"/>
      <c r="B1700" s="62"/>
      <c r="C1700" s="62"/>
      <c r="D1700" s="62"/>
      <c r="E1700" s="62"/>
      <c r="F1700" s="62"/>
      <c r="G1700" s="62"/>
      <c r="H1700" s="62" t="str">
        <f>IF(AND('Data Export'!A1700=前十整体车型排名!$B$2,'Data Export'!B1700=前十整体车型排名!$B$3,'Data Export'!D1700&lt;&gt;""),UPPER('Data Export'!C1700)&amp;"♦"&amp;'Data Export'!D1700,"")</f>
        <v/>
      </c>
      <c r="I1700" s="63" t="str">
        <f>IF(H1700="","",IFERROR(INDEX('Data Export'!G1700:CZ1700,1,MATCH(前十整体车型排名!$B$4,'Data Export'!$G$1:$CZ$1,0)),0))</f>
        <v/>
      </c>
      <c r="J1700" s="62" t="str">
        <f>IF(H1700="","",IF(OR('Data Export'!F1700="三厢轿车",'Data Export'!F1700="掀背轿车",'Data Export'!F1700="旅行车",'Data Export'!F1700="微型车",'Data Export'!F1700="硬顶跑车",'Data Export'!F1700="敞蓬车",'Data Export'!F1700="Targa"),"轿车",IF(OR('Data Export'!F1700="小型MPV",'Data Export'!F1700="客车"),"MPV",IF('Data Export'!F1700="运动型多功能车","SUV","其他"))))</f>
        <v/>
      </c>
      <c r="K1700" s="62"/>
      <c r="L1700" s="62"/>
      <c r="M1700" s="62"/>
      <c r="N1700" s="62"/>
      <c r="O1700" s="62"/>
      <c r="P1700" s="62"/>
      <c r="Q1700" s="62"/>
    </row>
    <row r="1701" spans="1:17">
      <c r="A1701" s="62"/>
      <c r="B1701" s="62"/>
      <c r="C1701" s="62"/>
      <c r="D1701" s="62"/>
      <c r="E1701" s="62"/>
      <c r="F1701" s="62"/>
      <c r="G1701" s="62"/>
      <c r="H1701" s="62" t="str">
        <f>IF(AND('Data Export'!A1701=前十整体车型排名!$B$2,'Data Export'!B1701=前十整体车型排名!$B$3,'Data Export'!D1701&lt;&gt;""),UPPER('Data Export'!C1701)&amp;"♦"&amp;'Data Export'!D1701,"")</f>
        <v/>
      </c>
      <c r="I1701" s="63" t="str">
        <f>IF(H1701="","",IFERROR(INDEX('Data Export'!G1701:CZ1701,1,MATCH(前十整体车型排名!$B$4,'Data Export'!$G$1:$CZ$1,0)),0))</f>
        <v/>
      </c>
      <c r="J1701" s="62" t="str">
        <f>IF(H1701="","",IF(OR('Data Export'!F1701="三厢轿车",'Data Export'!F1701="掀背轿车",'Data Export'!F1701="旅行车",'Data Export'!F1701="微型车",'Data Export'!F1701="硬顶跑车",'Data Export'!F1701="敞蓬车",'Data Export'!F1701="Targa"),"轿车",IF(OR('Data Export'!F1701="小型MPV",'Data Export'!F1701="客车"),"MPV",IF('Data Export'!F1701="运动型多功能车","SUV","其他"))))</f>
        <v/>
      </c>
      <c r="K1701" s="62"/>
      <c r="L1701" s="62"/>
      <c r="M1701" s="62"/>
      <c r="N1701" s="62"/>
      <c r="O1701" s="62"/>
      <c r="P1701" s="62"/>
      <c r="Q1701" s="62"/>
    </row>
    <row r="1702" spans="1:17">
      <c r="A1702" s="62"/>
      <c r="B1702" s="62"/>
      <c r="C1702" s="62"/>
      <c r="D1702" s="62"/>
      <c r="E1702" s="62"/>
      <c r="F1702" s="62"/>
      <c r="G1702" s="62"/>
      <c r="H1702" s="62" t="str">
        <f>IF(AND('Data Export'!A1702=前十整体车型排名!$B$2,'Data Export'!B1702=前十整体车型排名!$B$3,'Data Export'!D1702&lt;&gt;""),UPPER('Data Export'!C1702)&amp;"♦"&amp;'Data Export'!D1702,"")</f>
        <v/>
      </c>
      <c r="I1702" s="63" t="str">
        <f>IF(H1702="","",IFERROR(INDEX('Data Export'!G1702:CZ1702,1,MATCH(前十整体车型排名!$B$4,'Data Export'!$G$1:$CZ$1,0)),0))</f>
        <v/>
      </c>
      <c r="J1702" s="62" t="str">
        <f>IF(H1702="","",IF(OR('Data Export'!F1702="三厢轿车",'Data Export'!F1702="掀背轿车",'Data Export'!F1702="旅行车",'Data Export'!F1702="微型车",'Data Export'!F1702="硬顶跑车",'Data Export'!F1702="敞蓬车",'Data Export'!F1702="Targa"),"轿车",IF(OR('Data Export'!F1702="小型MPV",'Data Export'!F1702="客车"),"MPV",IF('Data Export'!F1702="运动型多功能车","SUV","其他"))))</f>
        <v/>
      </c>
      <c r="K1702" s="62"/>
      <c r="L1702" s="62"/>
      <c r="M1702" s="62"/>
      <c r="N1702" s="62"/>
      <c r="O1702" s="62"/>
      <c r="P1702" s="62"/>
      <c r="Q1702" s="62"/>
    </row>
    <row r="1703" spans="1:17">
      <c r="A1703" s="62"/>
      <c r="B1703" s="62"/>
      <c r="C1703" s="62"/>
      <c r="D1703" s="62"/>
      <c r="E1703" s="62"/>
      <c r="F1703" s="62"/>
      <c r="G1703" s="62"/>
      <c r="H1703" s="62" t="str">
        <f>IF(AND('Data Export'!A1703=前十整体车型排名!$B$2,'Data Export'!B1703=前十整体车型排名!$B$3,'Data Export'!D1703&lt;&gt;""),UPPER('Data Export'!C1703)&amp;"♦"&amp;'Data Export'!D1703,"")</f>
        <v/>
      </c>
      <c r="I1703" s="63" t="str">
        <f>IF(H1703="","",IFERROR(INDEX('Data Export'!G1703:CZ1703,1,MATCH(前十整体车型排名!$B$4,'Data Export'!$G$1:$CZ$1,0)),0))</f>
        <v/>
      </c>
      <c r="J1703" s="62" t="str">
        <f>IF(H1703="","",IF(OR('Data Export'!F1703="三厢轿车",'Data Export'!F1703="掀背轿车",'Data Export'!F1703="旅行车",'Data Export'!F1703="微型车",'Data Export'!F1703="硬顶跑车",'Data Export'!F1703="敞蓬车",'Data Export'!F1703="Targa"),"轿车",IF(OR('Data Export'!F1703="小型MPV",'Data Export'!F1703="客车"),"MPV",IF('Data Export'!F1703="运动型多功能车","SUV","其他"))))</f>
        <v/>
      </c>
      <c r="K1703" s="62"/>
      <c r="L1703" s="62"/>
      <c r="M1703" s="62"/>
      <c r="N1703" s="62"/>
      <c r="O1703" s="62"/>
      <c r="P1703" s="62"/>
      <c r="Q1703" s="62"/>
    </row>
    <row r="1704" spans="1:17">
      <c r="A1704" s="62"/>
      <c r="B1704" s="62"/>
      <c r="C1704" s="62"/>
      <c r="D1704" s="62"/>
      <c r="E1704" s="62"/>
      <c r="F1704" s="62"/>
      <c r="G1704" s="62"/>
      <c r="H1704" s="62" t="str">
        <f>IF(AND('Data Export'!A1704=前十整体车型排名!$B$2,'Data Export'!B1704=前十整体车型排名!$B$3,'Data Export'!D1704&lt;&gt;""),UPPER('Data Export'!C1704)&amp;"♦"&amp;'Data Export'!D1704,"")</f>
        <v/>
      </c>
      <c r="I1704" s="63" t="str">
        <f>IF(H1704="","",IFERROR(INDEX('Data Export'!G1704:CZ1704,1,MATCH(前十整体车型排名!$B$4,'Data Export'!$G$1:$CZ$1,0)),0))</f>
        <v/>
      </c>
      <c r="J1704" s="62" t="str">
        <f>IF(H1704="","",IF(OR('Data Export'!F1704="三厢轿车",'Data Export'!F1704="掀背轿车",'Data Export'!F1704="旅行车",'Data Export'!F1704="微型车",'Data Export'!F1704="硬顶跑车",'Data Export'!F1704="敞蓬车",'Data Export'!F1704="Targa"),"轿车",IF(OR('Data Export'!F1704="小型MPV",'Data Export'!F1704="客车"),"MPV",IF('Data Export'!F1704="运动型多功能车","SUV","其他"))))</f>
        <v/>
      </c>
      <c r="K1704" s="62"/>
      <c r="L1704" s="62"/>
      <c r="M1704" s="62"/>
      <c r="N1704" s="62"/>
      <c r="O1704" s="62"/>
      <c r="P1704" s="62"/>
      <c r="Q1704" s="62"/>
    </row>
    <row r="1705" spans="1:17">
      <c r="A1705" s="62"/>
      <c r="B1705" s="62"/>
      <c r="C1705" s="62"/>
      <c r="D1705" s="62"/>
      <c r="E1705" s="62"/>
      <c r="F1705" s="62"/>
      <c r="G1705" s="62"/>
      <c r="H1705" s="62" t="str">
        <f>IF(AND('Data Export'!A1705=前十整体车型排名!$B$2,'Data Export'!B1705=前十整体车型排名!$B$3,'Data Export'!D1705&lt;&gt;""),UPPER('Data Export'!C1705)&amp;"♦"&amp;'Data Export'!D1705,"")</f>
        <v/>
      </c>
      <c r="I1705" s="63" t="str">
        <f>IF(H1705="","",IFERROR(INDEX('Data Export'!G1705:CZ1705,1,MATCH(前十整体车型排名!$B$4,'Data Export'!$G$1:$CZ$1,0)),0))</f>
        <v/>
      </c>
      <c r="J1705" s="62" t="str">
        <f>IF(H1705="","",IF(OR('Data Export'!F1705="三厢轿车",'Data Export'!F1705="掀背轿车",'Data Export'!F1705="旅行车",'Data Export'!F1705="微型车",'Data Export'!F1705="硬顶跑车",'Data Export'!F1705="敞蓬车",'Data Export'!F1705="Targa"),"轿车",IF(OR('Data Export'!F1705="小型MPV",'Data Export'!F1705="客车"),"MPV",IF('Data Export'!F1705="运动型多功能车","SUV","其他"))))</f>
        <v/>
      </c>
      <c r="K1705" s="62"/>
      <c r="L1705" s="62"/>
      <c r="M1705" s="62"/>
      <c r="N1705" s="62"/>
      <c r="O1705" s="62"/>
      <c r="P1705" s="62"/>
      <c r="Q1705" s="62"/>
    </row>
    <row r="1706" spans="1:17">
      <c r="A1706" s="62"/>
      <c r="B1706" s="62"/>
      <c r="C1706" s="62"/>
      <c r="D1706" s="62"/>
      <c r="E1706" s="62"/>
      <c r="F1706" s="62"/>
      <c r="G1706" s="62"/>
      <c r="H1706" s="62" t="str">
        <f>IF(AND('Data Export'!A1706=前十整体车型排名!$B$2,'Data Export'!B1706=前十整体车型排名!$B$3,'Data Export'!D1706&lt;&gt;""),UPPER('Data Export'!C1706)&amp;"♦"&amp;'Data Export'!D1706,"")</f>
        <v/>
      </c>
      <c r="I1706" s="63" t="str">
        <f>IF(H1706="","",IFERROR(INDEX('Data Export'!G1706:CZ1706,1,MATCH(前十整体车型排名!$B$4,'Data Export'!$G$1:$CZ$1,0)),0))</f>
        <v/>
      </c>
      <c r="J1706" s="62" t="str">
        <f>IF(H1706="","",IF(OR('Data Export'!F1706="三厢轿车",'Data Export'!F1706="掀背轿车",'Data Export'!F1706="旅行车",'Data Export'!F1706="微型车",'Data Export'!F1706="硬顶跑车",'Data Export'!F1706="敞蓬车",'Data Export'!F1706="Targa"),"轿车",IF(OR('Data Export'!F1706="小型MPV",'Data Export'!F1706="客车"),"MPV",IF('Data Export'!F1706="运动型多功能车","SUV","其他"))))</f>
        <v/>
      </c>
      <c r="K1706" s="62"/>
      <c r="L1706" s="62"/>
      <c r="M1706" s="62"/>
      <c r="N1706" s="62"/>
      <c r="O1706" s="62"/>
      <c r="P1706" s="62"/>
      <c r="Q1706" s="62"/>
    </row>
    <row r="1707" spans="1:17">
      <c r="A1707" s="62"/>
      <c r="B1707" s="62"/>
      <c r="C1707" s="62"/>
      <c r="D1707" s="62"/>
      <c r="E1707" s="62"/>
      <c r="F1707" s="62"/>
      <c r="G1707" s="62"/>
      <c r="H1707" s="62" t="str">
        <f>IF(AND('Data Export'!A1707=前十整体车型排名!$B$2,'Data Export'!B1707=前十整体车型排名!$B$3,'Data Export'!D1707&lt;&gt;""),UPPER('Data Export'!C1707)&amp;"♦"&amp;'Data Export'!D1707,"")</f>
        <v/>
      </c>
      <c r="I1707" s="63" t="str">
        <f>IF(H1707="","",IFERROR(INDEX('Data Export'!G1707:CZ1707,1,MATCH(前十整体车型排名!$B$4,'Data Export'!$G$1:$CZ$1,0)),0))</f>
        <v/>
      </c>
      <c r="J1707" s="62" t="str">
        <f>IF(H1707="","",IF(OR('Data Export'!F1707="三厢轿车",'Data Export'!F1707="掀背轿车",'Data Export'!F1707="旅行车",'Data Export'!F1707="微型车",'Data Export'!F1707="硬顶跑车",'Data Export'!F1707="敞蓬车",'Data Export'!F1707="Targa"),"轿车",IF(OR('Data Export'!F1707="小型MPV",'Data Export'!F1707="客车"),"MPV",IF('Data Export'!F1707="运动型多功能车","SUV","其他"))))</f>
        <v/>
      </c>
      <c r="K1707" s="62"/>
      <c r="L1707" s="62"/>
      <c r="M1707" s="62"/>
      <c r="N1707" s="62"/>
      <c r="O1707" s="62"/>
      <c r="P1707" s="62"/>
      <c r="Q1707" s="62"/>
    </row>
    <row r="1708" spans="1:17">
      <c r="A1708" s="62"/>
      <c r="B1708" s="62"/>
      <c r="C1708" s="62"/>
      <c r="D1708" s="62"/>
      <c r="E1708" s="62"/>
      <c r="F1708" s="62"/>
      <c r="G1708" s="62"/>
      <c r="H1708" s="62" t="str">
        <f>IF(AND('Data Export'!A1708=前十整体车型排名!$B$2,'Data Export'!B1708=前十整体车型排名!$B$3,'Data Export'!D1708&lt;&gt;""),UPPER('Data Export'!C1708)&amp;"♦"&amp;'Data Export'!D1708,"")</f>
        <v/>
      </c>
      <c r="I1708" s="63" t="str">
        <f>IF(H1708="","",IFERROR(INDEX('Data Export'!G1708:CZ1708,1,MATCH(前十整体车型排名!$B$4,'Data Export'!$G$1:$CZ$1,0)),0))</f>
        <v/>
      </c>
      <c r="J1708" s="62" t="str">
        <f>IF(H1708="","",IF(OR('Data Export'!F1708="三厢轿车",'Data Export'!F1708="掀背轿车",'Data Export'!F1708="旅行车",'Data Export'!F1708="微型车",'Data Export'!F1708="硬顶跑车",'Data Export'!F1708="敞蓬车",'Data Export'!F1708="Targa"),"轿车",IF(OR('Data Export'!F1708="小型MPV",'Data Export'!F1708="客车"),"MPV",IF('Data Export'!F1708="运动型多功能车","SUV","其他"))))</f>
        <v/>
      </c>
      <c r="K1708" s="62"/>
      <c r="L1708" s="62"/>
      <c r="M1708" s="62"/>
      <c r="N1708" s="62"/>
      <c r="O1708" s="62"/>
      <c r="P1708" s="62"/>
      <c r="Q1708" s="62"/>
    </row>
    <row r="1709" spans="1:17">
      <c r="A1709" s="62"/>
      <c r="B1709" s="62"/>
      <c r="C1709" s="62"/>
      <c r="D1709" s="62"/>
      <c r="E1709" s="62"/>
      <c r="F1709" s="62"/>
      <c r="G1709" s="62"/>
      <c r="H1709" s="62" t="str">
        <f>IF(AND('Data Export'!A1709=前十整体车型排名!$B$2,'Data Export'!B1709=前十整体车型排名!$B$3,'Data Export'!D1709&lt;&gt;""),UPPER('Data Export'!C1709)&amp;"♦"&amp;'Data Export'!D1709,"")</f>
        <v/>
      </c>
      <c r="I1709" s="63" t="str">
        <f>IF(H1709="","",IFERROR(INDEX('Data Export'!G1709:CZ1709,1,MATCH(前十整体车型排名!$B$4,'Data Export'!$G$1:$CZ$1,0)),0))</f>
        <v/>
      </c>
      <c r="J1709" s="62" t="str">
        <f>IF(H1709="","",IF(OR('Data Export'!F1709="三厢轿车",'Data Export'!F1709="掀背轿车",'Data Export'!F1709="旅行车",'Data Export'!F1709="微型车",'Data Export'!F1709="硬顶跑车",'Data Export'!F1709="敞蓬车",'Data Export'!F1709="Targa"),"轿车",IF(OR('Data Export'!F1709="小型MPV",'Data Export'!F1709="客车"),"MPV",IF('Data Export'!F1709="运动型多功能车","SUV","其他"))))</f>
        <v/>
      </c>
      <c r="K1709" s="62"/>
      <c r="L1709" s="62"/>
      <c r="M1709" s="62"/>
      <c r="N1709" s="62"/>
      <c r="O1709" s="62"/>
      <c r="P1709" s="62"/>
      <c r="Q1709" s="62"/>
    </row>
    <row r="1710" spans="1:17">
      <c r="A1710" s="62"/>
      <c r="B1710" s="62"/>
      <c r="C1710" s="62"/>
      <c r="D1710" s="62"/>
      <c r="E1710" s="62"/>
      <c r="F1710" s="62"/>
      <c r="G1710" s="62"/>
      <c r="H1710" s="62" t="str">
        <f>IF(AND('Data Export'!A1710=前十整体车型排名!$B$2,'Data Export'!B1710=前十整体车型排名!$B$3,'Data Export'!D1710&lt;&gt;""),UPPER('Data Export'!C1710)&amp;"♦"&amp;'Data Export'!D1710,"")</f>
        <v/>
      </c>
      <c r="I1710" s="63" t="str">
        <f>IF(H1710="","",IFERROR(INDEX('Data Export'!G1710:CZ1710,1,MATCH(前十整体车型排名!$B$4,'Data Export'!$G$1:$CZ$1,0)),0))</f>
        <v/>
      </c>
      <c r="J1710" s="62" t="str">
        <f>IF(H1710="","",IF(OR('Data Export'!F1710="三厢轿车",'Data Export'!F1710="掀背轿车",'Data Export'!F1710="旅行车",'Data Export'!F1710="微型车",'Data Export'!F1710="硬顶跑车",'Data Export'!F1710="敞蓬车",'Data Export'!F1710="Targa"),"轿车",IF(OR('Data Export'!F1710="小型MPV",'Data Export'!F1710="客车"),"MPV",IF('Data Export'!F1710="运动型多功能车","SUV","其他"))))</f>
        <v/>
      </c>
      <c r="K1710" s="62"/>
      <c r="L1710" s="62"/>
      <c r="M1710" s="62"/>
      <c r="N1710" s="62"/>
      <c r="O1710" s="62"/>
      <c r="P1710" s="62"/>
      <c r="Q1710" s="62"/>
    </row>
    <row r="1711" spans="1:17">
      <c r="A1711" s="62"/>
      <c r="B1711" s="62"/>
      <c r="C1711" s="62"/>
      <c r="D1711" s="62"/>
      <c r="E1711" s="62"/>
      <c r="F1711" s="62"/>
      <c r="G1711" s="62"/>
      <c r="H1711" s="62" t="str">
        <f>IF(AND('Data Export'!A1711=前十整体车型排名!$B$2,'Data Export'!B1711=前十整体车型排名!$B$3,'Data Export'!D1711&lt;&gt;""),UPPER('Data Export'!C1711)&amp;"♦"&amp;'Data Export'!D1711,"")</f>
        <v/>
      </c>
      <c r="I1711" s="63" t="str">
        <f>IF(H1711="","",IFERROR(INDEX('Data Export'!G1711:CZ1711,1,MATCH(前十整体车型排名!$B$4,'Data Export'!$G$1:$CZ$1,0)),0))</f>
        <v/>
      </c>
      <c r="J1711" s="62" t="str">
        <f>IF(H1711="","",IF(OR('Data Export'!F1711="三厢轿车",'Data Export'!F1711="掀背轿车",'Data Export'!F1711="旅行车",'Data Export'!F1711="微型车",'Data Export'!F1711="硬顶跑车",'Data Export'!F1711="敞蓬车",'Data Export'!F1711="Targa"),"轿车",IF(OR('Data Export'!F1711="小型MPV",'Data Export'!F1711="客车"),"MPV",IF('Data Export'!F1711="运动型多功能车","SUV","其他"))))</f>
        <v/>
      </c>
      <c r="K1711" s="62"/>
      <c r="L1711" s="62"/>
      <c r="M1711" s="62"/>
      <c r="N1711" s="62"/>
      <c r="O1711" s="62"/>
      <c r="P1711" s="62"/>
      <c r="Q1711" s="62"/>
    </row>
    <row r="1712" spans="1:17">
      <c r="A1712" s="62"/>
      <c r="B1712" s="62"/>
      <c r="C1712" s="62"/>
      <c r="D1712" s="62"/>
      <c r="E1712" s="62"/>
      <c r="F1712" s="62"/>
      <c r="G1712" s="62"/>
      <c r="H1712" s="62" t="str">
        <f>IF(AND('Data Export'!A1712=前十整体车型排名!$B$2,'Data Export'!B1712=前十整体车型排名!$B$3,'Data Export'!D1712&lt;&gt;""),UPPER('Data Export'!C1712)&amp;"♦"&amp;'Data Export'!D1712,"")</f>
        <v/>
      </c>
      <c r="I1712" s="63" t="str">
        <f>IF(H1712="","",IFERROR(INDEX('Data Export'!G1712:CZ1712,1,MATCH(前十整体车型排名!$B$4,'Data Export'!$G$1:$CZ$1,0)),0))</f>
        <v/>
      </c>
      <c r="J1712" s="62" t="str">
        <f>IF(H1712="","",IF(OR('Data Export'!F1712="三厢轿车",'Data Export'!F1712="掀背轿车",'Data Export'!F1712="旅行车",'Data Export'!F1712="微型车",'Data Export'!F1712="硬顶跑车",'Data Export'!F1712="敞蓬车",'Data Export'!F1712="Targa"),"轿车",IF(OR('Data Export'!F1712="小型MPV",'Data Export'!F1712="客车"),"MPV",IF('Data Export'!F1712="运动型多功能车","SUV","其他"))))</f>
        <v/>
      </c>
      <c r="K1712" s="62"/>
      <c r="L1712" s="62"/>
      <c r="M1712" s="62"/>
      <c r="N1712" s="62"/>
      <c r="O1712" s="62"/>
      <c r="P1712" s="62"/>
      <c r="Q1712" s="62"/>
    </row>
    <row r="1713" spans="1:17">
      <c r="A1713" s="62"/>
      <c r="B1713" s="62"/>
      <c r="C1713" s="62"/>
      <c r="D1713" s="62"/>
      <c r="E1713" s="62"/>
      <c r="F1713" s="62"/>
      <c r="G1713" s="62"/>
      <c r="H1713" s="62" t="str">
        <f>IF(AND('Data Export'!A1713=前十整体车型排名!$B$2,'Data Export'!B1713=前十整体车型排名!$B$3,'Data Export'!D1713&lt;&gt;""),UPPER('Data Export'!C1713)&amp;"♦"&amp;'Data Export'!D1713,"")</f>
        <v/>
      </c>
      <c r="I1713" s="63" t="str">
        <f>IF(H1713="","",IFERROR(INDEX('Data Export'!G1713:CZ1713,1,MATCH(前十整体车型排名!$B$4,'Data Export'!$G$1:$CZ$1,0)),0))</f>
        <v/>
      </c>
      <c r="J1713" s="62" t="str">
        <f>IF(H1713="","",IF(OR('Data Export'!F1713="三厢轿车",'Data Export'!F1713="掀背轿车",'Data Export'!F1713="旅行车",'Data Export'!F1713="微型车",'Data Export'!F1713="硬顶跑车",'Data Export'!F1713="敞蓬车",'Data Export'!F1713="Targa"),"轿车",IF(OR('Data Export'!F1713="小型MPV",'Data Export'!F1713="客车"),"MPV",IF('Data Export'!F1713="运动型多功能车","SUV","其他"))))</f>
        <v/>
      </c>
      <c r="K1713" s="62"/>
      <c r="L1713" s="62"/>
      <c r="M1713" s="62"/>
      <c r="N1713" s="62"/>
      <c r="O1713" s="62"/>
      <c r="P1713" s="62"/>
      <c r="Q1713" s="62"/>
    </row>
    <row r="1714" spans="1:17">
      <c r="A1714" s="62"/>
      <c r="B1714" s="62"/>
      <c r="C1714" s="62"/>
      <c r="D1714" s="62"/>
      <c r="E1714" s="62"/>
      <c r="F1714" s="62"/>
      <c r="G1714" s="62"/>
      <c r="H1714" s="62" t="str">
        <f>IF(AND('Data Export'!A1714=前十整体车型排名!$B$2,'Data Export'!B1714=前十整体车型排名!$B$3,'Data Export'!D1714&lt;&gt;""),UPPER('Data Export'!C1714)&amp;"♦"&amp;'Data Export'!D1714,"")</f>
        <v/>
      </c>
      <c r="I1714" s="63" t="str">
        <f>IF(H1714="","",IFERROR(INDEX('Data Export'!G1714:CZ1714,1,MATCH(前十整体车型排名!$B$4,'Data Export'!$G$1:$CZ$1,0)),0))</f>
        <v/>
      </c>
      <c r="J1714" s="62" t="str">
        <f>IF(H1714="","",IF(OR('Data Export'!F1714="三厢轿车",'Data Export'!F1714="掀背轿车",'Data Export'!F1714="旅行车",'Data Export'!F1714="微型车",'Data Export'!F1714="硬顶跑车",'Data Export'!F1714="敞蓬车",'Data Export'!F1714="Targa"),"轿车",IF(OR('Data Export'!F1714="小型MPV",'Data Export'!F1714="客车"),"MPV",IF('Data Export'!F1714="运动型多功能车","SUV","其他"))))</f>
        <v/>
      </c>
      <c r="K1714" s="62"/>
      <c r="L1714" s="62"/>
      <c r="M1714" s="62"/>
      <c r="N1714" s="62"/>
      <c r="O1714" s="62"/>
      <c r="P1714" s="62"/>
      <c r="Q1714" s="62"/>
    </row>
    <row r="1715" spans="1:17">
      <c r="A1715" s="62"/>
      <c r="B1715" s="62"/>
      <c r="C1715" s="62"/>
      <c r="D1715" s="62"/>
      <c r="E1715" s="62"/>
      <c r="F1715" s="62"/>
      <c r="G1715" s="62"/>
      <c r="H1715" s="62" t="str">
        <f>IF(AND('Data Export'!A1715=前十整体车型排名!$B$2,'Data Export'!B1715=前十整体车型排名!$B$3,'Data Export'!D1715&lt;&gt;""),UPPER('Data Export'!C1715)&amp;"♦"&amp;'Data Export'!D1715,"")</f>
        <v/>
      </c>
      <c r="I1715" s="63" t="str">
        <f>IF(H1715="","",IFERROR(INDEX('Data Export'!G1715:CZ1715,1,MATCH(前十整体车型排名!$B$4,'Data Export'!$G$1:$CZ$1,0)),0))</f>
        <v/>
      </c>
      <c r="J1715" s="62" t="str">
        <f>IF(H1715="","",IF(OR('Data Export'!F1715="三厢轿车",'Data Export'!F1715="掀背轿车",'Data Export'!F1715="旅行车",'Data Export'!F1715="微型车",'Data Export'!F1715="硬顶跑车",'Data Export'!F1715="敞蓬车",'Data Export'!F1715="Targa"),"轿车",IF(OR('Data Export'!F1715="小型MPV",'Data Export'!F1715="客车"),"MPV",IF('Data Export'!F1715="运动型多功能车","SUV","其他"))))</f>
        <v/>
      </c>
      <c r="K1715" s="62"/>
      <c r="L1715" s="62"/>
      <c r="M1715" s="62"/>
      <c r="N1715" s="62"/>
      <c r="O1715" s="62"/>
      <c r="P1715" s="62"/>
      <c r="Q1715" s="62"/>
    </row>
    <row r="1716" spans="1:17">
      <c r="A1716" s="62"/>
      <c r="B1716" s="62"/>
      <c r="C1716" s="62"/>
      <c r="D1716" s="62"/>
      <c r="E1716" s="62"/>
      <c r="F1716" s="62"/>
      <c r="G1716" s="62"/>
      <c r="H1716" s="62" t="str">
        <f>IF(AND('Data Export'!A1716=前十整体车型排名!$B$2,'Data Export'!B1716=前十整体车型排名!$B$3,'Data Export'!D1716&lt;&gt;""),UPPER('Data Export'!C1716)&amp;"♦"&amp;'Data Export'!D1716,"")</f>
        <v/>
      </c>
      <c r="I1716" s="63" t="str">
        <f>IF(H1716="","",IFERROR(INDEX('Data Export'!G1716:CZ1716,1,MATCH(前十整体车型排名!$B$4,'Data Export'!$G$1:$CZ$1,0)),0))</f>
        <v/>
      </c>
      <c r="J1716" s="62" t="str">
        <f>IF(H1716="","",IF(OR('Data Export'!F1716="三厢轿车",'Data Export'!F1716="掀背轿车",'Data Export'!F1716="旅行车",'Data Export'!F1716="微型车",'Data Export'!F1716="硬顶跑车",'Data Export'!F1716="敞蓬车",'Data Export'!F1716="Targa"),"轿车",IF(OR('Data Export'!F1716="小型MPV",'Data Export'!F1716="客车"),"MPV",IF('Data Export'!F1716="运动型多功能车","SUV","其他"))))</f>
        <v/>
      </c>
      <c r="K1716" s="62"/>
      <c r="L1716" s="62"/>
      <c r="M1716" s="62"/>
      <c r="N1716" s="62"/>
      <c r="O1716" s="62"/>
      <c r="P1716" s="62"/>
      <c r="Q1716" s="62"/>
    </row>
    <row r="1717" spans="1:17">
      <c r="A1717" s="62"/>
      <c r="B1717" s="62"/>
      <c r="C1717" s="62"/>
      <c r="D1717" s="62"/>
      <c r="E1717" s="62"/>
      <c r="F1717" s="62"/>
      <c r="G1717" s="62"/>
      <c r="H1717" s="62" t="str">
        <f>IF(AND('Data Export'!A1717=前十整体车型排名!$B$2,'Data Export'!B1717=前十整体车型排名!$B$3,'Data Export'!D1717&lt;&gt;""),UPPER('Data Export'!C1717)&amp;"♦"&amp;'Data Export'!D1717,"")</f>
        <v/>
      </c>
      <c r="I1717" s="63" t="str">
        <f>IF(H1717="","",IFERROR(INDEX('Data Export'!G1717:CZ1717,1,MATCH(前十整体车型排名!$B$4,'Data Export'!$G$1:$CZ$1,0)),0))</f>
        <v/>
      </c>
      <c r="J1717" s="62" t="str">
        <f>IF(H1717="","",IF(OR('Data Export'!F1717="三厢轿车",'Data Export'!F1717="掀背轿车",'Data Export'!F1717="旅行车",'Data Export'!F1717="微型车",'Data Export'!F1717="硬顶跑车",'Data Export'!F1717="敞蓬车",'Data Export'!F1717="Targa"),"轿车",IF(OR('Data Export'!F1717="小型MPV",'Data Export'!F1717="客车"),"MPV",IF('Data Export'!F1717="运动型多功能车","SUV","其他"))))</f>
        <v/>
      </c>
      <c r="K1717" s="62"/>
      <c r="L1717" s="62"/>
      <c r="M1717" s="62"/>
      <c r="N1717" s="62"/>
      <c r="O1717" s="62"/>
      <c r="P1717" s="62"/>
      <c r="Q1717" s="62"/>
    </row>
    <row r="1718" spans="1:17">
      <c r="A1718" s="62"/>
      <c r="B1718" s="62"/>
      <c r="C1718" s="62"/>
      <c r="D1718" s="62"/>
      <c r="E1718" s="62"/>
      <c r="F1718" s="62"/>
      <c r="G1718" s="62"/>
      <c r="H1718" s="62" t="str">
        <f>IF(AND('Data Export'!A1718=前十整体车型排名!$B$2,'Data Export'!B1718=前十整体车型排名!$B$3,'Data Export'!D1718&lt;&gt;""),UPPER('Data Export'!C1718)&amp;"♦"&amp;'Data Export'!D1718,"")</f>
        <v/>
      </c>
      <c r="I1718" s="63" t="str">
        <f>IF(H1718="","",IFERROR(INDEX('Data Export'!G1718:CZ1718,1,MATCH(前十整体车型排名!$B$4,'Data Export'!$G$1:$CZ$1,0)),0))</f>
        <v/>
      </c>
      <c r="J1718" s="62" t="str">
        <f>IF(H1718="","",IF(OR('Data Export'!F1718="三厢轿车",'Data Export'!F1718="掀背轿车",'Data Export'!F1718="旅行车",'Data Export'!F1718="微型车",'Data Export'!F1718="硬顶跑车",'Data Export'!F1718="敞蓬车",'Data Export'!F1718="Targa"),"轿车",IF(OR('Data Export'!F1718="小型MPV",'Data Export'!F1718="客车"),"MPV",IF('Data Export'!F1718="运动型多功能车","SUV","其他"))))</f>
        <v/>
      </c>
      <c r="K1718" s="62"/>
      <c r="L1718" s="62"/>
      <c r="M1718" s="62"/>
      <c r="N1718" s="62"/>
      <c r="O1718" s="62"/>
      <c r="P1718" s="62"/>
      <c r="Q1718" s="62"/>
    </row>
    <row r="1719" spans="1:17">
      <c r="A1719" s="62"/>
      <c r="B1719" s="62"/>
      <c r="C1719" s="62"/>
      <c r="D1719" s="62"/>
      <c r="E1719" s="62"/>
      <c r="F1719" s="62"/>
      <c r="G1719" s="62"/>
      <c r="H1719" s="62" t="str">
        <f>IF(AND('Data Export'!A1719=前十整体车型排名!$B$2,'Data Export'!B1719=前十整体车型排名!$B$3,'Data Export'!D1719&lt;&gt;""),UPPER('Data Export'!C1719)&amp;"♦"&amp;'Data Export'!D1719,"")</f>
        <v/>
      </c>
      <c r="I1719" s="63" t="str">
        <f>IF(H1719="","",IFERROR(INDEX('Data Export'!G1719:CZ1719,1,MATCH(前十整体车型排名!$B$4,'Data Export'!$G$1:$CZ$1,0)),0))</f>
        <v/>
      </c>
      <c r="J1719" s="62" t="str">
        <f>IF(H1719="","",IF(OR('Data Export'!F1719="三厢轿车",'Data Export'!F1719="掀背轿车",'Data Export'!F1719="旅行车",'Data Export'!F1719="微型车",'Data Export'!F1719="硬顶跑车",'Data Export'!F1719="敞蓬车",'Data Export'!F1719="Targa"),"轿车",IF(OR('Data Export'!F1719="小型MPV",'Data Export'!F1719="客车"),"MPV",IF('Data Export'!F1719="运动型多功能车","SUV","其他"))))</f>
        <v/>
      </c>
      <c r="K1719" s="62"/>
      <c r="L1719" s="62"/>
      <c r="M1719" s="62"/>
      <c r="N1719" s="62"/>
      <c r="O1719" s="62"/>
      <c r="P1719" s="62"/>
      <c r="Q1719" s="62"/>
    </row>
    <row r="1720" spans="1:17">
      <c r="A1720" s="62"/>
      <c r="B1720" s="62"/>
      <c r="C1720" s="62"/>
      <c r="D1720" s="62"/>
      <c r="E1720" s="62"/>
      <c r="F1720" s="62"/>
      <c r="G1720" s="62"/>
      <c r="H1720" s="62" t="str">
        <f>IF(AND('Data Export'!A1720=前十整体车型排名!$B$2,'Data Export'!B1720=前十整体车型排名!$B$3,'Data Export'!D1720&lt;&gt;""),UPPER('Data Export'!C1720)&amp;"♦"&amp;'Data Export'!D1720,"")</f>
        <v/>
      </c>
      <c r="I1720" s="63" t="str">
        <f>IF(H1720="","",IFERROR(INDEX('Data Export'!G1720:CZ1720,1,MATCH(前十整体车型排名!$B$4,'Data Export'!$G$1:$CZ$1,0)),0))</f>
        <v/>
      </c>
      <c r="J1720" s="62" t="str">
        <f>IF(H1720="","",IF(OR('Data Export'!F1720="三厢轿车",'Data Export'!F1720="掀背轿车",'Data Export'!F1720="旅行车",'Data Export'!F1720="微型车",'Data Export'!F1720="硬顶跑车",'Data Export'!F1720="敞蓬车",'Data Export'!F1720="Targa"),"轿车",IF(OR('Data Export'!F1720="小型MPV",'Data Export'!F1720="客车"),"MPV",IF('Data Export'!F1720="运动型多功能车","SUV","其他"))))</f>
        <v/>
      </c>
      <c r="K1720" s="62"/>
      <c r="L1720" s="62"/>
      <c r="M1720" s="62"/>
      <c r="N1720" s="62"/>
      <c r="O1720" s="62"/>
      <c r="P1720" s="62"/>
      <c r="Q1720" s="62"/>
    </row>
    <row r="1721" spans="1:17">
      <c r="A1721" s="62"/>
      <c r="B1721" s="62"/>
      <c r="C1721" s="62"/>
      <c r="D1721" s="62"/>
      <c r="E1721" s="62"/>
      <c r="F1721" s="62"/>
      <c r="G1721" s="62"/>
      <c r="H1721" s="62" t="str">
        <f>IF(AND('Data Export'!A1721=前十整体车型排名!$B$2,'Data Export'!B1721=前十整体车型排名!$B$3,'Data Export'!D1721&lt;&gt;""),UPPER('Data Export'!C1721)&amp;"♦"&amp;'Data Export'!D1721,"")</f>
        <v/>
      </c>
      <c r="I1721" s="63" t="str">
        <f>IF(H1721="","",IFERROR(INDEX('Data Export'!G1721:CZ1721,1,MATCH(前十整体车型排名!$B$4,'Data Export'!$G$1:$CZ$1,0)),0))</f>
        <v/>
      </c>
      <c r="J1721" s="62" t="str">
        <f>IF(H1721="","",IF(OR('Data Export'!F1721="三厢轿车",'Data Export'!F1721="掀背轿车",'Data Export'!F1721="旅行车",'Data Export'!F1721="微型车",'Data Export'!F1721="硬顶跑车",'Data Export'!F1721="敞蓬车",'Data Export'!F1721="Targa"),"轿车",IF(OR('Data Export'!F1721="小型MPV",'Data Export'!F1721="客车"),"MPV",IF('Data Export'!F1721="运动型多功能车","SUV","其他"))))</f>
        <v/>
      </c>
      <c r="K1721" s="62"/>
      <c r="L1721" s="62"/>
      <c r="M1721" s="62"/>
      <c r="N1721" s="62"/>
      <c r="O1721" s="62"/>
      <c r="P1721" s="62"/>
      <c r="Q1721" s="62"/>
    </row>
    <row r="1722" spans="1:17">
      <c r="A1722" s="62"/>
      <c r="B1722" s="62"/>
      <c r="C1722" s="62"/>
      <c r="D1722" s="62"/>
      <c r="E1722" s="62"/>
      <c r="F1722" s="62"/>
      <c r="G1722" s="62"/>
      <c r="H1722" s="62" t="str">
        <f>IF(AND('Data Export'!A1722=前十整体车型排名!$B$2,'Data Export'!B1722=前十整体车型排名!$B$3,'Data Export'!D1722&lt;&gt;""),UPPER('Data Export'!C1722)&amp;"♦"&amp;'Data Export'!D1722,"")</f>
        <v/>
      </c>
      <c r="I1722" s="63" t="str">
        <f>IF(H1722="","",IFERROR(INDEX('Data Export'!G1722:CZ1722,1,MATCH(前十整体车型排名!$B$4,'Data Export'!$G$1:$CZ$1,0)),0))</f>
        <v/>
      </c>
      <c r="J1722" s="62" t="str">
        <f>IF(H1722="","",IF(OR('Data Export'!F1722="三厢轿车",'Data Export'!F1722="掀背轿车",'Data Export'!F1722="旅行车",'Data Export'!F1722="微型车",'Data Export'!F1722="硬顶跑车",'Data Export'!F1722="敞蓬车",'Data Export'!F1722="Targa"),"轿车",IF(OR('Data Export'!F1722="小型MPV",'Data Export'!F1722="客车"),"MPV",IF('Data Export'!F1722="运动型多功能车","SUV","其他"))))</f>
        <v/>
      </c>
      <c r="K1722" s="62"/>
      <c r="L1722" s="62"/>
      <c r="M1722" s="62"/>
      <c r="N1722" s="62"/>
      <c r="O1722" s="62"/>
      <c r="P1722" s="62"/>
      <c r="Q1722" s="62"/>
    </row>
    <row r="1723" spans="1:17">
      <c r="A1723" s="62"/>
      <c r="B1723" s="62"/>
      <c r="C1723" s="62"/>
      <c r="D1723" s="62"/>
      <c r="E1723" s="62"/>
      <c r="F1723" s="62"/>
      <c r="G1723" s="62"/>
      <c r="H1723" s="62" t="str">
        <f>IF(AND('Data Export'!A1723=前十整体车型排名!$B$2,'Data Export'!B1723=前十整体车型排名!$B$3,'Data Export'!D1723&lt;&gt;""),UPPER('Data Export'!C1723)&amp;"♦"&amp;'Data Export'!D1723,"")</f>
        <v/>
      </c>
      <c r="I1723" s="63" t="str">
        <f>IF(H1723="","",IFERROR(INDEX('Data Export'!G1723:CZ1723,1,MATCH(前十整体车型排名!$B$4,'Data Export'!$G$1:$CZ$1,0)),0))</f>
        <v/>
      </c>
      <c r="J1723" s="62" t="str">
        <f>IF(H1723="","",IF(OR('Data Export'!F1723="三厢轿车",'Data Export'!F1723="掀背轿车",'Data Export'!F1723="旅行车",'Data Export'!F1723="微型车",'Data Export'!F1723="硬顶跑车",'Data Export'!F1723="敞蓬车",'Data Export'!F1723="Targa"),"轿车",IF(OR('Data Export'!F1723="小型MPV",'Data Export'!F1723="客车"),"MPV",IF('Data Export'!F1723="运动型多功能车","SUV","其他"))))</f>
        <v/>
      </c>
      <c r="K1723" s="62"/>
      <c r="L1723" s="62"/>
      <c r="M1723" s="62"/>
      <c r="N1723" s="62"/>
      <c r="O1723" s="62"/>
      <c r="P1723" s="62"/>
      <c r="Q1723" s="62"/>
    </row>
    <row r="1724" spans="1:17">
      <c r="A1724" s="62"/>
      <c r="B1724" s="62"/>
      <c r="C1724" s="62"/>
      <c r="D1724" s="62"/>
      <c r="E1724" s="62"/>
      <c r="F1724" s="62"/>
      <c r="G1724" s="62"/>
      <c r="H1724" s="62" t="str">
        <f>IF(AND('Data Export'!A1724=前十整体车型排名!$B$2,'Data Export'!B1724=前十整体车型排名!$B$3,'Data Export'!D1724&lt;&gt;""),UPPER('Data Export'!C1724)&amp;"♦"&amp;'Data Export'!D1724,"")</f>
        <v/>
      </c>
      <c r="I1724" s="63" t="str">
        <f>IF(H1724="","",IFERROR(INDEX('Data Export'!G1724:CZ1724,1,MATCH(前十整体车型排名!$B$4,'Data Export'!$G$1:$CZ$1,0)),0))</f>
        <v/>
      </c>
      <c r="J1724" s="62" t="str">
        <f>IF(H1724="","",IF(OR('Data Export'!F1724="三厢轿车",'Data Export'!F1724="掀背轿车",'Data Export'!F1724="旅行车",'Data Export'!F1724="微型车",'Data Export'!F1724="硬顶跑车",'Data Export'!F1724="敞蓬车",'Data Export'!F1724="Targa"),"轿车",IF(OR('Data Export'!F1724="小型MPV",'Data Export'!F1724="客车"),"MPV",IF('Data Export'!F1724="运动型多功能车","SUV","其他"))))</f>
        <v/>
      </c>
      <c r="K1724" s="62"/>
      <c r="L1724" s="62"/>
      <c r="M1724" s="62"/>
      <c r="N1724" s="62"/>
      <c r="O1724" s="62"/>
      <c r="P1724" s="62"/>
      <c r="Q1724" s="62"/>
    </row>
    <row r="1725" spans="1:17">
      <c r="A1725" s="62"/>
      <c r="B1725" s="62"/>
      <c r="C1725" s="62"/>
      <c r="D1725" s="62"/>
      <c r="E1725" s="62"/>
      <c r="F1725" s="62"/>
      <c r="G1725" s="62"/>
      <c r="H1725" s="62" t="str">
        <f>IF(AND('Data Export'!A1725=前十整体车型排名!$B$2,'Data Export'!B1725=前十整体车型排名!$B$3,'Data Export'!D1725&lt;&gt;""),UPPER('Data Export'!C1725)&amp;"♦"&amp;'Data Export'!D1725,"")</f>
        <v/>
      </c>
      <c r="I1725" s="63" t="str">
        <f>IF(H1725="","",IFERROR(INDEX('Data Export'!G1725:CZ1725,1,MATCH(前十整体车型排名!$B$4,'Data Export'!$G$1:$CZ$1,0)),0))</f>
        <v/>
      </c>
      <c r="J1725" s="62" t="str">
        <f>IF(H1725="","",IF(OR('Data Export'!F1725="三厢轿车",'Data Export'!F1725="掀背轿车",'Data Export'!F1725="旅行车",'Data Export'!F1725="微型车",'Data Export'!F1725="硬顶跑车",'Data Export'!F1725="敞蓬车",'Data Export'!F1725="Targa"),"轿车",IF(OR('Data Export'!F1725="小型MPV",'Data Export'!F1725="客车"),"MPV",IF('Data Export'!F1725="运动型多功能车","SUV","其他"))))</f>
        <v/>
      </c>
      <c r="K1725" s="62"/>
      <c r="L1725" s="62"/>
      <c r="M1725" s="62"/>
      <c r="N1725" s="62"/>
      <c r="O1725" s="62"/>
      <c r="P1725" s="62"/>
      <c r="Q1725" s="62"/>
    </row>
    <row r="1726" spans="1:17">
      <c r="A1726" s="62"/>
      <c r="B1726" s="62"/>
      <c r="C1726" s="62"/>
      <c r="D1726" s="62"/>
      <c r="E1726" s="62"/>
      <c r="F1726" s="62"/>
      <c r="G1726" s="62"/>
      <c r="H1726" s="62" t="str">
        <f>IF(AND('Data Export'!A1726=前十整体车型排名!$B$2,'Data Export'!B1726=前十整体车型排名!$B$3,'Data Export'!D1726&lt;&gt;""),UPPER('Data Export'!C1726)&amp;"♦"&amp;'Data Export'!D1726,"")</f>
        <v/>
      </c>
      <c r="I1726" s="63" t="str">
        <f>IF(H1726="","",IFERROR(INDEX('Data Export'!G1726:CZ1726,1,MATCH(前十整体车型排名!$B$4,'Data Export'!$G$1:$CZ$1,0)),0))</f>
        <v/>
      </c>
      <c r="J1726" s="62" t="str">
        <f>IF(H1726="","",IF(OR('Data Export'!F1726="三厢轿车",'Data Export'!F1726="掀背轿车",'Data Export'!F1726="旅行车",'Data Export'!F1726="微型车",'Data Export'!F1726="硬顶跑车",'Data Export'!F1726="敞蓬车",'Data Export'!F1726="Targa"),"轿车",IF(OR('Data Export'!F1726="小型MPV",'Data Export'!F1726="客车"),"MPV",IF('Data Export'!F1726="运动型多功能车","SUV","其他"))))</f>
        <v/>
      </c>
      <c r="K1726" s="62"/>
      <c r="L1726" s="62"/>
      <c r="M1726" s="62"/>
      <c r="N1726" s="62"/>
      <c r="O1726" s="62"/>
      <c r="P1726" s="62"/>
      <c r="Q1726" s="62"/>
    </row>
    <row r="1727" spans="1:17">
      <c r="A1727" s="62"/>
      <c r="B1727" s="62"/>
      <c r="C1727" s="62"/>
      <c r="D1727" s="62"/>
      <c r="E1727" s="62"/>
      <c r="F1727" s="62"/>
      <c r="G1727" s="62"/>
      <c r="H1727" s="62" t="str">
        <f>IF(AND('Data Export'!A1727=前十整体车型排名!$B$2,'Data Export'!B1727=前十整体车型排名!$B$3,'Data Export'!D1727&lt;&gt;""),UPPER('Data Export'!C1727)&amp;"♦"&amp;'Data Export'!D1727,"")</f>
        <v/>
      </c>
      <c r="I1727" s="63" t="str">
        <f>IF(H1727="","",IFERROR(INDEX('Data Export'!G1727:CZ1727,1,MATCH(前十整体车型排名!$B$4,'Data Export'!$G$1:$CZ$1,0)),0))</f>
        <v/>
      </c>
      <c r="J1727" s="62" t="str">
        <f>IF(H1727="","",IF(OR('Data Export'!F1727="三厢轿车",'Data Export'!F1727="掀背轿车",'Data Export'!F1727="旅行车",'Data Export'!F1727="微型车",'Data Export'!F1727="硬顶跑车",'Data Export'!F1727="敞蓬车",'Data Export'!F1727="Targa"),"轿车",IF(OR('Data Export'!F1727="小型MPV",'Data Export'!F1727="客车"),"MPV",IF('Data Export'!F1727="运动型多功能车","SUV","其他"))))</f>
        <v/>
      </c>
      <c r="K1727" s="62"/>
      <c r="L1727" s="62"/>
      <c r="M1727" s="62"/>
      <c r="N1727" s="62"/>
      <c r="O1727" s="62"/>
      <c r="P1727" s="62"/>
      <c r="Q1727" s="62"/>
    </row>
    <row r="1728" spans="1:17">
      <c r="A1728" s="62"/>
      <c r="B1728" s="62"/>
      <c r="C1728" s="62"/>
      <c r="D1728" s="62"/>
      <c r="E1728" s="62"/>
      <c r="F1728" s="62"/>
      <c r="G1728" s="62"/>
      <c r="H1728" s="62" t="str">
        <f>IF(AND('Data Export'!A1728=前十整体车型排名!$B$2,'Data Export'!B1728=前十整体车型排名!$B$3,'Data Export'!D1728&lt;&gt;""),UPPER('Data Export'!C1728)&amp;"♦"&amp;'Data Export'!D1728,"")</f>
        <v/>
      </c>
      <c r="I1728" s="63" t="str">
        <f>IF(H1728="","",IFERROR(INDEX('Data Export'!G1728:CZ1728,1,MATCH(前十整体车型排名!$B$4,'Data Export'!$G$1:$CZ$1,0)),0))</f>
        <v/>
      </c>
      <c r="J1728" s="62" t="str">
        <f>IF(H1728="","",IF(OR('Data Export'!F1728="三厢轿车",'Data Export'!F1728="掀背轿车",'Data Export'!F1728="旅行车",'Data Export'!F1728="微型车",'Data Export'!F1728="硬顶跑车",'Data Export'!F1728="敞蓬车",'Data Export'!F1728="Targa"),"轿车",IF(OR('Data Export'!F1728="小型MPV",'Data Export'!F1728="客车"),"MPV",IF('Data Export'!F1728="运动型多功能车","SUV","其他"))))</f>
        <v/>
      </c>
      <c r="K1728" s="62"/>
      <c r="L1728" s="62"/>
      <c r="M1728" s="62"/>
      <c r="N1728" s="62"/>
      <c r="O1728" s="62"/>
      <c r="P1728" s="62"/>
      <c r="Q1728" s="62"/>
    </row>
    <row r="1729" spans="1:17">
      <c r="A1729" s="62"/>
      <c r="B1729" s="62"/>
      <c r="C1729" s="62"/>
      <c r="D1729" s="62"/>
      <c r="E1729" s="62"/>
      <c r="F1729" s="62"/>
      <c r="G1729" s="62"/>
      <c r="H1729" s="62" t="str">
        <f>IF(AND('Data Export'!A1729=前十整体车型排名!$B$2,'Data Export'!B1729=前十整体车型排名!$B$3,'Data Export'!D1729&lt;&gt;""),UPPER('Data Export'!C1729)&amp;"♦"&amp;'Data Export'!D1729,"")</f>
        <v/>
      </c>
      <c r="I1729" s="63" t="str">
        <f>IF(H1729="","",IFERROR(INDEX('Data Export'!G1729:CZ1729,1,MATCH(前十整体车型排名!$B$4,'Data Export'!$G$1:$CZ$1,0)),0))</f>
        <v/>
      </c>
      <c r="J1729" s="62" t="str">
        <f>IF(H1729="","",IF(OR('Data Export'!F1729="三厢轿车",'Data Export'!F1729="掀背轿车",'Data Export'!F1729="旅行车",'Data Export'!F1729="微型车",'Data Export'!F1729="硬顶跑车",'Data Export'!F1729="敞蓬车",'Data Export'!F1729="Targa"),"轿车",IF(OR('Data Export'!F1729="小型MPV",'Data Export'!F1729="客车"),"MPV",IF('Data Export'!F1729="运动型多功能车","SUV","其他"))))</f>
        <v/>
      </c>
      <c r="K1729" s="62"/>
      <c r="L1729" s="62"/>
      <c r="M1729" s="62"/>
      <c r="N1729" s="62"/>
      <c r="O1729" s="62"/>
      <c r="P1729" s="62"/>
      <c r="Q1729" s="62"/>
    </row>
    <row r="1730" spans="1:17">
      <c r="A1730" s="62"/>
      <c r="B1730" s="62"/>
      <c r="C1730" s="62"/>
      <c r="D1730" s="62"/>
      <c r="E1730" s="62"/>
      <c r="F1730" s="62"/>
      <c r="G1730" s="62"/>
      <c r="H1730" s="62" t="str">
        <f>IF(AND('Data Export'!A1730=前十整体车型排名!$B$2,'Data Export'!B1730=前十整体车型排名!$B$3,'Data Export'!D1730&lt;&gt;""),UPPER('Data Export'!C1730)&amp;"♦"&amp;'Data Export'!D1730,"")</f>
        <v/>
      </c>
      <c r="I1730" s="63" t="str">
        <f>IF(H1730="","",IFERROR(INDEX('Data Export'!G1730:CZ1730,1,MATCH(前十整体车型排名!$B$4,'Data Export'!$G$1:$CZ$1,0)),0))</f>
        <v/>
      </c>
      <c r="J1730" s="62" t="str">
        <f>IF(H1730="","",IF(OR('Data Export'!F1730="三厢轿车",'Data Export'!F1730="掀背轿车",'Data Export'!F1730="旅行车",'Data Export'!F1730="微型车",'Data Export'!F1730="硬顶跑车",'Data Export'!F1730="敞蓬车",'Data Export'!F1730="Targa"),"轿车",IF(OR('Data Export'!F1730="小型MPV",'Data Export'!F1730="客车"),"MPV",IF('Data Export'!F1730="运动型多功能车","SUV","其他"))))</f>
        <v/>
      </c>
      <c r="K1730" s="62"/>
      <c r="L1730" s="62"/>
      <c r="M1730" s="62"/>
      <c r="N1730" s="62"/>
      <c r="O1730" s="62"/>
      <c r="P1730" s="62"/>
      <c r="Q1730" s="62"/>
    </row>
    <row r="1731" spans="1:17">
      <c r="A1731" s="62"/>
      <c r="B1731" s="62"/>
      <c r="C1731" s="62"/>
      <c r="D1731" s="62"/>
      <c r="E1731" s="62"/>
      <c r="F1731" s="62"/>
      <c r="G1731" s="62"/>
      <c r="H1731" s="62" t="str">
        <f>IF(AND('Data Export'!A1731=前十整体车型排名!$B$2,'Data Export'!B1731=前十整体车型排名!$B$3,'Data Export'!D1731&lt;&gt;""),UPPER('Data Export'!C1731)&amp;"♦"&amp;'Data Export'!D1731,"")</f>
        <v/>
      </c>
      <c r="I1731" s="63" t="str">
        <f>IF(H1731="","",IFERROR(INDEX('Data Export'!G1731:CZ1731,1,MATCH(前十整体车型排名!$B$4,'Data Export'!$G$1:$CZ$1,0)),0))</f>
        <v/>
      </c>
      <c r="J1731" s="62" t="str">
        <f>IF(H1731="","",IF(OR('Data Export'!F1731="三厢轿车",'Data Export'!F1731="掀背轿车",'Data Export'!F1731="旅行车",'Data Export'!F1731="微型车",'Data Export'!F1731="硬顶跑车",'Data Export'!F1731="敞蓬车",'Data Export'!F1731="Targa"),"轿车",IF(OR('Data Export'!F1731="小型MPV",'Data Export'!F1731="客车"),"MPV",IF('Data Export'!F1731="运动型多功能车","SUV","其他"))))</f>
        <v/>
      </c>
      <c r="K1731" s="62"/>
      <c r="L1731" s="62"/>
      <c r="M1731" s="62"/>
      <c r="N1731" s="62"/>
      <c r="O1731" s="62"/>
      <c r="P1731" s="62"/>
      <c r="Q1731" s="62"/>
    </row>
    <row r="1732" spans="1:17">
      <c r="A1732" s="62"/>
      <c r="B1732" s="62"/>
      <c r="C1732" s="62"/>
      <c r="D1732" s="62"/>
      <c r="E1732" s="62"/>
      <c r="F1732" s="62"/>
      <c r="G1732" s="62"/>
      <c r="H1732" s="62" t="str">
        <f>IF(AND('Data Export'!A1732=前十整体车型排名!$B$2,'Data Export'!B1732=前十整体车型排名!$B$3,'Data Export'!D1732&lt;&gt;""),UPPER('Data Export'!C1732)&amp;"♦"&amp;'Data Export'!D1732,"")</f>
        <v/>
      </c>
      <c r="I1732" s="63" t="str">
        <f>IF(H1732="","",IFERROR(INDEX('Data Export'!G1732:CZ1732,1,MATCH(前十整体车型排名!$B$4,'Data Export'!$G$1:$CZ$1,0)),0))</f>
        <v/>
      </c>
      <c r="J1732" s="62" t="str">
        <f>IF(H1732="","",IF(OR('Data Export'!F1732="三厢轿车",'Data Export'!F1732="掀背轿车",'Data Export'!F1732="旅行车",'Data Export'!F1732="微型车",'Data Export'!F1732="硬顶跑车",'Data Export'!F1732="敞蓬车",'Data Export'!F1732="Targa"),"轿车",IF(OR('Data Export'!F1732="小型MPV",'Data Export'!F1732="客车"),"MPV",IF('Data Export'!F1732="运动型多功能车","SUV","其他"))))</f>
        <v/>
      </c>
      <c r="K1732" s="62"/>
      <c r="L1732" s="62"/>
      <c r="M1732" s="62"/>
      <c r="N1732" s="62"/>
      <c r="O1732" s="62"/>
      <c r="P1732" s="62"/>
      <c r="Q1732" s="62"/>
    </row>
    <row r="1733" spans="1:17">
      <c r="A1733" s="62"/>
      <c r="B1733" s="62"/>
      <c r="C1733" s="62"/>
      <c r="D1733" s="62"/>
      <c r="E1733" s="62"/>
      <c r="F1733" s="62"/>
      <c r="G1733" s="62"/>
      <c r="H1733" s="62" t="str">
        <f>IF(AND('Data Export'!A1733=前十整体车型排名!$B$2,'Data Export'!B1733=前十整体车型排名!$B$3,'Data Export'!D1733&lt;&gt;""),UPPER('Data Export'!C1733)&amp;"♦"&amp;'Data Export'!D1733,"")</f>
        <v/>
      </c>
      <c r="I1733" s="63" t="str">
        <f>IF(H1733="","",IFERROR(INDEX('Data Export'!G1733:CZ1733,1,MATCH(前十整体车型排名!$B$4,'Data Export'!$G$1:$CZ$1,0)),0))</f>
        <v/>
      </c>
      <c r="J1733" s="62" t="str">
        <f>IF(H1733="","",IF(OR('Data Export'!F1733="三厢轿车",'Data Export'!F1733="掀背轿车",'Data Export'!F1733="旅行车",'Data Export'!F1733="微型车",'Data Export'!F1733="硬顶跑车",'Data Export'!F1733="敞蓬车",'Data Export'!F1733="Targa"),"轿车",IF(OR('Data Export'!F1733="小型MPV",'Data Export'!F1733="客车"),"MPV",IF('Data Export'!F1733="运动型多功能车","SUV","其他"))))</f>
        <v/>
      </c>
      <c r="K1733" s="62"/>
      <c r="L1733" s="62"/>
      <c r="M1733" s="62"/>
      <c r="N1733" s="62"/>
      <c r="O1733" s="62"/>
      <c r="P1733" s="62"/>
      <c r="Q1733" s="62"/>
    </row>
    <row r="1734" spans="1:17">
      <c r="A1734" s="62"/>
      <c r="B1734" s="62"/>
      <c r="C1734" s="62"/>
      <c r="D1734" s="62"/>
      <c r="E1734" s="62"/>
      <c r="F1734" s="62"/>
      <c r="G1734" s="62"/>
      <c r="H1734" s="62" t="str">
        <f>IF(AND('Data Export'!A1734=前十整体车型排名!$B$2,'Data Export'!B1734=前十整体车型排名!$B$3,'Data Export'!D1734&lt;&gt;""),UPPER('Data Export'!C1734)&amp;"♦"&amp;'Data Export'!D1734,"")</f>
        <v/>
      </c>
      <c r="I1734" s="63" t="str">
        <f>IF(H1734="","",IFERROR(INDEX('Data Export'!G1734:CZ1734,1,MATCH(前十整体车型排名!$B$4,'Data Export'!$G$1:$CZ$1,0)),0))</f>
        <v/>
      </c>
      <c r="J1734" s="62" t="str">
        <f>IF(H1734="","",IF(OR('Data Export'!F1734="三厢轿车",'Data Export'!F1734="掀背轿车",'Data Export'!F1734="旅行车",'Data Export'!F1734="微型车",'Data Export'!F1734="硬顶跑车",'Data Export'!F1734="敞蓬车",'Data Export'!F1734="Targa"),"轿车",IF(OR('Data Export'!F1734="小型MPV",'Data Export'!F1734="客车"),"MPV",IF('Data Export'!F1734="运动型多功能车","SUV","其他"))))</f>
        <v/>
      </c>
      <c r="K1734" s="62"/>
      <c r="L1734" s="62"/>
      <c r="M1734" s="62"/>
      <c r="N1734" s="62"/>
      <c r="O1734" s="62"/>
      <c r="P1734" s="62"/>
      <c r="Q1734" s="62"/>
    </row>
    <row r="1735" spans="1:17">
      <c r="A1735" s="62"/>
      <c r="B1735" s="62"/>
      <c r="C1735" s="62"/>
      <c r="D1735" s="62"/>
      <c r="E1735" s="62"/>
      <c r="F1735" s="62"/>
      <c r="G1735" s="62"/>
      <c r="H1735" s="62" t="str">
        <f>IF(AND('Data Export'!A1735=前十整体车型排名!$B$2,'Data Export'!B1735=前十整体车型排名!$B$3,'Data Export'!D1735&lt;&gt;""),UPPER('Data Export'!C1735)&amp;"♦"&amp;'Data Export'!D1735,"")</f>
        <v/>
      </c>
      <c r="I1735" s="63" t="str">
        <f>IF(H1735="","",IFERROR(INDEX('Data Export'!G1735:CZ1735,1,MATCH(前十整体车型排名!$B$4,'Data Export'!$G$1:$CZ$1,0)),0))</f>
        <v/>
      </c>
      <c r="J1735" s="62" t="str">
        <f>IF(H1735="","",IF(OR('Data Export'!F1735="三厢轿车",'Data Export'!F1735="掀背轿车",'Data Export'!F1735="旅行车",'Data Export'!F1735="微型车",'Data Export'!F1735="硬顶跑车",'Data Export'!F1735="敞蓬车",'Data Export'!F1735="Targa"),"轿车",IF(OR('Data Export'!F1735="小型MPV",'Data Export'!F1735="客车"),"MPV",IF('Data Export'!F1735="运动型多功能车","SUV","其他"))))</f>
        <v/>
      </c>
      <c r="K1735" s="62"/>
      <c r="L1735" s="62"/>
      <c r="M1735" s="62"/>
      <c r="N1735" s="62"/>
      <c r="O1735" s="62"/>
      <c r="P1735" s="62"/>
      <c r="Q1735" s="62"/>
    </row>
    <row r="1736" spans="1:17">
      <c r="A1736" s="62"/>
      <c r="B1736" s="62"/>
      <c r="C1736" s="62"/>
      <c r="D1736" s="62"/>
      <c r="E1736" s="62"/>
      <c r="F1736" s="62"/>
      <c r="G1736" s="62"/>
      <c r="H1736" s="62" t="str">
        <f>IF(AND('Data Export'!A1736=前十整体车型排名!$B$2,'Data Export'!B1736=前十整体车型排名!$B$3,'Data Export'!D1736&lt;&gt;""),UPPER('Data Export'!C1736)&amp;"♦"&amp;'Data Export'!D1736,"")</f>
        <v/>
      </c>
      <c r="I1736" s="63" t="str">
        <f>IF(H1736="","",IFERROR(INDEX('Data Export'!G1736:CZ1736,1,MATCH(前十整体车型排名!$B$4,'Data Export'!$G$1:$CZ$1,0)),0))</f>
        <v/>
      </c>
      <c r="J1736" s="62" t="str">
        <f>IF(H1736="","",IF(OR('Data Export'!F1736="三厢轿车",'Data Export'!F1736="掀背轿车",'Data Export'!F1736="旅行车",'Data Export'!F1736="微型车",'Data Export'!F1736="硬顶跑车",'Data Export'!F1736="敞蓬车",'Data Export'!F1736="Targa"),"轿车",IF(OR('Data Export'!F1736="小型MPV",'Data Export'!F1736="客车"),"MPV",IF('Data Export'!F1736="运动型多功能车","SUV","其他"))))</f>
        <v/>
      </c>
      <c r="K1736" s="62"/>
      <c r="L1736" s="62"/>
      <c r="M1736" s="62"/>
      <c r="N1736" s="62"/>
      <c r="O1736" s="62"/>
      <c r="P1736" s="62"/>
      <c r="Q1736" s="62"/>
    </row>
    <row r="1737" spans="1:17">
      <c r="A1737" s="62"/>
      <c r="B1737" s="62"/>
      <c r="C1737" s="62"/>
      <c r="D1737" s="62"/>
      <c r="E1737" s="62"/>
      <c r="F1737" s="62"/>
      <c r="G1737" s="62"/>
      <c r="H1737" s="62" t="str">
        <f>IF(AND('Data Export'!A1737=前十整体车型排名!$B$2,'Data Export'!B1737=前十整体车型排名!$B$3,'Data Export'!D1737&lt;&gt;""),UPPER('Data Export'!C1737)&amp;"♦"&amp;'Data Export'!D1737,"")</f>
        <v/>
      </c>
      <c r="I1737" s="63" t="str">
        <f>IF(H1737="","",IFERROR(INDEX('Data Export'!G1737:CZ1737,1,MATCH(前十整体车型排名!$B$4,'Data Export'!$G$1:$CZ$1,0)),0))</f>
        <v/>
      </c>
      <c r="J1737" s="62" t="str">
        <f>IF(H1737="","",IF(OR('Data Export'!F1737="三厢轿车",'Data Export'!F1737="掀背轿车",'Data Export'!F1737="旅行车",'Data Export'!F1737="微型车",'Data Export'!F1737="硬顶跑车",'Data Export'!F1737="敞蓬车",'Data Export'!F1737="Targa"),"轿车",IF(OR('Data Export'!F1737="小型MPV",'Data Export'!F1737="客车"),"MPV",IF('Data Export'!F1737="运动型多功能车","SUV","其他"))))</f>
        <v/>
      </c>
      <c r="K1737" s="62"/>
      <c r="L1737" s="62"/>
      <c r="M1737" s="62"/>
      <c r="N1737" s="62"/>
      <c r="O1737" s="62"/>
      <c r="P1737" s="62"/>
      <c r="Q1737" s="62"/>
    </row>
    <row r="1738" spans="1:17">
      <c r="A1738" s="62"/>
      <c r="B1738" s="62"/>
      <c r="C1738" s="62"/>
      <c r="D1738" s="62"/>
      <c r="E1738" s="62"/>
      <c r="F1738" s="62"/>
      <c r="G1738" s="62"/>
      <c r="H1738" s="62" t="str">
        <f>IF(AND('Data Export'!A1738=前十整体车型排名!$B$2,'Data Export'!B1738=前十整体车型排名!$B$3,'Data Export'!D1738&lt;&gt;""),UPPER('Data Export'!C1738)&amp;"♦"&amp;'Data Export'!D1738,"")</f>
        <v/>
      </c>
      <c r="I1738" s="63" t="str">
        <f>IF(H1738="","",IFERROR(INDEX('Data Export'!G1738:CZ1738,1,MATCH(前十整体车型排名!$B$4,'Data Export'!$G$1:$CZ$1,0)),0))</f>
        <v/>
      </c>
      <c r="J1738" s="62" t="str">
        <f>IF(H1738="","",IF(OR('Data Export'!F1738="三厢轿车",'Data Export'!F1738="掀背轿车",'Data Export'!F1738="旅行车",'Data Export'!F1738="微型车",'Data Export'!F1738="硬顶跑车",'Data Export'!F1738="敞蓬车",'Data Export'!F1738="Targa"),"轿车",IF(OR('Data Export'!F1738="小型MPV",'Data Export'!F1738="客车"),"MPV",IF('Data Export'!F1738="运动型多功能车","SUV","其他"))))</f>
        <v/>
      </c>
      <c r="K1738" s="62"/>
      <c r="L1738" s="62"/>
      <c r="M1738" s="62"/>
      <c r="N1738" s="62"/>
      <c r="O1738" s="62"/>
      <c r="P1738" s="62"/>
      <c r="Q1738" s="62"/>
    </row>
    <row r="1739" spans="1:17">
      <c r="A1739" s="62"/>
      <c r="B1739" s="62"/>
      <c r="C1739" s="62"/>
      <c r="D1739" s="62"/>
      <c r="E1739" s="62"/>
      <c r="F1739" s="62"/>
      <c r="G1739" s="62"/>
      <c r="H1739" s="62" t="str">
        <f>IF(AND('Data Export'!A1739=前十整体车型排名!$B$2,'Data Export'!B1739=前十整体车型排名!$B$3,'Data Export'!D1739&lt;&gt;""),UPPER('Data Export'!C1739)&amp;"♦"&amp;'Data Export'!D1739,"")</f>
        <v/>
      </c>
      <c r="I1739" s="63" t="str">
        <f>IF(H1739="","",IFERROR(INDEX('Data Export'!G1739:CZ1739,1,MATCH(前十整体车型排名!$B$4,'Data Export'!$G$1:$CZ$1,0)),0))</f>
        <v/>
      </c>
      <c r="J1739" s="62" t="str">
        <f>IF(H1739="","",IF(OR('Data Export'!F1739="三厢轿车",'Data Export'!F1739="掀背轿车",'Data Export'!F1739="旅行车",'Data Export'!F1739="微型车",'Data Export'!F1739="硬顶跑车",'Data Export'!F1739="敞蓬车",'Data Export'!F1739="Targa"),"轿车",IF(OR('Data Export'!F1739="小型MPV",'Data Export'!F1739="客车"),"MPV",IF('Data Export'!F1739="运动型多功能车","SUV","其他"))))</f>
        <v/>
      </c>
      <c r="K1739" s="62"/>
      <c r="L1739" s="62"/>
      <c r="M1739" s="62"/>
      <c r="N1739" s="62"/>
      <c r="O1739" s="62"/>
      <c r="P1739" s="62"/>
      <c r="Q1739" s="62"/>
    </row>
    <row r="1740" spans="1:17">
      <c r="A1740" s="62"/>
      <c r="B1740" s="62"/>
      <c r="C1740" s="62"/>
      <c r="D1740" s="62"/>
      <c r="E1740" s="62"/>
      <c r="F1740" s="62"/>
      <c r="G1740" s="62"/>
      <c r="H1740" s="62" t="str">
        <f>IF(AND('Data Export'!A1740=前十整体车型排名!$B$2,'Data Export'!B1740=前十整体车型排名!$B$3,'Data Export'!D1740&lt;&gt;""),UPPER('Data Export'!C1740)&amp;"♦"&amp;'Data Export'!D1740,"")</f>
        <v/>
      </c>
      <c r="I1740" s="63" t="str">
        <f>IF(H1740="","",IFERROR(INDEX('Data Export'!G1740:CZ1740,1,MATCH(前十整体车型排名!$B$4,'Data Export'!$G$1:$CZ$1,0)),0))</f>
        <v/>
      </c>
      <c r="J1740" s="62" t="str">
        <f>IF(H1740="","",IF(OR('Data Export'!F1740="三厢轿车",'Data Export'!F1740="掀背轿车",'Data Export'!F1740="旅行车",'Data Export'!F1740="微型车",'Data Export'!F1740="硬顶跑车",'Data Export'!F1740="敞蓬车",'Data Export'!F1740="Targa"),"轿车",IF(OR('Data Export'!F1740="小型MPV",'Data Export'!F1740="客车"),"MPV",IF('Data Export'!F1740="运动型多功能车","SUV","其他"))))</f>
        <v/>
      </c>
      <c r="K1740" s="62"/>
      <c r="L1740" s="62"/>
      <c r="M1740" s="62"/>
      <c r="N1740" s="62"/>
      <c r="O1740" s="62"/>
      <c r="P1740" s="62"/>
      <c r="Q1740" s="62"/>
    </row>
    <row r="1741" spans="1:17">
      <c r="A1741" s="62"/>
      <c r="B1741" s="62"/>
      <c r="C1741" s="62"/>
      <c r="D1741" s="62"/>
      <c r="E1741" s="62"/>
      <c r="F1741" s="62"/>
      <c r="G1741" s="62"/>
      <c r="H1741" s="62" t="str">
        <f>IF(AND('Data Export'!A1741=前十整体车型排名!$B$2,'Data Export'!B1741=前十整体车型排名!$B$3,'Data Export'!D1741&lt;&gt;""),UPPER('Data Export'!C1741)&amp;"♦"&amp;'Data Export'!D1741,"")</f>
        <v/>
      </c>
      <c r="I1741" s="63" t="str">
        <f>IF(H1741="","",IFERROR(INDEX('Data Export'!G1741:CZ1741,1,MATCH(前十整体车型排名!$B$4,'Data Export'!$G$1:$CZ$1,0)),0))</f>
        <v/>
      </c>
      <c r="J1741" s="62" t="str">
        <f>IF(H1741="","",IF(OR('Data Export'!F1741="三厢轿车",'Data Export'!F1741="掀背轿车",'Data Export'!F1741="旅行车",'Data Export'!F1741="微型车",'Data Export'!F1741="硬顶跑车",'Data Export'!F1741="敞蓬车",'Data Export'!F1741="Targa"),"轿车",IF(OR('Data Export'!F1741="小型MPV",'Data Export'!F1741="客车"),"MPV",IF('Data Export'!F1741="运动型多功能车","SUV","其他"))))</f>
        <v/>
      </c>
      <c r="K1741" s="62"/>
      <c r="L1741" s="62"/>
      <c r="M1741" s="62"/>
      <c r="N1741" s="62"/>
      <c r="O1741" s="62"/>
      <c r="P1741" s="62"/>
      <c r="Q1741" s="62"/>
    </row>
    <row r="1742" spans="1:17">
      <c r="A1742" s="62"/>
      <c r="B1742" s="62"/>
      <c r="C1742" s="62"/>
      <c r="D1742" s="62"/>
      <c r="E1742" s="62"/>
      <c r="F1742" s="62"/>
      <c r="G1742" s="62"/>
      <c r="H1742" s="62" t="str">
        <f>IF(AND('Data Export'!A1742=前十整体车型排名!$B$2,'Data Export'!B1742=前十整体车型排名!$B$3,'Data Export'!D1742&lt;&gt;""),UPPER('Data Export'!C1742)&amp;"♦"&amp;'Data Export'!D1742,"")</f>
        <v/>
      </c>
      <c r="I1742" s="63" t="str">
        <f>IF(H1742="","",IFERROR(INDEX('Data Export'!G1742:CZ1742,1,MATCH(前十整体车型排名!$B$4,'Data Export'!$G$1:$CZ$1,0)),0))</f>
        <v/>
      </c>
      <c r="J1742" s="62" t="str">
        <f>IF(H1742="","",IF(OR('Data Export'!F1742="三厢轿车",'Data Export'!F1742="掀背轿车",'Data Export'!F1742="旅行车",'Data Export'!F1742="微型车",'Data Export'!F1742="硬顶跑车",'Data Export'!F1742="敞蓬车",'Data Export'!F1742="Targa"),"轿车",IF(OR('Data Export'!F1742="小型MPV",'Data Export'!F1742="客车"),"MPV",IF('Data Export'!F1742="运动型多功能车","SUV","其他"))))</f>
        <v/>
      </c>
      <c r="K1742" s="62"/>
      <c r="L1742" s="62"/>
      <c r="M1742" s="62"/>
      <c r="N1742" s="62"/>
      <c r="O1742" s="62"/>
      <c r="P1742" s="62"/>
      <c r="Q1742" s="62"/>
    </row>
    <row r="1743" spans="1:17">
      <c r="A1743" s="62"/>
      <c r="B1743" s="62"/>
      <c r="C1743" s="62"/>
      <c r="D1743" s="62"/>
      <c r="E1743" s="62"/>
      <c r="F1743" s="62"/>
      <c r="G1743" s="62"/>
      <c r="H1743" s="62" t="str">
        <f>IF(AND('Data Export'!A1743=前十整体车型排名!$B$2,'Data Export'!B1743=前十整体车型排名!$B$3,'Data Export'!D1743&lt;&gt;""),UPPER('Data Export'!C1743)&amp;"♦"&amp;'Data Export'!D1743,"")</f>
        <v/>
      </c>
      <c r="I1743" s="63" t="str">
        <f>IF(H1743="","",IFERROR(INDEX('Data Export'!G1743:CZ1743,1,MATCH(前十整体车型排名!$B$4,'Data Export'!$G$1:$CZ$1,0)),0))</f>
        <v/>
      </c>
      <c r="J1743" s="62" t="str">
        <f>IF(H1743="","",IF(OR('Data Export'!F1743="三厢轿车",'Data Export'!F1743="掀背轿车",'Data Export'!F1743="旅行车",'Data Export'!F1743="微型车",'Data Export'!F1743="硬顶跑车",'Data Export'!F1743="敞蓬车",'Data Export'!F1743="Targa"),"轿车",IF(OR('Data Export'!F1743="小型MPV",'Data Export'!F1743="客车"),"MPV",IF('Data Export'!F1743="运动型多功能车","SUV","其他"))))</f>
        <v/>
      </c>
      <c r="K1743" s="62"/>
      <c r="L1743" s="62"/>
      <c r="M1743" s="62"/>
      <c r="N1743" s="62"/>
      <c r="O1743" s="62"/>
      <c r="P1743" s="62"/>
      <c r="Q1743" s="62"/>
    </row>
    <row r="1744" spans="1:17">
      <c r="A1744" s="62"/>
      <c r="B1744" s="62"/>
      <c r="C1744" s="62"/>
      <c r="D1744" s="62"/>
      <c r="E1744" s="62"/>
      <c r="F1744" s="62"/>
      <c r="G1744" s="62"/>
      <c r="H1744" s="62" t="str">
        <f>IF(AND('Data Export'!A1744=前十整体车型排名!$B$2,'Data Export'!B1744=前十整体车型排名!$B$3,'Data Export'!D1744&lt;&gt;""),UPPER('Data Export'!C1744)&amp;"♦"&amp;'Data Export'!D1744,"")</f>
        <v/>
      </c>
      <c r="I1744" s="63" t="str">
        <f>IF(H1744="","",IFERROR(INDEX('Data Export'!G1744:CZ1744,1,MATCH(前十整体车型排名!$B$4,'Data Export'!$G$1:$CZ$1,0)),0))</f>
        <v/>
      </c>
      <c r="J1744" s="62" t="str">
        <f>IF(H1744="","",IF(OR('Data Export'!F1744="三厢轿车",'Data Export'!F1744="掀背轿车",'Data Export'!F1744="旅行车",'Data Export'!F1744="微型车",'Data Export'!F1744="硬顶跑车",'Data Export'!F1744="敞蓬车",'Data Export'!F1744="Targa"),"轿车",IF(OR('Data Export'!F1744="小型MPV",'Data Export'!F1744="客车"),"MPV",IF('Data Export'!F1744="运动型多功能车","SUV","其他"))))</f>
        <v/>
      </c>
      <c r="K1744" s="62"/>
      <c r="L1744" s="62"/>
      <c r="M1744" s="62"/>
      <c r="N1744" s="62"/>
      <c r="O1744" s="62"/>
      <c r="P1744" s="62"/>
      <c r="Q1744" s="62"/>
    </row>
    <row r="1745" spans="1:17">
      <c r="A1745" s="62"/>
      <c r="B1745" s="62"/>
      <c r="C1745" s="62"/>
      <c r="D1745" s="62"/>
      <c r="E1745" s="62"/>
      <c r="F1745" s="62"/>
      <c r="G1745" s="62"/>
      <c r="H1745" s="62" t="str">
        <f>IF(AND('Data Export'!A1745=前十整体车型排名!$B$2,'Data Export'!B1745=前十整体车型排名!$B$3,'Data Export'!D1745&lt;&gt;""),UPPER('Data Export'!C1745)&amp;"♦"&amp;'Data Export'!D1745,"")</f>
        <v/>
      </c>
      <c r="I1745" s="63" t="str">
        <f>IF(H1745="","",IFERROR(INDEX('Data Export'!G1745:CZ1745,1,MATCH(前十整体车型排名!$B$4,'Data Export'!$G$1:$CZ$1,0)),0))</f>
        <v/>
      </c>
      <c r="J1745" s="62" t="str">
        <f>IF(H1745="","",IF(OR('Data Export'!F1745="三厢轿车",'Data Export'!F1745="掀背轿车",'Data Export'!F1745="旅行车",'Data Export'!F1745="微型车",'Data Export'!F1745="硬顶跑车",'Data Export'!F1745="敞蓬车",'Data Export'!F1745="Targa"),"轿车",IF(OR('Data Export'!F1745="小型MPV",'Data Export'!F1745="客车"),"MPV",IF('Data Export'!F1745="运动型多功能车","SUV","其他"))))</f>
        <v/>
      </c>
      <c r="K1745" s="62"/>
      <c r="L1745" s="62"/>
      <c r="M1745" s="62"/>
      <c r="N1745" s="62"/>
      <c r="O1745" s="62"/>
      <c r="P1745" s="62"/>
      <c r="Q1745" s="62"/>
    </row>
    <row r="1746" spans="1:17">
      <c r="A1746" s="62"/>
      <c r="B1746" s="62"/>
      <c r="C1746" s="62"/>
      <c r="D1746" s="62"/>
      <c r="E1746" s="62"/>
      <c r="F1746" s="62"/>
      <c r="G1746" s="62"/>
      <c r="H1746" s="62" t="str">
        <f>IF(AND('Data Export'!A1746=前十整体车型排名!$B$2,'Data Export'!B1746=前十整体车型排名!$B$3,'Data Export'!D1746&lt;&gt;""),UPPER('Data Export'!C1746)&amp;"♦"&amp;'Data Export'!D1746,"")</f>
        <v/>
      </c>
      <c r="I1746" s="63" t="str">
        <f>IF(H1746="","",IFERROR(INDEX('Data Export'!G1746:CZ1746,1,MATCH(前十整体车型排名!$B$4,'Data Export'!$G$1:$CZ$1,0)),0))</f>
        <v/>
      </c>
      <c r="J1746" s="62" t="str">
        <f>IF(H1746="","",IF(OR('Data Export'!F1746="三厢轿车",'Data Export'!F1746="掀背轿车",'Data Export'!F1746="旅行车",'Data Export'!F1746="微型车",'Data Export'!F1746="硬顶跑车",'Data Export'!F1746="敞蓬车",'Data Export'!F1746="Targa"),"轿车",IF(OR('Data Export'!F1746="小型MPV",'Data Export'!F1746="客车"),"MPV",IF('Data Export'!F1746="运动型多功能车","SUV","其他"))))</f>
        <v/>
      </c>
      <c r="K1746" s="62"/>
      <c r="L1746" s="62"/>
      <c r="M1746" s="62"/>
      <c r="N1746" s="62"/>
      <c r="O1746" s="62"/>
      <c r="P1746" s="62"/>
      <c r="Q1746" s="62"/>
    </row>
    <row r="1747" spans="1:17">
      <c r="A1747" s="62"/>
      <c r="B1747" s="62"/>
      <c r="C1747" s="62"/>
      <c r="D1747" s="62"/>
      <c r="E1747" s="62"/>
      <c r="F1747" s="62"/>
      <c r="G1747" s="62"/>
      <c r="H1747" s="62" t="str">
        <f>IF(AND('Data Export'!A1747=前十整体车型排名!$B$2,'Data Export'!B1747=前十整体车型排名!$B$3,'Data Export'!D1747&lt;&gt;""),UPPER('Data Export'!C1747)&amp;"♦"&amp;'Data Export'!D1747,"")</f>
        <v/>
      </c>
      <c r="I1747" s="63" t="str">
        <f>IF(H1747="","",IFERROR(INDEX('Data Export'!G1747:CZ1747,1,MATCH(前十整体车型排名!$B$4,'Data Export'!$G$1:$CZ$1,0)),0))</f>
        <v/>
      </c>
      <c r="J1747" s="62" t="str">
        <f>IF(H1747="","",IF(OR('Data Export'!F1747="三厢轿车",'Data Export'!F1747="掀背轿车",'Data Export'!F1747="旅行车",'Data Export'!F1747="微型车",'Data Export'!F1747="硬顶跑车",'Data Export'!F1747="敞蓬车",'Data Export'!F1747="Targa"),"轿车",IF(OR('Data Export'!F1747="小型MPV",'Data Export'!F1747="客车"),"MPV",IF('Data Export'!F1747="运动型多功能车","SUV","其他"))))</f>
        <v/>
      </c>
      <c r="K1747" s="62"/>
      <c r="L1747" s="62"/>
      <c r="M1747" s="62"/>
      <c r="N1747" s="62"/>
      <c r="O1747" s="62"/>
      <c r="P1747" s="62"/>
      <c r="Q1747" s="62"/>
    </row>
    <row r="1748" spans="1:17">
      <c r="A1748" s="62"/>
      <c r="B1748" s="62"/>
      <c r="C1748" s="62"/>
      <c r="D1748" s="62"/>
      <c r="E1748" s="62"/>
      <c r="F1748" s="62"/>
      <c r="G1748" s="62"/>
      <c r="H1748" s="62" t="str">
        <f>IF(AND('Data Export'!A1748=前十整体车型排名!$B$2,'Data Export'!B1748=前十整体车型排名!$B$3,'Data Export'!D1748&lt;&gt;""),UPPER('Data Export'!C1748)&amp;"♦"&amp;'Data Export'!D1748,"")</f>
        <v/>
      </c>
      <c r="I1748" s="63" t="str">
        <f>IF(H1748="","",IFERROR(INDEX('Data Export'!G1748:CZ1748,1,MATCH(前十整体车型排名!$B$4,'Data Export'!$G$1:$CZ$1,0)),0))</f>
        <v/>
      </c>
      <c r="J1748" s="62" t="str">
        <f>IF(H1748="","",IF(OR('Data Export'!F1748="三厢轿车",'Data Export'!F1748="掀背轿车",'Data Export'!F1748="旅行车",'Data Export'!F1748="微型车",'Data Export'!F1748="硬顶跑车",'Data Export'!F1748="敞蓬车",'Data Export'!F1748="Targa"),"轿车",IF(OR('Data Export'!F1748="小型MPV",'Data Export'!F1748="客车"),"MPV",IF('Data Export'!F1748="运动型多功能车","SUV","其他"))))</f>
        <v/>
      </c>
      <c r="K1748" s="62"/>
      <c r="L1748" s="62"/>
      <c r="M1748" s="62"/>
      <c r="N1748" s="62"/>
      <c r="O1748" s="62"/>
      <c r="P1748" s="62"/>
      <c r="Q1748" s="62"/>
    </row>
    <row r="1749" spans="1:17">
      <c r="A1749" s="62"/>
      <c r="B1749" s="62"/>
      <c r="C1749" s="62"/>
      <c r="D1749" s="62"/>
      <c r="E1749" s="62"/>
      <c r="F1749" s="62"/>
      <c r="G1749" s="62"/>
      <c r="H1749" s="62" t="str">
        <f>IF(AND('Data Export'!A1749=前十整体车型排名!$B$2,'Data Export'!B1749=前十整体车型排名!$B$3,'Data Export'!D1749&lt;&gt;""),UPPER('Data Export'!C1749)&amp;"♦"&amp;'Data Export'!D1749,"")</f>
        <v/>
      </c>
      <c r="I1749" s="63" t="str">
        <f>IF(H1749="","",IFERROR(INDEX('Data Export'!G1749:CZ1749,1,MATCH(前十整体车型排名!$B$4,'Data Export'!$G$1:$CZ$1,0)),0))</f>
        <v/>
      </c>
      <c r="J1749" s="62" t="str">
        <f>IF(H1749="","",IF(OR('Data Export'!F1749="三厢轿车",'Data Export'!F1749="掀背轿车",'Data Export'!F1749="旅行车",'Data Export'!F1749="微型车",'Data Export'!F1749="硬顶跑车",'Data Export'!F1749="敞蓬车",'Data Export'!F1749="Targa"),"轿车",IF(OR('Data Export'!F1749="小型MPV",'Data Export'!F1749="客车"),"MPV",IF('Data Export'!F1749="运动型多功能车","SUV","其他"))))</f>
        <v/>
      </c>
      <c r="K1749" s="62"/>
      <c r="L1749" s="62"/>
      <c r="M1749" s="62"/>
      <c r="N1749" s="62"/>
      <c r="O1749" s="62"/>
      <c r="P1749" s="62"/>
      <c r="Q1749" s="62"/>
    </row>
    <row r="1750" spans="1:17">
      <c r="A1750" s="62"/>
      <c r="B1750" s="62"/>
      <c r="C1750" s="62"/>
      <c r="D1750" s="62"/>
      <c r="E1750" s="62"/>
      <c r="F1750" s="62"/>
      <c r="G1750" s="62"/>
      <c r="H1750" s="62" t="str">
        <f>IF(AND('Data Export'!A1750=前十整体车型排名!$B$2,'Data Export'!B1750=前十整体车型排名!$B$3,'Data Export'!D1750&lt;&gt;""),UPPER('Data Export'!C1750)&amp;"♦"&amp;'Data Export'!D1750,"")</f>
        <v/>
      </c>
      <c r="I1750" s="63" t="str">
        <f>IF(H1750="","",IFERROR(INDEX('Data Export'!G1750:CZ1750,1,MATCH(前十整体车型排名!$B$4,'Data Export'!$G$1:$CZ$1,0)),0))</f>
        <v/>
      </c>
      <c r="J1750" s="62" t="str">
        <f>IF(H1750="","",IF(OR('Data Export'!F1750="三厢轿车",'Data Export'!F1750="掀背轿车",'Data Export'!F1750="旅行车",'Data Export'!F1750="微型车",'Data Export'!F1750="硬顶跑车",'Data Export'!F1750="敞蓬车",'Data Export'!F1750="Targa"),"轿车",IF(OR('Data Export'!F1750="小型MPV",'Data Export'!F1750="客车"),"MPV",IF('Data Export'!F1750="运动型多功能车","SUV","其他"))))</f>
        <v/>
      </c>
      <c r="K1750" s="62"/>
      <c r="L1750" s="62"/>
      <c r="M1750" s="62"/>
      <c r="N1750" s="62"/>
      <c r="O1750" s="62"/>
      <c r="P1750" s="62"/>
      <c r="Q1750" s="62"/>
    </row>
    <row r="1751" spans="1:17">
      <c r="A1751" s="62"/>
      <c r="B1751" s="62"/>
      <c r="C1751" s="62"/>
      <c r="D1751" s="62"/>
      <c r="E1751" s="62"/>
      <c r="F1751" s="62"/>
      <c r="G1751" s="62"/>
      <c r="H1751" s="62" t="str">
        <f>IF(AND('Data Export'!A1751=前十整体车型排名!$B$2,'Data Export'!B1751=前十整体车型排名!$B$3,'Data Export'!D1751&lt;&gt;""),UPPER('Data Export'!C1751)&amp;"♦"&amp;'Data Export'!D1751,"")</f>
        <v/>
      </c>
      <c r="I1751" s="63" t="str">
        <f>IF(H1751="","",IFERROR(INDEX('Data Export'!G1751:CZ1751,1,MATCH(前十整体车型排名!$B$4,'Data Export'!$G$1:$CZ$1,0)),0))</f>
        <v/>
      </c>
      <c r="J1751" s="62" t="str">
        <f>IF(H1751="","",IF(OR('Data Export'!F1751="三厢轿车",'Data Export'!F1751="掀背轿车",'Data Export'!F1751="旅行车",'Data Export'!F1751="微型车",'Data Export'!F1751="硬顶跑车",'Data Export'!F1751="敞蓬车",'Data Export'!F1751="Targa"),"轿车",IF(OR('Data Export'!F1751="小型MPV",'Data Export'!F1751="客车"),"MPV",IF('Data Export'!F1751="运动型多功能车","SUV","其他"))))</f>
        <v/>
      </c>
      <c r="K1751" s="62"/>
      <c r="L1751" s="62"/>
      <c r="M1751" s="62"/>
      <c r="N1751" s="62"/>
      <c r="O1751" s="62"/>
      <c r="P1751" s="62"/>
      <c r="Q1751" s="62"/>
    </row>
    <row r="1752" spans="1:17">
      <c r="A1752" s="62"/>
      <c r="B1752" s="62"/>
      <c r="C1752" s="62"/>
      <c r="D1752" s="62"/>
      <c r="E1752" s="62"/>
      <c r="F1752" s="62"/>
      <c r="G1752" s="62"/>
      <c r="H1752" s="62" t="str">
        <f>IF(AND('Data Export'!A1752=前十整体车型排名!$B$2,'Data Export'!B1752=前十整体车型排名!$B$3,'Data Export'!D1752&lt;&gt;""),UPPER('Data Export'!C1752)&amp;"♦"&amp;'Data Export'!D1752,"")</f>
        <v/>
      </c>
      <c r="I1752" s="63" t="str">
        <f>IF(H1752="","",IFERROR(INDEX('Data Export'!G1752:CZ1752,1,MATCH(前十整体车型排名!$B$4,'Data Export'!$G$1:$CZ$1,0)),0))</f>
        <v/>
      </c>
      <c r="J1752" s="62" t="str">
        <f>IF(H1752="","",IF(OR('Data Export'!F1752="三厢轿车",'Data Export'!F1752="掀背轿车",'Data Export'!F1752="旅行车",'Data Export'!F1752="微型车",'Data Export'!F1752="硬顶跑车",'Data Export'!F1752="敞蓬车",'Data Export'!F1752="Targa"),"轿车",IF(OR('Data Export'!F1752="小型MPV",'Data Export'!F1752="客车"),"MPV",IF('Data Export'!F1752="运动型多功能车","SUV","其他"))))</f>
        <v/>
      </c>
      <c r="K1752" s="62"/>
      <c r="L1752" s="62"/>
      <c r="M1752" s="62"/>
      <c r="N1752" s="62"/>
      <c r="O1752" s="62"/>
      <c r="P1752" s="62"/>
      <c r="Q1752" s="62"/>
    </row>
    <row r="1753" spans="1:17">
      <c r="A1753" s="62"/>
      <c r="B1753" s="62"/>
      <c r="C1753" s="62"/>
      <c r="D1753" s="62"/>
      <c r="E1753" s="62"/>
      <c r="F1753" s="62"/>
      <c r="G1753" s="62"/>
      <c r="H1753" s="62" t="str">
        <f>IF(AND('Data Export'!A1753=前十整体车型排名!$B$2,'Data Export'!B1753=前十整体车型排名!$B$3,'Data Export'!D1753&lt;&gt;""),UPPER('Data Export'!C1753)&amp;"♦"&amp;'Data Export'!D1753,"")</f>
        <v/>
      </c>
      <c r="I1753" s="63" t="str">
        <f>IF(H1753="","",IFERROR(INDEX('Data Export'!G1753:CZ1753,1,MATCH(前十整体车型排名!$B$4,'Data Export'!$G$1:$CZ$1,0)),0))</f>
        <v/>
      </c>
      <c r="J1753" s="62" t="str">
        <f>IF(H1753="","",IF(OR('Data Export'!F1753="三厢轿车",'Data Export'!F1753="掀背轿车",'Data Export'!F1753="旅行车",'Data Export'!F1753="微型车",'Data Export'!F1753="硬顶跑车",'Data Export'!F1753="敞蓬车",'Data Export'!F1753="Targa"),"轿车",IF(OR('Data Export'!F1753="小型MPV",'Data Export'!F1753="客车"),"MPV",IF('Data Export'!F1753="运动型多功能车","SUV","其他"))))</f>
        <v/>
      </c>
      <c r="K1753" s="62"/>
      <c r="L1753" s="62"/>
      <c r="M1753" s="62"/>
      <c r="N1753" s="62"/>
      <c r="O1753" s="62"/>
      <c r="P1753" s="62"/>
      <c r="Q1753" s="62"/>
    </row>
    <row r="1754" spans="1:17">
      <c r="A1754" s="62"/>
      <c r="B1754" s="62"/>
      <c r="C1754" s="62"/>
      <c r="D1754" s="62"/>
      <c r="E1754" s="62"/>
      <c r="F1754" s="62"/>
      <c r="G1754" s="62"/>
      <c r="H1754" s="62" t="str">
        <f>IF(AND('Data Export'!A1754=前十整体车型排名!$B$2,'Data Export'!B1754=前十整体车型排名!$B$3,'Data Export'!D1754&lt;&gt;""),UPPER('Data Export'!C1754)&amp;"♦"&amp;'Data Export'!D1754,"")</f>
        <v/>
      </c>
      <c r="I1754" s="63" t="str">
        <f>IF(H1754="","",IFERROR(INDEX('Data Export'!G1754:CZ1754,1,MATCH(前十整体车型排名!$B$4,'Data Export'!$G$1:$CZ$1,0)),0))</f>
        <v/>
      </c>
      <c r="J1754" s="62" t="str">
        <f>IF(H1754="","",IF(OR('Data Export'!F1754="三厢轿车",'Data Export'!F1754="掀背轿车",'Data Export'!F1754="旅行车",'Data Export'!F1754="微型车",'Data Export'!F1754="硬顶跑车",'Data Export'!F1754="敞蓬车",'Data Export'!F1754="Targa"),"轿车",IF(OR('Data Export'!F1754="小型MPV",'Data Export'!F1754="客车"),"MPV",IF('Data Export'!F1754="运动型多功能车","SUV","其他"))))</f>
        <v/>
      </c>
      <c r="K1754" s="62"/>
      <c r="L1754" s="62"/>
      <c r="M1754" s="62"/>
      <c r="N1754" s="62"/>
      <c r="O1754" s="62"/>
      <c r="P1754" s="62"/>
      <c r="Q1754" s="62"/>
    </row>
    <row r="1755" spans="1:17">
      <c r="A1755" s="62"/>
      <c r="B1755" s="62"/>
      <c r="C1755" s="62"/>
      <c r="D1755" s="62"/>
      <c r="E1755" s="62"/>
      <c r="F1755" s="62"/>
      <c r="G1755" s="62"/>
      <c r="H1755" s="62" t="str">
        <f>IF(AND('Data Export'!A1755=前十整体车型排名!$B$2,'Data Export'!B1755=前十整体车型排名!$B$3,'Data Export'!D1755&lt;&gt;""),UPPER('Data Export'!C1755)&amp;"♦"&amp;'Data Export'!D1755,"")</f>
        <v/>
      </c>
      <c r="I1755" s="63" t="str">
        <f>IF(H1755="","",IFERROR(INDEX('Data Export'!G1755:CZ1755,1,MATCH(前十整体车型排名!$B$4,'Data Export'!$G$1:$CZ$1,0)),0))</f>
        <v/>
      </c>
      <c r="J1755" s="62" t="str">
        <f>IF(H1755="","",IF(OR('Data Export'!F1755="三厢轿车",'Data Export'!F1755="掀背轿车",'Data Export'!F1755="旅行车",'Data Export'!F1755="微型车",'Data Export'!F1755="硬顶跑车",'Data Export'!F1755="敞蓬车",'Data Export'!F1755="Targa"),"轿车",IF(OR('Data Export'!F1755="小型MPV",'Data Export'!F1755="客车"),"MPV",IF('Data Export'!F1755="运动型多功能车","SUV","其他"))))</f>
        <v/>
      </c>
      <c r="K1755" s="62"/>
      <c r="L1755" s="62"/>
      <c r="M1755" s="62"/>
      <c r="N1755" s="62"/>
      <c r="O1755" s="62"/>
      <c r="P1755" s="62"/>
      <c r="Q1755" s="62"/>
    </row>
    <row r="1756" spans="1:17">
      <c r="A1756" s="62"/>
      <c r="B1756" s="62"/>
      <c r="C1756" s="62"/>
      <c r="D1756" s="62"/>
      <c r="E1756" s="62"/>
      <c r="F1756" s="62"/>
      <c r="G1756" s="62"/>
      <c r="H1756" s="62" t="str">
        <f>IF(AND('Data Export'!A1756=前十整体车型排名!$B$2,'Data Export'!B1756=前十整体车型排名!$B$3,'Data Export'!D1756&lt;&gt;""),UPPER('Data Export'!C1756)&amp;"♦"&amp;'Data Export'!D1756,"")</f>
        <v/>
      </c>
      <c r="I1756" s="63" t="str">
        <f>IF(H1756="","",IFERROR(INDEX('Data Export'!G1756:CZ1756,1,MATCH(前十整体车型排名!$B$4,'Data Export'!$G$1:$CZ$1,0)),0))</f>
        <v/>
      </c>
      <c r="J1756" s="62" t="str">
        <f>IF(H1756="","",IF(OR('Data Export'!F1756="三厢轿车",'Data Export'!F1756="掀背轿车",'Data Export'!F1756="旅行车",'Data Export'!F1756="微型车",'Data Export'!F1756="硬顶跑车",'Data Export'!F1756="敞蓬车",'Data Export'!F1756="Targa"),"轿车",IF(OR('Data Export'!F1756="小型MPV",'Data Export'!F1756="客车"),"MPV",IF('Data Export'!F1756="运动型多功能车","SUV","其他"))))</f>
        <v/>
      </c>
      <c r="K1756" s="62"/>
      <c r="L1756" s="62"/>
      <c r="M1756" s="62"/>
      <c r="N1756" s="62"/>
      <c r="O1756" s="62"/>
      <c r="P1756" s="62"/>
      <c r="Q1756" s="62"/>
    </row>
    <row r="1757" spans="1:17">
      <c r="A1757" s="62"/>
      <c r="B1757" s="62"/>
      <c r="C1757" s="62"/>
      <c r="D1757" s="62"/>
      <c r="E1757" s="62"/>
      <c r="F1757" s="62"/>
      <c r="G1757" s="62"/>
      <c r="H1757" s="62" t="str">
        <f>IF(AND('Data Export'!A1757=前十整体车型排名!$B$2,'Data Export'!B1757=前十整体车型排名!$B$3,'Data Export'!D1757&lt;&gt;""),UPPER('Data Export'!C1757)&amp;"♦"&amp;'Data Export'!D1757,"")</f>
        <v/>
      </c>
      <c r="I1757" s="63" t="str">
        <f>IF(H1757="","",IFERROR(INDEX('Data Export'!G1757:CZ1757,1,MATCH(前十整体车型排名!$B$4,'Data Export'!$G$1:$CZ$1,0)),0))</f>
        <v/>
      </c>
      <c r="J1757" s="62" t="str">
        <f>IF(H1757="","",IF(OR('Data Export'!F1757="三厢轿车",'Data Export'!F1757="掀背轿车",'Data Export'!F1757="旅行车",'Data Export'!F1757="微型车",'Data Export'!F1757="硬顶跑车",'Data Export'!F1757="敞蓬车",'Data Export'!F1757="Targa"),"轿车",IF(OR('Data Export'!F1757="小型MPV",'Data Export'!F1757="客车"),"MPV",IF('Data Export'!F1757="运动型多功能车","SUV","其他"))))</f>
        <v/>
      </c>
      <c r="K1757" s="62"/>
      <c r="L1757" s="62"/>
      <c r="M1757" s="62"/>
      <c r="N1757" s="62"/>
      <c r="O1757" s="62"/>
      <c r="P1757" s="62"/>
      <c r="Q1757" s="62"/>
    </row>
    <row r="1758" spans="1:17">
      <c r="A1758" s="62"/>
      <c r="B1758" s="62"/>
      <c r="C1758" s="62"/>
      <c r="D1758" s="62"/>
      <c r="E1758" s="62"/>
      <c r="F1758" s="62"/>
      <c r="G1758" s="62"/>
      <c r="H1758" s="62" t="str">
        <f>IF(AND('Data Export'!A1758=前十整体车型排名!$B$2,'Data Export'!B1758=前十整体车型排名!$B$3,'Data Export'!D1758&lt;&gt;""),UPPER('Data Export'!C1758)&amp;"♦"&amp;'Data Export'!D1758,"")</f>
        <v/>
      </c>
      <c r="I1758" s="63" t="str">
        <f>IF(H1758="","",IFERROR(INDEX('Data Export'!G1758:CZ1758,1,MATCH(前十整体车型排名!$B$4,'Data Export'!$G$1:$CZ$1,0)),0))</f>
        <v/>
      </c>
      <c r="J1758" s="62" t="str">
        <f>IF(H1758="","",IF(OR('Data Export'!F1758="三厢轿车",'Data Export'!F1758="掀背轿车",'Data Export'!F1758="旅行车",'Data Export'!F1758="微型车",'Data Export'!F1758="硬顶跑车",'Data Export'!F1758="敞蓬车",'Data Export'!F1758="Targa"),"轿车",IF(OR('Data Export'!F1758="小型MPV",'Data Export'!F1758="客车"),"MPV",IF('Data Export'!F1758="运动型多功能车","SUV","其他"))))</f>
        <v/>
      </c>
      <c r="K1758" s="62"/>
      <c r="L1758" s="62"/>
      <c r="M1758" s="62"/>
      <c r="N1758" s="62"/>
      <c r="O1758" s="62"/>
      <c r="P1758" s="62"/>
      <c r="Q1758" s="62"/>
    </row>
    <row r="1759" spans="1:17">
      <c r="A1759" s="62"/>
      <c r="B1759" s="62"/>
      <c r="C1759" s="62"/>
      <c r="D1759" s="62"/>
      <c r="E1759" s="62"/>
      <c r="F1759" s="62"/>
      <c r="G1759" s="62"/>
      <c r="H1759" s="62" t="str">
        <f>IF(AND('Data Export'!A1759=前十整体车型排名!$B$2,'Data Export'!B1759=前十整体车型排名!$B$3,'Data Export'!D1759&lt;&gt;""),UPPER('Data Export'!C1759)&amp;"♦"&amp;'Data Export'!D1759,"")</f>
        <v/>
      </c>
      <c r="I1759" s="63" t="str">
        <f>IF(H1759="","",IFERROR(INDEX('Data Export'!G1759:CZ1759,1,MATCH(前十整体车型排名!$B$4,'Data Export'!$G$1:$CZ$1,0)),0))</f>
        <v/>
      </c>
      <c r="J1759" s="62" t="str">
        <f>IF(H1759="","",IF(OR('Data Export'!F1759="三厢轿车",'Data Export'!F1759="掀背轿车",'Data Export'!F1759="旅行车",'Data Export'!F1759="微型车",'Data Export'!F1759="硬顶跑车",'Data Export'!F1759="敞蓬车",'Data Export'!F1759="Targa"),"轿车",IF(OR('Data Export'!F1759="小型MPV",'Data Export'!F1759="客车"),"MPV",IF('Data Export'!F1759="运动型多功能车","SUV","其他"))))</f>
        <v/>
      </c>
      <c r="K1759" s="62"/>
      <c r="L1759" s="62"/>
      <c r="M1759" s="62"/>
      <c r="N1759" s="62"/>
      <c r="O1759" s="62"/>
      <c r="P1759" s="62"/>
      <c r="Q1759" s="62"/>
    </row>
    <row r="1760" spans="1:17">
      <c r="A1760" s="62"/>
      <c r="B1760" s="62"/>
      <c r="C1760" s="62"/>
      <c r="D1760" s="62"/>
      <c r="E1760" s="62"/>
      <c r="F1760" s="62"/>
      <c r="G1760" s="62"/>
      <c r="H1760" s="62" t="str">
        <f>IF(AND('Data Export'!A1760=前十整体车型排名!$B$2,'Data Export'!B1760=前十整体车型排名!$B$3,'Data Export'!D1760&lt;&gt;""),UPPER('Data Export'!C1760)&amp;"♦"&amp;'Data Export'!D1760,"")</f>
        <v/>
      </c>
      <c r="I1760" s="63" t="str">
        <f>IF(H1760="","",IFERROR(INDEX('Data Export'!G1760:CZ1760,1,MATCH(前十整体车型排名!$B$4,'Data Export'!$G$1:$CZ$1,0)),0))</f>
        <v/>
      </c>
      <c r="J1760" s="62" t="str">
        <f>IF(H1760="","",IF(OR('Data Export'!F1760="三厢轿车",'Data Export'!F1760="掀背轿车",'Data Export'!F1760="旅行车",'Data Export'!F1760="微型车",'Data Export'!F1760="硬顶跑车",'Data Export'!F1760="敞蓬车",'Data Export'!F1760="Targa"),"轿车",IF(OR('Data Export'!F1760="小型MPV",'Data Export'!F1760="客车"),"MPV",IF('Data Export'!F1760="运动型多功能车","SUV","其他"))))</f>
        <v/>
      </c>
      <c r="K1760" s="62"/>
      <c r="L1760" s="62"/>
      <c r="M1760" s="62"/>
      <c r="N1760" s="62"/>
      <c r="O1760" s="62"/>
      <c r="P1760" s="62"/>
      <c r="Q1760" s="62"/>
    </row>
    <row r="1761" spans="1:17">
      <c r="A1761" s="62"/>
      <c r="B1761" s="62"/>
      <c r="C1761" s="62"/>
      <c r="D1761" s="62"/>
      <c r="E1761" s="62"/>
      <c r="F1761" s="62"/>
      <c r="G1761" s="62"/>
      <c r="H1761" s="62" t="str">
        <f>IF(AND('Data Export'!A1761=前十整体车型排名!$B$2,'Data Export'!B1761=前十整体车型排名!$B$3,'Data Export'!D1761&lt;&gt;""),UPPER('Data Export'!C1761)&amp;"♦"&amp;'Data Export'!D1761,"")</f>
        <v/>
      </c>
      <c r="I1761" s="63" t="str">
        <f>IF(H1761="","",IFERROR(INDEX('Data Export'!G1761:CZ1761,1,MATCH(前十整体车型排名!$B$4,'Data Export'!$G$1:$CZ$1,0)),0))</f>
        <v/>
      </c>
      <c r="J1761" s="62" t="str">
        <f>IF(H1761="","",IF(OR('Data Export'!F1761="三厢轿车",'Data Export'!F1761="掀背轿车",'Data Export'!F1761="旅行车",'Data Export'!F1761="微型车",'Data Export'!F1761="硬顶跑车",'Data Export'!F1761="敞蓬车",'Data Export'!F1761="Targa"),"轿车",IF(OR('Data Export'!F1761="小型MPV",'Data Export'!F1761="客车"),"MPV",IF('Data Export'!F1761="运动型多功能车","SUV","其他"))))</f>
        <v/>
      </c>
      <c r="K1761" s="62"/>
      <c r="L1761" s="62"/>
      <c r="M1761" s="62"/>
      <c r="N1761" s="62"/>
      <c r="O1761" s="62"/>
      <c r="P1761" s="62"/>
      <c r="Q1761" s="62"/>
    </row>
    <row r="1762" spans="1:17">
      <c r="A1762" s="62"/>
      <c r="B1762" s="62"/>
      <c r="C1762" s="62"/>
      <c r="D1762" s="62"/>
      <c r="E1762" s="62"/>
      <c r="F1762" s="62"/>
      <c r="G1762" s="62"/>
      <c r="H1762" s="62" t="str">
        <f>IF(AND('Data Export'!A1762=前十整体车型排名!$B$2,'Data Export'!B1762=前十整体车型排名!$B$3,'Data Export'!D1762&lt;&gt;""),UPPER('Data Export'!C1762)&amp;"♦"&amp;'Data Export'!D1762,"")</f>
        <v/>
      </c>
      <c r="I1762" s="63" t="str">
        <f>IF(H1762="","",IFERROR(INDEX('Data Export'!G1762:CZ1762,1,MATCH(前十整体车型排名!$B$4,'Data Export'!$G$1:$CZ$1,0)),0))</f>
        <v/>
      </c>
      <c r="J1762" s="62" t="str">
        <f>IF(H1762="","",IF(OR('Data Export'!F1762="三厢轿车",'Data Export'!F1762="掀背轿车",'Data Export'!F1762="旅行车",'Data Export'!F1762="微型车",'Data Export'!F1762="硬顶跑车",'Data Export'!F1762="敞蓬车",'Data Export'!F1762="Targa"),"轿车",IF(OR('Data Export'!F1762="小型MPV",'Data Export'!F1762="客车"),"MPV",IF('Data Export'!F1762="运动型多功能车","SUV","其他"))))</f>
        <v/>
      </c>
      <c r="K1762" s="62"/>
      <c r="L1762" s="62"/>
      <c r="M1762" s="62"/>
      <c r="N1762" s="62"/>
      <c r="O1762" s="62"/>
      <c r="P1762" s="62"/>
      <c r="Q1762" s="62"/>
    </row>
    <row r="1763" spans="1:17">
      <c r="A1763" s="62"/>
      <c r="B1763" s="62"/>
      <c r="C1763" s="62"/>
      <c r="D1763" s="62"/>
      <c r="E1763" s="62"/>
      <c r="F1763" s="62"/>
      <c r="G1763" s="62"/>
      <c r="H1763" s="62" t="str">
        <f>IF(AND('Data Export'!A1763=前十整体车型排名!$B$2,'Data Export'!B1763=前十整体车型排名!$B$3,'Data Export'!D1763&lt;&gt;""),UPPER('Data Export'!C1763)&amp;"♦"&amp;'Data Export'!D1763,"")</f>
        <v/>
      </c>
      <c r="I1763" s="63" t="str">
        <f>IF(H1763="","",IFERROR(INDEX('Data Export'!G1763:CZ1763,1,MATCH(前十整体车型排名!$B$4,'Data Export'!$G$1:$CZ$1,0)),0))</f>
        <v/>
      </c>
      <c r="J1763" s="62" t="str">
        <f>IF(H1763="","",IF(OR('Data Export'!F1763="三厢轿车",'Data Export'!F1763="掀背轿车",'Data Export'!F1763="旅行车",'Data Export'!F1763="微型车",'Data Export'!F1763="硬顶跑车",'Data Export'!F1763="敞蓬车",'Data Export'!F1763="Targa"),"轿车",IF(OR('Data Export'!F1763="小型MPV",'Data Export'!F1763="客车"),"MPV",IF('Data Export'!F1763="运动型多功能车","SUV","其他"))))</f>
        <v/>
      </c>
      <c r="K1763" s="62"/>
      <c r="L1763" s="62"/>
      <c r="M1763" s="62"/>
      <c r="N1763" s="62"/>
      <c r="O1763" s="62"/>
      <c r="P1763" s="62"/>
      <c r="Q1763" s="62"/>
    </row>
    <row r="1764" spans="1:17">
      <c r="A1764" s="62"/>
      <c r="B1764" s="62"/>
      <c r="C1764" s="62"/>
      <c r="D1764" s="62"/>
      <c r="E1764" s="62"/>
      <c r="F1764" s="62"/>
      <c r="G1764" s="62"/>
      <c r="H1764" s="62" t="str">
        <f>IF(AND('Data Export'!A1764=前十整体车型排名!$B$2,'Data Export'!B1764=前十整体车型排名!$B$3,'Data Export'!D1764&lt;&gt;""),UPPER('Data Export'!C1764)&amp;"♦"&amp;'Data Export'!D1764,"")</f>
        <v/>
      </c>
      <c r="I1764" s="63" t="str">
        <f>IF(H1764="","",IFERROR(INDEX('Data Export'!G1764:CZ1764,1,MATCH(前十整体车型排名!$B$4,'Data Export'!$G$1:$CZ$1,0)),0))</f>
        <v/>
      </c>
      <c r="J1764" s="62" t="str">
        <f>IF(H1764="","",IF(OR('Data Export'!F1764="三厢轿车",'Data Export'!F1764="掀背轿车",'Data Export'!F1764="旅行车",'Data Export'!F1764="微型车",'Data Export'!F1764="硬顶跑车",'Data Export'!F1764="敞蓬车",'Data Export'!F1764="Targa"),"轿车",IF(OR('Data Export'!F1764="小型MPV",'Data Export'!F1764="客车"),"MPV",IF('Data Export'!F1764="运动型多功能车","SUV","其他"))))</f>
        <v/>
      </c>
      <c r="K1764" s="62"/>
      <c r="L1764" s="62"/>
      <c r="M1764" s="62"/>
      <c r="N1764" s="62"/>
      <c r="O1764" s="62"/>
      <c r="P1764" s="62"/>
      <c r="Q1764" s="62"/>
    </row>
    <row r="1765" spans="1:17">
      <c r="A1765" s="62"/>
      <c r="B1765" s="62"/>
      <c r="C1765" s="62"/>
      <c r="D1765" s="62"/>
      <c r="E1765" s="62"/>
      <c r="F1765" s="62"/>
      <c r="G1765" s="62"/>
      <c r="H1765" s="62" t="str">
        <f>IF(AND('Data Export'!A1765=前十整体车型排名!$B$2,'Data Export'!B1765=前十整体车型排名!$B$3,'Data Export'!D1765&lt;&gt;""),UPPER('Data Export'!C1765)&amp;"♦"&amp;'Data Export'!D1765,"")</f>
        <v/>
      </c>
      <c r="I1765" s="63" t="str">
        <f>IF(H1765="","",IFERROR(INDEX('Data Export'!G1765:CZ1765,1,MATCH(前十整体车型排名!$B$4,'Data Export'!$G$1:$CZ$1,0)),0))</f>
        <v/>
      </c>
      <c r="J1765" s="62" t="str">
        <f>IF(H1765="","",IF(OR('Data Export'!F1765="三厢轿车",'Data Export'!F1765="掀背轿车",'Data Export'!F1765="旅行车",'Data Export'!F1765="微型车",'Data Export'!F1765="硬顶跑车",'Data Export'!F1765="敞蓬车",'Data Export'!F1765="Targa"),"轿车",IF(OR('Data Export'!F1765="小型MPV",'Data Export'!F1765="客车"),"MPV",IF('Data Export'!F1765="运动型多功能车","SUV","其他"))))</f>
        <v/>
      </c>
      <c r="K1765" s="62"/>
      <c r="L1765" s="62"/>
      <c r="M1765" s="62"/>
      <c r="N1765" s="62"/>
      <c r="O1765" s="62"/>
      <c r="P1765" s="62"/>
      <c r="Q1765" s="62"/>
    </row>
    <row r="1766" spans="1:17">
      <c r="A1766" s="62"/>
      <c r="B1766" s="62"/>
      <c r="C1766" s="62"/>
      <c r="D1766" s="62"/>
      <c r="E1766" s="62"/>
      <c r="F1766" s="62"/>
      <c r="G1766" s="62"/>
      <c r="H1766" s="62" t="str">
        <f>IF(AND('Data Export'!A1766=前十整体车型排名!$B$2,'Data Export'!B1766=前十整体车型排名!$B$3,'Data Export'!D1766&lt;&gt;""),UPPER('Data Export'!C1766)&amp;"♦"&amp;'Data Export'!D1766,"")</f>
        <v/>
      </c>
      <c r="I1766" s="63" t="str">
        <f>IF(H1766="","",IFERROR(INDEX('Data Export'!G1766:CZ1766,1,MATCH(前十整体车型排名!$B$4,'Data Export'!$G$1:$CZ$1,0)),0))</f>
        <v/>
      </c>
      <c r="J1766" s="62" t="str">
        <f>IF(H1766="","",IF(OR('Data Export'!F1766="三厢轿车",'Data Export'!F1766="掀背轿车",'Data Export'!F1766="旅行车",'Data Export'!F1766="微型车",'Data Export'!F1766="硬顶跑车",'Data Export'!F1766="敞蓬车",'Data Export'!F1766="Targa"),"轿车",IF(OR('Data Export'!F1766="小型MPV",'Data Export'!F1766="客车"),"MPV",IF('Data Export'!F1766="运动型多功能车","SUV","其他"))))</f>
        <v/>
      </c>
      <c r="K1766" s="62"/>
      <c r="L1766" s="62"/>
      <c r="M1766" s="62"/>
      <c r="N1766" s="62"/>
      <c r="O1766" s="62"/>
      <c r="P1766" s="62"/>
      <c r="Q1766" s="62"/>
    </row>
    <row r="1767" spans="1:17">
      <c r="A1767" s="62"/>
      <c r="B1767" s="62"/>
      <c r="C1767" s="62"/>
      <c r="D1767" s="62"/>
      <c r="E1767" s="62"/>
      <c r="F1767" s="62"/>
      <c r="G1767" s="62"/>
      <c r="H1767" s="62" t="str">
        <f>IF(AND('Data Export'!A1767=前十整体车型排名!$B$2,'Data Export'!B1767=前十整体车型排名!$B$3,'Data Export'!D1767&lt;&gt;""),UPPER('Data Export'!C1767)&amp;"♦"&amp;'Data Export'!D1767,"")</f>
        <v/>
      </c>
      <c r="I1767" s="63" t="str">
        <f>IF(H1767="","",IFERROR(INDEX('Data Export'!G1767:CZ1767,1,MATCH(前十整体车型排名!$B$4,'Data Export'!$G$1:$CZ$1,0)),0))</f>
        <v/>
      </c>
      <c r="J1767" s="62" t="str">
        <f>IF(H1767="","",IF(OR('Data Export'!F1767="三厢轿车",'Data Export'!F1767="掀背轿车",'Data Export'!F1767="旅行车",'Data Export'!F1767="微型车",'Data Export'!F1767="硬顶跑车",'Data Export'!F1767="敞蓬车",'Data Export'!F1767="Targa"),"轿车",IF(OR('Data Export'!F1767="小型MPV",'Data Export'!F1767="客车"),"MPV",IF('Data Export'!F1767="运动型多功能车","SUV","其他"))))</f>
        <v/>
      </c>
      <c r="K1767" s="62"/>
      <c r="L1767" s="62"/>
      <c r="M1767" s="62"/>
      <c r="N1767" s="62"/>
      <c r="O1767" s="62"/>
      <c r="P1767" s="62"/>
      <c r="Q1767" s="62"/>
    </row>
    <row r="1768" spans="1:17">
      <c r="A1768" s="62"/>
      <c r="B1768" s="62"/>
      <c r="C1768" s="62"/>
      <c r="D1768" s="62"/>
      <c r="E1768" s="62"/>
      <c r="F1768" s="62"/>
      <c r="G1768" s="62"/>
      <c r="H1768" s="62" t="str">
        <f>IF(AND('Data Export'!A1768=前十整体车型排名!$B$2,'Data Export'!B1768=前十整体车型排名!$B$3,'Data Export'!D1768&lt;&gt;""),UPPER('Data Export'!C1768)&amp;"♦"&amp;'Data Export'!D1768,"")</f>
        <v/>
      </c>
      <c r="I1768" s="63" t="str">
        <f>IF(H1768="","",IFERROR(INDEX('Data Export'!G1768:CZ1768,1,MATCH(前十整体车型排名!$B$4,'Data Export'!$G$1:$CZ$1,0)),0))</f>
        <v/>
      </c>
      <c r="J1768" s="62" t="str">
        <f>IF(H1768="","",IF(OR('Data Export'!F1768="三厢轿车",'Data Export'!F1768="掀背轿车",'Data Export'!F1768="旅行车",'Data Export'!F1768="微型车",'Data Export'!F1768="硬顶跑车",'Data Export'!F1768="敞蓬车",'Data Export'!F1768="Targa"),"轿车",IF(OR('Data Export'!F1768="小型MPV",'Data Export'!F1768="客车"),"MPV",IF('Data Export'!F1768="运动型多功能车","SUV","其他"))))</f>
        <v/>
      </c>
      <c r="K1768" s="62"/>
      <c r="L1768" s="62"/>
      <c r="M1768" s="62"/>
      <c r="N1768" s="62"/>
      <c r="O1768" s="62"/>
      <c r="P1768" s="62"/>
      <c r="Q1768" s="62"/>
    </row>
    <row r="1769" spans="1:17">
      <c r="A1769" s="62"/>
      <c r="B1769" s="62"/>
      <c r="C1769" s="62"/>
      <c r="D1769" s="62"/>
      <c r="E1769" s="62"/>
      <c r="F1769" s="62"/>
      <c r="G1769" s="62"/>
      <c r="H1769" s="62" t="str">
        <f>IF(AND('Data Export'!A1769=前十整体车型排名!$B$2,'Data Export'!B1769=前十整体车型排名!$B$3,'Data Export'!D1769&lt;&gt;""),UPPER('Data Export'!C1769)&amp;"♦"&amp;'Data Export'!D1769,"")</f>
        <v/>
      </c>
      <c r="I1769" s="63" t="str">
        <f>IF(H1769="","",IFERROR(INDEX('Data Export'!G1769:CZ1769,1,MATCH(前十整体车型排名!$B$4,'Data Export'!$G$1:$CZ$1,0)),0))</f>
        <v/>
      </c>
      <c r="J1769" s="62" t="str">
        <f>IF(H1769="","",IF(OR('Data Export'!F1769="三厢轿车",'Data Export'!F1769="掀背轿车",'Data Export'!F1769="旅行车",'Data Export'!F1769="微型车",'Data Export'!F1769="硬顶跑车",'Data Export'!F1769="敞蓬车",'Data Export'!F1769="Targa"),"轿车",IF(OR('Data Export'!F1769="小型MPV",'Data Export'!F1769="客车"),"MPV",IF('Data Export'!F1769="运动型多功能车","SUV","其他"))))</f>
        <v/>
      </c>
      <c r="K1769" s="62"/>
      <c r="L1769" s="62"/>
      <c r="M1769" s="62"/>
      <c r="N1769" s="62"/>
      <c r="O1769" s="62"/>
      <c r="P1769" s="62"/>
      <c r="Q1769" s="62"/>
    </row>
    <row r="1770" spans="1:17">
      <c r="A1770" s="62"/>
      <c r="B1770" s="62"/>
      <c r="C1770" s="62"/>
      <c r="D1770" s="62"/>
      <c r="E1770" s="62"/>
      <c r="F1770" s="62"/>
      <c r="G1770" s="62"/>
      <c r="H1770" s="62" t="str">
        <f>IF(AND('Data Export'!A1770=前十整体车型排名!$B$2,'Data Export'!B1770=前十整体车型排名!$B$3,'Data Export'!D1770&lt;&gt;""),UPPER('Data Export'!C1770)&amp;"♦"&amp;'Data Export'!D1770,"")</f>
        <v/>
      </c>
      <c r="I1770" s="63" t="str">
        <f>IF(H1770="","",IFERROR(INDEX('Data Export'!G1770:CZ1770,1,MATCH(前十整体车型排名!$B$4,'Data Export'!$G$1:$CZ$1,0)),0))</f>
        <v/>
      </c>
      <c r="J1770" s="62" t="str">
        <f>IF(H1770="","",IF(OR('Data Export'!F1770="三厢轿车",'Data Export'!F1770="掀背轿车",'Data Export'!F1770="旅行车",'Data Export'!F1770="微型车",'Data Export'!F1770="硬顶跑车",'Data Export'!F1770="敞蓬车",'Data Export'!F1770="Targa"),"轿车",IF(OR('Data Export'!F1770="小型MPV",'Data Export'!F1770="客车"),"MPV",IF('Data Export'!F1770="运动型多功能车","SUV","其他"))))</f>
        <v/>
      </c>
      <c r="K1770" s="62"/>
      <c r="L1770" s="62"/>
      <c r="M1770" s="62"/>
      <c r="N1770" s="62"/>
      <c r="O1770" s="62"/>
      <c r="P1770" s="62"/>
      <c r="Q1770" s="62"/>
    </row>
    <row r="1771" spans="1:17">
      <c r="A1771" s="62"/>
      <c r="B1771" s="62"/>
      <c r="C1771" s="62"/>
      <c r="D1771" s="62"/>
      <c r="E1771" s="62"/>
      <c r="F1771" s="62"/>
      <c r="G1771" s="62"/>
      <c r="H1771" s="62" t="str">
        <f>IF(AND('Data Export'!A1771=前十整体车型排名!$B$2,'Data Export'!B1771=前十整体车型排名!$B$3,'Data Export'!D1771&lt;&gt;""),UPPER('Data Export'!C1771)&amp;"♦"&amp;'Data Export'!D1771,"")</f>
        <v/>
      </c>
      <c r="I1771" s="63" t="str">
        <f>IF(H1771="","",IFERROR(INDEX('Data Export'!G1771:CZ1771,1,MATCH(前十整体车型排名!$B$4,'Data Export'!$G$1:$CZ$1,0)),0))</f>
        <v/>
      </c>
      <c r="J1771" s="62" t="str">
        <f>IF(H1771="","",IF(OR('Data Export'!F1771="三厢轿车",'Data Export'!F1771="掀背轿车",'Data Export'!F1771="旅行车",'Data Export'!F1771="微型车",'Data Export'!F1771="硬顶跑车",'Data Export'!F1771="敞蓬车",'Data Export'!F1771="Targa"),"轿车",IF(OR('Data Export'!F1771="小型MPV",'Data Export'!F1771="客车"),"MPV",IF('Data Export'!F1771="运动型多功能车","SUV","其他"))))</f>
        <v/>
      </c>
      <c r="K1771" s="62"/>
      <c r="L1771" s="62"/>
      <c r="M1771" s="62"/>
      <c r="N1771" s="62"/>
      <c r="O1771" s="62"/>
      <c r="P1771" s="62"/>
      <c r="Q1771" s="62"/>
    </row>
    <row r="1772" spans="1:17">
      <c r="A1772" s="62"/>
      <c r="B1772" s="62"/>
      <c r="C1772" s="62"/>
      <c r="D1772" s="62"/>
      <c r="E1772" s="62"/>
      <c r="F1772" s="62"/>
      <c r="G1772" s="62"/>
      <c r="H1772" s="62" t="str">
        <f>IF(AND('Data Export'!A1772=前十整体车型排名!$B$2,'Data Export'!B1772=前十整体车型排名!$B$3,'Data Export'!D1772&lt;&gt;""),UPPER('Data Export'!C1772)&amp;"♦"&amp;'Data Export'!D1772,"")</f>
        <v/>
      </c>
      <c r="I1772" s="63" t="str">
        <f>IF(H1772="","",IFERROR(INDEX('Data Export'!G1772:CZ1772,1,MATCH(前十整体车型排名!$B$4,'Data Export'!$G$1:$CZ$1,0)),0))</f>
        <v/>
      </c>
      <c r="J1772" s="62" t="str">
        <f>IF(H1772="","",IF(OR('Data Export'!F1772="三厢轿车",'Data Export'!F1772="掀背轿车",'Data Export'!F1772="旅行车",'Data Export'!F1772="微型车",'Data Export'!F1772="硬顶跑车",'Data Export'!F1772="敞蓬车",'Data Export'!F1772="Targa"),"轿车",IF(OR('Data Export'!F1772="小型MPV",'Data Export'!F1772="客车"),"MPV",IF('Data Export'!F1772="运动型多功能车","SUV","其他"))))</f>
        <v/>
      </c>
      <c r="K1772" s="62"/>
      <c r="L1772" s="62"/>
      <c r="M1772" s="62"/>
      <c r="N1772" s="62"/>
      <c r="O1772" s="62"/>
      <c r="P1772" s="62"/>
      <c r="Q1772" s="62"/>
    </row>
    <row r="1773" spans="1:17">
      <c r="A1773" s="62"/>
      <c r="B1773" s="62"/>
      <c r="C1773" s="62"/>
      <c r="D1773" s="62"/>
      <c r="E1773" s="62"/>
      <c r="F1773" s="62"/>
      <c r="G1773" s="62"/>
      <c r="H1773" s="62" t="str">
        <f>IF(AND('Data Export'!A1773=前十整体车型排名!$B$2,'Data Export'!B1773=前十整体车型排名!$B$3,'Data Export'!D1773&lt;&gt;""),UPPER('Data Export'!C1773)&amp;"♦"&amp;'Data Export'!D1773,"")</f>
        <v/>
      </c>
      <c r="I1773" s="63" t="str">
        <f>IF(H1773="","",IFERROR(INDEX('Data Export'!G1773:CZ1773,1,MATCH(前十整体车型排名!$B$4,'Data Export'!$G$1:$CZ$1,0)),0))</f>
        <v/>
      </c>
      <c r="J1773" s="62" t="str">
        <f>IF(H1773="","",IF(OR('Data Export'!F1773="三厢轿车",'Data Export'!F1773="掀背轿车",'Data Export'!F1773="旅行车",'Data Export'!F1773="微型车",'Data Export'!F1773="硬顶跑车",'Data Export'!F1773="敞蓬车",'Data Export'!F1773="Targa"),"轿车",IF(OR('Data Export'!F1773="小型MPV",'Data Export'!F1773="客车"),"MPV",IF('Data Export'!F1773="运动型多功能车","SUV","其他"))))</f>
        <v/>
      </c>
      <c r="K1773" s="62"/>
      <c r="L1773" s="62"/>
      <c r="M1773" s="62"/>
      <c r="N1773" s="62"/>
      <c r="O1773" s="62"/>
      <c r="P1773" s="62"/>
      <c r="Q1773" s="62"/>
    </row>
    <row r="1774" spans="1:17">
      <c r="A1774" s="62"/>
      <c r="B1774" s="62"/>
      <c r="C1774" s="62"/>
      <c r="D1774" s="62"/>
      <c r="E1774" s="62"/>
      <c r="F1774" s="62"/>
      <c r="G1774" s="62"/>
      <c r="H1774" s="62" t="str">
        <f>IF(AND('Data Export'!A1774=前十整体车型排名!$B$2,'Data Export'!B1774=前十整体车型排名!$B$3,'Data Export'!D1774&lt;&gt;""),UPPER('Data Export'!C1774)&amp;"♦"&amp;'Data Export'!D1774,"")</f>
        <v/>
      </c>
      <c r="I1774" s="63" t="str">
        <f>IF(H1774="","",IFERROR(INDEX('Data Export'!G1774:CZ1774,1,MATCH(前十整体车型排名!$B$4,'Data Export'!$G$1:$CZ$1,0)),0))</f>
        <v/>
      </c>
      <c r="J1774" s="62" t="str">
        <f>IF(H1774="","",IF(OR('Data Export'!F1774="三厢轿车",'Data Export'!F1774="掀背轿车",'Data Export'!F1774="旅行车",'Data Export'!F1774="微型车",'Data Export'!F1774="硬顶跑车",'Data Export'!F1774="敞蓬车",'Data Export'!F1774="Targa"),"轿车",IF(OR('Data Export'!F1774="小型MPV",'Data Export'!F1774="客车"),"MPV",IF('Data Export'!F1774="运动型多功能车","SUV","其他"))))</f>
        <v/>
      </c>
      <c r="K1774" s="62"/>
      <c r="L1774" s="62"/>
      <c r="M1774" s="62"/>
      <c r="N1774" s="62"/>
      <c r="O1774" s="62"/>
      <c r="P1774" s="62"/>
      <c r="Q1774" s="62"/>
    </row>
    <row r="1775" spans="1:17">
      <c r="A1775" s="62"/>
      <c r="B1775" s="62"/>
      <c r="C1775" s="62"/>
      <c r="D1775" s="62"/>
      <c r="E1775" s="62"/>
      <c r="F1775" s="62"/>
      <c r="G1775" s="62"/>
      <c r="H1775" s="62" t="str">
        <f>IF(AND('Data Export'!A1775=前十整体车型排名!$B$2,'Data Export'!B1775=前十整体车型排名!$B$3,'Data Export'!D1775&lt;&gt;""),UPPER('Data Export'!C1775)&amp;"♦"&amp;'Data Export'!D1775,"")</f>
        <v/>
      </c>
      <c r="I1775" s="63" t="str">
        <f>IF(H1775="","",IFERROR(INDEX('Data Export'!G1775:CZ1775,1,MATCH(前十整体车型排名!$B$4,'Data Export'!$G$1:$CZ$1,0)),0))</f>
        <v/>
      </c>
      <c r="J1775" s="62" t="str">
        <f>IF(H1775="","",IF(OR('Data Export'!F1775="三厢轿车",'Data Export'!F1775="掀背轿车",'Data Export'!F1775="旅行车",'Data Export'!F1775="微型车",'Data Export'!F1775="硬顶跑车",'Data Export'!F1775="敞蓬车",'Data Export'!F1775="Targa"),"轿车",IF(OR('Data Export'!F1775="小型MPV",'Data Export'!F1775="客车"),"MPV",IF('Data Export'!F1775="运动型多功能车","SUV","其他"))))</f>
        <v/>
      </c>
      <c r="K1775" s="62"/>
      <c r="L1775" s="62"/>
      <c r="M1775" s="62"/>
      <c r="N1775" s="62"/>
      <c r="O1775" s="62"/>
      <c r="P1775" s="62"/>
      <c r="Q1775" s="62"/>
    </row>
    <row r="1776" spans="1:17">
      <c r="A1776" s="62"/>
      <c r="B1776" s="62"/>
      <c r="C1776" s="62"/>
      <c r="D1776" s="62"/>
      <c r="E1776" s="62"/>
      <c r="F1776" s="62"/>
      <c r="G1776" s="62"/>
      <c r="H1776" s="62" t="str">
        <f>IF(AND('Data Export'!A1776=前十整体车型排名!$B$2,'Data Export'!B1776=前十整体车型排名!$B$3,'Data Export'!D1776&lt;&gt;""),UPPER('Data Export'!C1776)&amp;"♦"&amp;'Data Export'!D1776,"")</f>
        <v/>
      </c>
      <c r="I1776" s="63" t="str">
        <f>IF(H1776="","",IFERROR(INDEX('Data Export'!G1776:CZ1776,1,MATCH(前十整体车型排名!$B$4,'Data Export'!$G$1:$CZ$1,0)),0))</f>
        <v/>
      </c>
      <c r="J1776" s="62" t="str">
        <f>IF(H1776="","",IF(OR('Data Export'!F1776="三厢轿车",'Data Export'!F1776="掀背轿车",'Data Export'!F1776="旅行车",'Data Export'!F1776="微型车",'Data Export'!F1776="硬顶跑车",'Data Export'!F1776="敞蓬车",'Data Export'!F1776="Targa"),"轿车",IF(OR('Data Export'!F1776="小型MPV",'Data Export'!F1776="客车"),"MPV",IF('Data Export'!F1776="运动型多功能车","SUV","其他"))))</f>
        <v/>
      </c>
      <c r="K1776" s="62"/>
      <c r="L1776" s="62"/>
      <c r="M1776" s="62"/>
      <c r="N1776" s="62"/>
      <c r="O1776" s="62"/>
      <c r="P1776" s="62"/>
      <c r="Q1776" s="62"/>
    </row>
    <row r="1777" spans="1:17">
      <c r="A1777" s="62"/>
      <c r="B1777" s="62"/>
      <c r="C1777" s="62"/>
      <c r="D1777" s="62"/>
      <c r="E1777" s="62"/>
      <c r="F1777" s="62"/>
      <c r="G1777" s="62"/>
      <c r="H1777" s="62" t="str">
        <f>IF(AND('Data Export'!A1777=前十整体车型排名!$B$2,'Data Export'!B1777=前十整体车型排名!$B$3,'Data Export'!D1777&lt;&gt;""),UPPER('Data Export'!C1777)&amp;"♦"&amp;'Data Export'!D1777,"")</f>
        <v/>
      </c>
      <c r="I1777" s="63" t="str">
        <f>IF(H1777="","",IFERROR(INDEX('Data Export'!G1777:CZ1777,1,MATCH(前十整体车型排名!$B$4,'Data Export'!$G$1:$CZ$1,0)),0))</f>
        <v/>
      </c>
      <c r="J1777" s="62" t="str">
        <f>IF(H1777="","",IF(OR('Data Export'!F1777="三厢轿车",'Data Export'!F1777="掀背轿车",'Data Export'!F1777="旅行车",'Data Export'!F1777="微型车",'Data Export'!F1777="硬顶跑车",'Data Export'!F1777="敞蓬车",'Data Export'!F1777="Targa"),"轿车",IF(OR('Data Export'!F1777="小型MPV",'Data Export'!F1777="客车"),"MPV",IF('Data Export'!F1777="运动型多功能车","SUV","其他"))))</f>
        <v/>
      </c>
      <c r="K1777" s="62"/>
      <c r="L1777" s="62"/>
      <c r="M1777" s="62"/>
      <c r="N1777" s="62"/>
      <c r="O1777" s="62"/>
      <c r="P1777" s="62"/>
      <c r="Q1777" s="62"/>
    </row>
    <row r="1778" spans="1:17">
      <c r="A1778" s="62"/>
      <c r="B1778" s="62"/>
      <c r="C1778" s="62"/>
      <c r="D1778" s="62"/>
      <c r="E1778" s="62"/>
      <c r="F1778" s="62"/>
      <c r="G1778" s="62"/>
      <c r="H1778" s="62" t="str">
        <f>IF(AND('Data Export'!A1778=前十整体车型排名!$B$2,'Data Export'!B1778=前十整体车型排名!$B$3,'Data Export'!D1778&lt;&gt;""),UPPER('Data Export'!C1778)&amp;"♦"&amp;'Data Export'!D1778,"")</f>
        <v/>
      </c>
      <c r="I1778" s="63" t="str">
        <f>IF(H1778="","",IFERROR(INDEX('Data Export'!G1778:CZ1778,1,MATCH(前十整体车型排名!$B$4,'Data Export'!$G$1:$CZ$1,0)),0))</f>
        <v/>
      </c>
      <c r="J1778" s="62" t="str">
        <f>IF(H1778="","",IF(OR('Data Export'!F1778="三厢轿车",'Data Export'!F1778="掀背轿车",'Data Export'!F1778="旅行车",'Data Export'!F1778="微型车",'Data Export'!F1778="硬顶跑车",'Data Export'!F1778="敞蓬车",'Data Export'!F1778="Targa"),"轿车",IF(OR('Data Export'!F1778="小型MPV",'Data Export'!F1778="客车"),"MPV",IF('Data Export'!F1778="运动型多功能车","SUV","其他"))))</f>
        <v/>
      </c>
      <c r="K1778" s="62"/>
      <c r="L1778" s="62"/>
      <c r="M1778" s="62"/>
      <c r="N1778" s="62"/>
      <c r="O1778" s="62"/>
      <c r="P1778" s="62"/>
      <c r="Q1778" s="62"/>
    </row>
    <row r="1779" spans="1:17">
      <c r="A1779" s="62"/>
      <c r="B1779" s="62"/>
      <c r="C1779" s="62"/>
      <c r="D1779" s="62"/>
      <c r="E1779" s="62"/>
      <c r="F1779" s="62"/>
      <c r="G1779" s="62"/>
      <c r="H1779" s="62" t="str">
        <f>IF(AND('Data Export'!A1779=前十整体车型排名!$B$2,'Data Export'!B1779=前十整体车型排名!$B$3,'Data Export'!D1779&lt;&gt;""),UPPER('Data Export'!C1779)&amp;"♦"&amp;'Data Export'!D1779,"")</f>
        <v/>
      </c>
      <c r="I1779" s="63" t="str">
        <f>IF(H1779="","",IFERROR(INDEX('Data Export'!G1779:CZ1779,1,MATCH(前十整体车型排名!$B$4,'Data Export'!$G$1:$CZ$1,0)),0))</f>
        <v/>
      </c>
      <c r="J1779" s="62" t="str">
        <f>IF(H1779="","",IF(OR('Data Export'!F1779="三厢轿车",'Data Export'!F1779="掀背轿车",'Data Export'!F1779="旅行车",'Data Export'!F1779="微型车",'Data Export'!F1779="硬顶跑车",'Data Export'!F1779="敞蓬车",'Data Export'!F1779="Targa"),"轿车",IF(OR('Data Export'!F1779="小型MPV",'Data Export'!F1779="客车"),"MPV",IF('Data Export'!F1779="运动型多功能车","SUV","其他"))))</f>
        <v/>
      </c>
      <c r="K1779" s="62"/>
      <c r="L1779" s="62"/>
      <c r="M1779" s="62"/>
      <c r="N1779" s="62"/>
      <c r="O1779" s="62"/>
      <c r="P1779" s="62"/>
      <c r="Q1779" s="62"/>
    </row>
    <row r="1780" spans="1:17">
      <c r="A1780" s="62"/>
      <c r="B1780" s="62"/>
      <c r="C1780" s="62"/>
      <c r="D1780" s="62"/>
      <c r="E1780" s="62"/>
      <c r="F1780" s="62"/>
      <c r="G1780" s="62"/>
      <c r="H1780" s="62" t="str">
        <f>IF(AND('Data Export'!A1780=前十整体车型排名!$B$2,'Data Export'!B1780=前十整体车型排名!$B$3,'Data Export'!D1780&lt;&gt;""),UPPER('Data Export'!C1780)&amp;"♦"&amp;'Data Export'!D1780,"")</f>
        <v/>
      </c>
      <c r="I1780" s="63" t="str">
        <f>IF(H1780="","",IFERROR(INDEX('Data Export'!G1780:CZ1780,1,MATCH(前十整体车型排名!$B$4,'Data Export'!$G$1:$CZ$1,0)),0))</f>
        <v/>
      </c>
      <c r="J1780" s="62" t="str">
        <f>IF(H1780="","",IF(OR('Data Export'!F1780="三厢轿车",'Data Export'!F1780="掀背轿车",'Data Export'!F1780="旅行车",'Data Export'!F1780="微型车",'Data Export'!F1780="硬顶跑车",'Data Export'!F1780="敞蓬车",'Data Export'!F1780="Targa"),"轿车",IF(OR('Data Export'!F1780="小型MPV",'Data Export'!F1780="客车"),"MPV",IF('Data Export'!F1780="运动型多功能车","SUV","其他"))))</f>
        <v/>
      </c>
      <c r="K1780" s="62"/>
      <c r="L1780" s="62"/>
      <c r="M1780" s="62"/>
      <c r="N1780" s="62"/>
      <c r="O1780" s="62"/>
      <c r="P1780" s="62"/>
      <c r="Q1780" s="62"/>
    </row>
    <row r="1781" spans="1:17">
      <c r="A1781" s="62"/>
      <c r="B1781" s="62"/>
      <c r="C1781" s="62"/>
      <c r="D1781" s="62"/>
      <c r="E1781" s="62"/>
      <c r="F1781" s="62"/>
      <c r="G1781" s="62"/>
      <c r="H1781" s="62" t="str">
        <f>IF(AND('Data Export'!A1781=前十整体车型排名!$B$2,'Data Export'!B1781=前十整体车型排名!$B$3,'Data Export'!D1781&lt;&gt;""),UPPER('Data Export'!C1781)&amp;"♦"&amp;'Data Export'!D1781,"")</f>
        <v/>
      </c>
      <c r="I1781" s="63" t="str">
        <f>IF(H1781="","",IFERROR(INDEX('Data Export'!G1781:CZ1781,1,MATCH(前十整体车型排名!$B$4,'Data Export'!$G$1:$CZ$1,0)),0))</f>
        <v/>
      </c>
      <c r="J1781" s="62" t="str">
        <f>IF(H1781="","",IF(OR('Data Export'!F1781="三厢轿车",'Data Export'!F1781="掀背轿车",'Data Export'!F1781="旅行车",'Data Export'!F1781="微型车",'Data Export'!F1781="硬顶跑车",'Data Export'!F1781="敞蓬车",'Data Export'!F1781="Targa"),"轿车",IF(OR('Data Export'!F1781="小型MPV",'Data Export'!F1781="客车"),"MPV",IF('Data Export'!F1781="运动型多功能车","SUV","其他"))))</f>
        <v/>
      </c>
      <c r="K1781" s="62"/>
      <c r="L1781" s="62"/>
      <c r="M1781" s="62"/>
      <c r="N1781" s="62"/>
      <c r="O1781" s="62"/>
      <c r="P1781" s="62"/>
      <c r="Q1781" s="62"/>
    </row>
    <row r="1782" spans="1:17">
      <c r="A1782" s="62"/>
      <c r="B1782" s="62"/>
      <c r="C1782" s="62"/>
      <c r="D1782" s="62"/>
      <c r="E1782" s="62"/>
      <c r="F1782" s="62"/>
      <c r="G1782" s="62"/>
      <c r="H1782" s="62" t="str">
        <f>IF(AND('Data Export'!A1782=前十整体车型排名!$B$2,'Data Export'!B1782=前十整体车型排名!$B$3,'Data Export'!D1782&lt;&gt;""),UPPER('Data Export'!C1782)&amp;"♦"&amp;'Data Export'!D1782,"")</f>
        <v/>
      </c>
      <c r="I1782" s="63" t="str">
        <f>IF(H1782="","",IFERROR(INDEX('Data Export'!G1782:CZ1782,1,MATCH(前十整体车型排名!$B$4,'Data Export'!$G$1:$CZ$1,0)),0))</f>
        <v/>
      </c>
      <c r="J1782" s="62" t="str">
        <f>IF(H1782="","",IF(OR('Data Export'!F1782="三厢轿车",'Data Export'!F1782="掀背轿车",'Data Export'!F1782="旅行车",'Data Export'!F1782="微型车",'Data Export'!F1782="硬顶跑车",'Data Export'!F1782="敞蓬车",'Data Export'!F1782="Targa"),"轿车",IF(OR('Data Export'!F1782="小型MPV",'Data Export'!F1782="客车"),"MPV",IF('Data Export'!F1782="运动型多功能车","SUV","其他"))))</f>
        <v/>
      </c>
      <c r="K1782" s="62"/>
      <c r="L1782" s="62"/>
      <c r="M1782" s="62"/>
      <c r="N1782" s="62"/>
      <c r="O1782" s="62"/>
      <c r="P1782" s="62"/>
      <c r="Q1782" s="62"/>
    </row>
    <row r="1783" spans="1:17">
      <c r="A1783" s="62"/>
      <c r="B1783" s="62"/>
      <c r="C1783" s="62"/>
      <c r="D1783" s="62"/>
      <c r="E1783" s="62"/>
      <c r="F1783" s="62"/>
      <c r="G1783" s="62"/>
      <c r="H1783" s="62" t="str">
        <f>IF(AND('Data Export'!A1783=前十整体车型排名!$B$2,'Data Export'!B1783=前十整体车型排名!$B$3,'Data Export'!D1783&lt;&gt;""),UPPER('Data Export'!C1783)&amp;"♦"&amp;'Data Export'!D1783,"")</f>
        <v/>
      </c>
      <c r="I1783" s="63" t="str">
        <f>IF(H1783="","",IFERROR(INDEX('Data Export'!G1783:CZ1783,1,MATCH(前十整体车型排名!$B$4,'Data Export'!$G$1:$CZ$1,0)),0))</f>
        <v/>
      </c>
      <c r="J1783" s="62" t="str">
        <f>IF(H1783="","",IF(OR('Data Export'!F1783="三厢轿车",'Data Export'!F1783="掀背轿车",'Data Export'!F1783="旅行车",'Data Export'!F1783="微型车",'Data Export'!F1783="硬顶跑车",'Data Export'!F1783="敞蓬车",'Data Export'!F1783="Targa"),"轿车",IF(OR('Data Export'!F1783="小型MPV",'Data Export'!F1783="客车"),"MPV",IF('Data Export'!F1783="运动型多功能车","SUV","其他"))))</f>
        <v/>
      </c>
      <c r="K1783" s="62"/>
      <c r="L1783" s="62"/>
      <c r="M1783" s="62"/>
      <c r="N1783" s="62"/>
      <c r="O1783" s="62"/>
      <c r="P1783" s="62"/>
      <c r="Q1783" s="62"/>
    </row>
    <row r="1784" spans="1:17">
      <c r="A1784" s="62"/>
      <c r="B1784" s="62"/>
      <c r="C1784" s="62"/>
      <c r="D1784" s="62"/>
      <c r="E1784" s="62"/>
      <c r="F1784" s="62"/>
      <c r="G1784" s="62"/>
      <c r="H1784" s="62" t="str">
        <f>IF(AND('Data Export'!A1784=前十整体车型排名!$B$2,'Data Export'!B1784=前十整体车型排名!$B$3,'Data Export'!D1784&lt;&gt;""),UPPER('Data Export'!C1784)&amp;"♦"&amp;'Data Export'!D1784,"")</f>
        <v/>
      </c>
      <c r="I1784" s="63" t="str">
        <f>IF(H1784="","",IFERROR(INDEX('Data Export'!G1784:CZ1784,1,MATCH(前十整体车型排名!$B$4,'Data Export'!$G$1:$CZ$1,0)),0))</f>
        <v/>
      </c>
      <c r="J1784" s="62" t="str">
        <f>IF(H1784="","",IF(OR('Data Export'!F1784="三厢轿车",'Data Export'!F1784="掀背轿车",'Data Export'!F1784="旅行车",'Data Export'!F1784="微型车",'Data Export'!F1784="硬顶跑车",'Data Export'!F1784="敞蓬车",'Data Export'!F1784="Targa"),"轿车",IF(OR('Data Export'!F1784="小型MPV",'Data Export'!F1784="客车"),"MPV",IF('Data Export'!F1784="运动型多功能车","SUV","其他"))))</f>
        <v/>
      </c>
      <c r="K1784" s="62"/>
      <c r="L1784" s="62"/>
      <c r="M1784" s="62"/>
      <c r="N1784" s="62"/>
      <c r="O1784" s="62"/>
      <c r="P1784" s="62"/>
      <c r="Q1784" s="62"/>
    </row>
    <row r="1785" spans="1:17">
      <c r="A1785" s="62"/>
      <c r="B1785" s="62"/>
      <c r="C1785" s="62"/>
      <c r="D1785" s="62"/>
      <c r="E1785" s="62"/>
      <c r="F1785" s="62"/>
      <c r="G1785" s="62"/>
      <c r="H1785" s="62" t="str">
        <f>IF(AND('Data Export'!A1785=前十整体车型排名!$B$2,'Data Export'!B1785=前十整体车型排名!$B$3,'Data Export'!D1785&lt;&gt;""),UPPER('Data Export'!C1785)&amp;"♦"&amp;'Data Export'!D1785,"")</f>
        <v/>
      </c>
      <c r="I1785" s="63" t="str">
        <f>IF(H1785="","",IFERROR(INDEX('Data Export'!G1785:CZ1785,1,MATCH(前十整体车型排名!$B$4,'Data Export'!$G$1:$CZ$1,0)),0))</f>
        <v/>
      </c>
      <c r="J1785" s="62" t="str">
        <f>IF(H1785="","",IF(OR('Data Export'!F1785="三厢轿车",'Data Export'!F1785="掀背轿车",'Data Export'!F1785="旅行车",'Data Export'!F1785="微型车",'Data Export'!F1785="硬顶跑车",'Data Export'!F1785="敞蓬车",'Data Export'!F1785="Targa"),"轿车",IF(OR('Data Export'!F1785="小型MPV",'Data Export'!F1785="客车"),"MPV",IF('Data Export'!F1785="运动型多功能车","SUV","其他"))))</f>
        <v/>
      </c>
      <c r="K1785" s="62"/>
      <c r="L1785" s="62"/>
      <c r="M1785" s="62"/>
      <c r="N1785" s="62"/>
      <c r="O1785" s="62"/>
      <c r="P1785" s="62"/>
      <c r="Q1785" s="62"/>
    </row>
    <row r="1786" spans="1:17">
      <c r="A1786" s="62"/>
      <c r="B1786" s="62"/>
      <c r="C1786" s="62"/>
      <c r="D1786" s="62"/>
      <c r="E1786" s="62"/>
      <c r="F1786" s="62"/>
      <c r="G1786" s="62"/>
      <c r="H1786" s="62" t="str">
        <f>IF(AND('Data Export'!A1786=前十整体车型排名!$B$2,'Data Export'!B1786=前十整体车型排名!$B$3,'Data Export'!D1786&lt;&gt;""),UPPER('Data Export'!C1786)&amp;"♦"&amp;'Data Export'!D1786,"")</f>
        <v/>
      </c>
      <c r="I1786" s="63" t="str">
        <f>IF(H1786="","",IFERROR(INDEX('Data Export'!G1786:CZ1786,1,MATCH(前十整体车型排名!$B$4,'Data Export'!$G$1:$CZ$1,0)),0))</f>
        <v/>
      </c>
      <c r="J1786" s="62" t="str">
        <f>IF(H1786="","",IF(OR('Data Export'!F1786="三厢轿车",'Data Export'!F1786="掀背轿车",'Data Export'!F1786="旅行车",'Data Export'!F1786="微型车",'Data Export'!F1786="硬顶跑车",'Data Export'!F1786="敞蓬车",'Data Export'!F1786="Targa"),"轿车",IF(OR('Data Export'!F1786="小型MPV",'Data Export'!F1786="客车"),"MPV",IF('Data Export'!F1786="运动型多功能车","SUV","其他"))))</f>
        <v/>
      </c>
      <c r="K1786" s="62"/>
      <c r="L1786" s="62"/>
      <c r="M1786" s="62"/>
      <c r="N1786" s="62"/>
      <c r="O1786" s="62"/>
      <c r="P1786" s="62"/>
      <c r="Q1786" s="62"/>
    </row>
    <row r="1787" spans="1:17">
      <c r="A1787" s="62"/>
      <c r="B1787" s="62"/>
      <c r="C1787" s="62"/>
      <c r="D1787" s="62"/>
      <c r="E1787" s="62"/>
      <c r="F1787" s="62"/>
      <c r="G1787" s="62"/>
      <c r="H1787" s="62" t="str">
        <f>IF(AND('Data Export'!A1787=前十整体车型排名!$B$2,'Data Export'!B1787=前十整体车型排名!$B$3,'Data Export'!D1787&lt;&gt;""),UPPER('Data Export'!C1787)&amp;"♦"&amp;'Data Export'!D1787,"")</f>
        <v/>
      </c>
      <c r="I1787" s="63" t="str">
        <f>IF(H1787="","",IFERROR(INDEX('Data Export'!G1787:CZ1787,1,MATCH(前十整体车型排名!$B$4,'Data Export'!$G$1:$CZ$1,0)),0))</f>
        <v/>
      </c>
      <c r="J1787" s="62" t="str">
        <f>IF(H1787="","",IF(OR('Data Export'!F1787="三厢轿车",'Data Export'!F1787="掀背轿车",'Data Export'!F1787="旅行车",'Data Export'!F1787="微型车",'Data Export'!F1787="硬顶跑车",'Data Export'!F1787="敞蓬车",'Data Export'!F1787="Targa"),"轿车",IF(OR('Data Export'!F1787="小型MPV",'Data Export'!F1787="客车"),"MPV",IF('Data Export'!F1787="运动型多功能车","SUV","其他"))))</f>
        <v/>
      </c>
      <c r="K1787" s="62"/>
      <c r="L1787" s="62"/>
      <c r="M1787" s="62"/>
      <c r="N1787" s="62"/>
      <c r="O1787" s="62"/>
      <c r="P1787" s="62"/>
      <c r="Q1787" s="62"/>
    </row>
    <row r="1788" spans="1:17">
      <c r="A1788" s="62"/>
      <c r="B1788" s="62"/>
      <c r="C1788" s="62"/>
      <c r="D1788" s="62"/>
      <c r="E1788" s="62"/>
      <c r="F1788" s="62"/>
      <c r="G1788" s="62"/>
      <c r="H1788" s="62" t="str">
        <f>IF(AND('Data Export'!A1788=前十整体车型排名!$B$2,'Data Export'!B1788=前十整体车型排名!$B$3,'Data Export'!D1788&lt;&gt;""),UPPER('Data Export'!C1788)&amp;"♦"&amp;'Data Export'!D1788,"")</f>
        <v/>
      </c>
      <c r="I1788" s="63" t="str">
        <f>IF(H1788="","",IFERROR(INDEX('Data Export'!G1788:CZ1788,1,MATCH(前十整体车型排名!$B$4,'Data Export'!$G$1:$CZ$1,0)),0))</f>
        <v/>
      </c>
      <c r="J1788" s="62" t="str">
        <f>IF(H1788="","",IF(OR('Data Export'!F1788="三厢轿车",'Data Export'!F1788="掀背轿车",'Data Export'!F1788="旅行车",'Data Export'!F1788="微型车",'Data Export'!F1788="硬顶跑车",'Data Export'!F1788="敞蓬车",'Data Export'!F1788="Targa"),"轿车",IF(OR('Data Export'!F1788="小型MPV",'Data Export'!F1788="客车"),"MPV",IF('Data Export'!F1788="运动型多功能车","SUV","其他"))))</f>
        <v/>
      </c>
      <c r="K1788" s="62"/>
      <c r="L1788" s="62"/>
      <c r="M1788" s="62"/>
      <c r="N1788" s="62"/>
      <c r="O1788" s="62"/>
      <c r="P1788" s="62"/>
      <c r="Q1788" s="62"/>
    </row>
    <row r="1789" spans="1:17">
      <c r="A1789" s="62"/>
      <c r="B1789" s="62"/>
      <c r="C1789" s="62"/>
      <c r="D1789" s="62"/>
      <c r="E1789" s="62"/>
      <c r="F1789" s="62"/>
      <c r="G1789" s="62"/>
      <c r="H1789" s="62" t="str">
        <f>IF(AND('Data Export'!A1789=前十整体车型排名!$B$2,'Data Export'!B1789=前十整体车型排名!$B$3,'Data Export'!D1789&lt;&gt;""),UPPER('Data Export'!C1789)&amp;"♦"&amp;'Data Export'!D1789,"")</f>
        <v/>
      </c>
      <c r="I1789" s="63" t="str">
        <f>IF(H1789="","",IFERROR(INDEX('Data Export'!G1789:CZ1789,1,MATCH(前十整体车型排名!$B$4,'Data Export'!$G$1:$CZ$1,0)),0))</f>
        <v/>
      </c>
      <c r="J1789" s="62" t="str">
        <f>IF(H1789="","",IF(OR('Data Export'!F1789="三厢轿车",'Data Export'!F1789="掀背轿车",'Data Export'!F1789="旅行车",'Data Export'!F1789="微型车",'Data Export'!F1789="硬顶跑车",'Data Export'!F1789="敞蓬车",'Data Export'!F1789="Targa"),"轿车",IF(OR('Data Export'!F1789="小型MPV",'Data Export'!F1789="客车"),"MPV",IF('Data Export'!F1789="运动型多功能车","SUV","其他"))))</f>
        <v/>
      </c>
      <c r="K1789" s="62"/>
      <c r="L1789" s="62"/>
      <c r="M1789" s="62"/>
      <c r="N1789" s="62"/>
      <c r="O1789" s="62"/>
      <c r="P1789" s="62"/>
      <c r="Q1789" s="62"/>
    </row>
    <row r="1790" spans="1:17">
      <c r="A1790" s="62"/>
      <c r="B1790" s="62"/>
      <c r="C1790" s="62"/>
      <c r="D1790" s="62"/>
      <c r="E1790" s="62"/>
      <c r="F1790" s="62"/>
      <c r="G1790" s="62"/>
      <c r="H1790" s="62" t="str">
        <f>IF(AND('Data Export'!A1790=前十整体车型排名!$B$2,'Data Export'!B1790=前十整体车型排名!$B$3,'Data Export'!D1790&lt;&gt;""),UPPER('Data Export'!C1790)&amp;"♦"&amp;'Data Export'!D1790,"")</f>
        <v/>
      </c>
      <c r="I1790" s="63" t="str">
        <f>IF(H1790="","",IFERROR(INDEX('Data Export'!G1790:CZ1790,1,MATCH(前十整体车型排名!$B$4,'Data Export'!$G$1:$CZ$1,0)),0))</f>
        <v/>
      </c>
      <c r="J1790" s="62" t="str">
        <f>IF(H1790="","",IF(OR('Data Export'!F1790="三厢轿车",'Data Export'!F1790="掀背轿车",'Data Export'!F1790="旅行车",'Data Export'!F1790="微型车",'Data Export'!F1790="硬顶跑车",'Data Export'!F1790="敞蓬车",'Data Export'!F1790="Targa"),"轿车",IF(OR('Data Export'!F1790="小型MPV",'Data Export'!F1790="客车"),"MPV",IF('Data Export'!F1790="运动型多功能车","SUV","其他"))))</f>
        <v/>
      </c>
      <c r="K1790" s="62"/>
      <c r="L1790" s="62"/>
      <c r="M1790" s="62"/>
      <c r="N1790" s="62"/>
      <c r="O1790" s="62"/>
      <c r="P1790" s="62"/>
      <c r="Q1790" s="62"/>
    </row>
    <row r="1791" spans="1:17">
      <c r="A1791" s="62"/>
      <c r="B1791" s="62"/>
      <c r="C1791" s="62"/>
      <c r="D1791" s="62"/>
      <c r="E1791" s="62"/>
      <c r="F1791" s="62"/>
      <c r="G1791" s="62"/>
      <c r="H1791" s="62" t="str">
        <f>IF(AND('Data Export'!A1791=前十整体车型排名!$B$2,'Data Export'!B1791=前十整体车型排名!$B$3,'Data Export'!D1791&lt;&gt;""),UPPER('Data Export'!C1791)&amp;"♦"&amp;'Data Export'!D1791,"")</f>
        <v/>
      </c>
      <c r="I1791" s="63" t="str">
        <f>IF(H1791="","",IFERROR(INDEX('Data Export'!G1791:CZ1791,1,MATCH(前十整体车型排名!$B$4,'Data Export'!$G$1:$CZ$1,0)),0))</f>
        <v/>
      </c>
      <c r="J1791" s="62" t="str">
        <f>IF(H1791="","",IF(OR('Data Export'!F1791="三厢轿车",'Data Export'!F1791="掀背轿车",'Data Export'!F1791="旅行车",'Data Export'!F1791="微型车",'Data Export'!F1791="硬顶跑车",'Data Export'!F1791="敞蓬车",'Data Export'!F1791="Targa"),"轿车",IF(OR('Data Export'!F1791="小型MPV",'Data Export'!F1791="客车"),"MPV",IF('Data Export'!F1791="运动型多功能车","SUV","其他"))))</f>
        <v/>
      </c>
      <c r="K1791" s="62"/>
      <c r="L1791" s="62"/>
      <c r="M1791" s="62"/>
      <c r="N1791" s="62"/>
      <c r="O1791" s="62"/>
      <c r="P1791" s="62"/>
      <c r="Q1791" s="62"/>
    </row>
    <row r="1792" spans="1:17">
      <c r="A1792" s="62"/>
      <c r="B1792" s="62"/>
      <c r="C1792" s="62"/>
      <c r="D1792" s="62"/>
      <c r="E1792" s="62"/>
      <c r="F1792" s="62"/>
      <c r="G1792" s="62"/>
      <c r="H1792" s="62" t="str">
        <f>IF(AND('Data Export'!A1792=前十整体车型排名!$B$2,'Data Export'!B1792=前十整体车型排名!$B$3,'Data Export'!D1792&lt;&gt;""),UPPER('Data Export'!C1792)&amp;"♦"&amp;'Data Export'!D1792,"")</f>
        <v/>
      </c>
      <c r="I1792" s="63" t="str">
        <f>IF(H1792="","",IFERROR(INDEX('Data Export'!G1792:CZ1792,1,MATCH(前十整体车型排名!$B$4,'Data Export'!$G$1:$CZ$1,0)),0))</f>
        <v/>
      </c>
      <c r="J1792" s="62" t="str">
        <f>IF(H1792="","",IF(OR('Data Export'!F1792="三厢轿车",'Data Export'!F1792="掀背轿车",'Data Export'!F1792="旅行车",'Data Export'!F1792="微型车",'Data Export'!F1792="硬顶跑车",'Data Export'!F1792="敞蓬车",'Data Export'!F1792="Targa"),"轿车",IF(OR('Data Export'!F1792="小型MPV",'Data Export'!F1792="客车"),"MPV",IF('Data Export'!F1792="运动型多功能车","SUV","其他"))))</f>
        <v/>
      </c>
      <c r="K1792" s="62"/>
      <c r="L1792" s="62"/>
      <c r="M1792" s="62"/>
      <c r="N1792" s="62"/>
      <c r="O1792" s="62"/>
      <c r="P1792" s="62"/>
      <c r="Q1792" s="62"/>
    </row>
    <row r="1793" spans="1:17">
      <c r="A1793" s="62"/>
      <c r="B1793" s="62"/>
      <c r="C1793" s="62"/>
      <c r="D1793" s="62"/>
      <c r="E1793" s="62"/>
      <c r="F1793" s="62"/>
      <c r="G1793" s="62"/>
      <c r="H1793" s="62" t="str">
        <f>IF(AND('Data Export'!A1793=前十整体车型排名!$B$2,'Data Export'!B1793=前十整体车型排名!$B$3,'Data Export'!D1793&lt;&gt;""),UPPER('Data Export'!C1793)&amp;"♦"&amp;'Data Export'!D1793,"")</f>
        <v/>
      </c>
      <c r="I1793" s="63" t="str">
        <f>IF(H1793="","",IFERROR(INDEX('Data Export'!G1793:CZ1793,1,MATCH(前十整体车型排名!$B$4,'Data Export'!$G$1:$CZ$1,0)),0))</f>
        <v/>
      </c>
      <c r="J1793" s="62" t="str">
        <f>IF(H1793="","",IF(OR('Data Export'!F1793="三厢轿车",'Data Export'!F1793="掀背轿车",'Data Export'!F1793="旅行车",'Data Export'!F1793="微型车",'Data Export'!F1793="硬顶跑车",'Data Export'!F1793="敞蓬车",'Data Export'!F1793="Targa"),"轿车",IF(OR('Data Export'!F1793="小型MPV",'Data Export'!F1793="客车"),"MPV",IF('Data Export'!F1793="运动型多功能车","SUV","其他"))))</f>
        <v/>
      </c>
      <c r="K1793" s="62"/>
      <c r="L1793" s="62"/>
      <c r="M1793" s="62"/>
      <c r="N1793" s="62"/>
      <c r="O1793" s="62"/>
      <c r="P1793" s="62"/>
      <c r="Q1793" s="62"/>
    </row>
    <row r="1794" spans="1:17">
      <c r="A1794" s="62"/>
      <c r="B1794" s="62"/>
      <c r="C1794" s="62"/>
      <c r="D1794" s="62"/>
      <c r="E1794" s="62"/>
      <c r="F1794" s="62"/>
      <c r="G1794" s="62"/>
      <c r="H1794" s="62" t="str">
        <f>IF(AND('Data Export'!A1794=前十整体车型排名!$B$2,'Data Export'!B1794=前十整体车型排名!$B$3,'Data Export'!D1794&lt;&gt;""),UPPER('Data Export'!C1794)&amp;"♦"&amp;'Data Export'!D1794,"")</f>
        <v/>
      </c>
      <c r="I1794" s="63" t="str">
        <f>IF(H1794="","",IFERROR(INDEX('Data Export'!G1794:CZ1794,1,MATCH(前十整体车型排名!$B$4,'Data Export'!$G$1:$CZ$1,0)),0))</f>
        <v/>
      </c>
      <c r="J1794" s="62" t="str">
        <f>IF(H1794="","",IF(OR('Data Export'!F1794="三厢轿车",'Data Export'!F1794="掀背轿车",'Data Export'!F1794="旅行车",'Data Export'!F1794="微型车",'Data Export'!F1794="硬顶跑车",'Data Export'!F1794="敞蓬车",'Data Export'!F1794="Targa"),"轿车",IF(OR('Data Export'!F1794="小型MPV",'Data Export'!F1794="客车"),"MPV",IF('Data Export'!F1794="运动型多功能车","SUV","其他"))))</f>
        <v/>
      </c>
      <c r="K1794" s="62"/>
      <c r="L1794" s="62"/>
      <c r="M1794" s="62"/>
      <c r="N1794" s="62"/>
      <c r="O1794" s="62"/>
      <c r="P1794" s="62"/>
      <c r="Q1794" s="62"/>
    </row>
    <row r="1795" spans="1:17">
      <c r="A1795" s="62"/>
      <c r="B1795" s="62"/>
      <c r="C1795" s="62"/>
      <c r="D1795" s="62"/>
      <c r="E1795" s="62"/>
      <c r="F1795" s="62"/>
      <c r="G1795" s="62"/>
      <c r="H1795" s="62" t="str">
        <f>IF(AND('Data Export'!A1795=前十整体车型排名!$B$2,'Data Export'!B1795=前十整体车型排名!$B$3,'Data Export'!D1795&lt;&gt;""),UPPER('Data Export'!C1795)&amp;"♦"&amp;'Data Export'!D1795,"")</f>
        <v/>
      </c>
      <c r="I1795" s="63" t="str">
        <f>IF(H1795="","",IFERROR(INDEX('Data Export'!G1795:CZ1795,1,MATCH(前十整体车型排名!$B$4,'Data Export'!$G$1:$CZ$1,0)),0))</f>
        <v/>
      </c>
      <c r="J1795" s="62" t="str">
        <f>IF(H1795="","",IF(OR('Data Export'!F1795="三厢轿车",'Data Export'!F1795="掀背轿车",'Data Export'!F1795="旅行车",'Data Export'!F1795="微型车",'Data Export'!F1795="硬顶跑车",'Data Export'!F1795="敞蓬车",'Data Export'!F1795="Targa"),"轿车",IF(OR('Data Export'!F1795="小型MPV",'Data Export'!F1795="客车"),"MPV",IF('Data Export'!F1795="运动型多功能车","SUV","其他"))))</f>
        <v/>
      </c>
      <c r="K1795" s="62"/>
      <c r="L1795" s="62"/>
      <c r="M1795" s="62"/>
      <c r="N1795" s="62"/>
      <c r="O1795" s="62"/>
      <c r="P1795" s="62"/>
      <c r="Q1795" s="62"/>
    </row>
    <row r="1796" spans="1:17">
      <c r="A1796" s="62"/>
      <c r="B1796" s="62"/>
      <c r="C1796" s="62"/>
      <c r="D1796" s="62"/>
      <c r="E1796" s="62"/>
      <c r="F1796" s="62"/>
      <c r="G1796" s="62"/>
      <c r="H1796" s="62" t="str">
        <f>IF(AND('Data Export'!A1796=前十整体车型排名!$B$2,'Data Export'!B1796=前十整体车型排名!$B$3,'Data Export'!D1796&lt;&gt;""),UPPER('Data Export'!C1796)&amp;"♦"&amp;'Data Export'!D1796,"")</f>
        <v/>
      </c>
      <c r="I1796" s="63" t="str">
        <f>IF(H1796="","",IFERROR(INDEX('Data Export'!G1796:CZ1796,1,MATCH(前十整体车型排名!$B$4,'Data Export'!$G$1:$CZ$1,0)),0))</f>
        <v/>
      </c>
      <c r="J1796" s="62" t="str">
        <f>IF(H1796="","",IF(OR('Data Export'!F1796="三厢轿车",'Data Export'!F1796="掀背轿车",'Data Export'!F1796="旅行车",'Data Export'!F1796="微型车",'Data Export'!F1796="硬顶跑车",'Data Export'!F1796="敞蓬车",'Data Export'!F1796="Targa"),"轿车",IF(OR('Data Export'!F1796="小型MPV",'Data Export'!F1796="客车"),"MPV",IF('Data Export'!F1796="运动型多功能车","SUV","其他"))))</f>
        <v/>
      </c>
      <c r="K1796" s="62"/>
      <c r="L1796" s="62"/>
      <c r="M1796" s="62"/>
      <c r="N1796" s="62"/>
      <c r="O1796" s="62"/>
      <c r="P1796" s="62"/>
      <c r="Q1796" s="62"/>
    </row>
    <row r="1797" spans="1:17">
      <c r="A1797" s="62"/>
      <c r="B1797" s="62"/>
      <c r="C1797" s="62"/>
      <c r="D1797" s="62"/>
      <c r="E1797" s="62"/>
      <c r="F1797" s="62"/>
      <c r="G1797" s="62"/>
      <c r="H1797" s="62" t="str">
        <f>IF(AND('Data Export'!A1797=前十整体车型排名!$B$2,'Data Export'!B1797=前十整体车型排名!$B$3,'Data Export'!D1797&lt;&gt;""),UPPER('Data Export'!C1797)&amp;"♦"&amp;'Data Export'!D1797,"")</f>
        <v/>
      </c>
      <c r="I1797" s="63" t="str">
        <f>IF(H1797="","",IFERROR(INDEX('Data Export'!G1797:CZ1797,1,MATCH(前十整体车型排名!$B$4,'Data Export'!$G$1:$CZ$1,0)),0))</f>
        <v/>
      </c>
      <c r="J1797" s="62" t="str">
        <f>IF(H1797="","",IF(OR('Data Export'!F1797="三厢轿车",'Data Export'!F1797="掀背轿车",'Data Export'!F1797="旅行车",'Data Export'!F1797="微型车",'Data Export'!F1797="硬顶跑车",'Data Export'!F1797="敞蓬车",'Data Export'!F1797="Targa"),"轿车",IF(OR('Data Export'!F1797="小型MPV",'Data Export'!F1797="客车"),"MPV",IF('Data Export'!F1797="运动型多功能车","SUV","其他"))))</f>
        <v/>
      </c>
      <c r="K1797" s="62"/>
      <c r="L1797" s="62"/>
      <c r="M1797" s="62"/>
      <c r="N1797" s="62"/>
      <c r="O1797" s="62"/>
      <c r="P1797" s="62"/>
      <c r="Q1797" s="62"/>
    </row>
    <row r="1798" spans="1:17">
      <c r="A1798" s="62"/>
      <c r="B1798" s="62"/>
      <c r="C1798" s="62"/>
      <c r="D1798" s="62"/>
      <c r="E1798" s="62"/>
      <c r="F1798" s="62"/>
      <c r="G1798" s="62"/>
      <c r="H1798" s="62" t="str">
        <f>IF(AND('Data Export'!A1798=前十整体车型排名!$B$2,'Data Export'!B1798=前十整体车型排名!$B$3,'Data Export'!D1798&lt;&gt;""),UPPER('Data Export'!C1798)&amp;"♦"&amp;'Data Export'!D1798,"")</f>
        <v/>
      </c>
      <c r="I1798" s="63" t="str">
        <f>IF(H1798="","",IFERROR(INDEX('Data Export'!G1798:CZ1798,1,MATCH(前十整体车型排名!$B$4,'Data Export'!$G$1:$CZ$1,0)),0))</f>
        <v/>
      </c>
      <c r="J1798" s="62" t="str">
        <f>IF(H1798="","",IF(OR('Data Export'!F1798="三厢轿车",'Data Export'!F1798="掀背轿车",'Data Export'!F1798="旅行车",'Data Export'!F1798="微型车",'Data Export'!F1798="硬顶跑车",'Data Export'!F1798="敞蓬车",'Data Export'!F1798="Targa"),"轿车",IF(OR('Data Export'!F1798="小型MPV",'Data Export'!F1798="客车"),"MPV",IF('Data Export'!F1798="运动型多功能车","SUV","其他"))))</f>
        <v/>
      </c>
      <c r="K1798" s="62"/>
      <c r="L1798" s="62"/>
      <c r="M1798" s="62"/>
      <c r="N1798" s="62"/>
      <c r="O1798" s="62"/>
      <c r="P1798" s="62"/>
      <c r="Q1798" s="62"/>
    </row>
    <row r="1799" spans="1:17">
      <c r="A1799" s="62"/>
      <c r="B1799" s="62"/>
      <c r="C1799" s="62"/>
      <c r="D1799" s="62"/>
      <c r="E1799" s="62"/>
      <c r="F1799" s="62"/>
      <c r="G1799" s="62"/>
      <c r="H1799" s="62" t="str">
        <f>IF(AND('Data Export'!A1799=前十整体车型排名!$B$2,'Data Export'!B1799=前十整体车型排名!$B$3,'Data Export'!D1799&lt;&gt;""),UPPER('Data Export'!C1799)&amp;"♦"&amp;'Data Export'!D1799,"")</f>
        <v/>
      </c>
      <c r="I1799" s="63" t="str">
        <f>IF(H1799="","",IFERROR(INDEX('Data Export'!G1799:CZ1799,1,MATCH(前十整体车型排名!$B$4,'Data Export'!$G$1:$CZ$1,0)),0))</f>
        <v/>
      </c>
      <c r="J1799" s="62" t="str">
        <f>IF(H1799="","",IF(OR('Data Export'!F1799="三厢轿车",'Data Export'!F1799="掀背轿车",'Data Export'!F1799="旅行车",'Data Export'!F1799="微型车",'Data Export'!F1799="硬顶跑车",'Data Export'!F1799="敞蓬车",'Data Export'!F1799="Targa"),"轿车",IF(OR('Data Export'!F1799="小型MPV",'Data Export'!F1799="客车"),"MPV",IF('Data Export'!F1799="运动型多功能车","SUV","其他"))))</f>
        <v/>
      </c>
      <c r="K1799" s="62"/>
      <c r="L1799" s="62"/>
      <c r="M1799" s="62"/>
      <c r="N1799" s="62"/>
      <c r="O1799" s="62"/>
      <c r="P1799" s="62"/>
      <c r="Q1799" s="62"/>
    </row>
    <row r="1800" spans="1:17">
      <c r="A1800" s="62"/>
      <c r="B1800" s="62"/>
      <c r="C1800" s="62"/>
      <c r="D1800" s="62"/>
      <c r="E1800" s="62"/>
      <c r="F1800" s="62"/>
      <c r="G1800" s="62"/>
      <c r="H1800" s="62" t="str">
        <f>IF(AND('Data Export'!A1800=前十整体车型排名!$B$2,'Data Export'!B1800=前十整体车型排名!$B$3,'Data Export'!D1800&lt;&gt;""),UPPER('Data Export'!C1800)&amp;"♦"&amp;'Data Export'!D1800,"")</f>
        <v/>
      </c>
      <c r="I1800" s="63" t="str">
        <f>IF(H1800="","",IFERROR(INDEX('Data Export'!G1800:CZ1800,1,MATCH(前十整体车型排名!$B$4,'Data Export'!$G$1:$CZ$1,0)),0))</f>
        <v/>
      </c>
      <c r="J1800" s="62" t="str">
        <f>IF(H1800="","",IF(OR('Data Export'!F1800="三厢轿车",'Data Export'!F1800="掀背轿车",'Data Export'!F1800="旅行车",'Data Export'!F1800="微型车",'Data Export'!F1800="硬顶跑车",'Data Export'!F1800="敞蓬车",'Data Export'!F1800="Targa"),"轿车",IF(OR('Data Export'!F1800="小型MPV",'Data Export'!F1800="客车"),"MPV",IF('Data Export'!F1800="运动型多功能车","SUV","其他"))))</f>
        <v/>
      </c>
      <c r="K1800" s="62"/>
      <c r="L1800" s="62"/>
      <c r="M1800" s="62"/>
      <c r="N1800" s="62"/>
      <c r="O1800" s="62"/>
      <c r="P1800" s="62"/>
      <c r="Q1800" s="62"/>
    </row>
    <row r="1801" spans="1:17">
      <c r="A1801" s="62"/>
      <c r="B1801" s="62"/>
      <c r="C1801" s="62"/>
      <c r="D1801" s="62"/>
      <c r="E1801" s="62"/>
      <c r="F1801" s="62"/>
      <c r="G1801" s="62"/>
      <c r="H1801" s="62" t="str">
        <f>IF(AND('Data Export'!A1801=前十整体车型排名!$B$2,'Data Export'!B1801=前十整体车型排名!$B$3,'Data Export'!D1801&lt;&gt;""),UPPER('Data Export'!C1801)&amp;"♦"&amp;'Data Export'!D1801,"")</f>
        <v/>
      </c>
      <c r="I1801" s="63" t="str">
        <f>IF(H1801="","",IFERROR(INDEX('Data Export'!G1801:CZ1801,1,MATCH(前十整体车型排名!$B$4,'Data Export'!$G$1:$CZ$1,0)),0))</f>
        <v/>
      </c>
      <c r="J1801" s="62" t="str">
        <f>IF(H1801="","",IF(OR('Data Export'!F1801="三厢轿车",'Data Export'!F1801="掀背轿车",'Data Export'!F1801="旅行车",'Data Export'!F1801="微型车",'Data Export'!F1801="硬顶跑车",'Data Export'!F1801="敞蓬车",'Data Export'!F1801="Targa"),"轿车",IF(OR('Data Export'!F1801="小型MPV",'Data Export'!F1801="客车"),"MPV",IF('Data Export'!F1801="运动型多功能车","SUV","其他"))))</f>
        <v/>
      </c>
      <c r="K1801" s="62"/>
      <c r="L1801" s="62"/>
      <c r="M1801" s="62"/>
      <c r="N1801" s="62"/>
      <c r="O1801" s="62"/>
      <c r="P1801" s="62"/>
      <c r="Q1801" s="62"/>
    </row>
    <row r="1802" spans="1:17">
      <c r="A1802" s="62"/>
      <c r="B1802" s="62"/>
      <c r="C1802" s="62"/>
      <c r="D1802" s="62"/>
      <c r="E1802" s="62"/>
      <c r="F1802" s="62"/>
      <c r="G1802" s="62"/>
      <c r="H1802" s="62" t="str">
        <f>IF(AND('Data Export'!A1802=前十整体车型排名!$B$2,'Data Export'!B1802=前十整体车型排名!$B$3,'Data Export'!D1802&lt;&gt;""),UPPER('Data Export'!C1802)&amp;"♦"&amp;'Data Export'!D1802,"")</f>
        <v/>
      </c>
      <c r="I1802" s="63" t="str">
        <f>IF(H1802="","",IFERROR(INDEX('Data Export'!G1802:CZ1802,1,MATCH(前十整体车型排名!$B$4,'Data Export'!$G$1:$CZ$1,0)),0))</f>
        <v/>
      </c>
      <c r="J1802" s="62" t="str">
        <f>IF(H1802="","",IF(OR('Data Export'!F1802="三厢轿车",'Data Export'!F1802="掀背轿车",'Data Export'!F1802="旅行车",'Data Export'!F1802="微型车",'Data Export'!F1802="硬顶跑车",'Data Export'!F1802="敞蓬车",'Data Export'!F1802="Targa"),"轿车",IF(OR('Data Export'!F1802="小型MPV",'Data Export'!F1802="客车"),"MPV",IF('Data Export'!F1802="运动型多功能车","SUV","其他"))))</f>
        <v/>
      </c>
      <c r="K1802" s="62"/>
      <c r="L1802" s="62"/>
      <c r="M1802" s="62"/>
      <c r="N1802" s="62"/>
      <c r="O1802" s="62"/>
      <c r="P1802" s="62"/>
      <c r="Q1802" s="62"/>
    </row>
    <row r="1803" spans="1:17">
      <c r="A1803" s="62"/>
      <c r="B1803" s="62"/>
      <c r="C1803" s="62"/>
      <c r="D1803" s="62"/>
      <c r="E1803" s="62"/>
      <c r="F1803" s="62"/>
      <c r="G1803" s="62"/>
      <c r="H1803" s="62" t="str">
        <f>IF(AND('Data Export'!A1803=前十整体车型排名!$B$2,'Data Export'!B1803=前十整体车型排名!$B$3,'Data Export'!D1803&lt;&gt;""),UPPER('Data Export'!C1803)&amp;"♦"&amp;'Data Export'!D1803,"")</f>
        <v/>
      </c>
      <c r="I1803" s="63" t="str">
        <f>IF(H1803="","",IFERROR(INDEX('Data Export'!G1803:CZ1803,1,MATCH(前十整体车型排名!$B$4,'Data Export'!$G$1:$CZ$1,0)),0))</f>
        <v/>
      </c>
      <c r="J1803" s="62" t="str">
        <f>IF(H1803="","",IF(OR('Data Export'!F1803="三厢轿车",'Data Export'!F1803="掀背轿车",'Data Export'!F1803="旅行车",'Data Export'!F1803="微型车",'Data Export'!F1803="硬顶跑车",'Data Export'!F1803="敞蓬车",'Data Export'!F1803="Targa"),"轿车",IF(OR('Data Export'!F1803="小型MPV",'Data Export'!F1803="客车"),"MPV",IF('Data Export'!F1803="运动型多功能车","SUV","其他"))))</f>
        <v/>
      </c>
      <c r="K1803" s="62"/>
      <c r="L1803" s="62"/>
      <c r="M1803" s="62"/>
      <c r="N1803" s="62"/>
      <c r="O1803" s="62"/>
      <c r="P1803" s="62"/>
      <c r="Q1803" s="62"/>
    </row>
    <row r="1804" spans="1:17">
      <c r="A1804" s="62"/>
      <c r="B1804" s="62"/>
      <c r="C1804" s="62"/>
      <c r="D1804" s="62"/>
      <c r="E1804" s="62"/>
      <c r="F1804" s="62"/>
      <c r="G1804" s="62"/>
      <c r="H1804" s="62" t="str">
        <f>IF(AND('Data Export'!A1804=前十整体车型排名!$B$2,'Data Export'!B1804=前十整体车型排名!$B$3,'Data Export'!D1804&lt;&gt;""),UPPER('Data Export'!C1804)&amp;"♦"&amp;'Data Export'!D1804,"")</f>
        <v/>
      </c>
      <c r="I1804" s="63" t="str">
        <f>IF(H1804="","",IFERROR(INDEX('Data Export'!G1804:CZ1804,1,MATCH(前十整体车型排名!$B$4,'Data Export'!$G$1:$CZ$1,0)),0))</f>
        <v/>
      </c>
      <c r="J1804" s="62" t="str">
        <f>IF(H1804="","",IF(OR('Data Export'!F1804="三厢轿车",'Data Export'!F1804="掀背轿车",'Data Export'!F1804="旅行车",'Data Export'!F1804="微型车",'Data Export'!F1804="硬顶跑车",'Data Export'!F1804="敞蓬车",'Data Export'!F1804="Targa"),"轿车",IF(OR('Data Export'!F1804="小型MPV",'Data Export'!F1804="客车"),"MPV",IF('Data Export'!F1804="运动型多功能车","SUV","其他"))))</f>
        <v/>
      </c>
      <c r="K1804" s="62"/>
      <c r="L1804" s="62"/>
      <c r="M1804" s="62"/>
      <c r="N1804" s="62"/>
      <c r="O1804" s="62"/>
      <c r="P1804" s="62"/>
      <c r="Q1804" s="62"/>
    </row>
    <row r="1805" spans="1:17">
      <c r="A1805" s="62"/>
      <c r="B1805" s="62"/>
      <c r="C1805" s="62"/>
      <c r="D1805" s="62"/>
      <c r="E1805" s="62"/>
      <c r="F1805" s="62"/>
      <c r="G1805" s="62"/>
      <c r="H1805" s="62" t="str">
        <f>IF(AND('Data Export'!A1805=前十整体车型排名!$B$2,'Data Export'!B1805=前十整体车型排名!$B$3,'Data Export'!D1805&lt;&gt;""),UPPER('Data Export'!C1805)&amp;"♦"&amp;'Data Export'!D1805,"")</f>
        <v/>
      </c>
      <c r="I1805" s="63" t="str">
        <f>IF(H1805="","",IFERROR(INDEX('Data Export'!G1805:CZ1805,1,MATCH(前十整体车型排名!$B$4,'Data Export'!$G$1:$CZ$1,0)),0))</f>
        <v/>
      </c>
      <c r="J1805" s="62" t="str">
        <f>IF(H1805="","",IF(OR('Data Export'!F1805="三厢轿车",'Data Export'!F1805="掀背轿车",'Data Export'!F1805="旅行车",'Data Export'!F1805="微型车",'Data Export'!F1805="硬顶跑车",'Data Export'!F1805="敞蓬车",'Data Export'!F1805="Targa"),"轿车",IF(OR('Data Export'!F1805="小型MPV",'Data Export'!F1805="客车"),"MPV",IF('Data Export'!F1805="运动型多功能车","SUV","其他"))))</f>
        <v/>
      </c>
      <c r="K1805" s="62"/>
      <c r="L1805" s="62"/>
      <c r="M1805" s="62"/>
      <c r="N1805" s="62"/>
      <c r="O1805" s="62"/>
      <c r="P1805" s="62"/>
      <c r="Q1805" s="62"/>
    </row>
    <row r="1806" spans="1:17">
      <c r="A1806" s="62"/>
      <c r="B1806" s="62"/>
      <c r="C1806" s="62"/>
      <c r="D1806" s="62"/>
      <c r="E1806" s="62"/>
      <c r="F1806" s="62"/>
      <c r="G1806" s="62"/>
      <c r="H1806" s="62" t="str">
        <f>IF(AND('Data Export'!A1806=前十整体车型排名!$B$2,'Data Export'!B1806=前十整体车型排名!$B$3,'Data Export'!D1806&lt;&gt;""),UPPER('Data Export'!C1806)&amp;"♦"&amp;'Data Export'!D1806,"")</f>
        <v/>
      </c>
      <c r="I1806" s="63" t="str">
        <f>IF(H1806="","",IFERROR(INDEX('Data Export'!G1806:CZ1806,1,MATCH(前十整体车型排名!$B$4,'Data Export'!$G$1:$CZ$1,0)),0))</f>
        <v/>
      </c>
      <c r="J1806" s="62" t="str">
        <f>IF(H1806="","",IF(OR('Data Export'!F1806="三厢轿车",'Data Export'!F1806="掀背轿车",'Data Export'!F1806="旅行车",'Data Export'!F1806="微型车",'Data Export'!F1806="硬顶跑车",'Data Export'!F1806="敞蓬车",'Data Export'!F1806="Targa"),"轿车",IF(OR('Data Export'!F1806="小型MPV",'Data Export'!F1806="客车"),"MPV",IF('Data Export'!F1806="运动型多功能车","SUV","其他"))))</f>
        <v/>
      </c>
      <c r="K1806" s="62"/>
      <c r="L1806" s="62"/>
      <c r="M1806" s="62"/>
      <c r="N1806" s="62"/>
      <c r="O1806" s="62"/>
      <c r="P1806" s="62"/>
      <c r="Q1806" s="62"/>
    </row>
    <row r="1807" spans="1:17">
      <c r="A1807" s="62"/>
      <c r="B1807" s="62"/>
      <c r="C1807" s="62"/>
      <c r="D1807" s="62"/>
      <c r="E1807" s="62"/>
      <c r="F1807" s="62"/>
      <c r="G1807" s="62"/>
      <c r="H1807" s="62" t="str">
        <f>IF(AND('Data Export'!A1807=前十整体车型排名!$B$2,'Data Export'!B1807=前十整体车型排名!$B$3,'Data Export'!D1807&lt;&gt;""),UPPER('Data Export'!C1807)&amp;"♦"&amp;'Data Export'!D1807,"")</f>
        <v/>
      </c>
      <c r="I1807" s="63" t="str">
        <f>IF(H1807="","",IFERROR(INDEX('Data Export'!G1807:CZ1807,1,MATCH(前十整体车型排名!$B$4,'Data Export'!$G$1:$CZ$1,0)),0))</f>
        <v/>
      </c>
      <c r="J1807" s="62" t="str">
        <f>IF(H1807="","",IF(OR('Data Export'!F1807="三厢轿车",'Data Export'!F1807="掀背轿车",'Data Export'!F1807="旅行车",'Data Export'!F1807="微型车",'Data Export'!F1807="硬顶跑车",'Data Export'!F1807="敞蓬车",'Data Export'!F1807="Targa"),"轿车",IF(OR('Data Export'!F1807="小型MPV",'Data Export'!F1807="客车"),"MPV",IF('Data Export'!F1807="运动型多功能车","SUV","其他"))))</f>
        <v/>
      </c>
      <c r="K1807" s="62"/>
      <c r="L1807" s="62"/>
      <c r="M1807" s="62"/>
      <c r="N1807" s="62"/>
      <c r="O1807" s="62"/>
      <c r="P1807" s="62"/>
      <c r="Q1807" s="62"/>
    </row>
    <row r="1808" spans="1:17">
      <c r="A1808" s="62"/>
      <c r="B1808" s="62"/>
      <c r="C1808" s="62"/>
      <c r="D1808" s="62"/>
      <c r="E1808" s="62"/>
      <c r="F1808" s="62"/>
      <c r="G1808" s="62"/>
      <c r="H1808" s="62" t="str">
        <f>IF(AND('Data Export'!A1808=前十整体车型排名!$B$2,'Data Export'!B1808=前十整体车型排名!$B$3,'Data Export'!D1808&lt;&gt;""),UPPER('Data Export'!C1808)&amp;"♦"&amp;'Data Export'!D1808,"")</f>
        <v/>
      </c>
      <c r="I1808" s="63" t="str">
        <f>IF(H1808="","",IFERROR(INDEX('Data Export'!G1808:CZ1808,1,MATCH(前十整体车型排名!$B$4,'Data Export'!$G$1:$CZ$1,0)),0))</f>
        <v/>
      </c>
      <c r="J1808" s="62" t="str">
        <f>IF(H1808="","",IF(OR('Data Export'!F1808="三厢轿车",'Data Export'!F1808="掀背轿车",'Data Export'!F1808="旅行车",'Data Export'!F1808="微型车",'Data Export'!F1808="硬顶跑车",'Data Export'!F1808="敞蓬车",'Data Export'!F1808="Targa"),"轿车",IF(OR('Data Export'!F1808="小型MPV",'Data Export'!F1808="客车"),"MPV",IF('Data Export'!F1808="运动型多功能车","SUV","其他"))))</f>
        <v/>
      </c>
      <c r="K1808" s="62"/>
      <c r="L1808" s="62"/>
      <c r="M1808" s="62"/>
      <c r="N1808" s="62"/>
      <c r="O1808" s="62"/>
      <c r="P1808" s="62"/>
      <c r="Q1808" s="62"/>
    </row>
    <row r="1809" spans="1:17">
      <c r="A1809" s="62"/>
      <c r="B1809" s="62"/>
      <c r="C1809" s="62"/>
      <c r="D1809" s="62"/>
      <c r="E1809" s="62"/>
      <c r="F1809" s="62"/>
      <c r="G1809" s="62"/>
      <c r="H1809" s="62" t="str">
        <f>IF(AND('Data Export'!A1809=前十整体车型排名!$B$2,'Data Export'!B1809=前十整体车型排名!$B$3,'Data Export'!D1809&lt;&gt;""),UPPER('Data Export'!C1809)&amp;"♦"&amp;'Data Export'!D1809,"")</f>
        <v/>
      </c>
      <c r="I1809" s="63" t="str">
        <f>IF(H1809="","",IFERROR(INDEX('Data Export'!G1809:CZ1809,1,MATCH(前十整体车型排名!$B$4,'Data Export'!$G$1:$CZ$1,0)),0))</f>
        <v/>
      </c>
      <c r="J1809" s="62" t="str">
        <f>IF(H1809="","",IF(OR('Data Export'!F1809="三厢轿车",'Data Export'!F1809="掀背轿车",'Data Export'!F1809="旅行车",'Data Export'!F1809="微型车",'Data Export'!F1809="硬顶跑车",'Data Export'!F1809="敞蓬车",'Data Export'!F1809="Targa"),"轿车",IF(OR('Data Export'!F1809="小型MPV",'Data Export'!F1809="客车"),"MPV",IF('Data Export'!F1809="运动型多功能车","SUV","其他"))))</f>
        <v/>
      </c>
      <c r="K1809" s="62"/>
      <c r="L1809" s="62"/>
      <c r="M1809" s="62"/>
      <c r="N1809" s="62"/>
      <c r="O1809" s="62"/>
      <c r="P1809" s="62"/>
      <c r="Q1809" s="62"/>
    </row>
    <row r="1810" spans="1:17">
      <c r="A1810" s="62"/>
      <c r="B1810" s="62"/>
      <c r="C1810" s="62"/>
      <c r="D1810" s="62"/>
      <c r="E1810" s="62"/>
      <c r="F1810" s="62"/>
      <c r="G1810" s="62"/>
      <c r="H1810" s="62" t="str">
        <f>IF(AND('Data Export'!A1810=前十整体车型排名!$B$2,'Data Export'!B1810=前十整体车型排名!$B$3,'Data Export'!D1810&lt;&gt;""),UPPER('Data Export'!C1810)&amp;"♦"&amp;'Data Export'!D1810,"")</f>
        <v/>
      </c>
      <c r="I1810" s="63" t="str">
        <f>IF(H1810="","",IFERROR(INDEX('Data Export'!G1810:CZ1810,1,MATCH(前十整体车型排名!$B$4,'Data Export'!$G$1:$CZ$1,0)),0))</f>
        <v/>
      </c>
      <c r="J1810" s="62" t="str">
        <f>IF(H1810="","",IF(OR('Data Export'!F1810="三厢轿车",'Data Export'!F1810="掀背轿车",'Data Export'!F1810="旅行车",'Data Export'!F1810="微型车",'Data Export'!F1810="硬顶跑车",'Data Export'!F1810="敞蓬车",'Data Export'!F1810="Targa"),"轿车",IF(OR('Data Export'!F1810="小型MPV",'Data Export'!F1810="客车"),"MPV",IF('Data Export'!F1810="运动型多功能车","SUV","其他"))))</f>
        <v/>
      </c>
      <c r="K1810" s="62"/>
      <c r="L1810" s="62"/>
      <c r="M1810" s="62"/>
      <c r="N1810" s="62"/>
      <c r="O1810" s="62"/>
      <c r="P1810" s="62"/>
      <c r="Q1810" s="62"/>
    </row>
    <row r="1811" spans="1:17">
      <c r="A1811" s="62"/>
      <c r="B1811" s="62"/>
      <c r="C1811" s="62"/>
      <c r="D1811" s="62"/>
      <c r="E1811" s="62"/>
      <c r="F1811" s="62"/>
      <c r="G1811" s="62"/>
      <c r="H1811" s="62" t="str">
        <f>IF(AND('Data Export'!A1811=前十整体车型排名!$B$2,'Data Export'!B1811=前十整体车型排名!$B$3,'Data Export'!D1811&lt;&gt;""),UPPER('Data Export'!C1811)&amp;"♦"&amp;'Data Export'!D1811,"")</f>
        <v/>
      </c>
      <c r="I1811" s="63" t="str">
        <f>IF(H1811="","",IFERROR(INDEX('Data Export'!G1811:CZ1811,1,MATCH(前十整体车型排名!$B$4,'Data Export'!$G$1:$CZ$1,0)),0))</f>
        <v/>
      </c>
      <c r="J1811" s="62" t="str">
        <f>IF(H1811="","",IF(OR('Data Export'!F1811="三厢轿车",'Data Export'!F1811="掀背轿车",'Data Export'!F1811="旅行车",'Data Export'!F1811="微型车",'Data Export'!F1811="硬顶跑车",'Data Export'!F1811="敞蓬车",'Data Export'!F1811="Targa"),"轿车",IF(OR('Data Export'!F1811="小型MPV",'Data Export'!F1811="客车"),"MPV",IF('Data Export'!F1811="运动型多功能车","SUV","其他"))))</f>
        <v/>
      </c>
      <c r="K1811" s="62"/>
      <c r="L1811" s="62"/>
      <c r="M1811" s="62"/>
      <c r="N1811" s="62"/>
      <c r="O1811" s="62"/>
      <c r="P1811" s="62"/>
      <c r="Q1811" s="62"/>
    </row>
    <row r="1812" spans="1:17">
      <c r="A1812" s="62"/>
      <c r="B1812" s="62"/>
      <c r="C1812" s="62"/>
      <c r="D1812" s="62"/>
      <c r="E1812" s="62"/>
      <c r="F1812" s="62"/>
      <c r="G1812" s="62"/>
      <c r="H1812" s="62" t="str">
        <f>IF(AND('Data Export'!A1812=前十整体车型排名!$B$2,'Data Export'!B1812=前十整体车型排名!$B$3,'Data Export'!D1812&lt;&gt;""),UPPER('Data Export'!C1812)&amp;"♦"&amp;'Data Export'!D1812,"")</f>
        <v/>
      </c>
      <c r="I1812" s="63" t="str">
        <f>IF(H1812="","",IFERROR(INDEX('Data Export'!G1812:CZ1812,1,MATCH(前十整体车型排名!$B$4,'Data Export'!$G$1:$CZ$1,0)),0))</f>
        <v/>
      </c>
      <c r="J1812" s="62" t="str">
        <f>IF(H1812="","",IF(OR('Data Export'!F1812="三厢轿车",'Data Export'!F1812="掀背轿车",'Data Export'!F1812="旅行车",'Data Export'!F1812="微型车",'Data Export'!F1812="硬顶跑车",'Data Export'!F1812="敞蓬车",'Data Export'!F1812="Targa"),"轿车",IF(OR('Data Export'!F1812="小型MPV",'Data Export'!F1812="客车"),"MPV",IF('Data Export'!F1812="运动型多功能车","SUV","其他"))))</f>
        <v/>
      </c>
      <c r="K1812" s="62"/>
      <c r="L1812" s="62"/>
      <c r="M1812" s="62"/>
      <c r="N1812" s="62"/>
      <c r="O1812" s="62"/>
      <c r="P1812" s="62"/>
      <c r="Q1812" s="62"/>
    </row>
    <row r="1813" spans="1:17">
      <c r="A1813" s="62"/>
      <c r="B1813" s="62"/>
      <c r="C1813" s="62"/>
      <c r="D1813" s="62"/>
      <c r="E1813" s="62"/>
      <c r="F1813" s="62"/>
      <c r="G1813" s="62"/>
      <c r="H1813" s="62" t="str">
        <f>IF(AND('Data Export'!A1813=前十整体车型排名!$B$2,'Data Export'!B1813=前十整体车型排名!$B$3,'Data Export'!D1813&lt;&gt;""),UPPER('Data Export'!C1813)&amp;"♦"&amp;'Data Export'!D1813,"")</f>
        <v/>
      </c>
      <c r="I1813" s="63" t="str">
        <f>IF(H1813="","",IFERROR(INDEX('Data Export'!G1813:CZ1813,1,MATCH(前十整体车型排名!$B$4,'Data Export'!$G$1:$CZ$1,0)),0))</f>
        <v/>
      </c>
      <c r="J1813" s="62" t="str">
        <f>IF(H1813="","",IF(OR('Data Export'!F1813="三厢轿车",'Data Export'!F1813="掀背轿车",'Data Export'!F1813="旅行车",'Data Export'!F1813="微型车",'Data Export'!F1813="硬顶跑车",'Data Export'!F1813="敞蓬车",'Data Export'!F1813="Targa"),"轿车",IF(OR('Data Export'!F1813="小型MPV",'Data Export'!F1813="客车"),"MPV",IF('Data Export'!F1813="运动型多功能车","SUV","其他"))))</f>
        <v/>
      </c>
      <c r="K1813" s="62"/>
      <c r="L1813" s="62"/>
      <c r="M1813" s="62"/>
      <c r="N1813" s="62"/>
      <c r="O1813" s="62"/>
      <c r="P1813" s="62"/>
      <c r="Q1813" s="62"/>
    </row>
    <row r="1814" spans="1:17">
      <c r="A1814" s="62"/>
      <c r="B1814" s="62"/>
      <c r="C1814" s="62"/>
      <c r="D1814" s="62"/>
      <c r="E1814" s="62"/>
      <c r="F1814" s="62"/>
      <c r="G1814" s="62"/>
      <c r="H1814" s="62" t="str">
        <f>IF(AND('Data Export'!A1814=前十整体车型排名!$B$2,'Data Export'!B1814=前十整体车型排名!$B$3,'Data Export'!D1814&lt;&gt;""),UPPER('Data Export'!C1814)&amp;"♦"&amp;'Data Export'!D1814,"")</f>
        <v/>
      </c>
      <c r="I1814" s="63" t="str">
        <f>IF(H1814="","",IFERROR(INDEX('Data Export'!G1814:CZ1814,1,MATCH(前十整体车型排名!$B$4,'Data Export'!$G$1:$CZ$1,0)),0))</f>
        <v/>
      </c>
      <c r="J1814" s="62" t="str">
        <f>IF(H1814="","",IF(OR('Data Export'!F1814="三厢轿车",'Data Export'!F1814="掀背轿车",'Data Export'!F1814="旅行车",'Data Export'!F1814="微型车",'Data Export'!F1814="硬顶跑车",'Data Export'!F1814="敞蓬车",'Data Export'!F1814="Targa"),"轿车",IF(OR('Data Export'!F1814="小型MPV",'Data Export'!F1814="客车"),"MPV",IF('Data Export'!F1814="运动型多功能车","SUV","其他"))))</f>
        <v/>
      </c>
      <c r="K1814" s="62"/>
      <c r="L1814" s="62"/>
      <c r="M1814" s="62"/>
      <c r="N1814" s="62"/>
      <c r="O1814" s="62"/>
      <c r="P1814" s="62"/>
      <c r="Q1814" s="62"/>
    </row>
    <row r="1815" spans="1:17">
      <c r="A1815" s="62"/>
      <c r="B1815" s="62"/>
      <c r="C1815" s="62"/>
      <c r="D1815" s="62"/>
      <c r="E1815" s="62"/>
      <c r="F1815" s="62"/>
      <c r="G1815" s="62"/>
      <c r="H1815" s="62" t="str">
        <f>IF(AND('Data Export'!A1815=前十整体车型排名!$B$2,'Data Export'!B1815=前十整体车型排名!$B$3,'Data Export'!D1815&lt;&gt;""),UPPER('Data Export'!C1815)&amp;"♦"&amp;'Data Export'!D1815,"")</f>
        <v/>
      </c>
      <c r="I1815" s="63" t="str">
        <f>IF(H1815="","",IFERROR(INDEX('Data Export'!G1815:CZ1815,1,MATCH(前十整体车型排名!$B$4,'Data Export'!$G$1:$CZ$1,0)),0))</f>
        <v/>
      </c>
      <c r="J1815" s="62" t="str">
        <f>IF(H1815="","",IF(OR('Data Export'!F1815="三厢轿车",'Data Export'!F1815="掀背轿车",'Data Export'!F1815="旅行车",'Data Export'!F1815="微型车",'Data Export'!F1815="硬顶跑车",'Data Export'!F1815="敞蓬车",'Data Export'!F1815="Targa"),"轿车",IF(OR('Data Export'!F1815="小型MPV",'Data Export'!F1815="客车"),"MPV",IF('Data Export'!F1815="运动型多功能车","SUV","其他"))))</f>
        <v/>
      </c>
      <c r="K1815" s="62"/>
      <c r="L1815" s="62"/>
      <c r="M1815" s="62"/>
      <c r="N1815" s="62"/>
      <c r="O1815" s="62"/>
      <c r="P1815" s="62"/>
      <c r="Q1815" s="62"/>
    </row>
    <row r="1816" spans="1:17">
      <c r="A1816" s="62"/>
      <c r="B1816" s="62"/>
      <c r="C1816" s="62"/>
      <c r="D1816" s="62"/>
      <c r="E1816" s="62"/>
      <c r="F1816" s="62"/>
      <c r="G1816" s="62"/>
      <c r="H1816" s="62" t="str">
        <f>IF(AND('Data Export'!A1816=前十整体车型排名!$B$2,'Data Export'!B1816=前十整体车型排名!$B$3,'Data Export'!D1816&lt;&gt;""),UPPER('Data Export'!C1816)&amp;"♦"&amp;'Data Export'!D1816,"")</f>
        <v/>
      </c>
      <c r="I1816" s="63" t="str">
        <f>IF(H1816="","",IFERROR(INDEX('Data Export'!G1816:CZ1816,1,MATCH(前十整体车型排名!$B$4,'Data Export'!$G$1:$CZ$1,0)),0))</f>
        <v/>
      </c>
      <c r="J1816" s="62" t="str">
        <f>IF(H1816="","",IF(OR('Data Export'!F1816="三厢轿车",'Data Export'!F1816="掀背轿车",'Data Export'!F1816="旅行车",'Data Export'!F1816="微型车",'Data Export'!F1816="硬顶跑车",'Data Export'!F1816="敞蓬车",'Data Export'!F1816="Targa"),"轿车",IF(OR('Data Export'!F1816="小型MPV",'Data Export'!F1816="客车"),"MPV",IF('Data Export'!F1816="运动型多功能车","SUV","其他"))))</f>
        <v/>
      </c>
      <c r="K1816" s="62"/>
      <c r="L1816" s="62"/>
      <c r="M1816" s="62"/>
      <c r="N1816" s="62"/>
      <c r="O1816" s="62"/>
      <c r="P1816" s="62"/>
      <c r="Q1816" s="62"/>
    </row>
    <row r="1817" spans="1:17">
      <c r="A1817" s="62"/>
      <c r="B1817" s="62"/>
      <c r="C1817" s="62"/>
      <c r="D1817" s="62"/>
      <c r="E1817" s="62"/>
      <c r="F1817" s="62"/>
      <c r="G1817" s="62"/>
      <c r="H1817" s="62" t="str">
        <f>IF(AND('Data Export'!A1817=前十整体车型排名!$B$2,'Data Export'!B1817=前十整体车型排名!$B$3,'Data Export'!D1817&lt;&gt;""),UPPER('Data Export'!C1817)&amp;"♦"&amp;'Data Export'!D1817,"")</f>
        <v/>
      </c>
      <c r="I1817" s="63" t="str">
        <f>IF(H1817="","",IFERROR(INDEX('Data Export'!G1817:CZ1817,1,MATCH(前十整体车型排名!$B$4,'Data Export'!$G$1:$CZ$1,0)),0))</f>
        <v/>
      </c>
      <c r="J1817" s="62" t="str">
        <f>IF(H1817="","",IF(OR('Data Export'!F1817="三厢轿车",'Data Export'!F1817="掀背轿车",'Data Export'!F1817="旅行车",'Data Export'!F1817="微型车",'Data Export'!F1817="硬顶跑车",'Data Export'!F1817="敞蓬车",'Data Export'!F1817="Targa"),"轿车",IF(OR('Data Export'!F1817="小型MPV",'Data Export'!F1817="客车"),"MPV",IF('Data Export'!F1817="运动型多功能车","SUV","其他"))))</f>
        <v/>
      </c>
      <c r="K1817" s="62"/>
      <c r="L1817" s="62"/>
      <c r="M1817" s="62"/>
      <c r="N1817" s="62"/>
      <c r="O1817" s="62"/>
      <c r="P1817" s="62"/>
      <c r="Q1817" s="62"/>
    </row>
    <row r="1818" spans="1:17">
      <c r="A1818" s="62"/>
      <c r="B1818" s="62"/>
      <c r="C1818" s="62"/>
      <c r="D1818" s="62"/>
      <c r="E1818" s="62"/>
      <c r="F1818" s="62"/>
      <c r="G1818" s="62"/>
      <c r="H1818" s="62" t="str">
        <f>IF(AND('Data Export'!A1818=前十整体车型排名!$B$2,'Data Export'!B1818=前十整体车型排名!$B$3,'Data Export'!D1818&lt;&gt;""),UPPER('Data Export'!C1818)&amp;"♦"&amp;'Data Export'!D1818,"")</f>
        <v/>
      </c>
      <c r="I1818" s="63" t="str">
        <f>IF(H1818="","",IFERROR(INDEX('Data Export'!G1818:CZ1818,1,MATCH(前十整体车型排名!$B$4,'Data Export'!$G$1:$CZ$1,0)),0))</f>
        <v/>
      </c>
      <c r="J1818" s="62" t="str">
        <f>IF(H1818="","",IF(OR('Data Export'!F1818="三厢轿车",'Data Export'!F1818="掀背轿车",'Data Export'!F1818="旅行车",'Data Export'!F1818="微型车",'Data Export'!F1818="硬顶跑车",'Data Export'!F1818="敞蓬车",'Data Export'!F1818="Targa"),"轿车",IF(OR('Data Export'!F1818="小型MPV",'Data Export'!F1818="客车"),"MPV",IF('Data Export'!F1818="运动型多功能车","SUV","其他"))))</f>
        <v/>
      </c>
      <c r="K1818" s="62"/>
      <c r="L1818" s="62"/>
      <c r="M1818" s="62"/>
      <c r="N1818" s="62"/>
      <c r="O1818" s="62"/>
      <c r="P1818" s="62"/>
      <c r="Q1818" s="62"/>
    </row>
    <row r="1819" spans="1:17">
      <c r="A1819" s="62"/>
      <c r="B1819" s="62"/>
      <c r="C1819" s="62"/>
      <c r="D1819" s="62"/>
      <c r="E1819" s="62"/>
      <c r="F1819" s="62"/>
      <c r="G1819" s="62"/>
      <c r="H1819" s="62" t="str">
        <f>IF(AND('Data Export'!A1819=前十整体车型排名!$B$2,'Data Export'!B1819=前十整体车型排名!$B$3,'Data Export'!D1819&lt;&gt;""),UPPER('Data Export'!C1819)&amp;"♦"&amp;'Data Export'!D1819,"")</f>
        <v/>
      </c>
      <c r="I1819" s="63" t="str">
        <f>IF(H1819="","",IFERROR(INDEX('Data Export'!G1819:CZ1819,1,MATCH(前十整体车型排名!$B$4,'Data Export'!$G$1:$CZ$1,0)),0))</f>
        <v/>
      </c>
      <c r="J1819" s="62" t="str">
        <f>IF(H1819="","",IF(OR('Data Export'!F1819="三厢轿车",'Data Export'!F1819="掀背轿车",'Data Export'!F1819="旅行车",'Data Export'!F1819="微型车",'Data Export'!F1819="硬顶跑车",'Data Export'!F1819="敞蓬车",'Data Export'!F1819="Targa"),"轿车",IF(OR('Data Export'!F1819="小型MPV",'Data Export'!F1819="客车"),"MPV",IF('Data Export'!F1819="运动型多功能车","SUV","其他"))))</f>
        <v/>
      </c>
      <c r="K1819" s="62"/>
      <c r="L1819" s="62"/>
      <c r="M1819" s="62"/>
      <c r="N1819" s="62"/>
      <c r="O1819" s="62"/>
      <c r="P1819" s="62"/>
      <c r="Q1819" s="62"/>
    </row>
    <row r="1820" spans="1:17">
      <c r="A1820" s="62"/>
      <c r="B1820" s="62"/>
      <c r="C1820" s="62"/>
      <c r="D1820" s="62"/>
      <c r="E1820" s="62"/>
      <c r="F1820" s="62"/>
      <c r="G1820" s="62"/>
      <c r="H1820" s="62" t="str">
        <f>IF(AND('Data Export'!A1820=前十整体车型排名!$B$2,'Data Export'!B1820=前十整体车型排名!$B$3,'Data Export'!D1820&lt;&gt;""),UPPER('Data Export'!C1820)&amp;"♦"&amp;'Data Export'!D1820,"")</f>
        <v/>
      </c>
      <c r="I1820" s="63" t="str">
        <f>IF(H1820="","",IFERROR(INDEX('Data Export'!G1820:CZ1820,1,MATCH(前十整体车型排名!$B$4,'Data Export'!$G$1:$CZ$1,0)),0))</f>
        <v/>
      </c>
      <c r="J1820" s="62" t="str">
        <f>IF(H1820="","",IF(OR('Data Export'!F1820="三厢轿车",'Data Export'!F1820="掀背轿车",'Data Export'!F1820="旅行车",'Data Export'!F1820="微型车",'Data Export'!F1820="硬顶跑车",'Data Export'!F1820="敞蓬车",'Data Export'!F1820="Targa"),"轿车",IF(OR('Data Export'!F1820="小型MPV",'Data Export'!F1820="客车"),"MPV",IF('Data Export'!F1820="运动型多功能车","SUV","其他"))))</f>
        <v/>
      </c>
      <c r="K1820" s="62"/>
      <c r="L1820" s="62"/>
      <c r="M1820" s="62"/>
      <c r="N1820" s="62"/>
      <c r="O1820" s="62"/>
      <c r="P1820" s="62"/>
      <c r="Q1820" s="62"/>
    </row>
    <row r="1821" spans="1:17">
      <c r="A1821" s="62"/>
      <c r="B1821" s="62"/>
      <c r="C1821" s="62"/>
      <c r="D1821" s="62"/>
      <c r="E1821" s="62"/>
      <c r="F1821" s="62"/>
      <c r="G1821" s="62"/>
      <c r="H1821" s="62" t="str">
        <f>IF(AND('Data Export'!A1821=前十整体车型排名!$B$2,'Data Export'!B1821=前十整体车型排名!$B$3,'Data Export'!D1821&lt;&gt;""),UPPER('Data Export'!C1821)&amp;"♦"&amp;'Data Export'!D1821,"")</f>
        <v/>
      </c>
      <c r="I1821" s="63" t="str">
        <f>IF(H1821="","",IFERROR(INDEX('Data Export'!G1821:CZ1821,1,MATCH(前十整体车型排名!$B$4,'Data Export'!$G$1:$CZ$1,0)),0))</f>
        <v/>
      </c>
      <c r="J1821" s="62" t="str">
        <f>IF(H1821="","",IF(OR('Data Export'!F1821="三厢轿车",'Data Export'!F1821="掀背轿车",'Data Export'!F1821="旅行车",'Data Export'!F1821="微型车",'Data Export'!F1821="硬顶跑车",'Data Export'!F1821="敞蓬车",'Data Export'!F1821="Targa"),"轿车",IF(OR('Data Export'!F1821="小型MPV",'Data Export'!F1821="客车"),"MPV",IF('Data Export'!F1821="运动型多功能车","SUV","其他"))))</f>
        <v/>
      </c>
      <c r="K1821" s="62"/>
      <c r="L1821" s="62"/>
      <c r="M1821" s="62"/>
      <c r="N1821" s="62"/>
      <c r="O1821" s="62"/>
      <c r="P1821" s="62"/>
      <c r="Q1821" s="62"/>
    </row>
    <row r="1822" spans="1:17">
      <c r="A1822" s="62"/>
      <c r="B1822" s="62"/>
      <c r="C1822" s="62"/>
      <c r="D1822" s="62"/>
      <c r="E1822" s="62"/>
      <c r="F1822" s="62"/>
      <c r="G1822" s="62"/>
      <c r="H1822" s="62" t="str">
        <f>IF(AND('Data Export'!A1822=前十整体车型排名!$B$2,'Data Export'!B1822=前十整体车型排名!$B$3,'Data Export'!D1822&lt;&gt;""),UPPER('Data Export'!C1822)&amp;"♦"&amp;'Data Export'!D1822,"")</f>
        <v/>
      </c>
      <c r="I1822" s="63" t="str">
        <f>IF(H1822="","",IFERROR(INDEX('Data Export'!G1822:CZ1822,1,MATCH(前十整体车型排名!$B$4,'Data Export'!$G$1:$CZ$1,0)),0))</f>
        <v/>
      </c>
      <c r="J1822" s="62" t="str">
        <f>IF(H1822="","",IF(OR('Data Export'!F1822="三厢轿车",'Data Export'!F1822="掀背轿车",'Data Export'!F1822="旅行车",'Data Export'!F1822="微型车",'Data Export'!F1822="硬顶跑车",'Data Export'!F1822="敞蓬车",'Data Export'!F1822="Targa"),"轿车",IF(OR('Data Export'!F1822="小型MPV",'Data Export'!F1822="客车"),"MPV",IF('Data Export'!F1822="运动型多功能车","SUV","其他"))))</f>
        <v/>
      </c>
      <c r="K1822" s="62"/>
      <c r="L1822" s="62"/>
      <c r="M1822" s="62"/>
      <c r="N1822" s="62"/>
      <c r="O1822" s="62"/>
      <c r="P1822" s="62"/>
      <c r="Q1822" s="62"/>
    </row>
    <row r="1823" spans="1:17">
      <c r="A1823" s="62"/>
      <c r="B1823" s="62"/>
      <c r="C1823" s="62"/>
      <c r="D1823" s="62"/>
      <c r="E1823" s="62"/>
      <c r="F1823" s="62"/>
      <c r="G1823" s="62"/>
      <c r="H1823" s="62" t="str">
        <f>IF(AND('Data Export'!A1823=前十整体车型排名!$B$2,'Data Export'!B1823=前十整体车型排名!$B$3,'Data Export'!D1823&lt;&gt;""),UPPER('Data Export'!C1823)&amp;"♦"&amp;'Data Export'!D1823,"")</f>
        <v/>
      </c>
      <c r="I1823" s="63" t="str">
        <f>IF(H1823="","",IFERROR(INDEX('Data Export'!G1823:CZ1823,1,MATCH(前十整体车型排名!$B$4,'Data Export'!$G$1:$CZ$1,0)),0))</f>
        <v/>
      </c>
      <c r="J1823" s="62" t="str">
        <f>IF(H1823="","",IF(OR('Data Export'!F1823="三厢轿车",'Data Export'!F1823="掀背轿车",'Data Export'!F1823="旅行车",'Data Export'!F1823="微型车",'Data Export'!F1823="硬顶跑车",'Data Export'!F1823="敞蓬车",'Data Export'!F1823="Targa"),"轿车",IF(OR('Data Export'!F1823="小型MPV",'Data Export'!F1823="客车"),"MPV",IF('Data Export'!F1823="运动型多功能车","SUV","其他"))))</f>
        <v/>
      </c>
      <c r="K1823" s="62"/>
      <c r="L1823" s="62"/>
      <c r="M1823" s="62"/>
      <c r="N1823" s="62"/>
      <c r="O1823" s="62"/>
      <c r="P1823" s="62"/>
      <c r="Q1823" s="62"/>
    </row>
    <row r="1824" spans="1:17">
      <c r="A1824" s="62"/>
      <c r="B1824" s="62"/>
      <c r="C1824" s="62"/>
      <c r="D1824" s="62"/>
      <c r="E1824" s="62"/>
      <c r="F1824" s="62"/>
      <c r="G1824" s="62"/>
      <c r="H1824" s="62" t="str">
        <f>IF(AND('Data Export'!A1824=前十整体车型排名!$B$2,'Data Export'!B1824=前十整体车型排名!$B$3,'Data Export'!D1824&lt;&gt;""),UPPER('Data Export'!C1824)&amp;"♦"&amp;'Data Export'!D1824,"")</f>
        <v/>
      </c>
      <c r="I1824" s="63" t="str">
        <f>IF(H1824="","",IFERROR(INDEX('Data Export'!G1824:CZ1824,1,MATCH(前十整体车型排名!$B$4,'Data Export'!$G$1:$CZ$1,0)),0))</f>
        <v/>
      </c>
      <c r="J1824" s="62" t="str">
        <f>IF(H1824="","",IF(OR('Data Export'!F1824="三厢轿车",'Data Export'!F1824="掀背轿车",'Data Export'!F1824="旅行车",'Data Export'!F1824="微型车",'Data Export'!F1824="硬顶跑车",'Data Export'!F1824="敞蓬车",'Data Export'!F1824="Targa"),"轿车",IF(OR('Data Export'!F1824="小型MPV",'Data Export'!F1824="客车"),"MPV",IF('Data Export'!F1824="运动型多功能车","SUV","其他"))))</f>
        <v/>
      </c>
      <c r="K1824" s="62"/>
      <c r="L1824" s="62"/>
      <c r="M1824" s="62"/>
      <c r="N1824" s="62"/>
      <c r="O1824" s="62"/>
      <c r="P1824" s="62"/>
      <c r="Q1824" s="62"/>
    </row>
    <row r="1825" spans="1:17">
      <c r="A1825" s="62"/>
      <c r="B1825" s="62"/>
      <c r="C1825" s="62"/>
      <c r="D1825" s="62"/>
      <c r="E1825" s="62"/>
      <c r="F1825" s="62"/>
      <c r="G1825" s="62"/>
      <c r="H1825" s="62" t="str">
        <f>IF(AND('Data Export'!A1825=前十整体车型排名!$B$2,'Data Export'!B1825=前十整体车型排名!$B$3,'Data Export'!D1825&lt;&gt;""),UPPER('Data Export'!C1825)&amp;"♦"&amp;'Data Export'!D1825,"")</f>
        <v/>
      </c>
      <c r="I1825" s="63" t="str">
        <f>IF(H1825="","",IFERROR(INDEX('Data Export'!G1825:CZ1825,1,MATCH(前十整体车型排名!$B$4,'Data Export'!$G$1:$CZ$1,0)),0))</f>
        <v/>
      </c>
      <c r="J1825" s="62" t="str">
        <f>IF(H1825="","",IF(OR('Data Export'!F1825="三厢轿车",'Data Export'!F1825="掀背轿车",'Data Export'!F1825="旅行车",'Data Export'!F1825="微型车",'Data Export'!F1825="硬顶跑车",'Data Export'!F1825="敞蓬车",'Data Export'!F1825="Targa"),"轿车",IF(OR('Data Export'!F1825="小型MPV",'Data Export'!F1825="客车"),"MPV",IF('Data Export'!F1825="运动型多功能车","SUV","其他"))))</f>
        <v/>
      </c>
      <c r="K1825" s="62"/>
      <c r="L1825" s="62"/>
      <c r="M1825" s="62"/>
      <c r="N1825" s="62"/>
      <c r="O1825" s="62"/>
      <c r="P1825" s="62"/>
      <c r="Q1825" s="62"/>
    </row>
    <row r="1826" spans="1:17">
      <c r="A1826" s="62"/>
      <c r="B1826" s="62"/>
      <c r="C1826" s="62"/>
      <c r="D1826" s="62"/>
      <c r="E1826" s="62"/>
      <c r="F1826" s="62"/>
      <c r="G1826" s="62"/>
      <c r="H1826" s="62" t="str">
        <f>IF(AND('Data Export'!A1826=前十整体车型排名!$B$2,'Data Export'!B1826=前十整体车型排名!$B$3,'Data Export'!D1826&lt;&gt;""),UPPER('Data Export'!C1826)&amp;"♦"&amp;'Data Export'!D1826,"")</f>
        <v/>
      </c>
      <c r="I1826" s="63" t="str">
        <f>IF(H1826="","",IFERROR(INDEX('Data Export'!G1826:CZ1826,1,MATCH(前十整体车型排名!$B$4,'Data Export'!$G$1:$CZ$1,0)),0))</f>
        <v/>
      </c>
      <c r="J1826" s="62" t="str">
        <f>IF(H1826="","",IF(OR('Data Export'!F1826="三厢轿车",'Data Export'!F1826="掀背轿车",'Data Export'!F1826="旅行车",'Data Export'!F1826="微型车",'Data Export'!F1826="硬顶跑车",'Data Export'!F1826="敞蓬车",'Data Export'!F1826="Targa"),"轿车",IF(OR('Data Export'!F1826="小型MPV",'Data Export'!F1826="客车"),"MPV",IF('Data Export'!F1826="运动型多功能车","SUV","其他"))))</f>
        <v/>
      </c>
      <c r="K1826" s="62"/>
      <c r="L1826" s="62"/>
      <c r="M1826" s="62"/>
      <c r="N1826" s="62"/>
      <c r="O1826" s="62"/>
      <c r="P1826" s="62"/>
      <c r="Q1826" s="62"/>
    </row>
    <row r="1827" spans="1:17">
      <c r="A1827" s="62"/>
      <c r="B1827" s="62"/>
      <c r="C1827" s="62"/>
      <c r="D1827" s="62"/>
      <c r="E1827" s="62"/>
      <c r="F1827" s="62"/>
      <c r="G1827" s="62"/>
      <c r="H1827" s="62" t="str">
        <f>IF(AND('Data Export'!A1827=前十整体车型排名!$B$2,'Data Export'!B1827=前十整体车型排名!$B$3,'Data Export'!D1827&lt;&gt;""),UPPER('Data Export'!C1827)&amp;"♦"&amp;'Data Export'!D1827,"")</f>
        <v/>
      </c>
      <c r="I1827" s="63" t="str">
        <f>IF(H1827="","",IFERROR(INDEX('Data Export'!G1827:CZ1827,1,MATCH(前十整体车型排名!$B$4,'Data Export'!$G$1:$CZ$1,0)),0))</f>
        <v/>
      </c>
      <c r="J1827" s="62" t="str">
        <f>IF(H1827="","",IF(OR('Data Export'!F1827="三厢轿车",'Data Export'!F1827="掀背轿车",'Data Export'!F1827="旅行车",'Data Export'!F1827="微型车",'Data Export'!F1827="硬顶跑车",'Data Export'!F1827="敞蓬车",'Data Export'!F1827="Targa"),"轿车",IF(OR('Data Export'!F1827="小型MPV",'Data Export'!F1827="客车"),"MPV",IF('Data Export'!F1827="运动型多功能车","SUV","其他"))))</f>
        <v/>
      </c>
      <c r="K1827" s="62"/>
      <c r="L1827" s="62"/>
      <c r="M1827" s="62"/>
      <c r="N1827" s="62"/>
      <c r="O1827" s="62"/>
      <c r="P1827" s="62"/>
      <c r="Q1827" s="62"/>
    </row>
    <row r="1828" spans="1:17">
      <c r="A1828" s="62"/>
      <c r="B1828" s="62"/>
      <c r="C1828" s="62"/>
      <c r="D1828" s="62"/>
      <c r="E1828" s="62"/>
      <c r="F1828" s="62"/>
      <c r="G1828" s="62"/>
      <c r="H1828" s="62" t="str">
        <f>IF(AND('Data Export'!A1828=前十整体车型排名!$B$2,'Data Export'!B1828=前十整体车型排名!$B$3,'Data Export'!D1828&lt;&gt;""),UPPER('Data Export'!C1828)&amp;"♦"&amp;'Data Export'!D1828,"")</f>
        <v/>
      </c>
      <c r="I1828" s="63" t="str">
        <f>IF(H1828="","",IFERROR(INDEX('Data Export'!G1828:CZ1828,1,MATCH(前十整体车型排名!$B$4,'Data Export'!$G$1:$CZ$1,0)),0))</f>
        <v/>
      </c>
      <c r="J1828" s="62" t="str">
        <f>IF(H1828="","",IF(OR('Data Export'!F1828="三厢轿车",'Data Export'!F1828="掀背轿车",'Data Export'!F1828="旅行车",'Data Export'!F1828="微型车",'Data Export'!F1828="硬顶跑车",'Data Export'!F1828="敞蓬车",'Data Export'!F1828="Targa"),"轿车",IF(OR('Data Export'!F1828="小型MPV",'Data Export'!F1828="客车"),"MPV",IF('Data Export'!F1828="运动型多功能车","SUV","其他"))))</f>
        <v/>
      </c>
      <c r="K1828" s="62"/>
      <c r="L1828" s="62"/>
      <c r="M1828" s="62"/>
      <c r="N1828" s="62"/>
      <c r="O1828" s="62"/>
      <c r="P1828" s="62"/>
      <c r="Q1828" s="62"/>
    </row>
    <row r="1829" spans="1:17">
      <c r="A1829" s="62"/>
      <c r="B1829" s="62"/>
      <c r="C1829" s="62"/>
      <c r="D1829" s="62"/>
      <c r="E1829" s="62"/>
      <c r="F1829" s="62"/>
      <c r="G1829" s="62"/>
      <c r="H1829" s="62" t="str">
        <f>IF(AND('Data Export'!A1829=前十整体车型排名!$B$2,'Data Export'!B1829=前十整体车型排名!$B$3,'Data Export'!D1829&lt;&gt;""),UPPER('Data Export'!C1829)&amp;"♦"&amp;'Data Export'!D1829,"")</f>
        <v/>
      </c>
      <c r="I1829" s="63" t="str">
        <f>IF(H1829="","",IFERROR(INDEX('Data Export'!G1829:CZ1829,1,MATCH(前十整体车型排名!$B$4,'Data Export'!$G$1:$CZ$1,0)),0))</f>
        <v/>
      </c>
      <c r="J1829" s="62" t="str">
        <f>IF(H1829="","",IF(OR('Data Export'!F1829="三厢轿车",'Data Export'!F1829="掀背轿车",'Data Export'!F1829="旅行车",'Data Export'!F1829="微型车",'Data Export'!F1829="硬顶跑车",'Data Export'!F1829="敞蓬车",'Data Export'!F1829="Targa"),"轿车",IF(OR('Data Export'!F1829="小型MPV",'Data Export'!F1829="客车"),"MPV",IF('Data Export'!F1829="运动型多功能车","SUV","其他"))))</f>
        <v/>
      </c>
      <c r="K1829" s="62"/>
      <c r="L1829" s="62"/>
      <c r="M1829" s="62"/>
      <c r="N1829" s="62"/>
      <c r="O1829" s="62"/>
      <c r="P1829" s="62"/>
      <c r="Q1829" s="62"/>
    </row>
    <row r="1830" spans="1:17">
      <c r="A1830" s="62"/>
      <c r="B1830" s="62"/>
      <c r="C1830" s="62"/>
      <c r="D1830" s="62"/>
      <c r="E1830" s="62"/>
      <c r="F1830" s="62"/>
      <c r="G1830" s="62"/>
      <c r="H1830" s="62" t="str">
        <f>IF(AND('Data Export'!A1830=前十整体车型排名!$B$2,'Data Export'!B1830=前十整体车型排名!$B$3,'Data Export'!D1830&lt;&gt;""),UPPER('Data Export'!C1830)&amp;"♦"&amp;'Data Export'!D1830,"")</f>
        <v/>
      </c>
      <c r="I1830" s="63" t="str">
        <f>IF(H1830="","",IFERROR(INDEX('Data Export'!G1830:CZ1830,1,MATCH(前十整体车型排名!$B$4,'Data Export'!$G$1:$CZ$1,0)),0))</f>
        <v/>
      </c>
      <c r="J1830" s="62" t="str">
        <f>IF(H1830="","",IF(OR('Data Export'!F1830="三厢轿车",'Data Export'!F1830="掀背轿车",'Data Export'!F1830="旅行车",'Data Export'!F1830="微型车",'Data Export'!F1830="硬顶跑车",'Data Export'!F1830="敞蓬车",'Data Export'!F1830="Targa"),"轿车",IF(OR('Data Export'!F1830="小型MPV",'Data Export'!F1830="客车"),"MPV",IF('Data Export'!F1830="运动型多功能车","SUV","其他"))))</f>
        <v/>
      </c>
      <c r="K1830" s="62"/>
      <c r="L1830" s="62"/>
      <c r="M1830" s="62"/>
      <c r="N1830" s="62"/>
      <c r="O1830" s="62"/>
      <c r="P1830" s="62"/>
      <c r="Q1830" s="62"/>
    </row>
    <row r="1831" spans="1:17">
      <c r="A1831" s="62"/>
      <c r="B1831" s="62"/>
      <c r="C1831" s="62"/>
      <c r="D1831" s="62"/>
      <c r="E1831" s="62"/>
      <c r="F1831" s="62"/>
      <c r="G1831" s="62"/>
      <c r="H1831" s="62" t="str">
        <f>IF(AND('Data Export'!A1831=前十整体车型排名!$B$2,'Data Export'!B1831=前十整体车型排名!$B$3,'Data Export'!D1831&lt;&gt;""),UPPER('Data Export'!C1831)&amp;"♦"&amp;'Data Export'!D1831,"")</f>
        <v/>
      </c>
      <c r="I1831" s="63" t="str">
        <f>IF(H1831="","",IFERROR(INDEX('Data Export'!G1831:CZ1831,1,MATCH(前十整体车型排名!$B$4,'Data Export'!$G$1:$CZ$1,0)),0))</f>
        <v/>
      </c>
      <c r="J1831" s="62" t="str">
        <f>IF(H1831="","",IF(OR('Data Export'!F1831="三厢轿车",'Data Export'!F1831="掀背轿车",'Data Export'!F1831="旅行车",'Data Export'!F1831="微型车",'Data Export'!F1831="硬顶跑车",'Data Export'!F1831="敞蓬车",'Data Export'!F1831="Targa"),"轿车",IF(OR('Data Export'!F1831="小型MPV",'Data Export'!F1831="客车"),"MPV",IF('Data Export'!F1831="运动型多功能车","SUV","其他"))))</f>
        <v/>
      </c>
      <c r="K1831" s="62"/>
      <c r="L1831" s="62"/>
      <c r="M1831" s="62"/>
      <c r="N1831" s="62"/>
      <c r="O1831" s="62"/>
      <c r="P1831" s="62"/>
      <c r="Q1831" s="62"/>
    </row>
    <row r="1832" spans="1:17">
      <c r="A1832" s="62"/>
      <c r="B1832" s="62"/>
      <c r="C1832" s="62"/>
      <c r="D1832" s="62"/>
      <c r="E1832" s="62"/>
      <c r="F1832" s="62"/>
      <c r="G1832" s="62"/>
      <c r="H1832" s="62" t="str">
        <f>IF(AND('Data Export'!A1832=前十整体车型排名!$B$2,'Data Export'!B1832=前十整体车型排名!$B$3,'Data Export'!D1832&lt;&gt;""),UPPER('Data Export'!C1832)&amp;"♦"&amp;'Data Export'!D1832,"")</f>
        <v/>
      </c>
      <c r="I1832" s="63" t="str">
        <f>IF(H1832="","",IFERROR(INDEX('Data Export'!G1832:CZ1832,1,MATCH(前十整体车型排名!$B$4,'Data Export'!$G$1:$CZ$1,0)),0))</f>
        <v/>
      </c>
      <c r="J1832" s="62" t="str">
        <f>IF(H1832="","",IF(OR('Data Export'!F1832="三厢轿车",'Data Export'!F1832="掀背轿车",'Data Export'!F1832="旅行车",'Data Export'!F1832="微型车",'Data Export'!F1832="硬顶跑车",'Data Export'!F1832="敞蓬车",'Data Export'!F1832="Targa"),"轿车",IF(OR('Data Export'!F1832="小型MPV",'Data Export'!F1832="客车"),"MPV",IF('Data Export'!F1832="运动型多功能车","SUV","其他"))))</f>
        <v/>
      </c>
      <c r="K1832" s="62"/>
      <c r="L1832" s="62"/>
      <c r="M1832" s="62"/>
      <c r="N1832" s="62"/>
      <c r="O1832" s="62"/>
      <c r="P1832" s="62"/>
      <c r="Q1832" s="62"/>
    </row>
    <row r="1833" spans="1:17">
      <c r="A1833" s="62"/>
      <c r="B1833" s="62"/>
      <c r="C1833" s="62"/>
      <c r="D1833" s="62"/>
      <c r="E1833" s="62"/>
      <c r="F1833" s="62"/>
      <c r="G1833" s="62"/>
      <c r="H1833" s="62" t="str">
        <f>IF(AND('Data Export'!A1833=前十整体车型排名!$B$2,'Data Export'!B1833=前十整体车型排名!$B$3,'Data Export'!D1833&lt;&gt;""),UPPER('Data Export'!C1833)&amp;"♦"&amp;'Data Export'!D1833,"")</f>
        <v/>
      </c>
      <c r="I1833" s="63" t="str">
        <f>IF(H1833="","",IFERROR(INDEX('Data Export'!G1833:CZ1833,1,MATCH(前十整体车型排名!$B$4,'Data Export'!$G$1:$CZ$1,0)),0))</f>
        <v/>
      </c>
      <c r="J1833" s="62" t="str">
        <f>IF(H1833="","",IF(OR('Data Export'!F1833="三厢轿车",'Data Export'!F1833="掀背轿车",'Data Export'!F1833="旅行车",'Data Export'!F1833="微型车",'Data Export'!F1833="硬顶跑车",'Data Export'!F1833="敞蓬车",'Data Export'!F1833="Targa"),"轿车",IF(OR('Data Export'!F1833="小型MPV",'Data Export'!F1833="客车"),"MPV",IF('Data Export'!F1833="运动型多功能车","SUV","其他"))))</f>
        <v/>
      </c>
      <c r="K1833" s="62"/>
      <c r="L1833" s="62"/>
      <c r="M1833" s="62"/>
      <c r="N1833" s="62"/>
      <c r="O1833" s="62"/>
      <c r="P1833" s="62"/>
      <c r="Q1833" s="62"/>
    </row>
    <row r="1834" spans="1:17">
      <c r="A1834" s="62"/>
      <c r="B1834" s="62"/>
      <c r="C1834" s="62"/>
      <c r="D1834" s="62"/>
      <c r="E1834" s="62"/>
      <c r="F1834" s="62"/>
      <c r="G1834" s="62"/>
      <c r="H1834" s="62" t="str">
        <f>IF(AND('Data Export'!A1834=前十整体车型排名!$B$2,'Data Export'!B1834=前十整体车型排名!$B$3,'Data Export'!D1834&lt;&gt;""),UPPER('Data Export'!C1834)&amp;"♦"&amp;'Data Export'!D1834,"")</f>
        <v/>
      </c>
      <c r="I1834" s="63" t="str">
        <f>IF(H1834="","",IFERROR(INDEX('Data Export'!G1834:CZ1834,1,MATCH(前十整体车型排名!$B$4,'Data Export'!$G$1:$CZ$1,0)),0))</f>
        <v/>
      </c>
      <c r="J1834" s="62" t="str">
        <f>IF(H1834="","",IF(OR('Data Export'!F1834="三厢轿车",'Data Export'!F1834="掀背轿车",'Data Export'!F1834="旅行车",'Data Export'!F1834="微型车",'Data Export'!F1834="硬顶跑车",'Data Export'!F1834="敞蓬车",'Data Export'!F1834="Targa"),"轿车",IF(OR('Data Export'!F1834="小型MPV",'Data Export'!F1834="客车"),"MPV",IF('Data Export'!F1834="运动型多功能车","SUV","其他"))))</f>
        <v/>
      </c>
      <c r="K1834" s="62"/>
      <c r="L1834" s="62"/>
      <c r="M1834" s="62"/>
      <c r="N1834" s="62"/>
      <c r="O1834" s="62"/>
      <c r="P1834" s="62"/>
      <c r="Q1834" s="62"/>
    </row>
    <row r="1835" spans="1:17">
      <c r="A1835" s="62"/>
      <c r="B1835" s="62"/>
      <c r="C1835" s="62"/>
      <c r="D1835" s="62"/>
      <c r="E1835" s="62"/>
      <c r="F1835" s="62"/>
      <c r="G1835" s="62"/>
      <c r="H1835" s="62" t="str">
        <f>IF(AND('Data Export'!A1835=前十整体车型排名!$B$2,'Data Export'!B1835=前十整体车型排名!$B$3,'Data Export'!D1835&lt;&gt;""),UPPER('Data Export'!C1835)&amp;"♦"&amp;'Data Export'!D1835,"")</f>
        <v/>
      </c>
      <c r="I1835" s="63" t="str">
        <f>IF(H1835="","",IFERROR(INDEX('Data Export'!G1835:CZ1835,1,MATCH(前十整体车型排名!$B$4,'Data Export'!$G$1:$CZ$1,0)),0))</f>
        <v/>
      </c>
      <c r="J1835" s="62" t="str">
        <f>IF(H1835="","",IF(OR('Data Export'!F1835="三厢轿车",'Data Export'!F1835="掀背轿车",'Data Export'!F1835="旅行车",'Data Export'!F1835="微型车",'Data Export'!F1835="硬顶跑车",'Data Export'!F1835="敞蓬车",'Data Export'!F1835="Targa"),"轿车",IF(OR('Data Export'!F1835="小型MPV",'Data Export'!F1835="客车"),"MPV",IF('Data Export'!F1835="运动型多功能车","SUV","其他"))))</f>
        <v/>
      </c>
      <c r="K1835" s="62"/>
      <c r="L1835" s="62"/>
      <c r="M1835" s="62"/>
      <c r="N1835" s="62"/>
      <c r="O1835" s="62"/>
      <c r="P1835" s="62"/>
      <c r="Q1835" s="62"/>
    </row>
    <row r="1836" spans="1:17">
      <c r="A1836" s="62"/>
      <c r="B1836" s="62"/>
      <c r="C1836" s="62"/>
      <c r="D1836" s="62"/>
      <c r="E1836" s="62"/>
      <c r="F1836" s="62"/>
      <c r="G1836" s="62"/>
      <c r="H1836" s="62" t="str">
        <f>IF(AND('Data Export'!A1836=前十整体车型排名!$B$2,'Data Export'!B1836=前十整体车型排名!$B$3,'Data Export'!D1836&lt;&gt;""),UPPER('Data Export'!C1836)&amp;"♦"&amp;'Data Export'!D1836,"")</f>
        <v/>
      </c>
      <c r="I1836" s="63" t="str">
        <f>IF(H1836="","",IFERROR(INDEX('Data Export'!G1836:CZ1836,1,MATCH(前十整体车型排名!$B$4,'Data Export'!$G$1:$CZ$1,0)),0))</f>
        <v/>
      </c>
      <c r="J1836" s="62" t="str">
        <f>IF(H1836="","",IF(OR('Data Export'!F1836="三厢轿车",'Data Export'!F1836="掀背轿车",'Data Export'!F1836="旅行车",'Data Export'!F1836="微型车",'Data Export'!F1836="硬顶跑车",'Data Export'!F1836="敞蓬车",'Data Export'!F1836="Targa"),"轿车",IF(OR('Data Export'!F1836="小型MPV",'Data Export'!F1836="客车"),"MPV",IF('Data Export'!F1836="运动型多功能车","SUV","其他"))))</f>
        <v/>
      </c>
      <c r="K1836" s="62"/>
      <c r="L1836" s="62"/>
      <c r="M1836" s="62"/>
      <c r="N1836" s="62"/>
      <c r="O1836" s="62"/>
      <c r="P1836" s="62"/>
      <c r="Q1836" s="62"/>
    </row>
    <row r="1837" spans="1:17">
      <c r="A1837" s="62"/>
      <c r="B1837" s="62"/>
      <c r="C1837" s="62"/>
      <c r="D1837" s="62"/>
      <c r="E1837" s="62"/>
      <c r="F1837" s="62"/>
      <c r="G1837" s="62"/>
      <c r="H1837" s="62" t="str">
        <f>IF(AND('Data Export'!A1837=前十整体车型排名!$B$2,'Data Export'!B1837=前十整体车型排名!$B$3,'Data Export'!D1837&lt;&gt;""),UPPER('Data Export'!C1837)&amp;"♦"&amp;'Data Export'!D1837,"")</f>
        <v/>
      </c>
      <c r="I1837" s="63" t="str">
        <f>IF(H1837="","",IFERROR(INDEX('Data Export'!G1837:CZ1837,1,MATCH(前十整体车型排名!$B$4,'Data Export'!$G$1:$CZ$1,0)),0))</f>
        <v/>
      </c>
      <c r="J1837" s="62" t="str">
        <f>IF(H1837="","",IF(OR('Data Export'!F1837="三厢轿车",'Data Export'!F1837="掀背轿车",'Data Export'!F1837="旅行车",'Data Export'!F1837="微型车",'Data Export'!F1837="硬顶跑车",'Data Export'!F1837="敞蓬车",'Data Export'!F1837="Targa"),"轿车",IF(OR('Data Export'!F1837="小型MPV",'Data Export'!F1837="客车"),"MPV",IF('Data Export'!F1837="运动型多功能车","SUV","其他"))))</f>
        <v/>
      </c>
      <c r="K1837" s="62"/>
      <c r="L1837" s="62"/>
      <c r="M1837" s="62"/>
      <c r="N1837" s="62"/>
      <c r="O1837" s="62"/>
      <c r="P1837" s="62"/>
      <c r="Q1837" s="62"/>
    </row>
    <row r="1838" spans="1:17">
      <c r="A1838" s="62"/>
      <c r="B1838" s="62"/>
      <c r="C1838" s="62"/>
      <c r="D1838" s="62"/>
      <c r="E1838" s="62"/>
      <c r="F1838" s="62"/>
      <c r="G1838" s="62"/>
      <c r="H1838" s="62" t="str">
        <f>IF(AND('Data Export'!A1838=前十整体车型排名!$B$2,'Data Export'!B1838=前十整体车型排名!$B$3,'Data Export'!D1838&lt;&gt;""),UPPER('Data Export'!C1838)&amp;"♦"&amp;'Data Export'!D1838,"")</f>
        <v/>
      </c>
      <c r="I1838" s="63" t="str">
        <f>IF(H1838="","",IFERROR(INDEX('Data Export'!G1838:CZ1838,1,MATCH(前十整体车型排名!$B$4,'Data Export'!$G$1:$CZ$1,0)),0))</f>
        <v/>
      </c>
      <c r="J1838" s="62" t="str">
        <f>IF(H1838="","",IF(OR('Data Export'!F1838="三厢轿车",'Data Export'!F1838="掀背轿车",'Data Export'!F1838="旅行车",'Data Export'!F1838="微型车",'Data Export'!F1838="硬顶跑车",'Data Export'!F1838="敞蓬车",'Data Export'!F1838="Targa"),"轿车",IF(OR('Data Export'!F1838="小型MPV",'Data Export'!F1838="客车"),"MPV",IF('Data Export'!F1838="运动型多功能车","SUV","其他"))))</f>
        <v/>
      </c>
      <c r="K1838" s="62"/>
      <c r="L1838" s="62"/>
      <c r="M1838" s="62"/>
      <c r="N1838" s="62"/>
      <c r="O1838" s="62"/>
      <c r="P1838" s="62"/>
      <c r="Q1838" s="62"/>
    </row>
    <row r="1839" spans="1:17">
      <c r="A1839" s="62"/>
      <c r="B1839" s="62"/>
      <c r="C1839" s="62"/>
      <c r="D1839" s="62"/>
      <c r="E1839" s="62"/>
      <c r="F1839" s="62"/>
      <c r="G1839" s="62"/>
      <c r="H1839" s="62" t="str">
        <f>IF(AND('Data Export'!A1839=前十整体车型排名!$B$2,'Data Export'!B1839=前十整体车型排名!$B$3,'Data Export'!D1839&lt;&gt;""),UPPER('Data Export'!C1839)&amp;"♦"&amp;'Data Export'!D1839,"")</f>
        <v/>
      </c>
      <c r="I1839" s="63" t="str">
        <f>IF(H1839="","",IFERROR(INDEX('Data Export'!G1839:CZ1839,1,MATCH(前十整体车型排名!$B$4,'Data Export'!$G$1:$CZ$1,0)),0))</f>
        <v/>
      </c>
      <c r="J1839" s="62" t="str">
        <f>IF(H1839="","",IF(OR('Data Export'!F1839="三厢轿车",'Data Export'!F1839="掀背轿车",'Data Export'!F1839="旅行车",'Data Export'!F1839="微型车",'Data Export'!F1839="硬顶跑车",'Data Export'!F1839="敞蓬车",'Data Export'!F1839="Targa"),"轿车",IF(OR('Data Export'!F1839="小型MPV",'Data Export'!F1839="客车"),"MPV",IF('Data Export'!F1839="运动型多功能车","SUV","其他"))))</f>
        <v/>
      </c>
      <c r="K1839" s="62"/>
      <c r="L1839" s="62"/>
      <c r="M1839" s="62"/>
      <c r="N1839" s="62"/>
      <c r="O1839" s="62"/>
      <c r="P1839" s="62"/>
      <c r="Q1839" s="62"/>
    </row>
    <row r="1840" spans="1:17">
      <c r="A1840" s="62"/>
      <c r="B1840" s="62"/>
      <c r="C1840" s="62"/>
      <c r="D1840" s="62"/>
      <c r="E1840" s="62"/>
      <c r="F1840" s="62"/>
      <c r="G1840" s="62"/>
      <c r="H1840" s="62" t="str">
        <f>IF(AND('Data Export'!A1840=前十整体车型排名!$B$2,'Data Export'!B1840=前十整体车型排名!$B$3,'Data Export'!D1840&lt;&gt;""),UPPER('Data Export'!C1840)&amp;"♦"&amp;'Data Export'!D1840,"")</f>
        <v/>
      </c>
      <c r="I1840" s="63" t="str">
        <f>IF(H1840="","",IFERROR(INDEX('Data Export'!G1840:CZ1840,1,MATCH(前十整体车型排名!$B$4,'Data Export'!$G$1:$CZ$1,0)),0))</f>
        <v/>
      </c>
      <c r="J1840" s="62" t="str">
        <f>IF(H1840="","",IF(OR('Data Export'!F1840="三厢轿车",'Data Export'!F1840="掀背轿车",'Data Export'!F1840="旅行车",'Data Export'!F1840="微型车",'Data Export'!F1840="硬顶跑车",'Data Export'!F1840="敞蓬车",'Data Export'!F1840="Targa"),"轿车",IF(OR('Data Export'!F1840="小型MPV",'Data Export'!F1840="客车"),"MPV",IF('Data Export'!F1840="运动型多功能车","SUV","其他"))))</f>
        <v/>
      </c>
      <c r="K1840" s="62"/>
      <c r="L1840" s="62"/>
      <c r="M1840" s="62"/>
      <c r="N1840" s="62"/>
      <c r="O1840" s="62"/>
      <c r="P1840" s="62"/>
      <c r="Q1840" s="62"/>
    </row>
    <row r="1841" spans="1:17">
      <c r="A1841" s="62"/>
      <c r="B1841" s="62"/>
      <c r="C1841" s="62"/>
      <c r="D1841" s="62"/>
      <c r="E1841" s="62"/>
      <c r="F1841" s="62"/>
      <c r="G1841" s="62"/>
      <c r="H1841" s="62" t="str">
        <f>IF(AND('Data Export'!A1841=前十整体车型排名!$B$2,'Data Export'!B1841=前十整体车型排名!$B$3,'Data Export'!D1841&lt;&gt;""),UPPER('Data Export'!C1841)&amp;"♦"&amp;'Data Export'!D1841,"")</f>
        <v/>
      </c>
      <c r="I1841" s="63" t="str">
        <f>IF(H1841="","",IFERROR(INDEX('Data Export'!G1841:CZ1841,1,MATCH(前十整体车型排名!$B$4,'Data Export'!$G$1:$CZ$1,0)),0))</f>
        <v/>
      </c>
      <c r="J1841" s="62" t="str">
        <f>IF(H1841="","",IF(OR('Data Export'!F1841="三厢轿车",'Data Export'!F1841="掀背轿车",'Data Export'!F1841="旅行车",'Data Export'!F1841="微型车",'Data Export'!F1841="硬顶跑车",'Data Export'!F1841="敞蓬车",'Data Export'!F1841="Targa"),"轿车",IF(OR('Data Export'!F1841="小型MPV",'Data Export'!F1841="客车"),"MPV",IF('Data Export'!F1841="运动型多功能车","SUV","其他"))))</f>
        <v/>
      </c>
      <c r="K1841" s="62"/>
      <c r="L1841" s="62"/>
      <c r="M1841" s="62"/>
      <c r="N1841" s="62"/>
      <c r="O1841" s="62"/>
      <c r="P1841" s="62"/>
      <c r="Q1841" s="62"/>
    </row>
    <row r="1842" spans="1:17">
      <c r="A1842" s="62"/>
      <c r="B1842" s="62"/>
      <c r="C1842" s="62"/>
      <c r="D1842" s="62"/>
      <c r="E1842" s="62"/>
      <c r="F1842" s="62"/>
      <c r="G1842" s="62"/>
      <c r="H1842" s="62" t="str">
        <f>IF(AND('Data Export'!A1842=前十整体车型排名!$B$2,'Data Export'!B1842=前十整体车型排名!$B$3,'Data Export'!D1842&lt;&gt;""),UPPER('Data Export'!C1842)&amp;"♦"&amp;'Data Export'!D1842,"")</f>
        <v/>
      </c>
      <c r="I1842" s="63" t="str">
        <f>IF(H1842="","",IFERROR(INDEX('Data Export'!G1842:CZ1842,1,MATCH(前十整体车型排名!$B$4,'Data Export'!$G$1:$CZ$1,0)),0))</f>
        <v/>
      </c>
      <c r="J1842" s="62" t="str">
        <f>IF(H1842="","",IF(OR('Data Export'!F1842="三厢轿车",'Data Export'!F1842="掀背轿车",'Data Export'!F1842="旅行车",'Data Export'!F1842="微型车",'Data Export'!F1842="硬顶跑车",'Data Export'!F1842="敞蓬车",'Data Export'!F1842="Targa"),"轿车",IF(OR('Data Export'!F1842="小型MPV",'Data Export'!F1842="客车"),"MPV",IF('Data Export'!F1842="运动型多功能车","SUV","其他"))))</f>
        <v/>
      </c>
      <c r="K1842" s="62"/>
      <c r="L1842" s="62"/>
      <c r="M1842" s="62"/>
      <c r="N1842" s="62"/>
      <c r="O1842" s="62"/>
      <c r="P1842" s="62"/>
      <c r="Q1842" s="62"/>
    </row>
    <row r="1843" spans="1:17">
      <c r="A1843" s="62"/>
      <c r="B1843" s="62"/>
      <c r="C1843" s="62"/>
      <c r="D1843" s="62"/>
      <c r="E1843" s="62"/>
      <c r="F1843" s="62"/>
      <c r="G1843" s="62"/>
      <c r="H1843" s="62" t="str">
        <f>IF(AND('Data Export'!A1843=前十整体车型排名!$B$2,'Data Export'!B1843=前十整体车型排名!$B$3,'Data Export'!D1843&lt;&gt;""),UPPER('Data Export'!C1843)&amp;"♦"&amp;'Data Export'!D1843,"")</f>
        <v/>
      </c>
      <c r="I1843" s="63" t="str">
        <f>IF(H1843="","",IFERROR(INDEX('Data Export'!G1843:CZ1843,1,MATCH(前十整体车型排名!$B$4,'Data Export'!$G$1:$CZ$1,0)),0))</f>
        <v/>
      </c>
      <c r="J1843" s="62" t="str">
        <f>IF(H1843="","",IF(OR('Data Export'!F1843="三厢轿车",'Data Export'!F1843="掀背轿车",'Data Export'!F1843="旅行车",'Data Export'!F1843="微型车",'Data Export'!F1843="硬顶跑车",'Data Export'!F1843="敞蓬车",'Data Export'!F1843="Targa"),"轿车",IF(OR('Data Export'!F1843="小型MPV",'Data Export'!F1843="客车"),"MPV",IF('Data Export'!F1843="运动型多功能车","SUV","其他"))))</f>
        <v/>
      </c>
      <c r="K1843" s="62"/>
      <c r="L1843" s="62"/>
      <c r="M1843" s="62"/>
      <c r="N1843" s="62"/>
      <c r="O1843" s="62"/>
      <c r="P1843" s="62"/>
      <c r="Q1843" s="62"/>
    </row>
    <row r="1844" spans="1:17">
      <c r="A1844" s="62"/>
      <c r="B1844" s="62"/>
      <c r="C1844" s="62"/>
      <c r="D1844" s="62"/>
      <c r="E1844" s="62"/>
      <c r="F1844" s="62"/>
      <c r="G1844" s="62"/>
      <c r="H1844" s="62" t="str">
        <f>IF(AND('Data Export'!A1844=前十整体车型排名!$B$2,'Data Export'!B1844=前十整体车型排名!$B$3,'Data Export'!D1844&lt;&gt;""),UPPER('Data Export'!C1844)&amp;"♦"&amp;'Data Export'!D1844,"")</f>
        <v/>
      </c>
      <c r="I1844" s="63" t="str">
        <f>IF(H1844="","",IFERROR(INDEX('Data Export'!G1844:CZ1844,1,MATCH(前十整体车型排名!$B$4,'Data Export'!$G$1:$CZ$1,0)),0))</f>
        <v/>
      </c>
      <c r="J1844" s="62" t="str">
        <f>IF(H1844="","",IF(OR('Data Export'!F1844="三厢轿车",'Data Export'!F1844="掀背轿车",'Data Export'!F1844="旅行车",'Data Export'!F1844="微型车",'Data Export'!F1844="硬顶跑车",'Data Export'!F1844="敞蓬车",'Data Export'!F1844="Targa"),"轿车",IF(OR('Data Export'!F1844="小型MPV",'Data Export'!F1844="客车"),"MPV",IF('Data Export'!F1844="运动型多功能车","SUV","其他"))))</f>
        <v/>
      </c>
      <c r="K1844" s="62"/>
      <c r="L1844" s="62"/>
      <c r="M1844" s="62"/>
      <c r="N1844" s="62"/>
      <c r="O1844" s="62"/>
      <c r="P1844" s="62"/>
      <c r="Q1844" s="62"/>
    </row>
    <row r="1845" spans="1:17">
      <c r="A1845" s="62"/>
      <c r="B1845" s="62"/>
      <c r="C1845" s="62"/>
      <c r="D1845" s="62"/>
      <c r="E1845" s="62"/>
      <c r="F1845" s="62"/>
      <c r="G1845" s="62"/>
      <c r="H1845" s="62" t="str">
        <f>IF(AND('Data Export'!A1845=前十整体车型排名!$B$2,'Data Export'!B1845=前十整体车型排名!$B$3,'Data Export'!D1845&lt;&gt;""),UPPER('Data Export'!C1845)&amp;"♦"&amp;'Data Export'!D1845,"")</f>
        <v/>
      </c>
      <c r="I1845" s="63" t="str">
        <f>IF(H1845="","",IFERROR(INDEX('Data Export'!G1845:CZ1845,1,MATCH(前十整体车型排名!$B$4,'Data Export'!$G$1:$CZ$1,0)),0))</f>
        <v/>
      </c>
      <c r="J1845" s="62" t="str">
        <f>IF(H1845="","",IF(OR('Data Export'!F1845="三厢轿车",'Data Export'!F1845="掀背轿车",'Data Export'!F1845="旅行车",'Data Export'!F1845="微型车",'Data Export'!F1845="硬顶跑车",'Data Export'!F1845="敞蓬车",'Data Export'!F1845="Targa"),"轿车",IF(OR('Data Export'!F1845="小型MPV",'Data Export'!F1845="客车"),"MPV",IF('Data Export'!F1845="运动型多功能车","SUV","其他"))))</f>
        <v/>
      </c>
      <c r="K1845" s="62"/>
      <c r="L1845" s="62"/>
      <c r="M1845" s="62"/>
      <c r="N1845" s="62"/>
      <c r="O1845" s="62"/>
      <c r="P1845" s="62"/>
      <c r="Q1845" s="62"/>
    </row>
    <row r="1846" spans="1:17">
      <c r="A1846" s="62"/>
      <c r="B1846" s="62"/>
      <c r="C1846" s="62"/>
      <c r="D1846" s="62"/>
      <c r="E1846" s="62"/>
      <c r="F1846" s="62"/>
      <c r="G1846" s="62"/>
      <c r="H1846" s="62" t="str">
        <f>IF(AND('Data Export'!A1846=前十整体车型排名!$B$2,'Data Export'!B1846=前十整体车型排名!$B$3,'Data Export'!D1846&lt;&gt;""),UPPER('Data Export'!C1846)&amp;"♦"&amp;'Data Export'!D1846,"")</f>
        <v/>
      </c>
      <c r="I1846" s="63" t="str">
        <f>IF(H1846="","",IFERROR(INDEX('Data Export'!G1846:CZ1846,1,MATCH(前十整体车型排名!$B$4,'Data Export'!$G$1:$CZ$1,0)),0))</f>
        <v/>
      </c>
      <c r="J1846" s="62" t="str">
        <f>IF(H1846="","",IF(OR('Data Export'!F1846="三厢轿车",'Data Export'!F1846="掀背轿车",'Data Export'!F1846="旅行车",'Data Export'!F1846="微型车",'Data Export'!F1846="硬顶跑车",'Data Export'!F1846="敞蓬车",'Data Export'!F1846="Targa"),"轿车",IF(OR('Data Export'!F1846="小型MPV",'Data Export'!F1846="客车"),"MPV",IF('Data Export'!F1846="运动型多功能车","SUV","其他"))))</f>
        <v/>
      </c>
      <c r="K1846" s="62"/>
      <c r="L1846" s="62"/>
      <c r="M1846" s="62"/>
      <c r="N1846" s="62"/>
      <c r="O1846" s="62"/>
      <c r="P1846" s="62"/>
      <c r="Q1846" s="62"/>
    </row>
    <row r="1847" spans="1:17">
      <c r="A1847" s="62"/>
      <c r="B1847" s="62"/>
      <c r="C1847" s="62"/>
      <c r="D1847" s="62"/>
      <c r="E1847" s="62"/>
      <c r="F1847" s="62"/>
      <c r="G1847" s="62"/>
      <c r="H1847" s="62" t="str">
        <f>IF(AND('Data Export'!A1847=前十整体车型排名!$B$2,'Data Export'!B1847=前十整体车型排名!$B$3,'Data Export'!D1847&lt;&gt;""),UPPER('Data Export'!C1847)&amp;"♦"&amp;'Data Export'!D1847,"")</f>
        <v/>
      </c>
      <c r="I1847" s="63" t="str">
        <f>IF(H1847="","",IFERROR(INDEX('Data Export'!G1847:CZ1847,1,MATCH(前十整体车型排名!$B$4,'Data Export'!$G$1:$CZ$1,0)),0))</f>
        <v/>
      </c>
      <c r="J1847" s="62" t="str">
        <f>IF(H1847="","",IF(OR('Data Export'!F1847="三厢轿车",'Data Export'!F1847="掀背轿车",'Data Export'!F1847="旅行车",'Data Export'!F1847="微型车",'Data Export'!F1847="硬顶跑车",'Data Export'!F1847="敞蓬车",'Data Export'!F1847="Targa"),"轿车",IF(OR('Data Export'!F1847="小型MPV",'Data Export'!F1847="客车"),"MPV",IF('Data Export'!F1847="运动型多功能车","SUV","其他"))))</f>
        <v/>
      </c>
      <c r="K1847" s="62"/>
      <c r="L1847" s="62"/>
      <c r="M1847" s="62"/>
      <c r="N1847" s="62"/>
      <c r="O1847" s="62"/>
      <c r="P1847" s="62"/>
      <c r="Q1847" s="62"/>
    </row>
    <row r="1848" spans="1:17">
      <c r="A1848" s="62"/>
      <c r="B1848" s="62"/>
      <c r="C1848" s="62"/>
      <c r="D1848" s="62"/>
      <c r="E1848" s="62"/>
      <c r="F1848" s="62"/>
      <c r="G1848" s="62"/>
      <c r="H1848" s="62" t="str">
        <f>IF(AND('Data Export'!A1848=前十整体车型排名!$B$2,'Data Export'!B1848=前十整体车型排名!$B$3,'Data Export'!D1848&lt;&gt;""),UPPER('Data Export'!C1848)&amp;"♦"&amp;'Data Export'!D1848,"")</f>
        <v/>
      </c>
      <c r="I1848" s="63" t="str">
        <f>IF(H1848="","",IFERROR(INDEX('Data Export'!G1848:CZ1848,1,MATCH(前十整体车型排名!$B$4,'Data Export'!$G$1:$CZ$1,0)),0))</f>
        <v/>
      </c>
      <c r="J1848" s="62" t="str">
        <f>IF(H1848="","",IF(OR('Data Export'!F1848="三厢轿车",'Data Export'!F1848="掀背轿车",'Data Export'!F1848="旅行车",'Data Export'!F1848="微型车",'Data Export'!F1848="硬顶跑车",'Data Export'!F1848="敞蓬车",'Data Export'!F1848="Targa"),"轿车",IF(OR('Data Export'!F1848="小型MPV",'Data Export'!F1848="客车"),"MPV",IF('Data Export'!F1848="运动型多功能车","SUV","其他"))))</f>
        <v/>
      </c>
      <c r="K1848" s="62"/>
      <c r="L1848" s="62"/>
      <c r="M1848" s="62"/>
      <c r="N1848" s="62"/>
      <c r="O1848" s="62"/>
      <c r="P1848" s="62"/>
      <c r="Q1848" s="62"/>
    </row>
    <row r="1849" spans="1:17">
      <c r="A1849" s="62"/>
      <c r="B1849" s="62"/>
      <c r="C1849" s="62"/>
      <c r="D1849" s="62"/>
      <c r="E1849" s="62"/>
      <c r="F1849" s="62"/>
      <c r="G1849" s="62"/>
      <c r="H1849" s="62" t="str">
        <f>IF(AND('Data Export'!A1849=前十整体车型排名!$B$2,'Data Export'!B1849=前十整体车型排名!$B$3,'Data Export'!D1849&lt;&gt;""),UPPER('Data Export'!C1849)&amp;"♦"&amp;'Data Export'!D1849,"")</f>
        <v/>
      </c>
      <c r="I1849" s="63" t="str">
        <f>IF(H1849="","",IFERROR(INDEX('Data Export'!G1849:CZ1849,1,MATCH(前十整体车型排名!$B$4,'Data Export'!$G$1:$CZ$1,0)),0))</f>
        <v/>
      </c>
      <c r="J1849" s="62" t="str">
        <f>IF(H1849="","",IF(OR('Data Export'!F1849="三厢轿车",'Data Export'!F1849="掀背轿车",'Data Export'!F1849="旅行车",'Data Export'!F1849="微型车",'Data Export'!F1849="硬顶跑车",'Data Export'!F1849="敞蓬车",'Data Export'!F1849="Targa"),"轿车",IF(OR('Data Export'!F1849="小型MPV",'Data Export'!F1849="客车"),"MPV",IF('Data Export'!F1849="运动型多功能车","SUV","其他"))))</f>
        <v/>
      </c>
      <c r="K1849" s="62"/>
      <c r="L1849" s="62"/>
      <c r="M1849" s="62"/>
      <c r="N1849" s="62"/>
      <c r="O1849" s="62"/>
      <c r="P1849" s="62"/>
      <c r="Q1849" s="62"/>
    </row>
    <row r="1850" spans="1:17">
      <c r="A1850" s="62"/>
      <c r="B1850" s="62"/>
      <c r="C1850" s="62"/>
      <c r="D1850" s="62"/>
      <c r="E1850" s="62"/>
      <c r="F1850" s="62"/>
      <c r="G1850" s="62"/>
      <c r="H1850" s="62" t="str">
        <f>IF(AND('Data Export'!A1850=前十整体车型排名!$B$2,'Data Export'!B1850=前十整体车型排名!$B$3,'Data Export'!D1850&lt;&gt;""),UPPER('Data Export'!C1850)&amp;"♦"&amp;'Data Export'!D1850,"")</f>
        <v/>
      </c>
      <c r="I1850" s="63" t="str">
        <f>IF(H1850="","",IFERROR(INDEX('Data Export'!G1850:CZ1850,1,MATCH(前十整体车型排名!$B$4,'Data Export'!$G$1:$CZ$1,0)),0))</f>
        <v/>
      </c>
      <c r="J1850" s="62" t="str">
        <f>IF(H1850="","",IF(OR('Data Export'!F1850="三厢轿车",'Data Export'!F1850="掀背轿车",'Data Export'!F1850="旅行车",'Data Export'!F1850="微型车",'Data Export'!F1850="硬顶跑车",'Data Export'!F1850="敞蓬车",'Data Export'!F1850="Targa"),"轿车",IF(OR('Data Export'!F1850="小型MPV",'Data Export'!F1850="客车"),"MPV",IF('Data Export'!F1850="运动型多功能车","SUV","其他"))))</f>
        <v/>
      </c>
      <c r="K1850" s="62"/>
      <c r="L1850" s="62"/>
      <c r="M1850" s="62"/>
      <c r="N1850" s="62"/>
      <c r="O1850" s="62"/>
      <c r="P1850" s="62"/>
      <c r="Q1850" s="62"/>
    </row>
    <row r="1851" spans="1:17">
      <c r="A1851" s="62"/>
      <c r="B1851" s="62"/>
      <c r="C1851" s="62"/>
      <c r="D1851" s="62"/>
      <c r="E1851" s="62"/>
      <c r="F1851" s="62"/>
      <c r="G1851" s="62"/>
      <c r="H1851" s="62" t="str">
        <f>IF(AND('Data Export'!A1851=前十整体车型排名!$B$2,'Data Export'!B1851=前十整体车型排名!$B$3,'Data Export'!D1851&lt;&gt;""),UPPER('Data Export'!C1851)&amp;"♦"&amp;'Data Export'!D1851,"")</f>
        <v/>
      </c>
      <c r="I1851" s="63" t="str">
        <f>IF(H1851="","",IFERROR(INDEX('Data Export'!G1851:CZ1851,1,MATCH(前十整体车型排名!$B$4,'Data Export'!$G$1:$CZ$1,0)),0))</f>
        <v/>
      </c>
      <c r="J1851" s="62" t="str">
        <f>IF(H1851="","",IF(OR('Data Export'!F1851="三厢轿车",'Data Export'!F1851="掀背轿车",'Data Export'!F1851="旅行车",'Data Export'!F1851="微型车",'Data Export'!F1851="硬顶跑车",'Data Export'!F1851="敞蓬车",'Data Export'!F1851="Targa"),"轿车",IF(OR('Data Export'!F1851="小型MPV",'Data Export'!F1851="客车"),"MPV",IF('Data Export'!F1851="运动型多功能车","SUV","其他"))))</f>
        <v/>
      </c>
      <c r="K1851" s="62"/>
      <c r="L1851" s="62"/>
      <c r="M1851" s="62"/>
      <c r="N1851" s="62"/>
      <c r="O1851" s="62"/>
      <c r="P1851" s="62"/>
      <c r="Q1851" s="62"/>
    </row>
    <row r="1852" spans="1:17">
      <c r="A1852" s="62"/>
      <c r="B1852" s="62"/>
      <c r="C1852" s="62"/>
      <c r="D1852" s="62"/>
      <c r="E1852" s="62"/>
      <c r="F1852" s="62"/>
      <c r="G1852" s="62"/>
      <c r="H1852" s="62" t="str">
        <f>IF(AND('Data Export'!A1852=前十整体车型排名!$B$2,'Data Export'!B1852=前十整体车型排名!$B$3,'Data Export'!D1852&lt;&gt;""),UPPER('Data Export'!C1852)&amp;"♦"&amp;'Data Export'!D1852,"")</f>
        <v/>
      </c>
      <c r="I1852" s="63" t="str">
        <f>IF(H1852="","",IFERROR(INDEX('Data Export'!G1852:CZ1852,1,MATCH(前十整体车型排名!$B$4,'Data Export'!$G$1:$CZ$1,0)),0))</f>
        <v/>
      </c>
      <c r="J1852" s="62" t="str">
        <f>IF(H1852="","",IF(OR('Data Export'!F1852="三厢轿车",'Data Export'!F1852="掀背轿车",'Data Export'!F1852="旅行车",'Data Export'!F1852="微型车",'Data Export'!F1852="硬顶跑车",'Data Export'!F1852="敞蓬车",'Data Export'!F1852="Targa"),"轿车",IF(OR('Data Export'!F1852="小型MPV",'Data Export'!F1852="客车"),"MPV",IF('Data Export'!F1852="运动型多功能车","SUV","其他"))))</f>
        <v/>
      </c>
      <c r="K1852" s="62"/>
      <c r="L1852" s="62"/>
      <c r="M1852" s="62"/>
      <c r="N1852" s="62"/>
      <c r="O1852" s="62"/>
      <c r="P1852" s="62"/>
      <c r="Q1852" s="62"/>
    </row>
    <row r="1853" spans="1:17">
      <c r="A1853" s="62"/>
      <c r="B1853" s="62"/>
      <c r="C1853" s="62"/>
      <c r="D1853" s="62"/>
      <c r="E1853" s="62"/>
      <c r="F1853" s="62"/>
      <c r="G1853" s="62"/>
      <c r="H1853" s="62" t="str">
        <f>IF(AND('Data Export'!A1853=前十整体车型排名!$B$2,'Data Export'!B1853=前十整体车型排名!$B$3,'Data Export'!D1853&lt;&gt;""),UPPER('Data Export'!C1853)&amp;"♦"&amp;'Data Export'!D1853,"")</f>
        <v/>
      </c>
      <c r="I1853" s="63" t="str">
        <f>IF(H1853="","",IFERROR(INDEX('Data Export'!G1853:CZ1853,1,MATCH(前十整体车型排名!$B$4,'Data Export'!$G$1:$CZ$1,0)),0))</f>
        <v/>
      </c>
      <c r="J1853" s="62" t="str">
        <f>IF(H1853="","",IF(OR('Data Export'!F1853="三厢轿车",'Data Export'!F1853="掀背轿车",'Data Export'!F1853="旅行车",'Data Export'!F1853="微型车",'Data Export'!F1853="硬顶跑车",'Data Export'!F1853="敞蓬车",'Data Export'!F1853="Targa"),"轿车",IF(OR('Data Export'!F1853="小型MPV",'Data Export'!F1853="客车"),"MPV",IF('Data Export'!F1853="运动型多功能车","SUV","其他"))))</f>
        <v/>
      </c>
      <c r="K1853" s="62"/>
      <c r="L1853" s="62"/>
      <c r="M1853" s="62"/>
      <c r="N1853" s="62"/>
      <c r="O1853" s="62"/>
      <c r="P1853" s="62"/>
      <c r="Q1853" s="62"/>
    </row>
    <row r="1854" spans="1:17">
      <c r="A1854" s="62"/>
      <c r="B1854" s="62"/>
      <c r="C1854" s="62"/>
      <c r="D1854" s="62"/>
      <c r="E1854" s="62"/>
      <c r="F1854" s="62"/>
      <c r="G1854" s="62"/>
      <c r="H1854" s="62" t="str">
        <f>IF(AND('Data Export'!A1854=前十整体车型排名!$B$2,'Data Export'!B1854=前十整体车型排名!$B$3,'Data Export'!D1854&lt;&gt;""),UPPER('Data Export'!C1854)&amp;"♦"&amp;'Data Export'!D1854,"")</f>
        <v/>
      </c>
      <c r="I1854" s="63" t="str">
        <f>IF(H1854="","",IFERROR(INDEX('Data Export'!G1854:CZ1854,1,MATCH(前十整体车型排名!$B$4,'Data Export'!$G$1:$CZ$1,0)),0))</f>
        <v/>
      </c>
      <c r="J1854" s="62" t="str">
        <f>IF(H1854="","",IF(OR('Data Export'!F1854="三厢轿车",'Data Export'!F1854="掀背轿车",'Data Export'!F1854="旅行车",'Data Export'!F1854="微型车",'Data Export'!F1854="硬顶跑车",'Data Export'!F1854="敞蓬车",'Data Export'!F1854="Targa"),"轿车",IF(OR('Data Export'!F1854="小型MPV",'Data Export'!F1854="客车"),"MPV",IF('Data Export'!F1854="运动型多功能车","SUV","其他"))))</f>
        <v/>
      </c>
      <c r="K1854" s="62"/>
      <c r="L1854" s="62"/>
      <c r="M1854" s="62"/>
      <c r="N1854" s="62"/>
      <c r="O1854" s="62"/>
      <c r="P1854" s="62"/>
      <c r="Q1854" s="62"/>
    </row>
    <row r="1855" spans="1:17">
      <c r="A1855" s="62"/>
      <c r="B1855" s="62"/>
      <c r="C1855" s="62"/>
      <c r="D1855" s="62"/>
      <c r="E1855" s="62"/>
      <c r="F1855" s="62"/>
      <c r="G1855" s="62"/>
      <c r="H1855" s="62" t="str">
        <f>IF(AND('Data Export'!A1855=前十整体车型排名!$B$2,'Data Export'!B1855=前十整体车型排名!$B$3,'Data Export'!D1855&lt;&gt;""),UPPER('Data Export'!C1855)&amp;"♦"&amp;'Data Export'!D1855,"")</f>
        <v/>
      </c>
      <c r="I1855" s="63" t="str">
        <f>IF(H1855="","",IFERROR(INDEX('Data Export'!G1855:CZ1855,1,MATCH(前十整体车型排名!$B$4,'Data Export'!$G$1:$CZ$1,0)),0))</f>
        <v/>
      </c>
      <c r="J1855" s="62" t="str">
        <f>IF(H1855="","",IF(OR('Data Export'!F1855="三厢轿车",'Data Export'!F1855="掀背轿车",'Data Export'!F1855="旅行车",'Data Export'!F1855="微型车",'Data Export'!F1855="硬顶跑车",'Data Export'!F1855="敞蓬车",'Data Export'!F1855="Targa"),"轿车",IF(OR('Data Export'!F1855="小型MPV",'Data Export'!F1855="客车"),"MPV",IF('Data Export'!F1855="运动型多功能车","SUV","其他"))))</f>
        <v/>
      </c>
      <c r="K1855" s="62"/>
      <c r="L1855" s="62"/>
      <c r="M1855" s="62"/>
      <c r="N1855" s="62"/>
      <c r="O1855" s="62"/>
      <c r="P1855" s="62"/>
      <c r="Q1855" s="62"/>
    </row>
    <row r="1856" spans="1:17">
      <c r="A1856" s="62"/>
      <c r="B1856" s="62"/>
      <c r="C1856" s="62"/>
      <c r="D1856" s="62"/>
      <c r="E1856" s="62"/>
      <c r="F1856" s="62"/>
      <c r="G1856" s="62"/>
      <c r="H1856" s="62" t="str">
        <f>IF(AND('Data Export'!A1856=前十整体车型排名!$B$2,'Data Export'!B1856=前十整体车型排名!$B$3,'Data Export'!D1856&lt;&gt;""),UPPER('Data Export'!C1856)&amp;"♦"&amp;'Data Export'!D1856,"")</f>
        <v/>
      </c>
      <c r="I1856" s="63" t="str">
        <f>IF(H1856="","",IFERROR(INDEX('Data Export'!G1856:CZ1856,1,MATCH(前十整体车型排名!$B$4,'Data Export'!$G$1:$CZ$1,0)),0))</f>
        <v/>
      </c>
      <c r="J1856" s="62" t="str">
        <f>IF(H1856="","",IF(OR('Data Export'!F1856="三厢轿车",'Data Export'!F1856="掀背轿车",'Data Export'!F1856="旅行车",'Data Export'!F1856="微型车",'Data Export'!F1856="硬顶跑车",'Data Export'!F1856="敞蓬车",'Data Export'!F1856="Targa"),"轿车",IF(OR('Data Export'!F1856="小型MPV",'Data Export'!F1856="客车"),"MPV",IF('Data Export'!F1856="运动型多功能车","SUV","其他"))))</f>
        <v/>
      </c>
      <c r="K1856" s="62"/>
      <c r="L1856" s="62"/>
      <c r="M1856" s="62"/>
      <c r="N1856" s="62"/>
      <c r="O1856" s="62"/>
      <c r="P1856" s="62"/>
      <c r="Q1856" s="62"/>
    </row>
    <row r="1857" spans="1:17">
      <c r="A1857" s="62"/>
      <c r="B1857" s="62"/>
      <c r="C1857" s="62"/>
      <c r="D1857" s="62"/>
      <c r="E1857" s="62"/>
      <c r="F1857" s="62"/>
      <c r="G1857" s="62"/>
      <c r="H1857" s="62" t="str">
        <f>IF(AND('Data Export'!A1857=前十整体车型排名!$B$2,'Data Export'!B1857=前十整体车型排名!$B$3,'Data Export'!D1857&lt;&gt;""),UPPER('Data Export'!C1857)&amp;"♦"&amp;'Data Export'!D1857,"")</f>
        <v/>
      </c>
      <c r="I1857" s="63" t="str">
        <f>IF(H1857="","",IFERROR(INDEX('Data Export'!G1857:CZ1857,1,MATCH(前十整体车型排名!$B$4,'Data Export'!$G$1:$CZ$1,0)),0))</f>
        <v/>
      </c>
      <c r="J1857" s="62" t="str">
        <f>IF(H1857="","",IF(OR('Data Export'!F1857="三厢轿车",'Data Export'!F1857="掀背轿车",'Data Export'!F1857="旅行车",'Data Export'!F1857="微型车",'Data Export'!F1857="硬顶跑车",'Data Export'!F1857="敞蓬车",'Data Export'!F1857="Targa"),"轿车",IF(OR('Data Export'!F1857="小型MPV",'Data Export'!F1857="客车"),"MPV",IF('Data Export'!F1857="运动型多功能车","SUV","其他"))))</f>
        <v/>
      </c>
      <c r="K1857" s="62"/>
      <c r="L1857" s="62"/>
      <c r="M1857" s="62"/>
      <c r="N1857" s="62"/>
      <c r="O1857" s="62"/>
      <c r="P1857" s="62"/>
      <c r="Q1857" s="62"/>
    </row>
    <row r="1858" spans="1:17">
      <c r="A1858" s="62"/>
      <c r="B1858" s="62"/>
      <c r="C1858" s="62"/>
      <c r="D1858" s="62"/>
      <c r="E1858" s="62"/>
      <c r="F1858" s="62"/>
      <c r="G1858" s="62"/>
      <c r="H1858" s="62" t="str">
        <f>IF(AND('Data Export'!A1858=前十整体车型排名!$B$2,'Data Export'!B1858=前十整体车型排名!$B$3,'Data Export'!D1858&lt;&gt;""),UPPER('Data Export'!C1858)&amp;"♦"&amp;'Data Export'!D1858,"")</f>
        <v/>
      </c>
      <c r="I1858" s="63" t="str">
        <f>IF(H1858="","",IFERROR(INDEX('Data Export'!G1858:CZ1858,1,MATCH(前十整体车型排名!$B$4,'Data Export'!$G$1:$CZ$1,0)),0))</f>
        <v/>
      </c>
      <c r="J1858" s="62" t="str">
        <f>IF(H1858="","",IF(OR('Data Export'!F1858="三厢轿车",'Data Export'!F1858="掀背轿车",'Data Export'!F1858="旅行车",'Data Export'!F1858="微型车",'Data Export'!F1858="硬顶跑车",'Data Export'!F1858="敞蓬车",'Data Export'!F1858="Targa"),"轿车",IF(OR('Data Export'!F1858="小型MPV",'Data Export'!F1858="客车"),"MPV",IF('Data Export'!F1858="运动型多功能车","SUV","其他"))))</f>
        <v/>
      </c>
      <c r="K1858" s="62"/>
      <c r="L1858" s="62"/>
      <c r="M1858" s="62"/>
      <c r="N1858" s="62"/>
      <c r="O1858" s="62"/>
      <c r="P1858" s="62"/>
      <c r="Q1858" s="62"/>
    </row>
    <row r="1859" spans="1:17">
      <c r="A1859" s="62"/>
      <c r="B1859" s="62"/>
      <c r="C1859" s="62"/>
      <c r="D1859" s="62"/>
      <c r="E1859" s="62"/>
      <c r="F1859" s="62"/>
      <c r="G1859" s="62"/>
      <c r="H1859" s="62" t="str">
        <f>IF(AND('Data Export'!A1859=前十整体车型排名!$B$2,'Data Export'!B1859=前十整体车型排名!$B$3,'Data Export'!D1859&lt;&gt;""),UPPER('Data Export'!C1859)&amp;"♦"&amp;'Data Export'!D1859,"")</f>
        <v/>
      </c>
      <c r="I1859" s="63" t="str">
        <f>IF(H1859="","",IFERROR(INDEX('Data Export'!G1859:CZ1859,1,MATCH(前十整体车型排名!$B$4,'Data Export'!$G$1:$CZ$1,0)),0))</f>
        <v/>
      </c>
      <c r="J1859" s="62" t="str">
        <f>IF(H1859="","",IF(OR('Data Export'!F1859="三厢轿车",'Data Export'!F1859="掀背轿车",'Data Export'!F1859="旅行车",'Data Export'!F1859="微型车",'Data Export'!F1859="硬顶跑车",'Data Export'!F1859="敞蓬车",'Data Export'!F1859="Targa"),"轿车",IF(OR('Data Export'!F1859="小型MPV",'Data Export'!F1859="客车"),"MPV",IF('Data Export'!F1859="运动型多功能车","SUV","其他"))))</f>
        <v/>
      </c>
      <c r="K1859" s="62"/>
      <c r="L1859" s="62"/>
      <c r="M1859" s="62"/>
      <c r="N1859" s="62"/>
      <c r="O1859" s="62"/>
      <c r="P1859" s="62"/>
      <c r="Q1859" s="62"/>
    </row>
    <row r="1860" spans="1:17">
      <c r="A1860" s="62"/>
      <c r="B1860" s="62"/>
      <c r="C1860" s="62"/>
      <c r="D1860" s="62"/>
      <c r="E1860" s="62"/>
      <c r="F1860" s="62"/>
      <c r="G1860" s="62"/>
      <c r="H1860" s="62" t="str">
        <f>IF(AND('Data Export'!A1860=前十整体车型排名!$B$2,'Data Export'!B1860=前十整体车型排名!$B$3,'Data Export'!D1860&lt;&gt;""),UPPER('Data Export'!C1860)&amp;"♦"&amp;'Data Export'!D1860,"")</f>
        <v/>
      </c>
      <c r="I1860" s="63" t="str">
        <f>IF(H1860="","",IFERROR(INDEX('Data Export'!G1860:CZ1860,1,MATCH(前十整体车型排名!$B$4,'Data Export'!$G$1:$CZ$1,0)),0))</f>
        <v/>
      </c>
      <c r="J1860" s="62" t="str">
        <f>IF(H1860="","",IF(OR('Data Export'!F1860="三厢轿车",'Data Export'!F1860="掀背轿车",'Data Export'!F1860="旅行车",'Data Export'!F1860="微型车",'Data Export'!F1860="硬顶跑车",'Data Export'!F1860="敞蓬车",'Data Export'!F1860="Targa"),"轿车",IF(OR('Data Export'!F1860="小型MPV",'Data Export'!F1860="客车"),"MPV",IF('Data Export'!F1860="运动型多功能车","SUV","其他"))))</f>
        <v/>
      </c>
      <c r="K1860" s="62"/>
      <c r="L1860" s="62"/>
      <c r="M1860" s="62"/>
      <c r="N1860" s="62"/>
      <c r="O1860" s="62"/>
      <c r="P1860" s="62"/>
      <c r="Q1860" s="62"/>
    </row>
    <row r="1861" spans="1:17">
      <c r="A1861" s="62"/>
      <c r="B1861" s="62"/>
      <c r="C1861" s="62"/>
      <c r="D1861" s="62"/>
      <c r="E1861" s="62"/>
      <c r="F1861" s="62"/>
      <c r="G1861" s="62"/>
      <c r="H1861" s="62" t="str">
        <f>IF(AND('Data Export'!A1861=前十整体车型排名!$B$2,'Data Export'!B1861=前十整体车型排名!$B$3,'Data Export'!D1861&lt;&gt;""),UPPER('Data Export'!C1861)&amp;"♦"&amp;'Data Export'!D1861,"")</f>
        <v/>
      </c>
      <c r="I1861" s="63" t="str">
        <f>IF(H1861="","",IFERROR(INDEX('Data Export'!G1861:CZ1861,1,MATCH(前十整体车型排名!$B$4,'Data Export'!$G$1:$CZ$1,0)),0))</f>
        <v/>
      </c>
      <c r="J1861" s="62" t="str">
        <f>IF(H1861="","",IF(OR('Data Export'!F1861="三厢轿车",'Data Export'!F1861="掀背轿车",'Data Export'!F1861="旅行车",'Data Export'!F1861="微型车",'Data Export'!F1861="硬顶跑车",'Data Export'!F1861="敞蓬车",'Data Export'!F1861="Targa"),"轿车",IF(OR('Data Export'!F1861="小型MPV",'Data Export'!F1861="客车"),"MPV",IF('Data Export'!F1861="运动型多功能车","SUV","其他"))))</f>
        <v/>
      </c>
      <c r="K1861" s="62"/>
      <c r="L1861" s="62"/>
      <c r="M1861" s="62"/>
      <c r="N1861" s="62"/>
      <c r="O1861" s="62"/>
      <c r="P1861" s="62"/>
      <c r="Q1861" s="62"/>
    </row>
    <row r="1862" spans="1:17">
      <c r="A1862" s="62"/>
      <c r="B1862" s="62"/>
      <c r="C1862" s="62"/>
      <c r="D1862" s="62"/>
      <c r="E1862" s="62"/>
      <c r="F1862" s="62"/>
      <c r="G1862" s="62"/>
      <c r="H1862" s="62" t="str">
        <f>IF(AND('Data Export'!A1862=前十整体车型排名!$B$2,'Data Export'!B1862=前十整体车型排名!$B$3,'Data Export'!D1862&lt;&gt;""),UPPER('Data Export'!C1862)&amp;"♦"&amp;'Data Export'!D1862,"")</f>
        <v/>
      </c>
      <c r="I1862" s="63" t="str">
        <f>IF(H1862="","",IFERROR(INDEX('Data Export'!G1862:CZ1862,1,MATCH(前十整体车型排名!$B$4,'Data Export'!$G$1:$CZ$1,0)),0))</f>
        <v/>
      </c>
      <c r="J1862" s="62" t="str">
        <f>IF(H1862="","",IF(OR('Data Export'!F1862="三厢轿车",'Data Export'!F1862="掀背轿车",'Data Export'!F1862="旅行车",'Data Export'!F1862="微型车",'Data Export'!F1862="硬顶跑车",'Data Export'!F1862="敞蓬车",'Data Export'!F1862="Targa"),"轿车",IF(OR('Data Export'!F1862="小型MPV",'Data Export'!F1862="客车"),"MPV",IF('Data Export'!F1862="运动型多功能车","SUV","其他"))))</f>
        <v/>
      </c>
      <c r="K1862" s="62"/>
      <c r="L1862" s="62"/>
      <c r="M1862" s="62"/>
      <c r="N1862" s="62"/>
      <c r="O1862" s="62"/>
      <c r="P1862" s="62"/>
      <c r="Q1862" s="62"/>
    </row>
    <row r="1863" spans="1:17">
      <c r="A1863" s="62"/>
      <c r="B1863" s="62"/>
      <c r="C1863" s="62"/>
      <c r="D1863" s="62"/>
      <c r="E1863" s="62"/>
      <c r="F1863" s="62"/>
      <c r="G1863" s="62"/>
      <c r="H1863" s="62" t="str">
        <f>IF(AND('Data Export'!A1863=前十整体车型排名!$B$2,'Data Export'!B1863=前十整体车型排名!$B$3,'Data Export'!D1863&lt;&gt;""),UPPER('Data Export'!C1863)&amp;"♦"&amp;'Data Export'!D1863,"")</f>
        <v/>
      </c>
      <c r="I1863" s="63" t="str">
        <f>IF(H1863="","",IFERROR(INDEX('Data Export'!G1863:CZ1863,1,MATCH(前十整体车型排名!$B$4,'Data Export'!$G$1:$CZ$1,0)),0))</f>
        <v/>
      </c>
      <c r="J1863" s="62" t="str">
        <f>IF(H1863="","",IF(OR('Data Export'!F1863="三厢轿车",'Data Export'!F1863="掀背轿车",'Data Export'!F1863="旅行车",'Data Export'!F1863="微型车",'Data Export'!F1863="硬顶跑车",'Data Export'!F1863="敞蓬车",'Data Export'!F1863="Targa"),"轿车",IF(OR('Data Export'!F1863="小型MPV",'Data Export'!F1863="客车"),"MPV",IF('Data Export'!F1863="运动型多功能车","SUV","其他"))))</f>
        <v/>
      </c>
      <c r="K1863" s="62"/>
      <c r="L1863" s="62"/>
      <c r="M1863" s="62"/>
      <c r="N1863" s="62"/>
      <c r="O1863" s="62"/>
      <c r="P1863" s="62"/>
      <c r="Q1863" s="62"/>
    </row>
    <row r="1864" spans="1:17">
      <c r="A1864" s="62"/>
      <c r="B1864" s="62"/>
      <c r="C1864" s="62"/>
      <c r="D1864" s="62"/>
      <c r="E1864" s="62"/>
      <c r="F1864" s="62"/>
      <c r="G1864" s="62"/>
      <c r="H1864" s="62" t="str">
        <f>IF(AND('Data Export'!A1864=前十整体车型排名!$B$2,'Data Export'!B1864=前十整体车型排名!$B$3,'Data Export'!D1864&lt;&gt;""),UPPER('Data Export'!C1864)&amp;"♦"&amp;'Data Export'!D1864,"")</f>
        <v/>
      </c>
      <c r="I1864" s="63" t="str">
        <f>IF(H1864="","",IFERROR(INDEX('Data Export'!G1864:CZ1864,1,MATCH(前十整体车型排名!$B$4,'Data Export'!$G$1:$CZ$1,0)),0))</f>
        <v/>
      </c>
      <c r="J1864" s="62" t="str">
        <f>IF(H1864="","",IF(OR('Data Export'!F1864="三厢轿车",'Data Export'!F1864="掀背轿车",'Data Export'!F1864="旅行车",'Data Export'!F1864="微型车",'Data Export'!F1864="硬顶跑车",'Data Export'!F1864="敞蓬车",'Data Export'!F1864="Targa"),"轿车",IF(OR('Data Export'!F1864="小型MPV",'Data Export'!F1864="客车"),"MPV",IF('Data Export'!F1864="运动型多功能车","SUV","其他"))))</f>
        <v/>
      </c>
      <c r="K1864" s="62"/>
      <c r="L1864" s="62"/>
      <c r="M1864" s="62"/>
      <c r="N1864" s="62"/>
      <c r="O1864" s="62"/>
      <c r="P1864" s="62"/>
      <c r="Q1864" s="62"/>
    </row>
    <row r="1865" spans="1:17">
      <c r="A1865" s="62"/>
      <c r="B1865" s="62"/>
      <c r="C1865" s="62"/>
      <c r="D1865" s="62"/>
      <c r="E1865" s="62"/>
      <c r="F1865" s="62"/>
      <c r="G1865" s="62"/>
      <c r="H1865" s="62" t="str">
        <f>IF(AND('Data Export'!A1865=前十整体车型排名!$B$2,'Data Export'!B1865=前十整体车型排名!$B$3,'Data Export'!D1865&lt;&gt;""),UPPER('Data Export'!C1865)&amp;"♦"&amp;'Data Export'!D1865,"")</f>
        <v/>
      </c>
      <c r="I1865" s="63" t="str">
        <f>IF(H1865="","",IFERROR(INDEX('Data Export'!G1865:CZ1865,1,MATCH(前十整体车型排名!$B$4,'Data Export'!$G$1:$CZ$1,0)),0))</f>
        <v/>
      </c>
      <c r="J1865" s="62" t="str">
        <f>IF(H1865="","",IF(OR('Data Export'!F1865="三厢轿车",'Data Export'!F1865="掀背轿车",'Data Export'!F1865="旅行车",'Data Export'!F1865="微型车",'Data Export'!F1865="硬顶跑车",'Data Export'!F1865="敞蓬车",'Data Export'!F1865="Targa"),"轿车",IF(OR('Data Export'!F1865="小型MPV",'Data Export'!F1865="客车"),"MPV",IF('Data Export'!F1865="运动型多功能车","SUV","其他"))))</f>
        <v/>
      </c>
      <c r="K1865" s="62"/>
      <c r="L1865" s="62"/>
      <c r="M1865" s="62"/>
      <c r="N1865" s="62"/>
      <c r="O1865" s="62"/>
      <c r="P1865" s="62"/>
      <c r="Q1865" s="62"/>
    </row>
    <row r="1866" spans="1:17">
      <c r="A1866" s="62"/>
      <c r="B1866" s="62"/>
      <c r="C1866" s="62"/>
      <c r="D1866" s="62"/>
      <c r="E1866" s="62"/>
      <c r="F1866" s="62"/>
      <c r="G1866" s="62"/>
      <c r="H1866" s="62" t="str">
        <f>IF(AND('Data Export'!A1866=前十整体车型排名!$B$2,'Data Export'!B1866=前十整体车型排名!$B$3,'Data Export'!D1866&lt;&gt;""),UPPER('Data Export'!C1866)&amp;"♦"&amp;'Data Export'!D1866,"")</f>
        <v/>
      </c>
      <c r="I1866" s="63" t="str">
        <f>IF(H1866="","",IFERROR(INDEX('Data Export'!G1866:CZ1866,1,MATCH(前十整体车型排名!$B$4,'Data Export'!$G$1:$CZ$1,0)),0))</f>
        <v/>
      </c>
      <c r="J1866" s="62" t="str">
        <f>IF(H1866="","",IF(OR('Data Export'!F1866="三厢轿车",'Data Export'!F1866="掀背轿车",'Data Export'!F1866="旅行车",'Data Export'!F1866="微型车",'Data Export'!F1866="硬顶跑车",'Data Export'!F1866="敞蓬车",'Data Export'!F1866="Targa"),"轿车",IF(OR('Data Export'!F1866="小型MPV",'Data Export'!F1866="客车"),"MPV",IF('Data Export'!F1866="运动型多功能车","SUV","其他"))))</f>
        <v/>
      </c>
      <c r="K1866" s="62"/>
      <c r="L1866" s="62"/>
      <c r="M1866" s="62"/>
      <c r="N1866" s="62"/>
      <c r="O1866" s="62"/>
      <c r="P1866" s="62"/>
      <c r="Q1866" s="62"/>
    </row>
    <row r="1867" spans="1:17">
      <c r="A1867" s="62"/>
      <c r="B1867" s="62"/>
      <c r="C1867" s="62"/>
      <c r="D1867" s="62"/>
      <c r="E1867" s="62"/>
      <c r="F1867" s="62"/>
      <c r="G1867" s="62"/>
      <c r="H1867" s="62" t="str">
        <f>IF(AND('Data Export'!A1867=前十整体车型排名!$B$2,'Data Export'!B1867=前十整体车型排名!$B$3,'Data Export'!D1867&lt;&gt;""),UPPER('Data Export'!C1867)&amp;"♦"&amp;'Data Export'!D1867,"")</f>
        <v/>
      </c>
      <c r="I1867" s="63" t="str">
        <f>IF(H1867="","",IFERROR(INDEX('Data Export'!G1867:CZ1867,1,MATCH(前十整体车型排名!$B$4,'Data Export'!$G$1:$CZ$1,0)),0))</f>
        <v/>
      </c>
      <c r="J1867" s="62" t="str">
        <f>IF(H1867="","",IF(OR('Data Export'!F1867="三厢轿车",'Data Export'!F1867="掀背轿车",'Data Export'!F1867="旅行车",'Data Export'!F1867="微型车",'Data Export'!F1867="硬顶跑车",'Data Export'!F1867="敞蓬车",'Data Export'!F1867="Targa"),"轿车",IF(OR('Data Export'!F1867="小型MPV",'Data Export'!F1867="客车"),"MPV",IF('Data Export'!F1867="运动型多功能车","SUV","其他"))))</f>
        <v/>
      </c>
      <c r="K1867" s="62"/>
      <c r="L1867" s="62"/>
      <c r="M1867" s="62"/>
      <c r="N1867" s="62"/>
      <c r="O1867" s="62"/>
      <c r="P1867" s="62"/>
      <c r="Q1867" s="62"/>
    </row>
    <row r="1868" spans="1:17">
      <c r="A1868" s="62"/>
      <c r="B1868" s="62"/>
      <c r="C1868" s="62"/>
      <c r="D1868" s="62"/>
      <c r="E1868" s="62"/>
      <c r="F1868" s="62"/>
      <c r="G1868" s="62"/>
      <c r="H1868" s="62" t="str">
        <f>IF(AND('Data Export'!A1868=前十整体车型排名!$B$2,'Data Export'!B1868=前十整体车型排名!$B$3,'Data Export'!D1868&lt;&gt;""),UPPER('Data Export'!C1868)&amp;"♦"&amp;'Data Export'!D1868,"")</f>
        <v/>
      </c>
      <c r="I1868" s="63" t="str">
        <f>IF(H1868="","",IFERROR(INDEX('Data Export'!G1868:CZ1868,1,MATCH(前十整体车型排名!$B$4,'Data Export'!$G$1:$CZ$1,0)),0))</f>
        <v/>
      </c>
      <c r="J1868" s="62" t="str">
        <f>IF(H1868="","",IF(OR('Data Export'!F1868="三厢轿车",'Data Export'!F1868="掀背轿车",'Data Export'!F1868="旅行车",'Data Export'!F1868="微型车",'Data Export'!F1868="硬顶跑车",'Data Export'!F1868="敞蓬车",'Data Export'!F1868="Targa"),"轿车",IF(OR('Data Export'!F1868="小型MPV",'Data Export'!F1868="客车"),"MPV",IF('Data Export'!F1868="运动型多功能车","SUV","其他"))))</f>
        <v/>
      </c>
      <c r="K1868" s="62"/>
      <c r="L1868" s="62"/>
      <c r="M1868" s="62"/>
      <c r="N1868" s="62"/>
      <c r="O1868" s="62"/>
      <c r="P1868" s="62"/>
      <c r="Q1868" s="62"/>
    </row>
    <row r="1869" spans="1:17">
      <c r="A1869" s="62"/>
      <c r="B1869" s="62"/>
      <c r="C1869" s="62"/>
      <c r="D1869" s="62"/>
      <c r="E1869" s="62"/>
      <c r="F1869" s="62"/>
      <c r="G1869" s="62"/>
      <c r="H1869" s="62" t="str">
        <f>IF(AND('Data Export'!A1869=前十整体车型排名!$B$2,'Data Export'!B1869=前十整体车型排名!$B$3,'Data Export'!D1869&lt;&gt;""),UPPER('Data Export'!C1869)&amp;"♦"&amp;'Data Export'!D1869,"")</f>
        <v/>
      </c>
      <c r="I1869" s="63" t="str">
        <f>IF(H1869="","",IFERROR(INDEX('Data Export'!G1869:CZ1869,1,MATCH(前十整体车型排名!$B$4,'Data Export'!$G$1:$CZ$1,0)),0))</f>
        <v/>
      </c>
      <c r="J1869" s="62" t="str">
        <f>IF(H1869="","",IF(OR('Data Export'!F1869="三厢轿车",'Data Export'!F1869="掀背轿车",'Data Export'!F1869="旅行车",'Data Export'!F1869="微型车",'Data Export'!F1869="硬顶跑车",'Data Export'!F1869="敞蓬车",'Data Export'!F1869="Targa"),"轿车",IF(OR('Data Export'!F1869="小型MPV",'Data Export'!F1869="客车"),"MPV",IF('Data Export'!F1869="运动型多功能车","SUV","其他"))))</f>
        <v/>
      </c>
      <c r="K1869" s="62"/>
      <c r="L1869" s="62"/>
      <c r="M1869" s="62"/>
      <c r="N1869" s="62"/>
      <c r="O1869" s="62"/>
      <c r="P1869" s="62"/>
      <c r="Q1869" s="62"/>
    </row>
    <row r="1870" spans="1:17">
      <c r="A1870" s="62"/>
      <c r="B1870" s="62"/>
      <c r="C1870" s="62"/>
      <c r="D1870" s="62"/>
      <c r="E1870" s="62"/>
      <c r="F1870" s="62"/>
      <c r="G1870" s="62"/>
      <c r="H1870" s="62" t="str">
        <f>IF(AND('Data Export'!A1870=前十整体车型排名!$B$2,'Data Export'!B1870=前十整体车型排名!$B$3,'Data Export'!D1870&lt;&gt;""),UPPER('Data Export'!C1870)&amp;"♦"&amp;'Data Export'!D1870,"")</f>
        <v/>
      </c>
      <c r="I1870" s="63" t="str">
        <f>IF(H1870="","",IFERROR(INDEX('Data Export'!G1870:CZ1870,1,MATCH(前十整体车型排名!$B$4,'Data Export'!$G$1:$CZ$1,0)),0))</f>
        <v/>
      </c>
      <c r="J1870" s="62" t="str">
        <f>IF(H1870="","",IF(OR('Data Export'!F1870="三厢轿车",'Data Export'!F1870="掀背轿车",'Data Export'!F1870="旅行车",'Data Export'!F1870="微型车",'Data Export'!F1870="硬顶跑车",'Data Export'!F1870="敞蓬车",'Data Export'!F1870="Targa"),"轿车",IF(OR('Data Export'!F1870="小型MPV",'Data Export'!F1870="客车"),"MPV",IF('Data Export'!F1870="运动型多功能车","SUV","其他"))))</f>
        <v/>
      </c>
      <c r="K1870" s="62"/>
      <c r="L1870" s="62"/>
      <c r="M1870" s="62"/>
      <c r="N1870" s="62"/>
      <c r="O1870" s="62"/>
      <c r="P1870" s="62"/>
      <c r="Q1870" s="62"/>
    </row>
    <row r="1871" spans="1:17">
      <c r="A1871" s="62"/>
      <c r="B1871" s="62"/>
      <c r="C1871" s="62"/>
      <c r="D1871" s="62"/>
      <c r="E1871" s="62"/>
      <c r="F1871" s="62"/>
      <c r="G1871" s="62"/>
      <c r="H1871" s="62" t="str">
        <f>IF(AND('Data Export'!A1871=前十整体车型排名!$B$2,'Data Export'!B1871=前十整体车型排名!$B$3,'Data Export'!D1871&lt;&gt;""),UPPER('Data Export'!C1871)&amp;"♦"&amp;'Data Export'!D1871,"")</f>
        <v/>
      </c>
      <c r="I1871" s="63" t="str">
        <f>IF(H1871="","",IFERROR(INDEX('Data Export'!G1871:CZ1871,1,MATCH(前十整体车型排名!$B$4,'Data Export'!$G$1:$CZ$1,0)),0))</f>
        <v/>
      </c>
      <c r="J1871" s="62" t="str">
        <f>IF(H1871="","",IF(OR('Data Export'!F1871="三厢轿车",'Data Export'!F1871="掀背轿车",'Data Export'!F1871="旅行车",'Data Export'!F1871="微型车",'Data Export'!F1871="硬顶跑车",'Data Export'!F1871="敞蓬车",'Data Export'!F1871="Targa"),"轿车",IF(OR('Data Export'!F1871="小型MPV",'Data Export'!F1871="客车"),"MPV",IF('Data Export'!F1871="运动型多功能车","SUV","其他"))))</f>
        <v/>
      </c>
      <c r="K1871" s="62"/>
      <c r="L1871" s="62"/>
      <c r="M1871" s="62"/>
      <c r="N1871" s="62"/>
      <c r="O1871" s="62"/>
      <c r="P1871" s="62"/>
      <c r="Q1871" s="62"/>
    </row>
    <row r="1872" spans="1:17">
      <c r="A1872" s="62"/>
      <c r="B1872" s="62"/>
      <c r="C1872" s="62"/>
      <c r="D1872" s="62"/>
      <c r="E1872" s="62"/>
      <c r="F1872" s="62"/>
      <c r="G1872" s="62"/>
      <c r="H1872" s="62" t="str">
        <f>IF(AND('Data Export'!A1872=前十整体车型排名!$B$2,'Data Export'!B1872=前十整体车型排名!$B$3,'Data Export'!D1872&lt;&gt;""),UPPER('Data Export'!C1872)&amp;"♦"&amp;'Data Export'!D1872,"")</f>
        <v/>
      </c>
      <c r="I1872" s="63" t="str">
        <f>IF(H1872="","",IFERROR(INDEX('Data Export'!G1872:CZ1872,1,MATCH(前十整体车型排名!$B$4,'Data Export'!$G$1:$CZ$1,0)),0))</f>
        <v/>
      </c>
      <c r="J1872" s="62" t="str">
        <f>IF(H1872="","",IF(OR('Data Export'!F1872="三厢轿车",'Data Export'!F1872="掀背轿车",'Data Export'!F1872="旅行车",'Data Export'!F1872="微型车",'Data Export'!F1872="硬顶跑车",'Data Export'!F1872="敞蓬车",'Data Export'!F1872="Targa"),"轿车",IF(OR('Data Export'!F1872="小型MPV",'Data Export'!F1872="客车"),"MPV",IF('Data Export'!F1872="运动型多功能车","SUV","其他"))))</f>
        <v/>
      </c>
      <c r="K1872" s="62"/>
      <c r="L1872" s="62"/>
      <c r="M1872" s="62"/>
      <c r="N1872" s="62"/>
      <c r="O1872" s="62"/>
      <c r="P1872" s="62"/>
      <c r="Q1872" s="62"/>
    </row>
    <row r="1873" spans="1:17">
      <c r="A1873" s="62"/>
      <c r="B1873" s="62"/>
      <c r="C1873" s="62"/>
      <c r="D1873" s="62"/>
      <c r="E1873" s="62"/>
      <c r="F1873" s="62"/>
      <c r="G1873" s="62"/>
      <c r="H1873" s="62" t="str">
        <f>IF(AND('Data Export'!A1873=前十整体车型排名!$B$2,'Data Export'!B1873=前十整体车型排名!$B$3,'Data Export'!D1873&lt;&gt;""),UPPER('Data Export'!C1873)&amp;"♦"&amp;'Data Export'!D1873,"")</f>
        <v/>
      </c>
      <c r="I1873" s="63" t="str">
        <f>IF(H1873="","",IFERROR(INDEX('Data Export'!G1873:CZ1873,1,MATCH(前十整体车型排名!$B$4,'Data Export'!$G$1:$CZ$1,0)),0))</f>
        <v/>
      </c>
      <c r="J1873" s="62" t="str">
        <f>IF(H1873="","",IF(OR('Data Export'!F1873="三厢轿车",'Data Export'!F1873="掀背轿车",'Data Export'!F1873="旅行车",'Data Export'!F1873="微型车",'Data Export'!F1873="硬顶跑车",'Data Export'!F1873="敞蓬车",'Data Export'!F1873="Targa"),"轿车",IF(OR('Data Export'!F1873="小型MPV",'Data Export'!F1873="客车"),"MPV",IF('Data Export'!F1873="运动型多功能车","SUV","其他"))))</f>
        <v/>
      </c>
      <c r="K1873" s="62"/>
      <c r="L1873" s="62"/>
      <c r="M1873" s="62"/>
      <c r="N1873" s="62"/>
      <c r="O1873" s="62"/>
      <c r="P1873" s="62"/>
      <c r="Q1873" s="62"/>
    </row>
    <row r="1874" spans="1:17">
      <c r="A1874" s="62"/>
      <c r="B1874" s="62"/>
      <c r="C1874" s="62"/>
      <c r="D1874" s="62"/>
      <c r="E1874" s="62"/>
      <c r="F1874" s="62"/>
      <c r="G1874" s="62"/>
      <c r="H1874" s="62" t="str">
        <f>IF(AND('Data Export'!A1874=前十整体车型排名!$B$2,'Data Export'!B1874=前十整体车型排名!$B$3,'Data Export'!D1874&lt;&gt;""),UPPER('Data Export'!C1874)&amp;"♦"&amp;'Data Export'!D1874,"")</f>
        <v/>
      </c>
      <c r="I1874" s="63" t="str">
        <f>IF(H1874="","",IFERROR(INDEX('Data Export'!G1874:CZ1874,1,MATCH(前十整体车型排名!$B$4,'Data Export'!$G$1:$CZ$1,0)),0))</f>
        <v/>
      </c>
      <c r="J1874" s="62" t="str">
        <f>IF(H1874="","",IF(OR('Data Export'!F1874="三厢轿车",'Data Export'!F1874="掀背轿车",'Data Export'!F1874="旅行车",'Data Export'!F1874="微型车",'Data Export'!F1874="硬顶跑车",'Data Export'!F1874="敞蓬车",'Data Export'!F1874="Targa"),"轿车",IF(OR('Data Export'!F1874="小型MPV",'Data Export'!F1874="客车"),"MPV",IF('Data Export'!F1874="运动型多功能车","SUV","其他"))))</f>
        <v/>
      </c>
      <c r="K1874" s="62"/>
      <c r="L1874" s="62"/>
      <c r="M1874" s="62"/>
      <c r="N1874" s="62"/>
      <c r="O1874" s="62"/>
      <c r="P1874" s="62"/>
      <c r="Q1874" s="62"/>
    </row>
    <row r="1875" spans="1:17">
      <c r="A1875" s="62"/>
      <c r="B1875" s="62"/>
      <c r="C1875" s="62"/>
      <c r="D1875" s="62"/>
      <c r="E1875" s="62"/>
      <c r="F1875" s="62"/>
      <c r="G1875" s="62"/>
      <c r="H1875" s="62" t="str">
        <f>IF(AND('Data Export'!A1875=前十整体车型排名!$B$2,'Data Export'!B1875=前十整体车型排名!$B$3,'Data Export'!D1875&lt;&gt;""),UPPER('Data Export'!C1875)&amp;"♦"&amp;'Data Export'!D1875,"")</f>
        <v/>
      </c>
      <c r="I1875" s="63" t="str">
        <f>IF(H1875="","",IFERROR(INDEX('Data Export'!G1875:CZ1875,1,MATCH(前十整体车型排名!$B$4,'Data Export'!$G$1:$CZ$1,0)),0))</f>
        <v/>
      </c>
      <c r="J1875" s="62" t="str">
        <f>IF(H1875="","",IF(OR('Data Export'!F1875="三厢轿车",'Data Export'!F1875="掀背轿车",'Data Export'!F1875="旅行车",'Data Export'!F1875="微型车",'Data Export'!F1875="硬顶跑车",'Data Export'!F1875="敞蓬车",'Data Export'!F1875="Targa"),"轿车",IF(OR('Data Export'!F1875="小型MPV",'Data Export'!F1875="客车"),"MPV",IF('Data Export'!F1875="运动型多功能车","SUV","其他"))))</f>
        <v/>
      </c>
      <c r="K1875" s="62"/>
      <c r="L1875" s="62"/>
      <c r="M1875" s="62"/>
      <c r="N1875" s="62"/>
      <c r="O1875" s="62"/>
      <c r="P1875" s="62"/>
      <c r="Q1875" s="62"/>
    </row>
    <row r="1876" spans="1:17">
      <c r="A1876" s="62"/>
      <c r="B1876" s="62"/>
      <c r="C1876" s="62"/>
      <c r="D1876" s="62"/>
      <c r="E1876" s="62"/>
      <c r="F1876" s="62"/>
      <c r="G1876" s="62"/>
      <c r="H1876" s="62" t="str">
        <f>IF(AND('Data Export'!A1876=前十整体车型排名!$B$2,'Data Export'!B1876=前十整体车型排名!$B$3,'Data Export'!D1876&lt;&gt;""),UPPER('Data Export'!C1876)&amp;"♦"&amp;'Data Export'!D1876,"")</f>
        <v/>
      </c>
      <c r="I1876" s="63" t="str">
        <f>IF(H1876="","",IFERROR(INDEX('Data Export'!G1876:CZ1876,1,MATCH(前十整体车型排名!$B$4,'Data Export'!$G$1:$CZ$1,0)),0))</f>
        <v/>
      </c>
      <c r="J1876" s="62" t="str">
        <f>IF(H1876="","",IF(OR('Data Export'!F1876="三厢轿车",'Data Export'!F1876="掀背轿车",'Data Export'!F1876="旅行车",'Data Export'!F1876="微型车",'Data Export'!F1876="硬顶跑车",'Data Export'!F1876="敞蓬车",'Data Export'!F1876="Targa"),"轿车",IF(OR('Data Export'!F1876="小型MPV",'Data Export'!F1876="客车"),"MPV",IF('Data Export'!F1876="运动型多功能车","SUV","其他"))))</f>
        <v/>
      </c>
      <c r="K1876" s="62"/>
      <c r="L1876" s="62"/>
      <c r="M1876" s="62"/>
      <c r="N1876" s="62"/>
      <c r="O1876" s="62"/>
      <c r="P1876" s="62"/>
      <c r="Q1876" s="62"/>
    </row>
    <row r="1877" spans="1:17">
      <c r="A1877" s="62"/>
      <c r="B1877" s="62"/>
      <c r="C1877" s="62"/>
      <c r="D1877" s="62"/>
      <c r="E1877" s="62"/>
      <c r="F1877" s="62"/>
      <c r="G1877" s="62"/>
      <c r="H1877" s="62" t="str">
        <f>IF(AND('Data Export'!A1877=前十整体车型排名!$B$2,'Data Export'!B1877=前十整体车型排名!$B$3,'Data Export'!D1877&lt;&gt;""),UPPER('Data Export'!C1877)&amp;"♦"&amp;'Data Export'!D1877,"")</f>
        <v/>
      </c>
      <c r="I1877" s="63" t="str">
        <f>IF(H1877="","",IFERROR(INDEX('Data Export'!G1877:CZ1877,1,MATCH(前十整体车型排名!$B$4,'Data Export'!$G$1:$CZ$1,0)),0))</f>
        <v/>
      </c>
      <c r="J1877" s="62" t="str">
        <f>IF(H1877="","",IF(OR('Data Export'!F1877="三厢轿车",'Data Export'!F1877="掀背轿车",'Data Export'!F1877="旅行车",'Data Export'!F1877="微型车",'Data Export'!F1877="硬顶跑车",'Data Export'!F1877="敞蓬车",'Data Export'!F1877="Targa"),"轿车",IF(OR('Data Export'!F1877="小型MPV",'Data Export'!F1877="客车"),"MPV",IF('Data Export'!F1877="运动型多功能车","SUV","其他"))))</f>
        <v/>
      </c>
      <c r="K1877" s="62"/>
      <c r="L1877" s="62"/>
      <c r="M1877" s="62"/>
      <c r="N1877" s="62"/>
      <c r="O1877" s="62"/>
      <c r="P1877" s="62"/>
      <c r="Q1877" s="62"/>
    </row>
    <row r="1878" spans="1:17">
      <c r="A1878" s="62"/>
      <c r="B1878" s="62"/>
      <c r="C1878" s="62"/>
      <c r="D1878" s="62"/>
      <c r="E1878" s="62"/>
      <c r="F1878" s="62"/>
      <c r="G1878" s="62"/>
      <c r="H1878" s="62" t="str">
        <f>IF(AND('Data Export'!A1878=前十整体车型排名!$B$2,'Data Export'!B1878=前十整体车型排名!$B$3,'Data Export'!D1878&lt;&gt;""),UPPER('Data Export'!C1878)&amp;"♦"&amp;'Data Export'!D1878,"")</f>
        <v/>
      </c>
      <c r="I1878" s="63" t="str">
        <f>IF(H1878="","",IFERROR(INDEX('Data Export'!G1878:CZ1878,1,MATCH(前十整体车型排名!$B$4,'Data Export'!$G$1:$CZ$1,0)),0))</f>
        <v/>
      </c>
      <c r="J1878" s="62" t="str">
        <f>IF(H1878="","",IF(OR('Data Export'!F1878="三厢轿车",'Data Export'!F1878="掀背轿车",'Data Export'!F1878="旅行车",'Data Export'!F1878="微型车",'Data Export'!F1878="硬顶跑车",'Data Export'!F1878="敞蓬车",'Data Export'!F1878="Targa"),"轿车",IF(OR('Data Export'!F1878="小型MPV",'Data Export'!F1878="客车"),"MPV",IF('Data Export'!F1878="运动型多功能车","SUV","其他"))))</f>
        <v/>
      </c>
      <c r="K1878" s="62"/>
      <c r="L1878" s="62"/>
      <c r="M1878" s="62"/>
      <c r="N1878" s="62"/>
      <c r="O1878" s="62"/>
      <c r="P1878" s="62"/>
      <c r="Q1878" s="62"/>
    </row>
    <row r="1879" spans="1:17">
      <c r="A1879" s="62"/>
      <c r="B1879" s="62"/>
      <c r="C1879" s="62"/>
      <c r="D1879" s="62"/>
      <c r="E1879" s="62"/>
      <c r="F1879" s="62"/>
      <c r="G1879" s="62"/>
      <c r="H1879" s="62" t="str">
        <f>IF(AND('Data Export'!A1879=前十整体车型排名!$B$2,'Data Export'!B1879=前十整体车型排名!$B$3,'Data Export'!D1879&lt;&gt;""),UPPER('Data Export'!C1879)&amp;"♦"&amp;'Data Export'!D1879,"")</f>
        <v/>
      </c>
      <c r="I1879" s="63" t="str">
        <f>IF(H1879="","",IFERROR(INDEX('Data Export'!G1879:CZ1879,1,MATCH(前十整体车型排名!$B$4,'Data Export'!$G$1:$CZ$1,0)),0))</f>
        <v/>
      </c>
      <c r="J1879" s="62" t="str">
        <f>IF(H1879="","",IF(OR('Data Export'!F1879="三厢轿车",'Data Export'!F1879="掀背轿车",'Data Export'!F1879="旅行车",'Data Export'!F1879="微型车",'Data Export'!F1879="硬顶跑车",'Data Export'!F1879="敞蓬车",'Data Export'!F1879="Targa"),"轿车",IF(OR('Data Export'!F1879="小型MPV",'Data Export'!F1879="客车"),"MPV",IF('Data Export'!F1879="运动型多功能车","SUV","其他"))))</f>
        <v/>
      </c>
      <c r="K1879" s="62"/>
      <c r="L1879" s="62"/>
      <c r="M1879" s="62"/>
      <c r="N1879" s="62"/>
      <c r="O1879" s="62"/>
      <c r="P1879" s="62"/>
      <c r="Q1879" s="62"/>
    </row>
    <row r="1880" spans="1:17">
      <c r="A1880" s="62"/>
      <c r="B1880" s="62"/>
      <c r="C1880" s="62"/>
      <c r="D1880" s="62"/>
      <c r="E1880" s="62"/>
      <c r="F1880" s="62"/>
      <c r="G1880" s="62"/>
      <c r="H1880" s="62" t="str">
        <f>IF(AND('Data Export'!A1880=前十整体车型排名!$B$2,'Data Export'!B1880=前十整体车型排名!$B$3,'Data Export'!D1880&lt;&gt;""),UPPER('Data Export'!C1880)&amp;"♦"&amp;'Data Export'!D1880,"")</f>
        <v/>
      </c>
      <c r="I1880" s="63" t="str">
        <f>IF(H1880="","",IFERROR(INDEX('Data Export'!G1880:CZ1880,1,MATCH(前十整体车型排名!$B$4,'Data Export'!$G$1:$CZ$1,0)),0))</f>
        <v/>
      </c>
      <c r="J1880" s="62" t="str">
        <f>IF(H1880="","",IF(OR('Data Export'!F1880="三厢轿车",'Data Export'!F1880="掀背轿车",'Data Export'!F1880="旅行车",'Data Export'!F1880="微型车",'Data Export'!F1880="硬顶跑车",'Data Export'!F1880="敞蓬车",'Data Export'!F1880="Targa"),"轿车",IF(OR('Data Export'!F1880="小型MPV",'Data Export'!F1880="客车"),"MPV",IF('Data Export'!F1880="运动型多功能车","SUV","其他"))))</f>
        <v/>
      </c>
      <c r="K1880" s="62"/>
      <c r="L1880" s="62"/>
      <c r="M1880" s="62"/>
      <c r="N1880" s="62"/>
      <c r="O1880" s="62"/>
      <c r="P1880" s="62"/>
      <c r="Q1880" s="62"/>
    </row>
    <row r="1881" spans="1:17">
      <c r="A1881" s="62"/>
      <c r="B1881" s="62"/>
      <c r="C1881" s="62"/>
      <c r="D1881" s="62"/>
      <c r="E1881" s="62"/>
      <c r="F1881" s="62"/>
      <c r="G1881" s="62"/>
      <c r="H1881" s="62" t="str">
        <f>IF(AND('Data Export'!A1881=前十整体车型排名!$B$2,'Data Export'!B1881=前十整体车型排名!$B$3,'Data Export'!D1881&lt;&gt;""),UPPER('Data Export'!C1881)&amp;"♦"&amp;'Data Export'!D1881,"")</f>
        <v/>
      </c>
      <c r="I1881" s="63" t="str">
        <f>IF(H1881="","",IFERROR(INDEX('Data Export'!G1881:CZ1881,1,MATCH(前十整体车型排名!$B$4,'Data Export'!$G$1:$CZ$1,0)),0))</f>
        <v/>
      </c>
      <c r="J1881" s="62" t="str">
        <f>IF(H1881="","",IF(OR('Data Export'!F1881="三厢轿车",'Data Export'!F1881="掀背轿车",'Data Export'!F1881="旅行车",'Data Export'!F1881="微型车",'Data Export'!F1881="硬顶跑车",'Data Export'!F1881="敞蓬车",'Data Export'!F1881="Targa"),"轿车",IF(OR('Data Export'!F1881="小型MPV",'Data Export'!F1881="客车"),"MPV",IF('Data Export'!F1881="运动型多功能车","SUV","其他"))))</f>
        <v/>
      </c>
      <c r="K1881" s="62"/>
      <c r="L1881" s="62"/>
      <c r="M1881" s="62"/>
      <c r="N1881" s="62"/>
      <c r="O1881" s="62"/>
      <c r="P1881" s="62"/>
      <c r="Q1881" s="62"/>
    </row>
    <row r="1882" spans="1:17">
      <c r="A1882" s="62"/>
      <c r="B1882" s="62"/>
      <c r="C1882" s="62"/>
      <c r="D1882" s="62"/>
      <c r="E1882" s="62"/>
      <c r="F1882" s="62"/>
      <c r="G1882" s="62"/>
      <c r="H1882" s="62" t="str">
        <f>IF(AND('Data Export'!A1882=前十整体车型排名!$B$2,'Data Export'!B1882=前十整体车型排名!$B$3,'Data Export'!D1882&lt;&gt;""),UPPER('Data Export'!C1882)&amp;"♦"&amp;'Data Export'!D1882,"")</f>
        <v/>
      </c>
      <c r="I1882" s="63" t="str">
        <f>IF(H1882="","",IFERROR(INDEX('Data Export'!G1882:CZ1882,1,MATCH(前十整体车型排名!$B$4,'Data Export'!$G$1:$CZ$1,0)),0))</f>
        <v/>
      </c>
      <c r="J1882" s="62" t="str">
        <f>IF(H1882="","",IF(OR('Data Export'!F1882="三厢轿车",'Data Export'!F1882="掀背轿车",'Data Export'!F1882="旅行车",'Data Export'!F1882="微型车",'Data Export'!F1882="硬顶跑车",'Data Export'!F1882="敞蓬车",'Data Export'!F1882="Targa"),"轿车",IF(OR('Data Export'!F1882="小型MPV",'Data Export'!F1882="客车"),"MPV",IF('Data Export'!F1882="运动型多功能车","SUV","其他"))))</f>
        <v/>
      </c>
      <c r="K1882" s="62"/>
      <c r="L1882" s="62"/>
      <c r="M1882" s="62"/>
      <c r="N1882" s="62"/>
      <c r="O1882" s="62"/>
      <c r="P1882" s="62"/>
      <c r="Q1882" s="62"/>
    </row>
    <row r="1883" spans="1:17">
      <c r="A1883" s="62"/>
      <c r="B1883" s="62"/>
      <c r="C1883" s="62"/>
      <c r="D1883" s="62"/>
      <c r="E1883" s="62"/>
      <c r="F1883" s="62"/>
      <c r="G1883" s="62"/>
      <c r="H1883" s="62" t="str">
        <f>IF(AND('Data Export'!A1883=前十整体车型排名!$B$2,'Data Export'!B1883=前十整体车型排名!$B$3,'Data Export'!D1883&lt;&gt;""),UPPER('Data Export'!C1883)&amp;"♦"&amp;'Data Export'!D1883,"")</f>
        <v/>
      </c>
      <c r="I1883" s="63" t="str">
        <f>IF(H1883="","",IFERROR(INDEX('Data Export'!G1883:CZ1883,1,MATCH(前十整体车型排名!$B$4,'Data Export'!$G$1:$CZ$1,0)),0))</f>
        <v/>
      </c>
      <c r="J1883" s="62" t="str">
        <f>IF(H1883="","",IF(OR('Data Export'!F1883="三厢轿车",'Data Export'!F1883="掀背轿车",'Data Export'!F1883="旅行车",'Data Export'!F1883="微型车",'Data Export'!F1883="硬顶跑车",'Data Export'!F1883="敞蓬车",'Data Export'!F1883="Targa"),"轿车",IF(OR('Data Export'!F1883="小型MPV",'Data Export'!F1883="客车"),"MPV",IF('Data Export'!F1883="运动型多功能车","SUV","其他"))))</f>
        <v/>
      </c>
      <c r="K1883" s="62"/>
      <c r="L1883" s="62"/>
      <c r="M1883" s="62"/>
      <c r="N1883" s="62"/>
      <c r="O1883" s="62"/>
      <c r="P1883" s="62"/>
      <c r="Q1883" s="62"/>
    </row>
    <row r="1884" spans="1:17">
      <c r="A1884" s="62"/>
      <c r="B1884" s="62"/>
      <c r="C1884" s="62"/>
      <c r="D1884" s="62"/>
      <c r="E1884" s="62"/>
      <c r="F1884" s="62"/>
      <c r="G1884" s="62"/>
      <c r="H1884" s="62" t="str">
        <f>IF(AND('Data Export'!A1884=前十整体车型排名!$B$2,'Data Export'!B1884=前十整体车型排名!$B$3,'Data Export'!D1884&lt;&gt;""),UPPER('Data Export'!C1884)&amp;"♦"&amp;'Data Export'!D1884,"")</f>
        <v/>
      </c>
      <c r="I1884" s="63" t="str">
        <f>IF(H1884="","",IFERROR(INDEX('Data Export'!G1884:CZ1884,1,MATCH(前十整体车型排名!$B$4,'Data Export'!$G$1:$CZ$1,0)),0))</f>
        <v/>
      </c>
      <c r="J1884" s="62" t="str">
        <f>IF(H1884="","",IF(OR('Data Export'!F1884="三厢轿车",'Data Export'!F1884="掀背轿车",'Data Export'!F1884="旅行车",'Data Export'!F1884="微型车",'Data Export'!F1884="硬顶跑车",'Data Export'!F1884="敞蓬车",'Data Export'!F1884="Targa"),"轿车",IF(OR('Data Export'!F1884="小型MPV",'Data Export'!F1884="客车"),"MPV",IF('Data Export'!F1884="运动型多功能车","SUV","其他"))))</f>
        <v/>
      </c>
      <c r="K1884" s="62"/>
      <c r="L1884" s="62"/>
      <c r="M1884" s="62"/>
      <c r="N1884" s="62"/>
      <c r="O1884" s="62"/>
      <c r="P1884" s="62"/>
      <c r="Q1884" s="62"/>
    </row>
    <row r="1885" spans="1:17">
      <c r="A1885" s="62"/>
      <c r="B1885" s="62"/>
      <c r="C1885" s="62"/>
      <c r="D1885" s="62"/>
      <c r="E1885" s="62"/>
      <c r="F1885" s="62"/>
      <c r="G1885" s="62"/>
      <c r="H1885" s="62" t="str">
        <f>IF(AND('Data Export'!A1885=前十整体车型排名!$B$2,'Data Export'!B1885=前十整体车型排名!$B$3,'Data Export'!D1885&lt;&gt;""),UPPER('Data Export'!C1885)&amp;"♦"&amp;'Data Export'!D1885,"")</f>
        <v/>
      </c>
      <c r="I1885" s="63" t="str">
        <f>IF(H1885="","",IFERROR(INDEX('Data Export'!G1885:CZ1885,1,MATCH(前十整体车型排名!$B$4,'Data Export'!$G$1:$CZ$1,0)),0))</f>
        <v/>
      </c>
      <c r="J1885" s="62" t="str">
        <f>IF(H1885="","",IF(OR('Data Export'!F1885="三厢轿车",'Data Export'!F1885="掀背轿车",'Data Export'!F1885="旅行车",'Data Export'!F1885="微型车",'Data Export'!F1885="硬顶跑车",'Data Export'!F1885="敞蓬车",'Data Export'!F1885="Targa"),"轿车",IF(OR('Data Export'!F1885="小型MPV",'Data Export'!F1885="客车"),"MPV",IF('Data Export'!F1885="运动型多功能车","SUV","其他"))))</f>
        <v/>
      </c>
      <c r="K1885" s="62"/>
      <c r="L1885" s="62"/>
      <c r="M1885" s="62"/>
      <c r="N1885" s="62"/>
      <c r="O1885" s="62"/>
      <c r="P1885" s="62"/>
      <c r="Q1885" s="62"/>
    </row>
    <row r="1886" spans="1:17">
      <c r="A1886" s="62"/>
      <c r="B1886" s="62"/>
      <c r="C1886" s="62"/>
      <c r="D1886" s="62"/>
      <c r="E1886" s="62"/>
      <c r="F1886" s="62"/>
      <c r="G1886" s="62"/>
      <c r="H1886" s="62" t="str">
        <f>IF(AND('Data Export'!A1886=前十整体车型排名!$B$2,'Data Export'!B1886=前十整体车型排名!$B$3,'Data Export'!D1886&lt;&gt;""),UPPER('Data Export'!C1886)&amp;"♦"&amp;'Data Export'!D1886,"")</f>
        <v/>
      </c>
      <c r="I1886" s="63" t="str">
        <f>IF(H1886="","",IFERROR(INDEX('Data Export'!G1886:CZ1886,1,MATCH(前十整体车型排名!$B$4,'Data Export'!$G$1:$CZ$1,0)),0))</f>
        <v/>
      </c>
      <c r="J1886" s="62" t="str">
        <f>IF(H1886="","",IF(OR('Data Export'!F1886="三厢轿车",'Data Export'!F1886="掀背轿车",'Data Export'!F1886="旅行车",'Data Export'!F1886="微型车",'Data Export'!F1886="硬顶跑车",'Data Export'!F1886="敞蓬车",'Data Export'!F1886="Targa"),"轿车",IF(OR('Data Export'!F1886="小型MPV",'Data Export'!F1886="客车"),"MPV",IF('Data Export'!F1886="运动型多功能车","SUV","其他"))))</f>
        <v/>
      </c>
      <c r="K1886" s="62"/>
      <c r="L1886" s="62"/>
      <c r="M1886" s="62"/>
      <c r="N1886" s="62"/>
      <c r="O1886" s="62"/>
      <c r="P1886" s="62"/>
      <c r="Q1886" s="62"/>
    </row>
    <row r="1887" spans="1:17">
      <c r="A1887" s="62"/>
      <c r="B1887" s="62"/>
      <c r="C1887" s="62"/>
      <c r="D1887" s="62"/>
      <c r="E1887" s="62"/>
      <c r="F1887" s="62"/>
      <c r="G1887" s="62"/>
      <c r="H1887" s="62" t="str">
        <f>IF(AND('Data Export'!A1887=前十整体车型排名!$B$2,'Data Export'!B1887=前十整体车型排名!$B$3,'Data Export'!D1887&lt;&gt;""),UPPER('Data Export'!C1887)&amp;"♦"&amp;'Data Export'!D1887,"")</f>
        <v/>
      </c>
      <c r="I1887" s="63" t="str">
        <f>IF(H1887="","",IFERROR(INDEX('Data Export'!G1887:CZ1887,1,MATCH(前十整体车型排名!$B$4,'Data Export'!$G$1:$CZ$1,0)),0))</f>
        <v/>
      </c>
      <c r="J1887" s="62" t="str">
        <f>IF(H1887="","",IF(OR('Data Export'!F1887="三厢轿车",'Data Export'!F1887="掀背轿车",'Data Export'!F1887="旅行车",'Data Export'!F1887="微型车",'Data Export'!F1887="硬顶跑车",'Data Export'!F1887="敞蓬车",'Data Export'!F1887="Targa"),"轿车",IF(OR('Data Export'!F1887="小型MPV",'Data Export'!F1887="客车"),"MPV",IF('Data Export'!F1887="运动型多功能车","SUV","其他"))))</f>
        <v/>
      </c>
      <c r="K1887" s="62"/>
      <c r="L1887" s="62"/>
      <c r="M1887" s="62"/>
      <c r="N1887" s="62"/>
      <c r="O1887" s="62"/>
      <c r="P1887" s="62"/>
      <c r="Q1887" s="62"/>
    </row>
    <row r="1888" spans="1:17">
      <c r="A1888" s="62"/>
      <c r="B1888" s="62"/>
      <c r="C1888" s="62"/>
      <c r="D1888" s="62"/>
      <c r="E1888" s="62"/>
      <c r="F1888" s="62"/>
      <c r="G1888" s="62"/>
      <c r="H1888" s="62" t="str">
        <f>IF(AND('Data Export'!A1888=前十整体车型排名!$B$2,'Data Export'!B1888=前十整体车型排名!$B$3,'Data Export'!D1888&lt;&gt;""),UPPER('Data Export'!C1888)&amp;"♦"&amp;'Data Export'!D1888,"")</f>
        <v/>
      </c>
      <c r="I1888" s="63" t="str">
        <f>IF(H1888="","",IFERROR(INDEX('Data Export'!G1888:CZ1888,1,MATCH(前十整体车型排名!$B$4,'Data Export'!$G$1:$CZ$1,0)),0))</f>
        <v/>
      </c>
      <c r="J1888" s="62" t="str">
        <f>IF(H1888="","",IF(OR('Data Export'!F1888="三厢轿车",'Data Export'!F1888="掀背轿车",'Data Export'!F1888="旅行车",'Data Export'!F1888="微型车",'Data Export'!F1888="硬顶跑车",'Data Export'!F1888="敞蓬车",'Data Export'!F1888="Targa"),"轿车",IF(OR('Data Export'!F1888="小型MPV",'Data Export'!F1888="客车"),"MPV",IF('Data Export'!F1888="运动型多功能车","SUV","其他"))))</f>
        <v/>
      </c>
      <c r="K1888" s="62"/>
      <c r="L1888" s="62"/>
      <c r="M1888" s="62"/>
      <c r="N1888" s="62"/>
      <c r="O1888" s="62"/>
      <c r="P1888" s="62"/>
      <c r="Q1888" s="62"/>
    </row>
    <row r="1889" spans="1:17">
      <c r="A1889" s="62"/>
      <c r="B1889" s="62"/>
      <c r="C1889" s="62"/>
      <c r="D1889" s="62"/>
      <c r="E1889" s="62"/>
      <c r="F1889" s="62"/>
      <c r="G1889" s="62"/>
      <c r="H1889" s="62" t="str">
        <f>IF(AND('Data Export'!A1889=前十整体车型排名!$B$2,'Data Export'!B1889=前十整体车型排名!$B$3,'Data Export'!D1889&lt;&gt;""),UPPER('Data Export'!C1889)&amp;"♦"&amp;'Data Export'!D1889,"")</f>
        <v/>
      </c>
      <c r="I1889" s="63" t="str">
        <f>IF(H1889="","",IFERROR(INDEX('Data Export'!G1889:CZ1889,1,MATCH(前十整体车型排名!$B$4,'Data Export'!$G$1:$CZ$1,0)),0))</f>
        <v/>
      </c>
      <c r="J1889" s="62" t="str">
        <f>IF(H1889="","",IF(OR('Data Export'!F1889="三厢轿车",'Data Export'!F1889="掀背轿车",'Data Export'!F1889="旅行车",'Data Export'!F1889="微型车",'Data Export'!F1889="硬顶跑车",'Data Export'!F1889="敞蓬车",'Data Export'!F1889="Targa"),"轿车",IF(OR('Data Export'!F1889="小型MPV",'Data Export'!F1889="客车"),"MPV",IF('Data Export'!F1889="运动型多功能车","SUV","其他"))))</f>
        <v/>
      </c>
      <c r="K1889" s="62"/>
      <c r="L1889" s="62"/>
      <c r="M1889" s="62"/>
      <c r="N1889" s="62"/>
      <c r="O1889" s="62"/>
      <c r="P1889" s="62"/>
      <c r="Q1889" s="62"/>
    </row>
    <row r="1890" spans="1:17">
      <c r="A1890" s="62"/>
      <c r="B1890" s="62"/>
      <c r="C1890" s="62"/>
      <c r="D1890" s="62"/>
      <c r="E1890" s="62"/>
      <c r="F1890" s="62"/>
      <c r="G1890" s="62"/>
      <c r="H1890" s="62" t="str">
        <f>IF(AND('Data Export'!A1890=前十整体车型排名!$B$2,'Data Export'!B1890=前十整体车型排名!$B$3,'Data Export'!D1890&lt;&gt;""),UPPER('Data Export'!C1890)&amp;"♦"&amp;'Data Export'!D1890,"")</f>
        <v/>
      </c>
      <c r="I1890" s="63" t="str">
        <f>IF(H1890="","",IFERROR(INDEX('Data Export'!G1890:CZ1890,1,MATCH(前十整体车型排名!$B$4,'Data Export'!$G$1:$CZ$1,0)),0))</f>
        <v/>
      </c>
      <c r="J1890" s="62" t="str">
        <f>IF(H1890="","",IF(OR('Data Export'!F1890="三厢轿车",'Data Export'!F1890="掀背轿车",'Data Export'!F1890="旅行车",'Data Export'!F1890="微型车",'Data Export'!F1890="硬顶跑车",'Data Export'!F1890="敞蓬车",'Data Export'!F1890="Targa"),"轿车",IF(OR('Data Export'!F1890="小型MPV",'Data Export'!F1890="客车"),"MPV",IF('Data Export'!F1890="运动型多功能车","SUV","其他"))))</f>
        <v/>
      </c>
      <c r="K1890" s="62"/>
      <c r="L1890" s="62"/>
      <c r="M1890" s="62"/>
      <c r="N1890" s="62"/>
      <c r="O1890" s="62"/>
      <c r="P1890" s="62"/>
      <c r="Q1890" s="62"/>
    </row>
    <row r="1891" spans="1:17">
      <c r="A1891" s="62"/>
      <c r="B1891" s="62"/>
      <c r="C1891" s="62"/>
      <c r="D1891" s="62"/>
      <c r="E1891" s="62"/>
      <c r="F1891" s="62"/>
      <c r="G1891" s="62"/>
      <c r="H1891" s="62" t="str">
        <f>IF(AND('Data Export'!A1891=前十整体车型排名!$B$2,'Data Export'!B1891=前十整体车型排名!$B$3,'Data Export'!D1891&lt;&gt;""),UPPER('Data Export'!C1891)&amp;"♦"&amp;'Data Export'!D1891,"")</f>
        <v/>
      </c>
      <c r="I1891" s="63" t="str">
        <f>IF(H1891="","",IFERROR(INDEX('Data Export'!G1891:CZ1891,1,MATCH(前十整体车型排名!$B$4,'Data Export'!$G$1:$CZ$1,0)),0))</f>
        <v/>
      </c>
      <c r="J1891" s="62" t="str">
        <f>IF(H1891="","",IF(OR('Data Export'!F1891="三厢轿车",'Data Export'!F1891="掀背轿车",'Data Export'!F1891="旅行车",'Data Export'!F1891="微型车",'Data Export'!F1891="硬顶跑车",'Data Export'!F1891="敞蓬车",'Data Export'!F1891="Targa"),"轿车",IF(OR('Data Export'!F1891="小型MPV",'Data Export'!F1891="客车"),"MPV",IF('Data Export'!F1891="运动型多功能车","SUV","其他"))))</f>
        <v/>
      </c>
      <c r="K1891" s="62"/>
      <c r="L1891" s="62"/>
      <c r="M1891" s="62"/>
      <c r="N1891" s="62"/>
      <c r="O1891" s="62"/>
      <c r="P1891" s="62"/>
      <c r="Q1891" s="62"/>
    </row>
    <row r="1892" spans="1:17">
      <c r="A1892" s="62"/>
      <c r="B1892" s="62"/>
      <c r="C1892" s="62"/>
      <c r="D1892" s="62"/>
      <c r="E1892" s="62"/>
      <c r="F1892" s="62"/>
      <c r="G1892" s="62"/>
      <c r="H1892" s="62" t="str">
        <f>IF(AND('Data Export'!A1892=前十整体车型排名!$B$2,'Data Export'!B1892=前十整体车型排名!$B$3,'Data Export'!D1892&lt;&gt;""),UPPER('Data Export'!C1892)&amp;"♦"&amp;'Data Export'!D1892,"")</f>
        <v/>
      </c>
      <c r="I1892" s="63" t="str">
        <f>IF(H1892="","",IFERROR(INDEX('Data Export'!G1892:CZ1892,1,MATCH(前十整体车型排名!$B$4,'Data Export'!$G$1:$CZ$1,0)),0))</f>
        <v/>
      </c>
      <c r="J1892" s="62" t="str">
        <f>IF(H1892="","",IF(OR('Data Export'!F1892="三厢轿车",'Data Export'!F1892="掀背轿车",'Data Export'!F1892="旅行车",'Data Export'!F1892="微型车",'Data Export'!F1892="硬顶跑车",'Data Export'!F1892="敞蓬车",'Data Export'!F1892="Targa"),"轿车",IF(OR('Data Export'!F1892="小型MPV",'Data Export'!F1892="客车"),"MPV",IF('Data Export'!F1892="运动型多功能车","SUV","其他"))))</f>
        <v/>
      </c>
      <c r="K1892" s="62"/>
      <c r="L1892" s="62"/>
      <c r="M1892" s="62"/>
      <c r="N1892" s="62"/>
      <c r="O1892" s="62"/>
      <c r="P1892" s="62"/>
      <c r="Q1892" s="62"/>
    </row>
    <row r="1893" spans="1:17">
      <c r="A1893" s="62"/>
      <c r="B1893" s="62"/>
      <c r="C1893" s="62"/>
      <c r="D1893" s="62"/>
      <c r="E1893" s="62"/>
      <c r="F1893" s="62"/>
      <c r="G1893" s="62"/>
      <c r="H1893" s="62" t="str">
        <f>IF(AND('Data Export'!A1893=前十整体车型排名!$B$2,'Data Export'!B1893=前十整体车型排名!$B$3,'Data Export'!D1893&lt;&gt;""),UPPER('Data Export'!C1893)&amp;"♦"&amp;'Data Export'!D1893,"")</f>
        <v/>
      </c>
      <c r="I1893" s="63" t="str">
        <f>IF(H1893="","",IFERROR(INDEX('Data Export'!G1893:CZ1893,1,MATCH(前十整体车型排名!$B$4,'Data Export'!$G$1:$CZ$1,0)),0))</f>
        <v/>
      </c>
      <c r="J1893" s="62" t="str">
        <f>IF(H1893="","",IF(OR('Data Export'!F1893="三厢轿车",'Data Export'!F1893="掀背轿车",'Data Export'!F1893="旅行车",'Data Export'!F1893="微型车",'Data Export'!F1893="硬顶跑车",'Data Export'!F1893="敞蓬车",'Data Export'!F1893="Targa"),"轿车",IF(OR('Data Export'!F1893="小型MPV",'Data Export'!F1893="客车"),"MPV",IF('Data Export'!F1893="运动型多功能车","SUV","其他"))))</f>
        <v/>
      </c>
      <c r="K1893" s="62"/>
      <c r="L1893" s="62"/>
      <c r="M1893" s="62"/>
      <c r="N1893" s="62"/>
      <c r="O1893" s="62"/>
      <c r="P1893" s="62"/>
      <c r="Q1893" s="62"/>
    </row>
    <row r="1894" spans="1:17">
      <c r="A1894" s="62"/>
      <c r="B1894" s="62"/>
      <c r="C1894" s="62"/>
      <c r="D1894" s="62"/>
      <c r="E1894" s="62"/>
      <c r="F1894" s="62"/>
      <c r="G1894" s="62"/>
      <c r="H1894" s="62" t="str">
        <f>IF(AND('Data Export'!A1894=前十整体车型排名!$B$2,'Data Export'!B1894=前十整体车型排名!$B$3,'Data Export'!D1894&lt;&gt;""),UPPER('Data Export'!C1894)&amp;"♦"&amp;'Data Export'!D1894,"")</f>
        <v/>
      </c>
      <c r="I1894" s="63" t="str">
        <f>IF(H1894="","",IFERROR(INDEX('Data Export'!G1894:CZ1894,1,MATCH(前十整体车型排名!$B$4,'Data Export'!$G$1:$CZ$1,0)),0))</f>
        <v/>
      </c>
      <c r="J1894" s="62" t="str">
        <f>IF(H1894="","",IF(OR('Data Export'!F1894="三厢轿车",'Data Export'!F1894="掀背轿车",'Data Export'!F1894="旅行车",'Data Export'!F1894="微型车",'Data Export'!F1894="硬顶跑车",'Data Export'!F1894="敞蓬车",'Data Export'!F1894="Targa"),"轿车",IF(OR('Data Export'!F1894="小型MPV",'Data Export'!F1894="客车"),"MPV",IF('Data Export'!F1894="运动型多功能车","SUV","其他"))))</f>
        <v/>
      </c>
      <c r="K1894" s="62"/>
      <c r="L1894" s="62"/>
      <c r="M1894" s="62"/>
      <c r="N1894" s="62"/>
      <c r="O1894" s="62"/>
      <c r="P1894" s="62"/>
      <c r="Q1894" s="62"/>
    </row>
    <row r="1895" spans="1:17">
      <c r="A1895" s="62"/>
      <c r="B1895" s="62"/>
      <c r="C1895" s="62"/>
      <c r="D1895" s="62"/>
      <c r="E1895" s="62"/>
      <c r="F1895" s="62"/>
      <c r="G1895" s="62"/>
      <c r="H1895" s="62" t="str">
        <f>IF(AND('Data Export'!A1895=前十整体车型排名!$B$2,'Data Export'!B1895=前十整体车型排名!$B$3,'Data Export'!D1895&lt;&gt;""),UPPER('Data Export'!C1895)&amp;"♦"&amp;'Data Export'!D1895,"")</f>
        <v/>
      </c>
      <c r="I1895" s="63" t="str">
        <f>IF(H1895="","",IFERROR(INDEX('Data Export'!G1895:CZ1895,1,MATCH(前十整体车型排名!$B$4,'Data Export'!$G$1:$CZ$1,0)),0))</f>
        <v/>
      </c>
      <c r="J1895" s="62" t="str">
        <f>IF(H1895="","",IF(OR('Data Export'!F1895="三厢轿车",'Data Export'!F1895="掀背轿车",'Data Export'!F1895="旅行车",'Data Export'!F1895="微型车",'Data Export'!F1895="硬顶跑车",'Data Export'!F1895="敞蓬车",'Data Export'!F1895="Targa"),"轿车",IF(OR('Data Export'!F1895="小型MPV",'Data Export'!F1895="客车"),"MPV",IF('Data Export'!F1895="运动型多功能车","SUV","其他"))))</f>
        <v/>
      </c>
      <c r="K1895" s="62"/>
      <c r="L1895" s="62"/>
      <c r="M1895" s="62"/>
      <c r="N1895" s="62"/>
      <c r="O1895" s="62"/>
      <c r="P1895" s="62"/>
      <c r="Q1895" s="62"/>
    </row>
    <row r="1896" spans="1:17">
      <c r="A1896" s="62"/>
      <c r="B1896" s="62"/>
      <c r="C1896" s="62"/>
      <c r="D1896" s="62"/>
      <c r="E1896" s="62"/>
      <c r="F1896" s="62"/>
      <c r="G1896" s="62"/>
      <c r="H1896" s="62" t="str">
        <f>IF(AND('Data Export'!A1896=前十整体车型排名!$B$2,'Data Export'!B1896=前十整体车型排名!$B$3,'Data Export'!D1896&lt;&gt;""),UPPER('Data Export'!C1896)&amp;"♦"&amp;'Data Export'!D1896,"")</f>
        <v/>
      </c>
      <c r="I1896" s="63" t="str">
        <f>IF(H1896="","",IFERROR(INDEX('Data Export'!G1896:CZ1896,1,MATCH(前十整体车型排名!$B$4,'Data Export'!$G$1:$CZ$1,0)),0))</f>
        <v/>
      </c>
      <c r="J1896" s="62" t="str">
        <f>IF(H1896="","",IF(OR('Data Export'!F1896="三厢轿车",'Data Export'!F1896="掀背轿车",'Data Export'!F1896="旅行车",'Data Export'!F1896="微型车",'Data Export'!F1896="硬顶跑车",'Data Export'!F1896="敞蓬车",'Data Export'!F1896="Targa"),"轿车",IF(OR('Data Export'!F1896="小型MPV",'Data Export'!F1896="客车"),"MPV",IF('Data Export'!F1896="运动型多功能车","SUV","其他"))))</f>
        <v/>
      </c>
      <c r="K1896" s="62"/>
      <c r="L1896" s="62"/>
      <c r="M1896" s="62"/>
      <c r="N1896" s="62"/>
      <c r="O1896" s="62"/>
      <c r="P1896" s="62"/>
      <c r="Q1896" s="62"/>
    </row>
    <row r="1897" spans="1:17">
      <c r="A1897" s="62"/>
      <c r="B1897" s="62"/>
      <c r="C1897" s="62"/>
      <c r="D1897" s="62"/>
      <c r="E1897" s="62"/>
      <c r="F1897" s="62"/>
      <c r="G1897" s="62"/>
      <c r="H1897" s="62" t="str">
        <f>IF(AND('Data Export'!A1897=前十整体车型排名!$B$2,'Data Export'!B1897=前十整体车型排名!$B$3,'Data Export'!D1897&lt;&gt;""),UPPER('Data Export'!C1897)&amp;"♦"&amp;'Data Export'!D1897,"")</f>
        <v/>
      </c>
      <c r="I1897" s="63" t="str">
        <f>IF(H1897="","",IFERROR(INDEX('Data Export'!G1897:CZ1897,1,MATCH(前十整体车型排名!$B$4,'Data Export'!$G$1:$CZ$1,0)),0))</f>
        <v/>
      </c>
      <c r="J1897" s="62" t="str">
        <f>IF(H1897="","",IF(OR('Data Export'!F1897="三厢轿车",'Data Export'!F1897="掀背轿车",'Data Export'!F1897="旅行车",'Data Export'!F1897="微型车",'Data Export'!F1897="硬顶跑车",'Data Export'!F1897="敞蓬车",'Data Export'!F1897="Targa"),"轿车",IF(OR('Data Export'!F1897="小型MPV",'Data Export'!F1897="客车"),"MPV",IF('Data Export'!F1897="运动型多功能车","SUV","其他"))))</f>
        <v/>
      </c>
      <c r="K1897" s="62"/>
      <c r="L1897" s="62"/>
      <c r="M1897" s="62"/>
      <c r="N1897" s="62"/>
      <c r="O1897" s="62"/>
      <c r="P1897" s="62"/>
      <c r="Q1897" s="62"/>
    </row>
    <row r="1898" spans="1:17">
      <c r="A1898" s="62"/>
      <c r="B1898" s="62"/>
      <c r="C1898" s="62"/>
      <c r="D1898" s="62"/>
      <c r="E1898" s="62"/>
      <c r="F1898" s="62"/>
      <c r="G1898" s="62"/>
      <c r="H1898" s="62" t="str">
        <f>IF(AND('Data Export'!A1898=前十整体车型排名!$B$2,'Data Export'!B1898=前十整体车型排名!$B$3,'Data Export'!D1898&lt;&gt;""),UPPER('Data Export'!C1898)&amp;"♦"&amp;'Data Export'!D1898,"")</f>
        <v/>
      </c>
      <c r="I1898" s="63" t="str">
        <f>IF(H1898="","",IFERROR(INDEX('Data Export'!G1898:CZ1898,1,MATCH(前十整体车型排名!$B$4,'Data Export'!$G$1:$CZ$1,0)),0))</f>
        <v/>
      </c>
      <c r="J1898" s="62" t="str">
        <f>IF(H1898="","",IF(OR('Data Export'!F1898="三厢轿车",'Data Export'!F1898="掀背轿车",'Data Export'!F1898="旅行车",'Data Export'!F1898="微型车",'Data Export'!F1898="硬顶跑车",'Data Export'!F1898="敞蓬车",'Data Export'!F1898="Targa"),"轿车",IF(OR('Data Export'!F1898="小型MPV",'Data Export'!F1898="客车"),"MPV",IF('Data Export'!F1898="运动型多功能车","SUV","其他"))))</f>
        <v/>
      </c>
      <c r="K1898" s="62"/>
      <c r="L1898" s="62"/>
      <c r="M1898" s="62"/>
      <c r="N1898" s="62"/>
      <c r="O1898" s="62"/>
      <c r="P1898" s="62"/>
      <c r="Q1898" s="62"/>
    </row>
    <row r="1899" spans="1:17">
      <c r="A1899" s="62"/>
      <c r="B1899" s="62"/>
      <c r="C1899" s="62"/>
      <c r="D1899" s="62"/>
      <c r="E1899" s="62"/>
      <c r="F1899" s="62"/>
      <c r="G1899" s="62"/>
      <c r="H1899" s="62" t="str">
        <f>IF(AND('Data Export'!A1899=前十整体车型排名!$B$2,'Data Export'!B1899=前十整体车型排名!$B$3,'Data Export'!D1899&lt;&gt;""),UPPER('Data Export'!C1899)&amp;"♦"&amp;'Data Export'!D1899,"")</f>
        <v/>
      </c>
      <c r="I1899" s="63" t="str">
        <f>IF(H1899="","",IFERROR(INDEX('Data Export'!G1899:CZ1899,1,MATCH(前十整体车型排名!$B$4,'Data Export'!$G$1:$CZ$1,0)),0))</f>
        <v/>
      </c>
      <c r="J1899" s="62" t="str">
        <f>IF(H1899="","",IF(OR('Data Export'!F1899="三厢轿车",'Data Export'!F1899="掀背轿车",'Data Export'!F1899="旅行车",'Data Export'!F1899="微型车",'Data Export'!F1899="硬顶跑车",'Data Export'!F1899="敞蓬车",'Data Export'!F1899="Targa"),"轿车",IF(OR('Data Export'!F1899="小型MPV",'Data Export'!F1899="客车"),"MPV",IF('Data Export'!F1899="运动型多功能车","SUV","其他"))))</f>
        <v/>
      </c>
      <c r="K1899" s="62"/>
      <c r="L1899" s="62"/>
      <c r="M1899" s="62"/>
      <c r="N1899" s="62"/>
      <c r="O1899" s="62"/>
      <c r="P1899" s="62"/>
      <c r="Q1899" s="62"/>
    </row>
    <row r="1900" spans="1:17">
      <c r="A1900" s="62"/>
      <c r="B1900" s="62"/>
      <c r="C1900" s="62"/>
      <c r="D1900" s="62"/>
      <c r="E1900" s="62"/>
      <c r="F1900" s="62"/>
      <c r="G1900" s="62"/>
      <c r="H1900" s="62" t="str">
        <f>IF(AND('Data Export'!A1900=前十整体车型排名!$B$2,'Data Export'!B1900=前十整体车型排名!$B$3,'Data Export'!D1900&lt;&gt;""),UPPER('Data Export'!C1900)&amp;"♦"&amp;'Data Export'!D1900,"")</f>
        <v/>
      </c>
      <c r="I1900" s="63" t="str">
        <f>IF(H1900="","",IFERROR(INDEX('Data Export'!G1900:CZ1900,1,MATCH(前十整体车型排名!$B$4,'Data Export'!$G$1:$CZ$1,0)),0))</f>
        <v/>
      </c>
      <c r="J1900" s="62" t="str">
        <f>IF(H1900="","",IF(OR('Data Export'!F1900="三厢轿车",'Data Export'!F1900="掀背轿车",'Data Export'!F1900="旅行车",'Data Export'!F1900="微型车",'Data Export'!F1900="硬顶跑车",'Data Export'!F1900="敞蓬车",'Data Export'!F1900="Targa"),"轿车",IF(OR('Data Export'!F1900="小型MPV",'Data Export'!F1900="客车"),"MPV",IF('Data Export'!F1900="运动型多功能车","SUV","其他"))))</f>
        <v/>
      </c>
      <c r="K1900" s="62"/>
      <c r="L1900" s="62"/>
      <c r="M1900" s="62"/>
      <c r="N1900" s="62"/>
      <c r="O1900" s="62"/>
      <c r="P1900" s="62"/>
      <c r="Q1900" s="62"/>
    </row>
    <row r="1901" spans="1:17">
      <c r="A1901" s="62"/>
      <c r="B1901" s="62"/>
      <c r="C1901" s="62"/>
      <c r="D1901" s="62"/>
      <c r="E1901" s="62"/>
      <c r="F1901" s="62"/>
      <c r="G1901" s="62"/>
      <c r="H1901" s="62" t="str">
        <f>IF(AND('Data Export'!A1901=前十整体车型排名!$B$2,'Data Export'!B1901=前十整体车型排名!$B$3,'Data Export'!D1901&lt;&gt;""),UPPER('Data Export'!C1901)&amp;"♦"&amp;'Data Export'!D1901,"")</f>
        <v/>
      </c>
      <c r="I1901" s="63" t="str">
        <f>IF(H1901="","",IFERROR(INDEX('Data Export'!G1901:CZ1901,1,MATCH(前十整体车型排名!$B$4,'Data Export'!$G$1:$CZ$1,0)),0))</f>
        <v/>
      </c>
      <c r="J1901" s="62" t="str">
        <f>IF(H1901="","",IF(OR('Data Export'!F1901="三厢轿车",'Data Export'!F1901="掀背轿车",'Data Export'!F1901="旅行车",'Data Export'!F1901="微型车",'Data Export'!F1901="硬顶跑车",'Data Export'!F1901="敞蓬车",'Data Export'!F1901="Targa"),"轿车",IF(OR('Data Export'!F1901="小型MPV",'Data Export'!F1901="客车"),"MPV",IF('Data Export'!F1901="运动型多功能车","SUV","其他"))))</f>
        <v/>
      </c>
      <c r="K1901" s="62"/>
      <c r="L1901" s="62"/>
      <c r="M1901" s="62"/>
      <c r="N1901" s="62"/>
      <c r="O1901" s="62"/>
      <c r="P1901" s="62"/>
      <c r="Q1901" s="62"/>
    </row>
    <row r="1902" spans="1:17">
      <c r="A1902" s="62"/>
      <c r="B1902" s="62"/>
      <c r="C1902" s="62"/>
      <c r="D1902" s="62"/>
      <c r="E1902" s="62"/>
      <c r="F1902" s="62"/>
      <c r="G1902" s="62"/>
      <c r="H1902" s="62" t="str">
        <f>IF(AND('Data Export'!A1902=前十整体车型排名!$B$2,'Data Export'!B1902=前十整体车型排名!$B$3,'Data Export'!D1902&lt;&gt;""),UPPER('Data Export'!C1902)&amp;"♦"&amp;'Data Export'!D1902,"")</f>
        <v/>
      </c>
      <c r="I1902" s="63" t="str">
        <f>IF(H1902="","",IFERROR(INDEX('Data Export'!G1902:CZ1902,1,MATCH(前十整体车型排名!$B$4,'Data Export'!$G$1:$CZ$1,0)),0))</f>
        <v/>
      </c>
      <c r="J1902" s="62" t="str">
        <f>IF(H1902="","",IF(OR('Data Export'!F1902="三厢轿车",'Data Export'!F1902="掀背轿车",'Data Export'!F1902="旅行车",'Data Export'!F1902="微型车",'Data Export'!F1902="硬顶跑车",'Data Export'!F1902="敞蓬车",'Data Export'!F1902="Targa"),"轿车",IF(OR('Data Export'!F1902="小型MPV",'Data Export'!F1902="客车"),"MPV",IF('Data Export'!F1902="运动型多功能车","SUV","其他"))))</f>
        <v/>
      </c>
      <c r="K1902" s="62"/>
      <c r="L1902" s="62"/>
      <c r="M1902" s="62"/>
      <c r="N1902" s="62"/>
      <c r="O1902" s="62"/>
      <c r="P1902" s="62"/>
      <c r="Q1902" s="62"/>
    </row>
    <row r="1903" spans="1:17">
      <c r="A1903" s="62"/>
      <c r="B1903" s="62"/>
      <c r="C1903" s="62"/>
      <c r="D1903" s="62"/>
      <c r="E1903" s="62"/>
      <c r="F1903" s="62"/>
      <c r="G1903" s="62"/>
      <c r="H1903" s="62" t="str">
        <f>IF(AND('Data Export'!A1903=前十整体车型排名!$B$2,'Data Export'!B1903=前十整体车型排名!$B$3,'Data Export'!D1903&lt;&gt;""),UPPER('Data Export'!C1903)&amp;"♦"&amp;'Data Export'!D1903,"")</f>
        <v/>
      </c>
      <c r="I1903" s="63" t="str">
        <f>IF(H1903="","",IFERROR(INDEX('Data Export'!G1903:CZ1903,1,MATCH(前十整体车型排名!$B$4,'Data Export'!$G$1:$CZ$1,0)),0))</f>
        <v/>
      </c>
      <c r="J1903" s="62" t="str">
        <f>IF(H1903="","",IF(OR('Data Export'!F1903="三厢轿车",'Data Export'!F1903="掀背轿车",'Data Export'!F1903="旅行车",'Data Export'!F1903="微型车",'Data Export'!F1903="硬顶跑车",'Data Export'!F1903="敞蓬车",'Data Export'!F1903="Targa"),"轿车",IF(OR('Data Export'!F1903="小型MPV",'Data Export'!F1903="客车"),"MPV",IF('Data Export'!F1903="运动型多功能车","SUV","其他"))))</f>
        <v/>
      </c>
      <c r="K1903" s="62"/>
      <c r="L1903" s="62"/>
      <c r="M1903" s="62"/>
      <c r="N1903" s="62"/>
      <c r="O1903" s="62"/>
      <c r="P1903" s="62"/>
      <c r="Q1903" s="62"/>
    </row>
    <row r="1904" spans="1:17">
      <c r="A1904" s="62"/>
      <c r="B1904" s="62"/>
      <c r="C1904" s="62"/>
      <c r="D1904" s="62"/>
      <c r="E1904" s="62"/>
      <c r="F1904" s="62"/>
      <c r="G1904" s="62"/>
      <c r="H1904" s="62" t="str">
        <f>IF(AND('Data Export'!A1904=前十整体车型排名!$B$2,'Data Export'!B1904=前十整体车型排名!$B$3,'Data Export'!D1904&lt;&gt;""),UPPER('Data Export'!C1904)&amp;"♦"&amp;'Data Export'!D1904,"")</f>
        <v/>
      </c>
      <c r="I1904" s="63" t="str">
        <f>IF(H1904="","",IFERROR(INDEX('Data Export'!G1904:CZ1904,1,MATCH(前十整体车型排名!$B$4,'Data Export'!$G$1:$CZ$1,0)),0))</f>
        <v/>
      </c>
      <c r="J1904" s="62" t="str">
        <f>IF(H1904="","",IF(OR('Data Export'!F1904="三厢轿车",'Data Export'!F1904="掀背轿车",'Data Export'!F1904="旅行车",'Data Export'!F1904="微型车",'Data Export'!F1904="硬顶跑车",'Data Export'!F1904="敞蓬车",'Data Export'!F1904="Targa"),"轿车",IF(OR('Data Export'!F1904="小型MPV",'Data Export'!F1904="客车"),"MPV",IF('Data Export'!F1904="运动型多功能车","SUV","其他"))))</f>
        <v/>
      </c>
      <c r="K1904" s="62"/>
      <c r="L1904" s="62"/>
      <c r="M1904" s="62"/>
      <c r="N1904" s="62"/>
      <c r="O1904" s="62"/>
      <c r="P1904" s="62"/>
      <c r="Q1904" s="62"/>
    </row>
    <row r="1905" spans="1:17">
      <c r="A1905" s="62"/>
      <c r="B1905" s="62"/>
      <c r="C1905" s="62"/>
      <c r="D1905" s="62"/>
      <c r="E1905" s="62"/>
      <c r="F1905" s="62"/>
      <c r="G1905" s="62"/>
      <c r="H1905" s="62" t="str">
        <f>IF(AND('Data Export'!A1905=前十整体车型排名!$B$2,'Data Export'!B1905=前十整体车型排名!$B$3,'Data Export'!D1905&lt;&gt;""),UPPER('Data Export'!C1905)&amp;"♦"&amp;'Data Export'!D1905,"")</f>
        <v/>
      </c>
      <c r="I1905" s="63" t="str">
        <f>IF(H1905="","",IFERROR(INDEX('Data Export'!G1905:CZ1905,1,MATCH(前十整体车型排名!$B$4,'Data Export'!$G$1:$CZ$1,0)),0))</f>
        <v/>
      </c>
      <c r="J1905" s="62" t="str">
        <f>IF(H1905="","",IF(OR('Data Export'!F1905="三厢轿车",'Data Export'!F1905="掀背轿车",'Data Export'!F1905="旅行车",'Data Export'!F1905="微型车",'Data Export'!F1905="硬顶跑车",'Data Export'!F1905="敞蓬车",'Data Export'!F1905="Targa"),"轿车",IF(OR('Data Export'!F1905="小型MPV",'Data Export'!F1905="客车"),"MPV",IF('Data Export'!F1905="运动型多功能车","SUV","其他"))))</f>
        <v/>
      </c>
      <c r="K1905" s="62"/>
      <c r="L1905" s="62"/>
      <c r="M1905" s="62"/>
      <c r="N1905" s="62"/>
      <c r="O1905" s="62"/>
      <c r="P1905" s="62"/>
      <c r="Q1905" s="62"/>
    </row>
    <row r="1906" spans="1:17">
      <c r="A1906" s="62"/>
      <c r="B1906" s="62"/>
      <c r="C1906" s="62"/>
      <c r="D1906" s="62"/>
      <c r="E1906" s="62"/>
      <c r="F1906" s="62"/>
      <c r="G1906" s="62"/>
      <c r="H1906" s="62" t="str">
        <f>IF(AND('Data Export'!A1906=前十整体车型排名!$B$2,'Data Export'!B1906=前十整体车型排名!$B$3,'Data Export'!D1906&lt;&gt;""),UPPER('Data Export'!C1906)&amp;"♦"&amp;'Data Export'!D1906,"")</f>
        <v/>
      </c>
      <c r="I1906" s="63" t="str">
        <f>IF(H1906="","",IFERROR(INDEX('Data Export'!G1906:CZ1906,1,MATCH(前十整体车型排名!$B$4,'Data Export'!$G$1:$CZ$1,0)),0))</f>
        <v/>
      </c>
      <c r="J1906" s="62" t="str">
        <f>IF(H1906="","",IF(OR('Data Export'!F1906="三厢轿车",'Data Export'!F1906="掀背轿车",'Data Export'!F1906="旅行车",'Data Export'!F1906="微型车",'Data Export'!F1906="硬顶跑车",'Data Export'!F1906="敞蓬车",'Data Export'!F1906="Targa"),"轿车",IF(OR('Data Export'!F1906="小型MPV",'Data Export'!F1906="客车"),"MPV",IF('Data Export'!F1906="运动型多功能车","SUV","其他"))))</f>
        <v/>
      </c>
      <c r="K1906" s="62"/>
      <c r="L1906" s="62"/>
      <c r="M1906" s="62"/>
      <c r="N1906" s="62"/>
      <c r="O1906" s="62"/>
      <c r="P1906" s="62"/>
      <c r="Q1906" s="62"/>
    </row>
    <row r="1907" spans="1:17">
      <c r="A1907" s="62"/>
      <c r="B1907" s="62"/>
      <c r="C1907" s="62"/>
      <c r="D1907" s="62"/>
      <c r="E1907" s="62"/>
      <c r="F1907" s="62"/>
      <c r="G1907" s="62"/>
      <c r="H1907" s="62" t="str">
        <f>IF(AND('Data Export'!A1907=前十整体车型排名!$B$2,'Data Export'!B1907=前十整体车型排名!$B$3,'Data Export'!D1907&lt;&gt;""),UPPER('Data Export'!C1907)&amp;"♦"&amp;'Data Export'!D1907,"")</f>
        <v/>
      </c>
      <c r="I1907" s="63" t="str">
        <f>IF(H1907="","",IFERROR(INDEX('Data Export'!G1907:CZ1907,1,MATCH(前十整体车型排名!$B$4,'Data Export'!$G$1:$CZ$1,0)),0))</f>
        <v/>
      </c>
      <c r="J1907" s="62" t="str">
        <f>IF(H1907="","",IF(OR('Data Export'!F1907="三厢轿车",'Data Export'!F1907="掀背轿车",'Data Export'!F1907="旅行车",'Data Export'!F1907="微型车",'Data Export'!F1907="硬顶跑车",'Data Export'!F1907="敞蓬车",'Data Export'!F1907="Targa"),"轿车",IF(OR('Data Export'!F1907="小型MPV",'Data Export'!F1907="客车"),"MPV",IF('Data Export'!F1907="运动型多功能车","SUV","其他"))))</f>
        <v/>
      </c>
      <c r="K1907" s="62"/>
      <c r="L1907" s="62"/>
      <c r="M1907" s="62"/>
      <c r="N1907" s="62"/>
      <c r="O1907" s="62"/>
      <c r="P1907" s="62"/>
      <c r="Q1907" s="62"/>
    </row>
    <row r="1908" spans="1:17">
      <c r="A1908" s="62"/>
      <c r="B1908" s="62"/>
      <c r="C1908" s="62"/>
      <c r="D1908" s="62"/>
      <c r="E1908" s="62"/>
      <c r="F1908" s="62"/>
      <c r="G1908" s="62"/>
      <c r="H1908" s="62" t="str">
        <f>IF(AND('Data Export'!A1908=前十整体车型排名!$B$2,'Data Export'!B1908=前十整体车型排名!$B$3,'Data Export'!D1908&lt;&gt;""),UPPER('Data Export'!C1908)&amp;"♦"&amp;'Data Export'!D1908,"")</f>
        <v/>
      </c>
      <c r="I1908" s="63" t="str">
        <f>IF(H1908="","",IFERROR(INDEX('Data Export'!G1908:CZ1908,1,MATCH(前十整体车型排名!$B$4,'Data Export'!$G$1:$CZ$1,0)),0))</f>
        <v/>
      </c>
      <c r="J1908" s="62" t="str">
        <f>IF(H1908="","",IF(OR('Data Export'!F1908="三厢轿车",'Data Export'!F1908="掀背轿车",'Data Export'!F1908="旅行车",'Data Export'!F1908="微型车",'Data Export'!F1908="硬顶跑车",'Data Export'!F1908="敞蓬车",'Data Export'!F1908="Targa"),"轿车",IF(OR('Data Export'!F1908="小型MPV",'Data Export'!F1908="客车"),"MPV",IF('Data Export'!F1908="运动型多功能车","SUV","其他"))))</f>
        <v/>
      </c>
      <c r="K1908" s="62"/>
      <c r="L1908" s="62"/>
      <c r="M1908" s="62"/>
      <c r="N1908" s="62"/>
      <c r="O1908" s="62"/>
      <c r="P1908" s="62"/>
      <c r="Q1908" s="62"/>
    </row>
    <row r="1909" spans="1:17">
      <c r="A1909" s="62"/>
      <c r="B1909" s="62"/>
      <c r="C1909" s="62"/>
      <c r="D1909" s="62"/>
      <c r="E1909" s="62"/>
      <c r="F1909" s="62"/>
      <c r="G1909" s="62"/>
      <c r="H1909" s="62" t="str">
        <f>IF(AND('Data Export'!A1909=前十整体车型排名!$B$2,'Data Export'!B1909=前十整体车型排名!$B$3,'Data Export'!D1909&lt;&gt;""),UPPER('Data Export'!C1909)&amp;"♦"&amp;'Data Export'!D1909,"")</f>
        <v/>
      </c>
      <c r="I1909" s="63" t="str">
        <f>IF(H1909="","",IFERROR(INDEX('Data Export'!G1909:CZ1909,1,MATCH(前十整体车型排名!$B$4,'Data Export'!$G$1:$CZ$1,0)),0))</f>
        <v/>
      </c>
      <c r="J1909" s="62" t="str">
        <f>IF(H1909="","",IF(OR('Data Export'!F1909="三厢轿车",'Data Export'!F1909="掀背轿车",'Data Export'!F1909="旅行车",'Data Export'!F1909="微型车",'Data Export'!F1909="硬顶跑车",'Data Export'!F1909="敞蓬车",'Data Export'!F1909="Targa"),"轿车",IF(OR('Data Export'!F1909="小型MPV",'Data Export'!F1909="客车"),"MPV",IF('Data Export'!F1909="运动型多功能车","SUV","其他"))))</f>
        <v/>
      </c>
      <c r="K1909" s="62"/>
      <c r="L1909" s="62"/>
      <c r="M1909" s="62"/>
      <c r="N1909" s="62"/>
      <c r="O1909" s="62"/>
      <c r="P1909" s="62"/>
      <c r="Q1909" s="62"/>
    </row>
    <row r="1910" spans="1:17">
      <c r="A1910" s="62"/>
      <c r="B1910" s="62"/>
      <c r="C1910" s="62"/>
      <c r="D1910" s="62"/>
      <c r="E1910" s="62"/>
      <c r="F1910" s="62"/>
      <c r="G1910" s="62"/>
      <c r="H1910" s="62" t="str">
        <f>IF(AND('Data Export'!A1910=前十整体车型排名!$B$2,'Data Export'!B1910=前十整体车型排名!$B$3,'Data Export'!D1910&lt;&gt;""),UPPER('Data Export'!C1910)&amp;"♦"&amp;'Data Export'!D1910,"")</f>
        <v/>
      </c>
      <c r="I1910" s="63" t="str">
        <f>IF(H1910="","",IFERROR(INDEX('Data Export'!G1910:CZ1910,1,MATCH(前十整体车型排名!$B$4,'Data Export'!$G$1:$CZ$1,0)),0))</f>
        <v/>
      </c>
      <c r="J1910" s="62" t="str">
        <f>IF(H1910="","",IF(OR('Data Export'!F1910="三厢轿车",'Data Export'!F1910="掀背轿车",'Data Export'!F1910="旅行车",'Data Export'!F1910="微型车",'Data Export'!F1910="硬顶跑车",'Data Export'!F1910="敞蓬车",'Data Export'!F1910="Targa"),"轿车",IF(OR('Data Export'!F1910="小型MPV",'Data Export'!F1910="客车"),"MPV",IF('Data Export'!F1910="运动型多功能车","SUV","其他"))))</f>
        <v/>
      </c>
      <c r="K1910" s="62"/>
      <c r="L1910" s="62"/>
      <c r="M1910" s="62"/>
      <c r="N1910" s="62"/>
      <c r="O1910" s="62"/>
      <c r="P1910" s="62"/>
      <c r="Q1910" s="62"/>
    </row>
    <row r="1911" spans="1:17">
      <c r="A1911" s="62"/>
      <c r="B1911" s="62"/>
      <c r="C1911" s="62"/>
      <c r="D1911" s="62"/>
      <c r="E1911" s="62"/>
      <c r="F1911" s="62"/>
      <c r="G1911" s="62"/>
      <c r="H1911" s="62" t="str">
        <f>IF(AND('Data Export'!A1911=前十整体车型排名!$B$2,'Data Export'!B1911=前十整体车型排名!$B$3,'Data Export'!D1911&lt;&gt;""),UPPER('Data Export'!C1911)&amp;"♦"&amp;'Data Export'!D1911,"")</f>
        <v/>
      </c>
      <c r="I1911" s="63" t="str">
        <f>IF(H1911="","",IFERROR(INDEX('Data Export'!G1911:CZ1911,1,MATCH(前十整体车型排名!$B$4,'Data Export'!$G$1:$CZ$1,0)),0))</f>
        <v/>
      </c>
      <c r="J1911" s="62" t="str">
        <f>IF(H1911="","",IF(OR('Data Export'!F1911="三厢轿车",'Data Export'!F1911="掀背轿车",'Data Export'!F1911="旅行车",'Data Export'!F1911="微型车",'Data Export'!F1911="硬顶跑车",'Data Export'!F1911="敞蓬车",'Data Export'!F1911="Targa"),"轿车",IF(OR('Data Export'!F1911="小型MPV",'Data Export'!F1911="客车"),"MPV",IF('Data Export'!F1911="运动型多功能车","SUV","其他"))))</f>
        <v/>
      </c>
      <c r="K1911" s="62"/>
      <c r="L1911" s="62"/>
      <c r="M1911" s="62"/>
      <c r="N1911" s="62"/>
      <c r="O1911" s="62"/>
      <c r="P1911" s="62"/>
      <c r="Q1911" s="62"/>
    </row>
    <row r="1912" spans="1:17">
      <c r="A1912" s="62"/>
      <c r="B1912" s="62"/>
      <c r="C1912" s="62"/>
      <c r="D1912" s="62"/>
      <c r="E1912" s="62"/>
      <c r="F1912" s="62"/>
      <c r="G1912" s="62"/>
      <c r="H1912" s="62" t="str">
        <f>IF(AND('Data Export'!A1912=前十整体车型排名!$B$2,'Data Export'!B1912=前十整体车型排名!$B$3,'Data Export'!D1912&lt;&gt;""),UPPER('Data Export'!C1912)&amp;"♦"&amp;'Data Export'!D1912,"")</f>
        <v/>
      </c>
      <c r="I1912" s="63" t="str">
        <f>IF(H1912="","",IFERROR(INDEX('Data Export'!G1912:CZ1912,1,MATCH(前十整体车型排名!$B$4,'Data Export'!$G$1:$CZ$1,0)),0))</f>
        <v/>
      </c>
      <c r="J1912" s="62" t="str">
        <f>IF(H1912="","",IF(OR('Data Export'!F1912="三厢轿车",'Data Export'!F1912="掀背轿车",'Data Export'!F1912="旅行车",'Data Export'!F1912="微型车",'Data Export'!F1912="硬顶跑车",'Data Export'!F1912="敞蓬车",'Data Export'!F1912="Targa"),"轿车",IF(OR('Data Export'!F1912="小型MPV",'Data Export'!F1912="客车"),"MPV",IF('Data Export'!F1912="运动型多功能车","SUV","其他"))))</f>
        <v/>
      </c>
      <c r="K1912" s="62"/>
      <c r="L1912" s="62"/>
      <c r="M1912" s="62"/>
      <c r="N1912" s="62"/>
      <c r="O1912" s="62"/>
      <c r="P1912" s="62"/>
      <c r="Q1912" s="62"/>
    </row>
    <row r="1913" spans="1:17">
      <c r="A1913" s="62"/>
      <c r="B1913" s="62"/>
      <c r="C1913" s="62"/>
      <c r="D1913" s="62"/>
      <c r="E1913" s="62"/>
      <c r="F1913" s="62"/>
      <c r="G1913" s="62"/>
      <c r="H1913" s="62" t="str">
        <f>IF(AND('Data Export'!A1913=前十整体车型排名!$B$2,'Data Export'!B1913=前十整体车型排名!$B$3,'Data Export'!D1913&lt;&gt;""),UPPER('Data Export'!C1913)&amp;"♦"&amp;'Data Export'!D1913,"")</f>
        <v/>
      </c>
      <c r="I1913" s="63" t="str">
        <f>IF(H1913="","",IFERROR(INDEX('Data Export'!G1913:CZ1913,1,MATCH(前十整体车型排名!$B$4,'Data Export'!$G$1:$CZ$1,0)),0))</f>
        <v/>
      </c>
      <c r="J1913" s="62" t="str">
        <f>IF(H1913="","",IF(OR('Data Export'!F1913="三厢轿车",'Data Export'!F1913="掀背轿车",'Data Export'!F1913="旅行车",'Data Export'!F1913="微型车",'Data Export'!F1913="硬顶跑车",'Data Export'!F1913="敞蓬车",'Data Export'!F1913="Targa"),"轿车",IF(OR('Data Export'!F1913="小型MPV",'Data Export'!F1913="客车"),"MPV",IF('Data Export'!F1913="运动型多功能车","SUV","其他"))))</f>
        <v/>
      </c>
      <c r="K1913" s="62"/>
      <c r="L1913" s="62"/>
      <c r="M1913" s="62"/>
      <c r="N1913" s="62"/>
      <c r="O1913" s="62"/>
      <c r="P1913" s="62"/>
      <c r="Q1913" s="62"/>
    </row>
    <row r="1914" spans="1:17">
      <c r="A1914" s="62"/>
      <c r="B1914" s="62"/>
      <c r="C1914" s="62"/>
      <c r="D1914" s="62"/>
      <c r="E1914" s="62"/>
      <c r="F1914" s="62"/>
      <c r="G1914" s="62"/>
      <c r="H1914" s="62" t="str">
        <f>IF(AND('Data Export'!A1914=前十整体车型排名!$B$2,'Data Export'!B1914=前十整体车型排名!$B$3,'Data Export'!D1914&lt;&gt;""),UPPER('Data Export'!C1914)&amp;"♦"&amp;'Data Export'!D1914,"")</f>
        <v/>
      </c>
      <c r="I1914" s="63" t="str">
        <f>IF(H1914="","",IFERROR(INDEX('Data Export'!G1914:CZ1914,1,MATCH(前十整体车型排名!$B$4,'Data Export'!$G$1:$CZ$1,0)),0))</f>
        <v/>
      </c>
      <c r="J1914" s="62" t="str">
        <f>IF(H1914="","",IF(OR('Data Export'!F1914="三厢轿车",'Data Export'!F1914="掀背轿车",'Data Export'!F1914="旅行车",'Data Export'!F1914="微型车",'Data Export'!F1914="硬顶跑车",'Data Export'!F1914="敞蓬车",'Data Export'!F1914="Targa"),"轿车",IF(OR('Data Export'!F1914="小型MPV",'Data Export'!F1914="客车"),"MPV",IF('Data Export'!F1914="运动型多功能车","SUV","其他"))))</f>
        <v/>
      </c>
      <c r="K1914" s="62"/>
      <c r="L1914" s="62"/>
      <c r="M1914" s="62"/>
      <c r="N1914" s="62"/>
      <c r="O1914" s="62"/>
      <c r="P1914" s="62"/>
      <c r="Q1914" s="62"/>
    </row>
    <row r="1915" spans="1:17">
      <c r="A1915" s="62"/>
      <c r="B1915" s="62"/>
      <c r="C1915" s="62"/>
      <c r="D1915" s="62"/>
      <c r="E1915" s="62"/>
      <c r="F1915" s="62"/>
      <c r="G1915" s="62"/>
      <c r="H1915" s="62" t="str">
        <f>IF(AND('Data Export'!A1915=前十整体车型排名!$B$2,'Data Export'!B1915=前十整体车型排名!$B$3,'Data Export'!D1915&lt;&gt;""),UPPER('Data Export'!C1915)&amp;"♦"&amp;'Data Export'!D1915,"")</f>
        <v/>
      </c>
      <c r="I1915" s="63" t="str">
        <f>IF(H1915="","",IFERROR(INDEX('Data Export'!G1915:CZ1915,1,MATCH(前十整体车型排名!$B$4,'Data Export'!$G$1:$CZ$1,0)),0))</f>
        <v/>
      </c>
      <c r="J1915" s="62" t="str">
        <f>IF(H1915="","",IF(OR('Data Export'!F1915="三厢轿车",'Data Export'!F1915="掀背轿车",'Data Export'!F1915="旅行车",'Data Export'!F1915="微型车",'Data Export'!F1915="硬顶跑车",'Data Export'!F1915="敞蓬车",'Data Export'!F1915="Targa"),"轿车",IF(OR('Data Export'!F1915="小型MPV",'Data Export'!F1915="客车"),"MPV",IF('Data Export'!F1915="运动型多功能车","SUV","其他"))))</f>
        <v/>
      </c>
      <c r="K1915" s="62"/>
      <c r="L1915" s="62"/>
      <c r="M1915" s="62"/>
      <c r="N1915" s="62"/>
      <c r="O1915" s="62"/>
      <c r="P1915" s="62"/>
      <c r="Q1915" s="62"/>
    </row>
    <row r="1916" spans="1:17">
      <c r="A1916" s="62"/>
      <c r="B1916" s="62"/>
      <c r="C1916" s="62"/>
      <c r="D1916" s="62"/>
      <c r="E1916" s="62"/>
      <c r="F1916" s="62"/>
      <c r="G1916" s="62"/>
      <c r="H1916" s="62" t="str">
        <f>IF(AND('Data Export'!A1916=前十整体车型排名!$B$2,'Data Export'!B1916=前十整体车型排名!$B$3,'Data Export'!D1916&lt;&gt;""),UPPER('Data Export'!C1916)&amp;"♦"&amp;'Data Export'!D1916,"")</f>
        <v/>
      </c>
      <c r="I1916" s="63" t="str">
        <f>IF(H1916="","",IFERROR(INDEX('Data Export'!G1916:CZ1916,1,MATCH(前十整体车型排名!$B$4,'Data Export'!$G$1:$CZ$1,0)),0))</f>
        <v/>
      </c>
      <c r="J1916" s="62" t="str">
        <f>IF(H1916="","",IF(OR('Data Export'!F1916="三厢轿车",'Data Export'!F1916="掀背轿车",'Data Export'!F1916="旅行车",'Data Export'!F1916="微型车",'Data Export'!F1916="硬顶跑车",'Data Export'!F1916="敞蓬车",'Data Export'!F1916="Targa"),"轿车",IF(OR('Data Export'!F1916="小型MPV",'Data Export'!F1916="客车"),"MPV",IF('Data Export'!F1916="运动型多功能车","SUV","其他"))))</f>
        <v/>
      </c>
      <c r="K1916" s="62"/>
      <c r="L1916" s="62"/>
      <c r="M1916" s="62"/>
      <c r="N1916" s="62"/>
      <c r="O1916" s="62"/>
      <c r="P1916" s="62"/>
      <c r="Q1916" s="62"/>
    </row>
    <row r="1917" spans="1:17">
      <c r="A1917" s="62"/>
      <c r="B1917" s="62"/>
      <c r="C1917" s="62"/>
      <c r="D1917" s="62"/>
      <c r="E1917" s="62"/>
      <c r="F1917" s="62"/>
      <c r="G1917" s="62"/>
      <c r="H1917" s="62" t="str">
        <f>IF(AND('Data Export'!A1917=前十整体车型排名!$B$2,'Data Export'!B1917=前十整体车型排名!$B$3,'Data Export'!D1917&lt;&gt;""),UPPER('Data Export'!C1917)&amp;"♦"&amp;'Data Export'!D1917,"")</f>
        <v/>
      </c>
      <c r="I1917" s="63" t="str">
        <f>IF(H1917="","",IFERROR(INDEX('Data Export'!G1917:CZ1917,1,MATCH(前十整体车型排名!$B$4,'Data Export'!$G$1:$CZ$1,0)),0))</f>
        <v/>
      </c>
      <c r="J1917" s="62" t="str">
        <f>IF(H1917="","",IF(OR('Data Export'!F1917="三厢轿车",'Data Export'!F1917="掀背轿车",'Data Export'!F1917="旅行车",'Data Export'!F1917="微型车",'Data Export'!F1917="硬顶跑车",'Data Export'!F1917="敞蓬车",'Data Export'!F1917="Targa"),"轿车",IF(OR('Data Export'!F1917="小型MPV",'Data Export'!F1917="客车"),"MPV",IF('Data Export'!F1917="运动型多功能车","SUV","其他"))))</f>
        <v/>
      </c>
      <c r="K1917" s="62"/>
      <c r="L1917" s="62"/>
      <c r="M1917" s="62"/>
      <c r="N1917" s="62"/>
      <c r="O1917" s="62"/>
      <c r="P1917" s="62"/>
      <c r="Q1917" s="62"/>
    </row>
    <row r="1918" spans="1:17">
      <c r="A1918" s="62"/>
      <c r="B1918" s="62"/>
      <c r="C1918" s="62"/>
      <c r="D1918" s="62"/>
      <c r="E1918" s="62"/>
      <c r="F1918" s="62"/>
      <c r="G1918" s="62"/>
      <c r="H1918" s="62" t="str">
        <f>IF(AND('Data Export'!A1918=前十整体车型排名!$B$2,'Data Export'!B1918=前十整体车型排名!$B$3,'Data Export'!D1918&lt;&gt;""),UPPER('Data Export'!C1918)&amp;"♦"&amp;'Data Export'!D1918,"")</f>
        <v/>
      </c>
      <c r="I1918" s="63" t="str">
        <f>IF(H1918="","",IFERROR(INDEX('Data Export'!G1918:CZ1918,1,MATCH(前十整体车型排名!$B$4,'Data Export'!$G$1:$CZ$1,0)),0))</f>
        <v/>
      </c>
      <c r="J1918" s="62" t="str">
        <f>IF(H1918="","",IF(OR('Data Export'!F1918="三厢轿车",'Data Export'!F1918="掀背轿车",'Data Export'!F1918="旅行车",'Data Export'!F1918="微型车",'Data Export'!F1918="硬顶跑车",'Data Export'!F1918="敞蓬车",'Data Export'!F1918="Targa"),"轿车",IF(OR('Data Export'!F1918="小型MPV",'Data Export'!F1918="客车"),"MPV",IF('Data Export'!F1918="运动型多功能车","SUV","其他"))))</f>
        <v/>
      </c>
      <c r="K1918" s="62"/>
      <c r="L1918" s="62"/>
      <c r="M1918" s="62"/>
      <c r="N1918" s="62"/>
      <c r="O1918" s="62"/>
      <c r="P1918" s="62"/>
      <c r="Q1918" s="62"/>
    </row>
    <row r="1919" spans="1:17">
      <c r="A1919" s="62"/>
      <c r="B1919" s="62"/>
      <c r="C1919" s="62"/>
      <c r="D1919" s="62"/>
      <c r="E1919" s="62"/>
      <c r="F1919" s="62"/>
      <c r="G1919" s="62"/>
      <c r="H1919" s="62" t="str">
        <f>IF(AND('Data Export'!A1919=前十整体车型排名!$B$2,'Data Export'!B1919=前十整体车型排名!$B$3,'Data Export'!D1919&lt;&gt;""),UPPER('Data Export'!C1919)&amp;"♦"&amp;'Data Export'!D1919,"")</f>
        <v/>
      </c>
      <c r="I1919" s="63" t="str">
        <f>IF(H1919="","",IFERROR(INDEX('Data Export'!G1919:CZ1919,1,MATCH(前十整体车型排名!$B$4,'Data Export'!$G$1:$CZ$1,0)),0))</f>
        <v/>
      </c>
      <c r="J1919" s="62" t="str">
        <f>IF(H1919="","",IF(OR('Data Export'!F1919="三厢轿车",'Data Export'!F1919="掀背轿车",'Data Export'!F1919="旅行车",'Data Export'!F1919="微型车",'Data Export'!F1919="硬顶跑车",'Data Export'!F1919="敞蓬车",'Data Export'!F1919="Targa"),"轿车",IF(OR('Data Export'!F1919="小型MPV",'Data Export'!F1919="客车"),"MPV",IF('Data Export'!F1919="运动型多功能车","SUV","其他"))))</f>
        <v/>
      </c>
      <c r="K1919" s="62"/>
      <c r="L1919" s="62"/>
      <c r="M1919" s="62"/>
      <c r="N1919" s="62"/>
      <c r="O1919" s="62"/>
      <c r="P1919" s="62"/>
      <c r="Q1919" s="62"/>
    </row>
    <row r="1920" spans="1:17">
      <c r="A1920" s="62"/>
      <c r="B1920" s="62"/>
      <c r="C1920" s="62"/>
      <c r="D1920" s="62"/>
      <c r="E1920" s="62"/>
      <c r="F1920" s="62"/>
      <c r="G1920" s="62"/>
      <c r="H1920" s="62" t="str">
        <f>IF(AND('Data Export'!A1920=前十整体车型排名!$B$2,'Data Export'!B1920=前十整体车型排名!$B$3,'Data Export'!D1920&lt;&gt;""),UPPER('Data Export'!C1920)&amp;"♦"&amp;'Data Export'!D1920,"")</f>
        <v/>
      </c>
      <c r="I1920" s="63" t="str">
        <f>IF(H1920="","",IFERROR(INDEX('Data Export'!G1920:CZ1920,1,MATCH(前十整体车型排名!$B$4,'Data Export'!$G$1:$CZ$1,0)),0))</f>
        <v/>
      </c>
      <c r="J1920" s="62" t="str">
        <f>IF(H1920="","",IF(OR('Data Export'!F1920="三厢轿车",'Data Export'!F1920="掀背轿车",'Data Export'!F1920="旅行车",'Data Export'!F1920="微型车",'Data Export'!F1920="硬顶跑车",'Data Export'!F1920="敞蓬车",'Data Export'!F1920="Targa"),"轿车",IF(OR('Data Export'!F1920="小型MPV",'Data Export'!F1920="客车"),"MPV",IF('Data Export'!F1920="运动型多功能车","SUV","其他"))))</f>
        <v/>
      </c>
      <c r="K1920" s="62"/>
      <c r="L1920" s="62"/>
      <c r="M1920" s="62"/>
      <c r="N1920" s="62"/>
      <c r="O1920" s="62"/>
      <c r="P1920" s="62"/>
      <c r="Q1920" s="62"/>
    </row>
    <row r="1921" spans="1:17">
      <c r="A1921" s="62"/>
      <c r="B1921" s="62"/>
      <c r="C1921" s="62"/>
      <c r="D1921" s="62"/>
      <c r="E1921" s="62"/>
      <c r="F1921" s="62"/>
      <c r="G1921" s="62"/>
      <c r="H1921" s="62" t="str">
        <f>IF(AND('Data Export'!A1921=前十整体车型排名!$B$2,'Data Export'!B1921=前十整体车型排名!$B$3,'Data Export'!D1921&lt;&gt;""),UPPER('Data Export'!C1921)&amp;"♦"&amp;'Data Export'!D1921,"")</f>
        <v/>
      </c>
      <c r="I1921" s="63" t="str">
        <f>IF(H1921="","",IFERROR(INDEX('Data Export'!G1921:CZ1921,1,MATCH(前十整体车型排名!$B$4,'Data Export'!$G$1:$CZ$1,0)),0))</f>
        <v/>
      </c>
      <c r="J1921" s="62" t="str">
        <f>IF(H1921="","",IF(OR('Data Export'!F1921="三厢轿车",'Data Export'!F1921="掀背轿车",'Data Export'!F1921="旅行车",'Data Export'!F1921="微型车",'Data Export'!F1921="硬顶跑车",'Data Export'!F1921="敞蓬车",'Data Export'!F1921="Targa"),"轿车",IF(OR('Data Export'!F1921="小型MPV",'Data Export'!F1921="客车"),"MPV",IF('Data Export'!F1921="运动型多功能车","SUV","其他"))))</f>
        <v/>
      </c>
      <c r="K1921" s="62"/>
      <c r="L1921" s="62"/>
      <c r="M1921" s="62"/>
      <c r="N1921" s="62"/>
      <c r="O1921" s="62"/>
      <c r="P1921" s="62"/>
      <c r="Q1921" s="62"/>
    </row>
    <row r="1922" spans="1:17">
      <c r="A1922" s="62"/>
      <c r="B1922" s="62"/>
      <c r="C1922" s="62"/>
      <c r="D1922" s="62"/>
      <c r="E1922" s="62"/>
      <c r="F1922" s="62"/>
      <c r="G1922" s="62"/>
      <c r="H1922" s="62" t="str">
        <f>IF(AND('Data Export'!A1922=前十整体车型排名!$B$2,'Data Export'!B1922=前十整体车型排名!$B$3,'Data Export'!D1922&lt;&gt;""),UPPER('Data Export'!C1922)&amp;"♦"&amp;'Data Export'!D1922,"")</f>
        <v/>
      </c>
      <c r="I1922" s="63" t="str">
        <f>IF(H1922="","",IFERROR(INDEX('Data Export'!G1922:CZ1922,1,MATCH(前十整体车型排名!$B$4,'Data Export'!$G$1:$CZ$1,0)),0))</f>
        <v/>
      </c>
      <c r="J1922" s="62" t="str">
        <f>IF(H1922="","",IF(OR('Data Export'!F1922="三厢轿车",'Data Export'!F1922="掀背轿车",'Data Export'!F1922="旅行车",'Data Export'!F1922="微型车",'Data Export'!F1922="硬顶跑车",'Data Export'!F1922="敞蓬车",'Data Export'!F1922="Targa"),"轿车",IF(OR('Data Export'!F1922="小型MPV",'Data Export'!F1922="客车"),"MPV",IF('Data Export'!F1922="运动型多功能车","SUV","其他"))))</f>
        <v/>
      </c>
      <c r="K1922" s="62"/>
      <c r="L1922" s="62"/>
      <c r="M1922" s="62"/>
      <c r="N1922" s="62"/>
      <c r="O1922" s="62"/>
      <c r="P1922" s="62"/>
      <c r="Q1922" s="62"/>
    </row>
    <row r="1923" spans="1:17">
      <c r="A1923" s="62"/>
      <c r="B1923" s="62"/>
      <c r="C1923" s="62"/>
      <c r="D1923" s="62"/>
      <c r="E1923" s="62"/>
      <c r="F1923" s="62"/>
      <c r="G1923" s="62"/>
      <c r="H1923" s="62" t="str">
        <f>IF(AND('Data Export'!A1923=前十整体车型排名!$B$2,'Data Export'!B1923=前十整体车型排名!$B$3,'Data Export'!D1923&lt;&gt;""),UPPER('Data Export'!C1923)&amp;"♦"&amp;'Data Export'!D1923,"")</f>
        <v/>
      </c>
      <c r="I1923" s="63" t="str">
        <f>IF(H1923="","",IFERROR(INDEX('Data Export'!G1923:CZ1923,1,MATCH(前十整体车型排名!$B$4,'Data Export'!$G$1:$CZ$1,0)),0))</f>
        <v/>
      </c>
      <c r="J1923" s="62" t="str">
        <f>IF(H1923="","",IF(OR('Data Export'!F1923="三厢轿车",'Data Export'!F1923="掀背轿车",'Data Export'!F1923="旅行车",'Data Export'!F1923="微型车",'Data Export'!F1923="硬顶跑车",'Data Export'!F1923="敞蓬车",'Data Export'!F1923="Targa"),"轿车",IF(OR('Data Export'!F1923="小型MPV",'Data Export'!F1923="客车"),"MPV",IF('Data Export'!F1923="运动型多功能车","SUV","其他"))))</f>
        <v/>
      </c>
      <c r="K1923" s="62"/>
      <c r="L1923" s="62"/>
      <c r="M1923" s="62"/>
      <c r="N1923" s="62"/>
      <c r="O1923" s="62"/>
      <c r="P1923" s="62"/>
      <c r="Q1923" s="62"/>
    </row>
    <row r="1924" spans="1:17">
      <c r="A1924" s="62"/>
      <c r="B1924" s="62"/>
      <c r="C1924" s="62"/>
      <c r="D1924" s="62"/>
      <c r="E1924" s="62"/>
      <c r="F1924" s="62"/>
      <c r="G1924" s="62"/>
      <c r="H1924" s="62" t="str">
        <f>IF(AND('Data Export'!A1924=前十整体车型排名!$B$2,'Data Export'!B1924=前十整体车型排名!$B$3,'Data Export'!D1924&lt;&gt;""),UPPER('Data Export'!C1924)&amp;"♦"&amp;'Data Export'!D1924,"")</f>
        <v/>
      </c>
      <c r="I1924" s="63" t="str">
        <f>IF(H1924="","",IFERROR(INDEX('Data Export'!G1924:CZ1924,1,MATCH(前十整体车型排名!$B$4,'Data Export'!$G$1:$CZ$1,0)),0))</f>
        <v/>
      </c>
      <c r="J1924" s="62" t="str">
        <f>IF(H1924="","",IF(OR('Data Export'!F1924="三厢轿车",'Data Export'!F1924="掀背轿车",'Data Export'!F1924="旅行车",'Data Export'!F1924="微型车",'Data Export'!F1924="硬顶跑车",'Data Export'!F1924="敞蓬车",'Data Export'!F1924="Targa"),"轿车",IF(OR('Data Export'!F1924="小型MPV",'Data Export'!F1924="客车"),"MPV",IF('Data Export'!F1924="运动型多功能车","SUV","其他"))))</f>
        <v/>
      </c>
      <c r="K1924" s="62"/>
      <c r="L1924" s="62"/>
      <c r="M1924" s="62"/>
      <c r="N1924" s="62"/>
      <c r="O1924" s="62"/>
      <c r="P1924" s="62"/>
      <c r="Q1924" s="62"/>
    </row>
    <row r="1925" spans="1:17">
      <c r="A1925" s="62"/>
      <c r="B1925" s="62"/>
      <c r="C1925" s="62"/>
      <c r="D1925" s="62"/>
      <c r="E1925" s="62"/>
      <c r="F1925" s="62"/>
      <c r="G1925" s="62"/>
      <c r="H1925" s="62" t="str">
        <f>IF(AND('Data Export'!A1925=前十整体车型排名!$B$2,'Data Export'!B1925=前十整体车型排名!$B$3,'Data Export'!D1925&lt;&gt;""),UPPER('Data Export'!C1925)&amp;"♦"&amp;'Data Export'!D1925,"")</f>
        <v/>
      </c>
      <c r="I1925" s="63" t="str">
        <f>IF(H1925="","",IFERROR(INDEX('Data Export'!G1925:CZ1925,1,MATCH(前十整体车型排名!$B$4,'Data Export'!$G$1:$CZ$1,0)),0))</f>
        <v/>
      </c>
      <c r="J1925" s="62" t="str">
        <f>IF(H1925="","",IF(OR('Data Export'!F1925="三厢轿车",'Data Export'!F1925="掀背轿车",'Data Export'!F1925="旅行车",'Data Export'!F1925="微型车",'Data Export'!F1925="硬顶跑车",'Data Export'!F1925="敞蓬车",'Data Export'!F1925="Targa"),"轿车",IF(OR('Data Export'!F1925="小型MPV",'Data Export'!F1925="客车"),"MPV",IF('Data Export'!F1925="运动型多功能车","SUV","其他"))))</f>
        <v/>
      </c>
      <c r="K1925" s="62"/>
      <c r="L1925" s="62"/>
      <c r="M1925" s="62"/>
      <c r="N1925" s="62"/>
      <c r="O1925" s="62"/>
      <c r="P1925" s="62"/>
      <c r="Q1925" s="62"/>
    </row>
    <row r="1926" spans="1:17">
      <c r="A1926" s="62"/>
      <c r="B1926" s="62"/>
      <c r="C1926" s="62"/>
      <c r="D1926" s="62"/>
      <c r="E1926" s="62"/>
      <c r="F1926" s="62"/>
      <c r="G1926" s="62"/>
      <c r="H1926" s="62" t="str">
        <f>IF(AND('Data Export'!A1926=前十整体车型排名!$B$2,'Data Export'!B1926=前十整体车型排名!$B$3,'Data Export'!D1926&lt;&gt;""),UPPER('Data Export'!C1926)&amp;"♦"&amp;'Data Export'!D1926,"")</f>
        <v/>
      </c>
      <c r="I1926" s="63" t="str">
        <f>IF(H1926="","",IFERROR(INDEX('Data Export'!G1926:CZ1926,1,MATCH(前十整体车型排名!$B$4,'Data Export'!$G$1:$CZ$1,0)),0))</f>
        <v/>
      </c>
      <c r="J1926" s="62" t="str">
        <f>IF(H1926="","",IF(OR('Data Export'!F1926="三厢轿车",'Data Export'!F1926="掀背轿车",'Data Export'!F1926="旅行车",'Data Export'!F1926="微型车",'Data Export'!F1926="硬顶跑车",'Data Export'!F1926="敞蓬车",'Data Export'!F1926="Targa"),"轿车",IF(OR('Data Export'!F1926="小型MPV",'Data Export'!F1926="客车"),"MPV",IF('Data Export'!F1926="运动型多功能车","SUV","其他"))))</f>
        <v/>
      </c>
      <c r="K1926" s="62"/>
      <c r="L1926" s="62"/>
      <c r="M1926" s="62"/>
      <c r="N1926" s="62"/>
      <c r="O1926" s="62"/>
      <c r="P1926" s="62"/>
      <c r="Q1926" s="62"/>
    </row>
    <row r="1927" spans="1:17">
      <c r="A1927" s="62"/>
      <c r="B1927" s="62"/>
      <c r="C1927" s="62"/>
      <c r="D1927" s="62"/>
      <c r="E1927" s="62"/>
      <c r="F1927" s="62"/>
      <c r="G1927" s="62"/>
      <c r="H1927" s="62" t="str">
        <f>IF(AND('Data Export'!A1927=前十整体车型排名!$B$2,'Data Export'!B1927=前十整体车型排名!$B$3,'Data Export'!D1927&lt;&gt;""),UPPER('Data Export'!C1927)&amp;"♦"&amp;'Data Export'!D1927,"")</f>
        <v/>
      </c>
      <c r="I1927" s="63" t="str">
        <f>IF(H1927="","",IFERROR(INDEX('Data Export'!G1927:CZ1927,1,MATCH(前十整体车型排名!$B$4,'Data Export'!$G$1:$CZ$1,0)),0))</f>
        <v/>
      </c>
      <c r="J1927" s="62" t="str">
        <f>IF(H1927="","",IF(OR('Data Export'!F1927="三厢轿车",'Data Export'!F1927="掀背轿车",'Data Export'!F1927="旅行车",'Data Export'!F1927="微型车",'Data Export'!F1927="硬顶跑车",'Data Export'!F1927="敞蓬车",'Data Export'!F1927="Targa"),"轿车",IF(OR('Data Export'!F1927="小型MPV",'Data Export'!F1927="客车"),"MPV",IF('Data Export'!F1927="运动型多功能车","SUV","其他"))))</f>
        <v/>
      </c>
      <c r="K1927" s="62"/>
      <c r="L1927" s="62"/>
      <c r="M1927" s="62"/>
      <c r="N1927" s="62"/>
      <c r="O1927" s="62"/>
      <c r="P1927" s="62"/>
      <c r="Q1927" s="62"/>
    </row>
    <row r="1928" spans="1:17">
      <c r="A1928" s="62"/>
      <c r="B1928" s="62"/>
      <c r="C1928" s="62"/>
      <c r="D1928" s="62"/>
      <c r="E1928" s="62"/>
      <c r="F1928" s="62"/>
      <c r="G1928" s="62"/>
      <c r="H1928" s="62" t="str">
        <f>IF(AND('Data Export'!A1928=前十整体车型排名!$B$2,'Data Export'!B1928=前十整体车型排名!$B$3,'Data Export'!D1928&lt;&gt;""),UPPER('Data Export'!C1928)&amp;"♦"&amp;'Data Export'!D1928,"")</f>
        <v/>
      </c>
      <c r="I1928" s="63" t="str">
        <f>IF(H1928="","",IFERROR(INDEX('Data Export'!G1928:CZ1928,1,MATCH(前十整体车型排名!$B$4,'Data Export'!$G$1:$CZ$1,0)),0))</f>
        <v/>
      </c>
      <c r="J1928" s="62" t="str">
        <f>IF(H1928="","",IF(OR('Data Export'!F1928="三厢轿车",'Data Export'!F1928="掀背轿车",'Data Export'!F1928="旅行车",'Data Export'!F1928="微型车",'Data Export'!F1928="硬顶跑车",'Data Export'!F1928="敞蓬车",'Data Export'!F1928="Targa"),"轿车",IF(OR('Data Export'!F1928="小型MPV",'Data Export'!F1928="客车"),"MPV",IF('Data Export'!F1928="运动型多功能车","SUV","其他"))))</f>
        <v/>
      </c>
      <c r="K1928" s="62"/>
      <c r="L1928" s="62"/>
      <c r="M1928" s="62"/>
      <c r="N1928" s="62"/>
      <c r="O1928" s="62"/>
      <c r="P1928" s="62"/>
      <c r="Q1928" s="62"/>
    </row>
    <row r="1929" spans="1:17">
      <c r="A1929" s="62"/>
      <c r="B1929" s="62"/>
      <c r="C1929" s="62"/>
      <c r="D1929" s="62"/>
      <c r="E1929" s="62"/>
      <c r="F1929" s="62"/>
      <c r="G1929" s="62"/>
      <c r="H1929" s="62" t="str">
        <f>IF(AND('Data Export'!A1929=前十整体车型排名!$B$2,'Data Export'!B1929=前十整体车型排名!$B$3,'Data Export'!D1929&lt;&gt;""),UPPER('Data Export'!C1929)&amp;"♦"&amp;'Data Export'!D1929,"")</f>
        <v/>
      </c>
      <c r="I1929" s="63" t="str">
        <f>IF(H1929="","",IFERROR(INDEX('Data Export'!G1929:CZ1929,1,MATCH(前十整体车型排名!$B$4,'Data Export'!$G$1:$CZ$1,0)),0))</f>
        <v/>
      </c>
      <c r="J1929" s="62" t="str">
        <f>IF(H1929="","",IF(OR('Data Export'!F1929="三厢轿车",'Data Export'!F1929="掀背轿车",'Data Export'!F1929="旅行车",'Data Export'!F1929="微型车",'Data Export'!F1929="硬顶跑车",'Data Export'!F1929="敞蓬车",'Data Export'!F1929="Targa"),"轿车",IF(OR('Data Export'!F1929="小型MPV",'Data Export'!F1929="客车"),"MPV",IF('Data Export'!F1929="运动型多功能车","SUV","其他"))))</f>
        <v/>
      </c>
      <c r="K1929" s="62"/>
      <c r="L1929" s="62"/>
      <c r="M1929" s="62"/>
      <c r="N1929" s="62"/>
      <c r="O1929" s="62"/>
      <c r="P1929" s="62"/>
      <c r="Q1929" s="62"/>
    </row>
    <row r="1930" spans="1:17">
      <c r="A1930" s="62"/>
      <c r="B1930" s="62"/>
      <c r="C1930" s="62"/>
      <c r="D1930" s="62"/>
      <c r="E1930" s="62"/>
      <c r="F1930" s="62"/>
      <c r="G1930" s="62"/>
      <c r="H1930" s="62" t="str">
        <f>IF(AND('Data Export'!A1930=前十整体车型排名!$B$2,'Data Export'!B1930=前十整体车型排名!$B$3,'Data Export'!D1930&lt;&gt;""),UPPER('Data Export'!C1930)&amp;"♦"&amp;'Data Export'!D1930,"")</f>
        <v/>
      </c>
      <c r="I1930" s="63" t="str">
        <f>IF(H1930="","",IFERROR(INDEX('Data Export'!G1930:CZ1930,1,MATCH(前十整体车型排名!$B$4,'Data Export'!$G$1:$CZ$1,0)),0))</f>
        <v/>
      </c>
      <c r="J1930" s="62" t="str">
        <f>IF(H1930="","",IF(OR('Data Export'!F1930="三厢轿车",'Data Export'!F1930="掀背轿车",'Data Export'!F1930="旅行车",'Data Export'!F1930="微型车",'Data Export'!F1930="硬顶跑车",'Data Export'!F1930="敞蓬车",'Data Export'!F1930="Targa"),"轿车",IF(OR('Data Export'!F1930="小型MPV",'Data Export'!F1930="客车"),"MPV",IF('Data Export'!F1930="运动型多功能车","SUV","其他"))))</f>
        <v/>
      </c>
      <c r="K1930" s="62"/>
      <c r="L1930" s="62"/>
      <c r="M1930" s="62"/>
      <c r="N1930" s="62"/>
      <c r="O1930" s="62"/>
      <c r="P1930" s="62"/>
      <c r="Q1930" s="62"/>
    </row>
    <row r="1931" spans="1:17">
      <c r="A1931" s="62"/>
      <c r="B1931" s="62"/>
      <c r="C1931" s="62"/>
      <c r="D1931" s="62"/>
      <c r="E1931" s="62"/>
      <c r="F1931" s="62"/>
      <c r="G1931" s="62"/>
      <c r="H1931" s="62" t="str">
        <f>IF(AND('Data Export'!A1931=前十整体车型排名!$B$2,'Data Export'!B1931=前十整体车型排名!$B$3,'Data Export'!D1931&lt;&gt;""),UPPER('Data Export'!C1931)&amp;"♦"&amp;'Data Export'!D1931,"")</f>
        <v/>
      </c>
      <c r="I1931" s="63" t="str">
        <f>IF(H1931="","",IFERROR(INDEX('Data Export'!G1931:CZ1931,1,MATCH(前十整体车型排名!$B$4,'Data Export'!$G$1:$CZ$1,0)),0))</f>
        <v/>
      </c>
      <c r="J1931" s="62" t="str">
        <f>IF(H1931="","",IF(OR('Data Export'!F1931="三厢轿车",'Data Export'!F1931="掀背轿车",'Data Export'!F1931="旅行车",'Data Export'!F1931="微型车",'Data Export'!F1931="硬顶跑车",'Data Export'!F1931="敞蓬车",'Data Export'!F1931="Targa"),"轿车",IF(OR('Data Export'!F1931="小型MPV",'Data Export'!F1931="客车"),"MPV",IF('Data Export'!F1931="运动型多功能车","SUV","其他"))))</f>
        <v/>
      </c>
      <c r="K1931" s="62"/>
      <c r="L1931" s="62"/>
      <c r="M1931" s="62"/>
      <c r="N1931" s="62"/>
      <c r="O1931" s="62"/>
      <c r="P1931" s="62"/>
      <c r="Q1931" s="62"/>
    </row>
    <row r="1932" spans="1:17">
      <c r="A1932" s="62"/>
      <c r="B1932" s="62"/>
      <c r="C1932" s="62"/>
      <c r="D1932" s="62"/>
      <c r="E1932" s="62"/>
      <c r="F1932" s="62"/>
      <c r="G1932" s="62"/>
      <c r="H1932" s="62" t="str">
        <f>IF(AND('Data Export'!A1932=前十整体车型排名!$B$2,'Data Export'!B1932=前十整体车型排名!$B$3,'Data Export'!D1932&lt;&gt;""),UPPER('Data Export'!C1932)&amp;"♦"&amp;'Data Export'!D1932,"")</f>
        <v/>
      </c>
      <c r="I1932" s="63" t="str">
        <f>IF(H1932="","",IFERROR(INDEX('Data Export'!G1932:CZ1932,1,MATCH(前十整体车型排名!$B$4,'Data Export'!$G$1:$CZ$1,0)),0))</f>
        <v/>
      </c>
      <c r="J1932" s="62" t="str">
        <f>IF(H1932="","",IF(OR('Data Export'!F1932="三厢轿车",'Data Export'!F1932="掀背轿车",'Data Export'!F1932="旅行车",'Data Export'!F1932="微型车",'Data Export'!F1932="硬顶跑车",'Data Export'!F1932="敞蓬车",'Data Export'!F1932="Targa"),"轿车",IF(OR('Data Export'!F1932="小型MPV",'Data Export'!F1932="客车"),"MPV",IF('Data Export'!F1932="运动型多功能车","SUV","其他"))))</f>
        <v/>
      </c>
      <c r="K1932" s="62"/>
      <c r="L1932" s="62"/>
      <c r="M1932" s="62"/>
      <c r="N1932" s="62"/>
      <c r="O1932" s="62"/>
      <c r="P1932" s="62"/>
      <c r="Q1932" s="62"/>
    </row>
    <row r="1933" spans="1:17">
      <c r="A1933" s="62"/>
      <c r="B1933" s="62"/>
      <c r="C1933" s="62"/>
      <c r="D1933" s="62"/>
      <c r="E1933" s="62"/>
      <c r="F1933" s="62"/>
      <c r="G1933" s="62"/>
      <c r="H1933" s="62" t="str">
        <f>IF(AND('Data Export'!A1933=前十整体车型排名!$B$2,'Data Export'!B1933=前十整体车型排名!$B$3,'Data Export'!D1933&lt;&gt;""),UPPER('Data Export'!C1933)&amp;"♦"&amp;'Data Export'!D1933,"")</f>
        <v/>
      </c>
      <c r="I1933" s="63" t="str">
        <f>IF(H1933="","",IFERROR(INDEX('Data Export'!G1933:CZ1933,1,MATCH(前十整体车型排名!$B$4,'Data Export'!$G$1:$CZ$1,0)),0))</f>
        <v/>
      </c>
      <c r="J1933" s="62" t="str">
        <f>IF(H1933="","",IF(OR('Data Export'!F1933="三厢轿车",'Data Export'!F1933="掀背轿车",'Data Export'!F1933="旅行车",'Data Export'!F1933="微型车",'Data Export'!F1933="硬顶跑车",'Data Export'!F1933="敞蓬车",'Data Export'!F1933="Targa"),"轿车",IF(OR('Data Export'!F1933="小型MPV",'Data Export'!F1933="客车"),"MPV",IF('Data Export'!F1933="运动型多功能车","SUV","其他"))))</f>
        <v/>
      </c>
      <c r="K1933" s="62"/>
      <c r="L1933" s="62"/>
      <c r="M1933" s="62"/>
      <c r="N1933" s="62"/>
      <c r="O1933" s="62"/>
      <c r="P1933" s="62"/>
      <c r="Q1933" s="62"/>
    </row>
    <row r="1934" spans="1:17">
      <c r="A1934" s="62"/>
      <c r="B1934" s="62"/>
      <c r="C1934" s="62"/>
      <c r="D1934" s="62"/>
      <c r="E1934" s="62"/>
      <c r="F1934" s="62"/>
      <c r="G1934" s="62"/>
      <c r="H1934" s="62" t="str">
        <f>IF(AND('Data Export'!A1934=前十整体车型排名!$B$2,'Data Export'!B1934=前十整体车型排名!$B$3,'Data Export'!D1934&lt;&gt;""),UPPER('Data Export'!C1934)&amp;"♦"&amp;'Data Export'!D1934,"")</f>
        <v/>
      </c>
      <c r="I1934" s="63" t="str">
        <f>IF(H1934="","",IFERROR(INDEX('Data Export'!G1934:CZ1934,1,MATCH(前十整体车型排名!$B$4,'Data Export'!$G$1:$CZ$1,0)),0))</f>
        <v/>
      </c>
      <c r="J1934" s="62" t="str">
        <f>IF(H1934="","",IF(OR('Data Export'!F1934="三厢轿车",'Data Export'!F1934="掀背轿车",'Data Export'!F1934="旅行车",'Data Export'!F1934="微型车",'Data Export'!F1934="硬顶跑车",'Data Export'!F1934="敞蓬车",'Data Export'!F1934="Targa"),"轿车",IF(OR('Data Export'!F1934="小型MPV",'Data Export'!F1934="客车"),"MPV",IF('Data Export'!F1934="运动型多功能车","SUV","其他"))))</f>
        <v/>
      </c>
      <c r="K1934" s="62"/>
      <c r="L1934" s="62"/>
      <c r="M1934" s="62"/>
      <c r="N1934" s="62"/>
      <c r="O1934" s="62"/>
      <c r="P1934" s="62"/>
      <c r="Q1934" s="62"/>
    </row>
    <row r="1935" spans="1:17">
      <c r="A1935" s="62"/>
      <c r="B1935" s="62"/>
      <c r="C1935" s="62"/>
      <c r="D1935" s="62"/>
      <c r="E1935" s="62"/>
      <c r="F1935" s="62"/>
      <c r="G1935" s="62"/>
      <c r="H1935" s="62" t="str">
        <f>IF(AND('Data Export'!A1935=前十整体车型排名!$B$2,'Data Export'!B1935=前十整体车型排名!$B$3,'Data Export'!D1935&lt;&gt;""),UPPER('Data Export'!C1935)&amp;"♦"&amp;'Data Export'!D1935,"")</f>
        <v/>
      </c>
      <c r="I1935" s="63" t="str">
        <f>IF(H1935="","",IFERROR(INDEX('Data Export'!G1935:CZ1935,1,MATCH(前十整体车型排名!$B$4,'Data Export'!$G$1:$CZ$1,0)),0))</f>
        <v/>
      </c>
      <c r="J1935" s="62" t="str">
        <f>IF(H1935="","",IF(OR('Data Export'!F1935="三厢轿车",'Data Export'!F1935="掀背轿车",'Data Export'!F1935="旅行车",'Data Export'!F1935="微型车",'Data Export'!F1935="硬顶跑车",'Data Export'!F1935="敞蓬车",'Data Export'!F1935="Targa"),"轿车",IF(OR('Data Export'!F1935="小型MPV",'Data Export'!F1935="客车"),"MPV",IF('Data Export'!F1935="运动型多功能车","SUV","其他"))))</f>
        <v/>
      </c>
      <c r="K1935" s="62"/>
      <c r="L1935" s="62"/>
      <c r="M1935" s="62"/>
      <c r="N1935" s="62"/>
      <c r="O1935" s="62"/>
      <c r="P1935" s="62"/>
      <c r="Q1935" s="62"/>
    </row>
    <row r="1936" spans="1:17">
      <c r="A1936" s="62"/>
      <c r="B1936" s="62"/>
      <c r="C1936" s="62"/>
      <c r="D1936" s="62"/>
      <c r="E1936" s="62"/>
      <c r="F1936" s="62"/>
      <c r="G1936" s="62"/>
      <c r="H1936" s="62" t="str">
        <f>IF(AND('Data Export'!A1936=前十整体车型排名!$B$2,'Data Export'!B1936=前十整体车型排名!$B$3,'Data Export'!D1936&lt;&gt;""),UPPER('Data Export'!C1936)&amp;"♦"&amp;'Data Export'!D1936,"")</f>
        <v/>
      </c>
      <c r="I1936" s="63" t="str">
        <f>IF(H1936="","",IFERROR(INDEX('Data Export'!G1936:CZ1936,1,MATCH(前十整体车型排名!$B$4,'Data Export'!$G$1:$CZ$1,0)),0))</f>
        <v/>
      </c>
      <c r="J1936" s="62" t="str">
        <f>IF(H1936="","",IF(OR('Data Export'!F1936="三厢轿车",'Data Export'!F1936="掀背轿车",'Data Export'!F1936="旅行车",'Data Export'!F1936="微型车",'Data Export'!F1936="硬顶跑车",'Data Export'!F1936="敞蓬车",'Data Export'!F1936="Targa"),"轿车",IF(OR('Data Export'!F1936="小型MPV",'Data Export'!F1936="客车"),"MPV",IF('Data Export'!F1936="运动型多功能车","SUV","其他"))))</f>
        <v/>
      </c>
      <c r="K1936" s="62"/>
      <c r="L1936" s="62"/>
      <c r="M1936" s="62"/>
      <c r="N1936" s="62"/>
      <c r="O1936" s="62"/>
      <c r="P1936" s="62"/>
      <c r="Q1936" s="62"/>
    </row>
    <row r="1937" spans="1:17">
      <c r="A1937" s="62"/>
      <c r="B1937" s="62"/>
      <c r="C1937" s="62"/>
      <c r="D1937" s="62"/>
      <c r="E1937" s="62"/>
      <c r="F1937" s="62"/>
      <c r="G1937" s="62"/>
      <c r="H1937" s="62" t="str">
        <f>IF(AND('Data Export'!A1937=前十整体车型排名!$B$2,'Data Export'!B1937=前十整体车型排名!$B$3,'Data Export'!D1937&lt;&gt;""),UPPER('Data Export'!C1937)&amp;"♦"&amp;'Data Export'!D1937,"")</f>
        <v/>
      </c>
      <c r="I1937" s="63" t="str">
        <f>IF(H1937="","",IFERROR(INDEX('Data Export'!G1937:CZ1937,1,MATCH(前十整体车型排名!$B$4,'Data Export'!$G$1:$CZ$1,0)),0))</f>
        <v/>
      </c>
      <c r="J1937" s="62" t="str">
        <f>IF(H1937="","",IF(OR('Data Export'!F1937="三厢轿车",'Data Export'!F1937="掀背轿车",'Data Export'!F1937="旅行车",'Data Export'!F1937="微型车",'Data Export'!F1937="硬顶跑车",'Data Export'!F1937="敞蓬车",'Data Export'!F1937="Targa"),"轿车",IF(OR('Data Export'!F1937="小型MPV",'Data Export'!F1937="客车"),"MPV",IF('Data Export'!F1937="运动型多功能车","SUV","其他"))))</f>
        <v/>
      </c>
      <c r="K1937" s="62"/>
      <c r="L1937" s="62"/>
      <c r="M1937" s="62"/>
      <c r="N1937" s="62"/>
      <c r="O1937" s="62"/>
      <c r="P1937" s="62"/>
      <c r="Q1937" s="62"/>
    </row>
    <row r="1938" spans="1:17">
      <c r="A1938" s="62"/>
      <c r="B1938" s="62"/>
      <c r="C1938" s="62"/>
      <c r="D1938" s="62"/>
      <c r="E1938" s="62"/>
      <c r="F1938" s="62"/>
      <c r="G1938" s="62"/>
      <c r="H1938" s="62" t="str">
        <f>IF(AND('Data Export'!A1938=前十整体车型排名!$B$2,'Data Export'!B1938=前十整体车型排名!$B$3,'Data Export'!D1938&lt;&gt;""),UPPER('Data Export'!C1938)&amp;"♦"&amp;'Data Export'!D1938,"")</f>
        <v/>
      </c>
      <c r="I1938" s="63" t="str">
        <f>IF(H1938="","",IFERROR(INDEX('Data Export'!G1938:CZ1938,1,MATCH(前十整体车型排名!$B$4,'Data Export'!$G$1:$CZ$1,0)),0))</f>
        <v/>
      </c>
      <c r="J1938" s="62" t="str">
        <f>IF(H1938="","",IF(OR('Data Export'!F1938="三厢轿车",'Data Export'!F1938="掀背轿车",'Data Export'!F1938="旅行车",'Data Export'!F1938="微型车",'Data Export'!F1938="硬顶跑车",'Data Export'!F1938="敞蓬车",'Data Export'!F1938="Targa"),"轿车",IF(OR('Data Export'!F1938="小型MPV",'Data Export'!F1938="客车"),"MPV",IF('Data Export'!F1938="运动型多功能车","SUV","其他"))))</f>
        <v/>
      </c>
      <c r="K1938" s="62"/>
      <c r="L1938" s="62"/>
      <c r="M1938" s="62"/>
      <c r="N1938" s="62"/>
      <c r="O1938" s="62"/>
      <c r="P1938" s="62"/>
      <c r="Q1938" s="62"/>
    </row>
    <row r="1939" spans="1:17">
      <c r="A1939" s="62"/>
      <c r="B1939" s="62"/>
      <c r="C1939" s="62"/>
      <c r="D1939" s="62"/>
      <c r="E1939" s="62"/>
      <c r="F1939" s="62"/>
      <c r="G1939" s="62"/>
      <c r="H1939" s="62" t="str">
        <f>IF(AND('Data Export'!A1939=前十整体车型排名!$B$2,'Data Export'!B1939=前十整体车型排名!$B$3,'Data Export'!D1939&lt;&gt;""),UPPER('Data Export'!C1939)&amp;"♦"&amp;'Data Export'!D1939,"")</f>
        <v/>
      </c>
      <c r="I1939" s="63" t="str">
        <f>IF(H1939="","",IFERROR(INDEX('Data Export'!G1939:CZ1939,1,MATCH(前十整体车型排名!$B$4,'Data Export'!$G$1:$CZ$1,0)),0))</f>
        <v/>
      </c>
      <c r="J1939" s="62" t="str">
        <f>IF(H1939="","",IF(OR('Data Export'!F1939="三厢轿车",'Data Export'!F1939="掀背轿车",'Data Export'!F1939="旅行车",'Data Export'!F1939="微型车",'Data Export'!F1939="硬顶跑车",'Data Export'!F1939="敞蓬车",'Data Export'!F1939="Targa"),"轿车",IF(OR('Data Export'!F1939="小型MPV",'Data Export'!F1939="客车"),"MPV",IF('Data Export'!F1939="运动型多功能车","SUV","其他"))))</f>
        <v/>
      </c>
      <c r="K1939" s="62"/>
      <c r="L1939" s="62"/>
      <c r="M1939" s="62"/>
      <c r="N1939" s="62"/>
      <c r="O1939" s="62"/>
      <c r="P1939" s="62"/>
      <c r="Q1939" s="62"/>
    </row>
    <row r="1940" spans="1:17">
      <c r="A1940" s="62"/>
      <c r="B1940" s="62"/>
      <c r="C1940" s="62"/>
      <c r="D1940" s="62"/>
      <c r="E1940" s="62"/>
      <c r="F1940" s="62"/>
      <c r="G1940" s="62"/>
      <c r="H1940" s="62" t="str">
        <f>IF(AND('Data Export'!A1940=前十整体车型排名!$B$2,'Data Export'!B1940=前十整体车型排名!$B$3,'Data Export'!D1940&lt;&gt;""),UPPER('Data Export'!C1940)&amp;"♦"&amp;'Data Export'!D1940,"")</f>
        <v/>
      </c>
      <c r="I1940" s="63" t="str">
        <f>IF(H1940="","",IFERROR(INDEX('Data Export'!G1940:CZ1940,1,MATCH(前十整体车型排名!$B$4,'Data Export'!$G$1:$CZ$1,0)),0))</f>
        <v/>
      </c>
      <c r="J1940" s="62" t="str">
        <f>IF(H1940="","",IF(OR('Data Export'!F1940="三厢轿车",'Data Export'!F1940="掀背轿车",'Data Export'!F1940="旅行车",'Data Export'!F1940="微型车",'Data Export'!F1940="硬顶跑车",'Data Export'!F1940="敞蓬车",'Data Export'!F1940="Targa"),"轿车",IF(OR('Data Export'!F1940="小型MPV",'Data Export'!F1940="客车"),"MPV",IF('Data Export'!F1940="运动型多功能车","SUV","其他"))))</f>
        <v/>
      </c>
      <c r="K1940" s="62"/>
      <c r="L1940" s="62"/>
      <c r="M1940" s="62"/>
      <c r="N1940" s="62"/>
      <c r="O1940" s="62"/>
      <c r="P1940" s="62"/>
      <c r="Q1940" s="62"/>
    </row>
    <row r="1941" spans="1:17">
      <c r="A1941" s="62"/>
      <c r="B1941" s="62"/>
      <c r="C1941" s="62"/>
      <c r="D1941" s="62"/>
      <c r="E1941" s="62"/>
      <c r="F1941" s="62"/>
      <c r="G1941" s="62"/>
      <c r="H1941" s="62" t="str">
        <f>IF(AND('Data Export'!A1941=前十整体车型排名!$B$2,'Data Export'!B1941=前十整体车型排名!$B$3,'Data Export'!D1941&lt;&gt;""),UPPER('Data Export'!C1941)&amp;"♦"&amp;'Data Export'!D1941,"")</f>
        <v/>
      </c>
      <c r="I1941" s="63" t="str">
        <f>IF(H1941="","",IFERROR(INDEX('Data Export'!G1941:CZ1941,1,MATCH(前十整体车型排名!$B$4,'Data Export'!$G$1:$CZ$1,0)),0))</f>
        <v/>
      </c>
      <c r="J1941" s="62" t="str">
        <f>IF(H1941="","",IF(OR('Data Export'!F1941="三厢轿车",'Data Export'!F1941="掀背轿车",'Data Export'!F1941="旅行车",'Data Export'!F1941="微型车",'Data Export'!F1941="硬顶跑车",'Data Export'!F1941="敞蓬车",'Data Export'!F1941="Targa"),"轿车",IF(OR('Data Export'!F1941="小型MPV",'Data Export'!F1941="客车"),"MPV",IF('Data Export'!F1941="运动型多功能车","SUV","其他"))))</f>
        <v/>
      </c>
      <c r="K1941" s="62"/>
      <c r="L1941" s="62"/>
      <c r="M1941" s="62"/>
      <c r="N1941" s="62"/>
      <c r="O1941" s="62"/>
      <c r="P1941" s="62"/>
      <c r="Q1941" s="62"/>
    </row>
    <row r="1942" spans="1:17">
      <c r="A1942" s="62"/>
      <c r="B1942" s="62"/>
      <c r="C1942" s="62"/>
      <c r="D1942" s="62"/>
      <c r="E1942" s="62"/>
      <c r="F1942" s="62"/>
      <c r="G1942" s="62"/>
      <c r="H1942" s="62" t="str">
        <f>IF(AND('Data Export'!A1942=前十整体车型排名!$B$2,'Data Export'!B1942=前十整体车型排名!$B$3,'Data Export'!D1942&lt;&gt;""),UPPER('Data Export'!C1942)&amp;"♦"&amp;'Data Export'!D1942,"")</f>
        <v/>
      </c>
      <c r="I1942" s="63" t="str">
        <f>IF(H1942="","",IFERROR(INDEX('Data Export'!G1942:CZ1942,1,MATCH(前十整体车型排名!$B$4,'Data Export'!$G$1:$CZ$1,0)),0))</f>
        <v/>
      </c>
      <c r="J1942" s="62" t="str">
        <f>IF(H1942="","",IF(OR('Data Export'!F1942="三厢轿车",'Data Export'!F1942="掀背轿车",'Data Export'!F1942="旅行车",'Data Export'!F1942="微型车",'Data Export'!F1942="硬顶跑车",'Data Export'!F1942="敞蓬车",'Data Export'!F1942="Targa"),"轿车",IF(OR('Data Export'!F1942="小型MPV",'Data Export'!F1942="客车"),"MPV",IF('Data Export'!F1942="运动型多功能车","SUV","其他"))))</f>
        <v/>
      </c>
      <c r="K1942" s="62"/>
      <c r="L1942" s="62"/>
      <c r="M1942" s="62"/>
      <c r="N1942" s="62"/>
      <c r="O1942" s="62"/>
      <c r="P1942" s="62"/>
      <c r="Q1942" s="62"/>
    </row>
    <row r="1943" spans="1:17">
      <c r="A1943" s="62"/>
      <c r="B1943" s="62"/>
      <c r="C1943" s="62"/>
      <c r="D1943" s="62"/>
      <c r="E1943" s="62"/>
      <c r="F1943" s="62"/>
      <c r="G1943" s="62"/>
      <c r="H1943" s="62" t="str">
        <f>IF(AND('Data Export'!A1943=前十整体车型排名!$B$2,'Data Export'!B1943=前十整体车型排名!$B$3,'Data Export'!D1943&lt;&gt;""),UPPER('Data Export'!C1943)&amp;"♦"&amp;'Data Export'!D1943,"")</f>
        <v/>
      </c>
      <c r="I1943" s="63" t="str">
        <f>IF(H1943="","",IFERROR(INDEX('Data Export'!G1943:CZ1943,1,MATCH(前十整体车型排名!$B$4,'Data Export'!$G$1:$CZ$1,0)),0))</f>
        <v/>
      </c>
      <c r="J1943" s="62" t="str">
        <f>IF(H1943="","",IF(OR('Data Export'!F1943="三厢轿车",'Data Export'!F1943="掀背轿车",'Data Export'!F1943="旅行车",'Data Export'!F1943="微型车",'Data Export'!F1943="硬顶跑车",'Data Export'!F1943="敞蓬车",'Data Export'!F1943="Targa"),"轿车",IF(OR('Data Export'!F1943="小型MPV",'Data Export'!F1943="客车"),"MPV",IF('Data Export'!F1943="运动型多功能车","SUV","其他"))))</f>
        <v/>
      </c>
      <c r="K1943" s="62"/>
      <c r="L1943" s="62"/>
      <c r="M1943" s="62"/>
      <c r="N1943" s="62"/>
      <c r="O1943" s="62"/>
      <c r="P1943" s="62"/>
      <c r="Q1943" s="62"/>
    </row>
    <row r="1944" spans="1:17">
      <c r="A1944" s="62"/>
      <c r="B1944" s="62"/>
      <c r="C1944" s="62"/>
      <c r="D1944" s="62"/>
      <c r="E1944" s="62"/>
      <c r="F1944" s="62"/>
      <c r="G1944" s="62"/>
      <c r="H1944" s="62" t="str">
        <f>IF(AND('Data Export'!A1944=前十整体车型排名!$B$2,'Data Export'!B1944=前十整体车型排名!$B$3,'Data Export'!D1944&lt;&gt;""),UPPER('Data Export'!C1944)&amp;"♦"&amp;'Data Export'!D1944,"")</f>
        <v/>
      </c>
      <c r="I1944" s="63" t="str">
        <f>IF(H1944="","",IFERROR(INDEX('Data Export'!G1944:CZ1944,1,MATCH(前十整体车型排名!$B$4,'Data Export'!$G$1:$CZ$1,0)),0))</f>
        <v/>
      </c>
      <c r="J1944" s="62" t="str">
        <f>IF(H1944="","",IF(OR('Data Export'!F1944="三厢轿车",'Data Export'!F1944="掀背轿车",'Data Export'!F1944="旅行车",'Data Export'!F1944="微型车",'Data Export'!F1944="硬顶跑车",'Data Export'!F1944="敞蓬车",'Data Export'!F1944="Targa"),"轿车",IF(OR('Data Export'!F1944="小型MPV",'Data Export'!F1944="客车"),"MPV",IF('Data Export'!F1944="运动型多功能车","SUV","其他"))))</f>
        <v/>
      </c>
      <c r="K1944" s="62"/>
      <c r="L1944" s="62"/>
      <c r="M1944" s="62"/>
      <c r="N1944" s="62"/>
      <c r="O1944" s="62"/>
      <c r="P1944" s="62"/>
      <c r="Q1944" s="62"/>
    </row>
    <row r="1945" spans="1:17">
      <c r="A1945" s="62"/>
      <c r="B1945" s="62"/>
      <c r="C1945" s="62"/>
      <c r="D1945" s="62"/>
      <c r="E1945" s="62"/>
      <c r="F1945" s="62"/>
      <c r="G1945" s="62"/>
      <c r="H1945" s="62" t="str">
        <f>IF(AND('Data Export'!A1945=前十整体车型排名!$B$2,'Data Export'!B1945=前十整体车型排名!$B$3,'Data Export'!D1945&lt;&gt;""),UPPER('Data Export'!C1945)&amp;"♦"&amp;'Data Export'!D1945,"")</f>
        <v/>
      </c>
      <c r="I1945" s="63" t="str">
        <f>IF(H1945="","",IFERROR(INDEX('Data Export'!G1945:CZ1945,1,MATCH(前十整体车型排名!$B$4,'Data Export'!$G$1:$CZ$1,0)),0))</f>
        <v/>
      </c>
      <c r="J1945" s="62" t="str">
        <f>IF(H1945="","",IF(OR('Data Export'!F1945="三厢轿车",'Data Export'!F1945="掀背轿车",'Data Export'!F1945="旅行车",'Data Export'!F1945="微型车",'Data Export'!F1945="硬顶跑车",'Data Export'!F1945="敞蓬车",'Data Export'!F1945="Targa"),"轿车",IF(OR('Data Export'!F1945="小型MPV",'Data Export'!F1945="客车"),"MPV",IF('Data Export'!F1945="运动型多功能车","SUV","其他"))))</f>
        <v/>
      </c>
      <c r="K1945" s="62"/>
      <c r="L1945" s="62"/>
      <c r="M1945" s="62"/>
      <c r="N1945" s="62"/>
      <c r="O1945" s="62"/>
      <c r="P1945" s="62"/>
      <c r="Q1945" s="62"/>
    </row>
    <row r="1946" spans="1:17">
      <c r="A1946" s="62"/>
      <c r="B1946" s="62"/>
      <c r="C1946" s="62"/>
      <c r="D1946" s="62"/>
      <c r="E1946" s="62"/>
      <c r="F1946" s="62"/>
      <c r="G1946" s="62"/>
      <c r="H1946" s="62" t="str">
        <f>IF(AND('Data Export'!A1946=前十整体车型排名!$B$2,'Data Export'!B1946=前十整体车型排名!$B$3,'Data Export'!D1946&lt;&gt;""),UPPER('Data Export'!C1946)&amp;"♦"&amp;'Data Export'!D1946,"")</f>
        <v/>
      </c>
      <c r="I1946" s="63" t="str">
        <f>IF(H1946="","",IFERROR(INDEX('Data Export'!G1946:CZ1946,1,MATCH(前十整体车型排名!$B$4,'Data Export'!$G$1:$CZ$1,0)),0))</f>
        <v/>
      </c>
      <c r="J1946" s="62" t="str">
        <f>IF(H1946="","",IF(OR('Data Export'!F1946="三厢轿车",'Data Export'!F1946="掀背轿车",'Data Export'!F1946="旅行车",'Data Export'!F1946="微型车",'Data Export'!F1946="硬顶跑车",'Data Export'!F1946="敞蓬车",'Data Export'!F1946="Targa"),"轿车",IF(OR('Data Export'!F1946="小型MPV",'Data Export'!F1946="客车"),"MPV",IF('Data Export'!F1946="运动型多功能车","SUV","其他"))))</f>
        <v/>
      </c>
      <c r="K1946" s="62"/>
      <c r="L1946" s="62"/>
      <c r="M1946" s="62"/>
      <c r="N1946" s="62"/>
      <c r="O1946" s="62"/>
      <c r="P1946" s="62"/>
      <c r="Q1946" s="62"/>
    </row>
    <row r="1947" spans="1:17">
      <c r="A1947" s="62"/>
      <c r="B1947" s="62"/>
      <c r="C1947" s="62"/>
      <c r="D1947" s="62"/>
      <c r="E1947" s="62"/>
      <c r="F1947" s="62"/>
      <c r="G1947" s="62"/>
      <c r="H1947" s="62" t="str">
        <f>IF(AND('Data Export'!A1947=前十整体车型排名!$B$2,'Data Export'!B1947=前十整体车型排名!$B$3,'Data Export'!D1947&lt;&gt;""),UPPER('Data Export'!C1947)&amp;"♦"&amp;'Data Export'!D1947,"")</f>
        <v/>
      </c>
      <c r="I1947" s="63" t="str">
        <f>IF(H1947="","",IFERROR(INDEX('Data Export'!G1947:CZ1947,1,MATCH(前十整体车型排名!$B$4,'Data Export'!$G$1:$CZ$1,0)),0))</f>
        <v/>
      </c>
      <c r="J1947" s="62" t="str">
        <f>IF(H1947="","",IF(OR('Data Export'!F1947="三厢轿车",'Data Export'!F1947="掀背轿车",'Data Export'!F1947="旅行车",'Data Export'!F1947="微型车",'Data Export'!F1947="硬顶跑车",'Data Export'!F1947="敞蓬车",'Data Export'!F1947="Targa"),"轿车",IF(OR('Data Export'!F1947="小型MPV",'Data Export'!F1947="客车"),"MPV",IF('Data Export'!F1947="运动型多功能车","SUV","其他"))))</f>
        <v/>
      </c>
      <c r="K1947" s="62"/>
      <c r="L1947" s="62"/>
      <c r="M1947" s="62"/>
      <c r="N1947" s="62"/>
      <c r="O1947" s="62"/>
      <c r="P1947" s="62"/>
      <c r="Q1947" s="62"/>
    </row>
    <row r="1948" spans="1:17">
      <c r="A1948" s="62"/>
      <c r="B1948" s="62"/>
      <c r="C1948" s="62"/>
      <c r="D1948" s="62"/>
      <c r="E1948" s="62"/>
      <c r="F1948" s="62"/>
      <c r="G1948" s="62"/>
      <c r="H1948" s="62" t="str">
        <f>IF(AND('Data Export'!A1948=前十整体车型排名!$B$2,'Data Export'!B1948=前十整体车型排名!$B$3,'Data Export'!D1948&lt;&gt;""),UPPER('Data Export'!C1948)&amp;"♦"&amp;'Data Export'!D1948,"")</f>
        <v/>
      </c>
      <c r="I1948" s="63" t="str">
        <f>IF(H1948="","",IFERROR(INDEX('Data Export'!G1948:CZ1948,1,MATCH(前十整体车型排名!$B$4,'Data Export'!$G$1:$CZ$1,0)),0))</f>
        <v/>
      </c>
      <c r="J1948" s="62" t="str">
        <f>IF(H1948="","",IF(OR('Data Export'!F1948="三厢轿车",'Data Export'!F1948="掀背轿车",'Data Export'!F1948="旅行车",'Data Export'!F1948="微型车",'Data Export'!F1948="硬顶跑车",'Data Export'!F1948="敞蓬车",'Data Export'!F1948="Targa"),"轿车",IF(OR('Data Export'!F1948="小型MPV",'Data Export'!F1948="客车"),"MPV",IF('Data Export'!F1948="运动型多功能车","SUV","其他"))))</f>
        <v/>
      </c>
      <c r="K1948" s="62"/>
      <c r="L1948" s="62"/>
      <c r="M1948" s="62"/>
      <c r="N1948" s="62"/>
      <c r="O1948" s="62"/>
      <c r="P1948" s="62"/>
      <c r="Q1948" s="62"/>
    </row>
    <row r="1949" spans="1:17">
      <c r="A1949" s="62"/>
      <c r="B1949" s="62"/>
      <c r="C1949" s="62"/>
      <c r="D1949" s="62"/>
      <c r="E1949" s="62"/>
      <c r="F1949" s="62"/>
      <c r="G1949" s="62"/>
      <c r="H1949" s="62" t="str">
        <f>IF(AND('Data Export'!A1949=前十整体车型排名!$B$2,'Data Export'!B1949=前十整体车型排名!$B$3,'Data Export'!D1949&lt;&gt;""),UPPER('Data Export'!C1949)&amp;"♦"&amp;'Data Export'!D1949,"")</f>
        <v/>
      </c>
      <c r="I1949" s="63" t="str">
        <f>IF(H1949="","",IFERROR(INDEX('Data Export'!G1949:CZ1949,1,MATCH(前十整体车型排名!$B$4,'Data Export'!$G$1:$CZ$1,0)),0))</f>
        <v/>
      </c>
      <c r="J1949" s="62" t="str">
        <f>IF(H1949="","",IF(OR('Data Export'!F1949="三厢轿车",'Data Export'!F1949="掀背轿车",'Data Export'!F1949="旅行车",'Data Export'!F1949="微型车",'Data Export'!F1949="硬顶跑车",'Data Export'!F1949="敞蓬车",'Data Export'!F1949="Targa"),"轿车",IF(OR('Data Export'!F1949="小型MPV",'Data Export'!F1949="客车"),"MPV",IF('Data Export'!F1949="运动型多功能车","SUV","其他"))))</f>
        <v/>
      </c>
      <c r="K1949" s="62"/>
      <c r="L1949" s="62"/>
      <c r="M1949" s="62"/>
      <c r="N1949" s="62"/>
      <c r="O1949" s="62"/>
      <c r="P1949" s="62"/>
      <c r="Q1949" s="62"/>
    </row>
    <row r="1950" spans="1:17">
      <c r="A1950" s="62"/>
      <c r="B1950" s="62"/>
      <c r="C1950" s="62"/>
      <c r="D1950" s="62"/>
      <c r="E1950" s="62"/>
      <c r="F1950" s="62"/>
      <c r="G1950" s="62"/>
      <c r="H1950" s="62" t="str">
        <f>IF(AND('Data Export'!A1950=前十整体车型排名!$B$2,'Data Export'!B1950=前十整体车型排名!$B$3,'Data Export'!D1950&lt;&gt;""),UPPER('Data Export'!C1950)&amp;"♦"&amp;'Data Export'!D1950,"")</f>
        <v/>
      </c>
      <c r="I1950" s="63" t="str">
        <f>IF(H1950="","",IFERROR(INDEX('Data Export'!G1950:CZ1950,1,MATCH(前十整体车型排名!$B$4,'Data Export'!$G$1:$CZ$1,0)),0))</f>
        <v/>
      </c>
      <c r="J1950" s="62" t="str">
        <f>IF(H1950="","",IF(OR('Data Export'!F1950="三厢轿车",'Data Export'!F1950="掀背轿车",'Data Export'!F1950="旅行车",'Data Export'!F1950="微型车",'Data Export'!F1950="硬顶跑车",'Data Export'!F1950="敞蓬车",'Data Export'!F1950="Targa"),"轿车",IF(OR('Data Export'!F1950="小型MPV",'Data Export'!F1950="客车"),"MPV",IF('Data Export'!F1950="运动型多功能车","SUV","其他"))))</f>
        <v/>
      </c>
      <c r="K1950" s="62"/>
      <c r="L1950" s="62"/>
      <c r="M1950" s="62"/>
      <c r="N1950" s="62"/>
      <c r="O1950" s="62"/>
      <c r="P1950" s="62"/>
      <c r="Q1950" s="62"/>
    </row>
    <row r="1951" spans="1:17">
      <c r="A1951" s="62"/>
      <c r="B1951" s="62"/>
      <c r="C1951" s="62"/>
      <c r="D1951" s="62"/>
      <c r="E1951" s="62"/>
      <c r="F1951" s="62"/>
      <c r="G1951" s="62"/>
      <c r="H1951" s="62" t="str">
        <f>IF(AND('Data Export'!A1951=前十整体车型排名!$B$2,'Data Export'!B1951=前十整体车型排名!$B$3,'Data Export'!D1951&lt;&gt;""),UPPER('Data Export'!C1951)&amp;"♦"&amp;'Data Export'!D1951,"")</f>
        <v/>
      </c>
      <c r="I1951" s="63" t="str">
        <f>IF(H1951="","",IFERROR(INDEX('Data Export'!G1951:CZ1951,1,MATCH(前十整体车型排名!$B$4,'Data Export'!$G$1:$CZ$1,0)),0))</f>
        <v/>
      </c>
      <c r="J1951" s="62" t="str">
        <f>IF(H1951="","",IF(OR('Data Export'!F1951="三厢轿车",'Data Export'!F1951="掀背轿车",'Data Export'!F1951="旅行车",'Data Export'!F1951="微型车",'Data Export'!F1951="硬顶跑车",'Data Export'!F1951="敞蓬车",'Data Export'!F1951="Targa"),"轿车",IF(OR('Data Export'!F1951="小型MPV",'Data Export'!F1951="客车"),"MPV",IF('Data Export'!F1951="运动型多功能车","SUV","其他"))))</f>
        <v/>
      </c>
      <c r="K1951" s="62"/>
      <c r="L1951" s="62"/>
      <c r="M1951" s="62"/>
      <c r="N1951" s="62"/>
      <c r="O1951" s="62"/>
      <c r="P1951" s="62"/>
      <c r="Q1951" s="62"/>
    </row>
    <row r="1952" spans="1:17">
      <c r="A1952" s="62"/>
      <c r="B1952" s="62"/>
      <c r="C1952" s="62"/>
      <c r="D1952" s="62"/>
      <c r="E1952" s="62"/>
      <c r="F1952" s="62"/>
      <c r="G1952" s="62"/>
      <c r="H1952" s="62" t="str">
        <f>IF(AND('Data Export'!A1952=前十整体车型排名!$B$2,'Data Export'!B1952=前十整体车型排名!$B$3,'Data Export'!D1952&lt;&gt;""),UPPER('Data Export'!C1952)&amp;"♦"&amp;'Data Export'!D1952,"")</f>
        <v/>
      </c>
      <c r="I1952" s="63" t="str">
        <f>IF(H1952="","",IFERROR(INDEX('Data Export'!G1952:CZ1952,1,MATCH(前十整体车型排名!$B$4,'Data Export'!$G$1:$CZ$1,0)),0))</f>
        <v/>
      </c>
      <c r="J1952" s="62" t="str">
        <f>IF(H1952="","",IF(OR('Data Export'!F1952="三厢轿车",'Data Export'!F1952="掀背轿车",'Data Export'!F1952="旅行车",'Data Export'!F1952="微型车",'Data Export'!F1952="硬顶跑车",'Data Export'!F1952="敞蓬车",'Data Export'!F1952="Targa"),"轿车",IF(OR('Data Export'!F1952="小型MPV",'Data Export'!F1952="客车"),"MPV",IF('Data Export'!F1952="运动型多功能车","SUV","其他"))))</f>
        <v/>
      </c>
      <c r="K1952" s="62"/>
      <c r="L1952" s="62"/>
      <c r="M1952" s="62"/>
      <c r="N1952" s="62"/>
      <c r="O1952" s="62"/>
      <c r="P1952" s="62"/>
      <c r="Q1952" s="62"/>
    </row>
    <row r="1953" spans="1:17">
      <c r="A1953" s="62"/>
      <c r="B1953" s="62"/>
      <c r="C1953" s="62"/>
      <c r="D1953" s="62"/>
      <c r="E1953" s="62"/>
      <c r="F1953" s="62"/>
      <c r="G1953" s="62"/>
      <c r="H1953" s="62" t="str">
        <f>IF(AND('Data Export'!A1953=前十整体车型排名!$B$2,'Data Export'!B1953=前十整体车型排名!$B$3,'Data Export'!D1953&lt;&gt;""),UPPER('Data Export'!C1953)&amp;"♦"&amp;'Data Export'!D1953,"")</f>
        <v/>
      </c>
      <c r="I1953" s="63" t="str">
        <f>IF(H1953="","",IFERROR(INDEX('Data Export'!G1953:CZ1953,1,MATCH(前十整体车型排名!$B$4,'Data Export'!$G$1:$CZ$1,0)),0))</f>
        <v/>
      </c>
      <c r="J1953" s="62" t="str">
        <f>IF(H1953="","",IF(OR('Data Export'!F1953="三厢轿车",'Data Export'!F1953="掀背轿车",'Data Export'!F1953="旅行车",'Data Export'!F1953="微型车",'Data Export'!F1953="硬顶跑车",'Data Export'!F1953="敞蓬车",'Data Export'!F1953="Targa"),"轿车",IF(OR('Data Export'!F1953="小型MPV",'Data Export'!F1953="客车"),"MPV",IF('Data Export'!F1953="运动型多功能车","SUV","其他"))))</f>
        <v/>
      </c>
      <c r="K1953" s="62"/>
      <c r="L1953" s="62"/>
      <c r="M1953" s="62"/>
      <c r="N1953" s="62"/>
      <c r="O1953" s="62"/>
      <c r="P1953" s="62"/>
      <c r="Q1953" s="62"/>
    </row>
    <row r="1954" spans="1:17">
      <c r="A1954" s="62"/>
      <c r="B1954" s="62"/>
      <c r="C1954" s="62"/>
      <c r="D1954" s="62"/>
      <c r="E1954" s="62"/>
      <c r="F1954" s="62"/>
      <c r="G1954" s="62"/>
      <c r="H1954" s="62" t="str">
        <f>IF(AND('Data Export'!A1954=前十整体车型排名!$B$2,'Data Export'!B1954=前十整体车型排名!$B$3,'Data Export'!D1954&lt;&gt;""),UPPER('Data Export'!C1954)&amp;"♦"&amp;'Data Export'!D1954,"")</f>
        <v/>
      </c>
      <c r="I1954" s="63" t="str">
        <f>IF(H1954="","",IFERROR(INDEX('Data Export'!G1954:CZ1954,1,MATCH(前十整体车型排名!$B$4,'Data Export'!$G$1:$CZ$1,0)),0))</f>
        <v/>
      </c>
      <c r="J1954" s="62" t="str">
        <f>IF(H1954="","",IF(OR('Data Export'!F1954="三厢轿车",'Data Export'!F1954="掀背轿车",'Data Export'!F1954="旅行车",'Data Export'!F1954="微型车",'Data Export'!F1954="硬顶跑车",'Data Export'!F1954="敞蓬车",'Data Export'!F1954="Targa"),"轿车",IF(OR('Data Export'!F1954="小型MPV",'Data Export'!F1954="客车"),"MPV",IF('Data Export'!F1954="运动型多功能车","SUV","其他"))))</f>
        <v/>
      </c>
      <c r="K1954" s="62"/>
      <c r="L1954" s="62"/>
      <c r="M1954" s="62"/>
      <c r="N1954" s="62"/>
      <c r="O1954" s="62"/>
      <c r="P1954" s="62"/>
      <c r="Q1954" s="62"/>
    </row>
    <row r="1955" spans="1:17">
      <c r="A1955" s="62"/>
      <c r="B1955" s="62"/>
      <c r="C1955" s="62"/>
      <c r="D1955" s="62"/>
      <c r="E1955" s="62"/>
      <c r="F1955" s="62"/>
      <c r="G1955" s="62"/>
      <c r="H1955" s="62" t="str">
        <f>IF(AND('Data Export'!A1955=前十整体车型排名!$B$2,'Data Export'!B1955=前十整体车型排名!$B$3,'Data Export'!D1955&lt;&gt;""),UPPER('Data Export'!C1955)&amp;"♦"&amp;'Data Export'!D1955,"")</f>
        <v/>
      </c>
      <c r="I1955" s="63" t="str">
        <f>IF(H1955="","",IFERROR(INDEX('Data Export'!G1955:CZ1955,1,MATCH(前十整体车型排名!$B$4,'Data Export'!$G$1:$CZ$1,0)),0))</f>
        <v/>
      </c>
      <c r="J1955" s="62" t="str">
        <f>IF(H1955="","",IF(OR('Data Export'!F1955="三厢轿车",'Data Export'!F1955="掀背轿车",'Data Export'!F1955="旅行车",'Data Export'!F1955="微型车",'Data Export'!F1955="硬顶跑车",'Data Export'!F1955="敞蓬车",'Data Export'!F1955="Targa"),"轿车",IF(OR('Data Export'!F1955="小型MPV",'Data Export'!F1955="客车"),"MPV",IF('Data Export'!F1955="运动型多功能车","SUV","其他"))))</f>
        <v/>
      </c>
      <c r="K1955" s="62"/>
      <c r="L1955" s="62"/>
      <c r="M1955" s="62"/>
      <c r="N1955" s="62"/>
      <c r="O1955" s="62"/>
      <c r="P1955" s="62"/>
      <c r="Q1955" s="62"/>
    </row>
    <row r="1956" spans="1:17">
      <c r="A1956" s="62"/>
      <c r="B1956" s="62"/>
      <c r="C1956" s="62"/>
      <c r="D1956" s="62"/>
      <c r="E1956" s="62"/>
      <c r="F1956" s="62"/>
      <c r="G1956" s="62"/>
      <c r="H1956" s="62" t="str">
        <f>IF(AND('Data Export'!A1956=前十整体车型排名!$B$2,'Data Export'!B1956=前十整体车型排名!$B$3,'Data Export'!D1956&lt;&gt;""),UPPER('Data Export'!C1956)&amp;"♦"&amp;'Data Export'!D1956,"")</f>
        <v/>
      </c>
      <c r="I1956" s="63" t="str">
        <f>IF(H1956="","",IFERROR(INDEX('Data Export'!G1956:CZ1956,1,MATCH(前十整体车型排名!$B$4,'Data Export'!$G$1:$CZ$1,0)),0))</f>
        <v/>
      </c>
      <c r="J1956" s="62" t="str">
        <f>IF(H1956="","",IF(OR('Data Export'!F1956="三厢轿车",'Data Export'!F1956="掀背轿车",'Data Export'!F1956="旅行车",'Data Export'!F1956="微型车",'Data Export'!F1956="硬顶跑车",'Data Export'!F1956="敞蓬车",'Data Export'!F1956="Targa"),"轿车",IF(OR('Data Export'!F1956="小型MPV",'Data Export'!F1956="客车"),"MPV",IF('Data Export'!F1956="运动型多功能车","SUV","其他"))))</f>
        <v/>
      </c>
      <c r="K1956" s="62"/>
      <c r="L1956" s="62"/>
      <c r="M1956" s="62"/>
      <c r="N1956" s="62"/>
      <c r="O1956" s="62"/>
      <c r="P1956" s="62"/>
      <c r="Q1956" s="62"/>
    </row>
    <row r="1957" spans="1:17">
      <c r="A1957" s="62"/>
      <c r="B1957" s="62"/>
      <c r="C1957" s="62"/>
      <c r="D1957" s="62"/>
      <c r="E1957" s="62"/>
      <c r="F1957" s="62"/>
      <c r="G1957" s="62"/>
      <c r="H1957" s="62" t="str">
        <f>IF(AND('Data Export'!A1957=前十整体车型排名!$B$2,'Data Export'!B1957=前十整体车型排名!$B$3,'Data Export'!D1957&lt;&gt;""),UPPER('Data Export'!C1957)&amp;"♦"&amp;'Data Export'!D1957,"")</f>
        <v/>
      </c>
      <c r="I1957" s="63" t="str">
        <f>IF(H1957="","",IFERROR(INDEX('Data Export'!G1957:CZ1957,1,MATCH(前十整体车型排名!$B$4,'Data Export'!$G$1:$CZ$1,0)),0))</f>
        <v/>
      </c>
      <c r="J1957" s="62" t="str">
        <f>IF(H1957="","",IF(OR('Data Export'!F1957="三厢轿车",'Data Export'!F1957="掀背轿车",'Data Export'!F1957="旅行车",'Data Export'!F1957="微型车",'Data Export'!F1957="硬顶跑车",'Data Export'!F1957="敞蓬车",'Data Export'!F1957="Targa"),"轿车",IF(OR('Data Export'!F1957="小型MPV",'Data Export'!F1957="客车"),"MPV",IF('Data Export'!F1957="运动型多功能车","SUV","其他"))))</f>
        <v/>
      </c>
      <c r="K1957" s="62"/>
      <c r="L1957" s="62"/>
      <c r="M1957" s="62"/>
      <c r="N1957" s="62"/>
      <c r="O1957" s="62"/>
      <c r="P1957" s="62"/>
      <c r="Q1957" s="62"/>
    </row>
    <row r="1958" spans="1:17">
      <c r="A1958" s="62"/>
      <c r="B1958" s="62"/>
      <c r="C1958" s="62"/>
      <c r="D1958" s="62"/>
      <c r="E1958" s="62"/>
      <c r="F1958" s="62"/>
      <c r="G1958" s="62"/>
      <c r="H1958" s="62" t="str">
        <f>IF(AND('Data Export'!A1958=前十整体车型排名!$B$2,'Data Export'!B1958=前十整体车型排名!$B$3,'Data Export'!D1958&lt;&gt;""),UPPER('Data Export'!C1958)&amp;"♦"&amp;'Data Export'!D1958,"")</f>
        <v/>
      </c>
      <c r="I1958" s="63" t="str">
        <f>IF(H1958="","",IFERROR(INDEX('Data Export'!G1958:CZ1958,1,MATCH(前十整体车型排名!$B$4,'Data Export'!$G$1:$CZ$1,0)),0))</f>
        <v/>
      </c>
      <c r="J1958" s="62" t="str">
        <f>IF(H1958="","",IF(OR('Data Export'!F1958="三厢轿车",'Data Export'!F1958="掀背轿车",'Data Export'!F1958="旅行车",'Data Export'!F1958="微型车",'Data Export'!F1958="硬顶跑车",'Data Export'!F1958="敞蓬车",'Data Export'!F1958="Targa"),"轿车",IF(OR('Data Export'!F1958="小型MPV",'Data Export'!F1958="客车"),"MPV",IF('Data Export'!F1958="运动型多功能车","SUV","其他"))))</f>
        <v/>
      </c>
      <c r="K1958" s="62"/>
      <c r="L1958" s="62"/>
      <c r="M1958" s="62"/>
      <c r="N1958" s="62"/>
      <c r="O1958" s="62"/>
      <c r="P1958" s="62"/>
      <c r="Q1958" s="62"/>
    </row>
    <row r="1959" spans="1:17">
      <c r="A1959" s="62"/>
      <c r="B1959" s="62"/>
      <c r="C1959" s="62"/>
      <c r="D1959" s="62"/>
      <c r="E1959" s="62"/>
      <c r="F1959" s="62"/>
      <c r="G1959" s="62"/>
      <c r="H1959" s="62" t="str">
        <f>IF(AND('Data Export'!A1959=前十整体车型排名!$B$2,'Data Export'!B1959=前十整体车型排名!$B$3,'Data Export'!D1959&lt;&gt;""),UPPER('Data Export'!C1959)&amp;"♦"&amp;'Data Export'!D1959,"")</f>
        <v/>
      </c>
      <c r="I1959" s="63" t="str">
        <f>IF(H1959="","",IFERROR(INDEX('Data Export'!G1959:CZ1959,1,MATCH(前十整体车型排名!$B$4,'Data Export'!$G$1:$CZ$1,0)),0))</f>
        <v/>
      </c>
      <c r="J1959" s="62" t="str">
        <f>IF(H1959="","",IF(OR('Data Export'!F1959="三厢轿车",'Data Export'!F1959="掀背轿车",'Data Export'!F1959="旅行车",'Data Export'!F1959="微型车",'Data Export'!F1959="硬顶跑车",'Data Export'!F1959="敞蓬车",'Data Export'!F1959="Targa"),"轿车",IF(OR('Data Export'!F1959="小型MPV",'Data Export'!F1959="客车"),"MPV",IF('Data Export'!F1959="运动型多功能车","SUV","其他"))))</f>
        <v/>
      </c>
      <c r="K1959" s="62"/>
      <c r="L1959" s="62"/>
      <c r="M1959" s="62"/>
      <c r="N1959" s="62"/>
      <c r="O1959" s="62"/>
      <c r="P1959" s="62"/>
      <c r="Q1959" s="62"/>
    </row>
    <row r="1960" spans="1:17">
      <c r="A1960" s="62"/>
      <c r="B1960" s="62"/>
      <c r="C1960" s="62"/>
      <c r="D1960" s="62"/>
      <c r="E1960" s="62"/>
      <c r="F1960" s="62"/>
      <c r="G1960" s="62"/>
      <c r="H1960" s="62" t="str">
        <f>IF(AND('Data Export'!A1960=前十整体车型排名!$B$2,'Data Export'!B1960=前十整体车型排名!$B$3,'Data Export'!D1960&lt;&gt;""),UPPER('Data Export'!C1960)&amp;"♦"&amp;'Data Export'!D1960,"")</f>
        <v/>
      </c>
      <c r="I1960" s="63" t="str">
        <f>IF(H1960="","",IFERROR(INDEX('Data Export'!G1960:CZ1960,1,MATCH(前十整体车型排名!$B$4,'Data Export'!$G$1:$CZ$1,0)),0))</f>
        <v/>
      </c>
      <c r="J1960" s="62" t="str">
        <f>IF(H1960="","",IF(OR('Data Export'!F1960="三厢轿车",'Data Export'!F1960="掀背轿车",'Data Export'!F1960="旅行车",'Data Export'!F1960="微型车",'Data Export'!F1960="硬顶跑车",'Data Export'!F1960="敞蓬车",'Data Export'!F1960="Targa"),"轿车",IF(OR('Data Export'!F1960="小型MPV",'Data Export'!F1960="客车"),"MPV",IF('Data Export'!F1960="运动型多功能车","SUV","其他"))))</f>
        <v/>
      </c>
      <c r="K1960" s="62"/>
      <c r="L1960" s="62"/>
      <c r="M1960" s="62"/>
      <c r="N1960" s="62"/>
      <c r="O1960" s="62"/>
      <c r="P1960" s="62"/>
      <c r="Q1960" s="62"/>
    </row>
    <row r="1961" spans="1:17">
      <c r="A1961" s="62"/>
      <c r="B1961" s="62"/>
      <c r="C1961" s="62"/>
      <c r="D1961" s="62"/>
      <c r="E1961" s="62"/>
      <c r="F1961" s="62"/>
      <c r="G1961" s="62"/>
      <c r="H1961" s="62" t="str">
        <f>IF(AND('Data Export'!A1961=前十整体车型排名!$B$2,'Data Export'!B1961=前十整体车型排名!$B$3,'Data Export'!D1961&lt;&gt;""),UPPER('Data Export'!C1961)&amp;"♦"&amp;'Data Export'!D1961,"")</f>
        <v/>
      </c>
      <c r="I1961" s="63" t="str">
        <f>IF(H1961="","",IFERROR(INDEX('Data Export'!G1961:CZ1961,1,MATCH(前十整体车型排名!$B$4,'Data Export'!$G$1:$CZ$1,0)),0))</f>
        <v/>
      </c>
      <c r="J1961" s="62" t="str">
        <f>IF(H1961="","",IF(OR('Data Export'!F1961="三厢轿车",'Data Export'!F1961="掀背轿车",'Data Export'!F1961="旅行车",'Data Export'!F1961="微型车",'Data Export'!F1961="硬顶跑车",'Data Export'!F1961="敞蓬车",'Data Export'!F1961="Targa"),"轿车",IF(OR('Data Export'!F1961="小型MPV",'Data Export'!F1961="客车"),"MPV",IF('Data Export'!F1961="运动型多功能车","SUV","其他"))))</f>
        <v/>
      </c>
      <c r="K1961" s="62"/>
      <c r="L1961" s="62"/>
      <c r="M1961" s="62"/>
      <c r="N1961" s="62"/>
      <c r="O1961" s="62"/>
      <c r="P1961" s="62"/>
      <c r="Q1961" s="62"/>
    </row>
    <row r="1962" spans="1:17">
      <c r="A1962" s="62"/>
      <c r="B1962" s="62"/>
      <c r="C1962" s="62"/>
      <c r="D1962" s="62"/>
      <c r="E1962" s="62"/>
      <c r="F1962" s="62"/>
      <c r="G1962" s="62"/>
      <c r="H1962" s="62" t="str">
        <f>IF(AND('Data Export'!A1962=前十整体车型排名!$B$2,'Data Export'!B1962=前十整体车型排名!$B$3,'Data Export'!D1962&lt;&gt;""),UPPER('Data Export'!C1962)&amp;"♦"&amp;'Data Export'!D1962,"")</f>
        <v/>
      </c>
      <c r="I1962" s="63" t="str">
        <f>IF(H1962="","",IFERROR(INDEX('Data Export'!G1962:CZ1962,1,MATCH(前十整体车型排名!$B$4,'Data Export'!$G$1:$CZ$1,0)),0))</f>
        <v/>
      </c>
      <c r="J1962" s="62" t="str">
        <f>IF(H1962="","",IF(OR('Data Export'!F1962="三厢轿车",'Data Export'!F1962="掀背轿车",'Data Export'!F1962="旅行车",'Data Export'!F1962="微型车",'Data Export'!F1962="硬顶跑车",'Data Export'!F1962="敞蓬车",'Data Export'!F1962="Targa"),"轿车",IF(OR('Data Export'!F1962="小型MPV",'Data Export'!F1962="客车"),"MPV",IF('Data Export'!F1962="运动型多功能车","SUV","其他"))))</f>
        <v/>
      </c>
      <c r="K1962" s="62"/>
      <c r="L1962" s="62"/>
      <c r="M1962" s="62"/>
      <c r="N1962" s="62"/>
      <c r="O1962" s="62"/>
      <c r="P1962" s="62"/>
      <c r="Q1962" s="62"/>
    </row>
    <row r="1963" spans="1:17">
      <c r="A1963" s="62"/>
      <c r="B1963" s="62"/>
      <c r="C1963" s="62"/>
      <c r="D1963" s="62"/>
      <c r="E1963" s="62"/>
      <c r="F1963" s="62"/>
      <c r="G1963" s="62"/>
      <c r="H1963" s="62" t="str">
        <f>IF(AND('Data Export'!A1963=前十整体车型排名!$B$2,'Data Export'!B1963=前十整体车型排名!$B$3,'Data Export'!D1963&lt;&gt;""),UPPER('Data Export'!C1963)&amp;"♦"&amp;'Data Export'!D1963,"")</f>
        <v/>
      </c>
      <c r="I1963" s="63" t="str">
        <f>IF(H1963="","",IFERROR(INDEX('Data Export'!G1963:CZ1963,1,MATCH(前十整体车型排名!$B$4,'Data Export'!$G$1:$CZ$1,0)),0))</f>
        <v/>
      </c>
      <c r="J1963" s="62" t="str">
        <f>IF(H1963="","",IF(OR('Data Export'!F1963="三厢轿车",'Data Export'!F1963="掀背轿车",'Data Export'!F1963="旅行车",'Data Export'!F1963="微型车",'Data Export'!F1963="硬顶跑车",'Data Export'!F1963="敞蓬车",'Data Export'!F1963="Targa"),"轿车",IF(OR('Data Export'!F1963="小型MPV",'Data Export'!F1963="客车"),"MPV",IF('Data Export'!F1963="运动型多功能车","SUV","其他"))))</f>
        <v/>
      </c>
      <c r="K1963" s="62"/>
      <c r="L1963" s="62"/>
      <c r="M1963" s="62"/>
      <c r="N1963" s="62"/>
      <c r="O1963" s="62"/>
      <c r="P1963" s="62"/>
      <c r="Q1963" s="62"/>
    </row>
    <row r="1964" spans="1:17">
      <c r="A1964" s="62"/>
      <c r="B1964" s="62"/>
      <c r="C1964" s="62"/>
      <c r="D1964" s="62"/>
      <c r="E1964" s="62"/>
      <c r="F1964" s="62"/>
      <c r="G1964" s="62"/>
      <c r="H1964" s="62" t="str">
        <f>IF(AND('Data Export'!A1964=前十整体车型排名!$B$2,'Data Export'!B1964=前十整体车型排名!$B$3,'Data Export'!D1964&lt;&gt;""),UPPER('Data Export'!C1964)&amp;"♦"&amp;'Data Export'!D1964,"")</f>
        <v/>
      </c>
      <c r="I1964" s="63" t="str">
        <f>IF(H1964="","",IFERROR(INDEX('Data Export'!G1964:CZ1964,1,MATCH(前十整体车型排名!$B$4,'Data Export'!$G$1:$CZ$1,0)),0))</f>
        <v/>
      </c>
      <c r="J1964" s="62" t="str">
        <f>IF(H1964="","",IF(OR('Data Export'!F1964="三厢轿车",'Data Export'!F1964="掀背轿车",'Data Export'!F1964="旅行车",'Data Export'!F1964="微型车",'Data Export'!F1964="硬顶跑车",'Data Export'!F1964="敞蓬车",'Data Export'!F1964="Targa"),"轿车",IF(OR('Data Export'!F1964="小型MPV",'Data Export'!F1964="客车"),"MPV",IF('Data Export'!F1964="运动型多功能车","SUV","其他"))))</f>
        <v/>
      </c>
      <c r="K1964" s="62"/>
      <c r="L1964" s="62"/>
      <c r="M1964" s="62"/>
      <c r="N1964" s="62"/>
      <c r="O1964" s="62"/>
      <c r="P1964" s="62"/>
      <c r="Q1964" s="62"/>
    </row>
    <row r="1965" spans="1:17">
      <c r="A1965" s="62"/>
      <c r="B1965" s="62"/>
      <c r="C1965" s="62"/>
      <c r="D1965" s="62"/>
      <c r="E1965" s="62"/>
      <c r="F1965" s="62"/>
      <c r="G1965" s="62"/>
      <c r="H1965" s="62" t="str">
        <f>IF(AND('Data Export'!A1965=前十整体车型排名!$B$2,'Data Export'!B1965=前十整体车型排名!$B$3,'Data Export'!D1965&lt;&gt;""),UPPER('Data Export'!C1965)&amp;"♦"&amp;'Data Export'!D1965,"")</f>
        <v/>
      </c>
      <c r="I1965" s="63" t="str">
        <f>IF(H1965="","",IFERROR(INDEX('Data Export'!G1965:CZ1965,1,MATCH(前十整体车型排名!$B$4,'Data Export'!$G$1:$CZ$1,0)),0))</f>
        <v/>
      </c>
      <c r="J1965" s="62" t="str">
        <f>IF(H1965="","",IF(OR('Data Export'!F1965="三厢轿车",'Data Export'!F1965="掀背轿车",'Data Export'!F1965="旅行车",'Data Export'!F1965="微型车",'Data Export'!F1965="硬顶跑车",'Data Export'!F1965="敞蓬车",'Data Export'!F1965="Targa"),"轿车",IF(OR('Data Export'!F1965="小型MPV",'Data Export'!F1965="客车"),"MPV",IF('Data Export'!F1965="运动型多功能车","SUV","其他"))))</f>
        <v/>
      </c>
      <c r="K1965" s="62"/>
      <c r="L1965" s="62"/>
      <c r="M1965" s="62"/>
      <c r="N1965" s="62"/>
      <c r="O1965" s="62"/>
      <c r="P1965" s="62"/>
      <c r="Q1965" s="62"/>
    </row>
    <row r="1966" spans="1:17">
      <c r="A1966" s="62"/>
      <c r="B1966" s="62"/>
      <c r="C1966" s="62"/>
      <c r="D1966" s="62"/>
      <c r="E1966" s="62"/>
      <c r="F1966" s="62"/>
      <c r="G1966" s="62"/>
      <c r="H1966" s="62" t="str">
        <f>IF(AND('Data Export'!A1966=前十整体车型排名!$B$2,'Data Export'!B1966=前十整体车型排名!$B$3,'Data Export'!D1966&lt;&gt;""),UPPER('Data Export'!C1966)&amp;"♦"&amp;'Data Export'!D1966,"")</f>
        <v/>
      </c>
      <c r="I1966" s="63" t="str">
        <f>IF(H1966="","",IFERROR(INDEX('Data Export'!G1966:CZ1966,1,MATCH(前十整体车型排名!$B$4,'Data Export'!$G$1:$CZ$1,0)),0))</f>
        <v/>
      </c>
      <c r="J1966" s="62" t="str">
        <f>IF(H1966="","",IF(OR('Data Export'!F1966="三厢轿车",'Data Export'!F1966="掀背轿车",'Data Export'!F1966="旅行车",'Data Export'!F1966="微型车",'Data Export'!F1966="硬顶跑车",'Data Export'!F1966="敞蓬车",'Data Export'!F1966="Targa"),"轿车",IF(OR('Data Export'!F1966="小型MPV",'Data Export'!F1966="客车"),"MPV",IF('Data Export'!F1966="运动型多功能车","SUV","其他"))))</f>
        <v/>
      </c>
      <c r="K1966" s="62"/>
      <c r="L1966" s="62"/>
      <c r="M1966" s="62"/>
      <c r="N1966" s="62"/>
      <c r="O1966" s="62"/>
      <c r="P1966" s="62"/>
      <c r="Q1966" s="62"/>
    </row>
    <row r="1967" spans="1:17">
      <c r="A1967" s="62"/>
      <c r="B1967" s="62"/>
      <c r="C1967" s="62"/>
      <c r="D1967" s="62"/>
      <c r="E1967" s="62"/>
      <c r="F1967" s="62"/>
      <c r="G1967" s="62"/>
      <c r="H1967" s="62" t="str">
        <f>IF(AND('Data Export'!A1967=前十整体车型排名!$B$2,'Data Export'!B1967=前十整体车型排名!$B$3,'Data Export'!D1967&lt;&gt;""),UPPER('Data Export'!C1967)&amp;"♦"&amp;'Data Export'!D1967,"")</f>
        <v/>
      </c>
      <c r="I1967" s="63" t="str">
        <f>IF(H1967="","",IFERROR(INDEX('Data Export'!G1967:CZ1967,1,MATCH(前十整体车型排名!$B$4,'Data Export'!$G$1:$CZ$1,0)),0))</f>
        <v/>
      </c>
      <c r="J1967" s="62" t="str">
        <f>IF(H1967="","",IF(OR('Data Export'!F1967="三厢轿车",'Data Export'!F1967="掀背轿车",'Data Export'!F1967="旅行车",'Data Export'!F1967="微型车",'Data Export'!F1967="硬顶跑车",'Data Export'!F1967="敞蓬车",'Data Export'!F1967="Targa"),"轿车",IF(OR('Data Export'!F1967="小型MPV",'Data Export'!F1967="客车"),"MPV",IF('Data Export'!F1967="运动型多功能车","SUV","其他"))))</f>
        <v/>
      </c>
      <c r="K1967" s="62"/>
      <c r="L1967" s="62"/>
      <c r="M1967" s="62"/>
      <c r="N1967" s="62"/>
      <c r="O1967" s="62"/>
      <c r="P1967" s="62"/>
      <c r="Q1967" s="62"/>
    </row>
    <row r="1968" spans="1:17">
      <c r="A1968" s="62"/>
      <c r="B1968" s="62"/>
      <c r="C1968" s="62"/>
      <c r="D1968" s="62"/>
      <c r="E1968" s="62"/>
      <c r="F1968" s="62"/>
      <c r="G1968" s="62"/>
      <c r="H1968" s="62" t="str">
        <f>IF(AND('Data Export'!A1968=前十整体车型排名!$B$2,'Data Export'!B1968=前十整体车型排名!$B$3,'Data Export'!D1968&lt;&gt;""),UPPER('Data Export'!C1968)&amp;"♦"&amp;'Data Export'!D1968,"")</f>
        <v/>
      </c>
      <c r="I1968" s="63" t="str">
        <f>IF(H1968="","",IFERROR(INDEX('Data Export'!G1968:CZ1968,1,MATCH(前十整体车型排名!$B$4,'Data Export'!$G$1:$CZ$1,0)),0))</f>
        <v/>
      </c>
      <c r="J1968" s="62" t="str">
        <f>IF(H1968="","",IF(OR('Data Export'!F1968="三厢轿车",'Data Export'!F1968="掀背轿车",'Data Export'!F1968="旅行车",'Data Export'!F1968="微型车",'Data Export'!F1968="硬顶跑车",'Data Export'!F1968="敞蓬车",'Data Export'!F1968="Targa"),"轿车",IF(OR('Data Export'!F1968="小型MPV",'Data Export'!F1968="客车"),"MPV",IF('Data Export'!F1968="运动型多功能车","SUV","其他"))))</f>
        <v/>
      </c>
      <c r="K1968" s="62"/>
      <c r="L1968" s="62"/>
      <c r="M1968" s="62"/>
      <c r="N1968" s="62"/>
      <c r="O1968" s="62"/>
      <c r="P1968" s="62"/>
      <c r="Q1968" s="62"/>
    </row>
    <row r="1969" spans="1:17">
      <c r="A1969" s="62"/>
      <c r="B1969" s="62"/>
      <c r="C1969" s="62"/>
      <c r="D1969" s="62"/>
      <c r="E1969" s="62"/>
      <c r="F1969" s="62"/>
      <c r="G1969" s="62"/>
      <c r="H1969" s="62" t="str">
        <f>IF(AND('Data Export'!A1969=前十整体车型排名!$B$2,'Data Export'!B1969=前十整体车型排名!$B$3,'Data Export'!D1969&lt;&gt;""),UPPER('Data Export'!C1969)&amp;"♦"&amp;'Data Export'!D1969,"")</f>
        <v/>
      </c>
      <c r="I1969" s="63" t="str">
        <f>IF(H1969="","",IFERROR(INDEX('Data Export'!G1969:CZ1969,1,MATCH(前十整体车型排名!$B$4,'Data Export'!$G$1:$CZ$1,0)),0))</f>
        <v/>
      </c>
      <c r="J1969" s="62" t="str">
        <f>IF(H1969="","",IF(OR('Data Export'!F1969="三厢轿车",'Data Export'!F1969="掀背轿车",'Data Export'!F1969="旅行车",'Data Export'!F1969="微型车",'Data Export'!F1969="硬顶跑车",'Data Export'!F1969="敞蓬车",'Data Export'!F1969="Targa"),"轿车",IF(OR('Data Export'!F1969="小型MPV",'Data Export'!F1969="客车"),"MPV",IF('Data Export'!F1969="运动型多功能车","SUV","其他"))))</f>
        <v/>
      </c>
      <c r="K1969" s="62"/>
      <c r="L1969" s="62"/>
      <c r="M1969" s="62"/>
      <c r="N1969" s="62"/>
      <c r="O1969" s="62"/>
      <c r="P1969" s="62"/>
      <c r="Q1969" s="62"/>
    </row>
    <row r="1970" spans="1:17">
      <c r="A1970" s="62"/>
      <c r="B1970" s="62"/>
      <c r="C1970" s="62"/>
      <c r="D1970" s="62"/>
      <c r="E1970" s="62"/>
      <c r="F1970" s="62"/>
      <c r="G1970" s="62"/>
      <c r="H1970" s="62" t="str">
        <f>IF(AND('Data Export'!A1970=前十整体车型排名!$B$2,'Data Export'!B1970=前十整体车型排名!$B$3,'Data Export'!D1970&lt;&gt;""),UPPER('Data Export'!C1970)&amp;"♦"&amp;'Data Export'!D1970,"")</f>
        <v/>
      </c>
      <c r="I1970" s="63" t="str">
        <f>IF(H1970="","",IFERROR(INDEX('Data Export'!G1970:CZ1970,1,MATCH(前十整体车型排名!$B$4,'Data Export'!$G$1:$CZ$1,0)),0))</f>
        <v/>
      </c>
      <c r="J1970" s="62" t="str">
        <f>IF(H1970="","",IF(OR('Data Export'!F1970="三厢轿车",'Data Export'!F1970="掀背轿车",'Data Export'!F1970="旅行车",'Data Export'!F1970="微型车",'Data Export'!F1970="硬顶跑车",'Data Export'!F1970="敞蓬车",'Data Export'!F1970="Targa"),"轿车",IF(OR('Data Export'!F1970="小型MPV",'Data Export'!F1970="客车"),"MPV",IF('Data Export'!F1970="运动型多功能车","SUV","其他"))))</f>
        <v/>
      </c>
      <c r="K1970" s="62"/>
      <c r="L1970" s="62"/>
      <c r="M1970" s="62"/>
      <c r="N1970" s="62"/>
      <c r="O1970" s="62"/>
      <c r="P1970" s="62"/>
      <c r="Q1970" s="62"/>
    </row>
    <row r="1971" spans="1:17">
      <c r="A1971" s="62"/>
      <c r="B1971" s="62"/>
      <c r="C1971" s="62"/>
      <c r="D1971" s="62"/>
      <c r="E1971" s="62"/>
      <c r="F1971" s="62"/>
      <c r="G1971" s="62"/>
      <c r="H1971" s="62" t="str">
        <f>IF(AND('Data Export'!A1971=前十整体车型排名!$B$2,'Data Export'!B1971=前十整体车型排名!$B$3,'Data Export'!D1971&lt;&gt;""),UPPER('Data Export'!C1971)&amp;"♦"&amp;'Data Export'!D1971,"")</f>
        <v/>
      </c>
      <c r="I1971" s="63" t="str">
        <f>IF(H1971="","",IFERROR(INDEX('Data Export'!G1971:CZ1971,1,MATCH(前十整体车型排名!$B$4,'Data Export'!$G$1:$CZ$1,0)),0))</f>
        <v/>
      </c>
      <c r="J1971" s="62" t="str">
        <f>IF(H1971="","",IF(OR('Data Export'!F1971="三厢轿车",'Data Export'!F1971="掀背轿车",'Data Export'!F1971="旅行车",'Data Export'!F1971="微型车",'Data Export'!F1971="硬顶跑车",'Data Export'!F1971="敞蓬车",'Data Export'!F1971="Targa"),"轿车",IF(OR('Data Export'!F1971="小型MPV",'Data Export'!F1971="客车"),"MPV",IF('Data Export'!F1971="运动型多功能车","SUV","其他"))))</f>
        <v/>
      </c>
      <c r="K1971" s="62"/>
      <c r="L1971" s="62"/>
      <c r="M1971" s="62"/>
      <c r="N1971" s="62"/>
      <c r="O1971" s="62"/>
      <c r="P1971" s="62"/>
      <c r="Q1971" s="62"/>
    </row>
    <row r="1972" spans="1:17">
      <c r="A1972" s="62"/>
      <c r="B1972" s="62"/>
      <c r="C1972" s="62"/>
      <c r="D1972" s="62"/>
      <c r="E1972" s="62"/>
      <c r="F1972" s="62"/>
      <c r="G1972" s="62"/>
      <c r="H1972" s="62" t="str">
        <f>IF(AND('Data Export'!A1972=前十整体车型排名!$B$2,'Data Export'!B1972=前十整体车型排名!$B$3,'Data Export'!D1972&lt;&gt;""),UPPER('Data Export'!C1972)&amp;"♦"&amp;'Data Export'!D1972,"")</f>
        <v/>
      </c>
      <c r="I1972" s="63" t="str">
        <f>IF(H1972="","",IFERROR(INDEX('Data Export'!G1972:CZ1972,1,MATCH(前十整体车型排名!$B$4,'Data Export'!$G$1:$CZ$1,0)),0))</f>
        <v/>
      </c>
      <c r="J1972" s="62" t="str">
        <f>IF(H1972="","",IF(OR('Data Export'!F1972="三厢轿车",'Data Export'!F1972="掀背轿车",'Data Export'!F1972="旅行车",'Data Export'!F1972="微型车",'Data Export'!F1972="硬顶跑车",'Data Export'!F1972="敞蓬车",'Data Export'!F1972="Targa"),"轿车",IF(OR('Data Export'!F1972="小型MPV",'Data Export'!F1972="客车"),"MPV",IF('Data Export'!F1972="运动型多功能车","SUV","其他"))))</f>
        <v/>
      </c>
      <c r="K1972" s="62"/>
      <c r="L1972" s="62"/>
      <c r="M1972" s="62"/>
      <c r="N1972" s="62"/>
      <c r="O1972" s="62"/>
      <c r="P1972" s="62"/>
      <c r="Q1972" s="62"/>
    </row>
    <row r="1973" spans="1:17">
      <c r="A1973" s="62"/>
      <c r="B1973" s="62"/>
      <c r="C1973" s="62"/>
      <c r="D1973" s="62"/>
      <c r="E1973" s="62"/>
      <c r="F1973" s="62"/>
      <c r="G1973" s="62"/>
      <c r="H1973" s="62" t="str">
        <f>IF(AND('Data Export'!A1973=前十整体车型排名!$B$2,'Data Export'!B1973=前十整体车型排名!$B$3,'Data Export'!D1973&lt;&gt;""),UPPER('Data Export'!C1973)&amp;"♦"&amp;'Data Export'!D1973,"")</f>
        <v/>
      </c>
      <c r="I1973" s="63" t="str">
        <f>IF(H1973="","",IFERROR(INDEX('Data Export'!G1973:CZ1973,1,MATCH(前十整体车型排名!$B$4,'Data Export'!$G$1:$CZ$1,0)),0))</f>
        <v/>
      </c>
      <c r="J1973" s="62" t="str">
        <f>IF(H1973="","",IF(OR('Data Export'!F1973="三厢轿车",'Data Export'!F1973="掀背轿车",'Data Export'!F1973="旅行车",'Data Export'!F1973="微型车",'Data Export'!F1973="硬顶跑车",'Data Export'!F1973="敞蓬车",'Data Export'!F1973="Targa"),"轿车",IF(OR('Data Export'!F1973="小型MPV",'Data Export'!F1973="客车"),"MPV",IF('Data Export'!F1973="运动型多功能车","SUV","其他"))))</f>
        <v/>
      </c>
      <c r="K1973" s="62"/>
      <c r="L1973" s="62"/>
      <c r="M1973" s="62"/>
      <c r="N1973" s="62"/>
      <c r="O1973" s="62"/>
      <c r="P1973" s="62"/>
      <c r="Q1973" s="62"/>
    </row>
    <row r="1974" spans="1:17">
      <c r="A1974" s="62"/>
      <c r="B1974" s="62"/>
      <c r="C1974" s="62"/>
      <c r="D1974" s="62"/>
      <c r="E1974" s="62"/>
      <c r="F1974" s="62"/>
      <c r="G1974" s="62"/>
      <c r="H1974" s="62" t="str">
        <f>IF(AND('Data Export'!A1974=前十整体车型排名!$B$2,'Data Export'!B1974=前十整体车型排名!$B$3,'Data Export'!D1974&lt;&gt;""),UPPER('Data Export'!C1974)&amp;"♦"&amp;'Data Export'!D1974,"")</f>
        <v/>
      </c>
      <c r="I1974" s="63" t="str">
        <f>IF(H1974="","",IFERROR(INDEX('Data Export'!G1974:CZ1974,1,MATCH(前十整体车型排名!$B$4,'Data Export'!$G$1:$CZ$1,0)),0))</f>
        <v/>
      </c>
      <c r="J1974" s="62" t="str">
        <f>IF(H1974="","",IF(OR('Data Export'!F1974="三厢轿车",'Data Export'!F1974="掀背轿车",'Data Export'!F1974="旅行车",'Data Export'!F1974="微型车",'Data Export'!F1974="硬顶跑车",'Data Export'!F1974="敞蓬车",'Data Export'!F1974="Targa"),"轿车",IF(OR('Data Export'!F1974="小型MPV",'Data Export'!F1974="客车"),"MPV",IF('Data Export'!F1974="运动型多功能车","SUV","其他"))))</f>
        <v/>
      </c>
      <c r="K1974" s="62"/>
      <c r="L1974" s="62"/>
      <c r="M1974" s="62"/>
      <c r="N1974" s="62"/>
      <c r="O1974" s="62"/>
      <c r="P1974" s="62"/>
      <c r="Q1974" s="62"/>
    </row>
    <row r="1975" spans="1:17">
      <c r="A1975" s="62"/>
      <c r="B1975" s="62"/>
      <c r="C1975" s="62"/>
      <c r="D1975" s="62"/>
      <c r="E1975" s="62"/>
      <c r="F1975" s="62"/>
      <c r="G1975" s="62"/>
      <c r="H1975" s="62" t="str">
        <f>IF(AND('Data Export'!A1975=前十整体车型排名!$B$2,'Data Export'!B1975=前十整体车型排名!$B$3,'Data Export'!D1975&lt;&gt;""),UPPER('Data Export'!C1975)&amp;"♦"&amp;'Data Export'!D1975,"")</f>
        <v/>
      </c>
      <c r="I1975" s="63" t="str">
        <f>IF(H1975="","",IFERROR(INDEX('Data Export'!G1975:CZ1975,1,MATCH(前十整体车型排名!$B$4,'Data Export'!$G$1:$CZ$1,0)),0))</f>
        <v/>
      </c>
      <c r="J1975" s="62" t="str">
        <f>IF(H1975="","",IF(OR('Data Export'!F1975="三厢轿车",'Data Export'!F1975="掀背轿车",'Data Export'!F1975="旅行车",'Data Export'!F1975="微型车",'Data Export'!F1975="硬顶跑车",'Data Export'!F1975="敞蓬车",'Data Export'!F1975="Targa"),"轿车",IF(OR('Data Export'!F1975="小型MPV",'Data Export'!F1975="客车"),"MPV",IF('Data Export'!F1975="运动型多功能车","SUV","其他"))))</f>
        <v/>
      </c>
      <c r="K1975" s="62"/>
      <c r="L1975" s="62"/>
      <c r="M1975" s="62"/>
      <c r="N1975" s="62"/>
      <c r="O1975" s="62"/>
      <c r="P1975" s="62"/>
      <c r="Q1975" s="62"/>
    </row>
    <row r="1976" spans="1:17">
      <c r="A1976" s="62"/>
      <c r="B1976" s="62"/>
      <c r="C1976" s="62"/>
      <c r="D1976" s="62"/>
      <c r="E1976" s="62"/>
      <c r="F1976" s="62"/>
      <c r="G1976" s="62"/>
      <c r="H1976" s="62" t="str">
        <f>IF(AND('Data Export'!A1976=前十整体车型排名!$B$2,'Data Export'!B1976=前十整体车型排名!$B$3,'Data Export'!D1976&lt;&gt;""),UPPER('Data Export'!C1976)&amp;"♦"&amp;'Data Export'!D1976,"")</f>
        <v/>
      </c>
      <c r="I1976" s="63" t="str">
        <f>IF(H1976="","",IFERROR(INDEX('Data Export'!G1976:CZ1976,1,MATCH(前十整体车型排名!$B$4,'Data Export'!$G$1:$CZ$1,0)),0))</f>
        <v/>
      </c>
      <c r="J1976" s="62" t="str">
        <f>IF(H1976="","",IF(OR('Data Export'!F1976="三厢轿车",'Data Export'!F1976="掀背轿车",'Data Export'!F1976="旅行车",'Data Export'!F1976="微型车",'Data Export'!F1976="硬顶跑车",'Data Export'!F1976="敞蓬车",'Data Export'!F1976="Targa"),"轿车",IF(OR('Data Export'!F1976="小型MPV",'Data Export'!F1976="客车"),"MPV",IF('Data Export'!F1976="运动型多功能车","SUV","其他"))))</f>
        <v/>
      </c>
      <c r="K1976" s="62"/>
      <c r="L1976" s="62"/>
      <c r="M1976" s="62"/>
      <c r="N1976" s="62"/>
      <c r="O1976" s="62"/>
      <c r="P1976" s="62"/>
      <c r="Q1976" s="62"/>
    </row>
    <row r="1977" spans="1:17">
      <c r="A1977" s="62"/>
      <c r="B1977" s="62"/>
      <c r="C1977" s="62"/>
      <c r="D1977" s="62"/>
      <c r="E1977" s="62"/>
      <c r="F1977" s="62"/>
      <c r="G1977" s="62"/>
      <c r="H1977" s="62" t="str">
        <f>IF(AND('Data Export'!A1977=前十整体车型排名!$B$2,'Data Export'!B1977=前十整体车型排名!$B$3,'Data Export'!D1977&lt;&gt;""),UPPER('Data Export'!C1977)&amp;"♦"&amp;'Data Export'!D1977,"")</f>
        <v/>
      </c>
      <c r="I1977" s="63" t="str">
        <f>IF(H1977="","",IFERROR(INDEX('Data Export'!G1977:CZ1977,1,MATCH(前十整体车型排名!$B$4,'Data Export'!$G$1:$CZ$1,0)),0))</f>
        <v/>
      </c>
      <c r="J1977" s="62" t="str">
        <f>IF(H1977="","",IF(OR('Data Export'!F1977="三厢轿车",'Data Export'!F1977="掀背轿车",'Data Export'!F1977="旅行车",'Data Export'!F1977="微型车",'Data Export'!F1977="硬顶跑车",'Data Export'!F1977="敞蓬车",'Data Export'!F1977="Targa"),"轿车",IF(OR('Data Export'!F1977="小型MPV",'Data Export'!F1977="客车"),"MPV",IF('Data Export'!F1977="运动型多功能车","SUV","其他"))))</f>
        <v/>
      </c>
      <c r="K1977" s="62"/>
      <c r="L1977" s="62"/>
      <c r="M1977" s="62"/>
      <c r="N1977" s="62"/>
      <c r="O1977" s="62"/>
      <c r="P1977" s="62"/>
      <c r="Q1977" s="62"/>
    </row>
    <row r="1978" spans="1:17">
      <c r="A1978" s="62"/>
      <c r="B1978" s="62"/>
      <c r="C1978" s="62"/>
      <c r="D1978" s="62"/>
      <c r="E1978" s="62"/>
      <c r="F1978" s="62"/>
      <c r="G1978" s="62"/>
      <c r="H1978" s="62" t="str">
        <f>IF(AND('Data Export'!A1978=前十整体车型排名!$B$2,'Data Export'!B1978=前十整体车型排名!$B$3,'Data Export'!D1978&lt;&gt;""),UPPER('Data Export'!C1978)&amp;"♦"&amp;'Data Export'!D1978,"")</f>
        <v/>
      </c>
      <c r="I1978" s="63" t="str">
        <f>IF(H1978="","",IFERROR(INDEX('Data Export'!G1978:CZ1978,1,MATCH(前十整体车型排名!$B$4,'Data Export'!$G$1:$CZ$1,0)),0))</f>
        <v/>
      </c>
      <c r="J1978" s="62" t="str">
        <f>IF(H1978="","",IF(OR('Data Export'!F1978="三厢轿车",'Data Export'!F1978="掀背轿车",'Data Export'!F1978="旅行车",'Data Export'!F1978="微型车",'Data Export'!F1978="硬顶跑车",'Data Export'!F1978="敞蓬车",'Data Export'!F1978="Targa"),"轿车",IF(OR('Data Export'!F1978="小型MPV",'Data Export'!F1978="客车"),"MPV",IF('Data Export'!F1978="运动型多功能车","SUV","其他"))))</f>
        <v/>
      </c>
      <c r="K1978" s="62"/>
      <c r="L1978" s="62"/>
      <c r="M1978" s="62"/>
      <c r="N1978" s="62"/>
      <c r="O1978" s="62"/>
      <c r="P1978" s="62"/>
      <c r="Q1978" s="62"/>
    </row>
    <row r="1979" spans="1:17">
      <c r="A1979" s="62"/>
      <c r="B1979" s="62"/>
      <c r="C1979" s="62"/>
      <c r="D1979" s="62"/>
      <c r="E1979" s="62"/>
      <c r="F1979" s="62"/>
      <c r="G1979" s="62"/>
      <c r="H1979" s="62" t="str">
        <f>IF(AND('Data Export'!A1979=前十整体车型排名!$B$2,'Data Export'!B1979=前十整体车型排名!$B$3,'Data Export'!D1979&lt;&gt;""),UPPER('Data Export'!C1979)&amp;"♦"&amp;'Data Export'!D1979,"")</f>
        <v/>
      </c>
      <c r="I1979" s="63" t="str">
        <f>IF(H1979="","",IFERROR(INDEX('Data Export'!G1979:CZ1979,1,MATCH(前十整体车型排名!$B$4,'Data Export'!$G$1:$CZ$1,0)),0))</f>
        <v/>
      </c>
      <c r="J1979" s="62" t="str">
        <f>IF(H1979="","",IF(OR('Data Export'!F1979="三厢轿车",'Data Export'!F1979="掀背轿车",'Data Export'!F1979="旅行车",'Data Export'!F1979="微型车",'Data Export'!F1979="硬顶跑车",'Data Export'!F1979="敞蓬车",'Data Export'!F1979="Targa"),"轿车",IF(OR('Data Export'!F1979="小型MPV",'Data Export'!F1979="客车"),"MPV",IF('Data Export'!F1979="运动型多功能车","SUV","其他"))))</f>
        <v/>
      </c>
      <c r="K1979" s="62"/>
      <c r="L1979" s="62"/>
      <c r="M1979" s="62"/>
      <c r="N1979" s="62"/>
      <c r="O1979" s="62"/>
      <c r="P1979" s="62"/>
      <c r="Q1979" s="62"/>
    </row>
    <row r="1980" spans="1:17">
      <c r="A1980" s="62"/>
      <c r="B1980" s="62"/>
      <c r="C1980" s="62"/>
      <c r="D1980" s="62"/>
      <c r="E1980" s="62"/>
      <c r="F1980" s="62"/>
      <c r="G1980" s="62"/>
      <c r="H1980" s="62" t="str">
        <f>IF(AND('Data Export'!A1980=前十整体车型排名!$B$2,'Data Export'!B1980=前十整体车型排名!$B$3,'Data Export'!D1980&lt;&gt;""),UPPER('Data Export'!C1980)&amp;"♦"&amp;'Data Export'!D1980,"")</f>
        <v/>
      </c>
      <c r="I1980" s="63" t="str">
        <f>IF(H1980="","",IFERROR(INDEX('Data Export'!G1980:CZ1980,1,MATCH(前十整体车型排名!$B$4,'Data Export'!$G$1:$CZ$1,0)),0))</f>
        <v/>
      </c>
      <c r="J1980" s="62" t="str">
        <f>IF(H1980="","",IF(OR('Data Export'!F1980="三厢轿车",'Data Export'!F1980="掀背轿车",'Data Export'!F1980="旅行车",'Data Export'!F1980="微型车",'Data Export'!F1980="硬顶跑车",'Data Export'!F1980="敞蓬车",'Data Export'!F1980="Targa"),"轿车",IF(OR('Data Export'!F1980="小型MPV",'Data Export'!F1980="客车"),"MPV",IF('Data Export'!F1980="运动型多功能车","SUV","其他"))))</f>
        <v/>
      </c>
      <c r="K1980" s="62"/>
      <c r="L1980" s="62"/>
      <c r="M1980" s="62"/>
      <c r="N1980" s="62"/>
      <c r="O1980" s="62"/>
      <c r="P1980" s="62"/>
      <c r="Q1980" s="62"/>
    </row>
    <row r="1981" spans="1:17">
      <c r="A1981" s="62"/>
      <c r="B1981" s="62"/>
      <c r="C1981" s="62"/>
      <c r="D1981" s="62"/>
      <c r="E1981" s="62"/>
      <c r="F1981" s="62"/>
      <c r="G1981" s="62"/>
      <c r="H1981" s="62" t="str">
        <f>IF(AND('Data Export'!A1981=前十整体车型排名!$B$2,'Data Export'!B1981=前十整体车型排名!$B$3,'Data Export'!D1981&lt;&gt;""),UPPER('Data Export'!C1981)&amp;"♦"&amp;'Data Export'!D1981,"")</f>
        <v/>
      </c>
      <c r="I1981" s="63" t="str">
        <f>IF(H1981="","",IFERROR(INDEX('Data Export'!G1981:CZ1981,1,MATCH(前十整体车型排名!$B$4,'Data Export'!$G$1:$CZ$1,0)),0))</f>
        <v/>
      </c>
      <c r="J1981" s="62" t="str">
        <f>IF(H1981="","",IF(OR('Data Export'!F1981="三厢轿车",'Data Export'!F1981="掀背轿车",'Data Export'!F1981="旅行车",'Data Export'!F1981="微型车",'Data Export'!F1981="硬顶跑车",'Data Export'!F1981="敞蓬车",'Data Export'!F1981="Targa"),"轿车",IF(OR('Data Export'!F1981="小型MPV",'Data Export'!F1981="客车"),"MPV",IF('Data Export'!F1981="运动型多功能车","SUV","其他"))))</f>
        <v/>
      </c>
      <c r="K1981" s="62"/>
      <c r="L1981" s="62"/>
      <c r="M1981" s="62"/>
      <c r="N1981" s="62"/>
      <c r="O1981" s="62"/>
      <c r="P1981" s="62"/>
      <c r="Q1981" s="62"/>
    </row>
    <row r="1982" spans="1:17">
      <c r="A1982" s="62"/>
      <c r="B1982" s="62"/>
      <c r="C1982" s="62"/>
      <c r="D1982" s="62"/>
      <c r="E1982" s="62"/>
      <c r="F1982" s="62"/>
      <c r="G1982" s="62"/>
      <c r="H1982" s="62" t="str">
        <f>IF(AND('Data Export'!A1982=前十整体车型排名!$B$2,'Data Export'!B1982=前十整体车型排名!$B$3,'Data Export'!D1982&lt;&gt;""),UPPER('Data Export'!C1982)&amp;"♦"&amp;'Data Export'!D1982,"")</f>
        <v/>
      </c>
      <c r="I1982" s="63" t="str">
        <f>IF(H1982="","",IFERROR(INDEX('Data Export'!G1982:CZ1982,1,MATCH(前十整体车型排名!$B$4,'Data Export'!$G$1:$CZ$1,0)),0))</f>
        <v/>
      </c>
      <c r="J1982" s="62" t="str">
        <f>IF(H1982="","",IF(OR('Data Export'!F1982="三厢轿车",'Data Export'!F1982="掀背轿车",'Data Export'!F1982="旅行车",'Data Export'!F1982="微型车",'Data Export'!F1982="硬顶跑车",'Data Export'!F1982="敞蓬车",'Data Export'!F1982="Targa"),"轿车",IF(OR('Data Export'!F1982="小型MPV",'Data Export'!F1982="客车"),"MPV",IF('Data Export'!F1982="运动型多功能车","SUV","其他"))))</f>
        <v/>
      </c>
      <c r="K1982" s="62"/>
      <c r="L1982" s="62"/>
      <c r="M1982" s="62"/>
      <c r="N1982" s="62"/>
      <c r="O1982" s="62"/>
      <c r="P1982" s="62"/>
      <c r="Q1982" s="62"/>
    </row>
    <row r="1983" spans="1:17">
      <c r="A1983" s="62"/>
      <c r="B1983" s="62"/>
      <c r="C1983" s="62"/>
      <c r="D1983" s="62"/>
      <c r="E1983" s="62"/>
      <c r="F1983" s="62"/>
      <c r="G1983" s="62"/>
      <c r="H1983" s="62" t="str">
        <f>IF(AND('Data Export'!A1983=前十整体车型排名!$B$2,'Data Export'!B1983=前十整体车型排名!$B$3,'Data Export'!D1983&lt;&gt;""),UPPER('Data Export'!C1983)&amp;"♦"&amp;'Data Export'!D1983,"")</f>
        <v/>
      </c>
      <c r="I1983" s="63" t="str">
        <f>IF(H1983="","",IFERROR(INDEX('Data Export'!G1983:CZ1983,1,MATCH(前十整体车型排名!$B$4,'Data Export'!$G$1:$CZ$1,0)),0))</f>
        <v/>
      </c>
      <c r="J1983" s="62" t="str">
        <f>IF(H1983="","",IF(OR('Data Export'!F1983="三厢轿车",'Data Export'!F1983="掀背轿车",'Data Export'!F1983="旅行车",'Data Export'!F1983="微型车",'Data Export'!F1983="硬顶跑车",'Data Export'!F1983="敞蓬车",'Data Export'!F1983="Targa"),"轿车",IF(OR('Data Export'!F1983="小型MPV",'Data Export'!F1983="客车"),"MPV",IF('Data Export'!F1983="运动型多功能车","SUV","其他"))))</f>
        <v/>
      </c>
      <c r="K1983" s="62"/>
      <c r="L1983" s="62"/>
      <c r="M1983" s="62"/>
      <c r="N1983" s="62"/>
      <c r="O1983" s="62"/>
      <c r="P1983" s="62"/>
      <c r="Q1983" s="62"/>
    </row>
    <row r="1984" spans="1:17">
      <c r="A1984" s="62"/>
      <c r="B1984" s="62"/>
      <c r="C1984" s="62"/>
      <c r="D1984" s="62"/>
      <c r="E1984" s="62"/>
      <c r="F1984" s="62"/>
      <c r="G1984" s="62"/>
      <c r="H1984" s="62" t="str">
        <f>IF(AND('Data Export'!A1984=前十整体车型排名!$B$2,'Data Export'!B1984=前十整体车型排名!$B$3,'Data Export'!D1984&lt;&gt;""),UPPER('Data Export'!C1984)&amp;"♦"&amp;'Data Export'!D1984,"")</f>
        <v/>
      </c>
      <c r="I1984" s="63" t="str">
        <f>IF(H1984="","",IFERROR(INDEX('Data Export'!G1984:CZ1984,1,MATCH(前十整体车型排名!$B$4,'Data Export'!$G$1:$CZ$1,0)),0))</f>
        <v/>
      </c>
      <c r="J1984" s="62" t="str">
        <f>IF(H1984="","",IF(OR('Data Export'!F1984="三厢轿车",'Data Export'!F1984="掀背轿车",'Data Export'!F1984="旅行车",'Data Export'!F1984="微型车",'Data Export'!F1984="硬顶跑车",'Data Export'!F1984="敞蓬车",'Data Export'!F1984="Targa"),"轿车",IF(OR('Data Export'!F1984="小型MPV",'Data Export'!F1984="客车"),"MPV",IF('Data Export'!F1984="运动型多功能车","SUV","其他"))))</f>
        <v/>
      </c>
      <c r="K1984" s="62"/>
      <c r="L1984" s="62"/>
      <c r="M1984" s="62"/>
      <c r="N1984" s="62"/>
      <c r="O1984" s="62"/>
      <c r="P1984" s="62"/>
      <c r="Q1984" s="62"/>
    </row>
    <row r="1985" spans="1:17">
      <c r="A1985" s="62"/>
      <c r="B1985" s="62"/>
      <c r="C1985" s="62"/>
      <c r="D1985" s="62"/>
      <c r="E1985" s="62"/>
      <c r="F1985" s="62"/>
      <c r="G1985" s="62"/>
      <c r="H1985" s="62" t="str">
        <f>IF(AND('Data Export'!A1985=前十整体车型排名!$B$2,'Data Export'!B1985=前十整体车型排名!$B$3,'Data Export'!D1985&lt;&gt;""),UPPER('Data Export'!C1985)&amp;"♦"&amp;'Data Export'!D1985,"")</f>
        <v/>
      </c>
      <c r="I1985" s="63" t="str">
        <f>IF(H1985="","",IFERROR(INDEX('Data Export'!G1985:CZ1985,1,MATCH(前十整体车型排名!$B$4,'Data Export'!$G$1:$CZ$1,0)),0))</f>
        <v/>
      </c>
      <c r="J1985" s="62" t="str">
        <f>IF(H1985="","",IF(OR('Data Export'!F1985="三厢轿车",'Data Export'!F1985="掀背轿车",'Data Export'!F1985="旅行车",'Data Export'!F1985="微型车",'Data Export'!F1985="硬顶跑车",'Data Export'!F1985="敞蓬车",'Data Export'!F1985="Targa"),"轿车",IF(OR('Data Export'!F1985="小型MPV",'Data Export'!F1985="客车"),"MPV",IF('Data Export'!F1985="运动型多功能车","SUV","其他"))))</f>
        <v/>
      </c>
      <c r="K1985" s="62"/>
      <c r="L1985" s="62"/>
      <c r="M1985" s="62"/>
      <c r="N1985" s="62"/>
      <c r="O1985" s="62"/>
      <c r="P1985" s="62"/>
      <c r="Q1985" s="62"/>
    </row>
    <row r="1986" spans="1:17">
      <c r="A1986" s="62"/>
      <c r="B1986" s="62"/>
      <c r="C1986" s="62"/>
      <c r="D1986" s="62"/>
      <c r="E1986" s="62"/>
      <c r="F1986" s="62"/>
      <c r="G1986" s="62"/>
      <c r="H1986" s="62" t="str">
        <f>IF(AND('Data Export'!A1986=前十整体车型排名!$B$2,'Data Export'!B1986=前十整体车型排名!$B$3,'Data Export'!D1986&lt;&gt;""),UPPER('Data Export'!C1986)&amp;"♦"&amp;'Data Export'!D1986,"")</f>
        <v/>
      </c>
      <c r="I1986" s="63" t="str">
        <f>IF(H1986="","",IFERROR(INDEX('Data Export'!G1986:CZ1986,1,MATCH(前十整体车型排名!$B$4,'Data Export'!$G$1:$CZ$1,0)),0))</f>
        <v/>
      </c>
      <c r="J1986" s="62" t="str">
        <f>IF(H1986="","",IF(OR('Data Export'!F1986="三厢轿车",'Data Export'!F1986="掀背轿车",'Data Export'!F1986="旅行车",'Data Export'!F1986="微型车",'Data Export'!F1986="硬顶跑车",'Data Export'!F1986="敞蓬车",'Data Export'!F1986="Targa"),"轿车",IF(OR('Data Export'!F1986="小型MPV",'Data Export'!F1986="客车"),"MPV",IF('Data Export'!F1986="运动型多功能车","SUV","其他"))))</f>
        <v/>
      </c>
      <c r="K1986" s="62"/>
      <c r="L1986" s="62"/>
      <c r="M1986" s="62"/>
      <c r="N1986" s="62"/>
      <c r="O1986" s="62"/>
      <c r="P1986" s="62"/>
      <c r="Q1986" s="62"/>
    </row>
    <row r="1987" spans="1:17">
      <c r="A1987" s="62"/>
      <c r="B1987" s="62"/>
      <c r="C1987" s="62"/>
      <c r="D1987" s="62"/>
      <c r="E1987" s="62"/>
      <c r="F1987" s="62"/>
      <c r="G1987" s="62"/>
      <c r="H1987" s="62" t="str">
        <f>IF(AND('Data Export'!A1987=前十整体车型排名!$B$2,'Data Export'!B1987=前十整体车型排名!$B$3,'Data Export'!D1987&lt;&gt;""),UPPER('Data Export'!C1987)&amp;"♦"&amp;'Data Export'!D1987,"")</f>
        <v/>
      </c>
      <c r="I1987" s="63" t="str">
        <f>IF(H1987="","",IFERROR(INDEX('Data Export'!G1987:CZ1987,1,MATCH(前十整体车型排名!$B$4,'Data Export'!$G$1:$CZ$1,0)),0))</f>
        <v/>
      </c>
      <c r="J1987" s="62" t="str">
        <f>IF(H1987="","",IF(OR('Data Export'!F1987="三厢轿车",'Data Export'!F1987="掀背轿车",'Data Export'!F1987="旅行车",'Data Export'!F1987="微型车",'Data Export'!F1987="硬顶跑车",'Data Export'!F1987="敞蓬车",'Data Export'!F1987="Targa"),"轿车",IF(OR('Data Export'!F1987="小型MPV",'Data Export'!F1987="客车"),"MPV",IF('Data Export'!F1987="运动型多功能车","SUV","其他"))))</f>
        <v/>
      </c>
      <c r="K1987" s="62"/>
      <c r="L1987" s="62"/>
      <c r="M1987" s="62"/>
      <c r="N1987" s="62"/>
      <c r="O1987" s="62"/>
      <c r="P1987" s="62"/>
      <c r="Q1987" s="62"/>
    </row>
    <row r="1988" spans="1:17">
      <c r="A1988" s="62"/>
      <c r="B1988" s="62"/>
      <c r="C1988" s="62"/>
      <c r="D1988" s="62"/>
      <c r="E1988" s="62"/>
      <c r="F1988" s="62"/>
      <c r="G1988" s="62"/>
      <c r="H1988" s="62" t="str">
        <f>IF(AND('Data Export'!A1988=前十整体车型排名!$B$2,'Data Export'!B1988=前十整体车型排名!$B$3,'Data Export'!D1988&lt;&gt;""),UPPER('Data Export'!C1988)&amp;"♦"&amp;'Data Export'!D1988,"")</f>
        <v/>
      </c>
      <c r="I1988" s="63" t="str">
        <f>IF(H1988="","",IFERROR(INDEX('Data Export'!G1988:CZ1988,1,MATCH(前十整体车型排名!$B$4,'Data Export'!$G$1:$CZ$1,0)),0))</f>
        <v/>
      </c>
      <c r="J1988" s="62" t="str">
        <f>IF(H1988="","",IF(OR('Data Export'!F1988="三厢轿车",'Data Export'!F1988="掀背轿车",'Data Export'!F1988="旅行车",'Data Export'!F1988="微型车",'Data Export'!F1988="硬顶跑车",'Data Export'!F1988="敞蓬车",'Data Export'!F1988="Targa"),"轿车",IF(OR('Data Export'!F1988="小型MPV",'Data Export'!F1988="客车"),"MPV",IF('Data Export'!F1988="运动型多功能车","SUV","其他"))))</f>
        <v/>
      </c>
      <c r="K1988" s="62"/>
      <c r="L1988" s="62"/>
      <c r="M1988" s="62"/>
      <c r="N1988" s="62"/>
      <c r="O1988" s="62"/>
      <c r="P1988" s="62"/>
      <c r="Q1988" s="62"/>
    </row>
    <row r="1989" spans="1:17">
      <c r="A1989" s="62"/>
      <c r="B1989" s="62"/>
      <c r="C1989" s="62"/>
      <c r="D1989" s="62"/>
      <c r="E1989" s="62"/>
      <c r="F1989" s="62"/>
      <c r="G1989" s="62"/>
      <c r="H1989" s="62" t="str">
        <f>IF(AND('Data Export'!A1989=前十整体车型排名!$B$2,'Data Export'!B1989=前十整体车型排名!$B$3,'Data Export'!D1989&lt;&gt;""),UPPER('Data Export'!C1989)&amp;"♦"&amp;'Data Export'!D1989,"")</f>
        <v/>
      </c>
      <c r="I1989" s="63" t="str">
        <f>IF(H1989="","",IFERROR(INDEX('Data Export'!G1989:CZ1989,1,MATCH(前十整体车型排名!$B$4,'Data Export'!$G$1:$CZ$1,0)),0))</f>
        <v/>
      </c>
      <c r="J1989" s="62" t="str">
        <f>IF(H1989="","",IF(OR('Data Export'!F1989="三厢轿车",'Data Export'!F1989="掀背轿车",'Data Export'!F1989="旅行车",'Data Export'!F1989="微型车",'Data Export'!F1989="硬顶跑车",'Data Export'!F1989="敞蓬车",'Data Export'!F1989="Targa"),"轿车",IF(OR('Data Export'!F1989="小型MPV",'Data Export'!F1989="客车"),"MPV",IF('Data Export'!F1989="运动型多功能车","SUV","其他"))))</f>
        <v/>
      </c>
      <c r="K1989" s="62"/>
      <c r="L1989" s="62"/>
      <c r="M1989" s="62"/>
      <c r="N1989" s="62"/>
      <c r="O1989" s="62"/>
      <c r="P1989" s="62"/>
      <c r="Q1989" s="62"/>
    </row>
    <row r="1990" spans="1:17">
      <c r="A1990" s="62"/>
      <c r="B1990" s="62"/>
      <c r="C1990" s="62"/>
      <c r="D1990" s="62"/>
      <c r="E1990" s="62"/>
      <c r="F1990" s="62"/>
      <c r="G1990" s="62"/>
      <c r="H1990" s="62" t="str">
        <f>IF(AND('Data Export'!A1990=前十整体车型排名!$B$2,'Data Export'!B1990=前十整体车型排名!$B$3,'Data Export'!D1990&lt;&gt;""),UPPER('Data Export'!C1990)&amp;"♦"&amp;'Data Export'!D1990,"")</f>
        <v/>
      </c>
      <c r="I1990" s="63" t="str">
        <f>IF(H1990="","",IFERROR(INDEX('Data Export'!G1990:CZ1990,1,MATCH(前十整体车型排名!$B$4,'Data Export'!$G$1:$CZ$1,0)),0))</f>
        <v/>
      </c>
      <c r="J1990" s="62" t="str">
        <f>IF(H1990="","",IF(OR('Data Export'!F1990="三厢轿车",'Data Export'!F1990="掀背轿车",'Data Export'!F1990="旅行车",'Data Export'!F1990="微型车",'Data Export'!F1990="硬顶跑车",'Data Export'!F1990="敞蓬车",'Data Export'!F1990="Targa"),"轿车",IF(OR('Data Export'!F1990="小型MPV",'Data Export'!F1990="客车"),"MPV",IF('Data Export'!F1990="运动型多功能车","SUV","其他"))))</f>
        <v/>
      </c>
      <c r="K1990" s="62"/>
      <c r="L1990" s="62"/>
      <c r="M1990" s="62"/>
      <c r="N1990" s="62"/>
      <c r="O1990" s="62"/>
      <c r="P1990" s="62"/>
      <c r="Q1990" s="62"/>
    </row>
    <row r="1991" spans="1:17">
      <c r="A1991" s="62"/>
      <c r="B1991" s="62"/>
      <c r="C1991" s="62"/>
      <c r="D1991" s="62"/>
      <c r="E1991" s="62"/>
      <c r="F1991" s="62"/>
      <c r="G1991" s="62"/>
      <c r="H1991" s="62" t="str">
        <f>IF(AND('Data Export'!A1991=前十整体车型排名!$B$2,'Data Export'!B1991=前十整体车型排名!$B$3,'Data Export'!D1991&lt;&gt;""),UPPER('Data Export'!C1991)&amp;"♦"&amp;'Data Export'!D1991,"")</f>
        <v/>
      </c>
      <c r="I1991" s="63" t="str">
        <f>IF(H1991="","",IFERROR(INDEX('Data Export'!G1991:CZ1991,1,MATCH(前十整体车型排名!$B$4,'Data Export'!$G$1:$CZ$1,0)),0))</f>
        <v/>
      </c>
      <c r="J1991" s="62" t="str">
        <f>IF(H1991="","",IF(OR('Data Export'!F1991="三厢轿车",'Data Export'!F1991="掀背轿车",'Data Export'!F1991="旅行车",'Data Export'!F1991="微型车",'Data Export'!F1991="硬顶跑车",'Data Export'!F1991="敞蓬车",'Data Export'!F1991="Targa"),"轿车",IF(OR('Data Export'!F1991="小型MPV",'Data Export'!F1991="客车"),"MPV",IF('Data Export'!F1991="运动型多功能车","SUV","其他"))))</f>
        <v/>
      </c>
      <c r="K1991" s="62"/>
      <c r="L1991" s="62"/>
      <c r="M1991" s="62"/>
      <c r="N1991" s="62"/>
      <c r="O1991" s="62"/>
      <c r="P1991" s="62"/>
      <c r="Q1991" s="62"/>
    </row>
    <row r="1992" spans="1:17">
      <c r="A1992" s="62"/>
      <c r="B1992" s="62"/>
      <c r="C1992" s="62"/>
      <c r="D1992" s="62"/>
      <c r="E1992" s="62"/>
      <c r="F1992" s="62"/>
      <c r="G1992" s="62"/>
      <c r="H1992" s="62" t="str">
        <f>IF(AND('Data Export'!A1992=前十整体车型排名!$B$2,'Data Export'!B1992=前十整体车型排名!$B$3,'Data Export'!D1992&lt;&gt;""),UPPER('Data Export'!C1992)&amp;"♦"&amp;'Data Export'!D1992,"")</f>
        <v/>
      </c>
      <c r="I1992" s="63" t="str">
        <f>IF(H1992="","",IFERROR(INDEX('Data Export'!G1992:CZ1992,1,MATCH(前十整体车型排名!$B$4,'Data Export'!$G$1:$CZ$1,0)),0))</f>
        <v/>
      </c>
      <c r="J1992" s="62" t="str">
        <f>IF(H1992="","",IF(OR('Data Export'!F1992="三厢轿车",'Data Export'!F1992="掀背轿车",'Data Export'!F1992="旅行车",'Data Export'!F1992="微型车",'Data Export'!F1992="硬顶跑车",'Data Export'!F1992="敞蓬车",'Data Export'!F1992="Targa"),"轿车",IF(OR('Data Export'!F1992="小型MPV",'Data Export'!F1992="客车"),"MPV",IF('Data Export'!F1992="运动型多功能车","SUV","其他"))))</f>
        <v/>
      </c>
      <c r="K1992" s="62"/>
      <c r="L1992" s="62"/>
      <c r="M1992" s="62"/>
      <c r="N1992" s="62"/>
      <c r="O1992" s="62"/>
      <c r="P1992" s="62"/>
      <c r="Q1992" s="62"/>
    </row>
    <row r="1993" spans="1:17">
      <c r="A1993" s="62"/>
      <c r="B1993" s="62"/>
      <c r="C1993" s="62"/>
      <c r="D1993" s="62"/>
      <c r="E1993" s="62"/>
      <c r="F1993" s="62"/>
      <c r="G1993" s="62"/>
      <c r="H1993" s="62" t="str">
        <f>IF(AND('Data Export'!A1993=前十整体车型排名!$B$2,'Data Export'!B1993=前十整体车型排名!$B$3,'Data Export'!D1993&lt;&gt;""),UPPER('Data Export'!C1993)&amp;"♦"&amp;'Data Export'!D1993,"")</f>
        <v/>
      </c>
      <c r="I1993" s="63" t="str">
        <f>IF(H1993="","",IFERROR(INDEX('Data Export'!G1993:CZ1993,1,MATCH(前十整体车型排名!$B$4,'Data Export'!$G$1:$CZ$1,0)),0))</f>
        <v/>
      </c>
      <c r="J1993" s="62" t="str">
        <f>IF(H1993="","",IF(OR('Data Export'!F1993="三厢轿车",'Data Export'!F1993="掀背轿车",'Data Export'!F1993="旅行车",'Data Export'!F1993="微型车",'Data Export'!F1993="硬顶跑车",'Data Export'!F1993="敞蓬车",'Data Export'!F1993="Targa"),"轿车",IF(OR('Data Export'!F1993="小型MPV",'Data Export'!F1993="客车"),"MPV",IF('Data Export'!F1993="运动型多功能车","SUV","其他"))))</f>
        <v/>
      </c>
      <c r="K1993" s="62"/>
      <c r="L1993" s="62"/>
      <c r="M1993" s="62"/>
      <c r="N1993" s="62"/>
      <c r="O1993" s="62"/>
      <c r="P1993" s="62"/>
      <c r="Q1993" s="62"/>
    </row>
    <row r="1994" spans="1:17">
      <c r="A1994" s="62"/>
      <c r="B1994" s="62"/>
      <c r="C1994" s="62"/>
      <c r="D1994" s="62"/>
      <c r="E1994" s="62"/>
      <c r="F1994" s="62"/>
      <c r="G1994" s="62"/>
      <c r="H1994" s="62" t="str">
        <f>IF(AND('Data Export'!A1994=前十整体车型排名!$B$2,'Data Export'!B1994=前十整体车型排名!$B$3,'Data Export'!D1994&lt;&gt;""),UPPER('Data Export'!C1994)&amp;"♦"&amp;'Data Export'!D1994,"")</f>
        <v/>
      </c>
      <c r="I1994" s="63" t="str">
        <f>IF(H1994="","",IFERROR(INDEX('Data Export'!G1994:CZ1994,1,MATCH(前十整体车型排名!$B$4,'Data Export'!$G$1:$CZ$1,0)),0))</f>
        <v/>
      </c>
      <c r="J1994" s="62" t="str">
        <f>IF(H1994="","",IF(OR('Data Export'!F1994="三厢轿车",'Data Export'!F1994="掀背轿车",'Data Export'!F1994="旅行车",'Data Export'!F1994="微型车",'Data Export'!F1994="硬顶跑车",'Data Export'!F1994="敞蓬车",'Data Export'!F1994="Targa"),"轿车",IF(OR('Data Export'!F1994="小型MPV",'Data Export'!F1994="客车"),"MPV",IF('Data Export'!F1994="运动型多功能车","SUV","其他"))))</f>
        <v/>
      </c>
      <c r="K1994" s="62"/>
      <c r="L1994" s="62"/>
      <c r="M1994" s="62"/>
      <c r="N1994" s="62"/>
      <c r="O1994" s="62"/>
      <c r="P1994" s="62"/>
      <c r="Q1994" s="62"/>
    </row>
    <row r="1995" spans="1:17">
      <c r="A1995" s="62"/>
      <c r="B1995" s="62"/>
      <c r="C1995" s="62"/>
      <c r="D1995" s="62"/>
      <c r="E1995" s="62"/>
      <c r="F1995" s="62"/>
      <c r="G1995" s="62"/>
      <c r="H1995" s="62" t="str">
        <f>IF(AND('Data Export'!A1995=前十整体车型排名!$B$2,'Data Export'!B1995=前十整体车型排名!$B$3,'Data Export'!D1995&lt;&gt;""),UPPER('Data Export'!C1995)&amp;"♦"&amp;'Data Export'!D1995,"")</f>
        <v/>
      </c>
      <c r="I1995" s="63" t="str">
        <f>IF(H1995="","",IFERROR(INDEX('Data Export'!G1995:CZ1995,1,MATCH(前十整体车型排名!$B$4,'Data Export'!$G$1:$CZ$1,0)),0))</f>
        <v/>
      </c>
      <c r="J1995" s="62" t="str">
        <f>IF(H1995="","",IF(OR('Data Export'!F1995="三厢轿车",'Data Export'!F1995="掀背轿车",'Data Export'!F1995="旅行车",'Data Export'!F1995="微型车",'Data Export'!F1995="硬顶跑车",'Data Export'!F1995="敞蓬车",'Data Export'!F1995="Targa"),"轿车",IF(OR('Data Export'!F1995="小型MPV",'Data Export'!F1995="客车"),"MPV",IF('Data Export'!F1995="运动型多功能车","SUV","其他"))))</f>
        <v/>
      </c>
      <c r="K1995" s="62"/>
      <c r="L1995" s="62"/>
      <c r="M1995" s="62"/>
      <c r="N1995" s="62"/>
      <c r="O1995" s="62"/>
      <c r="P1995" s="62"/>
      <c r="Q1995" s="62"/>
    </row>
    <row r="1996" spans="1:17">
      <c r="A1996" s="62"/>
      <c r="B1996" s="62"/>
      <c r="C1996" s="62"/>
      <c r="D1996" s="62"/>
      <c r="E1996" s="62"/>
      <c r="F1996" s="62"/>
      <c r="G1996" s="62"/>
      <c r="H1996" s="62" t="str">
        <f>IF(AND('Data Export'!A1996=前十整体车型排名!$B$2,'Data Export'!B1996=前十整体车型排名!$B$3,'Data Export'!D1996&lt;&gt;""),UPPER('Data Export'!C1996)&amp;"♦"&amp;'Data Export'!D1996,"")</f>
        <v/>
      </c>
      <c r="I1996" s="63" t="str">
        <f>IF(H1996="","",IFERROR(INDEX('Data Export'!G1996:CZ1996,1,MATCH(前十整体车型排名!$B$4,'Data Export'!$G$1:$CZ$1,0)),0))</f>
        <v/>
      </c>
      <c r="J1996" s="62" t="str">
        <f>IF(H1996="","",IF(OR('Data Export'!F1996="三厢轿车",'Data Export'!F1996="掀背轿车",'Data Export'!F1996="旅行车",'Data Export'!F1996="微型车",'Data Export'!F1996="硬顶跑车",'Data Export'!F1996="敞蓬车",'Data Export'!F1996="Targa"),"轿车",IF(OR('Data Export'!F1996="小型MPV",'Data Export'!F1996="客车"),"MPV",IF('Data Export'!F1996="运动型多功能车","SUV","其他"))))</f>
        <v/>
      </c>
      <c r="K1996" s="62"/>
      <c r="L1996" s="62"/>
      <c r="M1996" s="62"/>
      <c r="N1996" s="62"/>
      <c r="O1996" s="62"/>
      <c r="P1996" s="62"/>
      <c r="Q1996" s="62"/>
    </row>
    <row r="1997" spans="1:17">
      <c r="A1997" s="62"/>
      <c r="B1997" s="62"/>
      <c r="C1997" s="62"/>
      <c r="D1997" s="62"/>
      <c r="E1997" s="62"/>
      <c r="F1997" s="62"/>
      <c r="G1997" s="62"/>
      <c r="H1997" s="62" t="str">
        <f>IF(AND('Data Export'!A1997=前十整体车型排名!$B$2,'Data Export'!B1997=前十整体车型排名!$B$3,'Data Export'!D1997&lt;&gt;""),UPPER('Data Export'!C1997)&amp;"♦"&amp;'Data Export'!D1997,"")</f>
        <v/>
      </c>
      <c r="I1997" s="63" t="str">
        <f>IF(H1997="","",IFERROR(INDEX('Data Export'!G1997:CZ1997,1,MATCH(前十整体车型排名!$B$4,'Data Export'!$G$1:$CZ$1,0)),0))</f>
        <v/>
      </c>
      <c r="J1997" s="62" t="str">
        <f>IF(H1997="","",IF(OR('Data Export'!F1997="三厢轿车",'Data Export'!F1997="掀背轿车",'Data Export'!F1997="旅行车",'Data Export'!F1997="微型车",'Data Export'!F1997="硬顶跑车",'Data Export'!F1997="敞蓬车",'Data Export'!F1997="Targa"),"轿车",IF(OR('Data Export'!F1997="小型MPV",'Data Export'!F1997="客车"),"MPV",IF('Data Export'!F1997="运动型多功能车","SUV","其他"))))</f>
        <v/>
      </c>
      <c r="K1997" s="62"/>
      <c r="L1997" s="62"/>
      <c r="M1997" s="62"/>
      <c r="N1997" s="62"/>
      <c r="O1997" s="62"/>
      <c r="P1997" s="62"/>
      <c r="Q1997" s="62"/>
    </row>
    <row r="1998" spans="1:17">
      <c r="A1998" s="62"/>
      <c r="B1998" s="62"/>
      <c r="C1998" s="62"/>
      <c r="D1998" s="62"/>
      <c r="E1998" s="62"/>
      <c r="F1998" s="62"/>
      <c r="G1998" s="62"/>
      <c r="H1998" s="62" t="str">
        <f>IF(AND('Data Export'!A1998=前十整体车型排名!$B$2,'Data Export'!B1998=前十整体车型排名!$B$3,'Data Export'!D1998&lt;&gt;""),UPPER('Data Export'!C1998)&amp;"♦"&amp;'Data Export'!D1998,"")</f>
        <v/>
      </c>
      <c r="I1998" s="63" t="str">
        <f>IF(H1998="","",IFERROR(INDEX('Data Export'!G1998:CZ1998,1,MATCH(前十整体车型排名!$B$4,'Data Export'!$G$1:$CZ$1,0)),0))</f>
        <v/>
      </c>
      <c r="J1998" s="62" t="str">
        <f>IF(H1998="","",IF(OR('Data Export'!F1998="三厢轿车",'Data Export'!F1998="掀背轿车",'Data Export'!F1998="旅行车",'Data Export'!F1998="微型车",'Data Export'!F1998="硬顶跑车",'Data Export'!F1998="敞蓬车",'Data Export'!F1998="Targa"),"轿车",IF(OR('Data Export'!F1998="小型MPV",'Data Export'!F1998="客车"),"MPV",IF('Data Export'!F1998="运动型多功能车","SUV","其他"))))</f>
        <v/>
      </c>
      <c r="K1998" s="62"/>
      <c r="L1998" s="62"/>
      <c r="M1998" s="62"/>
      <c r="N1998" s="62"/>
      <c r="O1998" s="62"/>
      <c r="P1998" s="62"/>
      <c r="Q1998" s="62"/>
    </row>
    <row r="1999" spans="1:17">
      <c r="A1999" s="62"/>
      <c r="B1999" s="62"/>
      <c r="C1999" s="62"/>
      <c r="D1999" s="62"/>
      <c r="E1999" s="62"/>
      <c r="F1999" s="62"/>
      <c r="G1999" s="62"/>
      <c r="H1999" s="62" t="str">
        <f>IF(AND('Data Export'!A1999=前十整体车型排名!$B$2,'Data Export'!B1999=前十整体车型排名!$B$3,'Data Export'!D1999&lt;&gt;""),UPPER('Data Export'!C1999)&amp;"♦"&amp;'Data Export'!D1999,"")</f>
        <v/>
      </c>
      <c r="I1999" s="63" t="str">
        <f>IF(H1999="","",IFERROR(INDEX('Data Export'!G1999:CZ1999,1,MATCH(前十整体车型排名!$B$4,'Data Export'!$G$1:$CZ$1,0)),0))</f>
        <v/>
      </c>
      <c r="J1999" s="62" t="str">
        <f>IF(H1999="","",IF(OR('Data Export'!F1999="三厢轿车",'Data Export'!F1999="掀背轿车",'Data Export'!F1999="旅行车",'Data Export'!F1999="微型车",'Data Export'!F1999="硬顶跑车",'Data Export'!F1999="敞蓬车",'Data Export'!F1999="Targa"),"轿车",IF(OR('Data Export'!F1999="小型MPV",'Data Export'!F1999="客车"),"MPV",IF('Data Export'!F1999="运动型多功能车","SUV","其他"))))</f>
        <v/>
      </c>
      <c r="K1999" s="62"/>
      <c r="L1999" s="62"/>
      <c r="M1999" s="62"/>
      <c r="N1999" s="62"/>
      <c r="O1999" s="62"/>
      <c r="P1999" s="62"/>
      <c r="Q1999" s="62"/>
    </row>
    <row r="2000" spans="1:17">
      <c r="A2000" s="62"/>
      <c r="B2000" s="62"/>
      <c r="C2000" s="62"/>
      <c r="D2000" s="62"/>
      <c r="E2000" s="62"/>
      <c r="F2000" s="62"/>
      <c r="G2000" s="62"/>
      <c r="H2000" s="62" t="str">
        <f>IF(AND('Data Export'!A2000=前十整体车型排名!$B$2,'Data Export'!B2000=前十整体车型排名!$B$3,'Data Export'!D2000&lt;&gt;""),UPPER('Data Export'!C2000)&amp;"♦"&amp;'Data Export'!D2000,"")</f>
        <v/>
      </c>
      <c r="I2000" s="63" t="str">
        <f>IF(H2000="","",IFERROR(INDEX('Data Export'!G2000:CZ2000,1,MATCH(前十整体车型排名!$B$4,'Data Export'!$G$1:$CZ$1,0)),0))</f>
        <v/>
      </c>
      <c r="J2000" s="62" t="str">
        <f>IF(H2000="","",IF(OR('Data Export'!F2000="三厢轿车",'Data Export'!F2000="掀背轿车",'Data Export'!F2000="旅行车",'Data Export'!F2000="微型车",'Data Export'!F2000="硬顶跑车",'Data Export'!F2000="敞蓬车",'Data Export'!F2000="Targa"),"轿车",IF(OR('Data Export'!F2000="小型MPV",'Data Export'!F2000="客车"),"MPV",IF('Data Export'!F2000="运动型多功能车","SUV","其他"))))</f>
        <v/>
      </c>
      <c r="K2000" s="62"/>
      <c r="L2000" s="62"/>
      <c r="M2000" s="62"/>
      <c r="N2000" s="62"/>
      <c r="O2000" s="62"/>
      <c r="P2000" s="62"/>
      <c r="Q2000" s="62"/>
    </row>
    <row r="2001" spans="1:17">
      <c r="A2001" s="62"/>
      <c r="B2001" s="62"/>
      <c r="C2001" s="62"/>
      <c r="D2001" s="62"/>
      <c r="E2001" s="62"/>
      <c r="F2001" s="62"/>
      <c r="G2001" s="62"/>
      <c r="H2001" s="62" t="str">
        <f>IF(AND('Data Export'!A2001=前十整体车型排名!$B$2,'Data Export'!B2001=前十整体车型排名!$B$3,'Data Export'!D2001&lt;&gt;""),UPPER('Data Export'!C2001)&amp;"♦"&amp;'Data Export'!D2001,"")</f>
        <v/>
      </c>
      <c r="I2001" s="63" t="str">
        <f>IF(H2001="","",IFERROR(INDEX('Data Export'!G2001:CZ2001,1,MATCH(前十整体车型排名!$B$4,'Data Export'!$G$1:$CZ$1,0)),0))</f>
        <v/>
      </c>
      <c r="J2001" s="62" t="str">
        <f>IF(H2001="","",IF(OR('Data Export'!F2001="三厢轿车",'Data Export'!F2001="掀背轿车",'Data Export'!F2001="旅行车",'Data Export'!F2001="微型车",'Data Export'!F2001="硬顶跑车",'Data Export'!F2001="敞蓬车",'Data Export'!F2001="Targa"),"轿车",IF(OR('Data Export'!F2001="小型MPV",'Data Export'!F2001="客车"),"MPV",IF('Data Export'!F2001="运动型多功能车","SUV","其他"))))</f>
        <v/>
      </c>
      <c r="K2001" s="62"/>
      <c r="L2001" s="62"/>
      <c r="M2001" s="62"/>
      <c r="N2001" s="62"/>
      <c r="O2001" s="62"/>
      <c r="P2001" s="62"/>
      <c r="Q2001" s="62"/>
    </row>
    <row r="2002" spans="1:17">
      <c r="A2002" s="62"/>
      <c r="B2002" s="62"/>
      <c r="C2002" s="62"/>
      <c r="D2002" s="62"/>
      <c r="E2002" s="62"/>
      <c r="F2002" s="62"/>
      <c r="G2002" s="62"/>
      <c r="H2002" s="62" t="str">
        <f>IF(AND('Data Export'!A2002=前十整体车型排名!$B$2,'Data Export'!B2002=前十整体车型排名!$B$3,'Data Export'!D2002&lt;&gt;""),UPPER('Data Export'!C2002)&amp;"♦"&amp;'Data Export'!D2002,"")</f>
        <v/>
      </c>
      <c r="I2002" s="63" t="str">
        <f>IF(H2002="","",IFERROR(INDEX('Data Export'!G2002:CZ2002,1,MATCH(前十整体车型排名!$B$4,'Data Export'!$G$1:$CZ$1,0)),0))</f>
        <v/>
      </c>
      <c r="J2002" s="62" t="str">
        <f>IF(H2002="","",IF(OR('Data Export'!F2002="三厢轿车",'Data Export'!F2002="掀背轿车",'Data Export'!F2002="旅行车",'Data Export'!F2002="微型车",'Data Export'!F2002="硬顶跑车",'Data Export'!F2002="敞蓬车",'Data Export'!F2002="Targa"),"轿车",IF(OR('Data Export'!F2002="小型MPV",'Data Export'!F2002="客车"),"MPV",IF('Data Export'!F2002="运动型多功能车","SUV","其他"))))</f>
        <v/>
      </c>
      <c r="K2002" s="62"/>
      <c r="L2002" s="62"/>
      <c r="M2002" s="62"/>
      <c r="N2002" s="62"/>
      <c r="O2002" s="62"/>
      <c r="P2002" s="62"/>
      <c r="Q2002" s="62"/>
    </row>
    <row r="2003" spans="1:17">
      <c r="A2003" s="62"/>
      <c r="B2003" s="62"/>
      <c r="C2003" s="62"/>
      <c r="D2003" s="62"/>
      <c r="E2003" s="62"/>
      <c r="F2003" s="62"/>
      <c r="G2003" s="62"/>
      <c r="H2003" s="62" t="str">
        <f>IF(AND('Data Export'!A2003=前十整体车型排名!$B$2,'Data Export'!B2003=前十整体车型排名!$B$3,'Data Export'!D2003&lt;&gt;""),UPPER('Data Export'!C2003)&amp;"♦"&amp;'Data Export'!D2003,"")</f>
        <v/>
      </c>
      <c r="I2003" s="63" t="str">
        <f>IF(H2003="","",IFERROR(INDEX('Data Export'!G2003:CZ2003,1,MATCH(前十整体车型排名!$B$4,'Data Export'!$G$1:$CZ$1,0)),0))</f>
        <v/>
      </c>
      <c r="J2003" s="62" t="str">
        <f>IF(H2003="","",IF(OR('Data Export'!F2003="三厢轿车",'Data Export'!F2003="掀背轿车",'Data Export'!F2003="旅行车",'Data Export'!F2003="微型车",'Data Export'!F2003="硬顶跑车",'Data Export'!F2003="敞蓬车",'Data Export'!F2003="Targa"),"轿车",IF(OR('Data Export'!F2003="小型MPV",'Data Export'!F2003="客车"),"MPV",IF('Data Export'!F2003="运动型多功能车","SUV","其他"))))</f>
        <v/>
      </c>
      <c r="K2003" s="62"/>
      <c r="L2003" s="62"/>
      <c r="M2003" s="62"/>
      <c r="N2003" s="62"/>
      <c r="O2003" s="62"/>
      <c r="P2003" s="62"/>
      <c r="Q2003" s="62"/>
    </row>
    <row r="2004" spans="1:17">
      <c r="A2004" s="62"/>
      <c r="B2004" s="62"/>
      <c r="C2004" s="62"/>
      <c r="D2004" s="62"/>
      <c r="E2004" s="62"/>
      <c r="F2004" s="62"/>
      <c r="G2004" s="62"/>
      <c r="H2004" s="62" t="str">
        <f>IF(AND('Data Export'!A2004=前十整体车型排名!$B$2,'Data Export'!B2004=前十整体车型排名!$B$3,'Data Export'!D2004&lt;&gt;""),UPPER('Data Export'!C2004)&amp;"♦"&amp;'Data Export'!D2004,"")</f>
        <v/>
      </c>
      <c r="I2004" s="63" t="str">
        <f>IF(H2004="","",IFERROR(INDEX('Data Export'!G2004:CZ2004,1,MATCH(前十整体车型排名!$B$4,'Data Export'!$G$1:$CZ$1,0)),0))</f>
        <v/>
      </c>
      <c r="J2004" s="62" t="str">
        <f>IF(H2004="","",IF(OR('Data Export'!F2004="三厢轿车",'Data Export'!F2004="掀背轿车",'Data Export'!F2004="旅行车",'Data Export'!F2004="微型车",'Data Export'!F2004="硬顶跑车",'Data Export'!F2004="敞蓬车",'Data Export'!F2004="Targa"),"轿车",IF(OR('Data Export'!F2004="小型MPV",'Data Export'!F2004="客车"),"MPV",IF('Data Export'!F2004="运动型多功能车","SUV","其他"))))</f>
        <v/>
      </c>
      <c r="K2004" s="62"/>
      <c r="L2004" s="62"/>
      <c r="M2004" s="62"/>
      <c r="N2004" s="62"/>
      <c r="O2004" s="62"/>
      <c r="P2004" s="62"/>
      <c r="Q2004" s="62"/>
    </row>
    <row r="2005" spans="1:17">
      <c r="A2005" s="62"/>
      <c r="B2005" s="62"/>
      <c r="C2005" s="62"/>
      <c r="D2005" s="62"/>
      <c r="E2005" s="62"/>
      <c r="F2005" s="62"/>
      <c r="G2005" s="62"/>
      <c r="H2005" s="62" t="str">
        <f>IF(AND('Data Export'!A2005=前十整体车型排名!$B$2,'Data Export'!B2005=前十整体车型排名!$B$3,'Data Export'!D2005&lt;&gt;""),UPPER('Data Export'!C2005)&amp;"♦"&amp;'Data Export'!D2005,"")</f>
        <v/>
      </c>
      <c r="I2005" s="63" t="str">
        <f>IF(H2005="","",IFERROR(INDEX('Data Export'!G2005:CZ2005,1,MATCH(前十整体车型排名!$B$4,'Data Export'!$G$1:$CZ$1,0)),0))</f>
        <v/>
      </c>
      <c r="J2005" s="62" t="str">
        <f>IF(H2005="","",IF(OR('Data Export'!F2005="三厢轿车",'Data Export'!F2005="掀背轿车",'Data Export'!F2005="旅行车",'Data Export'!F2005="微型车",'Data Export'!F2005="硬顶跑车",'Data Export'!F2005="敞蓬车",'Data Export'!F2005="Targa"),"轿车",IF(OR('Data Export'!F2005="小型MPV",'Data Export'!F2005="客车"),"MPV",IF('Data Export'!F2005="运动型多功能车","SUV","其他"))))</f>
        <v/>
      </c>
      <c r="K2005" s="62"/>
      <c r="L2005" s="62"/>
      <c r="M2005" s="62"/>
      <c r="N2005" s="62"/>
      <c r="O2005" s="62"/>
      <c r="P2005" s="62"/>
      <c r="Q2005" s="62"/>
    </row>
    <row r="2006" spans="1:17">
      <c r="A2006" s="62"/>
      <c r="B2006" s="62"/>
      <c r="C2006" s="62"/>
      <c r="D2006" s="62"/>
      <c r="E2006" s="62"/>
      <c r="F2006" s="62"/>
      <c r="G2006" s="62"/>
      <c r="H2006" s="62" t="str">
        <f>IF(AND('Data Export'!A2006=前十整体车型排名!$B$2,'Data Export'!B2006=前十整体车型排名!$B$3,'Data Export'!D2006&lt;&gt;""),UPPER('Data Export'!C2006)&amp;"♦"&amp;'Data Export'!D2006,"")</f>
        <v/>
      </c>
      <c r="I2006" s="63" t="str">
        <f>IF(H2006="","",IFERROR(INDEX('Data Export'!G2006:CZ2006,1,MATCH(前十整体车型排名!$B$4,'Data Export'!$G$1:$CZ$1,0)),0))</f>
        <v/>
      </c>
      <c r="J2006" s="62" t="str">
        <f>IF(H2006="","",IF(OR('Data Export'!F2006="三厢轿车",'Data Export'!F2006="掀背轿车",'Data Export'!F2006="旅行车",'Data Export'!F2006="微型车",'Data Export'!F2006="硬顶跑车",'Data Export'!F2006="敞蓬车",'Data Export'!F2006="Targa"),"轿车",IF(OR('Data Export'!F2006="小型MPV",'Data Export'!F2006="客车"),"MPV",IF('Data Export'!F2006="运动型多功能车","SUV","其他"))))</f>
        <v/>
      </c>
      <c r="K2006" s="62"/>
      <c r="L2006" s="62"/>
      <c r="M2006" s="62"/>
      <c r="N2006" s="62"/>
      <c r="O2006" s="62"/>
      <c r="P2006" s="62"/>
      <c r="Q2006" s="62"/>
    </row>
    <row r="2007" spans="1:17">
      <c r="A2007" s="62"/>
      <c r="B2007" s="62"/>
      <c r="C2007" s="62"/>
      <c r="D2007" s="62"/>
      <c r="E2007" s="62"/>
      <c r="F2007" s="62"/>
      <c r="G2007" s="62"/>
      <c r="H2007" s="62" t="str">
        <f>IF(AND('Data Export'!A2007=前十整体车型排名!$B$2,'Data Export'!B2007=前十整体车型排名!$B$3,'Data Export'!D2007&lt;&gt;""),UPPER('Data Export'!C2007)&amp;"♦"&amp;'Data Export'!D2007,"")</f>
        <v/>
      </c>
      <c r="I2007" s="63" t="str">
        <f>IF(H2007="","",IFERROR(INDEX('Data Export'!G2007:CZ2007,1,MATCH(前十整体车型排名!$B$4,'Data Export'!$G$1:$CZ$1,0)),0))</f>
        <v/>
      </c>
      <c r="J2007" s="62" t="str">
        <f>IF(H2007="","",IF(OR('Data Export'!F2007="三厢轿车",'Data Export'!F2007="掀背轿车",'Data Export'!F2007="旅行车",'Data Export'!F2007="微型车",'Data Export'!F2007="硬顶跑车",'Data Export'!F2007="敞蓬车",'Data Export'!F2007="Targa"),"轿车",IF(OR('Data Export'!F2007="小型MPV",'Data Export'!F2007="客车"),"MPV",IF('Data Export'!F2007="运动型多功能车","SUV","其他"))))</f>
        <v/>
      </c>
      <c r="K2007" s="62"/>
      <c r="L2007" s="62"/>
      <c r="M2007" s="62"/>
      <c r="N2007" s="62"/>
      <c r="O2007" s="62"/>
      <c r="P2007" s="62"/>
      <c r="Q2007" s="62"/>
    </row>
    <row r="2008" spans="1:17">
      <c r="A2008" s="62"/>
      <c r="B2008" s="62"/>
      <c r="C2008" s="62"/>
      <c r="D2008" s="62"/>
      <c r="E2008" s="62"/>
      <c r="F2008" s="62"/>
      <c r="G2008" s="62"/>
      <c r="H2008" s="62" t="str">
        <f>IF(AND('Data Export'!A2008=前十整体车型排名!$B$2,'Data Export'!B2008=前十整体车型排名!$B$3,'Data Export'!D2008&lt;&gt;""),UPPER('Data Export'!C2008)&amp;"♦"&amp;'Data Export'!D2008,"")</f>
        <v/>
      </c>
      <c r="I2008" s="63" t="str">
        <f>IF(H2008="","",IFERROR(INDEX('Data Export'!G2008:CZ2008,1,MATCH(前十整体车型排名!$B$4,'Data Export'!$G$1:$CZ$1,0)),0))</f>
        <v/>
      </c>
      <c r="J2008" s="62" t="str">
        <f>IF(H2008="","",IF(OR('Data Export'!F2008="三厢轿车",'Data Export'!F2008="掀背轿车",'Data Export'!F2008="旅行车",'Data Export'!F2008="微型车",'Data Export'!F2008="硬顶跑车",'Data Export'!F2008="敞蓬车",'Data Export'!F2008="Targa"),"轿车",IF(OR('Data Export'!F2008="小型MPV",'Data Export'!F2008="客车"),"MPV",IF('Data Export'!F2008="运动型多功能车","SUV","其他"))))</f>
        <v/>
      </c>
      <c r="K2008" s="62"/>
      <c r="L2008" s="62"/>
      <c r="M2008" s="62"/>
      <c r="N2008" s="62"/>
      <c r="O2008" s="62"/>
      <c r="P2008" s="62"/>
      <c r="Q2008" s="62"/>
    </row>
    <row r="2009" spans="1:17">
      <c r="A2009" s="62"/>
      <c r="B2009" s="62"/>
      <c r="C2009" s="62"/>
      <c r="D2009" s="62"/>
      <c r="E2009" s="62"/>
      <c r="F2009" s="62"/>
      <c r="G2009" s="62"/>
      <c r="H2009" s="62" t="str">
        <f>IF(AND('Data Export'!A2009=前十整体车型排名!$B$2,'Data Export'!B2009=前十整体车型排名!$B$3,'Data Export'!D2009&lt;&gt;""),UPPER('Data Export'!C2009)&amp;"♦"&amp;'Data Export'!D2009,"")</f>
        <v/>
      </c>
      <c r="I2009" s="63" t="str">
        <f>IF(H2009="","",IFERROR(INDEX('Data Export'!G2009:CZ2009,1,MATCH(前十整体车型排名!$B$4,'Data Export'!$G$1:$CZ$1,0)),0))</f>
        <v/>
      </c>
      <c r="J2009" s="62" t="str">
        <f>IF(H2009="","",IF(OR('Data Export'!F2009="三厢轿车",'Data Export'!F2009="掀背轿车",'Data Export'!F2009="旅行车",'Data Export'!F2009="微型车",'Data Export'!F2009="硬顶跑车",'Data Export'!F2009="敞蓬车",'Data Export'!F2009="Targa"),"轿车",IF(OR('Data Export'!F2009="小型MPV",'Data Export'!F2009="客车"),"MPV",IF('Data Export'!F2009="运动型多功能车","SUV","其他"))))</f>
        <v/>
      </c>
      <c r="K2009" s="62"/>
      <c r="L2009" s="62"/>
      <c r="M2009" s="62"/>
      <c r="N2009" s="62"/>
      <c r="O2009" s="62"/>
      <c r="P2009" s="62"/>
      <c r="Q2009" s="62"/>
    </row>
    <row r="2010" spans="1:17">
      <c r="A2010" s="62"/>
      <c r="B2010" s="62"/>
      <c r="C2010" s="62"/>
      <c r="D2010" s="62"/>
      <c r="E2010" s="62"/>
      <c r="F2010" s="62"/>
      <c r="G2010" s="62"/>
      <c r="H2010" s="62" t="str">
        <f>IF(AND('Data Export'!A2010=前十整体车型排名!$B$2,'Data Export'!B2010=前十整体车型排名!$B$3,'Data Export'!D2010&lt;&gt;""),UPPER('Data Export'!C2010)&amp;"♦"&amp;'Data Export'!D2010,"")</f>
        <v/>
      </c>
      <c r="I2010" s="63" t="str">
        <f>IF(H2010="","",IFERROR(INDEX('Data Export'!G2010:CZ2010,1,MATCH(前十整体车型排名!$B$4,'Data Export'!$G$1:$CZ$1,0)),0))</f>
        <v/>
      </c>
      <c r="J2010" s="62" t="str">
        <f>IF(H2010="","",IF(OR('Data Export'!F2010="三厢轿车",'Data Export'!F2010="掀背轿车",'Data Export'!F2010="旅行车",'Data Export'!F2010="微型车",'Data Export'!F2010="硬顶跑车",'Data Export'!F2010="敞蓬车",'Data Export'!F2010="Targa"),"轿车",IF(OR('Data Export'!F2010="小型MPV",'Data Export'!F2010="客车"),"MPV",IF('Data Export'!F2010="运动型多功能车","SUV","其他"))))</f>
        <v/>
      </c>
      <c r="K2010" s="62"/>
      <c r="L2010" s="62"/>
      <c r="M2010" s="62"/>
      <c r="N2010" s="62"/>
      <c r="O2010" s="62"/>
      <c r="P2010" s="62"/>
      <c r="Q2010" s="62"/>
    </row>
    <row r="2011" spans="1:17">
      <c r="A2011" s="62"/>
      <c r="B2011" s="62"/>
      <c r="C2011" s="62"/>
      <c r="D2011" s="62"/>
      <c r="E2011" s="62"/>
      <c r="F2011" s="62"/>
      <c r="G2011" s="62"/>
      <c r="H2011" s="62" t="str">
        <f>IF(AND('Data Export'!A2011=前十整体车型排名!$B$2,'Data Export'!B2011=前十整体车型排名!$B$3,'Data Export'!D2011&lt;&gt;""),UPPER('Data Export'!C2011)&amp;"♦"&amp;'Data Export'!D2011,"")</f>
        <v/>
      </c>
      <c r="I2011" s="63" t="str">
        <f>IF(H2011="","",IFERROR(INDEX('Data Export'!G2011:CZ2011,1,MATCH(前十整体车型排名!$B$4,'Data Export'!$G$1:$CZ$1,0)),0))</f>
        <v/>
      </c>
      <c r="J2011" s="62" t="str">
        <f>IF(H2011="","",IF(OR('Data Export'!F2011="三厢轿车",'Data Export'!F2011="掀背轿车",'Data Export'!F2011="旅行车",'Data Export'!F2011="微型车",'Data Export'!F2011="硬顶跑车",'Data Export'!F2011="敞蓬车",'Data Export'!F2011="Targa"),"轿车",IF(OR('Data Export'!F2011="小型MPV",'Data Export'!F2011="客车"),"MPV",IF('Data Export'!F2011="运动型多功能车","SUV","其他"))))</f>
        <v/>
      </c>
      <c r="K2011" s="62"/>
      <c r="L2011" s="62"/>
      <c r="M2011" s="62"/>
      <c r="N2011" s="62"/>
      <c r="O2011" s="62"/>
      <c r="P2011" s="62"/>
      <c r="Q2011" s="62"/>
    </row>
    <row r="2012" spans="1:17">
      <c r="A2012" s="62"/>
      <c r="B2012" s="62"/>
      <c r="C2012" s="62"/>
      <c r="D2012" s="62"/>
      <c r="E2012" s="62"/>
      <c r="F2012" s="62"/>
      <c r="G2012" s="62"/>
      <c r="H2012" s="62" t="str">
        <f>IF(AND('Data Export'!A2012=前十整体车型排名!$B$2,'Data Export'!B2012=前十整体车型排名!$B$3,'Data Export'!D2012&lt;&gt;""),UPPER('Data Export'!C2012)&amp;"♦"&amp;'Data Export'!D2012,"")</f>
        <v/>
      </c>
      <c r="I2012" s="63" t="str">
        <f>IF(H2012="","",IFERROR(INDEX('Data Export'!G2012:CZ2012,1,MATCH(前十整体车型排名!$B$4,'Data Export'!$G$1:$CZ$1,0)),0))</f>
        <v/>
      </c>
      <c r="J2012" s="62" t="str">
        <f>IF(H2012="","",IF(OR('Data Export'!F2012="三厢轿车",'Data Export'!F2012="掀背轿车",'Data Export'!F2012="旅行车",'Data Export'!F2012="微型车",'Data Export'!F2012="硬顶跑车",'Data Export'!F2012="敞蓬车",'Data Export'!F2012="Targa"),"轿车",IF(OR('Data Export'!F2012="小型MPV",'Data Export'!F2012="客车"),"MPV",IF('Data Export'!F2012="运动型多功能车","SUV","其他"))))</f>
        <v/>
      </c>
      <c r="K2012" s="62"/>
      <c r="L2012" s="62"/>
      <c r="M2012" s="62"/>
      <c r="N2012" s="62"/>
      <c r="O2012" s="62"/>
      <c r="P2012" s="62"/>
      <c r="Q2012" s="62"/>
    </row>
    <row r="2013" spans="1:17">
      <c r="A2013" s="62"/>
      <c r="B2013" s="62"/>
      <c r="C2013" s="62"/>
      <c r="D2013" s="62"/>
      <c r="E2013" s="62"/>
      <c r="F2013" s="62"/>
      <c r="G2013" s="62"/>
      <c r="H2013" s="62" t="str">
        <f>IF(AND('Data Export'!A2013=前十整体车型排名!$B$2,'Data Export'!B2013=前十整体车型排名!$B$3,'Data Export'!D2013&lt;&gt;""),UPPER('Data Export'!C2013)&amp;"♦"&amp;'Data Export'!D2013,"")</f>
        <v/>
      </c>
      <c r="I2013" s="63" t="str">
        <f>IF(H2013="","",IFERROR(INDEX('Data Export'!G2013:CZ2013,1,MATCH(前十整体车型排名!$B$4,'Data Export'!$G$1:$CZ$1,0)),0))</f>
        <v/>
      </c>
      <c r="J2013" s="62" t="str">
        <f>IF(H2013="","",IF(OR('Data Export'!F2013="三厢轿车",'Data Export'!F2013="掀背轿车",'Data Export'!F2013="旅行车",'Data Export'!F2013="微型车",'Data Export'!F2013="硬顶跑车",'Data Export'!F2013="敞蓬车",'Data Export'!F2013="Targa"),"轿车",IF(OR('Data Export'!F2013="小型MPV",'Data Export'!F2013="客车"),"MPV",IF('Data Export'!F2013="运动型多功能车","SUV","其他"))))</f>
        <v/>
      </c>
      <c r="K2013" s="62"/>
      <c r="L2013" s="62"/>
      <c r="M2013" s="62"/>
      <c r="N2013" s="62"/>
      <c r="O2013" s="62"/>
      <c r="P2013" s="62"/>
      <c r="Q2013" s="62"/>
    </row>
    <row r="2014" spans="1:17">
      <c r="A2014" s="62"/>
      <c r="B2014" s="62"/>
      <c r="C2014" s="62"/>
      <c r="D2014" s="62"/>
      <c r="E2014" s="62"/>
      <c r="F2014" s="62"/>
      <c r="G2014" s="62"/>
      <c r="H2014" s="62" t="str">
        <f>IF(AND('Data Export'!A2014=前十整体车型排名!$B$2,'Data Export'!B2014=前十整体车型排名!$B$3,'Data Export'!D2014&lt;&gt;""),UPPER('Data Export'!C2014)&amp;"♦"&amp;'Data Export'!D2014,"")</f>
        <v/>
      </c>
      <c r="I2014" s="63" t="str">
        <f>IF(H2014="","",IFERROR(INDEX('Data Export'!G2014:CZ2014,1,MATCH(前十整体车型排名!$B$4,'Data Export'!$G$1:$CZ$1,0)),0))</f>
        <v/>
      </c>
      <c r="J2014" s="62" t="str">
        <f>IF(H2014="","",IF(OR('Data Export'!F2014="三厢轿车",'Data Export'!F2014="掀背轿车",'Data Export'!F2014="旅行车",'Data Export'!F2014="微型车",'Data Export'!F2014="硬顶跑车",'Data Export'!F2014="敞蓬车",'Data Export'!F2014="Targa"),"轿车",IF(OR('Data Export'!F2014="小型MPV",'Data Export'!F2014="客车"),"MPV",IF('Data Export'!F2014="运动型多功能车","SUV","其他"))))</f>
        <v/>
      </c>
      <c r="K2014" s="62"/>
      <c r="L2014" s="62"/>
      <c r="M2014" s="62"/>
      <c r="N2014" s="62"/>
      <c r="O2014" s="62"/>
      <c r="P2014" s="62"/>
      <c r="Q2014" s="62"/>
    </row>
    <row r="2015" spans="1:17">
      <c r="A2015" s="62"/>
      <c r="B2015" s="62"/>
      <c r="C2015" s="62"/>
      <c r="D2015" s="62"/>
      <c r="E2015" s="62"/>
      <c r="F2015" s="62"/>
      <c r="G2015" s="62"/>
      <c r="H2015" s="62" t="str">
        <f>IF(AND('Data Export'!A2015=前十整体车型排名!$B$2,'Data Export'!B2015=前十整体车型排名!$B$3,'Data Export'!D2015&lt;&gt;""),UPPER('Data Export'!C2015)&amp;"♦"&amp;'Data Export'!D2015,"")</f>
        <v/>
      </c>
      <c r="I2015" s="63" t="str">
        <f>IF(H2015="","",IFERROR(INDEX('Data Export'!G2015:CZ2015,1,MATCH(前十整体车型排名!$B$4,'Data Export'!$G$1:$CZ$1,0)),0))</f>
        <v/>
      </c>
      <c r="J2015" s="62" t="str">
        <f>IF(H2015="","",IF(OR('Data Export'!F2015="三厢轿车",'Data Export'!F2015="掀背轿车",'Data Export'!F2015="旅行车",'Data Export'!F2015="微型车",'Data Export'!F2015="硬顶跑车",'Data Export'!F2015="敞蓬车",'Data Export'!F2015="Targa"),"轿车",IF(OR('Data Export'!F2015="小型MPV",'Data Export'!F2015="客车"),"MPV",IF('Data Export'!F2015="运动型多功能车","SUV","其他"))))</f>
        <v/>
      </c>
      <c r="K2015" s="62"/>
      <c r="L2015" s="62"/>
      <c r="M2015" s="62"/>
      <c r="N2015" s="62"/>
      <c r="O2015" s="62"/>
      <c r="P2015" s="62"/>
      <c r="Q2015" s="62"/>
    </row>
    <row r="2016" spans="1:17">
      <c r="A2016" s="62"/>
      <c r="B2016" s="62"/>
      <c r="C2016" s="62"/>
      <c r="D2016" s="62"/>
      <c r="E2016" s="62"/>
      <c r="F2016" s="62"/>
      <c r="G2016" s="62"/>
      <c r="H2016" s="62" t="str">
        <f>IF(AND('Data Export'!A2016=前十整体车型排名!$B$2,'Data Export'!B2016=前十整体车型排名!$B$3,'Data Export'!D2016&lt;&gt;""),UPPER('Data Export'!C2016)&amp;"♦"&amp;'Data Export'!D2016,"")</f>
        <v/>
      </c>
      <c r="I2016" s="63" t="str">
        <f>IF(H2016="","",IFERROR(INDEX('Data Export'!G2016:CZ2016,1,MATCH(前十整体车型排名!$B$4,'Data Export'!$G$1:$CZ$1,0)),0))</f>
        <v/>
      </c>
      <c r="J2016" s="62" t="str">
        <f>IF(H2016="","",IF(OR('Data Export'!F2016="三厢轿车",'Data Export'!F2016="掀背轿车",'Data Export'!F2016="旅行车",'Data Export'!F2016="微型车",'Data Export'!F2016="硬顶跑车",'Data Export'!F2016="敞蓬车",'Data Export'!F2016="Targa"),"轿车",IF(OR('Data Export'!F2016="小型MPV",'Data Export'!F2016="客车"),"MPV",IF('Data Export'!F2016="运动型多功能车","SUV","其他"))))</f>
        <v/>
      </c>
      <c r="K2016" s="62"/>
      <c r="L2016" s="62"/>
      <c r="M2016" s="62"/>
      <c r="N2016" s="62"/>
      <c r="O2016" s="62"/>
      <c r="P2016" s="62"/>
      <c r="Q2016" s="62"/>
    </row>
    <row r="2017" spans="1:17">
      <c r="A2017" s="62"/>
      <c r="B2017" s="62"/>
      <c r="C2017" s="62"/>
      <c r="D2017" s="62"/>
      <c r="E2017" s="62"/>
      <c r="F2017" s="62"/>
      <c r="G2017" s="62"/>
      <c r="H2017" s="62" t="str">
        <f>IF(AND('Data Export'!A2017=前十整体车型排名!$B$2,'Data Export'!B2017=前十整体车型排名!$B$3,'Data Export'!D2017&lt;&gt;""),UPPER('Data Export'!C2017)&amp;"♦"&amp;'Data Export'!D2017,"")</f>
        <v/>
      </c>
      <c r="I2017" s="63" t="str">
        <f>IF(H2017="","",IFERROR(INDEX('Data Export'!G2017:CZ2017,1,MATCH(前十整体车型排名!$B$4,'Data Export'!$G$1:$CZ$1,0)),0))</f>
        <v/>
      </c>
      <c r="J2017" s="62" t="str">
        <f>IF(H2017="","",IF(OR('Data Export'!F2017="三厢轿车",'Data Export'!F2017="掀背轿车",'Data Export'!F2017="旅行车",'Data Export'!F2017="微型车",'Data Export'!F2017="硬顶跑车",'Data Export'!F2017="敞蓬车",'Data Export'!F2017="Targa"),"轿车",IF(OR('Data Export'!F2017="小型MPV",'Data Export'!F2017="客车"),"MPV",IF('Data Export'!F2017="运动型多功能车","SUV","其他"))))</f>
        <v/>
      </c>
      <c r="K2017" s="62"/>
      <c r="L2017" s="62"/>
      <c r="M2017" s="62"/>
      <c r="N2017" s="62"/>
      <c r="O2017" s="62"/>
      <c r="P2017" s="62"/>
      <c r="Q2017" s="62"/>
    </row>
    <row r="2018" spans="1:17">
      <c r="A2018" s="62"/>
      <c r="B2018" s="62"/>
      <c r="C2018" s="62"/>
      <c r="D2018" s="62"/>
      <c r="E2018" s="62"/>
      <c r="F2018" s="62"/>
      <c r="G2018" s="62"/>
      <c r="H2018" s="62" t="str">
        <f>IF(AND('Data Export'!A2018=前十整体车型排名!$B$2,'Data Export'!B2018=前十整体车型排名!$B$3,'Data Export'!D2018&lt;&gt;""),UPPER('Data Export'!C2018)&amp;"♦"&amp;'Data Export'!D2018,"")</f>
        <v/>
      </c>
      <c r="I2018" s="63" t="str">
        <f>IF(H2018="","",IFERROR(INDEX('Data Export'!G2018:CZ2018,1,MATCH(前十整体车型排名!$B$4,'Data Export'!$G$1:$CZ$1,0)),0))</f>
        <v/>
      </c>
      <c r="J2018" s="62" t="str">
        <f>IF(H2018="","",IF(OR('Data Export'!F2018="三厢轿车",'Data Export'!F2018="掀背轿车",'Data Export'!F2018="旅行车",'Data Export'!F2018="微型车",'Data Export'!F2018="硬顶跑车",'Data Export'!F2018="敞蓬车",'Data Export'!F2018="Targa"),"轿车",IF(OR('Data Export'!F2018="小型MPV",'Data Export'!F2018="客车"),"MPV",IF('Data Export'!F2018="运动型多功能车","SUV","其他"))))</f>
        <v/>
      </c>
      <c r="K2018" s="62"/>
      <c r="L2018" s="62"/>
      <c r="M2018" s="62"/>
      <c r="N2018" s="62"/>
      <c r="O2018" s="62"/>
      <c r="P2018" s="62"/>
      <c r="Q2018" s="62"/>
    </row>
    <row r="2019" spans="1:17">
      <c r="A2019" s="62"/>
      <c r="B2019" s="62"/>
      <c r="C2019" s="62"/>
      <c r="D2019" s="62"/>
      <c r="E2019" s="62"/>
      <c r="F2019" s="62"/>
      <c r="G2019" s="62"/>
      <c r="H2019" s="62" t="str">
        <f>IF(AND('Data Export'!A2019=前十整体车型排名!$B$2,'Data Export'!B2019=前十整体车型排名!$B$3,'Data Export'!D2019&lt;&gt;""),UPPER('Data Export'!C2019)&amp;"♦"&amp;'Data Export'!D2019,"")</f>
        <v/>
      </c>
      <c r="I2019" s="63" t="str">
        <f>IF(H2019="","",IFERROR(INDEX('Data Export'!G2019:CZ2019,1,MATCH(前十整体车型排名!$B$4,'Data Export'!$G$1:$CZ$1,0)),0))</f>
        <v/>
      </c>
      <c r="J2019" s="62" t="str">
        <f>IF(H2019="","",IF(OR('Data Export'!F2019="三厢轿车",'Data Export'!F2019="掀背轿车",'Data Export'!F2019="旅行车",'Data Export'!F2019="微型车",'Data Export'!F2019="硬顶跑车",'Data Export'!F2019="敞蓬车",'Data Export'!F2019="Targa"),"轿车",IF(OR('Data Export'!F2019="小型MPV",'Data Export'!F2019="客车"),"MPV",IF('Data Export'!F2019="运动型多功能车","SUV","其他"))))</f>
        <v/>
      </c>
      <c r="K2019" s="62"/>
      <c r="L2019" s="62"/>
      <c r="M2019" s="62"/>
      <c r="N2019" s="62"/>
      <c r="O2019" s="62"/>
      <c r="P2019" s="62"/>
      <c r="Q2019" s="62"/>
    </row>
    <row r="2020" spans="1:17">
      <c r="A2020" s="62"/>
      <c r="B2020" s="62"/>
      <c r="C2020" s="62"/>
      <c r="D2020" s="62"/>
      <c r="E2020" s="62"/>
      <c r="F2020" s="62"/>
      <c r="G2020" s="62"/>
      <c r="H2020" s="62" t="str">
        <f>IF(AND('Data Export'!A2020=前十整体车型排名!$B$2,'Data Export'!B2020=前十整体车型排名!$B$3,'Data Export'!D2020&lt;&gt;""),UPPER('Data Export'!C2020)&amp;"♦"&amp;'Data Export'!D2020,"")</f>
        <v/>
      </c>
      <c r="I2020" s="63" t="str">
        <f>IF(H2020="","",IFERROR(INDEX('Data Export'!G2020:CZ2020,1,MATCH(前十整体车型排名!$B$4,'Data Export'!$G$1:$CZ$1,0)),0))</f>
        <v/>
      </c>
      <c r="J2020" s="62" t="str">
        <f>IF(H2020="","",IF(OR('Data Export'!F2020="三厢轿车",'Data Export'!F2020="掀背轿车",'Data Export'!F2020="旅行车",'Data Export'!F2020="微型车",'Data Export'!F2020="硬顶跑车",'Data Export'!F2020="敞蓬车",'Data Export'!F2020="Targa"),"轿车",IF(OR('Data Export'!F2020="小型MPV",'Data Export'!F2020="客车"),"MPV",IF('Data Export'!F2020="运动型多功能车","SUV","其他"))))</f>
        <v/>
      </c>
      <c r="K2020" s="62"/>
      <c r="L2020" s="62"/>
      <c r="M2020" s="62"/>
      <c r="N2020" s="62"/>
      <c r="O2020" s="62"/>
      <c r="P2020" s="62"/>
      <c r="Q2020" s="62"/>
    </row>
    <row r="2021" spans="1:17">
      <c r="A2021" s="62"/>
      <c r="B2021" s="62"/>
      <c r="C2021" s="62"/>
      <c r="D2021" s="62"/>
      <c r="E2021" s="62"/>
      <c r="F2021" s="62"/>
      <c r="G2021" s="62"/>
      <c r="H2021" s="62" t="str">
        <f>IF(AND('Data Export'!A2021=前十整体车型排名!$B$2,'Data Export'!B2021=前十整体车型排名!$B$3,'Data Export'!D2021&lt;&gt;""),UPPER('Data Export'!C2021)&amp;"♦"&amp;'Data Export'!D2021,"")</f>
        <v/>
      </c>
      <c r="I2021" s="63" t="str">
        <f>IF(H2021="","",IFERROR(INDEX('Data Export'!G2021:CZ2021,1,MATCH(前十整体车型排名!$B$4,'Data Export'!$G$1:$CZ$1,0)),0))</f>
        <v/>
      </c>
      <c r="J2021" s="62" t="str">
        <f>IF(H2021="","",IF(OR('Data Export'!F2021="三厢轿车",'Data Export'!F2021="掀背轿车",'Data Export'!F2021="旅行车",'Data Export'!F2021="微型车",'Data Export'!F2021="硬顶跑车",'Data Export'!F2021="敞蓬车",'Data Export'!F2021="Targa"),"轿车",IF(OR('Data Export'!F2021="小型MPV",'Data Export'!F2021="客车"),"MPV",IF('Data Export'!F2021="运动型多功能车","SUV","其他"))))</f>
        <v/>
      </c>
      <c r="K2021" s="62"/>
      <c r="L2021" s="62"/>
      <c r="M2021" s="62"/>
      <c r="N2021" s="62"/>
      <c r="O2021" s="62"/>
      <c r="P2021" s="62"/>
      <c r="Q2021" s="62"/>
    </row>
    <row r="2022" spans="1:17">
      <c r="A2022" s="62"/>
      <c r="B2022" s="62"/>
      <c r="C2022" s="62"/>
      <c r="D2022" s="62"/>
      <c r="E2022" s="62"/>
      <c r="F2022" s="62"/>
      <c r="G2022" s="62"/>
      <c r="H2022" s="62" t="str">
        <f>IF(AND('Data Export'!A2022=前十整体车型排名!$B$2,'Data Export'!B2022=前十整体车型排名!$B$3,'Data Export'!D2022&lt;&gt;""),UPPER('Data Export'!C2022)&amp;"♦"&amp;'Data Export'!D2022,"")</f>
        <v/>
      </c>
      <c r="I2022" s="63" t="str">
        <f>IF(H2022="","",IFERROR(INDEX('Data Export'!G2022:CZ2022,1,MATCH(前十整体车型排名!$B$4,'Data Export'!$G$1:$CZ$1,0)),0))</f>
        <v/>
      </c>
      <c r="J2022" s="62" t="str">
        <f>IF(H2022="","",IF(OR('Data Export'!F2022="三厢轿车",'Data Export'!F2022="掀背轿车",'Data Export'!F2022="旅行车",'Data Export'!F2022="微型车",'Data Export'!F2022="硬顶跑车",'Data Export'!F2022="敞蓬车",'Data Export'!F2022="Targa"),"轿车",IF(OR('Data Export'!F2022="小型MPV",'Data Export'!F2022="客车"),"MPV",IF('Data Export'!F2022="运动型多功能车","SUV","其他"))))</f>
        <v/>
      </c>
      <c r="K2022" s="62"/>
      <c r="L2022" s="62"/>
      <c r="M2022" s="62"/>
      <c r="N2022" s="62"/>
      <c r="O2022" s="62"/>
      <c r="P2022" s="62"/>
      <c r="Q2022" s="62"/>
    </row>
    <row r="2023" spans="1:17">
      <c r="A2023" s="62"/>
      <c r="B2023" s="62"/>
      <c r="C2023" s="62"/>
      <c r="D2023" s="62"/>
      <c r="E2023" s="62"/>
      <c r="F2023" s="62"/>
      <c r="G2023" s="62"/>
      <c r="H2023" s="62" t="str">
        <f>IF(AND('Data Export'!A2023=前十整体车型排名!$B$2,'Data Export'!B2023=前十整体车型排名!$B$3,'Data Export'!D2023&lt;&gt;""),UPPER('Data Export'!C2023)&amp;"♦"&amp;'Data Export'!D2023,"")</f>
        <v/>
      </c>
      <c r="I2023" s="63" t="str">
        <f>IF(H2023="","",IFERROR(INDEX('Data Export'!G2023:CZ2023,1,MATCH(前十整体车型排名!$B$4,'Data Export'!$G$1:$CZ$1,0)),0))</f>
        <v/>
      </c>
      <c r="J2023" s="62" t="str">
        <f>IF(H2023="","",IF(OR('Data Export'!F2023="三厢轿车",'Data Export'!F2023="掀背轿车",'Data Export'!F2023="旅行车",'Data Export'!F2023="微型车",'Data Export'!F2023="硬顶跑车",'Data Export'!F2023="敞蓬车",'Data Export'!F2023="Targa"),"轿车",IF(OR('Data Export'!F2023="小型MPV",'Data Export'!F2023="客车"),"MPV",IF('Data Export'!F2023="运动型多功能车","SUV","其他"))))</f>
        <v/>
      </c>
      <c r="K2023" s="62"/>
      <c r="L2023" s="62"/>
      <c r="M2023" s="62"/>
      <c r="N2023" s="62"/>
      <c r="O2023" s="62"/>
      <c r="P2023" s="62"/>
      <c r="Q2023" s="62"/>
    </row>
    <row r="2024" spans="1:17">
      <c r="A2024" s="62"/>
      <c r="B2024" s="62"/>
      <c r="C2024" s="62"/>
      <c r="D2024" s="62"/>
      <c r="E2024" s="62"/>
      <c r="F2024" s="62"/>
      <c r="G2024" s="62"/>
      <c r="H2024" s="62" t="str">
        <f>IF(AND('Data Export'!A2024=前十整体车型排名!$B$2,'Data Export'!B2024=前十整体车型排名!$B$3,'Data Export'!D2024&lt;&gt;""),UPPER('Data Export'!C2024)&amp;"♦"&amp;'Data Export'!D2024,"")</f>
        <v/>
      </c>
      <c r="I2024" s="63" t="str">
        <f>IF(H2024="","",IFERROR(INDEX('Data Export'!G2024:CZ2024,1,MATCH(前十整体车型排名!$B$4,'Data Export'!$G$1:$CZ$1,0)),0))</f>
        <v/>
      </c>
      <c r="J2024" s="62" t="str">
        <f>IF(H2024="","",IF(OR('Data Export'!F2024="三厢轿车",'Data Export'!F2024="掀背轿车",'Data Export'!F2024="旅行车",'Data Export'!F2024="微型车",'Data Export'!F2024="硬顶跑车",'Data Export'!F2024="敞蓬车",'Data Export'!F2024="Targa"),"轿车",IF(OR('Data Export'!F2024="小型MPV",'Data Export'!F2024="客车"),"MPV",IF('Data Export'!F2024="运动型多功能车","SUV","其他"))))</f>
        <v/>
      </c>
      <c r="K2024" s="62"/>
      <c r="L2024" s="62"/>
      <c r="M2024" s="62"/>
      <c r="N2024" s="62"/>
      <c r="O2024" s="62"/>
      <c r="P2024" s="62"/>
      <c r="Q2024" s="62"/>
    </row>
    <row r="2025" spans="1:17">
      <c r="A2025" s="62"/>
      <c r="B2025" s="62"/>
      <c r="C2025" s="62"/>
      <c r="D2025" s="62"/>
      <c r="E2025" s="62"/>
      <c r="F2025" s="62"/>
      <c r="G2025" s="62"/>
      <c r="H2025" s="62" t="str">
        <f>IF(AND('Data Export'!A2025=前十整体车型排名!$B$2,'Data Export'!B2025=前十整体车型排名!$B$3,'Data Export'!D2025&lt;&gt;""),UPPER('Data Export'!C2025)&amp;"♦"&amp;'Data Export'!D2025,"")</f>
        <v/>
      </c>
      <c r="I2025" s="63" t="str">
        <f>IF(H2025="","",IFERROR(INDEX('Data Export'!G2025:CZ2025,1,MATCH(前十整体车型排名!$B$4,'Data Export'!$G$1:$CZ$1,0)),0))</f>
        <v/>
      </c>
      <c r="J2025" s="62" t="str">
        <f>IF(H2025="","",IF(OR('Data Export'!F2025="三厢轿车",'Data Export'!F2025="掀背轿车",'Data Export'!F2025="旅行车",'Data Export'!F2025="微型车",'Data Export'!F2025="硬顶跑车",'Data Export'!F2025="敞蓬车",'Data Export'!F2025="Targa"),"轿车",IF(OR('Data Export'!F2025="小型MPV",'Data Export'!F2025="客车"),"MPV",IF('Data Export'!F2025="运动型多功能车","SUV","其他"))))</f>
        <v/>
      </c>
      <c r="K2025" s="62"/>
      <c r="L2025" s="62"/>
      <c r="M2025" s="62"/>
      <c r="N2025" s="62"/>
      <c r="O2025" s="62"/>
      <c r="P2025" s="62"/>
      <c r="Q2025" s="62"/>
    </row>
    <row r="2026" spans="1:17">
      <c r="A2026" s="62"/>
      <c r="B2026" s="62"/>
      <c r="C2026" s="62"/>
      <c r="D2026" s="62"/>
      <c r="E2026" s="62"/>
      <c r="F2026" s="62"/>
      <c r="G2026" s="62"/>
      <c r="H2026" s="62" t="str">
        <f>IF(AND('Data Export'!A2026=前十整体车型排名!$B$2,'Data Export'!B2026=前十整体车型排名!$B$3,'Data Export'!D2026&lt;&gt;""),UPPER('Data Export'!C2026)&amp;"♦"&amp;'Data Export'!D2026,"")</f>
        <v/>
      </c>
      <c r="I2026" s="63" t="str">
        <f>IF(H2026="","",IFERROR(INDEX('Data Export'!G2026:CZ2026,1,MATCH(前十整体车型排名!$B$4,'Data Export'!$G$1:$CZ$1,0)),0))</f>
        <v/>
      </c>
      <c r="J2026" s="62" t="str">
        <f>IF(H2026="","",IF(OR('Data Export'!F2026="三厢轿车",'Data Export'!F2026="掀背轿车",'Data Export'!F2026="旅行车",'Data Export'!F2026="微型车",'Data Export'!F2026="硬顶跑车",'Data Export'!F2026="敞蓬车",'Data Export'!F2026="Targa"),"轿车",IF(OR('Data Export'!F2026="小型MPV",'Data Export'!F2026="客车"),"MPV",IF('Data Export'!F2026="运动型多功能车","SUV","其他"))))</f>
        <v/>
      </c>
      <c r="K2026" s="62"/>
      <c r="L2026" s="62"/>
      <c r="M2026" s="62"/>
      <c r="N2026" s="62"/>
      <c r="O2026" s="62"/>
      <c r="P2026" s="62"/>
      <c r="Q2026" s="62"/>
    </row>
    <row r="2027" spans="1:17">
      <c r="A2027" s="62"/>
      <c r="B2027" s="62"/>
      <c r="C2027" s="62"/>
      <c r="D2027" s="62"/>
      <c r="E2027" s="62"/>
      <c r="F2027" s="62"/>
      <c r="G2027" s="62"/>
      <c r="H2027" s="62" t="str">
        <f>IF(AND('Data Export'!A2027=前十整体车型排名!$B$2,'Data Export'!B2027=前十整体车型排名!$B$3,'Data Export'!D2027&lt;&gt;""),UPPER('Data Export'!C2027)&amp;"♦"&amp;'Data Export'!D2027,"")</f>
        <v/>
      </c>
      <c r="I2027" s="63" t="str">
        <f>IF(H2027="","",IFERROR(INDEX('Data Export'!G2027:CZ2027,1,MATCH(前十整体车型排名!$B$4,'Data Export'!$G$1:$CZ$1,0)),0))</f>
        <v/>
      </c>
      <c r="J2027" s="62" t="str">
        <f>IF(H2027="","",IF(OR('Data Export'!F2027="三厢轿车",'Data Export'!F2027="掀背轿车",'Data Export'!F2027="旅行车",'Data Export'!F2027="微型车",'Data Export'!F2027="硬顶跑车",'Data Export'!F2027="敞蓬车",'Data Export'!F2027="Targa"),"轿车",IF(OR('Data Export'!F2027="小型MPV",'Data Export'!F2027="客车"),"MPV",IF('Data Export'!F2027="运动型多功能车","SUV","其他"))))</f>
        <v/>
      </c>
      <c r="K2027" s="62"/>
      <c r="L2027" s="62"/>
      <c r="M2027" s="62"/>
      <c r="N2027" s="62"/>
      <c r="O2027" s="62"/>
      <c r="P2027" s="62"/>
      <c r="Q2027" s="62"/>
    </row>
    <row r="2028" spans="1:17">
      <c r="A2028" s="62"/>
      <c r="B2028" s="62"/>
      <c r="C2028" s="62"/>
      <c r="D2028" s="62"/>
      <c r="E2028" s="62"/>
      <c r="F2028" s="62"/>
      <c r="G2028" s="62"/>
      <c r="H2028" s="62" t="str">
        <f>IF(AND('Data Export'!A2028=前十整体车型排名!$B$2,'Data Export'!B2028=前十整体车型排名!$B$3,'Data Export'!D2028&lt;&gt;""),UPPER('Data Export'!C2028)&amp;"♦"&amp;'Data Export'!D2028,"")</f>
        <v/>
      </c>
      <c r="I2028" s="63" t="str">
        <f>IF(H2028="","",IFERROR(INDEX('Data Export'!G2028:CZ2028,1,MATCH(前十整体车型排名!$B$4,'Data Export'!$G$1:$CZ$1,0)),0))</f>
        <v/>
      </c>
      <c r="J2028" s="62" t="str">
        <f>IF(H2028="","",IF(OR('Data Export'!F2028="三厢轿车",'Data Export'!F2028="掀背轿车",'Data Export'!F2028="旅行车",'Data Export'!F2028="微型车",'Data Export'!F2028="硬顶跑车",'Data Export'!F2028="敞蓬车",'Data Export'!F2028="Targa"),"轿车",IF(OR('Data Export'!F2028="小型MPV",'Data Export'!F2028="客车"),"MPV",IF('Data Export'!F2028="运动型多功能车","SUV","其他"))))</f>
        <v/>
      </c>
      <c r="K2028" s="62"/>
      <c r="L2028" s="62"/>
      <c r="M2028" s="62"/>
      <c r="N2028" s="62"/>
      <c r="O2028" s="62"/>
      <c r="P2028" s="62"/>
      <c r="Q2028" s="62"/>
    </row>
    <row r="2029" spans="1:17">
      <c r="A2029" s="62"/>
      <c r="B2029" s="62"/>
      <c r="C2029" s="62"/>
      <c r="D2029" s="62"/>
      <c r="E2029" s="62"/>
      <c r="F2029" s="62"/>
      <c r="G2029" s="62"/>
      <c r="H2029" s="62" t="str">
        <f>IF(AND('Data Export'!A2029=前十整体车型排名!$B$2,'Data Export'!B2029=前十整体车型排名!$B$3,'Data Export'!D2029&lt;&gt;""),UPPER('Data Export'!C2029)&amp;"♦"&amp;'Data Export'!D2029,"")</f>
        <v/>
      </c>
      <c r="I2029" s="63" t="str">
        <f>IF(H2029="","",IFERROR(INDEX('Data Export'!G2029:CZ2029,1,MATCH(前十整体车型排名!$B$4,'Data Export'!$G$1:$CZ$1,0)),0))</f>
        <v/>
      </c>
      <c r="J2029" s="62" t="str">
        <f>IF(H2029="","",IF(OR('Data Export'!F2029="三厢轿车",'Data Export'!F2029="掀背轿车",'Data Export'!F2029="旅行车",'Data Export'!F2029="微型车",'Data Export'!F2029="硬顶跑车",'Data Export'!F2029="敞蓬车",'Data Export'!F2029="Targa"),"轿车",IF(OR('Data Export'!F2029="小型MPV",'Data Export'!F2029="客车"),"MPV",IF('Data Export'!F2029="运动型多功能车","SUV","其他"))))</f>
        <v/>
      </c>
      <c r="K2029" s="62"/>
      <c r="L2029" s="62"/>
      <c r="M2029" s="62"/>
      <c r="N2029" s="62"/>
      <c r="O2029" s="62"/>
      <c r="P2029" s="62"/>
      <c r="Q2029" s="62"/>
    </row>
    <row r="2030" spans="1:17">
      <c r="A2030" s="62"/>
      <c r="B2030" s="62"/>
      <c r="C2030" s="62"/>
      <c r="D2030" s="62"/>
      <c r="E2030" s="62"/>
      <c r="F2030" s="62"/>
      <c r="G2030" s="62"/>
      <c r="H2030" s="62" t="str">
        <f>IF(AND('Data Export'!A2030=前十整体车型排名!$B$2,'Data Export'!B2030=前十整体车型排名!$B$3,'Data Export'!D2030&lt;&gt;""),UPPER('Data Export'!C2030)&amp;"♦"&amp;'Data Export'!D2030,"")</f>
        <v/>
      </c>
      <c r="I2030" s="63" t="str">
        <f>IF(H2030="","",IFERROR(INDEX('Data Export'!G2030:CZ2030,1,MATCH(前十整体车型排名!$B$4,'Data Export'!$G$1:$CZ$1,0)),0))</f>
        <v/>
      </c>
      <c r="J2030" s="62" t="str">
        <f>IF(H2030="","",IF(OR('Data Export'!F2030="三厢轿车",'Data Export'!F2030="掀背轿车",'Data Export'!F2030="旅行车",'Data Export'!F2030="微型车",'Data Export'!F2030="硬顶跑车",'Data Export'!F2030="敞蓬车",'Data Export'!F2030="Targa"),"轿车",IF(OR('Data Export'!F2030="小型MPV",'Data Export'!F2030="客车"),"MPV",IF('Data Export'!F2030="运动型多功能车","SUV","其他"))))</f>
        <v/>
      </c>
      <c r="K2030" s="62"/>
      <c r="L2030" s="62"/>
      <c r="M2030" s="62"/>
      <c r="N2030" s="62"/>
      <c r="O2030" s="62"/>
      <c r="P2030" s="62"/>
      <c r="Q2030" s="62"/>
    </row>
    <row r="2031" spans="1:17">
      <c r="A2031" s="62"/>
      <c r="B2031" s="62"/>
      <c r="C2031" s="62"/>
      <c r="D2031" s="62"/>
      <c r="E2031" s="62"/>
      <c r="F2031" s="62"/>
      <c r="G2031" s="62"/>
      <c r="H2031" s="62" t="str">
        <f>IF(AND('Data Export'!A2031=前十整体车型排名!$B$2,'Data Export'!B2031=前十整体车型排名!$B$3,'Data Export'!D2031&lt;&gt;""),UPPER('Data Export'!C2031)&amp;"♦"&amp;'Data Export'!D2031,"")</f>
        <v/>
      </c>
      <c r="I2031" s="63" t="str">
        <f>IF(H2031="","",IFERROR(INDEX('Data Export'!G2031:CZ2031,1,MATCH(前十整体车型排名!$B$4,'Data Export'!$G$1:$CZ$1,0)),0))</f>
        <v/>
      </c>
      <c r="J2031" s="62" t="str">
        <f>IF(H2031="","",IF(OR('Data Export'!F2031="三厢轿车",'Data Export'!F2031="掀背轿车",'Data Export'!F2031="旅行车",'Data Export'!F2031="微型车",'Data Export'!F2031="硬顶跑车",'Data Export'!F2031="敞蓬车",'Data Export'!F2031="Targa"),"轿车",IF(OR('Data Export'!F2031="小型MPV",'Data Export'!F2031="客车"),"MPV",IF('Data Export'!F2031="运动型多功能车","SUV","其他"))))</f>
        <v/>
      </c>
      <c r="K2031" s="62"/>
      <c r="L2031" s="62"/>
      <c r="M2031" s="62"/>
      <c r="N2031" s="62"/>
      <c r="O2031" s="62"/>
      <c r="P2031" s="62"/>
      <c r="Q2031" s="62"/>
    </row>
    <row r="2032" spans="1:17">
      <c r="A2032" s="62"/>
      <c r="B2032" s="62"/>
      <c r="C2032" s="62"/>
      <c r="D2032" s="62"/>
      <c r="E2032" s="62"/>
      <c r="F2032" s="62"/>
      <c r="G2032" s="62"/>
      <c r="H2032" s="62" t="str">
        <f>IF(AND('Data Export'!A2032=前十整体车型排名!$B$2,'Data Export'!B2032=前十整体车型排名!$B$3,'Data Export'!D2032&lt;&gt;""),UPPER('Data Export'!C2032)&amp;"♦"&amp;'Data Export'!D2032,"")</f>
        <v/>
      </c>
      <c r="I2032" s="63" t="str">
        <f>IF(H2032="","",IFERROR(INDEX('Data Export'!G2032:CZ2032,1,MATCH(前十整体车型排名!$B$4,'Data Export'!$G$1:$CZ$1,0)),0))</f>
        <v/>
      </c>
      <c r="J2032" s="62" t="str">
        <f>IF(H2032="","",IF(OR('Data Export'!F2032="三厢轿车",'Data Export'!F2032="掀背轿车",'Data Export'!F2032="旅行车",'Data Export'!F2032="微型车",'Data Export'!F2032="硬顶跑车",'Data Export'!F2032="敞蓬车",'Data Export'!F2032="Targa"),"轿车",IF(OR('Data Export'!F2032="小型MPV",'Data Export'!F2032="客车"),"MPV",IF('Data Export'!F2032="运动型多功能车","SUV","其他"))))</f>
        <v/>
      </c>
      <c r="K2032" s="62"/>
      <c r="L2032" s="62"/>
      <c r="M2032" s="62"/>
      <c r="N2032" s="62"/>
      <c r="O2032" s="62"/>
      <c r="P2032" s="62"/>
      <c r="Q2032" s="62"/>
    </row>
    <row r="2033" spans="1:17">
      <c r="A2033" s="62"/>
      <c r="B2033" s="62"/>
      <c r="C2033" s="62"/>
      <c r="D2033" s="62"/>
      <c r="E2033" s="62"/>
      <c r="F2033" s="62"/>
      <c r="G2033" s="62"/>
      <c r="H2033" s="62" t="str">
        <f>IF(AND('Data Export'!A2033=前十整体车型排名!$B$2,'Data Export'!B2033=前十整体车型排名!$B$3,'Data Export'!D2033&lt;&gt;""),UPPER('Data Export'!C2033)&amp;"♦"&amp;'Data Export'!D2033,"")</f>
        <v/>
      </c>
      <c r="I2033" s="63" t="str">
        <f>IF(H2033="","",IFERROR(INDEX('Data Export'!G2033:CZ2033,1,MATCH(前十整体车型排名!$B$4,'Data Export'!$G$1:$CZ$1,0)),0))</f>
        <v/>
      </c>
      <c r="J2033" s="62" t="str">
        <f>IF(H2033="","",IF(OR('Data Export'!F2033="三厢轿车",'Data Export'!F2033="掀背轿车",'Data Export'!F2033="旅行车",'Data Export'!F2033="微型车",'Data Export'!F2033="硬顶跑车",'Data Export'!F2033="敞蓬车",'Data Export'!F2033="Targa"),"轿车",IF(OR('Data Export'!F2033="小型MPV",'Data Export'!F2033="客车"),"MPV",IF('Data Export'!F2033="运动型多功能车","SUV","其他"))))</f>
        <v/>
      </c>
      <c r="K2033" s="62"/>
      <c r="L2033" s="62"/>
      <c r="M2033" s="62"/>
      <c r="N2033" s="62"/>
      <c r="O2033" s="62"/>
      <c r="P2033" s="62"/>
      <c r="Q2033" s="62"/>
    </row>
    <row r="2034" spans="1:17">
      <c r="A2034" s="62"/>
      <c r="B2034" s="62"/>
      <c r="C2034" s="62"/>
      <c r="D2034" s="62"/>
      <c r="E2034" s="62"/>
      <c r="F2034" s="62"/>
      <c r="G2034" s="62"/>
      <c r="H2034" s="62" t="str">
        <f>IF(AND('Data Export'!A2034=前十整体车型排名!$B$2,'Data Export'!B2034=前十整体车型排名!$B$3,'Data Export'!D2034&lt;&gt;""),UPPER('Data Export'!C2034)&amp;"♦"&amp;'Data Export'!D2034,"")</f>
        <v/>
      </c>
      <c r="I2034" s="63" t="str">
        <f>IF(H2034="","",IFERROR(INDEX('Data Export'!G2034:CZ2034,1,MATCH(前十整体车型排名!$B$4,'Data Export'!$G$1:$CZ$1,0)),0))</f>
        <v/>
      </c>
      <c r="J2034" s="62" t="str">
        <f>IF(H2034="","",IF(OR('Data Export'!F2034="三厢轿车",'Data Export'!F2034="掀背轿车",'Data Export'!F2034="旅行车",'Data Export'!F2034="微型车",'Data Export'!F2034="硬顶跑车",'Data Export'!F2034="敞蓬车",'Data Export'!F2034="Targa"),"轿车",IF(OR('Data Export'!F2034="小型MPV",'Data Export'!F2034="客车"),"MPV",IF('Data Export'!F2034="运动型多功能车","SUV","其他"))))</f>
        <v/>
      </c>
      <c r="K2034" s="62"/>
      <c r="L2034" s="62"/>
      <c r="M2034" s="62"/>
      <c r="N2034" s="62"/>
      <c r="O2034" s="62"/>
      <c r="P2034" s="62"/>
      <c r="Q2034" s="62"/>
    </row>
    <row r="2035" spans="1:17">
      <c r="A2035" s="62"/>
      <c r="B2035" s="62"/>
      <c r="C2035" s="62"/>
      <c r="D2035" s="62"/>
      <c r="E2035" s="62"/>
      <c r="F2035" s="62"/>
      <c r="G2035" s="62"/>
      <c r="H2035" s="62" t="str">
        <f>IF(AND('Data Export'!A2035=前十整体车型排名!$B$2,'Data Export'!B2035=前十整体车型排名!$B$3,'Data Export'!D2035&lt;&gt;""),UPPER('Data Export'!C2035)&amp;"♦"&amp;'Data Export'!D2035,"")</f>
        <v/>
      </c>
      <c r="I2035" s="63" t="str">
        <f>IF(H2035="","",IFERROR(INDEX('Data Export'!G2035:CZ2035,1,MATCH(前十整体车型排名!$B$4,'Data Export'!$G$1:$CZ$1,0)),0))</f>
        <v/>
      </c>
      <c r="J2035" s="62" t="str">
        <f>IF(H2035="","",IF(OR('Data Export'!F2035="三厢轿车",'Data Export'!F2035="掀背轿车",'Data Export'!F2035="旅行车",'Data Export'!F2035="微型车",'Data Export'!F2035="硬顶跑车",'Data Export'!F2035="敞蓬车",'Data Export'!F2035="Targa"),"轿车",IF(OR('Data Export'!F2035="小型MPV",'Data Export'!F2035="客车"),"MPV",IF('Data Export'!F2035="运动型多功能车","SUV","其他"))))</f>
        <v/>
      </c>
      <c r="K2035" s="62"/>
      <c r="L2035" s="62"/>
      <c r="M2035" s="62"/>
      <c r="N2035" s="62"/>
      <c r="O2035" s="62"/>
      <c r="P2035" s="62"/>
      <c r="Q2035" s="62"/>
    </row>
    <row r="2036" spans="1:17">
      <c r="A2036" s="62"/>
      <c r="B2036" s="62"/>
      <c r="C2036" s="62"/>
      <c r="D2036" s="62"/>
      <c r="E2036" s="62"/>
      <c r="F2036" s="62"/>
      <c r="G2036" s="62"/>
      <c r="H2036" s="62" t="str">
        <f>IF(AND('Data Export'!A2036=前十整体车型排名!$B$2,'Data Export'!B2036=前十整体车型排名!$B$3,'Data Export'!D2036&lt;&gt;""),UPPER('Data Export'!C2036)&amp;"♦"&amp;'Data Export'!D2036,"")</f>
        <v/>
      </c>
      <c r="I2036" s="63" t="str">
        <f>IF(H2036="","",IFERROR(INDEX('Data Export'!G2036:CZ2036,1,MATCH(前十整体车型排名!$B$4,'Data Export'!$G$1:$CZ$1,0)),0))</f>
        <v/>
      </c>
      <c r="J2036" s="62" t="str">
        <f>IF(H2036="","",IF(OR('Data Export'!F2036="三厢轿车",'Data Export'!F2036="掀背轿车",'Data Export'!F2036="旅行车",'Data Export'!F2036="微型车",'Data Export'!F2036="硬顶跑车",'Data Export'!F2036="敞蓬车",'Data Export'!F2036="Targa"),"轿车",IF(OR('Data Export'!F2036="小型MPV",'Data Export'!F2036="客车"),"MPV",IF('Data Export'!F2036="运动型多功能车","SUV","其他"))))</f>
        <v/>
      </c>
      <c r="K2036" s="62"/>
      <c r="L2036" s="62"/>
      <c r="M2036" s="62"/>
      <c r="N2036" s="62"/>
      <c r="O2036" s="62"/>
      <c r="P2036" s="62"/>
      <c r="Q2036" s="62"/>
    </row>
    <row r="2037" spans="1:17">
      <c r="A2037" s="62"/>
      <c r="B2037" s="62"/>
      <c r="C2037" s="62"/>
      <c r="D2037" s="62"/>
      <c r="E2037" s="62"/>
      <c r="F2037" s="62"/>
      <c r="G2037" s="62"/>
      <c r="H2037" s="62" t="str">
        <f>IF(AND('Data Export'!A2037=前十整体车型排名!$B$2,'Data Export'!B2037=前十整体车型排名!$B$3,'Data Export'!D2037&lt;&gt;""),UPPER('Data Export'!C2037)&amp;"♦"&amp;'Data Export'!D2037,"")</f>
        <v/>
      </c>
      <c r="I2037" s="63" t="str">
        <f>IF(H2037="","",IFERROR(INDEX('Data Export'!G2037:CZ2037,1,MATCH(前十整体车型排名!$B$4,'Data Export'!$G$1:$CZ$1,0)),0))</f>
        <v/>
      </c>
      <c r="J2037" s="62" t="str">
        <f>IF(H2037="","",IF(OR('Data Export'!F2037="三厢轿车",'Data Export'!F2037="掀背轿车",'Data Export'!F2037="旅行车",'Data Export'!F2037="微型车",'Data Export'!F2037="硬顶跑车",'Data Export'!F2037="敞蓬车",'Data Export'!F2037="Targa"),"轿车",IF(OR('Data Export'!F2037="小型MPV",'Data Export'!F2037="客车"),"MPV",IF('Data Export'!F2037="运动型多功能车","SUV","其他"))))</f>
        <v/>
      </c>
      <c r="K2037" s="62"/>
      <c r="L2037" s="62"/>
      <c r="M2037" s="62"/>
      <c r="N2037" s="62"/>
      <c r="O2037" s="62"/>
      <c r="P2037" s="62"/>
      <c r="Q2037" s="62"/>
    </row>
    <row r="2038" spans="1:17">
      <c r="A2038" s="62"/>
      <c r="B2038" s="62"/>
      <c r="C2038" s="62"/>
      <c r="D2038" s="62"/>
      <c r="E2038" s="62"/>
      <c r="F2038" s="62"/>
      <c r="G2038" s="62"/>
      <c r="H2038" s="62" t="str">
        <f>IF(AND('Data Export'!A2038=前十整体车型排名!$B$2,'Data Export'!B2038=前十整体车型排名!$B$3,'Data Export'!D2038&lt;&gt;""),UPPER('Data Export'!C2038)&amp;"♦"&amp;'Data Export'!D2038,"")</f>
        <v/>
      </c>
      <c r="I2038" s="63" t="str">
        <f>IF(H2038="","",IFERROR(INDEX('Data Export'!G2038:CZ2038,1,MATCH(前十整体车型排名!$B$4,'Data Export'!$G$1:$CZ$1,0)),0))</f>
        <v/>
      </c>
      <c r="J2038" s="62" t="str">
        <f>IF(H2038="","",IF(OR('Data Export'!F2038="三厢轿车",'Data Export'!F2038="掀背轿车",'Data Export'!F2038="旅行车",'Data Export'!F2038="微型车",'Data Export'!F2038="硬顶跑车",'Data Export'!F2038="敞蓬车",'Data Export'!F2038="Targa"),"轿车",IF(OR('Data Export'!F2038="小型MPV",'Data Export'!F2038="客车"),"MPV",IF('Data Export'!F2038="运动型多功能车","SUV","其他"))))</f>
        <v/>
      </c>
      <c r="K2038" s="62"/>
      <c r="L2038" s="62"/>
      <c r="M2038" s="62"/>
      <c r="N2038" s="62"/>
      <c r="O2038" s="62"/>
      <c r="P2038" s="62"/>
      <c r="Q2038" s="62"/>
    </row>
    <row r="2039" spans="1:17">
      <c r="A2039" s="62"/>
      <c r="B2039" s="62"/>
      <c r="C2039" s="62"/>
      <c r="D2039" s="62"/>
      <c r="E2039" s="62"/>
      <c r="F2039" s="62"/>
      <c r="G2039" s="62"/>
      <c r="H2039" s="62" t="str">
        <f>IF(AND('Data Export'!A2039=前十整体车型排名!$B$2,'Data Export'!B2039=前十整体车型排名!$B$3,'Data Export'!D2039&lt;&gt;""),UPPER('Data Export'!C2039)&amp;"♦"&amp;'Data Export'!D2039,"")</f>
        <v/>
      </c>
      <c r="I2039" s="63" t="str">
        <f>IF(H2039="","",IFERROR(INDEX('Data Export'!G2039:CZ2039,1,MATCH(前十整体车型排名!$B$4,'Data Export'!$G$1:$CZ$1,0)),0))</f>
        <v/>
      </c>
      <c r="J2039" s="62" t="str">
        <f>IF(H2039="","",IF(OR('Data Export'!F2039="三厢轿车",'Data Export'!F2039="掀背轿车",'Data Export'!F2039="旅行车",'Data Export'!F2039="微型车",'Data Export'!F2039="硬顶跑车",'Data Export'!F2039="敞蓬车",'Data Export'!F2039="Targa"),"轿车",IF(OR('Data Export'!F2039="小型MPV",'Data Export'!F2039="客车"),"MPV",IF('Data Export'!F2039="运动型多功能车","SUV","其他"))))</f>
        <v/>
      </c>
      <c r="K2039" s="62"/>
      <c r="L2039" s="62"/>
      <c r="M2039" s="62"/>
      <c r="N2039" s="62"/>
      <c r="O2039" s="62"/>
      <c r="P2039" s="62"/>
      <c r="Q2039" s="62"/>
    </row>
    <row r="2040" spans="1:17">
      <c r="A2040" s="62"/>
      <c r="B2040" s="62"/>
      <c r="C2040" s="62"/>
      <c r="D2040" s="62"/>
      <c r="E2040" s="62"/>
      <c r="F2040" s="62"/>
      <c r="G2040" s="62"/>
      <c r="H2040" s="62" t="str">
        <f>IF(AND('Data Export'!A2040=前十整体车型排名!$B$2,'Data Export'!B2040=前十整体车型排名!$B$3,'Data Export'!D2040&lt;&gt;""),UPPER('Data Export'!C2040)&amp;"♦"&amp;'Data Export'!D2040,"")</f>
        <v/>
      </c>
      <c r="I2040" s="63" t="str">
        <f>IF(H2040="","",IFERROR(INDEX('Data Export'!G2040:CZ2040,1,MATCH(前十整体车型排名!$B$4,'Data Export'!$G$1:$CZ$1,0)),0))</f>
        <v/>
      </c>
      <c r="J2040" s="62" t="str">
        <f>IF(H2040="","",IF(OR('Data Export'!F2040="三厢轿车",'Data Export'!F2040="掀背轿车",'Data Export'!F2040="旅行车",'Data Export'!F2040="微型车",'Data Export'!F2040="硬顶跑车",'Data Export'!F2040="敞蓬车",'Data Export'!F2040="Targa"),"轿车",IF(OR('Data Export'!F2040="小型MPV",'Data Export'!F2040="客车"),"MPV",IF('Data Export'!F2040="运动型多功能车","SUV","其他"))))</f>
        <v/>
      </c>
      <c r="K2040" s="62"/>
      <c r="L2040" s="62"/>
      <c r="M2040" s="62"/>
      <c r="N2040" s="62"/>
      <c r="O2040" s="62"/>
      <c r="P2040" s="62"/>
      <c r="Q2040" s="62"/>
    </row>
    <row r="2041" spans="1:17">
      <c r="A2041" s="62"/>
      <c r="B2041" s="62"/>
      <c r="C2041" s="62"/>
      <c r="D2041" s="62"/>
      <c r="E2041" s="62"/>
      <c r="F2041" s="62"/>
      <c r="G2041" s="62"/>
      <c r="H2041" s="62" t="str">
        <f>IF(AND('Data Export'!A2041=前十整体车型排名!$B$2,'Data Export'!B2041=前十整体车型排名!$B$3,'Data Export'!D2041&lt;&gt;""),UPPER('Data Export'!C2041)&amp;"♦"&amp;'Data Export'!D2041,"")</f>
        <v/>
      </c>
      <c r="I2041" s="63" t="str">
        <f>IF(H2041="","",IFERROR(INDEX('Data Export'!G2041:CZ2041,1,MATCH(前十整体车型排名!$B$4,'Data Export'!$G$1:$CZ$1,0)),0))</f>
        <v/>
      </c>
      <c r="J2041" s="62" t="str">
        <f>IF(H2041="","",IF(OR('Data Export'!F2041="三厢轿车",'Data Export'!F2041="掀背轿车",'Data Export'!F2041="旅行车",'Data Export'!F2041="微型车",'Data Export'!F2041="硬顶跑车",'Data Export'!F2041="敞蓬车",'Data Export'!F2041="Targa"),"轿车",IF(OR('Data Export'!F2041="小型MPV",'Data Export'!F2041="客车"),"MPV",IF('Data Export'!F2041="运动型多功能车","SUV","其他"))))</f>
        <v/>
      </c>
      <c r="K2041" s="62"/>
      <c r="L2041" s="62"/>
      <c r="M2041" s="62"/>
      <c r="N2041" s="62"/>
      <c r="O2041" s="62"/>
      <c r="P2041" s="62"/>
      <c r="Q2041" s="62"/>
    </row>
    <row r="2042" spans="1:17">
      <c r="A2042" s="62"/>
      <c r="B2042" s="62"/>
      <c r="C2042" s="62"/>
      <c r="D2042" s="62"/>
      <c r="E2042" s="62"/>
      <c r="F2042" s="62"/>
      <c r="G2042" s="62"/>
      <c r="H2042" s="62" t="str">
        <f>IF(AND('Data Export'!A2042=前十整体车型排名!$B$2,'Data Export'!B2042=前十整体车型排名!$B$3,'Data Export'!D2042&lt;&gt;""),UPPER('Data Export'!C2042)&amp;"♦"&amp;'Data Export'!D2042,"")</f>
        <v/>
      </c>
      <c r="I2042" s="63" t="str">
        <f>IF(H2042="","",IFERROR(INDEX('Data Export'!G2042:CZ2042,1,MATCH(前十整体车型排名!$B$4,'Data Export'!$G$1:$CZ$1,0)),0))</f>
        <v/>
      </c>
      <c r="J2042" s="62" t="str">
        <f>IF(H2042="","",IF(OR('Data Export'!F2042="三厢轿车",'Data Export'!F2042="掀背轿车",'Data Export'!F2042="旅行车",'Data Export'!F2042="微型车",'Data Export'!F2042="硬顶跑车",'Data Export'!F2042="敞蓬车",'Data Export'!F2042="Targa"),"轿车",IF(OR('Data Export'!F2042="小型MPV",'Data Export'!F2042="客车"),"MPV",IF('Data Export'!F2042="运动型多功能车","SUV","其他"))))</f>
        <v/>
      </c>
      <c r="K2042" s="62"/>
      <c r="L2042" s="62"/>
      <c r="M2042" s="62"/>
      <c r="N2042" s="62"/>
      <c r="O2042" s="62"/>
      <c r="P2042" s="62"/>
      <c r="Q2042" s="62"/>
    </row>
    <row r="2043" spans="1:17">
      <c r="A2043" s="62"/>
      <c r="B2043" s="62"/>
      <c r="C2043" s="62"/>
      <c r="D2043" s="62"/>
      <c r="E2043" s="62"/>
      <c r="F2043" s="62"/>
      <c r="G2043" s="62"/>
      <c r="H2043" s="62" t="str">
        <f>IF(AND('Data Export'!A2043=前十整体车型排名!$B$2,'Data Export'!B2043=前十整体车型排名!$B$3,'Data Export'!D2043&lt;&gt;""),UPPER('Data Export'!C2043)&amp;"♦"&amp;'Data Export'!D2043,"")</f>
        <v/>
      </c>
      <c r="I2043" s="63" t="str">
        <f>IF(H2043="","",IFERROR(INDEX('Data Export'!G2043:CZ2043,1,MATCH(前十整体车型排名!$B$4,'Data Export'!$G$1:$CZ$1,0)),0))</f>
        <v/>
      </c>
      <c r="J2043" s="62" t="str">
        <f>IF(H2043="","",IF(OR('Data Export'!F2043="三厢轿车",'Data Export'!F2043="掀背轿车",'Data Export'!F2043="旅行车",'Data Export'!F2043="微型车",'Data Export'!F2043="硬顶跑车",'Data Export'!F2043="敞蓬车",'Data Export'!F2043="Targa"),"轿车",IF(OR('Data Export'!F2043="小型MPV",'Data Export'!F2043="客车"),"MPV",IF('Data Export'!F2043="运动型多功能车","SUV","其他"))))</f>
        <v/>
      </c>
      <c r="K2043" s="62"/>
      <c r="L2043" s="62"/>
      <c r="M2043" s="62"/>
      <c r="N2043" s="62"/>
      <c r="O2043" s="62"/>
      <c r="P2043" s="62"/>
      <c r="Q2043" s="62"/>
    </row>
    <row r="2044" spans="1:17">
      <c r="A2044" s="62"/>
      <c r="B2044" s="62"/>
      <c r="C2044" s="62"/>
      <c r="D2044" s="62"/>
      <c r="E2044" s="62"/>
      <c r="F2044" s="62"/>
      <c r="G2044" s="62"/>
      <c r="H2044" s="62" t="str">
        <f>IF(AND('Data Export'!A2044=前十整体车型排名!$B$2,'Data Export'!B2044=前十整体车型排名!$B$3,'Data Export'!D2044&lt;&gt;""),UPPER('Data Export'!C2044)&amp;"♦"&amp;'Data Export'!D2044,"")</f>
        <v/>
      </c>
      <c r="I2044" s="63" t="str">
        <f>IF(H2044="","",IFERROR(INDEX('Data Export'!G2044:CZ2044,1,MATCH(前十整体车型排名!$B$4,'Data Export'!$G$1:$CZ$1,0)),0))</f>
        <v/>
      </c>
      <c r="J2044" s="62" t="str">
        <f>IF(H2044="","",IF(OR('Data Export'!F2044="三厢轿车",'Data Export'!F2044="掀背轿车",'Data Export'!F2044="旅行车",'Data Export'!F2044="微型车",'Data Export'!F2044="硬顶跑车",'Data Export'!F2044="敞蓬车",'Data Export'!F2044="Targa"),"轿车",IF(OR('Data Export'!F2044="小型MPV",'Data Export'!F2044="客车"),"MPV",IF('Data Export'!F2044="运动型多功能车","SUV","其他"))))</f>
        <v/>
      </c>
      <c r="K2044" s="62"/>
      <c r="L2044" s="62"/>
      <c r="M2044" s="62"/>
      <c r="N2044" s="62"/>
      <c r="O2044" s="62"/>
      <c r="P2044" s="62"/>
      <c r="Q2044" s="62"/>
    </row>
    <row r="2045" spans="1:17">
      <c r="A2045" s="62"/>
      <c r="B2045" s="62"/>
      <c r="C2045" s="62"/>
      <c r="D2045" s="62"/>
      <c r="E2045" s="62"/>
      <c r="F2045" s="62"/>
      <c r="G2045" s="62"/>
      <c r="H2045" s="62" t="str">
        <f>IF(AND('Data Export'!A2045=前十整体车型排名!$B$2,'Data Export'!B2045=前十整体车型排名!$B$3,'Data Export'!D2045&lt;&gt;""),UPPER('Data Export'!C2045)&amp;"♦"&amp;'Data Export'!D2045,"")</f>
        <v/>
      </c>
      <c r="I2045" s="63" t="str">
        <f>IF(H2045="","",IFERROR(INDEX('Data Export'!G2045:CZ2045,1,MATCH(前十整体车型排名!$B$4,'Data Export'!$G$1:$CZ$1,0)),0))</f>
        <v/>
      </c>
      <c r="J2045" s="62" t="str">
        <f>IF(H2045="","",IF(OR('Data Export'!F2045="三厢轿车",'Data Export'!F2045="掀背轿车",'Data Export'!F2045="旅行车",'Data Export'!F2045="微型车",'Data Export'!F2045="硬顶跑车",'Data Export'!F2045="敞蓬车",'Data Export'!F2045="Targa"),"轿车",IF(OR('Data Export'!F2045="小型MPV",'Data Export'!F2045="客车"),"MPV",IF('Data Export'!F2045="运动型多功能车","SUV","其他"))))</f>
        <v/>
      </c>
      <c r="K2045" s="62"/>
      <c r="L2045" s="62"/>
      <c r="M2045" s="62"/>
      <c r="N2045" s="62"/>
      <c r="O2045" s="62"/>
      <c r="P2045" s="62"/>
      <c r="Q2045" s="62"/>
    </row>
    <row r="2046" spans="1:17">
      <c r="A2046" s="62"/>
      <c r="B2046" s="62"/>
      <c r="C2046" s="62"/>
      <c r="D2046" s="62"/>
      <c r="E2046" s="62"/>
      <c r="F2046" s="62"/>
      <c r="G2046" s="62"/>
      <c r="H2046" s="62" t="str">
        <f>IF(AND('Data Export'!A2046=前十整体车型排名!$B$2,'Data Export'!B2046=前十整体车型排名!$B$3,'Data Export'!D2046&lt;&gt;""),UPPER('Data Export'!C2046)&amp;"♦"&amp;'Data Export'!D2046,"")</f>
        <v/>
      </c>
      <c r="I2046" s="63" t="str">
        <f>IF(H2046="","",IFERROR(INDEX('Data Export'!G2046:CZ2046,1,MATCH(前十整体车型排名!$B$4,'Data Export'!$G$1:$CZ$1,0)),0))</f>
        <v/>
      </c>
      <c r="J2046" s="62" t="str">
        <f>IF(H2046="","",IF(OR('Data Export'!F2046="三厢轿车",'Data Export'!F2046="掀背轿车",'Data Export'!F2046="旅行车",'Data Export'!F2046="微型车",'Data Export'!F2046="硬顶跑车",'Data Export'!F2046="敞蓬车",'Data Export'!F2046="Targa"),"轿车",IF(OR('Data Export'!F2046="小型MPV",'Data Export'!F2046="客车"),"MPV",IF('Data Export'!F2046="运动型多功能车","SUV","其他"))))</f>
        <v/>
      </c>
      <c r="K2046" s="62"/>
      <c r="L2046" s="62"/>
      <c r="M2046" s="62"/>
      <c r="N2046" s="62"/>
      <c r="O2046" s="62"/>
      <c r="P2046" s="62"/>
      <c r="Q2046" s="62"/>
    </row>
    <row r="2047" spans="1:17">
      <c r="A2047" s="62"/>
      <c r="B2047" s="62"/>
      <c r="C2047" s="62"/>
      <c r="D2047" s="62"/>
      <c r="E2047" s="62"/>
      <c r="F2047" s="62"/>
      <c r="G2047" s="62"/>
      <c r="H2047" s="62" t="str">
        <f>IF(AND('Data Export'!A2047=前十整体车型排名!$B$2,'Data Export'!B2047=前十整体车型排名!$B$3,'Data Export'!D2047&lt;&gt;""),UPPER('Data Export'!C2047)&amp;"♦"&amp;'Data Export'!D2047,"")</f>
        <v/>
      </c>
      <c r="I2047" s="63" t="str">
        <f>IF(H2047="","",IFERROR(INDEX('Data Export'!G2047:CZ2047,1,MATCH(前十整体车型排名!$B$4,'Data Export'!$G$1:$CZ$1,0)),0))</f>
        <v/>
      </c>
      <c r="J2047" s="62" t="str">
        <f>IF(H2047="","",IF(OR('Data Export'!F2047="三厢轿车",'Data Export'!F2047="掀背轿车",'Data Export'!F2047="旅行车",'Data Export'!F2047="微型车",'Data Export'!F2047="硬顶跑车",'Data Export'!F2047="敞蓬车",'Data Export'!F2047="Targa"),"轿车",IF(OR('Data Export'!F2047="小型MPV",'Data Export'!F2047="客车"),"MPV",IF('Data Export'!F2047="运动型多功能车","SUV","其他"))))</f>
        <v/>
      </c>
      <c r="K2047" s="62"/>
      <c r="L2047" s="62"/>
      <c r="M2047" s="62"/>
      <c r="N2047" s="62"/>
      <c r="O2047" s="62"/>
      <c r="P2047" s="62"/>
      <c r="Q2047" s="62"/>
    </row>
    <row r="2048" spans="1:17">
      <c r="A2048" s="62"/>
      <c r="B2048" s="62"/>
      <c r="C2048" s="62"/>
      <c r="D2048" s="62"/>
      <c r="E2048" s="62"/>
      <c r="F2048" s="62"/>
      <c r="G2048" s="62"/>
      <c r="H2048" s="62" t="str">
        <f>IF(AND('Data Export'!A2048=前十整体车型排名!$B$2,'Data Export'!B2048=前十整体车型排名!$B$3,'Data Export'!D2048&lt;&gt;""),UPPER('Data Export'!C2048)&amp;"♦"&amp;'Data Export'!D2048,"")</f>
        <v/>
      </c>
      <c r="I2048" s="63" t="str">
        <f>IF(H2048="","",IFERROR(INDEX('Data Export'!G2048:CZ2048,1,MATCH(前十整体车型排名!$B$4,'Data Export'!$G$1:$CZ$1,0)),0))</f>
        <v/>
      </c>
      <c r="J2048" s="62" t="str">
        <f>IF(H2048="","",IF(OR('Data Export'!F2048="三厢轿车",'Data Export'!F2048="掀背轿车",'Data Export'!F2048="旅行车",'Data Export'!F2048="微型车",'Data Export'!F2048="硬顶跑车",'Data Export'!F2048="敞蓬车",'Data Export'!F2048="Targa"),"轿车",IF(OR('Data Export'!F2048="小型MPV",'Data Export'!F2048="客车"),"MPV",IF('Data Export'!F2048="运动型多功能车","SUV","其他"))))</f>
        <v/>
      </c>
      <c r="K2048" s="62"/>
      <c r="L2048" s="62"/>
      <c r="M2048" s="62"/>
      <c r="N2048" s="62"/>
      <c r="O2048" s="62"/>
      <c r="P2048" s="62"/>
      <c r="Q2048" s="62"/>
    </row>
    <row r="2049" spans="1:17">
      <c r="A2049" s="62"/>
      <c r="B2049" s="62"/>
      <c r="C2049" s="62"/>
      <c r="D2049" s="62"/>
      <c r="E2049" s="62"/>
      <c r="F2049" s="62"/>
      <c r="G2049" s="62"/>
      <c r="H2049" s="62" t="str">
        <f>IF(AND('Data Export'!A2049=前十整体车型排名!$B$2,'Data Export'!B2049=前十整体车型排名!$B$3,'Data Export'!D2049&lt;&gt;""),UPPER('Data Export'!C2049)&amp;"♦"&amp;'Data Export'!D2049,"")</f>
        <v/>
      </c>
      <c r="I2049" s="63" t="str">
        <f>IF(H2049="","",IFERROR(INDEX('Data Export'!G2049:CZ2049,1,MATCH(前十整体车型排名!$B$4,'Data Export'!$G$1:$CZ$1,0)),0))</f>
        <v/>
      </c>
      <c r="J2049" s="62" t="str">
        <f>IF(H2049="","",IF(OR('Data Export'!F2049="三厢轿车",'Data Export'!F2049="掀背轿车",'Data Export'!F2049="旅行车",'Data Export'!F2049="微型车",'Data Export'!F2049="硬顶跑车",'Data Export'!F2049="敞蓬车",'Data Export'!F2049="Targa"),"轿车",IF(OR('Data Export'!F2049="小型MPV",'Data Export'!F2049="客车"),"MPV",IF('Data Export'!F2049="运动型多功能车","SUV","其他"))))</f>
        <v/>
      </c>
      <c r="K2049" s="62"/>
      <c r="L2049" s="62"/>
      <c r="M2049" s="62"/>
      <c r="N2049" s="62"/>
      <c r="O2049" s="62"/>
      <c r="P2049" s="62"/>
      <c r="Q2049" s="62"/>
    </row>
    <row r="2050" spans="1:17">
      <c r="A2050" s="62"/>
      <c r="B2050" s="62"/>
      <c r="C2050" s="62"/>
      <c r="D2050" s="62"/>
      <c r="E2050" s="62"/>
      <c r="F2050" s="62"/>
      <c r="G2050" s="62"/>
      <c r="H2050" s="62" t="str">
        <f>IF(AND('Data Export'!A2050=前十整体车型排名!$B$2,'Data Export'!B2050=前十整体车型排名!$B$3,'Data Export'!D2050&lt;&gt;""),UPPER('Data Export'!C2050)&amp;"♦"&amp;'Data Export'!D2050,"")</f>
        <v/>
      </c>
      <c r="I2050" s="63" t="str">
        <f>IF(H2050="","",IFERROR(INDEX('Data Export'!G2050:CZ2050,1,MATCH(前十整体车型排名!$B$4,'Data Export'!$G$1:$CZ$1,0)),0))</f>
        <v/>
      </c>
      <c r="J2050" s="62" t="str">
        <f>IF(H2050="","",IF(OR('Data Export'!F2050="三厢轿车",'Data Export'!F2050="掀背轿车",'Data Export'!F2050="旅行车",'Data Export'!F2050="微型车",'Data Export'!F2050="硬顶跑车",'Data Export'!F2050="敞蓬车",'Data Export'!F2050="Targa"),"轿车",IF(OR('Data Export'!F2050="小型MPV",'Data Export'!F2050="客车"),"MPV",IF('Data Export'!F2050="运动型多功能车","SUV","其他"))))</f>
        <v/>
      </c>
      <c r="K2050" s="62"/>
      <c r="L2050" s="62"/>
      <c r="M2050" s="62"/>
      <c r="N2050" s="62"/>
      <c r="O2050" s="62"/>
      <c r="P2050" s="62"/>
      <c r="Q2050" s="62"/>
    </row>
    <row r="2051" spans="1:17">
      <c r="A2051" s="62"/>
      <c r="B2051" s="62"/>
      <c r="C2051" s="62"/>
      <c r="D2051" s="62"/>
      <c r="E2051" s="62"/>
      <c r="F2051" s="62"/>
      <c r="G2051" s="62"/>
      <c r="H2051" s="62" t="str">
        <f>IF(AND('Data Export'!A2051=前十整体车型排名!$B$2,'Data Export'!B2051=前十整体车型排名!$B$3,'Data Export'!D2051&lt;&gt;""),UPPER('Data Export'!C2051)&amp;"♦"&amp;'Data Export'!D2051,"")</f>
        <v/>
      </c>
      <c r="I2051" s="63" t="str">
        <f>IF(H2051="","",IFERROR(INDEX('Data Export'!G2051:CZ2051,1,MATCH(前十整体车型排名!$B$4,'Data Export'!$G$1:$CZ$1,0)),0))</f>
        <v/>
      </c>
      <c r="J2051" s="62" t="str">
        <f>IF(H2051="","",IF(OR('Data Export'!F2051="三厢轿车",'Data Export'!F2051="掀背轿车",'Data Export'!F2051="旅行车",'Data Export'!F2051="微型车",'Data Export'!F2051="硬顶跑车",'Data Export'!F2051="敞蓬车",'Data Export'!F2051="Targa"),"轿车",IF(OR('Data Export'!F2051="小型MPV",'Data Export'!F2051="客车"),"MPV",IF('Data Export'!F2051="运动型多功能车","SUV","其他"))))</f>
        <v/>
      </c>
      <c r="K2051" s="62"/>
      <c r="L2051" s="62"/>
      <c r="M2051" s="62"/>
      <c r="N2051" s="62"/>
      <c r="O2051" s="62"/>
      <c r="P2051" s="62"/>
      <c r="Q2051" s="62"/>
    </row>
    <row r="2052" spans="1:17">
      <c r="A2052" s="62"/>
      <c r="B2052" s="62"/>
      <c r="C2052" s="62"/>
      <c r="D2052" s="62"/>
      <c r="E2052" s="62"/>
      <c r="F2052" s="62"/>
      <c r="G2052" s="62"/>
      <c r="H2052" s="62" t="str">
        <f>IF(AND('Data Export'!A2052=前十整体车型排名!$B$2,'Data Export'!B2052=前十整体车型排名!$B$3,'Data Export'!D2052&lt;&gt;""),UPPER('Data Export'!C2052)&amp;"♦"&amp;'Data Export'!D2052,"")</f>
        <v/>
      </c>
      <c r="I2052" s="63" t="str">
        <f>IF(H2052="","",IFERROR(INDEX('Data Export'!G2052:CZ2052,1,MATCH(前十整体车型排名!$B$4,'Data Export'!$G$1:$CZ$1,0)),0))</f>
        <v/>
      </c>
      <c r="J2052" s="62" t="str">
        <f>IF(H2052="","",IF(OR('Data Export'!F2052="三厢轿车",'Data Export'!F2052="掀背轿车",'Data Export'!F2052="旅行车",'Data Export'!F2052="微型车",'Data Export'!F2052="硬顶跑车",'Data Export'!F2052="敞蓬车",'Data Export'!F2052="Targa"),"轿车",IF(OR('Data Export'!F2052="小型MPV",'Data Export'!F2052="客车"),"MPV",IF('Data Export'!F2052="运动型多功能车","SUV","其他"))))</f>
        <v/>
      </c>
      <c r="K2052" s="62"/>
      <c r="L2052" s="62"/>
      <c r="M2052" s="62"/>
      <c r="N2052" s="62"/>
      <c r="O2052" s="62"/>
      <c r="P2052" s="62"/>
      <c r="Q2052" s="62"/>
    </row>
    <row r="2053" spans="1:17">
      <c r="A2053" s="62"/>
      <c r="B2053" s="62"/>
      <c r="C2053" s="62"/>
      <c r="D2053" s="62"/>
      <c r="E2053" s="62"/>
      <c r="F2053" s="62"/>
      <c r="G2053" s="62"/>
      <c r="H2053" s="62" t="str">
        <f>IF(AND('Data Export'!A2053=前十整体车型排名!$B$2,'Data Export'!B2053=前十整体车型排名!$B$3,'Data Export'!D2053&lt;&gt;""),UPPER('Data Export'!C2053)&amp;"♦"&amp;'Data Export'!D2053,"")</f>
        <v/>
      </c>
      <c r="I2053" s="63" t="str">
        <f>IF(H2053="","",IFERROR(INDEX('Data Export'!G2053:CZ2053,1,MATCH(前十整体车型排名!$B$4,'Data Export'!$G$1:$CZ$1,0)),0))</f>
        <v/>
      </c>
      <c r="J2053" s="62" t="str">
        <f>IF(H2053="","",IF(OR('Data Export'!F2053="三厢轿车",'Data Export'!F2053="掀背轿车",'Data Export'!F2053="旅行车",'Data Export'!F2053="微型车",'Data Export'!F2053="硬顶跑车",'Data Export'!F2053="敞蓬车",'Data Export'!F2053="Targa"),"轿车",IF(OR('Data Export'!F2053="小型MPV",'Data Export'!F2053="客车"),"MPV",IF('Data Export'!F2053="运动型多功能车","SUV","其他"))))</f>
        <v/>
      </c>
      <c r="K2053" s="62"/>
      <c r="L2053" s="62"/>
      <c r="M2053" s="62"/>
      <c r="N2053" s="62"/>
      <c r="O2053" s="62"/>
      <c r="P2053" s="62"/>
      <c r="Q2053" s="62"/>
    </row>
    <row r="2054" spans="1:17">
      <c r="A2054" s="62"/>
      <c r="B2054" s="62"/>
      <c r="C2054" s="62"/>
      <c r="D2054" s="62"/>
      <c r="E2054" s="62"/>
      <c r="F2054" s="62"/>
      <c r="G2054" s="62"/>
      <c r="H2054" s="62" t="str">
        <f>IF(AND('Data Export'!A2054=前十整体车型排名!$B$2,'Data Export'!B2054=前十整体车型排名!$B$3,'Data Export'!D2054&lt;&gt;""),UPPER('Data Export'!C2054)&amp;"♦"&amp;'Data Export'!D2054,"")</f>
        <v/>
      </c>
      <c r="I2054" s="63" t="str">
        <f>IF(H2054="","",IFERROR(INDEX('Data Export'!G2054:CZ2054,1,MATCH(前十整体车型排名!$B$4,'Data Export'!$G$1:$CZ$1,0)),0))</f>
        <v/>
      </c>
      <c r="J2054" s="62" t="str">
        <f>IF(H2054="","",IF(OR('Data Export'!F2054="三厢轿车",'Data Export'!F2054="掀背轿车",'Data Export'!F2054="旅行车",'Data Export'!F2054="微型车",'Data Export'!F2054="硬顶跑车",'Data Export'!F2054="敞蓬车",'Data Export'!F2054="Targa"),"轿车",IF(OR('Data Export'!F2054="小型MPV",'Data Export'!F2054="客车"),"MPV",IF('Data Export'!F2054="运动型多功能车","SUV","其他"))))</f>
        <v/>
      </c>
      <c r="K2054" s="62"/>
      <c r="L2054" s="62"/>
      <c r="M2054" s="62"/>
      <c r="N2054" s="62"/>
      <c r="O2054" s="62"/>
      <c r="P2054" s="62"/>
      <c r="Q2054" s="62"/>
    </row>
    <row r="2055" spans="1:17">
      <c r="A2055" s="62"/>
      <c r="B2055" s="62"/>
      <c r="C2055" s="62"/>
      <c r="D2055" s="62"/>
      <c r="E2055" s="62"/>
      <c r="F2055" s="62"/>
      <c r="G2055" s="62"/>
      <c r="H2055" s="62" t="str">
        <f>IF(AND('Data Export'!A2055=前十整体车型排名!$B$2,'Data Export'!B2055=前十整体车型排名!$B$3,'Data Export'!D2055&lt;&gt;""),UPPER('Data Export'!C2055)&amp;"♦"&amp;'Data Export'!D2055,"")</f>
        <v/>
      </c>
      <c r="I2055" s="63" t="str">
        <f>IF(H2055="","",IFERROR(INDEX('Data Export'!G2055:CZ2055,1,MATCH(前十整体车型排名!$B$4,'Data Export'!$G$1:$CZ$1,0)),0))</f>
        <v/>
      </c>
      <c r="J2055" s="62" t="str">
        <f>IF(H2055="","",IF(OR('Data Export'!F2055="三厢轿车",'Data Export'!F2055="掀背轿车",'Data Export'!F2055="旅行车",'Data Export'!F2055="微型车",'Data Export'!F2055="硬顶跑车",'Data Export'!F2055="敞蓬车",'Data Export'!F2055="Targa"),"轿车",IF(OR('Data Export'!F2055="小型MPV",'Data Export'!F2055="客车"),"MPV",IF('Data Export'!F2055="运动型多功能车","SUV","其他"))))</f>
        <v/>
      </c>
      <c r="K2055" s="62"/>
      <c r="L2055" s="62"/>
      <c r="M2055" s="62"/>
      <c r="N2055" s="62"/>
      <c r="O2055" s="62"/>
      <c r="P2055" s="62"/>
      <c r="Q2055" s="62"/>
    </row>
    <row r="2056" spans="1:17">
      <c r="A2056" s="62"/>
      <c r="B2056" s="62"/>
      <c r="C2056" s="62"/>
      <c r="D2056" s="62"/>
      <c r="E2056" s="62"/>
      <c r="F2056" s="62"/>
      <c r="G2056" s="62"/>
      <c r="H2056" s="62" t="str">
        <f>IF(AND('Data Export'!A2056=前十整体车型排名!$B$2,'Data Export'!B2056=前十整体车型排名!$B$3,'Data Export'!D2056&lt;&gt;""),UPPER('Data Export'!C2056)&amp;"♦"&amp;'Data Export'!D2056,"")</f>
        <v/>
      </c>
      <c r="I2056" s="63" t="str">
        <f>IF(H2056="","",IFERROR(INDEX('Data Export'!G2056:CZ2056,1,MATCH(前十整体车型排名!$B$4,'Data Export'!$G$1:$CZ$1,0)),0))</f>
        <v/>
      </c>
      <c r="J2056" s="62" t="str">
        <f>IF(H2056="","",IF(OR('Data Export'!F2056="三厢轿车",'Data Export'!F2056="掀背轿车",'Data Export'!F2056="旅行车",'Data Export'!F2056="微型车",'Data Export'!F2056="硬顶跑车",'Data Export'!F2056="敞蓬车",'Data Export'!F2056="Targa"),"轿车",IF(OR('Data Export'!F2056="小型MPV",'Data Export'!F2056="客车"),"MPV",IF('Data Export'!F2056="运动型多功能车","SUV","其他"))))</f>
        <v/>
      </c>
      <c r="K2056" s="62"/>
      <c r="L2056" s="62"/>
      <c r="M2056" s="62"/>
      <c r="N2056" s="62"/>
      <c r="O2056" s="62"/>
      <c r="P2056" s="62"/>
      <c r="Q2056" s="62"/>
    </row>
    <row r="2057" spans="1:17">
      <c r="A2057" s="62"/>
      <c r="B2057" s="62"/>
      <c r="C2057" s="62"/>
      <c r="D2057" s="62"/>
      <c r="E2057" s="62"/>
      <c r="F2057" s="62"/>
      <c r="G2057" s="62"/>
      <c r="H2057" s="62" t="str">
        <f>IF(AND('Data Export'!A2057=前十整体车型排名!$B$2,'Data Export'!B2057=前十整体车型排名!$B$3,'Data Export'!D2057&lt;&gt;""),UPPER('Data Export'!C2057)&amp;"♦"&amp;'Data Export'!D2057,"")</f>
        <v/>
      </c>
      <c r="I2057" s="63" t="str">
        <f>IF(H2057="","",IFERROR(INDEX('Data Export'!G2057:CZ2057,1,MATCH(前十整体车型排名!$B$4,'Data Export'!$G$1:$CZ$1,0)),0))</f>
        <v/>
      </c>
      <c r="J2057" s="62" t="str">
        <f>IF(H2057="","",IF(OR('Data Export'!F2057="三厢轿车",'Data Export'!F2057="掀背轿车",'Data Export'!F2057="旅行车",'Data Export'!F2057="微型车",'Data Export'!F2057="硬顶跑车",'Data Export'!F2057="敞蓬车",'Data Export'!F2057="Targa"),"轿车",IF(OR('Data Export'!F2057="小型MPV",'Data Export'!F2057="客车"),"MPV",IF('Data Export'!F2057="运动型多功能车","SUV","其他"))))</f>
        <v/>
      </c>
      <c r="K2057" s="62"/>
      <c r="L2057" s="62"/>
      <c r="M2057" s="62"/>
      <c r="N2057" s="62"/>
      <c r="O2057" s="62"/>
      <c r="P2057" s="62"/>
      <c r="Q2057" s="62"/>
    </row>
    <row r="2058" spans="1:17">
      <c r="A2058" s="62"/>
      <c r="B2058" s="62"/>
      <c r="C2058" s="62"/>
      <c r="D2058" s="62"/>
      <c r="E2058" s="62"/>
      <c r="F2058" s="62"/>
      <c r="G2058" s="62"/>
      <c r="H2058" s="62" t="str">
        <f>IF(AND('Data Export'!A2058=前十整体车型排名!$B$2,'Data Export'!B2058=前十整体车型排名!$B$3,'Data Export'!D2058&lt;&gt;""),UPPER('Data Export'!C2058)&amp;"♦"&amp;'Data Export'!D2058,"")</f>
        <v/>
      </c>
      <c r="I2058" s="63" t="str">
        <f>IF(H2058="","",IFERROR(INDEX('Data Export'!G2058:CZ2058,1,MATCH(前十整体车型排名!$B$4,'Data Export'!$G$1:$CZ$1,0)),0))</f>
        <v/>
      </c>
      <c r="J2058" s="62" t="str">
        <f>IF(H2058="","",IF(OR('Data Export'!F2058="三厢轿车",'Data Export'!F2058="掀背轿车",'Data Export'!F2058="旅行车",'Data Export'!F2058="微型车",'Data Export'!F2058="硬顶跑车",'Data Export'!F2058="敞蓬车",'Data Export'!F2058="Targa"),"轿车",IF(OR('Data Export'!F2058="小型MPV",'Data Export'!F2058="客车"),"MPV",IF('Data Export'!F2058="运动型多功能车","SUV","其他"))))</f>
        <v/>
      </c>
      <c r="K2058" s="62"/>
      <c r="L2058" s="62"/>
      <c r="M2058" s="62"/>
      <c r="N2058" s="62"/>
      <c r="O2058" s="62"/>
      <c r="P2058" s="62"/>
      <c r="Q2058" s="62"/>
    </row>
    <row r="2059" spans="1:17">
      <c r="A2059" s="62"/>
      <c r="B2059" s="62"/>
      <c r="C2059" s="62"/>
      <c r="D2059" s="62"/>
      <c r="E2059" s="62"/>
      <c r="F2059" s="62"/>
      <c r="G2059" s="62"/>
      <c r="H2059" s="62" t="str">
        <f>IF(AND('Data Export'!A2059=前十整体车型排名!$B$2,'Data Export'!B2059=前十整体车型排名!$B$3,'Data Export'!D2059&lt;&gt;""),UPPER('Data Export'!C2059)&amp;"♦"&amp;'Data Export'!D2059,"")</f>
        <v/>
      </c>
      <c r="I2059" s="63" t="str">
        <f>IF(H2059="","",IFERROR(INDEX('Data Export'!G2059:CZ2059,1,MATCH(前十整体车型排名!$B$4,'Data Export'!$G$1:$CZ$1,0)),0))</f>
        <v/>
      </c>
      <c r="J2059" s="62" t="str">
        <f>IF(H2059="","",IF(OR('Data Export'!F2059="三厢轿车",'Data Export'!F2059="掀背轿车",'Data Export'!F2059="旅行车",'Data Export'!F2059="微型车",'Data Export'!F2059="硬顶跑车",'Data Export'!F2059="敞蓬车",'Data Export'!F2059="Targa"),"轿车",IF(OR('Data Export'!F2059="小型MPV",'Data Export'!F2059="客车"),"MPV",IF('Data Export'!F2059="运动型多功能车","SUV","其他"))))</f>
        <v/>
      </c>
      <c r="K2059" s="62"/>
      <c r="L2059" s="62"/>
      <c r="M2059" s="62"/>
      <c r="N2059" s="62"/>
      <c r="O2059" s="62"/>
      <c r="P2059" s="62"/>
      <c r="Q2059" s="62"/>
    </row>
    <row r="2060" spans="1:17">
      <c r="A2060" s="62"/>
      <c r="B2060" s="62"/>
      <c r="C2060" s="62"/>
      <c r="D2060" s="62"/>
      <c r="E2060" s="62"/>
      <c r="F2060" s="62"/>
      <c r="G2060" s="62"/>
      <c r="H2060" s="62" t="str">
        <f>IF(AND('Data Export'!A2060=前十整体车型排名!$B$2,'Data Export'!B2060=前十整体车型排名!$B$3,'Data Export'!D2060&lt;&gt;""),UPPER('Data Export'!C2060)&amp;"♦"&amp;'Data Export'!D2060,"")</f>
        <v/>
      </c>
      <c r="I2060" s="63" t="str">
        <f>IF(H2060="","",IFERROR(INDEX('Data Export'!G2060:CZ2060,1,MATCH(前十整体车型排名!$B$4,'Data Export'!$G$1:$CZ$1,0)),0))</f>
        <v/>
      </c>
      <c r="J2060" s="62" t="str">
        <f>IF(H2060="","",IF(OR('Data Export'!F2060="三厢轿车",'Data Export'!F2060="掀背轿车",'Data Export'!F2060="旅行车",'Data Export'!F2060="微型车",'Data Export'!F2060="硬顶跑车",'Data Export'!F2060="敞蓬车",'Data Export'!F2060="Targa"),"轿车",IF(OR('Data Export'!F2060="小型MPV",'Data Export'!F2060="客车"),"MPV",IF('Data Export'!F2060="运动型多功能车","SUV","其他"))))</f>
        <v/>
      </c>
      <c r="K2060" s="62"/>
      <c r="L2060" s="62"/>
      <c r="M2060" s="62"/>
      <c r="N2060" s="62"/>
      <c r="O2060" s="62"/>
      <c r="P2060" s="62"/>
      <c r="Q2060" s="62"/>
    </row>
    <row r="2061" spans="1:17">
      <c r="A2061" s="62"/>
      <c r="B2061" s="62"/>
      <c r="C2061" s="62"/>
      <c r="D2061" s="62"/>
      <c r="E2061" s="62"/>
      <c r="F2061" s="62"/>
      <c r="G2061" s="62"/>
      <c r="H2061" s="62" t="str">
        <f>IF(AND('Data Export'!A2061=前十整体车型排名!$B$2,'Data Export'!B2061=前十整体车型排名!$B$3,'Data Export'!D2061&lt;&gt;""),UPPER('Data Export'!C2061)&amp;"♦"&amp;'Data Export'!D2061,"")</f>
        <v/>
      </c>
      <c r="I2061" s="63" t="str">
        <f>IF(H2061="","",IFERROR(INDEX('Data Export'!G2061:CZ2061,1,MATCH(前十整体车型排名!$B$4,'Data Export'!$G$1:$CZ$1,0)),0))</f>
        <v/>
      </c>
      <c r="J2061" s="62" t="str">
        <f>IF(H2061="","",IF(OR('Data Export'!F2061="三厢轿车",'Data Export'!F2061="掀背轿车",'Data Export'!F2061="旅行车",'Data Export'!F2061="微型车",'Data Export'!F2061="硬顶跑车",'Data Export'!F2061="敞蓬车",'Data Export'!F2061="Targa"),"轿车",IF(OR('Data Export'!F2061="小型MPV",'Data Export'!F2061="客车"),"MPV",IF('Data Export'!F2061="运动型多功能车","SUV","其他"))))</f>
        <v/>
      </c>
      <c r="K2061" s="62"/>
      <c r="L2061" s="62"/>
      <c r="M2061" s="62"/>
      <c r="N2061" s="62"/>
      <c r="O2061" s="62"/>
      <c r="P2061" s="62"/>
      <c r="Q2061" s="62"/>
    </row>
    <row r="2062" spans="1:17">
      <c r="A2062" s="62"/>
      <c r="B2062" s="62"/>
      <c r="C2062" s="62"/>
      <c r="D2062" s="62"/>
      <c r="E2062" s="62"/>
      <c r="F2062" s="62"/>
      <c r="G2062" s="62"/>
      <c r="H2062" s="62" t="str">
        <f>IF(AND('Data Export'!A2062=前十整体车型排名!$B$2,'Data Export'!B2062=前十整体车型排名!$B$3,'Data Export'!D2062&lt;&gt;""),UPPER('Data Export'!C2062)&amp;"♦"&amp;'Data Export'!D2062,"")</f>
        <v/>
      </c>
      <c r="I2062" s="63" t="str">
        <f>IF(H2062="","",IFERROR(INDEX('Data Export'!G2062:CZ2062,1,MATCH(前十整体车型排名!$B$4,'Data Export'!$G$1:$CZ$1,0)),0))</f>
        <v/>
      </c>
      <c r="J2062" s="62" t="str">
        <f>IF(H2062="","",IF(OR('Data Export'!F2062="三厢轿车",'Data Export'!F2062="掀背轿车",'Data Export'!F2062="旅行车",'Data Export'!F2062="微型车",'Data Export'!F2062="硬顶跑车",'Data Export'!F2062="敞蓬车",'Data Export'!F2062="Targa"),"轿车",IF(OR('Data Export'!F2062="小型MPV",'Data Export'!F2062="客车"),"MPV",IF('Data Export'!F2062="运动型多功能车","SUV","其他"))))</f>
        <v/>
      </c>
      <c r="K2062" s="62"/>
      <c r="L2062" s="62"/>
      <c r="M2062" s="62"/>
      <c r="N2062" s="62"/>
      <c r="O2062" s="62"/>
      <c r="P2062" s="62"/>
      <c r="Q2062" s="62"/>
    </row>
    <row r="2063" spans="1:17">
      <c r="A2063" s="62"/>
      <c r="B2063" s="62"/>
      <c r="C2063" s="62"/>
      <c r="D2063" s="62"/>
      <c r="E2063" s="62"/>
      <c r="F2063" s="62"/>
      <c r="G2063" s="62"/>
      <c r="H2063" s="62" t="str">
        <f>IF(AND('Data Export'!A2063=前十整体车型排名!$B$2,'Data Export'!B2063=前十整体车型排名!$B$3,'Data Export'!D2063&lt;&gt;""),UPPER('Data Export'!C2063)&amp;"♦"&amp;'Data Export'!D2063,"")</f>
        <v/>
      </c>
      <c r="I2063" s="63" t="str">
        <f>IF(H2063="","",IFERROR(INDEX('Data Export'!G2063:CZ2063,1,MATCH(前十整体车型排名!$B$4,'Data Export'!$G$1:$CZ$1,0)),0))</f>
        <v/>
      </c>
      <c r="J2063" s="62" t="str">
        <f>IF(H2063="","",IF(OR('Data Export'!F2063="三厢轿车",'Data Export'!F2063="掀背轿车",'Data Export'!F2063="旅行车",'Data Export'!F2063="微型车",'Data Export'!F2063="硬顶跑车",'Data Export'!F2063="敞蓬车",'Data Export'!F2063="Targa"),"轿车",IF(OR('Data Export'!F2063="小型MPV",'Data Export'!F2063="客车"),"MPV",IF('Data Export'!F2063="运动型多功能车","SUV","其他"))))</f>
        <v/>
      </c>
      <c r="K2063" s="62"/>
      <c r="L2063" s="62"/>
      <c r="M2063" s="62"/>
      <c r="N2063" s="62"/>
      <c r="O2063" s="62"/>
      <c r="P2063" s="62"/>
      <c r="Q2063" s="62"/>
    </row>
    <row r="2064" spans="1:17">
      <c r="A2064" s="62"/>
      <c r="B2064" s="62"/>
      <c r="C2064" s="62"/>
      <c r="D2064" s="62"/>
      <c r="E2064" s="62"/>
      <c r="F2064" s="62"/>
      <c r="G2064" s="62"/>
      <c r="H2064" s="62" t="str">
        <f>IF(AND('Data Export'!A2064=前十整体车型排名!$B$2,'Data Export'!B2064=前十整体车型排名!$B$3,'Data Export'!D2064&lt;&gt;""),UPPER('Data Export'!C2064)&amp;"♦"&amp;'Data Export'!D2064,"")</f>
        <v/>
      </c>
      <c r="I2064" s="63" t="str">
        <f>IF(H2064="","",IFERROR(INDEX('Data Export'!G2064:CZ2064,1,MATCH(前十整体车型排名!$B$4,'Data Export'!$G$1:$CZ$1,0)),0))</f>
        <v/>
      </c>
      <c r="J2064" s="62" t="str">
        <f>IF(H2064="","",IF(OR('Data Export'!F2064="三厢轿车",'Data Export'!F2064="掀背轿车",'Data Export'!F2064="旅行车",'Data Export'!F2064="微型车",'Data Export'!F2064="硬顶跑车",'Data Export'!F2064="敞蓬车",'Data Export'!F2064="Targa"),"轿车",IF(OR('Data Export'!F2064="小型MPV",'Data Export'!F2064="客车"),"MPV",IF('Data Export'!F2064="运动型多功能车","SUV","其他"))))</f>
        <v/>
      </c>
      <c r="K2064" s="62"/>
      <c r="L2064" s="62"/>
      <c r="M2064" s="62"/>
      <c r="N2064" s="62"/>
      <c r="O2064" s="62"/>
      <c r="P2064" s="62"/>
      <c r="Q2064" s="62"/>
    </row>
    <row r="2065" spans="1:17">
      <c r="A2065" s="62"/>
      <c r="B2065" s="62"/>
      <c r="C2065" s="62"/>
      <c r="D2065" s="62"/>
      <c r="E2065" s="62"/>
      <c r="F2065" s="62"/>
      <c r="G2065" s="62"/>
      <c r="H2065" s="62" t="str">
        <f>IF(AND('Data Export'!A2065=前十整体车型排名!$B$2,'Data Export'!B2065=前十整体车型排名!$B$3,'Data Export'!D2065&lt;&gt;""),UPPER('Data Export'!C2065)&amp;"♦"&amp;'Data Export'!D2065,"")</f>
        <v/>
      </c>
      <c r="I2065" s="63" t="str">
        <f>IF(H2065="","",IFERROR(INDEX('Data Export'!G2065:CZ2065,1,MATCH(前十整体车型排名!$B$4,'Data Export'!$G$1:$CZ$1,0)),0))</f>
        <v/>
      </c>
      <c r="J2065" s="62" t="str">
        <f>IF(H2065="","",IF(OR('Data Export'!F2065="三厢轿车",'Data Export'!F2065="掀背轿车",'Data Export'!F2065="旅行车",'Data Export'!F2065="微型车",'Data Export'!F2065="硬顶跑车",'Data Export'!F2065="敞蓬车",'Data Export'!F2065="Targa"),"轿车",IF(OR('Data Export'!F2065="小型MPV",'Data Export'!F2065="客车"),"MPV",IF('Data Export'!F2065="运动型多功能车","SUV","其他"))))</f>
        <v/>
      </c>
      <c r="K2065" s="62"/>
      <c r="L2065" s="62"/>
      <c r="M2065" s="62"/>
      <c r="N2065" s="62"/>
      <c r="O2065" s="62"/>
      <c r="P2065" s="62"/>
      <c r="Q2065" s="62"/>
    </row>
    <row r="2066" spans="1:17">
      <c r="A2066" s="62"/>
      <c r="B2066" s="62"/>
      <c r="C2066" s="62"/>
      <c r="D2066" s="62"/>
      <c r="E2066" s="62"/>
      <c r="F2066" s="62"/>
      <c r="G2066" s="62"/>
      <c r="H2066" s="62" t="str">
        <f>IF(AND('Data Export'!A2066=前十整体车型排名!$B$2,'Data Export'!B2066=前十整体车型排名!$B$3,'Data Export'!D2066&lt;&gt;""),UPPER('Data Export'!C2066)&amp;"♦"&amp;'Data Export'!D2066,"")</f>
        <v/>
      </c>
      <c r="I2066" s="63" t="str">
        <f>IF(H2066="","",IFERROR(INDEX('Data Export'!G2066:CZ2066,1,MATCH(前十整体车型排名!$B$4,'Data Export'!$G$1:$CZ$1,0)),0))</f>
        <v/>
      </c>
      <c r="J2066" s="62" t="str">
        <f>IF(H2066="","",IF(OR('Data Export'!F2066="三厢轿车",'Data Export'!F2066="掀背轿车",'Data Export'!F2066="旅行车",'Data Export'!F2066="微型车",'Data Export'!F2066="硬顶跑车",'Data Export'!F2066="敞蓬车",'Data Export'!F2066="Targa"),"轿车",IF(OR('Data Export'!F2066="小型MPV",'Data Export'!F2066="客车"),"MPV",IF('Data Export'!F2066="运动型多功能车","SUV","其他"))))</f>
        <v/>
      </c>
      <c r="K2066" s="62"/>
      <c r="L2066" s="62"/>
      <c r="M2066" s="62"/>
      <c r="N2066" s="62"/>
      <c r="O2066" s="62"/>
      <c r="P2066" s="62"/>
      <c r="Q2066" s="62"/>
    </row>
    <row r="2067" spans="1:17">
      <c r="A2067" s="62"/>
      <c r="B2067" s="62"/>
      <c r="C2067" s="62"/>
      <c r="D2067" s="62"/>
      <c r="E2067" s="62"/>
      <c r="F2067" s="62"/>
      <c r="G2067" s="62"/>
      <c r="H2067" s="62" t="str">
        <f>IF(AND('Data Export'!A2067=前十整体车型排名!$B$2,'Data Export'!B2067=前十整体车型排名!$B$3,'Data Export'!D2067&lt;&gt;""),UPPER('Data Export'!C2067)&amp;"♦"&amp;'Data Export'!D2067,"")</f>
        <v/>
      </c>
      <c r="I2067" s="63" t="str">
        <f>IF(H2067="","",IFERROR(INDEX('Data Export'!G2067:CZ2067,1,MATCH(前十整体车型排名!$B$4,'Data Export'!$G$1:$CZ$1,0)),0))</f>
        <v/>
      </c>
      <c r="J2067" s="62" t="str">
        <f>IF(H2067="","",IF(OR('Data Export'!F2067="三厢轿车",'Data Export'!F2067="掀背轿车",'Data Export'!F2067="旅行车",'Data Export'!F2067="微型车",'Data Export'!F2067="硬顶跑车",'Data Export'!F2067="敞蓬车",'Data Export'!F2067="Targa"),"轿车",IF(OR('Data Export'!F2067="小型MPV",'Data Export'!F2067="客车"),"MPV",IF('Data Export'!F2067="运动型多功能车","SUV","其他"))))</f>
        <v/>
      </c>
      <c r="K2067" s="62"/>
      <c r="L2067" s="62"/>
      <c r="M2067" s="62"/>
      <c r="N2067" s="62"/>
      <c r="O2067" s="62"/>
      <c r="P2067" s="62"/>
      <c r="Q2067" s="62"/>
    </row>
    <row r="2068" spans="1:17">
      <c r="A2068" s="62"/>
      <c r="B2068" s="62"/>
      <c r="C2068" s="62"/>
      <c r="D2068" s="62"/>
      <c r="E2068" s="62"/>
      <c r="F2068" s="62"/>
      <c r="G2068" s="62"/>
      <c r="H2068" s="62" t="str">
        <f>IF(AND('Data Export'!A2068=前十整体车型排名!$B$2,'Data Export'!B2068=前十整体车型排名!$B$3,'Data Export'!D2068&lt;&gt;""),UPPER('Data Export'!C2068)&amp;"♦"&amp;'Data Export'!D2068,"")</f>
        <v/>
      </c>
      <c r="I2068" s="63" t="str">
        <f>IF(H2068="","",IFERROR(INDEX('Data Export'!G2068:CZ2068,1,MATCH(前十整体车型排名!$B$4,'Data Export'!$G$1:$CZ$1,0)),0))</f>
        <v/>
      </c>
      <c r="J2068" s="62" t="str">
        <f>IF(H2068="","",IF(OR('Data Export'!F2068="三厢轿车",'Data Export'!F2068="掀背轿车",'Data Export'!F2068="旅行车",'Data Export'!F2068="微型车",'Data Export'!F2068="硬顶跑车",'Data Export'!F2068="敞蓬车",'Data Export'!F2068="Targa"),"轿车",IF(OR('Data Export'!F2068="小型MPV",'Data Export'!F2068="客车"),"MPV",IF('Data Export'!F2068="运动型多功能车","SUV","其他"))))</f>
        <v/>
      </c>
      <c r="K2068" s="62"/>
      <c r="L2068" s="62"/>
      <c r="M2068" s="62"/>
      <c r="N2068" s="62"/>
      <c r="O2068" s="62"/>
      <c r="P2068" s="62"/>
      <c r="Q2068" s="62"/>
    </row>
    <row r="2069" spans="1:17">
      <c r="A2069" s="62"/>
      <c r="B2069" s="62"/>
      <c r="C2069" s="62"/>
      <c r="D2069" s="62"/>
      <c r="E2069" s="62"/>
      <c r="F2069" s="62"/>
      <c r="G2069" s="62"/>
      <c r="H2069" s="62" t="str">
        <f>IF(AND('Data Export'!A2069=前十整体车型排名!$B$2,'Data Export'!B2069=前十整体车型排名!$B$3,'Data Export'!D2069&lt;&gt;""),UPPER('Data Export'!C2069)&amp;"♦"&amp;'Data Export'!D2069,"")</f>
        <v/>
      </c>
      <c r="I2069" s="63" t="str">
        <f>IF(H2069="","",IFERROR(INDEX('Data Export'!G2069:CZ2069,1,MATCH(前十整体车型排名!$B$4,'Data Export'!$G$1:$CZ$1,0)),0))</f>
        <v/>
      </c>
      <c r="J2069" s="62" t="str">
        <f>IF(H2069="","",IF(OR('Data Export'!F2069="三厢轿车",'Data Export'!F2069="掀背轿车",'Data Export'!F2069="旅行车",'Data Export'!F2069="微型车",'Data Export'!F2069="硬顶跑车",'Data Export'!F2069="敞蓬车",'Data Export'!F2069="Targa"),"轿车",IF(OR('Data Export'!F2069="小型MPV",'Data Export'!F2069="客车"),"MPV",IF('Data Export'!F2069="运动型多功能车","SUV","其他"))))</f>
        <v/>
      </c>
      <c r="K2069" s="62"/>
      <c r="L2069" s="62"/>
      <c r="M2069" s="62"/>
      <c r="N2069" s="62"/>
      <c r="O2069" s="62"/>
      <c r="P2069" s="62"/>
      <c r="Q2069" s="62"/>
    </row>
    <row r="2070" spans="1:17">
      <c r="A2070" s="62"/>
      <c r="B2070" s="62"/>
      <c r="C2070" s="62"/>
      <c r="D2070" s="62"/>
      <c r="E2070" s="62"/>
      <c r="F2070" s="62"/>
      <c r="G2070" s="62"/>
      <c r="H2070" s="62" t="str">
        <f>IF(AND('Data Export'!A2070=前十整体车型排名!$B$2,'Data Export'!B2070=前十整体车型排名!$B$3,'Data Export'!D2070&lt;&gt;""),UPPER('Data Export'!C2070)&amp;"♦"&amp;'Data Export'!D2070,"")</f>
        <v/>
      </c>
      <c r="I2070" s="63" t="str">
        <f>IF(H2070="","",IFERROR(INDEX('Data Export'!G2070:CZ2070,1,MATCH(前十整体车型排名!$B$4,'Data Export'!$G$1:$CZ$1,0)),0))</f>
        <v/>
      </c>
      <c r="J2070" s="62" t="str">
        <f>IF(H2070="","",IF(OR('Data Export'!F2070="三厢轿车",'Data Export'!F2070="掀背轿车",'Data Export'!F2070="旅行车",'Data Export'!F2070="微型车",'Data Export'!F2070="硬顶跑车",'Data Export'!F2070="敞蓬车",'Data Export'!F2070="Targa"),"轿车",IF(OR('Data Export'!F2070="小型MPV",'Data Export'!F2070="客车"),"MPV",IF('Data Export'!F2070="运动型多功能车","SUV","其他"))))</f>
        <v/>
      </c>
      <c r="K2070" s="62"/>
      <c r="L2070" s="62"/>
      <c r="M2070" s="62"/>
      <c r="N2070" s="62"/>
      <c r="O2070" s="62"/>
      <c r="P2070" s="62"/>
      <c r="Q2070" s="62"/>
    </row>
    <row r="2071" spans="1:17">
      <c r="A2071" s="62"/>
      <c r="B2071" s="62"/>
      <c r="C2071" s="62"/>
      <c r="D2071" s="62"/>
      <c r="E2071" s="62"/>
      <c r="F2071" s="62"/>
      <c r="G2071" s="62"/>
      <c r="H2071" s="62" t="str">
        <f>IF(AND('Data Export'!A2071=前十整体车型排名!$B$2,'Data Export'!B2071=前十整体车型排名!$B$3,'Data Export'!D2071&lt;&gt;""),UPPER('Data Export'!C2071)&amp;"♦"&amp;'Data Export'!D2071,"")</f>
        <v/>
      </c>
      <c r="I2071" s="63" t="str">
        <f>IF(H2071="","",IFERROR(INDEX('Data Export'!G2071:CZ2071,1,MATCH(前十整体车型排名!$B$4,'Data Export'!$G$1:$CZ$1,0)),0))</f>
        <v/>
      </c>
      <c r="J2071" s="62" t="str">
        <f>IF(H2071="","",IF(OR('Data Export'!F2071="三厢轿车",'Data Export'!F2071="掀背轿车",'Data Export'!F2071="旅行车",'Data Export'!F2071="微型车",'Data Export'!F2071="硬顶跑车",'Data Export'!F2071="敞蓬车",'Data Export'!F2071="Targa"),"轿车",IF(OR('Data Export'!F2071="小型MPV",'Data Export'!F2071="客车"),"MPV",IF('Data Export'!F2071="运动型多功能车","SUV","其他"))))</f>
        <v/>
      </c>
      <c r="K2071" s="62"/>
      <c r="L2071" s="62"/>
      <c r="M2071" s="62"/>
      <c r="N2071" s="62"/>
      <c r="O2071" s="62"/>
      <c r="P2071" s="62"/>
      <c r="Q2071" s="62"/>
    </row>
    <row r="2072" spans="1:17">
      <c r="A2072" s="62"/>
      <c r="B2072" s="62"/>
      <c r="C2072" s="62"/>
      <c r="D2072" s="62"/>
      <c r="E2072" s="62"/>
      <c r="F2072" s="62"/>
      <c r="G2072" s="62"/>
      <c r="H2072" s="62" t="str">
        <f>IF(AND('Data Export'!A2072=前十整体车型排名!$B$2,'Data Export'!B2072=前十整体车型排名!$B$3,'Data Export'!D2072&lt;&gt;""),UPPER('Data Export'!C2072)&amp;"♦"&amp;'Data Export'!D2072,"")</f>
        <v/>
      </c>
      <c r="I2072" s="63" t="str">
        <f>IF(H2072="","",IFERROR(INDEX('Data Export'!G2072:CZ2072,1,MATCH(前十整体车型排名!$B$4,'Data Export'!$G$1:$CZ$1,0)),0))</f>
        <v/>
      </c>
      <c r="J2072" s="62" t="str">
        <f>IF(H2072="","",IF(OR('Data Export'!F2072="三厢轿车",'Data Export'!F2072="掀背轿车",'Data Export'!F2072="旅行车",'Data Export'!F2072="微型车",'Data Export'!F2072="硬顶跑车",'Data Export'!F2072="敞蓬车",'Data Export'!F2072="Targa"),"轿车",IF(OR('Data Export'!F2072="小型MPV",'Data Export'!F2072="客车"),"MPV",IF('Data Export'!F2072="运动型多功能车","SUV","其他"))))</f>
        <v/>
      </c>
      <c r="K2072" s="62"/>
      <c r="L2072" s="62"/>
      <c r="M2072" s="62"/>
      <c r="N2072" s="62"/>
      <c r="O2072" s="62"/>
      <c r="P2072" s="62"/>
      <c r="Q2072" s="62"/>
    </row>
    <row r="2073" spans="1:17">
      <c r="A2073" s="62"/>
      <c r="B2073" s="62"/>
      <c r="C2073" s="62"/>
      <c r="D2073" s="62"/>
      <c r="E2073" s="62"/>
      <c r="F2073" s="62"/>
      <c r="G2073" s="62"/>
      <c r="H2073" s="62" t="str">
        <f>IF(AND('Data Export'!A2073=前十整体车型排名!$B$2,'Data Export'!B2073=前十整体车型排名!$B$3,'Data Export'!D2073&lt;&gt;""),UPPER('Data Export'!C2073)&amp;"♦"&amp;'Data Export'!D2073,"")</f>
        <v/>
      </c>
      <c r="I2073" s="63" t="str">
        <f>IF(H2073="","",IFERROR(INDEX('Data Export'!G2073:CZ2073,1,MATCH(前十整体车型排名!$B$4,'Data Export'!$G$1:$CZ$1,0)),0))</f>
        <v/>
      </c>
      <c r="J2073" s="62" t="str">
        <f>IF(H2073="","",IF(OR('Data Export'!F2073="三厢轿车",'Data Export'!F2073="掀背轿车",'Data Export'!F2073="旅行车",'Data Export'!F2073="微型车",'Data Export'!F2073="硬顶跑车",'Data Export'!F2073="敞蓬车",'Data Export'!F2073="Targa"),"轿车",IF(OR('Data Export'!F2073="小型MPV",'Data Export'!F2073="客车"),"MPV",IF('Data Export'!F2073="运动型多功能车","SUV","其他"))))</f>
        <v/>
      </c>
      <c r="K2073" s="62"/>
      <c r="L2073" s="62"/>
      <c r="M2073" s="62"/>
      <c r="N2073" s="62"/>
      <c r="O2073" s="62"/>
      <c r="P2073" s="62"/>
      <c r="Q2073" s="62"/>
    </row>
    <row r="2074" spans="1:17">
      <c r="A2074" s="62"/>
      <c r="B2074" s="62"/>
      <c r="C2074" s="62"/>
      <c r="D2074" s="62"/>
      <c r="E2074" s="62"/>
      <c r="F2074" s="62"/>
      <c r="G2074" s="62"/>
      <c r="H2074" s="62" t="str">
        <f>IF(AND('Data Export'!A2074=前十整体车型排名!$B$2,'Data Export'!B2074=前十整体车型排名!$B$3,'Data Export'!D2074&lt;&gt;""),UPPER('Data Export'!C2074)&amp;"♦"&amp;'Data Export'!D2074,"")</f>
        <v/>
      </c>
      <c r="I2074" s="63" t="str">
        <f>IF(H2074="","",IFERROR(INDEX('Data Export'!G2074:CZ2074,1,MATCH(前十整体车型排名!$B$4,'Data Export'!$G$1:$CZ$1,0)),0))</f>
        <v/>
      </c>
      <c r="J2074" s="62" t="str">
        <f>IF(H2074="","",IF(OR('Data Export'!F2074="三厢轿车",'Data Export'!F2074="掀背轿车",'Data Export'!F2074="旅行车",'Data Export'!F2074="微型车",'Data Export'!F2074="硬顶跑车",'Data Export'!F2074="敞蓬车",'Data Export'!F2074="Targa"),"轿车",IF(OR('Data Export'!F2074="小型MPV",'Data Export'!F2074="客车"),"MPV",IF('Data Export'!F2074="运动型多功能车","SUV","其他"))))</f>
        <v/>
      </c>
      <c r="K2074" s="62"/>
      <c r="L2074" s="62"/>
      <c r="M2074" s="62"/>
      <c r="N2074" s="62"/>
      <c r="O2074" s="62"/>
      <c r="P2074" s="62"/>
      <c r="Q2074" s="62"/>
    </row>
    <row r="2075" spans="1:17">
      <c r="A2075" s="62"/>
      <c r="B2075" s="62"/>
      <c r="C2075" s="62"/>
      <c r="D2075" s="62"/>
      <c r="E2075" s="62"/>
      <c r="F2075" s="62"/>
      <c r="G2075" s="62"/>
      <c r="H2075" s="62" t="str">
        <f>IF(AND('Data Export'!A2075=前十整体车型排名!$B$2,'Data Export'!B2075=前十整体车型排名!$B$3,'Data Export'!D2075&lt;&gt;""),UPPER('Data Export'!C2075)&amp;"♦"&amp;'Data Export'!D2075,"")</f>
        <v/>
      </c>
      <c r="I2075" s="63" t="str">
        <f>IF(H2075="","",IFERROR(INDEX('Data Export'!G2075:CZ2075,1,MATCH(前十整体车型排名!$B$4,'Data Export'!$G$1:$CZ$1,0)),0))</f>
        <v/>
      </c>
      <c r="J2075" s="62" t="str">
        <f>IF(H2075="","",IF(OR('Data Export'!F2075="三厢轿车",'Data Export'!F2075="掀背轿车",'Data Export'!F2075="旅行车",'Data Export'!F2075="微型车",'Data Export'!F2075="硬顶跑车",'Data Export'!F2075="敞蓬车",'Data Export'!F2075="Targa"),"轿车",IF(OR('Data Export'!F2075="小型MPV",'Data Export'!F2075="客车"),"MPV",IF('Data Export'!F2075="运动型多功能车","SUV","其他"))))</f>
        <v/>
      </c>
      <c r="K2075" s="62"/>
      <c r="L2075" s="62"/>
      <c r="M2075" s="62"/>
      <c r="N2075" s="62"/>
      <c r="O2075" s="62"/>
      <c r="P2075" s="62"/>
      <c r="Q2075" s="62"/>
    </row>
    <row r="2076" spans="1:17">
      <c r="A2076" s="62"/>
      <c r="B2076" s="62"/>
      <c r="C2076" s="62"/>
      <c r="D2076" s="62"/>
      <c r="E2076" s="62"/>
      <c r="F2076" s="62"/>
      <c r="G2076" s="62"/>
      <c r="H2076" s="62" t="str">
        <f>IF(AND('Data Export'!A2076=前十整体车型排名!$B$2,'Data Export'!B2076=前十整体车型排名!$B$3,'Data Export'!D2076&lt;&gt;""),UPPER('Data Export'!C2076)&amp;"♦"&amp;'Data Export'!D2076,"")</f>
        <v/>
      </c>
      <c r="I2076" s="63" t="str">
        <f>IF(H2076="","",IFERROR(INDEX('Data Export'!G2076:CZ2076,1,MATCH(前十整体车型排名!$B$4,'Data Export'!$G$1:$CZ$1,0)),0))</f>
        <v/>
      </c>
      <c r="J2076" s="62" t="str">
        <f>IF(H2076="","",IF(OR('Data Export'!F2076="三厢轿车",'Data Export'!F2076="掀背轿车",'Data Export'!F2076="旅行车",'Data Export'!F2076="微型车",'Data Export'!F2076="硬顶跑车",'Data Export'!F2076="敞蓬车",'Data Export'!F2076="Targa"),"轿车",IF(OR('Data Export'!F2076="小型MPV",'Data Export'!F2076="客车"),"MPV",IF('Data Export'!F2076="运动型多功能车","SUV","其他"))))</f>
        <v/>
      </c>
      <c r="K2076" s="62"/>
      <c r="L2076" s="62"/>
      <c r="M2076" s="62"/>
      <c r="N2076" s="62"/>
      <c r="O2076" s="62"/>
      <c r="P2076" s="62"/>
      <c r="Q2076" s="62"/>
    </row>
    <row r="2077" spans="1:17">
      <c r="A2077" s="62"/>
      <c r="B2077" s="62"/>
      <c r="C2077" s="62"/>
      <c r="D2077" s="62"/>
      <c r="E2077" s="62"/>
      <c r="F2077" s="62"/>
      <c r="G2077" s="62"/>
      <c r="H2077" s="62" t="str">
        <f>IF(AND('Data Export'!A2077=前十整体车型排名!$B$2,'Data Export'!B2077=前十整体车型排名!$B$3,'Data Export'!D2077&lt;&gt;""),UPPER('Data Export'!C2077)&amp;"♦"&amp;'Data Export'!D2077,"")</f>
        <v/>
      </c>
      <c r="I2077" s="63" t="str">
        <f>IF(H2077="","",IFERROR(INDEX('Data Export'!G2077:CZ2077,1,MATCH(前十整体车型排名!$B$4,'Data Export'!$G$1:$CZ$1,0)),0))</f>
        <v/>
      </c>
      <c r="J2077" s="62" t="str">
        <f>IF(H2077="","",IF(OR('Data Export'!F2077="三厢轿车",'Data Export'!F2077="掀背轿车",'Data Export'!F2077="旅行车",'Data Export'!F2077="微型车",'Data Export'!F2077="硬顶跑车",'Data Export'!F2077="敞蓬车",'Data Export'!F2077="Targa"),"轿车",IF(OR('Data Export'!F2077="小型MPV",'Data Export'!F2077="客车"),"MPV",IF('Data Export'!F2077="运动型多功能车","SUV","其他"))))</f>
        <v/>
      </c>
      <c r="K2077" s="62"/>
      <c r="L2077" s="62"/>
      <c r="M2077" s="62"/>
      <c r="N2077" s="62"/>
      <c r="O2077" s="62"/>
      <c r="P2077" s="62"/>
      <c r="Q2077" s="62"/>
    </row>
    <row r="2078" spans="1:17">
      <c r="A2078" s="62"/>
      <c r="B2078" s="62"/>
      <c r="C2078" s="62"/>
      <c r="D2078" s="62"/>
      <c r="E2078" s="62"/>
      <c r="F2078" s="62"/>
      <c r="G2078" s="62"/>
      <c r="H2078" s="62" t="str">
        <f>IF(AND('Data Export'!A2078=前十整体车型排名!$B$2,'Data Export'!B2078=前十整体车型排名!$B$3,'Data Export'!D2078&lt;&gt;""),UPPER('Data Export'!C2078)&amp;"♦"&amp;'Data Export'!D2078,"")</f>
        <v/>
      </c>
      <c r="I2078" s="63" t="str">
        <f>IF(H2078="","",IFERROR(INDEX('Data Export'!G2078:CZ2078,1,MATCH(前十整体车型排名!$B$4,'Data Export'!$G$1:$CZ$1,0)),0))</f>
        <v/>
      </c>
      <c r="J2078" s="62" t="str">
        <f>IF(H2078="","",IF(OR('Data Export'!F2078="三厢轿车",'Data Export'!F2078="掀背轿车",'Data Export'!F2078="旅行车",'Data Export'!F2078="微型车",'Data Export'!F2078="硬顶跑车",'Data Export'!F2078="敞蓬车",'Data Export'!F2078="Targa"),"轿车",IF(OR('Data Export'!F2078="小型MPV",'Data Export'!F2078="客车"),"MPV",IF('Data Export'!F2078="运动型多功能车","SUV","其他"))))</f>
        <v/>
      </c>
      <c r="K2078" s="62"/>
      <c r="L2078" s="62"/>
      <c r="M2078" s="62"/>
      <c r="N2078" s="62"/>
      <c r="O2078" s="62"/>
      <c r="P2078" s="62"/>
      <c r="Q2078" s="62"/>
    </row>
    <row r="2079" spans="1:17">
      <c r="A2079" s="62"/>
      <c r="B2079" s="62"/>
      <c r="C2079" s="62"/>
      <c r="D2079" s="62"/>
      <c r="E2079" s="62"/>
      <c r="F2079" s="62"/>
      <c r="G2079" s="62"/>
      <c r="H2079" s="62" t="str">
        <f>IF(AND('Data Export'!A2079=前十整体车型排名!$B$2,'Data Export'!B2079=前十整体车型排名!$B$3,'Data Export'!D2079&lt;&gt;""),UPPER('Data Export'!C2079)&amp;"♦"&amp;'Data Export'!D2079,"")</f>
        <v/>
      </c>
      <c r="I2079" s="63" t="str">
        <f>IF(H2079="","",IFERROR(INDEX('Data Export'!G2079:CZ2079,1,MATCH(前十整体车型排名!$B$4,'Data Export'!$G$1:$CZ$1,0)),0))</f>
        <v/>
      </c>
      <c r="J2079" s="62" t="str">
        <f>IF(H2079="","",IF(OR('Data Export'!F2079="三厢轿车",'Data Export'!F2079="掀背轿车",'Data Export'!F2079="旅行车",'Data Export'!F2079="微型车",'Data Export'!F2079="硬顶跑车",'Data Export'!F2079="敞蓬车",'Data Export'!F2079="Targa"),"轿车",IF(OR('Data Export'!F2079="小型MPV",'Data Export'!F2079="客车"),"MPV",IF('Data Export'!F2079="运动型多功能车","SUV","其他"))))</f>
        <v/>
      </c>
      <c r="K2079" s="62"/>
      <c r="L2079" s="62"/>
      <c r="M2079" s="62"/>
      <c r="N2079" s="62"/>
      <c r="O2079" s="62"/>
      <c r="P2079" s="62"/>
      <c r="Q2079" s="62"/>
    </row>
    <row r="2080" spans="1:17">
      <c r="A2080" s="62"/>
      <c r="B2080" s="62"/>
      <c r="C2080" s="62"/>
      <c r="D2080" s="62"/>
      <c r="E2080" s="62"/>
      <c r="F2080" s="62"/>
      <c r="G2080" s="62"/>
      <c r="H2080" s="62" t="str">
        <f>IF(AND('Data Export'!A2080=前十整体车型排名!$B$2,'Data Export'!B2080=前十整体车型排名!$B$3,'Data Export'!D2080&lt;&gt;""),UPPER('Data Export'!C2080)&amp;"♦"&amp;'Data Export'!D2080,"")</f>
        <v/>
      </c>
      <c r="I2080" s="63" t="str">
        <f>IF(H2080="","",IFERROR(INDEX('Data Export'!G2080:CZ2080,1,MATCH(前十整体车型排名!$B$4,'Data Export'!$G$1:$CZ$1,0)),0))</f>
        <v/>
      </c>
      <c r="J2080" s="62" t="str">
        <f>IF(H2080="","",IF(OR('Data Export'!F2080="三厢轿车",'Data Export'!F2080="掀背轿车",'Data Export'!F2080="旅行车",'Data Export'!F2080="微型车",'Data Export'!F2080="硬顶跑车",'Data Export'!F2080="敞蓬车",'Data Export'!F2080="Targa"),"轿车",IF(OR('Data Export'!F2080="小型MPV",'Data Export'!F2080="客车"),"MPV",IF('Data Export'!F2080="运动型多功能车","SUV","其他"))))</f>
        <v/>
      </c>
      <c r="K2080" s="62"/>
      <c r="L2080" s="62"/>
      <c r="M2080" s="62"/>
      <c r="N2080" s="62"/>
      <c r="O2080" s="62"/>
      <c r="P2080" s="62"/>
      <c r="Q2080" s="62"/>
    </row>
    <row r="2081" spans="1:17">
      <c r="A2081" s="62"/>
      <c r="B2081" s="62"/>
      <c r="C2081" s="62"/>
      <c r="D2081" s="62"/>
      <c r="E2081" s="62"/>
      <c r="F2081" s="62"/>
      <c r="G2081" s="62"/>
      <c r="H2081" s="62" t="str">
        <f>IF(AND('Data Export'!A2081=前十整体车型排名!$B$2,'Data Export'!B2081=前十整体车型排名!$B$3,'Data Export'!D2081&lt;&gt;""),UPPER('Data Export'!C2081)&amp;"♦"&amp;'Data Export'!D2081,"")</f>
        <v/>
      </c>
      <c r="I2081" s="63" t="str">
        <f>IF(H2081="","",IFERROR(INDEX('Data Export'!G2081:CZ2081,1,MATCH(前十整体车型排名!$B$4,'Data Export'!$G$1:$CZ$1,0)),0))</f>
        <v/>
      </c>
      <c r="J2081" s="62" t="str">
        <f>IF(H2081="","",IF(OR('Data Export'!F2081="三厢轿车",'Data Export'!F2081="掀背轿车",'Data Export'!F2081="旅行车",'Data Export'!F2081="微型车",'Data Export'!F2081="硬顶跑车",'Data Export'!F2081="敞蓬车",'Data Export'!F2081="Targa"),"轿车",IF(OR('Data Export'!F2081="小型MPV",'Data Export'!F2081="客车"),"MPV",IF('Data Export'!F2081="运动型多功能车","SUV","其他"))))</f>
        <v/>
      </c>
      <c r="K2081" s="62"/>
      <c r="L2081" s="62"/>
      <c r="M2081" s="62"/>
      <c r="N2081" s="62"/>
      <c r="O2081" s="62"/>
      <c r="P2081" s="62"/>
      <c r="Q2081" s="62"/>
    </row>
    <row r="2082" spans="1:17">
      <c r="A2082" s="62"/>
      <c r="B2082" s="62"/>
      <c r="C2082" s="62"/>
      <c r="D2082" s="62"/>
      <c r="E2082" s="62"/>
      <c r="F2082" s="62"/>
      <c r="G2082" s="62"/>
      <c r="H2082" s="62" t="str">
        <f>IF(AND('Data Export'!A2082=前十整体车型排名!$B$2,'Data Export'!B2082=前十整体车型排名!$B$3,'Data Export'!D2082&lt;&gt;""),UPPER('Data Export'!C2082)&amp;"♦"&amp;'Data Export'!D2082,"")</f>
        <v/>
      </c>
      <c r="I2082" s="63" t="str">
        <f>IF(H2082="","",IFERROR(INDEX('Data Export'!G2082:CZ2082,1,MATCH(前十整体车型排名!$B$4,'Data Export'!$G$1:$CZ$1,0)),0))</f>
        <v/>
      </c>
      <c r="J2082" s="62" t="str">
        <f>IF(H2082="","",IF(OR('Data Export'!F2082="三厢轿车",'Data Export'!F2082="掀背轿车",'Data Export'!F2082="旅行车",'Data Export'!F2082="微型车",'Data Export'!F2082="硬顶跑车",'Data Export'!F2082="敞蓬车",'Data Export'!F2082="Targa"),"轿车",IF(OR('Data Export'!F2082="小型MPV",'Data Export'!F2082="客车"),"MPV",IF('Data Export'!F2082="运动型多功能车","SUV","其他"))))</f>
        <v/>
      </c>
      <c r="K2082" s="62"/>
      <c r="L2082" s="62"/>
      <c r="M2082" s="62"/>
      <c r="N2082" s="62"/>
      <c r="O2082" s="62"/>
      <c r="P2082" s="62"/>
      <c r="Q2082" s="62"/>
    </row>
    <row r="2083" spans="1:17">
      <c r="A2083" s="62"/>
      <c r="B2083" s="62"/>
      <c r="C2083" s="62"/>
      <c r="D2083" s="62"/>
      <c r="E2083" s="62"/>
      <c r="F2083" s="62"/>
      <c r="G2083" s="62"/>
      <c r="H2083" s="62" t="str">
        <f>IF(AND('Data Export'!A2083=前十整体车型排名!$B$2,'Data Export'!B2083=前十整体车型排名!$B$3,'Data Export'!D2083&lt;&gt;""),UPPER('Data Export'!C2083)&amp;"♦"&amp;'Data Export'!D2083,"")</f>
        <v/>
      </c>
      <c r="I2083" s="63" t="str">
        <f>IF(H2083="","",IFERROR(INDEX('Data Export'!G2083:CZ2083,1,MATCH(前十整体车型排名!$B$4,'Data Export'!$G$1:$CZ$1,0)),0))</f>
        <v/>
      </c>
      <c r="J2083" s="62" t="str">
        <f>IF(H2083="","",IF(OR('Data Export'!F2083="三厢轿车",'Data Export'!F2083="掀背轿车",'Data Export'!F2083="旅行车",'Data Export'!F2083="微型车",'Data Export'!F2083="硬顶跑车",'Data Export'!F2083="敞蓬车",'Data Export'!F2083="Targa"),"轿车",IF(OR('Data Export'!F2083="小型MPV",'Data Export'!F2083="客车"),"MPV",IF('Data Export'!F2083="运动型多功能车","SUV","其他"))))</f>
        <v/>
      </c>
      <c r="K2083" s="62"/>
      <c r="L2083" s="62"/>
      <c r="M2083" s="62"/>
      <c r="N2083" s="62"/>
      <c r="O2083" s="62"/>
      <c r="P2083" s="62"/>
      <c r="Q2083" s="62"/>
    </row>
    <row r="2084" spans="1:17">
      <c r="A2084" s="62"/>
      <c r="B2084" s="62"/>
      <c r="C2084" s="62"/>
      <c r="D2084" s="62"/>
      <c r="E2084" s="62"/>
      <c r="F2084" s="62"/>
      <c r="G2084" s="62"/>
      <c r="H2084" s="62" t="str">
        <f>IF(AND('Data Export'!A2084=前十整体车型排名!$B$2,'Data Export'!B2084=前十整体车型排名!$B$3,'Data Export'!D2084&lt;&gt;""),UPPER('Data Export'!C2084)&amp;"♦"&amp;'Data Export'!D2084,"")</f>
        <v/>
      </c>
      <c r="I2084" s="63" t="str">
        <f>IF(H2084="","",IFERROR(INDEX('Data Export'!G2084:CZ2084,1,MATCH(前十整体车型排名!$B$4,'Data Export'!$G$1:$CZ$1,0)),0))</f>
        <v/>
      </c>
      <c r="J2084" s="62" t="str">
        <f>IF(H2084="","",IF(OR('Data Export'!F2084="三厢轿车",'Data Export'!F2084="掀背轿车",'Data Export'!F2084="旅行车",'Data Export'!F2084="微型车",'Data Export'!F2084="硬顶跑车",'Data Export'!F2084="敞蓬车",'Data Export'!F2084="Targa"),"轿车",IF(OR('Data Export'!F2084="小型MPV",'Data Export'!F2084="客车"),"MPV",IF('Data Export'!F2084="运动型多功能车","SUV","其他"))))</f>
        <v/>
      </c>
      <c r="K2084" s="62"/>
      <c r="L2084" s="62"/>
      <c r="M2084" s="62"/>
      <c r="N2084" s="62"/>
      <c r="O2084" s="62"/>
      <c r="P2084" s="62"/>
      <c r="Q2084" s="62"/>
    </row>
    <row r="2085" spans="1:17">
      <c r="A2085" s="62"/>
      <c r="B2085" s="62"/>
      <c r="C2085" s="62"/>
      <c r="D2085" s="62"/>
      <c r="E2085" s="62"/>
      <c r="F2085" s="62"/>
      <c r="G2085" s="62"/>
      <c r="H2085" s="62" t="str">
        <f>IF(AND('Data Export'!A2085=前十整体车型排名!$B$2,'Data Export'!B2085=前十整体车型排名!$B$3,'Data Export'!D2085&lt;&gt;""),UPPER('Data Export'!C2085)&amp;"♦"&amp;'Data Export'!D2085,"")</f>
        <v/>
      </c>
      <c r="I2085" s="63" t="str">
        <f>IF(H2085="","",IFERROR(INDEX('Data Export'!G2085:CZ2085,1,MATCH(前十整体车型排名!$B$4,'Data Export'!$G$1:$CZ$1,0)),0))</f>
        <v/>
      </c>
      <c r="J2085" s="62" t="str">
        <f>IF(H2085="","",IF(OR('Data Export'!F2085="三厢轿车",'Data Export'!F2085="掀背轿车",'Data Export'!F2085="旅行车",'Data Export'!F2085="微型车",'Data Export'!F2085="硬顶跑车",'Data Export'!F2085="敞蓬车",'Data Export'!F2085="Targa"),"轿车",IF(OR('Data Export'!F2085="小型MPV",'Data Export'!F2085="客车"),"MPV",IF('Data Export'!F2085="运动型多功能车","SUV","其他"))))</f>
        <v/>
      </c>
      <c r="K2085" s="62"/>
      <c r="L2085" s="62"/>
      <c r="M2085" s="62"/>
      <c r="N2085" s="62"/>
      <c r="O2085" s="62"/>
      <c r="P2085" s="62"/>
      <c r="Q2085" s="62"/>
    </row>
    <row r="2086" spans="1:17">
      <c r="A2086" s="62"/>
      <c r="B2086" s="62"/>
      <c r="C2086" s="62"/>
      <c r="D2086" s="62"/>
      <c r="E2086" s="62"/>
      <c r="F2086" s="62"/>
      <c r="G2086" s="62"/>
      <c r="H2086" s="62" t="str">
        <f>IF(AND('Data Export'!A2086=前十整体车型排名!$B$2,'Data Export'!B2086=前十整体车型排名!$B$3,'Data Export'!D2086&lt;&gt;""),UPPER('Data Export'!C2086)&amp;"♦"&amp;'Data Export'!D2086,"")</f>
        <v/>
      </c>
      <c r="I2086" s="63" t="str">
        <f>IF(H2086="","",IFERROR(INDEX('Data Export'!G2086:CZ2086,1,MATCH(前十整体车型排名!$B$4,'Data Export'!$G$1:$CZ$1,0)),0))</f>
        <v/>
      </c>
      <c r="J2086" s="62" t="str">
        <f>IF(H2086="","",IF(OR('Data Export'!F2086="三厢轿车",'Data Export'!F2086="掀背轿车",'Data Export'!F2086="旅行车",'Data Export'!F2086="微型车",'Data Export'!F2086="硬顶跑车",'Data Export'!F2086="敞蓬车",'Data Export'!F2086="Targa"),"轿车",IF(OR('Data Export'!F2086="小型MPV",'Data Export'!F2086="客车"),"MPV",IF('Data Export'!F2086="运动型多功能车","SUV","其他"))))</f>
        <v/>
      </c>
      <c r="K2086" s="62"/>
      <c r="L2086" s="62"/>
      <c r="M2086" s="62"/>
      <c r="N2086" s="62"/>
      <c r="O2086" s="62"/>
      <c r="P2086" s="62"/>
      <c r="Q2086" s="62"/>
    </row>
    <row r="2087" spans="1:17">
      <c r="A2087" s="62"/>
      <c r="B2087" s="62"/>
      <c r="C2087" s="62"/>
      <c r="D2087" s="62"/>
      <c r="E2087" s="62"/>
      <c r="F2087" s="62"/>
      <c r="G2087" s="62"/>
      <c r="H2087" s="62" t="str">
        <f>IF(AND('Data Export'!A2087=前十整体车型排名!$B$2,'Data Export'!B2087=前十整体车型排名!$B$3,'Data Export'!D2087&lt;&gt;""),UPPER('Data Export'!C2087)&amp;"♦"&amp;'Data Export'!D2087,"")</f>
        <v/>
      </c>
      <c r="I2087" s="63" t="str">
        <f>IF(H2087="","",IFERROR(INDEX('Data Export'!G2087:CZ2087,1,MATCH(前十整体车型排名!$B$4,'Data Export'!$G$1:$CZ$1,0)),0))</f>
        <v/>
      </c>
      <c r="J2087" s="62" t="str">
        <f>IF(H2087="","",IF(OR('Data Export'!F2087="三厢轿车",'Data Export'!F2087="掀背轿车",'Data Export'!F2087="旅行车",'Data Export'!F2087="微型车",'Data Export'!F2087="硬顶跑车",'Data Export'!F2087="敞蓬车",'Data Export'!F2087="Targa"),"轿车",IF(OR('Data Export'!F2087="小型MPV",'Data Export'!F2087="客车"),"MPV",IF('Data Export'!F2087="运动型多功能车","SUV","其他"))))</f>
        <v/>
      </c>
      <c r="K2087" s="62"/>
      <c r="L2087" s="62"/>
      <c r="M2087" s="62"/>
      <c r="N2087" s="62"/>
      <c r="O2087" s="62"/>
      <c r="P2087" s="62"/>
      <c r="Q2087" s="62"/>
    </row>
    <row r="2088" spans="1:17">
      <c r="A2088" s="62"/>
      <c r="B2088" s="62"/>
      <c r="C2088" s="62"/>
      <c r="D2088" s="62"/>
      <c r="E2088" s="62"/>
      <c r="F2088" s="62"/>
      <c r="G2088" s="62"/>
      <c r="H2088" s="62" t="str">
        <f>IF(AND('Data Export'!A2088=前十整体车型排名!$B$2,'Data Export'!B2088=前十整体车型排名!$B$3,'Data Export'!D2088&lt;&gt;""),UPPER('Data Export'!C2088)&amp;"♦"&amp;'Data Export'!D2088,"")</f>
        <v/>
      </c>
      <c r="I2088" s="63" t="str">
        <f>IF(H2088="","",IFERROR(INDEX('Data Export'!G2088:CZ2088,1,MATCH(前十整体车型排名!$B$4,'Data Export'!$G$1:$CZ$1,0)),0))</f>
        <v/>
      </c>
      <c r="J2088" s="62" t="str">
        <f>IF(H2088="","",IF(OR('Data Export'!F2088="三厢轿车",'Data Export'!F2088="掀背轿车",'Data Export'!F2088="旅行车",'Data Export'!F2088="微型车",'Data Export'!F2088="硬顶跑车",'Data Export'!F2088="敞蓬车",'Data Export'!F2088="Targa"),"轿车",IF(OR('Data Export'!F2088="小型MPV",'Data Export'!F2088="客车"),"MPV",IF('Data Export'!F2088="运动型多功能车","SUV","其他"))))</f>
        <v/>
      </c>
      <c r="K2088" s="62"/>
      <c r="L2088" s="62"/>
      <c r="M2088" s="62"/>
      <c r="N2088" s="62"/>
      <c r="O2088" s="62"/>
      <c r="P2088" s="62"/>
      <c r="Q2088" s="62"/>
    </row>
    <row r="2089" spans="1:17">
      <c r="A2089" s="62"/>
      <c r="B2089" s="62"/>
      <c r="C2089" s="62"/>
      <c r="D2089" s="62"/>
      <c r="E2089" s="62"/>
      <c r="F2089" s="62"/>
      <c r="G2089" s="62"/>
      <c r="H2089" s="62" t="str">
        <f>IF(AND('Data Export'!A2089=前十整体车型排名!$B$2,'Data Export'!B2089=前十整体车型排名!$B$3,'Data Export'!D2089&lt;&gt;""),UPPER('Data Export'!C2089)&amp;"♦"&amp;'Data Export'!D2089,"")</f>
        <v/>
      </c>
      <c r="I2089" s="63" t="str">
        <f>IF(H2089="","",IFERROR(INDEX('Data Export'!G2089:CZ2089,1,MATCH(前十整体车型排名!$B$4,'Data Export'!$G$1:$CZ$1,0)),0))</f>
        <v/>
      </c>
      <c r="J2089" s="62" t="str">
        <f>IF(H2089="","",IF(OR('Data Export'!F2089="三厢轿车",'Data Export'!F2089="掀背轿车",'Data Export'!F2089="旅行车",'Data Export'!F2089="微型车",'Data Export'!F2089="硬顶跑车",'Data Export'!F2089="敞蓬车",'Data Export'!F2089="Targa"),"轿车",IF(OR('Data Export'!F2089="小型MPV",'Data Export'!F2089="客车"),"MPV",IF('Data Export'!F2089="运动型多功能车","SUV","其他"))))</f>
        <v/>
      </c>
      <c r="K2089" s="62"/>
      <c r="L2089" s="62"/>
      <c r="M2089" s="62"/>
      <c r="N2089" s="62"/>
      <c r="O2089" s="62"/>
      <c r="P2089" s="62"/>
      <c r="Q2089" s="62"/>
    </row>
    <row r="2090" spans="1:17">
      <c r="A2090" s="62"/>
      <c r="B2090" s="62"/>
      <c r="C2090" s="62"/>
      <c r="D2090" s="62"/>
      <c r="E2090" s="62"/>
      <c r="F2090" s="62"/>
      <c r="G2090" s="62"/>
      <c r="H2090" s="62" t="str">
        <f>IF(AND('Data Export'!A2090=前十整体车型排名!$B$2,'Data Export'!B2090=前十整体车型排名!$B$3,'Data Export'!D2090&lt;&gt;""),UPPER('Data Export'!C2090)&amp;"♦"&amp;'Data Export'!D2090,"")</f>
        <v/>
      </c>
      <c r="I2090" s="63" t="str">
        <f>IF(H2090="","",IFERROR(INDEX('Data Export'!G2090:CZ2090,1,MATCH(前十整体车型排名!$B$4,'Data Export'!$G$1:$CZ$1,0)),0))</f>
        <v/>
      </c>
      <c r="J2090" s="62" t="str">
        <f>IF(H2090="","",IF(OR('Data Export'!F2090="三厢轿车",'Data Export'!F2090="掀背轿车",'Data Export'!F2090="旅行车",'Data Export'!F2090="微型车",'Data Export'!F2090="硬顶跑车",'Data Export'!F2090="敞蓬车",'Data Export'!F2090="Targa"),"轿车",IF(OR('Data Export'!F2090="小型MPV",'Data Export'!F2090="客车"),"MPV",IF('Data Export'!F2090="运动型多功能车","SUV","其他"))))</f>
        <v/>
      </c>
      <c r="K2090" s="62"/>
      <c r="L2090" s="62"/>
      <c r="M2090" s="62"/>
      <c r="N2090" s="62"/>
      <c r="O2090" s="62"/>
      <c r="P2090" s="62"/>
      <c r="Q2090" s="62"/>
    </row>
    <row r="2091" spans="1:17">
      <c r="A2091" s="62"/>
      <c r="B2091" s="62"/>
      <c r="C2091" s="62"/>
      <c r="D2091" s="62"/>
      <c r="E2091" s="62"/>
      <c r="F2091" s="62"/>
      <c r="G2091" s="62"/>
      <c r="H2091" s="62" t="str">
        <f>IF(AND('Data Export'!A2091=前十整体车型排名!$B$2,'Data Export'!B2091=前十整体车型排名!$B$3,'Data Export'!D2091&lt;&gt;""),UPPER('Data Export'!C2091)&amp;"♦"&amp;'Data Export'!D2091,"")</f>
        <v/>
      </c>
      <c r="I2091" s="63" t="str">
        <f>IF(H2091="","",IFERROR(INDEX('Data Export'!G2091:CZ2091,1,MATCH(前十整体车型排名!$B$4,'Data Export'!$G$1:$CZ$1,0)),0))</f>
        <v/>
      </c>
      <c r="J2091" s="62" t="str">
        <f>IF(H2091="","",IF(OR('Data Export'!F2091="三厢轿车",'Data Export'!F2091="掀背轿车",'Data Export'!F2091="旅行车",'Data Export'!F2091="微型车",'Data Export'!F2091="硬顶跑车",'Data Export'!F2091="敞蓬车",'Data Export'!F2091="Targa"),"轿车",IF(OR('Data Export'!F2091="小型MPV",'Data Export'!F2091="客车"),"MPV",IF('Data Export'!F2091="运动型多功能车","SUV","其他"))))</f>
        <v/>
      </c>
      <c r="K2091" s="62"/>
      <c r="L2091" s="62"/>
      <c r="M2091" s="62"/>
      <c r="N2091" s="62"/>
      <c r="O2091" s="62"/>
      <c r="P2091" s="62"/>
      <c r="Q2091" s="62"/>
    </row>
    <row r="2092" spans="1:17">
      <c r="A2092" s="62"/>
      <c r="B2092" s="62"/>
      <c r="C2092" s="62"/>
      <c r="D2092" s="62"/>
      <c r="E2092" s="62"/>
      <c r="F2092" s="62"/>
      <c r="G2092" s="62"/>
      <c r="H2092" s="62" t="str">
        <f>IF(AND('Data Export'!A2092=前十整体车型排名!$B$2,'Data Export'!B2092=前十整体车型排名!$B$3,'Data Export'!D2092&lt;&gt;""),UPPER('Data Export'!C2092)&amp;"♦"&amp;'Data Export'!D2092,"")</f>
        <v/>
      </c>
      <c r="I2092" s="63" t="str">
        <f>IF(H2092="","",IFERROR(INDEX('Data Export'!G2092:CZ2092,1,MATCH(前十整体车型排名!$B$4,'Data Export'!$G$1:$CZ$1,0)),0))</f>
        <v/>
      </c>
      <c r="J2092" s="62" t="str">
        <f>IF(H2092="","",IF(OR('Data Export'!F2092="三厢轿车",'Data Export'!F2092="掀背轿车",'Data Export'!F2092="旅行车",'Data Export'!F2092="微型车",'Data Export'!F2092="硬顶跑车",'Data Export'!F2092="敞蓬车",'Data Export'!F2092="Targa"),"轿车",IF(OR('Data Export'!F2092="小型MPV",'Data Export'!F2092="客车"),"MPV",IF('Data Export'!F2092="运动型多功能车","SUV","其他"))))</f>
        <v/>
      </c>
      <c r="K2092" s="62"/>
      <c r="L2092" s="62"/>
      <c r="M2092" s="62"/>
      <c r="N2092" s="62"/>
      <c r="O2092" s="62"/>
      <c r="P2092" s="62"/>
      <c r="Q2092" s="62"/>
    </row>
    <row r="2093" spans="1:17">
      <c r="A2093" s="62"/>
      <c r="B2093" s="62"/>
      <c r="C2093" s="62"/>
      <c r="D2093" s="62"/>
      <c r="E2093" s="62"/>
      <c r="F2093" s="62"/>
      <c r="G2093" s="62"/>
      <c r="H2093" s="62" t="str">
        <f>IF(AND('Data Export'!A2093=前十整体车型排名!$B$2,'Data Export'!B2093=前十整体车型排名!$B$3,'Data Export'!D2093&lt;&gt;""),UPPER('Data Export'!C2093)&amp;"♦"&amp;'Data Export'!D2093,"")</f>
        <v/>
      </c>
      <c r="I2093" s="63" t="str">
        <f>IF(H2093="","",IFERROR(INDEX('Data Export'!G2093:CZ2093,1,MATCH(前十整体车型排名!$B$4,'Data Export'!$G$1:$CZ$1,0)),0))</f>
        <v/>
      </c>
      <c r="J2093" s="62" t="str">
        <f>IF(H2093="","",IF(OR('Data Export'!F2093="三厢轿车",'Data Export'!F2093="掀背轿车",'Data Export'!F2093="旅行车",'Data Export'!F2093="微型车",'Data Export'!F2093="硬顶跑车",'Data Export'!F2093="敞蓬车",'Data Export'!F2093="Targa"),"轿车",IF(OR('Data Export'!F2093="小型MPV",'Data Export'!F2093="客车"),"MPV",IF('Data Export'!F2093="运动型多功能车","SUV","其他"))))</f>
        <v/>
      </c>
      <c r="K2093" s="62"/>
      <c r="L2093" s="62"/>
      <c r="M2093" s="62"/>
      <c r="N2093" s="62"/>
      <c r="O2093" s="62"/>
      <c r="P2093" s="62"/>
      <c r="Q2093" s="62"/>
    </row>
    <row r="2094" spans="1:17">
      <c r="A2094" s="62"/>
      <c r="B2094" s="62"/>
      <c r="C2094" s="62"/>
      <c r="D2094" s="62"/>
      <c r="E2094" s="62"/>
      <c r="F2094" s="62"/>
      <c r="G2094" s="62"/>
      <c r="H2094" s="62" t="str">
        <f>IF(AND('Data Export'!A2094=前十整体车型排名!$B$2,'Data Export'!B2094=前十整体车型排名!$B$3,'Data Export'!D2094&lt;&gt;""),UPPER('Data Export'!C2094)&amp;"♦"&amp;'Data Export'!D2094,"")</f>
        <v/>
      </c>
      <c r="I2094" s="63" t="str">
        <f>IF(H2094="","",IFERROR(INDEX('Data Export'!G2094:CZ2094,1,MATCH(前十整体车型排名!$B$4,'Data Export'!$G$1:$CZ$1,0)),0))</f>
        <v/>
      </c>
      <c r="J2094" s="62" t="str">
        <f>IF(H2094="","",IF(OR('Data Export'!F2094="三厢轿车",'Data Export'!F2094="掀背轿车",'Data Export'!F2094="旅行车",'Data Export'!F2094="微型车",'Data Export'!F2094="硬顶跑车",'Data Export'!F2094="敞蓬车",'Data Export'!F2094="Targa"),"轿车",IF(OR('Data Export'!F2094="小型MPV",'Data Export'!F2094="客车"),"MPV",IF('Data Export'!F2094="运动型多功能车","SUV","其他"))))</f>
        <v/>
      </c>
      <c r="K2094" s="62"/>
      <c r="L2094" s="62"/>
      <c r="M2094" s="62"/>
      <c r="N2094" s="62"/>
      <c r="O2094" s="62"/>
      <c r="P2094" s="62"/>
      <c r="Q2094" s="62"/>
    </row>
    <row r="2095" spans="1:17">
      <c r="A2095" s="62"/>
      <c r="B2095" s="62"/>
      <c r="C2095" s="62"/>
      <c r="D2095" s="62"/>
      <c r="E2095" s="62"/>
      <c r="F2095" s="62"/>
      <c r="G2095" s="62"/>
      <c r="H2095" s="62" t="str">
        <f>IF(AND('Data Export'!A2095=前十整体车型排名!$B$2,'Data Export'!B2095=前十整体车型排名!$B$3,'Data Export'!D2095&lt;&gt;""),UPPER('Data Export'!C2095)&amp;"♦"&amp;'Data Export'!D2095,"")</f>
        <v/>
      </c>
      <c r="I2095" s="63" t="str">
        <f>IF(H2095="","",IFERROR(INDEX('Data Export'!G2095:CZ2095,1,MATCH(前十整体车型排名!$B$4,'Data Export'!$G$1:$CZ$1,0)),0))</f>
        <v/>
      </c>
      <c r="J2095" s="62" t="str">
        <f>IF(H2095="","",IF(OR('Data Export'!F2095="三厢轿车",'Data Export'!F2095="掀背轿车",'Data Export'!F2095="旅行车",'Data Export'!F2095="微型车",'Data Export'!F2095="硬顶跑车",'Data Export'!F2095="敞蓬车",'Data Export'!F2095="Targa"),"轿车",IF(OR('Data Export'!F2095="小型MPV",'Data Export'!F2095="客车"),"MPV",IF('Data Export'!F2095="运动型多功能车","SUV","其他"))))</f>
        <v/>
      </c>
      <c r="K2095" s="62"/>
      <c r="L2095" s="62"/>
      <c r="M2095" s="62"/>
      <c r="N2095" s="62"/>
      <c r="O2095" s="62"/>
      <c r="P2095" s="62"/>
      <c r="Q2095" s="62"/>
    </row>
    <row r="2096" spans="1:17">
      <c r="A2096" s="62"/>
      <c r="B2096" s="62"/>
      <c r="C2096" s="62"/>
      <c r="D2096" s="62"/>
      <c r="E2096" s="62"/>
      <c r="F2096" s="62"/>
      <c r="G2096" s="62"/>
      <c r="H2096" s="62" t="str">
        <f>IF(AND('Data Export'!A2096=前十整体车型排名!$B$2,'Data Export'!B2096=前十整体车型排名!$B$3,'Data Export'!D2096&lt;&gt;""),UPPER('Data Export'!C2096)&amp;"♦"&amp;'Data Export'!D2096,"")</f>
        <v/>
      </c>
      <c r="I2096" s="63" t="str">
        <f>IF(H2096="","",IFERROR(INDEX('Data Export'!G2096:CZ2096,1,MATCH(前十整体车型排名!$B$4,'Data Export'!$G$1:$CZ$1,0)),0))</f>
        <v/>
      </c>
      <c r="J2096" s="62" t="str">
        <f>IF(H2096="","",IF(OR('Data Export'!F2096="三厢轿车",'Data Export'!F2096="掀背轿车",'Data Export'!F2096="旅行车",'Data Export'!F2096="微型车",'Data Export'!F2096="硬顶跑车",'Data Export'!F2096="敞蓬车",'Data Export'!F2096="Targa"),"轿车",IF(OR('Data Export'!F2096="小型MPV",'Data Export'!F2096="客车"),"MPV",IF('Data Export'!F2096="运动型多功能车","SUV","其他"))))</f>
        <v/>
      </c>
      <c r="K2096" s="62"/>
      <c r="L2096" s="62"/>
      <c r="M2096" s="62"/>
      <c r="N2096" s="62"/>
      <c r="O2096" s="62"/>
      <c r="P2096" s="62"/>
      <c r="Q2096" s="62"/>
    </row>
    <row r="2097" spans="1:17">
      <c r="A2097" s="62"/>
      <c r="B2097" s="62"/>
      <c r="C2097" s="62"/>
      <c r="D2097" s="62"/>
      <c r="E2097" s="62"/>
      <c r="F2097" s="62"/>
      <c r="G2097" s="62"/>
      <c r="H2097" s="62" t="str">
        <f>IF(AND('Data Export'!A2097=前十整体车型排名!$B$2,'Data Export'!B2097=前十整体车型排名!$B$3,'Data Export'!D2097&lt;&gt;""),UPPER('Data Export'!C2097)&amp;"♦"&amp;'Data Export'!D2097,"")</f>
        <v/>
      </c>
      <c r="I2097" s="63" t="str">
        <f>IF(H2097="","",IFERROR(INDEX('Data Export'!G2097:CZ2097,1,MATCH(前十整体车型排名!$B$4,'Data Export'!$G$1:$CZ$1,0)),0))</f>
        <v/>
      </c>
      <c r="J2097" s="62" t="str">
        <f>IF(H2097="","",IF(OR('Data Export'!F2097="三厢轿车",'Data Export'!F2097="掀背轿车",'Data Export'!F2097="旅行车",'Data Export'!F2097="微型车",'Data Export'!F2097="硬顶跑车",'Data Export'!F2097="敞蓬车",'Data Export'!F2097="Targa"),"轿车",IF(OR('Data Export'!F2097="小型MPV",'Data Export'!F2097="客车"),"MPV",IF('Data Export'!F2097="运动型多功能车","SUV","其他"))))</f>
        <v/>
      </c>
      <c r="K2097" s="62"/>
      <c r="L2097" s="62"/>
      <c r="M2097" s="62"/>
      <c r="N2097" s="62"/>
      <c r="O2097" s="62"/>
      <c r="P2097" s="62"/>
      <c r="Q2097" s="62"/>
    </row>
    <row r="2098" spans="1:17">
      <c r="A2098" s="62"/>
      <c r="B2098" s="62"/>
      <c r="C2098" s="62"/>
      <c r="D2098" s="62"/>
      <c r="E2098" s="62"/>
      <c r="F2098" s="62"/>
      <c r="G2098" s="62"/>
      <c r="H2098" s="62" t="str">
        <f>IF(AND('Data Export'!A2098=前十整体车型排名!$B$2,'Data Export'!B2098=前十整体车型排名!$B$3,'Data Export'!D2098&lt;&gt;""),UPPER('Data Export'!C2098)&amp;"♦"&amp;'Data Export'!D2098,"")</f>
        <v/>
      </c>
      <c r="I2098" s="63" t="str">
        <f>IF(H2098="","",IFERROR(INDEX('Data Export'!G2098:CZ2098,1,MATCH(前十整体车型排名!$B$4,'Data Export'!$G$1:$CZ$1,0)),0))</f>
        <v/>
      </c>
      <c r="J2098" s="62" t="str">
        <f>IF(H2098="","",IF(OR('Data Export'!F2098="三厢轿车",'Data Export'!F2098="掀背轿车",'Data Export'!F2098="旅行车",'Data Export'!F2098="微型车",'Data Export'!F2098="硬顶跑车",'Data Export'!F2098="敞蓬车",'Data Export'!F2098="Targa"),"轿车",IF(OR('Data Export'!F2098="小型MPV",'Data Export'!F2098="客车"),"MPV",IF('Data Export'!F2098="运动型多功能车","SUV","其他"))))</f>
        <v/>
      </c>
      <c r="K2098" s="62"/>
      <c r="L2098" s="62"/>
      <c r="M2098" s="62"/>
      <c r="N2098" s="62"/>
      <c r="O2098" s="62"/>
      <c r="P2098" s="62"/>
      <c r="Q2098" s="62"/>
    </row>
    <row r="2099" spans="1:17">
      <c r="A2099" s="62"/>
      <c r="B2099" s="62"/>
      <c r="C2099" s="62"/>
      <c r="D2099" s="62"/>
      <c r="E2099" s="62"/>
      <c r="F2099" s="62"/>
      <c r="G2099" s="62"/>
      <c r="H2099" s="62" t="str">
        <f>IF(AND('Data Export'!A2099=前十整体车型排名!$B$2,'Data Export'!B2099=前十整体车型排名!$B$3,'Data Export'!D2099&lt;&gt;""),UPPER('Data Export'!C2099)&amp;"♦"&amp;'Data Export'!D2099,"")</f>
        <v/>
      </c>
      <c r="I2099" s="63" t="str">
        <f>IF(H2099="","",IFERROR(INDEX('Data Export'!G2099:CZ2099,1,MATCH(前十整体车型排名!$B$4,'Data Export'!$G$1:$CZ$1,0)),0))</f>
        <v/>
      </c>
      <c r="J2099" s="62" t="str">
        <f>IF(H2099="","",IF(OR('Data Export'!F2099="三厢轿车",'Data Export'!F2099="掀背轿车",'Data Export'!F2099="旅行车",'Data Export'!F2099="微型车",'Data Export'!F2099="硬顶跑车",'Data Export'!F2099="敞蓬车",'Data Export'!F2099="Targa"),"轿车",IF(OR('Data Export'!F2099="小型MPV",'Data Export'!F2099="客车"),"MPV",IF('Data Export'!F2099="运动型多功能车","SUV","其他"))))</f>
        <v/>
      </c>
      <c r="K2099" s="62"/>
      <c r="L2099" s="62"/>
      <c r="M2099" s="62"/>
      <c r="N2099" s="62"/>
      <c r="O2099" s="62"/>
      <c r="P2099" s="62"/>
      <c r="Q2099" s="62"/>
    </row>
    <row r="2100" spans="1:17">
      <c r="A2100" s="62"/>
      <c r="B2100" s="62"/>
      <c r="C2100" s="62"/>
      <c r="D2100" s="62"/>
      <c r="E2100" s="62"/>
      <c r="F2100" s="62"/>
      <c r="G2100" s="62"/>
      <c r="H2100" s="62" t="str">
        <f>IF(AND('Data Export'!A2100=前十整体车型排名!$B$2,'Data Export'!B2100=前十整体车型排名!$B$3,'Data Export'!D2100&lt;&gt;""),UPPER('Data Export'!C2100)&amp;"♦"&amp;'Data Export'!D2100,"")</f>
        <v/>
      </c>
      <c r="I2100" s="63" t="str">
        <f>IF(H2100="","",IFERROR(INDEX('Data Export'!G2100:CZ2100,1,MATCH(前十整体车型排名!$B$4,'Data Export'!$G$1:$CZ$1,0)),0))</f>
        <v/>
      </c>
      <c r="J2100" s="62" t="str">
        <f>IF(H2100="","",IF(OR('Data Export'!F2100="三厢轿车",'Data Export'!F2100="掀背轿车",'Data Export'!F2100="旅行车",'Data Export'!F2100="微型车",'Data Export'!F2100="硬顶跑车",'Data Export'!F2100="敞蓬车",'Data Export'!F2100="Targa"),"轿车",IF(OR('Data Export'!F2100="小型MPV",'Data Export'!F2100="客车"),"MPV",IF('Data Export'!F2100="运动型多功能车","SUV","其他"))))</f>
        <v/>
      </c>
      <c r="K2100" s="62"/>
      <c r="L2100" s="62"/>
      <c r="M2100" s="62"/>
      <c r="N2100" s="62"/>
      <c r="O2100" s="62"/>
      <c r="P2100" s="62"/>
      <c r="Q2100" s="62"/>
    </row>
    <row r="2101" spans="1:17">
      <c r="A2101" s="62"/>
      <c r="B2101" s="62"/>
      <c r="C2101" s="62"/>
      <c r="D2101" s="62"/>
      <c r="E2101" s="62"/>
      <c r="F2101" s="62"/>
      <c r="G2101" s="62"/>
      <c r="H2101" s="62" t="str">
        <f>IF(AND('Data Export'!A2101=前十整体车型排名!$B$2,'Data Export'!B2101=前十整体车型排名!$B$3,'Data Export'!D2101&lt;&gt;""),UPPER('Data Export'!C2101)&amp;"♦"&amp;'Data Export'!D2101,"")</f>
        <v/>
      </c>
      <c r="I2101" s="63" t="str">
        <f>IF(H2101="","",IFERROR(INDEX('Data Export'!G2101:CZ2101,1,MATCH(前十整体车型排名!$B$4,'Data Export'!$G$1:$CZ$1,0)),0))</f>
        <v/>
      </c>
      <c r="J2101" s="62" t="str">
        <f>IF(H2101="","",IF(OR('Data Export'!F2101="三厢轿车",'Data Export'!F2101="掀背轿车",'Data Export'!F2101="旅行车",'Data Export'!F2101="微型车",'Data Export'!F2101="硬顶跑车",'Data Export'!F2101="敞蓬车",'Data Export'!F2101="Targa"),"轿车",IF(OR('Data Export'!F2101="小型MPV",'Data Export'!F2101="客车"),"MPV",IF('Data Export'!F2101="运动型多功能车","SUV","其他"))))</f>
        <v/>
      </c>
      <c r="K2101" s="62"/>
      <c r="L2101" s="62"/>
      <c r="M2101" s="62"/>
      <c r="N2101" s="62"/>
      <c r="O2101" s="62"/>
      <c r="P2101" s="62"/>
      <c r="Q2101" s="62"/>
    </row>
    <row r="2102" spans="1:17">
      <c r="A2102" s="62"/>
      <c r="B2102" s="62"/>
      <c r="C2102" s="62"/>
      <c r="D2102" s="62"/>
      <c r="E2102" s="62"/>
      <c r="F2102" s="62"/>
      <c r="G2102" s="62"/>
      <c r="H2102" s="62" t="str">
        <f>IF(AND('Data Export'!A2102=前十整体车型排名!$B$2,'Data Export'!B2102=前十整体车型排名!$B$3,'Data Export'!D2102&lt;&gt;""),UPPER('Data Export'!C2102)&amp;"♦"&amp;'Data Export'!D2102,"")</f>
        <v/>
      </c>
      <c r="I2102" s="63" t="str">
        <f>IF(H2102="","",IFERROR(INDEX('Data Export'!G2102:CZ2102,1,MATCH(前十整体车型排名!$B$4,'Data Export'!$G$1:$CZ$1,0)),0))</f>
        <v/>
      </c>
      <c r="J2102" s="62" t="str">
        <f>IF(H2102="","",IF(OR('Data Export'!F2102="三厢轿车",'Data Export'!F2102="掀背轿车",'Data Export'!F2102="旅行车",'Data Export'!F2102="微型车",'Data Export'!F2102="硬顶跑车",'Data Export'!F2102="敞蓬车",'Data Export'!F2102="Targa"),"轿车",IF(OR('Data Export'!F2102="小型MPV",'Data Export'!F2102="客车"),"MPV",IF('Data Export'!F2102="运动型多功能车","SUV","其他"))))</f>
        <v/>
      </c>
      <c r="K2102" s="62"/>
      <c r="L2102" s="62"/>
      <c r="M2102" s="62"/>
      <c r="N2102" s="62"/>
      <c r="O2102" s="62"/>
      <c r="P2102" s="62"/>
      <c r="Q2102" s="62"/>
    </row>
    <row r="2103" spans="1:17">
      <c r="A2103" s="62"/>
      <c r="B2103" s="62"/>
      <c r="C2103" s="62"/>
      <c r="D2103" s="62"/>
      <c r="E2103" s="62"/>
      <c r="F2103" s="62"/>
      <c r="G2103" s="62"/>
      <c r="H2103" s="62" t="str">
        <f>IF(AND('Data Export'!A2103=前十整体车型排名!$B$2,'Data Export'!B2103=前十整体车型排名!$B$3,'Data Export'!D2103&lt;&gt;""),UPPER('Data Export'!C2103)&amp;"♦"&amp;'Data Export'!D2103,"")</f>
        <v/>
      </c>
      <c r="I2103" s="63" t="str">
        <f>IF(H2103="","",IFERROR(INDEX('Data Export'!G2103:CZ2103,1,MATCH(前十整体车型排名!$B$4,'Data Export'!$G$1:$CZ$1,0)),0))</f>
        <v/>
      </c>
      <c r="J2103" s="62" t="str">
        <f>IF(H2103="","",IF(OR('Data Export'!F2103="三厢轿车",'Data Export'!F2103="掀背轿车",'Data Export'!F2103="旅行车",'Data Export'!F2103="微型车",'Data Export'!F2103="硬顶跑车",'Data Export'!F2103="敞蓬车",'Data Export'!F2103="Targa"),"轿车",IF(OR('Data Export'!F2103="小型MPV",'Data Export'!F2103="客车"),"MPV",IF('Data Export'!F2103="运动型多功能车","SUV","其他"))))</f>
        <v/>
      </c>
      <c r="K2103" s="62"/>
      <c r="L2103" s="62"/>
      <c r="M2103" s="62"/>
      <c r="N2103" s="62"/>
      <c r="O2103" s="62"/>
      <c r="P2103" s="62"/>
      <c r="Q2103" s="62"/>
    </row>
    <row r="2104" spans="1:17">
      <c r="A2104" s="62"/>
      <c r="B2104" s="62"/>
      <c r="C2104" s="62"/>
      <c r="D2104" s="62"/>
      <c r="E2104" s="62"/>
      <c r="F2104" s="62"/>
      <c r="G2104" s="62"/>
      <c r="H2104" s="62" t="str">
        <f>IF(AND('Data Export'!A2104=前十整体车型排名!$B$2,'Data Export'!B2104=前十整体车型排名!$B$3,'Data Export'!D2104&lt;&gt;""),UPPER('Data Export'!C2104)&amp;"♦"&amp;'Data Export'!D2104,"")</f>
        <v/>
      </c>
      <c r="I2104" s="63" t="str">
        <f>IF(H2104="","",IFERROR(INDEX('Data Export'!G2104:CZ2104,1,MATCH(前十整体车型排名!$B$4,'Data Export'!$G$1:$CZ$1,0)),0))</f>
        <v/>
      </c>
      <c r="J2104" s="62" t="str">
        <f>IF(H2104="","",IF(OR('Data Export'!F2104="三厢轿车",'Data Export'!F2104="掀背轿车",'Data Export'!F2104="旅行车",'Data Export'!F2104="微型车",'Data Export'!F2104="硬顶跑车",'Data Export'!F2104="敞蓬车",'Data Export'!F2104="Targa"),"轿车",IF(OR('Data Export'!F2104="小型MPV",'Data Export'!F2104="客车"),"MPV",IF('Data Export'!F2104="运动型多功能车","SUV","其他"))))</f>
        <v/>
      </c>
      <c r="K2104" s="62"/>
      <c r="L2104" s="62"/>
      <c r="M2104" s="62"/>
      <c r="N2104" s="62"/>
      <c r="O2104" s="62"/>
      <c r="P2104" s="62"/>
      <c r="Q2104" s="62"/>
    </row>
    <row r="2105" spans="1:17">
      <c r="A2105" s="62"/>
      <c r="B2105" s="62"/>
      <c r="C2105" s="62"/>
      <c r="D2105" s="62"/>
      <c r="E2105" s="62"/>
      <c r="F2105" s="62"/>
      <c r="G2105" s="62"/>
      <c r="H2105" s="62" t="str">
        <f>IF(AND('Data Export'!A2105=前十整体车型排名!$B$2,'Data Export'!B2105=前十整体车型排名!$B$3,'Data Export'!D2105&lt;&gt;""),UPPER('Data Export'!C2105)&amp;"♦"&amp;'Data Export'!D2105,"")</f>
        <v/>
      </c>
      <c r="I2105" s="63" t="str">
        <f>IF(H2105="","",IFERROR(INDEX('Data Export'!G2105:CZ2105,1,MATCH(前十整体车型排名!$B$4,'Data Export'!$G$1:$CZ$1,0)),0))</f>
        <v/>
      </c>
      <c r="J2105" s="62" t="str">
        <f>IF(H2105="","",IF(OR('Data Export'!F2105="三厢轿车",'Data Export'!F2105="掀背轿车",'Data Export'!F2105="旅行车",'Data Export'!F2105="微型车",'Data Export'!F2105="硬顶跑车",'Data Export'!F2105="敞蓬车",'Data Export'!F2105="Targa"),"轿车",IF(OR('Data Export'!F2105="小型MPV",'Data Export'!F2105="客车"),"MPV",IF('Data Export'!F2105="运动型多功能车","SUV","其他"))))</f>
        <v/>
      </c>
      <c r="K2105" s="62"/>
      <c r="L2105" s="62"/>
      <c r="M2105" s="62"/>
      <c r="N2105" s="62"/>
      <c r="O2105" s="62"/>
      <c r="P2105" s="62"/>
      <c r="Q2105" s="62"/>
    </row>
    <row r="2106" spans="1:17">
      <c r="A2106" s="62"/>
      <c r="B2106" s="62"/>
      <c r="C2106" s="62"/>
      <c r="D2106" s="62"/>
      <c r="E2106" s="62"/>
      <c r="F2106" s="62"/>
      <c r="G2106" s="62"/>
      <c r="H2106" s="62" t="str">
        <f>IF(AND('Data Export'!A2106=前十整体车型排名!$B$2,'Data Export'!B2106=前十整体车型排名!$B$3,'Data Export'!D2106&lt;&gt;""),UPPER('Data Export'!C2106)&amp;"♦"&amp;'Data Export'!D2106,"")</f>
        <v/>
      </c>
      <c r="I2106" s="63" t="str">
        <f>IF(H2106="","",IFERROR(INDEX('Data Export'!G2106:CZ2106,1,MATCH(前十整体车型排名!$B$4,'Data Export'!$G$1:$CZ$1,0)),0))</f>
        <v/>
      </c>
      <c r="J2106" s="62" t="str">
        <f>IF(H2106="","",IF(OR('Data Export'!F2106="三厢轿车",'Data Export'!F2106="掀背轿车",'Data Export'!F2106="旅行车",'Data Export'!F2106="微型车",'Data Export'!F2106="硬顶跑车",'Data Export'!F2106="敞蓬车",'Data Export'!F2106="Targa"),"轿车",IF(OR('Data Export'!F2106="小型MPV",'Data Export'!F2106="客车"),"MPV",IF('Data Export'!F2106="运动型多功能车","SUV","其他"))))</f>
        <v/>
      </c>
      <c r="K2106" s="62"/>
      <c r="L2106" s="62"/>
      <c r="M2106" s="62"/>
      <c r="N2106" s="62"/>
      <c r="O2106" s="62"/>
      <c r="P2106" s="62"/>
      <c r="Q2106" s="62"/>
    </row>
    <row r="2107" spans="1:17">
      <c r="A2107" s="62"/>
      <c r="B2107" s="62"/>
      <c r="C2107" s="62"/>
      <c r="D2107" s="62"/>
      <c r="E2107" s="62"/>
      <c r="F2107" s="62"/>
      <c r="G2107" s="62"/>
      <c r="H2107" s="62" t="str">
        <f>IF(AND('Data Export'!A2107=前十整体车型排名!$B$2,'Data Export'!B2107=前十整体车型排名!$B$3,'Data Export'!D2107&lt;&gt;""),UPPER('Data Export'!C2107)&amp;"♦"&amp;'Data Export'!D2107,"")</f>
        <v/>
      </c>
      <c r="I2107" s="63" t="str">
        <f>IF(H2107="","",IFERROR(INDEX('Data Export'!G2107:CZ2107,1,MATCH(前十整体车型排名!$B$4,'Data Export'!$G$1:$CZ$1,0)),0))</f>
        <v/>
      </c>
      <c r="J2107" s="62" t="str">
        <f>IF(H2107="","",IF(OR('Data Export'!F2107="三厢轿车",'Data Export'!F2107="掀背轿车",'Data Export'!F2107="旅行车",'Data Export'!F2107="微型车",'Data Export'!F2107="硬顶跑车",'Data Export'!F2107="敞蓬车",'Data Export'!F2107="Targa"),"轿车",IF(OR('Data Export'!F2107="小型MPV",'Data Export'!F2107="客车"),"MPV",IF('Data Export'!F2107="运动型多功能车","SUV","其他"))))</f>
        <v/>
      </c>
      <c r="K2107" s="62"/>
      <c r="L2107" s="62"/>
      <c r="M2107" s="62"/>
      <c r="N2107" s="62"/>
      <c r="O2107" s="62"/>
      <c r="P2107" s="62"/>
      <c r="Q2107" s="62"/>
    </row>
    <row r="2108" spans="1:17">
      <c r="A2108" s="62"/>
      <c r="B2108" s="62"/>
      <c r="C2108" s="62"/>
      <c r="D2108" s="62"/>
      <c r="E2108" s="62"/>
      <c r="F2108" s="62"/>
      <c r="G2108" s="62"/>
      <c r="H2108" s="62" t="str">
        <f>IF(AND('Data Export'!A2108=前十整体车型排名!$B$2,'Data Export'!B2108=前十整体车型排名!$B$3,'Data Export'!D2108&lt;&gt;""),UPPER('Data Export'!C2108)&amp;"♦"&amp;'Data Export'!D2108,"")</f>
        <v/>
      </c>
      <c r="I2108" s="63" t="str">
        <f>IF(H2108="","",IFERROR(INDEX('Data Export'!G2108:CZ2108,1,MATCH(前十整体车型排名!$B$4,'Data Export'!$G$1:$CZ$1,0)),0))</f>
        <v/>
      </c>
      <c r="J2108" s="62" t="str">
        <f>IF(H2108="","",IF(OR('Data Export'!F2108="三厢轿车",'Data Export'!F2108="掀背轿车",'Data Export'!F2108="旅行车",'Data Export'!F2108="微型车",'Data Export'!F2108="硬顶跑车",'Data Export'!F2108="敞蓬车",'Data Export'!F2108="Targa"),"轿车",IF(OR('Data Export'!F2108="小型MPV",'Data Export'!F2108="客车"),"MPV",IF('Data Export'!F2108="运动型多功能车","SUV","其他"))))</f>
        <v/>
      </c>
      <c r="K2108" s="62"/>
      <c r="L2108" s="62"/>
      <c r="M2108" s="62"/>
      <c r="N2108" s="62"/>
      <c r="O2108" s="62"/>
      <c r="P2108" s="62"/>
      <c r="Q2108" s="62"/>
    </row>
    <row r="2109" spans="1:17">
      <c r="A2109" s="62"/>
      <c r="B2109" s="62"/>
      <c r="C2109" s="62"/>
      <c r="D2109" s="62"/>
      <c r="E2109" s="62"/>
      <c r="F2109" s="62"/>
      <c r="G2109" s="62"/>
      <c r="H2109" s="62" t="str">
        <f>IF(AND('Data Export'!A2109=前十整体车型排名!$B$2,'Data Export'!B2109=前十整体车型排名!$B$3,'Data Export'!D2109&lt;&gt;""),UPPER('Data Export'!C2109)&amp;"♦"&amp;'Data Export'!D2109,"")</f>
        <v/>
      </c>
      <c r="I2109" s="63" t="str">
        <f>IF(H2109="","",IFERROR(INDEX('Data Export'!G2109:CZ2109,1,MATCH(前十整体车型排名!$B$4,'Data Export'!$G$1:$CZ$1,0)),0))</f>
        <v/>
      </c>
      <c r="J2109" s="62" t="str">
        <f>IF(H2109="","",IF(OR('Data Export'!F2109="三厢轿车",'Data Export'!F2109="掀背轿车",'Data Export'!F2109="旅行车",'Data Export'!F2109="微型车",'Data Export'!F2109="硬顶跑车",'Data Export'!F2109="敞蓬车",'Data Export'!F2109="Targa"),"轿车",IF(OR('Data Export'!F2109="小型MPV",'Data Export'!F2109="客车"),"MPV",IF('Data Export'!F2109="运动型多功能车","SUV","其他"))))</f>
        <v/>
      </c>
      <c r="K2109" s="62"/>
      <c r="L2109" s="62"/>
      <c r="M2109" s="62"/>
      <c r="N2109" s="62"/>
      <c r="O2109" s="62"/>
      <c r="P2109" s="62"/>
      <c r="Q2109" s="62"/>
    </row>
    <row r="2110" spans="1:17">
      <c r="A2110" s="62"/>
      <c r="B2110" s="62"/>
      <c r="C2110" s="62"/>
      <c r="D2110" s="62"/>
      <c r="E2110" s="62"/>
      <c r="F2110" s="62"/>
      <c r="G2110" s="62"/>
      <c r="H2110" s="62" t="str">
        <f>IF(AND('Data Export'!A2110=前十整体车型排名!$B$2,'Data Export'!B2110=前十整体车型排名!$B$3,'Data Export'!D2110&lt;&gt;""),UPPER('Data Export'!C2110)&amp;"♦"&amp;'Data Export'!D2110,"")</f>
        <v/>
      </c>
      <c r="I2110" s="63" t="str">
        <f>IF(H2110="","",IFERROR(INDEX('Data Export'!G2110:CZ2110,1,MATCH(前十整体车型排名!$B$4,'Data Export'!$G$1:$CZ$1,0)),0))</f>
        <v/>
      </c>
      <c r="J2110" s="62" t="str">
        <f>IF(H2110="","",IF(OR('Data Export'!F2110="三厢轿车",'Data Export'!F2110="掀背轿车",'Data Export'!F2110="旅行车",'Data Export'!F2110="微型车",'Data Export'!F2110="硬顶跑车",'Data Export'!F2110="敞蓬车",'Data Export'!F2110="Targa"),"轿车",IF(OR('Data Export'!F2110="小型MPV",'Data Export'!F2110="客车"),"MPV",IF('Data Export'!F2110="运动型多功能车","SUV","其他"))))</f>
        <v/>
      </c>
      <c r="K2110" s="62"/>
      <c r="L2110" s="62"/>
      <c r="M2110" s="62"/>
      <c r="N2110" s="62"/>
      <c r="O2110" s="62"/>
      <c r="P2110" s="62"/>
      <c r="Q2110" s="62"/>
    </row>
    <row r="2111" spans="1:17">
      <c r="A2111" s="62"/>
      <c r="B2111" s="62"/>
      <c r="C2111" s="62"/>
      <c r="D2111" s="62"/>
      <c r="E2111" s="62"/>
      <c r="F2111" s="62"/>
      <c r="G2111" s="62"/>
      <c r="H2111" s="62" t="str">
        <f>IF(AND('Data Export'!A2111=前十整体车型排名!$B$2,'Data Export'!B2111=前十整体车型排名!$B$3,'Data Export'!D2111&lt;&gt;""),UPPER('Data Export'!C2111)&amp;"♦"&amp;'Data Export'!D2111,"")</f>
        <v/>
      </c>
      <c r="I2111" s="63" t="str">
        <f>IF(H2111="","",IFERROR(INDEX('Data Export'!G2111:CZ2111,1,MATCH(前十整体车型排名!$B$4,'Data Export'!$G$1:$CZ$1,0)),0))</f>
        <v/>
      </c>
      <c r="J2111" s="62" t="str">
        <f>IF(H2111="","",IF(OR('Data Export'!F2111="三厢轿车",'Data Export'!F2111="掀背轿车",'Data Export'!F2111="旅行车",'Data Export'!F2111="微型车",'Data Export'!F2111="硬顶跑车",'Data Export'!F2111="敞蓬车",'Data Export'!F2111="Targa"),"轿车",IF(OR('Data Export'!F2111="小型MPV",'Data Export'!F2111="客车"),"MPV",IF('Data Export'!F2111="运动型多功能车","SUV","其他"))))</f>
        <v/>
      </c>
      <c r="K2111" s="62"/>
      <c r="L2111" s="62"/>
      <c r="M2111" s="62"/>
      <c r="N2111" s="62"/>
      <c r="O2111" s="62"/>
      <c r="P2111" s="62"/>
      <c r="Q2111" s="62"/>
    </row>
    <row r="2112" spans="1:17">
      <c r="A2112" s="62"/>
      <c r="B2112" s="62"/>
      <c r="C2112" s="62"/>
      <c r="D2112" s="62"/>
      <c r="E2112" s="62"/>
      <c r="F2112" s="62"/>
      <c r="G2112" s="62"/>
      <c r="H2112" s="62" t="str">
        <f>IF(AND('Data Export'!A2112=前十整体车型排名!$B$2,'Data Export'!B2112=前十整体车型排名!$B$3,'Data Export'!D2112&lt;&gt;""),UPPER('Data Export'!C2112)&amp;"♦"&amp;'Data Export'!D2112,"")</f>
        <v/>
      </c>
      <c r="I2112" s="63" t="str">
        <f>IF(H2112="","",IFERROR(INDEX('Data Export'!G2112:CZ2112,1,MATCH(前十整体车型排名!$B$4,'Data Export'!$G$1:$CZ$1,0)),0))</f>
        <v/>
      </c>
      <c r="J2112" s="62" t="str">
        <f>IF(H2112="","",IF(OR('Data Export'!F2112="三厢轿车",'Data Export'!F2112="掀背轿车",'Data Export'!F2112="旅行车",'Data Export'!F2112="微型车",'Data Export'!F2112="硬顶跑车",'Data Export'!F2112="敞蓬车",'Data Export'!F2112="Targa"),"轿车",IF(OR('Data Export'!F2112="小型MPV",'Data Export'!F2112="客车"),"MPV",IF('Data Export'!F2112="运动型多功能车","SUV","其他"))))</f>
        <v/>
      </c>
      <c r="K2112" s="62"/>
      <c r="L2112" s="62"/>
      <c r="M2112" s="62"/>
      <c r="N2112" s="62"/>
      <c r="O2112" s="62"/>
      <c r="P2112" s="62"/>
      <c r="Q2112" s="62"/>
    </row>
    <row r="2113" spans="1:17">
      <c r="A2113" s="62"/>
      <c r="B2113" s="62"/>
      <c r="C2113" s="62"/>
      <c r="D2113" s="62"/>
      <c r="E2113" s="62"/>
      <c r="F2113" s="62"/>
      <c r="G2113" s="62"/>
      <c r="H2113" s="62" t="str">
        <f>IF(AND('Data Export'!A2113=前十整体车型排名!$B$2,'Data Export'!B2113=前十整体车型排名!$B$3,'Data Export'!D2113&lt;&gt;""),UPPER('Data Export'!C2113)&amp;"♦"&amp;'Data Export'!D2113,"")</f>
        <v/>
      </c>
      <c r="I2113" s="63" t="str">
        <f>IF(H2113="","",IFERROR(INDEX('Data Export'!G2113:CZ2113,1,MATCH(前十整体车型排名!$B$4,'Data Export'!$G$1:$CZ$1,0)),0))</f>
        <v/>
      </c>
      <c r="J2113" s="62" t="str">
        <f>IF(H2113="","",IF(OR('Data Export'!F2113="三厢轿车",'Data Export'!F2113="掀背轿车",'Data Export'!F2113="旅行车",'Data Export'!F2113="微型车",'Data Export'!F2113="硬顶跑车",'Data Export'!F2113="敞蓬车",'Data Export'!F2113="Targa"),"轿车",IF(OR('Data Export'!F2113="小型MPV",'Data Export'!F2113="客车"),"MPV",IF('Data Export'!F2113="运动型多功能车","SUV","其他"))))</f>
        <v/>
      </c>
      <c r="K2113" s="62"/>
      <c r="L2113" s="62"/>
      <c r="M2113" s="62"/>
      <c r="N2113" s="62"/>
      <c r="O2113" s="62"/>
      <c r="P2113" s="62"/>
      <c r="Q2113" s="62"/>
    </row>
    <row r="2114" spans="1:17">
      <c r="A2114" s="62"/>
      <c r="B2114" s="62"/>
      <c r="C2114" s="62"/>
      <c r="D2114" s="62"/>
      <c r="E2114" s="62"/>
      <c r="F2114" s="62"/>
      <c r="G2114" s="62"/>
      <c r="H2114" s="62" t="str">
        <f>IF(AND('Data Export'!A2114=前十整体车型排名!$B$2,'Data Export'!B2114=前十整体车型排名!$B$3,'Data Export'!D2114&lt;&gt;""),UPPER('Data Export'!C2114)&amp;"♦"&amp;'Data Export'!D2114,"")</f>
        <v/>
      </c>
      <c r="I2114" s="63" t="str">
        <f>IF(H2114="","",IFERROR(INDEX('Data Export'!G2114:CZ2114,1,MATCH(前十整体车型排名!$B$4,'Data Export'!$G$1:$CZ$1,0)),0))</f>
        <v/>
      </c>
      <c r="J2114" s="62" t="str">
        <f>IF(H2114="","",IF(OR('Data Export'!F2114="三厢轿车",'Data Export'!F2114="掀背轿车",'Data Export'!F2114="旅行车",'Data Export'!F2114="微型车",'Data Export'!F2114="硬顶跑车",'Data Export'!F2114="敞蓬车",'Data Export'!F2114="Targa"),"轿车",IF(OR('Data Export'!F2114="小型MPV",'Data Export'!F2114="客车"),"MPV",IF('Data Export'!F2114="运动型多功能车","SUV","其他"))))</f>
        <v/>
      </c>
      <c r="K2114" s="62"/>
      <c r="L2114" s="62"/>
      <c r="M2114" s="62"/>
      <c r="N2114" s="62"/>
      <c r="O2114" s="62"/>
      <c r="P2114" s="62"/>
      <c r="Q2114" s="62"/>
    </row>
    <row r="2115" spans="1:17">
      <c r="A2115" s="62"/>
      <c r="B2115" s="62"/>
      <c r="C2115" s="62"/>
      <c r="D2115" s="62"/>
      <c r="E2115" s="62"/>
      <c r="F2115" s="62"/>
      <c r="G2115" s="62"/>
      <c r="H2115" s="62" t="str">
        <f>IF(AND('Data Export'!A2115=前十整体车型排名!$B$2,'Data Export'!B2115=前十整体车型排名!$B$3,'Data Export'!D2115&lt;&gt;""),UPPER('Data Export'!C2115)&amp;"♦"&amp;'Data Export'!D2115,"")</f>
        <v/>
      </c>
      <c r="I2115" s="63" t="str">
        <f>IF(H2115="","",IFERROR(INDEX('Data Export'!G2115:CZ2115,1,MATCH(前十整体车型排名!$B$4,'Data Export'!$G$1:$CZ$1,0)),0))</f>
        <v/>
      </c>
      <c r="J2115" s="62" t="str">
        <f>IF(H2115="","",IF(OR('Data Export'!F2115="三厢轿车",'Data Export'!F2115="掀背轿车",'Data Export'!F2115="旅行车",'Data Export'!F2115="微型车",'Data Export'!F2115="硬顶跑车",'Data Export'!F2115="敞蓬车",'Data Export'!F2115="Targa"),"轿车",IF(OR('Data Export'!F2115="小型MPV",'Data Export'!F2115="客车"),"MPV",IF('Data Export'!F2115="运动型多功能车","SUV","其他"))))</f>
        <v/>
      </c>
      <c r="K2115" s="62"/>
      <c r="L2115" s="62"/>
      <c r="M2115" s="62"/>
      <c r="N2115" s="62"/>
      <c r="O2115" s="62"/>
      <c r="P2115" s="62"/>
      <c r="Q2115" s="62"/>
    </row>
    <row r="2116" spans="1:17">
      <c r="A2116" s="62"/>
      <c r="B2116" s="62"/>
      <c r="C2116" s="62"/>
      <c r="D2116" s="62"/>
      <c r="E2116" s="62"/>
      <c r="F2116" s="62"/>
      <c r="G2116" s="62"/>
      <c r="H2116" s="62" t="str">
        <f>IF(AND('Data Export'!A2116=前十整体车型排名!$B$2,'Data Export'!B2116=前十整体车型排名!$B$3,'Data Export'!D2116&lt;&gt;""),UPPER('Data Export'!C2116)&amp;"♦"&amp;'Data Export'!D2116,"")</f>
        <v/>
      </c>
      <c r="I2116" s="63" t="str">
        <f>IF(H2116="","",IFERROR(INDEX('Data Export'!G2116:CZ2116,1,MATCH(前十整体车型排名!$B$4,'Data Export'!$G$1:$CZ$1,0)),0))</f>
        <v/>
      </c>
      <c r="J2116" s="62" t="str">
        <f>IF(H2116="","",IF(OR('Data Export'!F2116="三厢轿车",'Data Export'!F2116="掀背轿车",'Data Export'!F2116="旅行车",'Data Export'!F2116="微型车",'Data Export'!F2116="硬顶跑车",'Data Export'!F2116="敞蓬车",'Data Export'!F2116="Targa"),"轿车",IF(OR('Data Export'!F2116="小型MPV",'Data Export'!F2116="客车"),"MPV",IF('Data Export'!F2116="运动型多功能车","SUV","其他"))))</f>
        <v/>
      </c>
      <c r="K2116" s="62"/>
      <c r="L2116" s="62"/>
      <c r="M2116" s="62"/>
      <c r="N2116" s="62"/>
      <c r="O2116" s="62"/>
      <c r="P2116" s="62"/>
      <c r="Q2116" s="62"/>
    </row>
    <row r="2117" spans="1:17">
      <c r="A2117" s="62"/>
      <c r="B2117" s="62"/>
      <c r="C2117" s="62"/>
      <c r="D2117" s="62"/>
      <c r="E2117" s="62"/>
      <c r="F2117" s="62"/>
      <c r="G2117" s="62"/>
      <c r="H2117" s="62" t="str">
        <f>IF(AND('Data Export'!A2117=前十整体车型排名!$B$2,'Data Export'!B2117=前十整体车型排名!$B$3,'Data Export'!D2117&lt;&gt;""),UPPER('Data Export'!C2117)&amp;"♦"&amp;'Data Export'!D2117,"")</f>
        <v/>
      </c>
      <c r="I2117" s="63" t="str">
        <f>IF(H2117="","",IFERROR(INDEX('Data Export'!G2117:CZ2117,1,MATCH(前十整体车型排名!$B$4,'Data Export'!$G$1:$CZ$1,0)),0))</f>
        <v/>
      </c>
      <c r="J2117" s="62" t="str">
        <f>IF(H2117="","",IF(OR('Data Export'!F2117="三厢轿车",'Data Export'!F2117="掀背轿车",'Data Export'!F2117="旅行车",'Data Export'!F2117="微型车",'Data Export'!F2117="硬顶跑车",'Data Export'!F2117="敞蓬车",'Data Export'!F2117="Targa"),"轿车",IF(OR('Data Export'!F2117="小型MPV",'Data Export'!F2117="客车"),"MPV",IF('Data Export'!F2117="运动型多功能车","SUV","其他"))))</f>
        <v/>
      </c>
      <c r="K2117" s="62"/>
      <c r="L2117" s="62"/>
      <c r="M2117" s="62"/>
      <c r="N2117" s="62"/>
      <c r="O2117" s="62"/>
      <c r="P2117" s="62"/>
      <c r="Q2117" s="62"/>
    </row>
    <row r="2118" spans="1:17">
      <c r="A2118" s="62"/>
      <c r="B2118" s="62"/>
      <c r="C2118" s="62"/>
      <c r="D2118" s="62"/>
      <c r="E2118" s="62"/>
      <c r="F2118" s="62"/>
      <c r="G2118" s="62"/>
      <c r="H2118" s="62" t="str">
        <f>IF(AND('Data Export'!A2118=前十整体车型排名!$B$2,'Data Export'!B2118=前十整体车型排名!$B$3,'Data Export'!D2118&lt;&gt;""),UPPER('Data Export'!C2118)&amp;"♦"&amp;'Data Export'!D2118,"")</f>
        <v/>
      </c>
      <c r="I2118" s="63" t="str">
        <f>IF(H2118="","",IFERROR(INDEX('Data Export'!G2118:CZ2118,1,MATCH(前十整体车型排名!$B$4,'Data Export'!$G$1:$CZ$1,0)),0))</f>
        <v/>
      </c>
      <c r="J2118" s="62" t="str">
        <f>IF(H2118="","",IF(OR('Data Export'!F2118="三厢轿车",'Data Export'!F2118="掀背轿车",'Data Export'!F2118="旅行车",'Data Export'!F2118="微型车",'Data Export'!F2118="硬顶跑车",'Data Export'!F2118="敞蓬车",'Data Export'!F2118="Targa"),"轿车",IF(OR('Data Export'!F2118="小型MPV",'Data Export'!F2118="客车"),"MPV",IF('Data Export'!F2118="运动型多功能车","SUV","其他"))))</f>
        <v/>
      </c>
      <c r="K2118" s="62"/>
      <c r="L2118" s="62"/>
      <c r="M2118" s="62"/>
      <c r="N2118" s="62"/>
      <c r="O2118" s="62"/>
      <c r="P2118" s="62"/>
      <c r="Q2118" s="62"/>
    </row>
    <row r="2119" spans="1:17">
      <c r="A2119" s="62"/>
      <c r="B2119" s="62"/>
      <c r="C2119" s="62"/>
      <c r="D2119" s="62"/>
      <c r="E2119" s="62"/>
      <c r="F2119" s="62"/>
      <c r="G2119" s="62"/>
      <c r="H2119" s="62" t="str">
        <f>IF(AND('Data Export'!A2119=前十整体车型排名!$B$2,'Data Export'!B2119=前十整体车型排名!$B$3,'Data Export'!D2119&lt;&gt;""),UPPER('Data Export'!C2119)&amp;"♦"&amp;'Data Export'!D2119,"")</f>
        <v/>
      </c>
      <c r="I2119" s="63" t="str">
        <f>IF(H2119="","",IFERROR(INDEX('Data Export'!G2119:CZ2119,1,MATCH(前十整体车型排名!$B$4,'Data Export'!$G$1:$CZ$1,0)),0))</f>
        <v/>
      </c>
      <c r="J2119" s="62" t="str">
        <f>IF(H2119="","",IF(OR('Data Export'!F2119="三厢轿车",'Data Export'!F2119="掀背轿车",'Data Export'!F2119="旅行车",'Data Export'!F2119="微型车",'Data Export'!F2119="硬顶跑车",'Data Export'!F2119="敞蓬车",'Data Export'!F2119="Targa"),"轿车",IF(OR('Data Export'!F2119="小型MPV",'Data Export'!F2119="客车"),"MPV",IF('Data Export'!F2119="运动型多功能车","SUV","其他"))))</f>
        <v/>
      </c>
      <c r="K2119" s="62"/>
      <c r="L2119" s="62"/>
      <c r="M2119" s="62"/>
      <c r="N2119" s="62"/>
      <c r="O2119" s="62"/>
      <c r="P2119" s="62"/>
      <c r="Q2119" s="62"/>
    </row>
    <row r="2120" spans="1:17">
      <c r="A2120" s="62"/>
      <c r="B2120" s="62"/>
      <c r="C2120" s="62"/>
      <c r="D2120" s="62"/>
      <c r="E2120" s="62"/>
      <c r="F2120" s="62"/>
      <c r="G2120" s="62"/>
      <c r="H2120" s="62" t="str">
        <f>IF(AND('Data Export'!A2120=前十整体车型排名!$B$2,'Data Export'!B2120=前十整体车型排名!$B$3,'Data Export'!D2120&lt;&gt;""),UPPER('Data Export'!C2120)&amp;"♦"&amp;'Data Export'!D2120,"")</f>
        <v/>
      </c>
      <c r="I2120" s="63" t="str">
        <f>IF(H2120="","",IFERROR(INDEX('Data Export'!G2120:CZ2120,1,MATCH(前十整体车型排名!$B$4,'Data Export'!$G$1:$CZ$1,0)),0))</f>
        <v/>
      </c>
      <c r="J2120" s="62" t="str">
        <f>IF(H2120="","",IF(OR('Data Export'!F2120="三厢轿车",'Data Export'!F2120="掀背轿车",'Data Export'!F2120="旅行车",'Data Export'!F2120="微型车",'Data Export'!F2120="硬顶跑车",'Data Export'!F2120="敞蓬车",'Data Export'!F2120="Targa"),"轿车",IF(OR('Data Export'!F2120="小型MPV",'Data Export'!F2120="客车"),"MPV",IF('Data Export'!F2120="运动型多功能车","SUV","其他"))))</f>
        <v/>
      </c>
      <c r="K2120" s="62"/>
      <c r="L2120" s="62"/>
      <c r="M2120" s="62"/>
      <c r="N2120" s="62"/>
      <c r="O2120" s="62"/>
      <c r="P2120" s="62"/>
      <c r="Q2120" s="62"/>
    </row>
    <row r="2121" spans="1:17">
      <c r="A2121" s="62"/>
      <c r="B2121" s="62"/>
      <c r="C2121" s="62"/>
      <c r="D2121" s="62"/>
      <c r="E2121" s="62"/>
      <c r="F2121" s="62"/>
      <c r="G2121" s="62"/>
      <c r="H2121" s="62" t="str">
        <f>IF(AND('Data Export'!A2121=前十整体车型排名!$B$2,'Data Export'!B2121=前十整体车型排名!$B$3,'Data Export'!D2121&lt;&gt;""),UPPER('Data Export'!C2121)&amp;"♦"&amp;'Data Export'!D2121,"")</f>
        <v/>
      </c>
      <c r="I2121" s="63" t="str">
        <f>IF(H2121="","",IFERROR(INDEX('Data Export'!G2121:CZ2121,1,MATCH(前十整体车型排名!$B$4,'Data Export'!$G$1:$CZ$1,0)),0))</f>
        <v/>
      </c>
      <c r="J2121" s="62" t="str">
        <f>IF(H2121="","",IF(OR('Data Export'!F2121="三厢轿车",'Data Export'!F2121="掀背轿车",'Data Export'!F2121="旅行车",'Data Export'!F2121="微型车",'Data Export'!F2121="硬顶跑车",'Data Export'!F2121="敞蓬车",'Data Export'!F2121="Targa"),"轿车",IF(OR('Data Export'!F2121="小型MPV",'Data Export'!F2121="客车"),"MPV",IF('Data Export'!F2121="运动型多功能车","SUV","其他"))))</f>
        <v/>
      </c>
      <c r="K2121" s="62"/>
      <c r="L2121" s="62"/>
      <c r="M2121" s="62"/>
      <c r="N2121" s="62"/>
      <c r="O2121" s="62"/>
      <c r="P2121" s="62"/>
      <c r="Q2121" s="62"/>
    </row>
    <row r="2122" spans="1:17">
      <c r="A2122" s="62"/>
      <c r="B2122" s="62"/>
      <c r="C2122" s="62"/>
      <c r="D2122" s="62"/>
      <c r="E2122" s="62"/>
      <c r="F2122" s="62"/>
      <c r="G2122" s="62"/>
      <c r="H2122" s="62" t="str">
        <f>IF(AND('Data Export'!A2122=前十整体车型排名!$B$2,'Data Export'!B2122=前十整体车型排名!$B$3,'Data Export'!D2122&lt;&gt;""),UPPER('Data Export'!C2122)&amp;"♦"&amp;'Data Export'!D2122,"")</f>
        <v/>
      </c>
      <c r="I2122" s="63" t="str">
        <f>IF(H2122="","",IFERROR(INDEX('Data Export'!G2122:CZ2122,1,MATCH(前十整体车型排名!$B$4,'Data Export'!$G$1:$CZ$1,0)),0))</f>
        <v/>
      </c>
      <c r="J2122" s="62" t="str">
        <f>IF(H2122="","",IF(OR('Data Export'!F2122="三厢轿车",'Data Export'!F2122="掀背轿车",'Data Export'!F2122="旅行车",'Data Export'!F2122="微型车",'Data Export'!F2122="硬顶跑车",'Data Export'!F2122="敞蓬车",'Data Export'!F2122="Targa"),"轿车",IF(OR('Data Export'!F2122="小型MPV",'Data Export'!F2122="客车"),"MPV",IF('Data Export'!F2122="运动型多功能车","SUV","其他"))))</f>
        <v/>
      </c>
      <c r="K2122" s="62"/>
      <c r="L2122" s="62"/>
      <c r="M2122" s="62"/>
      <c r="N2122" s="62"/>
      <c r="O2122" s="62"/>
      <c r="P2122" s="62"/>
      <c r="Q2122" s="62"/>
    </row>
    <row r="2123" spans="1:17">
      <c r="A2123" s="62"/>
      <c r="B2123" s="62"/>
      <c r="C2123" s="62"/>
      <c r="D2123" s="62"/>
      <c r="E2123" s="62"/>
      <c r="F2123" s="62"/>
      <c r="G2123" s="62"/>
      <c r="H2123" s="62" t="str">
        <f>IF(AND('Data Export'!A2123=前十整体车型排名!$B$2,'Data Export'!B2123=前十整体车型排名!$B$3,'Data Export'!D2123&lt;&gt;""),UPPER('Data Export'!C2123)&amp;"♦"&amp;'Data Export'!D2123,"")</f>
        <v/>
      </c>
      <c r="I2123" s="63" t="str">
        <f>IF(H2123="","",IFERROR(INDEX('Data Export'!G2123:CZ2123,1,MATCH(前十整体车型排名!$B$4,'Data Export'!$G$1:$CZ$1,0)),0))</f>
        <v/>
      </c>
      <c r="J2123" s="62" t="str">
        <f>IF(H2123="","",IF(OR('Data Export'!F2123="三厢轿车",'Data Export'!F2123="掀背轿车",'Data Export'!F2123="旅行车",'Data Export'!F2123="微型车",'Data Export'!F2123="硬顶跑车",'Data Export'!F2123="敞蓬车",'Data Export'!F2123="Targa"),"轿车",IF(OR('Data Export'!F2123="小型MPV",'Data Export'!F2123="客车"),"MPV",IF('Data Export'!F2123="运动型多功能车","SUV","其他"))))</f>
        <v/>
      </c>
      <c r="K2123" s="62"/>
      <c r="L2123" s="62"/>
      <c r="M2123" s="62"/>
      <c r="N2123" s="62"/>
      <c r="O2123" s="62"/>
      <c r="P2123" s="62"/>
      <c r="Q2123" s="62"/>
    </row>
    <row r="2124" spans="1:17">
      <c r="A2124" s="62"/>
      <c r="B2124" s="62"/>
      <c r="C2124" s="62"/>
      <c r="D2124" s="62"/>
      <c r="E2124" s="62"/>
      <c r="F2124" s="62"/>
      <c r="G2124" s="62"/>
      <c r="H2124" s="62" t="str">
        <f>IF(AND('Data Export'!A2124=前十整体车型排名!$B$2,'Data Export'!B2124=前十整体车型排名!$B$3,'Data Export'!D2124&lt;&gt;""),UPPER('Data Export'!C2124)&amp;"♦"&amp;'Data Export'!D2124,"")</f>
        <v/>
      </c>
      <c r="I2124" s="63" t="str">
        <f>IF(H2124="","",IFERROR(INDEX('Data Export'!G2124:CZ2124,1,MATCH(前十整体车型排名!$B$4,'Data Export'!$G$1:$CZ$1,0)),0))</f>
        <v/>
      </c>
      <c r="J2124" s="62" t="str">
        <f>IF(H2124="","",IF(OR('Data Export'!F2124="三厢轿车",'Data Export'!F2124="掀背轿车",'Data Export'!F2124="旅行车",'Data Export'!F2124="微型车",'Data Export'!F2124="硬顶跑车",'Data Export'!F2124="敞蓬车",'Data Export'!F2124="Targa"),"轿车",IF(OR('Data Export'!F2124="小型MPV",'Data Export'!F2124="客车"),"MPV",IF('Data Export'!F2124="运动型多功能车","SUV","其他"))))</f>
        <v/>
      </c>
      <c r="K2124" s="62"/>
      <c r="L2124" s="62"/>
      <c r="M2124" s="62"/>
      <c r="N2124" s="62"/>
      <c r="O2124" s="62"/>
      <c r="P2124" s="62"/>
      <c r="Q2124" s="62"/>
    </row>
    <row r="2125" spans="1:17">
      <c r="A2125" s="62"/>
      <c r="B2125" s="62"/>
      <c r="C2125" s="62"/>
      <c r="D2125" s="62"/>
      <c r="E2125" s="62"/>
      <c r="F2125" s="62"/>
      <c r="G2125" s="62"/>
      <c r="H2125" s="62" t="str">
        <f>IF(AND('Data Export'!A2125=前十整体车型排名!$B$2,'Data Export'!B2125=前十整体车型排名!$B$3,'Data Export'!D2125&lt;&gt;""),UPPER('Data Export'!C2125)&amp;"♦"&amp;'Data Export'!D2125,"")</f>
        <v/>
      </c>
      <c r="I2125" s="63" t="str">
        <f>IF(H2125="","",IFERROR(INDEX('Data Export'!G2125:CZ2125,1,MATCH(前十整体车型排名!$B$4,'Data Export'!$G$1:$CZ$1,0)),0))</f>
        <v/>
      </c>
      <c r="J2125" s="62" t="str">
        <f>IF(H2125="","",IF(OR('Data Export'!F2125="三厢轿车",'Data Export'!F2125="掀背轿车",'Data Export'!F2125="旅行车",'Data Export'!F2125="微型车",'Data Export'!F2125="硬顶跑车",'Data Export'!F2125="敞蓬车",'Data Export'!F2125="Targa"),"轿车",IF(OR('Data Export'!F2125="小型MPV",'Data Export'!F2125="客车"),"MPV",IF('Data Export'!F2125="运动型多功能车","SUV","其他"))))</f>
        <v/>
      </c>
      <c r="K2125" s="62"/>
      <c r="L2125" s="62"/>
      <c r="M2125" s="62"/>
      <c r="N2125" s="62"/>
      <c r="O2125" s="62"/>
      <c r="P2125" s="62"/>
      <c r="Q2125" s="62"/>
    </row>
    <row r="2126" spans="1:17">
      <c r="A2126" s="62"/>
      <c r="B2126" s="62"/>
      <c r="C2126" s="62"/>
      <c r="D2126" s="62"/>
      <c r="E2126" s="62"/>
      <c r="F2126" s="62"/>
      <c r="G2126" s="62"/>
      <c r="H2126" s="62" t="str">
        <f>IF(AND('Data Export'!A2126=前十整体车型排名!$B$2,'Data Export'!B2126=前十整体车型排名!$B$3,'Data Export'!D2126&lt;&gt;""),UPPER('Data Export'!C2126)&amp;"♦"&amp;'Data Export'!D2126,"")</f>
        <v/>
      </c>
      <c r="I2126" s="63" t="str">
        <f>IF(H2126="","",IFERROR(INDEX('Data Export'!G2126:CZ2126,1,MATCH(前十整体车型排名!$B$4,'Data Export'!$G$1:$CZ$1,0)),0))</f>
        <v/>
      </c>
      <c r="J2126" s="62" t="str">
        <f>IF(H2126="","",IF(OR('Data Export'!F2126="三厢轿车",'Data Export'!F2126="掀背轿车",'Data Export'!F2126="旅行车",'Data Export'!F2126="微型车",'Data Export'!F2126="硬顶跑车",'Data Export'!F2126="敞蓬车",'Data Export'!F2126="Targa"),"轿车",IF(OR('Data Export'!F2126="小型MPV",'Data Export'!F2126="客车"),"MPV",IF('Data Export'!F2126="运动型多功能车","SUV","其他"))))</f>
        <v/>
      </c>
      <c r="K2126" s="62"/>
      <c r="L2126" s="62"/>
      <c r="M2126" s="62"/>
      <c r="N2126" s="62"/>
      <c r="O2126" s="62"/>
      <c r="P2126" s="62"/>
      <c r="Q2126" s="62"/>
    </row>
    <row r="2127" spans="1:17">
      <c r="A2127" s="62"/>
      <c r="B2127" s="62"/>
      <c r="C2127" s="62"/>
      <c r="D2127" s="62"/>
      <c r="E2127" s="62"/>
      <c r="F2127" s="62"/>
      <c r="G2127" s="62"/>
      <c r="H2127" s="62" t="str">
        <f>IF(AND('Data Export'!A2127=前十整体车型排名!$B$2,'Data Export'!B2127=前十整体车型排名!$B$3,'Data Export'!D2127&lt;&gt;""),UPPER('Data Export'!C2127)&amp;"♦"&amp;'Data Export'!D2127,"")</f>
        <v/>
      </c>
      <c r="I2127" s="63" t="str">
        <f>IF(H2127="","",IFERROR(INDEX('Data Export'!G2127:CZ2127,1,MATCH(前十整体车型排名!$B$4,'Data Export'!$G$1:$CZ$1,0)),0))</f>
        <v/>
      </c>
      <c r="J2127" s="62" t="str">
        <f>IF(H2127="","",IF(OR('Data Export'!F2127="三厢轿车",'Data Export'!F2127="掀背轿车",'Data Export'!F2127="旅行车",'Data Export'!F2127="微型车",'Data Export'!F2127="硬顶跑车",'Data Export'!F2127="敞蓬车",'Data Export'!F2127="Targa"),"轿车",IF(OR('Data Export'!F2127="小型MPV",'Data Export'!F2127="客车"),"MPV",IF('Data Export'!F2127="运动型多功能车","SUV","其他"))))</f>
        <v/>
      </c>
      <c r="K2127" s="62"/>
      <c r="L2127" s="62"/>
      <c r="M2127" s="62"/>
      <c r="N2127" s="62"/>
      <c r="O2127" s="62"/>
      <c r="P2127" s="62"/>
      <c r="Q2127" s="62"/>
    </row>
    <row r="2128" spans="1:17">
      <c r="A2128" s="62"/>
      <c r="B2128" s="62"/>
      <c r="C2128" s="62"/>
      <c r="D2128" s="62"/>
      <c r="E2128" s="62"/>
      <c r="F2128" s="62"/>
      <c r="G2128" s="62"/>
      <c r="H2128" s="62" t="str">
        <f>IF(AND('Data Export'!A2128=前十整体车型排名!$B$2,'Data Export'!B2128=前十整体车型排名!$B$3,'Data Export'!D2128&lt;&gt;""),UPPER('Data Export'!C2128)&amp;"♦"&amp;'Data Export'!D2128,"")</f>
        <v/>
      </c>
      <c r="I2128" s="63" t="str">
        <f>IF(H2128="","",IFERROR(INDEX('Data Export'!G2128:CZ2128,1,MATCH(前十整体车型排名!$B$4,'Data Export'!$G$1:$CZ$1,0)),0))</f>
        <v/>
      </c>
      <c r="J2128" s="62" t="str">
        <f>IF(H2128="","",IF(OR('Data Export'!F2128="三厢轿车",'Data Export'!F2128="掀背轿车",'Data Export'!F2128="旅行车",'Data Export'!F2128="微型车",'Data Export'!F2128="硬顶跑车",'Data Export'!F2128="敞蓬车",'Data Export'!F2128="Targa"),"轿车",IF(OR('Data Export'!F2128="小型MPV",'Data Export'!F2128="客车"),"MPV",IF('Data Export'!F2128="运动型多功能车","SUV","其他"))))</f>
        <v/>
      </c>
      <c r="K2128" s="62"/>
      <c r="L2128" s="62"/>
      <c r="M2128" s="62"/>
      <c r="N2128" s="62"/>
      <c r="O2128" s="62"/>
      <c r="P2128" s="62"/>
      <c r="Q2128" s="62"/>
    </row>
    <row r="2129" spans="1:17">
      <c r="A2129" s="62"/>
      <c r="B2129" s="62"/>
      <c r="C2129" s="62"/>
      <c r="D2129" s="62"/>
      <c r="E2129" s="62"/>
      <c r="F2129" s="62"/>
      <c r="G2129" s="62"/>
      <c r="H2129" s="62" t="str">
        <f>IF(AND('Data Export'!A2129=前十整体车型排名!$B$2,'Data Export'!B2129=前十整体车型排名!$B$3,'Data Export'!D2129&lt;&gt;""),UPPER('Data Export'!C2129)&amp;"♦"&amp;'Data Export'!D2129,"")</f>
        <v/>
      </c>
      <c r="I2129" s="63" t="str">
        <f>IF(H2129="","",IFERROR(INDEX('Data Export'!G2129:CZ2129,1,MATCH(前十整体车型排名!$B$4,'Data Export'!$G$1:$CZ$1,0)),0))</f>
        <v/>
      </c>
      <c r="J2129" s="62" t="str">
        <f>IF(H2129="","",IF(OR('Data Export'!F2129="三厢轿车",'Data Export'!F2129="掀背轿车",'Data Export'!F2129="旅行车",'Data Export'!F2129="微型车",'Data Export'!F2129="硬顶跑车",'Data Export'!F2129="敞蓬车",'Data Export'!F2129="Targa"),"轿车",IF(OR('Data Export'!F2129="小型MPV",'Data Export'!F2129="客车"),"MPV",IF('Data Export'!F2129="运动型多功能车","SUV","其他"))))</f>
        <v/>
      </c>
      <c r="K2129" s="62"/>
      <c r="L2129" s="62"/>
      <c r="M2129" s="62"/>
      <c r="N2129" s="62"/>
      <c r="O2129" s="62"/>
      <c r="P2129" s="62"/>
      <c r="Q2129" s="62"/>
    </row>
    <row r="2130" spans="1:17">
      <c r="A2130" s="62"/>
      <c r="B2130" s="62"/>
      <c r="C2130" s="62"/>
      <c r="D2130" s="62"/>
      <c r="E2130" s="62"/>
      <c r="F2130" s="62"/>
      <c r="G2130" s="62"/>
      <c r="H2130" s="62" t="str">
        <f>IF(AND('Data Export'!A2130=前十整体车型排名!$B$2,'Data Export'!B2130=前十整体车型排名!$B$3,'Data Export'!D2130&lt;&gt;""),UPPER('Data Export'!C2130)&amp;"♦"&amp;'Data Export'!D2130,"")</f>
        <v/>
      </c>
      <c r="I2130" s="63" t="str">
        <f>IF(H2130="","",IFERROR(INDEX('Data Export'!G2130:CZ2130,1,MATCH(前十整体车型排名!$B$4,'Data Export'!$G$1:$CZ$1,0)),0))</f>
        <v/>
      </c>
      <c r="J2130" s="62" t="str">
        <f>IF(H2130="","",IF(OR('Data Export'!F2130="三厢轿车",'Data Export'!F2130="掀背轿车",'Data Export'!F2130="旅行车",'Data Export'!F2130="微型车",'Data Export'!F2130="硬顶跑车",'Data Export'!F2130="敞蓬车",'Data Export'!F2130="Targa"),"轿车",IF(OR('Data Export'!F2130="小型MPV",'Data Export'!F2130="客车"),"MPV",IF('Data Export'!F2130="运动型多功能车","SUV","其他"))))</f>
        <v/>
      </c>
      <c r="K2130" s="62"/>
      <c r="L2130" s="62"/>
      <c r="M2130" s="62"/>
      <c r="N2130" s="62"/>
      <c r="O2130" s="62"/>
      <c r="P2130" s="62"/>
      <c r="Q2130" s="62"/>
    </row>
    <row r="2131" spans="1:17">
      <c r="A2131" s="62"/>
      <c r="B2131" s="62"/>
      <c r="C2131" s="62"/>
      <c r="D2131" s="62"/>
      <c r="E2131" s="62"/>
      <c r="F2131" s="62"/>
      <c r="G2131" s="62"/>
      <c r="H2131" s="62" t="str">
        <f>IF(AND('Data Export'!A2131=前十整体车型排名!$B$2,'Data Export'!B2131=前十整体车型排名!$B$3,'Data Export'!D2131&lt;&gt;""),UPPER('Data Export'!C2131)&amp;"♦"&amp;'Data Export'!D2131,"")</f>
        <v/>
      </c>
      <c r="I2131" s="63" t="str">
        <f>IF(H2131="","",IFERROR(INDEX('Data Export'!G2131:CZ2131,1,MATCH(前十整体车型排名!$B$4,'Data Export'!$G$1:$CZ$1,0)),0))</f>
        <v/>
      </c>
      <c r="J2131" s="62" t="str">
        <f>IF(H2131="","",IF(OR('Data Export'!F2131="三厢轿车",'Data Export'!F2131="掀背轿车",'Data Export'!F2131="旅行车",'Data Export'!F2131="微型车",'Data Export'!F2131="硬顶跑车",'Data Export'!F2131="敞蓬车",'Data Export'!F2131="Targa"),"轿车",IF(OR('Data Export'!F2131="小型MPV",'Data Export'!F2131="客车"),"MPV",IF('Data Export'!F2131="运动型多功能车","SUV","其他"))))</f>
        <v/>
      </c>
      <c r="K2131" s="62"/>
      <c r="L2131" s="62"/>
      <c r="M2131" s="62"/>
      <c r="N2131" s="62"/>
      <c r="O2131" s="62"/>
      <c r="P2131" s="62"/>
      <c r="Q2131" s="62"/>
    </row>
    <row r="2132" spans="1:17">
      <c r="A2132" s="62"/>
      <c r="B2132" s="62"/>
      <c r="C2132" s="62"/>
      <c r="D2132" s="62"/>
      <c r="E2132" s="62"/>
      <c r="F2132" s="62"/>
      <c r="G2132" s="62"/>
      <c r="H2132" s="62" t="str">
        <f>IF(AND('Data Export'!A2132=前十整体车型排名!$B$2,'Data Export'!B2132=前十整体车型排名!$B$3,'Data Export'!D2132&lt;&gt;""),UPPER('Data Export'!C2132)&amp;"♦"&amp;'Data Export'!D2132,"")</f>
        <v/>
      </c>
      <c r="I2132" s="63" t="str">
        <f>IF(H2132="","",IFERROR(INDEX('Data Export'!G2132:CZ2132,1,MATCH(前十整体车型排名!$B$4,'Data Export'!$G$1:$CZ$1,0)),0))</f>
        <v/>
      </c>
      <c r="J2132" s="62" t="str">
        <f>IF(H2132="","",IF(OR('Data Export'!F2132="三厢轿车",'Data Export'!F2132="掀背轿车",'Data Export'!F2132="旅行车",'Data Export'!F2132="微型车",'Data Export'!F2132="硬顶跑车",'Data Export'!F2132="敞蓬车",'Data Export'!F2132="Targa"),"轿车",IF(OR('Data Export'!F2132="小型MPV",'Data Export'!F2132="客车"),"MPV",IF('Data Export'!F2132="运动型多功能车","SUV","其他"))))</f>
        <v/>
      </c>
      <c r="K2132" s="62"/>
      <c r="L2132" s="62"/>
      <c r="M2132" s="62"/>
      <c r="N2132" s="62"/>
      <c r="O2132" s="62"/>
      <c r="P2132" s="62"/>
      <c r="Q2132" s="62"/>
    </row>
    <row r="2133" spans="1:17">
      <c r="A2133" s="62"/>
      <c r="B2133" s="62"/>
      <c r="C2133" s="62"/>
      <c r="D2133" s="62"/>
      <c r="E2133" s="62"/>
      <c r="F2133" s="62"/>
      <c r="G2133" s="62"/>
      <c r="H2133" s="62" t="str">
        <f>IF(AND('Data Export'!A2133=前十整体车型排名!$B$2,'Data Export'!B2133=前十整体车型排名!$B$3,'Data Export'!D2133&lt;&gt;""),UPPER('Data Export'!C2133)&amp;"♦"&amp;'Data Export'!D2133,"")</f>
        <v/>
      </c>
      <c r="I2133" s="63" t="str">
        <f>IF(H2133="","",IFERROR(INDEX('Data Export'!G2133:CZ2133,1,MATCH(前十整体车型排名!$B$4,'Data Export'!$G$1:$CZ$1,0)),0))</f>
        <v/>
      </c>
      <c r="J2133" s="62" t="str">
        <f>IF(H2133="","",IF(OR('Data Export'!F2133="三厢轿车",'Data Export'!F2133="掀背轿车",'Data Export'!F2133="旅行车",'Data Export'!F2133="微型车",'Data Export'!F2133="硬顶跑车",'Data Export'!F2133="敞蓬车",'Data Export'!F2133="Targa"),"轿车",IF(OR('Data Export'!F2133="小型MPV",'Data Export'!F2133="客车"),"MPV",IF('Data Export'!F2133="运动型多功能车","SUV","其他"))))</f>
        <v/>
      </c>
      <c r="K2133" s="62"/>
      <c r="L2133" s="62"/>
      <c r="M2133" s="62"/>
      <c r="N2133" s="62"/>
      <c r="O2133" s="62"/>
      <c r="P2133" s="62"/>
      <c r="Q2133" s="62"/>
    </row>
    <row r="2134" spans="1:17">
      <c r="A2134" s="62"/>
      <c r="B2134" s="62"/>
      <c r="C2134" s="62"/>
      <c r="D2134" s="62"/>
      <c r="E2134" s="62"/>
      <c r="F2134" s="62"/>
      <c r="G2134" s="62"/>
      <c r="H2134" s="62" t="str">
        <f>IF(AND('Data Export'!A2134=前十整体车型排名!$B$2,'Data Export'!B2134=前十整体车型排名!$B$3,'Data Export'!D2134&lt;&gt;""),UPPER('Data Export'!C2134)&amp;"♦"&amp;'Data Export'!D2134,"")</f>
        <v/>
      </c>
      <c r="I2134" s="63" t="str">
        <f>IF(H2134="","",IFERROR(INDEX('Data Export'!G2134:CZ2134,1,MATCH(前十整体车型排名!$B$4,'Data Export'!$G$1:$CZ$1,0)),0))</f>
        <v/>
      </c>
      <c r="J2134" s="62" t="str">
        <f>IF(H2134="","",IF(OR('Data Export'!F2134="三厢轿车",'Data Export'!F2134="掀背轿车",'Data Export'!F2134="旅行车",'Data Export'!F2134="微型车",'Data Export'!F2134="硬顶跑车",'Data Export'!F2134="敞蓬车",'Data Export'!F2134="Targa"),"轿车",IF(OR('Data Export'!F2134="小型MPV",'Data Export'!F2134="客车"),"MPV",IF('Data Export'!F2134="运动型多功能车","SUV","其他"))))</f>
        <v/>
      </c>
      <c r="K2134" s="62"/>
      <c r="L2134" s="62"/>
      <c r="M2134" s="62"/>
      <c r="N2134" s="62"/>
      <c r="O2134" s="62"/>
      <c r="P2134" s="62"/>
      <c r="Q2134" s="62"/>
    </row>
    <row r="2135" spans="1:17">
      <c r="A2135" s="62"/>
      <c r="B2135" s="62"/>
      <c r="C2135" s="62"/>
      <c r="D2135" s="62"/>
      <c r="E2135" s="62"/>
      <c r="F2135" s="62"/>
      <c r="G2135" s="62"/>
      <c r="H2135" s="62" t="str">
        <f>IF(AND('Data Export'!A2135=前十整体车型排名!$B$2,'Data Export'!B2135=前十整体车型排名!$B$3,'Data Export'!D2135&lt;&gt;""),UPPER('Data Export'!C2135)&amp;"♦"&amp;'Data Export'!D2135,"")</f>
        <v/>
      </c>
      <c r="I2135" s="63" t="str">
        <f>IF(H2135="","",IFERROR(INDEX('Data Export'!G2135:CZ2135,1,MATCH(前十整体车型排名!$B$4,'Data Export'!$G$1:$CZ$1,0)),0))</f>
        <v/>
      </c>
      <c r="J2135" s="62" t="str">
        <f>IF(H2135="","",IF(OR('Data Export'!F2135="三厢轿车",'Data Export'!F2135="掀背轿车",'Data Export'!F2135="旅行车",'Data Export'!F2135="微型车",'Data Export'!F2135="硬顶跑车",'Data Export'!F2135="敞蓬车",'Data Export'!F2135="Targa"),"轿车",IF(OR('Data Export'!F2135="小型MPV",'Data Export'!F2135="客车"),"MPV",IF('Data Export'!F2135="运动型多功能车","SUV","其他"))))</f>
        <v/>
      </c>
      <c r="K2135" s="62"/>
      <c r="L2135" s="62"/>
      <c r="M2135" s="62"/>
      <c r="N2135" s="62"/>
      <c r="O2135" s="62"/>
      <c r="P2135" s="62"/>
      <c r="Q2135" s="62"/>
    </row>
    <row r="2136" spans="1:17">
      <c r="A2136" s="62"/>
      <c r="B2136" s="62"/>
      <c r="C2136" s="62"/>
      <c r="D2136" s="62"/>
      <c r="E2136" s="62"/>
      <c r="F2136" s="62"/>
      <c r="G2136" s="62"/>
      <c r="H2136" s="62" t="str">
        <f>IF(AND('Data Export'!A2136=前十整体车型排名!$B$2,'Data Export'!B2136=前十整体车型排名!$B$3,'Data Export'!D2136&lt;&gt;""),UPPER('Data Export'!C2136)&amp;"♦"&amp;'Data Export'!D2136,"")</f>
        <v/>
      </c>
      <c r="I2136" s="63" t="str">
        <f>IF(H2136="","",IFERROR(INDEX('Data Export'!G2136:CZ2136,1,MATCH(前十整体车型排名!$B$4,'Data Export'!$G$1:$CZ$1,0)),0))</f>
        <v/>
      </c>
      <c r="J2136" s="62" t="str">
        <f>IF(H2136="","",IF(OR('Data Export'!F2136="三厢轿车",'Data Export'!F2136="掀背轿车",'Data Export'!F2136="旅行车",'Data Export'!F2136="微型车",'Data Export'!F2136="硬顶跑车",'Data Export'!F2136="敞蓬车",'Data Export'!F2136="Targa"),"轿车",IF(OR('Data Export'!F2136="小型MPV",'Data Export'!F2136="客车"),"MPV",IF('Data Export'!F2136="运动型多功能车","SUV","其他"))))</f>
        <v/>
      </c>
      <c r="K2136" s="62"/>
      <c r="L2136" s="62"/>
      <c r="M2136" s="62"/>
      <c r="N2136" s="62"/>
      <c r="O2136" s="62"/>
      <c r="P2136" s="62"/>
      <c r="Q2136" s="62"/>
    </row>
    <row r="2137" spans="1:17">
      <c r="A2137" s="62"/>
      <c r="B2137" s="62"/>
      <c r="C2137" s="62"/>
      <c r="D2137" s="62"/>
      <c r="E2137" s="62"/>
      <c r="F2137" s="62"/>
      <c r="G2137" s="62"/>
      <c r="H2137" s="62" t="str">
        <f>IF(AND('Data Export'!A2137=前十整体车型排名!$B$2,'Data Export'!B2137=前十整体车型排名!$B$3,'Data Export'!D2137&lt;&gt;""),UPPER('Data Export'!C2137)&amp;"♦"&amp;'Data Export'!D2137,"")</f>
        <v/>
      </c>
      <c r="I2137" s="63" t="str">
        <f>IF(H2137="","",IFERROR(INDEX('Data Export'!G2137:CZ2137,1,MATCH(前十整体车型排名!$B$4,'Data Export'!$G$1:$CZ$1,0)),0))</f>
        <v/>
      </c>
      <c r="J2137" s="62" t="str">
        <f>IF(H2137="","",IF(OR('Data Export'!F2137="三厢轿车",'Data Export'!F2137="掀背轿车",'Data Export'!F2137="旅行车",'Data Export'!F2137="微型车",'Data Export'!F2137="硬顶跑车",'Data Export'!F2137="敞蓬车",'Data Export'!F2137="Targa"),"轿车",IF(OR('Data Export'!F2137="小型MPV",'Data Export'!F2137="客车"),"MPV",IF('Data Export'!F2137="运动型多功能车","SUV","其他"))))</f>
        <v/>
      </c>
      <c r="K2137" s="62"/>
      <c r="L2137" s="62"/>
      <c r="M2137" s="62"/>
      <c r="N2137" s="62"/>
      <c r="O2137" s="62"/>
      <c r="P2137" s="62"/>
      <c r="Q2137" s="62"/>
    </row>
    <row r="2138" spans="1:17">
      <c r="A2138" s="62"/>
      <c r="B2138" s="62"/>
      <c r="C2138" s="62"/>
      <c r="D2138" s="62"/>
      <c r="E2138" s="62"/>
      <c r="F2138" s="62"/>
      <c r="G2138" s="62"/>
      <c r="H2138" s="62" t="str">
        <f>IF(AND('Data Export'!A2138=前十整体车型排名!$B$2,'Data Export'!B2138=前十整体车型排名!$B$3,'Data Export'!D2138&lt;&gt;""),UPPER('Data Export'!C2138)&amp;"♦"&amp;'Data Export'!D2138,"")</f>
        <v/>
      </c>
      <c r="I2138" s="63" t="str">
        <f>IF(H2138="","",IFERROR(INDEX('Data Export'!G2138:CZ2138,1,MATCH(前十整体车型排名!$B$4,'Data Export'!$G$1:$CZ$1,0)),0))</f>
        <v/>
      </c>
      <c r="J2138" s="62" t="str">
        <f>IF(H2138="","",IF(OR('Data Export'!F2138="三厢轿车",'Data Export'!F2138="掀背轿车",'Data Export'!F2138="旅行车",'Data Export'!F2138="微型车",'Data Export'!F2138="硬顶跑车",'Data Export'!F2138="敞蓬车",'Data Export'!F2138="Targa"),"轿车",IF(OR('Data Export'!F2138="小型MPV",'Data Export'!F2138="客车"),"MPV",IF('Data Export'!F2138="运动型多功能车","SUV","其他"))))</f>
        <v/>
      </c>
      <c r="K2138" s="62"/>
      <c r="L2138" s="62"/>
      <c r="M2138" s="62"/>
      <c r="N2138" s="62"/>
      <c r="O2138" s="62"/>
      <c r="P2138" s="62"/>
      <c r="Q2138" s="62"/>
    </row>
    <row r="2139" spans="1:17">
      <c r="A2139" s="62"/>
      <c r="B2139" s="62"/>
      <c r="C2139" s="62"/>
      <c r="D2139" s="62"/>
      <c r="E2139" s="62"/>
      <c r="F2139" s="62"/>
      <c r="G2139" s="62"/>
      <c r="H2139" s="62" t="str">
        <f>IF(AND('Data Export'!A2139=前十整体车型排名!$B$2,'Data Export'!B2139=前十整体车型排名!$B$3,'Data Export'!D2139&lt;&gt;""),UPPER('Data Export'!C2139)&amp;"♦"&amp;'Data Export'!D2139,"")</f>
        <v/>
      </c>
      <c r="I2139" s="63" t="str">
        <f>IF(H2139="","",IFERROR(INDEX('Data Export'!G2139:CZ2139,1,MATCH(前十整体车型排名!$B$4,'Data Export'!$G$1:$CZ$1,0)),0))</f>
        <v/>
      </c>
      <c r="J2139" s="62" t="str">
        <f>IF(H2139="","",IF(OR('Data Export'!F2139="三厢轿车",'Data Export'!F2139="掀背轿车",'Data Export'!F2139="旅行车",'Data Export'!F2139="微型车",'Data Export'!F2139="硬顶跑车",'Data Export'!F2139="敞蓬车",'Data Export'!F2139="Targa"),"轿车",IF(OR('Data Export'!F2139="小型MPV",'Data Export'!F2139="客车"),"MPV",IF('Data Export'!F2139="运动型多功能车","SUV","其他"))))</f>
        <v/>
      </c>
      <c r="K2139" s="62"/>
      <c r="L2139" s="62"/>
      <c r="M2139" s="62"/>
      <c r="N2139" s="62"/>
      <c r="O2139" s="62"/>
      <c r="P2139" s="62"/>
      <c r="Q2139" s="62"/>
    </row>
    <row r="2140" spans="1:17">
      <c r="A2140" s="62"/>
      <c r="B2140" s="62"/>
      <c r="C2140" s="62"/>
      <c r="D2140" s="62"/>
      <c r="E2140" s="62"/>
      <c r="F2140" s="62"/>
      <c r="G2140" s="62"/>
      <c r="H2140" s="62" t="str">
        <f>IF(AND('Data Export'!A2140=前十整体车型排名!$B$2,'Data Export'!B2140=前十整体车型排名!$B$3,'Data Export'!D2140&lt;&gt;""),UPPER('Data Export'!C2140)&amp;"♦"&amp;'Data Export'!D2140,"")</f>
        <v/>
      </c>
      <c r="I2140" s="63" t="str">
        <f>IF(H2140="","",IFERROR(INDEX('Data Export'!G2140:CZ2140,1,MATCH(前十整体车型排名!$B$4,'Data Export'!$G$1:$CZ$1,0)),0))</f>
        <v/>
      </c>
      <c r="J2140" s="62" t="str">
        <f>IF(H2140="","",IF(OR('Data Export'!F2140="三厢轿车",'Data Export'!F2140="掀背轿车",'Data Export'!F2140="旅行车",'Data Export'!F2140="微型车",'Data Export'!F2140="硬顶跑车",'Data Export'!F2140="敞蓬车",'Data Export'!F2140="Targa"),"轿车",IF(OR('Data Export'!F2140="小型MPV",'Data Export'!F2140="客车"),"MPV",IF('Data Export'!F2140="运动型多功能车","SUV","其他"))))</f>
        <v/>
      </c>
      <c r="K2140" s="62"/>
      <c r="L2140" s="62"/>
      <c r="M2140" s="62"/>
      <c r="N2140" s="62"/>
      <c r="O2140" s="62"/>
      <c r="P2140" s="62"/>
      <c r="Q2140" s="62"/>
    </row>
    <row r="2141" spans="1:17">
      <c r="A2141" s="62"/>
      <c r="B2141" s="62"/>
      <c r="C2141" s="62"/>
      <c r="D2141" s="62"/>
      <c r="E2141" s="62"/>
      <c r="F2141" s="62"/>
      <c r="G2141" s="62"/>
      <c r="H2141" s="62" t="str">
        <f>IF(AND('Data Export'!A2141=前十整体车型排名!$B$2,'Data Export'!B2141=前十整体车型排名!$B$3,'Data Export'!D2141&lt;&gt;""),UPPER('Data Export'!C2141)&amp;"♦"&amp;'Data Export'!D2141,"")</f>
        <v/>
      </c>
      <c r="I2141" s="63" t="str">
        <f>IF(H2141="","",IFERROR(INDEX('Data Export'!G2141:CZ2141,1,MATCH(前十整体车型排名!$B$4,'Data Export'!$G$1:$CZ$1,0)),0))</f>
        <v/>
      </c>
      <c r="J2141" s="62" t="str">
        <f>IF(H2141="","",IF(OR('Data Export'!F2141="三厢轿车",'Data Export'!F2141="掀背轿车",'Data Export'!F2141="旅行车",'Data Export'!F2141="微型车",'Data Export'!F2141="硬顶跑车",'Data Export'!F2141="敞蓬车",'Data Export'!F2141="Targa"),"轿车",IF(OR('Data Export'!F2141="小型MPV",'Data Export'!F2141="客车"),"MPV",IF('Data Export'!F2141="运动型多功能车","SUV","其他"))))</f>
        <v/>
      </c>
      <c r="K2141" s="62"/>
      <c r="L2141" s="62"/>
      <c r="M2141" s="62"/>
      <c r="N2141" s="62"/>
      <c r="O2141" s="62"/>
      <c r="P2141" s="62"/>
      <c r="Q2141" s="62"/>
    </row>
    <row r="2142" spans="1:17">
      <c r="A2142" s="62"/>
      <c r="B2142" s="62"/>
      <c r="C2142" s="62"/>
      <c r="D2142" s="62"/>
      <c r="E2142" s="62"/>
      <c r="F2142" s="62"/>
      <c r="G2142" s="62"/>
      <c r="H2142" s="62" t="str">
        <f>IF(AND('Data Export'!A2142=前十整体车型排名!$B$2,'Data Export'!B2142=前十整体车型排名!$B$3,'Data Export'!D2142&lt;&gt;""),UPPER('Data Export'!C2142)&amp;"♦"&amp;'Data Export'!D2142,"")</f>
        <v/>
      </c>
      <c r="I2142" s="63" t="str">
        <f>IF(H2142="","",IFERROR(INDEX('Data Export'!G2142:CZ2142,1,MATCH(前十整体车型排名!$B$4,'Data Export'!$G$1:$CZ$1,0)),0))</f>
        <v/>
      </c>
      <c r="J2142" s="62" t="str">
        <f>IF(H2142="","",IF(OR('Data Export'!F2142="三厢轿车",'Data Export'!F2142="掀背轿车",'Data Export'!F2142="旅行车",'Data Export'!F2142="微型车",'Data Export'!F2142="硬顶跑车",'Data Export'!F2142="敞蓬车",'Data Export'!F2142="Targa"),"轿车",IF(OR('Data Export'!F2142="小型MPV",'Data Export'!F2142="客车"),"MPV",IF('Data Export'!F2142="运动型多功能车","SUV","其他"))))</f>
        <v/>
      </c>
      <c r="K2142" s="62"/>
      <c r="L2142" s="62"/>
      <c r="M2142" s="62"/>
      <c r="N2142" s="62"/>
      <c r="O2142" s="62"/>
      <c r="P2142" s="62"/>
      <c r="Q2142" s="62"/>
    </row>
    <row r="2143" spans="1:17">
      <c r="A2143" s="62"/>
      <c r="B2143" s="62"/>
      <c r="C2143" s="62"/>
      <c r="D2143" s="62"/>
      <c r="E2143" s="62"/>
      <c r="F2143" s="62"/>
      <c r="G2143" s="62"/>
      <c r="H2143" s="62" t="str">
        <f>IF(AND('Data Export'!A2143=前十整体车型排名!$B$2,'Data Export'!B2143=前十整体车型排名!$B$3,'Data Export'!D2143&lt;&gt;""),UPPER('Data Export'!C2143)&amp;"♦"&amp;'Data Export'!D2143,"")</f>
        <v/>
      </c>
      <c r="I2143" s="63" t="str">
        <f>IF(H2143="","",IFERROR(INDEX('Data Export'!G2143:CZ2143,1,MATCH(前十整体车型排名!$B$4,'Data Export'!$G$1:$CZ$1,0)),0))</f>
        <v/>
      </c>
      <c r="J2143" s="62" t="str">
        <f>IF(H2143="","",IF(OR('Data Export'!F2143="三厢轿车",'Data Export'!F2143="掀背轿车",'Data Export'!F2143="旅行车",'Data Export'!F2143="微型车",'Data Export'!F2143="硬顶跑车",'Data Export'!F2143="敞蓬车",'Data Export'!F2143="Targa"),"轿车",IF(OR('Data Export'!F2143="小型MPV",'Data Export'!F2143="客车"),"MPV",IF('Data Export'!F2143="运动型多功能车","SUV","其他"))))</f>
        <v/>
      </c>
      <c r="K2143" s="62"/>
      <c r="L2143" s="62"/>
      <c r="M2143" s="62"/>
      <c r="N2143" s="62"/>
      <c r="O2143" s="62"/>
      <c r="P2143" s="62"/>
      <c r="Q2143" s="62"/>
    </row>
    <row r="2144" spans="1:17">
      <c r="A2144" s="62"/>
      <c r="B2144" s="62"/>
      <c r="C2144" s="62"/>
      <c r="D2144" s="62"/>
      <c r="E2144" s="62"/>
      <c r="F2144" s="62"/>
      <c r="G2144" s="62"/>
      <c r="H2144" s="62" t="str">
        <f>IF(AND('Data Export'!A2144=前十整体车型排名!$B$2,'Data Export'!B2144=前十整体车型排名!$B$3,'Data Export'!D2144&lt;&gt;""),UPPER('Data Export'!C2144)&amp;"♦"&amp;'Data Export'!D2144,"")</f>
        <v/>
      </c>
      <c r="I2144" s="63" t="str">
        <f>IF(H2144="","",IFERROR(INDEX('Data Export'!G2144:CZ2144,1,MATCH(前十整体车型排名!$B$4,'Data Export'!$G$1:$CZ$1,0)),0))</f>
        <v/>
      </c>
      <c r="J2144" s="62" t="str">
        <f>IF(H2144="","",IF(OR('Data Export'!F2144="三厢轿车",'Data Export'!F2144="掀背轿车",'Data Export'!F2144="旅行车",'Data Export'!F2144="微型车",'Data Export'!F2144="硬顶跑车",'Data Export'!F2144="敞蓬车",'Data Export'!F2144="Targa"),"轿车",IF(OR('Data Export'!F2144="小型MPV",'Data Export'!F2144="客车"),"MPV",IF('Data Export'!F2144="运动型多功能车","SUV","其他"))))</f>
        <v/>
      </c>
      <c r="K2144" s="62"/>
      <c r="L2144" s="62"/>
      <c r="M2144" s="62"/>
      <c r="N2144" s="62"/>
      <c r="O2144" s="62"/>
      <c r="P2144" s="62"/>
      <c r="Q2144" s="62"/>
    </row>
    <row r="2145" spans="1:17">
      <c r="A2145" s="62"/>
      <c r="B2145" s="62"/>
      <c r="C2145" s="62"/>
      <c r="D2145" s="62"/>
      <c r="E2145" s="62"/>
      <c r="F2145" s="62"/>
      <c r="G2145" s="62"/>
      <c r="H2145" s="62" t="str">
        <f>IF(AND('Data Export'!A2145=前十整体车型排名!$B$2,'Data Export'!B2145=前十整体车型排名!$B$3,'Data Export'!D2145&lt;&gt;""),UPPER('Data Export'!C2145)&amp;"♦"&amp;'Data Export'!D2145,"")</f>
        <v/>
      </c>
      <c r="I2145" s="63" t="str">
        <f>IF(H2145="","",IFERROR(INDEX('Data Export'!G2145:CZ2145,1,MATCH(前十整体车型排名!$B$4,'Data Export'!$G$1:$CZ$1,0)),0))</f>
        <v/>
      </c>
      <c r="J2145" s="62" t="str">
        <f>IF(H2145="","",IF(OR('Data Export'!F2145="三厢轿车",'Data Export'!F2145="掀背轿车",'Data Export'!F2145="旅行车",'Data Export'!F2145="微型车",'Data Export'!F2145="硬顶跑车",'Data Export'!F2145="敞蓬车",'Data Export'!F2145="Targa"),"轿车",IF(OR('Data Export'!F2145="小型MPV",'Data Export'!F2145="客车"),"MPV",IF('Data Export'!F2145="运动型多功能车","SUV","其他"))))</f>
        <v/>
      </c>
      <c r="K2145" s="62"/>
      <c r="L2145" s="62"/>
      <c r="M2145" s="62"/>
      <c r="N2145" s="62"/>
      <c r="O2145" s="62"/>
      <c r="P2145" s="62"/>
      <c r="Q2145" s="62"/>
    </row>
    <row r="2146" spans="1:17">
      <c r="A2146" s="62"/>
      <c r="B2146" s="62"/>
      <c r="C2146" s="62"/>
      <c r="D2146" s="62"/>
      <c r="E2146" s="62"/>
      <c r="F2146" s="62"/>
      <c r="G2146" s="62"/>
      <c r="H2146" s="62" t="str">
        <f>IF(AND('Data Export'!A2146=前十整体车型排名!$B$2,'Data Export'!B2146=前十整体车型排名!$B$3,'Data Export'!D2146&lt;&gt;""),UPPER('Data Export'!C2146)&amp;"♦"&amp;'Data Export'!D2146,"")</f>
        <v/>
      </c>
      <c r="I2146" s="63" t="str">
        <f>IF(H2146="","",IFERROR(INDEX('Data Export'!G2146:CZ2146,1,MATCH(前十整体车型排名!$B$4,'Data Export'!$G$1:$CZ$1,0)),0))</f>
        <v/>
      </c>
      <c r="J2146" s="62" t="str">
        <f>IF(H2146="","",IF(OR('Data Export'!F2146="三厢轿车",'Data Export'!F2146="掀背轿车",'Data Export'!F2146="旅行车",'Data Export'!F2146="微型车",'Data Export'!F2146="硬顶跑车",'Data Export'!F2146="敞蓬车",'Data Export'!F2146="Targa"),"轿车",IF(OR('Data Export'!F2146="小型MPV",'Data Export'!F2146="客车"),"MPV",IF('Data Export'!F2146="运动型多功能车","SUV","其他"))))</f>
        <v/>
      </c>
      <c r="K2146" s="62"/>
      <c r="L2146" s="62"/>
      <c r="M2146" s="62"/>
      <c r="N2146" s="62"/>
      <c r="O2146" s="62"/>
      <c r="P2146" s="62"/>
      <c r="Q2146" s="62"/>
    </row>
    <row r="2147" spans="1:17">
      <c r="A2147" s="62"/>
      <c r="B2147" s="62"/>
      <c r="C2147" s="62"/>
      <c r="D2147" s="62"/>
      <c r="E2147" s="62"/>
      <c r="F2147" s="62"/>
      <c r="G2147" s="62"/>
      <c r="H2147" s="62" t="str">
        <f>IF(AND('Data Export'!A2147=前十整体车型排名!$B$2,'Data Export'!B2147=前十整体车型排名!$B$3,'Data Export'!D2147&lt;&gt;""),UPPER('Data Export'!C2147)&amp;"♦"&amp;'Data Export'!D2147,"")</f>
        <v/>
      </c>
      <c r="I2147" s="63" t="str">
        <f>IF(H2147="","",IFERROR(INDEX('Data Export'!G2147:CZ2147,1,MATCH(前十整体车型排名!$B$4,'Data Export'!$G$1:$CZ$1,0)),0))</f>
        <v/>
      </c>
      <c r="J2147" s="62" t="str">
        <f>IF(H2147="","",IF(OR('Data Export'!F2147="三厢轿车",'Data Export'!F2147="掀背轿车",'Data Export'!F2147="旅行车",'Data Export'!F2147="微型车",'Data Export'!F2147="硬顶跑车",'Data Export'!F2147="敞蓬车",'Data Export'!F2147="Targa"),"轿车",IF(OR('Data Export'!F2147="小型MPV",'Data Export'!F2147="客车"),"MPV",IF('Data Export'!F2147="运动型多功能车","SUV","其他"))))</f>
        <v/>
      </c>
      <c r="K2147" s="62"/>
      <c r="L2147" s="62"/>
      <c r="M2147" s="62"/>
      <c r="N2147" s="62"/>
      <c r="O2147" s="62"/>
      <c r="P2147" s="62"/>
      <c r="Q2147" s="62"/>
    </row>
    <row r="2148" spans="1:17">
      <c r="A2148" s="62"/>
      <c r="B2148" s="62"/>
      <c r="C2148" s="62"/>
      <c r="D2148" s="62"/>
      <c r="E2148" s="62"/>
      <c r="F2148" s="62"/>
      <c r="G2148" s="62"/>
      <c r="H2148" s="62" t="str">
        <f>IF(AND('Data Export'!A2148=前十整体车型排名!$B$2,'Data Export'!B2148=前十整体车型排名!$B$3,'Data Export'!D2148&lt;&gt;""),UPPER('Data Export'!C2148)&amp;"♦"&amp;'Data Export'!D2148,"")</f>
        <v/>
      </c>
      <c r="I2148" s="63" t="str">
        <f>IF(H2148="","",IFERROR(INDEX('Data Export'!G2148:CZ2148,1,MATCH(前十整体车型排名!$B$4,'Data Export'!$G$1:$CZ$1,0)),0))</f>
        <v/>
      </c>
      <c r="J2148" s="62" t="str">
        <f>IF(H2148="","",IF(OR('Data Export'!F2148="三厢轿车",'Data Export'!F2148="掀背轿车",'Data Export'!F2148="旅行车",'Data Export'!F2148="微型车",'Data Export'!F2148="硬顶跑车",'Data Export'!F2148="敞蓬车",'Data Export'!F2148="Targa"),"轿车",IF(OR('Data Export'!F2148="小型MPV",'Data Export'!F2148="客车"),"MPV",IF('Data Export'!F2148="运动型多功能车","SUV","其他"))))</f>
        <v/>
      </c>
      <c r="K2148" s="62"/>
      <c r="L2148" s="62"/>
      <c r="M2148" s="62"/>
      <c r="N2148" s="62"/>
      <c r="O2148" s="62"/>
      <c r="P2148" s="62"/>
      <c r="Q2148" s="62"/>
    </row>
    <row r="2149" spans="1:17">
      <c r="A2149" s="62"/>
      <c r="B2149" s="62"/>
      <c r="C2149" s="62"/>
      <c r="D2149" s="62"/>
      <c r="E2149" s="62"/>
      <c r="F2149" s="62"/>
      <c r="G2149" s="62"/>
      <c r="H2149" s="62" t="str">
        <f>IF(AND('Data Export'!A2149=前十整体车型排名!$B$2,'Data Export'!B2149=前十整体车型排名!$B$3,'Data Export'!D2149&lt;&gt;""),UPPER('Data Export'!C2149)&amp;"♦"&amp;'Data Export'!D2149,"")</f>
        <v/>
      </c>
      <c r="I2149" s="63" t="str">
        <f>IF(H2149="","",IFERROR(INDEX('Data Export'!G2149:CZ2149,1,MATCH(前十整体车型排名!$B$4,'Data Export'!$G$1:$CZ$1,0)),0))</f>
        <v/>
      </c>
      <c r="J2149" s="62" t="str">
        <f>IF(H2149="","",IF(OR('Data Export'!F2149="三厢轿车",'Data Export'!F2149="掀背轿车",'Data Export'!F2149="旅行车",'Data Export'!F2149="微型车",'Data Export'!F2149="硬顶跑车",'Data Export'!F2149="敞蓬车",'Data Export'!F2149="Targa"),"轿车",IF(OR('Data Export'!F2149="小型MPV",'Data Export'!F2149="客车"),"MPV",IF('Data Export'!F2149="运动型多功能车","SUV","其他"))))</f>
        <v/>
      </c>
      <c r="K2149" s="62"/>
      <c r="L2149" s="62"/>
      <c r="M2149" s="62"/>
      <c r="N2149" s="62"/>
      <c r="O2149" s="62"/>
      <c r="P2149" s="62"/>
      <c r="Q2149" s="62"/>
    </row>
    <row r="2150" spans="1:17">
      <c r="A2150" s="62"/>
      <c r="B2150" s="62"/>
      <c r="C2150" s="62"/>
      <c r="D2150" s="62"/>
      <c r="E2150" s="62"/>
      <c r="F2150" s="62"/>
      <c r="G2150" s="62"/>
      <c r="H2150" s="62" t="str">
        <f>IF(AND('Data Export'!A2150=前十整体车型排名!$B$2,'Data Export'!B2150=前十整体车型排名!$B$3,'Data Export'!D2150&lt;&gt;""),UPPER('Data Export'!C2150)&amp;"♦"&amp;'Data Export'!D2150,"")</f>
        <v/>
      </c>
      <c r="I2150" s="63" t="str">
        <f>IF(H2150="","",IFERROR(INDEX('Data Export'!G2150:CZ2150,1,MATCH(前十整体车型排名!$B$4,'Data Export'!$G$1:$CZ$1,0)),0))</f>
        <v/>
      </c>
      <c r="J2150" s="62" t="str">
        <f>IF(H2150="","",IF(OR('Data Export'!F2150="三厢轿车",'Data Export'!F2150="掀背轿车",'Data Export'!F2150="旅行车",'Data Export'!F2150="微型车",'Data Export'!F2150="硬顶跑车",'Data Export'!F2150="敞蓬车",'Data Export'!F2150="Targa"),"轿车",IF(OR('Data Export'!F2150="小型MPV",'Data Export'!F2150="客车"),"MPV",IF('Data Export'!F2150="运动型多功能车","SUV","其他"))))</f>
        <v/>
      </c>
      <c r="K2150" s="62"/>
      <c r="L2150" s="62"/>
      <c r="M2150" s="62"/>
      <c r="N2150" s="62"/>
      <c r="O2150" s="62"/>
      <c r="P2150" s="62"/>
      <c r="Q2150" s="62"/>
    </row>
    <row r="2151" spans="1:17">
      <c r="A2151" s="62"/>
      <c r="B2151" s="62"/>
      <c r="C2151" s="62"/>
      <c r="D2151" s="62"/>
      <c r="E2151" s="62"/>
      <c r="F2151" s="62"/>
      <c r="G2151" s="62"/>
      <c r="H2151" s="62" t="str">
        <f>IF(AND('Data Export'!A2151=前十整体车型排名!$B$2,'Data Export'!B2151=前十整体车型排名!$B$3,'Data Export'!D2151&lt;&gt;""),UPPER('Data Export'!C2151)&amp;"♦"&amp;'Data Export'!D2151,"")</f>
        <v/>
      </c>
      <c r="I2151" s="63" t="str">
        <f>IF(H2151="","",IFERROR(INDEX('Data Export'!G2151:CZ2151,1,MATCH(前十整体车型排名!$B$4,'Data Export'!$G$1:$CZ$1,0)),0))</f>
        <v/>
      </c>
      <c r="J2151" s="62" t="str">
        <f>IF(H2151="","",IF(OR('Data Export'!F2151="三厢轿车",'Data Export'!F2151="掀背轿车",'Data Export'!F2151="旅行车",'Data Export'!F2151="微型车",'Data Export'!F2151="硬顶跑车",'Data Export'!F2151="敞蓬车",'Data Export'!F2151="Targa"),"轿车",IF(OR('Data Export'!F2151="小型MPV",'Data Export'!F2151="客车"),"MPV",IF('Data Export'!F2151="运动型多功能车","SUV","其他"))))</f>
        <v/>
      </c>
      <c r="K2151" s="62"/>
      <c r="L2151" s="62"/>
      <c r="M2151" s="62"/>
      <c r="N2151" s="62"/>
      <c r="O2151" s="62"/>
      <c r="P2151" s="62"/>
      <c r="Q2151" s="62"/>
    </row>
    <row r="2152" spans="1:17">
      <c r="A2152" s="62"/>
      <c r="B2152" s="62"/>
      <c r="C2152" s="62"/>
      <c r="D2152" s="62"/>
      <c r="E2152" s="62"/>
      <c r="F2152" s="62"/>
      <c r="G2152" s="62"/>
      <c r="H2152" s="62" t="str">
        <f>IF(AND('Data Export'!A2152=前十整体车型排名!$B$2,'Data Export'!B2152=前十整体车型排名!$B$3,'Data Export'!D2152&lt;&gt;""),UPPER('Data Export'!C2152)&amp;"♦"&amp;'Data Export'!D2152,"")</f>
        <v/>
      </c>
      <c r="I2152" s="63" t="str">
        <f>IF(H2152="","",IFERROR(INDEX('Data Export'!G2152:CZ2152,1,MATCH(前十整体车型排名!$B$4,'Data Export'!$G$1:$CZ$1,0)),0))</f>
        <v/>
      </c>
      <c r="J2152" s="62" t="str">
        <f>IF(H2152="","",IF(OR('Data Export'!F2152="三厢轿车",'Data Export'!F2152="掀背轿车",'Data Export'!F2152="旅行车",'Data Export'!F2152="微型车",'Data Export'!F2152="硬顶跑车",'Data Export'!F2152="敞蓬车",'Data Export'!F2152="Targa"),"轿车",IF(OR('Data Export'!F2152="小型MPV",'Data Export'!F2152="客车"),"MPV",IF('Data Export'!F2152="运动型多功能车","SUV","其他"))))</f>
        <v/>
      </c>
      <c r="K2152" s="62"/>
      <c r="L2152" s="62"/>
      <c r="M2152" s="62"/>
      <c r="N2152" s="62"/>
      <c r="O2152" s="62"/>
      <c r="P2152" s="62"/>
      <c r="Q2152" s="62"/>
    </row>
    <row r="2153" spans="1:17">
      <c r="A2153" s="62"/>
      <c r="B2153" s="62"/>
      <c r="C2153" s="62"/>
      <c r="D2153" s="62"/>
      <c r="E2153" s="62"/>
      <c r="F2153" s="62"/>
      <c r="G2153" s="62"/>
      <c r="H2153" s="62" t="str">
        <f>IF(AND('Data Export'!A2153=前十整体车型排名!$B$2,'Data Export'!B2153=前十整体车型排名!$B$3,'Data Export'!D2153&lt;&gt;""),UPPER('Data Export'!C2153)&amp;"♦"&amp;'Data Export'!D2153,"")</f>
        <v/>
      </c>
      <c r="I2153" s="63" t="str">
        <f>IF(H2153="","",IFERROR(INDEX('Data Export'!G2153:CZ2153,1,MATCH(前十整体车型排名!$B$4,'Data Export'!$G$1:$CZ$1,0)),0))</f>
        <v/>
      </c>
      <c r="J2153" s="62" t="str">
        <f>IF(H2153="","",IF(OR('Data Export'!F2153="三厢轿车",'Data Export'!F2153="掀背轿车",'Data Export'!F2153="旅行车",'Data Export'!F2153="微型车",'Data Export'!F2153="硬顶跑车",'Data Export'!F2153="敞蓬车",'Data Export'!F2153="Targa"),"轿车",IF(OR('Data Export'!F2153="小型MPV",'Data Export'!F2153="客车"),"MPV",IF('Data Export'!F2153="运动型多功能车","SUV","其他"))))</f>
        <v/>
      </c>
      <c r="K2153" s="62"/>
      <c r="L2153" s="62"/>
      <c r="M2153" s="62"/>
      <c r="N2153" s="62"/>
      <c r="O2153" s="62"/>
      <c r="P2153" s="62"/>
      <c r="Q2153" s="62"/>
    </row>
    <row r="2154" spans="1:17">
      <c r="A2154" s="62"/>
      <c r="B2154" s="62"/>
      <c r="C2154" s="62"/>
      <c r="D2154" s="62"/>
      <c r="E2154" s="62"/>
      <c r="F2154" s="62"/>
      <c r="G2154" s="62"/>
      <c r="H2154" s="62" t="str">
        <f>IF(AND('Data Export'!A2154=前十整体车型排名!$B$2,'Data Export'!B2154=前十整体车型排名!$B$3,'Data Export'!D2154&lt;&gt;""),UPPER('Data Export'!C2154)&amp;"♦"&amp;'Data Export'!D2154,"")</f>
        <v/>
      </c>
      <c r="I2154" s="63" t="str">
        <f>IF(H2154="","",IFERROR(INDEX('Data Export'!G2154:CZ2154,1,MATCH(前十整体车型排名!$B$4,'Data Export'!$G$1:$CZ$1,0)),0))</f>
        <v/>
      </c>
      <c r="J2154" s="62" t="str">
        <f>IF(H2154="","",IF(OR('Data Export'!F2154="三厢轿车",'Data Export'!F2154="掀背轿车",'Data Export'!F2154="旅行车",'Data Export'!F2154="微型车",'Data Export'!F2154="硬顶跑车",'Data Export'!F2154="敞蓬车",'Data Export'!F2154="Targa"),"轿车",IF(OR('Data Export'!F2154="小型MPV",'Data Export'!F2154="客车"),"MPV",IF('Data Export'!F2154="运动型多功能车","SUV","其他"))))</f>
        <v/>
      </c>
      <c r="K2154" s="62"/>
      <c r="L2154" s="62"/>
      <c r="M2154" s="62"/>
      <c r="N2154" s="62"/>
      <c r="O2154" s="62"/>
      <c r="P2154" s="62"/>
      <c r="Q2154" s="62"/>
    </row>
    <row r="2155" spans="1:17">
      <c r="A2155" s="62"/>
      <c r="B2155" s="62"/>
      <c r="C2155" s="62"/>
      <c r="D2155" s="62"/>
      <c r="E2155" s="62"/>
      <c r="F2155" s="62"/>
      <c r="G2155" s="62"/>
      <c r="H2155" s="62" t="str">
        <f>IF(AND('Data Export'!A2155=前十整体车型排名!$B$2,'Data Export'!B2155=前十整体车型排名!$B$3,'Data Export'!D2155&lt;&gt;""),UPPER('Data Export'!C2155)&amp;"♦"&amp;'Data Export'!D2155,"")</f>
        <v/>
      </c>
      <c r="I2155" s="63" t="str">
        <f>IF(H2155="","",IFERROR(INDEX('Data Export'!G2155:CZ2155,1,MATCH(前十整体车型排名!$B$4,'Data Export'!$G$1:$CZ$1,0)),0))</f>
        <v/>
      </c>
      <c r="J2155" s="62" t="str">
        <f>IF(H2155="","",IF(OR('Data Export'!F2155="三厢轿车",'Data Export'!F2155="掀背轿车",'Data Export'!F2155="旅行车",'Data Export'!F2155="微型车",'Data Export'!F2155="硬顶跑车",'Data Export'!F2155="敞蓬车",'Data Export'!F2155="Targa"),"轿车",IF(OR('Data Export'!F2155="小型MPV",'Data Export'!F2155="客车"),"MPV",IF('Data Export'!F2155="运动型多功能车","SUV","其他"))))</f>
        <v/>
      </c>
      <c r="K2155" s="62"/>
      <c r="L2155" s="62"/>
      <c r="M2155" s="62"/>
      <c r="N2155" s="62"/>
      <c r="O2155" s="62"/>
      <c r="P2155" s="62"/>
      <c r="Q2155" s="62"/>
    </row>
    <row r="2156" spans="1:17">
      <c r="A2156" s="62"/>
      <c r="B2156" s="62"/>
      <c r="C2156" s="62"/>
      <c r="D2156" s="62"/>
      <c r="E2156" s="62"/>
      <c r="F2156" s="62"/>
      <c r="G2156" s="62"/>
      <c r="H2156" s="62" t="str">
        <f>IF(AND('Data Export'!A2156=前十整体车型排名!$B$2,'Data Export'!B2156=前十整体车型排名!$B$3,'Data Export'!D2156&lt;&gt;""),UPPER('Data Export'!C2156)&amp;"♦"&amp;'Data Export'!D2156,"")</f>
        <v/>
      </c>
      <c r="I2156" s="63" t="str">
        <f>IF(H2156="","",IFERROR(INDEX('Data Export'!G2156:CZ2156,1,MATCH(前十整体车型排名!$B$4,'Data Export'!$G$1:$CZ$1,0)),0))</f>
        <v/>
      </c>
      <c r="J2156" s="62" t="str">
        <f>IF(H2156="","",IF(OR('Data Export'!F2156="三厢轿车",'Data Export'!F2156="掀背轿车",'Data Export'!F2156="旅行车",'Data Export'!F2156="微型车",'Data Export'!F2156="硬顶跑车",'Data Export'!F2156="敞蓬车",'Data Export'!F2156="Targa"),"轿车",IF(OR('Data Export'!F2156="小型MPV",'Data Export'!F2156="客车"),"MPV",IF('Data Export'!F2156="运动型多功能车","SUV","其他"))))</f>
        <v/>
      </c>
      <c r="K2156" s="62"/>
      <c r="L2156" s="62"/>
      <c r="M2156" s="62"/>
      <c r="N2156" s="62"/>
      <c r="O2156" s="62"/>
      <c r="P2156" s="62"/>
      <c r="Q2156" s="62"/>
    </row>
    <row r="2157" spans="1:17">
      <c r="A2157" s="62"/>
      <c r="B2157" s="62"/>
      <c r="C2157" s="62"/>
      <c r="D2157" s="62"/>
      <c r="E2157" s="62"/>
      <c r="F2157" s="62"/>
      <c r="G2157" s="62"/>
      <c r="H2157" s="62" t="str">
        <f>IF(AND('Data Export'!A2157=前十整体车型排名!$B$2,'Data Export'!B2157=前十整体车型排名!$B$3,'Data Export'!D2157&lt;&gt;""),UPPER('Data Export'!C2157)&amp;"♦"&amp;'Data Export'!D2157,"")</f>
        <v/>
      </c>
      <c r="I2157" s="63" t="str">
        <f>IF(H2157="","",IFERROR(INDEX('Data Export'!G2157:CZ2157,1,MATCH(前十整体车型排名!$B$4,'Data Export'!$G$1:$CZ$1,0)),0))</f>
        <v/>
      </c>
      <c r="J2157" s="62" t="str">
        <f>IF(H2157="","",IF(OR('Data Export'!F2157="三厢轿车",'Data Export'!F2157="掀背轿车",'Data Export'!F2157="旅行车",'Data Export'!F2157="微型车",'Data Export'!F2157="硬顶跑车",'Data Export'!F2157="敞蓬车",'Data Export'!F2157="Targa"),"轿车",IF(OR('Data Export'!F2157="小型MPV",'Data Export'!F2157="客车"),"MPV",IF('Data Export'!F2157="运动型多功能车","SUV","其他"))))</f>
        <v/>
      </c>
      <c r="K2157" s="62"/>
      <c r="L2157" s="62"/>
      <c r="M2157" s="62"/>
      <c r="N2157" s="62"/>
      <c r="O2157" s="62"/>
      <c r="P2157" s="62"/>
      <c r="Q2157" s="62"/>
    </row>
    <row r="2158" spans="1:17">
      <c r="A2158" s="62"/>
      <c r="B2158" s="62"/>
      <c r="C2158" s="62"/>
      <c r="D2158" s="62"/>
      <c r="E2158" s="62"/>
      <c r="F2158" s="62"/>
      <c r="G2158" s="62"/>
      <c r="H2158" s="62" t="str">
        <f>IF(AND('Data Export'!A2158=前十整体车型排名!$B$2,'Data Export'!B2158=前十整体车型排名!$B$3,'Data Export'!D2158&lt;&gt;""),UPPER('Data Export'!C2158)&amp;"♦"&amp;'Data Export'!D2158,"")</f>
        <v/>
      </c>
      <c r="I2158" s="63" t="str">
        <f>IF(H2158="","",IFERROR(INDEX('Data Export'!G2158:CZ2158,1,MATCH(前十整体车型排名!$B$4,'Data Export'!$G$1:$CZ$1,0)),0))</f>
        <v/>
      </c>
      <c r="J2158" s="62" t="str">
        <f>IF(H2158="","",IF(OR('Data Export'!F2158="三厢轿车",'Data Export'!F2158="掀背轿车",'Data Export'!F2158="旅行车",'Data Export'!F2158="微型车",'Data Export'!F2158="硬顶跑车",'Data Export'!F2158="敞蓬车",'Data Export'!F2158="Targa"),"轿车",IF(OR('Data Export'!F2158="小型MPV",'Data Export'!F2158="客车"),"MPV",IF('Data Export'!F2158="运动型多功能车","SUV","其他"))))</f>
        <v/>
      </c>
      <c r="K2158" s="62"/>
      <c r="L2158" s="62"/>
      <c r="M2158" s="62"/>
      <c r="N2158" s="62"/>
      <c r="O2158" s="62"/>
      <c r="P2158" s="62"/>
      <c r="Q2158" s="62"/>
    </row>
    <row r="2159" spans="1:17">
      <c r="A2159" s="62"/>
      <c r="B2159" s="62"/>
      <c r="C2159" s="62"/>
      <c r="D2159" s="62"/>
      <c r="E2159" s="62"/>
      <c r="F2159" s="62"/>
      <c r="G2159" s="62"/>
      <c r="H2159" s="62" t="str">
        <f>IF(AND('Data Export'!A2159=前十整体车型排名!$B$2,'Data Export'!B2159=前十整体车型排名!$B$3,'Data Export'!D2159&lt;&gt;""),UPPER('Data Export'!C2159)&amp;"♦"&amp;'Data Export'!D2159,"")</f>
        <v/>
      </c>
      <c r="I2159" s="63" t="str">
        <f>IF(H2159="","",IFERROR(INDEX('Data Export'!G2159:CZ2159,1,MATCH(前十整体车型排名!$B$4,'Data Export'!$G$1:$CZ$1,0)),0))</f>
        <v/>
      </c>
      <c r="J2159" s="62" t="str">
        <f>IF(H2159="","",IF(OR('Data Export'!F2159="三厢轿车",'Data Export'!F2159="掀背轿车",'Data Export'!F2159="旅行车",'Data Export'!F2159="微型车",'Data Export'!F2159="硬顶跑车",'Data Export'!F2159="敞蓬车",'Data Export'!F2159="Targa"),"轿车",IF(OR('Data Export'!F2159="小型MPV",'Data Export'!F2159="客车"),"MPV",IF('Data Export'!F2159="运动型多功能车","SUV","其他"))))</f>
        <v/>
      </c>
      <c r="K2159" s="62"/>
      <c r="L2159" s="62"/>
      <c r="M2159" s="62"/>
      <c r="N2159" s="62"/>
      <c r="O2159" s="62"/>
      <c r="P2159" s="62"/>
      <c r="Q2159" s="62"/>
    </row>
    <row r="2160" spans="1:17">
      <c r="A2160" s="62"/>
      <c r="B2160" s="62"/>
      <c r="C2160" s="62"/>
      <c r="D2160" s="62"/>
      <c r="E2160" s="62"/>
      <c r="F2160" s="62"/>
      <c r="G2160" s="62"/>
      <c r="H2160" s="62" t="str">
        <f>IF(AND('Data Export'!A2160=前十整体车型排名!$B$2,'Data Export'!B2160=前十整体车型排名!$B$3,'Data Export'!D2160&lt;&gt;""),UPPER('Data Export'!C2160)&amp;"♦"&amp;'Data Export'!D2160,"")</f>
        <v/>
      </c>
      <c r="I2160" s="63" t="str">
        <f>IF(H2160="","",IFERROR(INDEX('Data Export'!G2160:CZ2160,1,MATCH(前十整体车型排名!$B$4,'Data Export'!$G$1:$CZ$1,0)),0))</f>
        <v/>
      </c>
      <c r="J2160" s="62" t="str">
        <f>IF(H2160="","",IF(OR('Data Export'!F2160="三厢轿车",'Data Export'!F2160="掀背轿车",'Data Export'!F2160="旅行车",'Data Export'!F2160="微型车",'Data Export'!F2160="硬顶跑车",'Data Export'!F2160="敞蓬车",'Data Export'!F2160="Targa"),"轿车",IF(OR('Data Export'!F2160="小型MPV",'Data Export'!F2160="客车"),"MPV",IF('Data Export'!F2160="运动型多功能车","SUV","其他"))))</f>
        <v/>
      </c>
      <c r="K2160" s="62"/>
      <c r="L2160" s="62"/>
      <c r="M2160" s="62"/>
      <c r="N2160" s="62"/>
      <c r="O2160" s="62"/>
      <c r="P2160" s="62"/>
      <c r="Q2160" s="62"/>
    </row>
    <row r="2161" spans="1:17">
      <c r="A2161" s="62"/>
      <c r="B2161" s="62"/>
      <c r="C2161" s="62"/>
      <c r="D2161" s="62"/>
      <c r="E2161" s="62"/>
      <c r="F2161" s="62"/>
      <c r="G2161" s="62"/>
      <c r="H2161" s="62" t="str">
        <f>IF(AND('Data Export'!A2161=前十整体车型排名!$B$2,'Data Export'!B2161=前十整体车型排名!$B$3,'Data Export'!D2161&lt;&gt;""),UPPER('Data Export'!C2161)&amp;"♦"&amp;'Data Export'!D2161,"")</f>
        <v/>
      </c>
      <c r="I2161" s="63" t="str">
        <f>IF(H2161="","",IFERROR(INDEX('Data Export'!G2161:CZ2161,1,MATCH(前十整体车型排名!$B$4,'Data Export'!$G$1:$CZ$1,0)),0))</f>
        <v/>
      </c>
      <c r="J2161" s="62" t="str">
        <f>IF(H2161="","",IF(OR('Data Export'!F2161="三厢轿车",'Data Export'!F2161="掀背轿车",'Data Export'!F2161="旅行车",'Data Export'!F2161="微型车",'Data Export'!F2161="硬顶跑车",'Data Export'!F2161="敞蓬车",'Data Export'!F2161="Targa"),"轿车",IF(OR('Data Export'!F2161="小型MPV",'Data Export'!F2161="客车"),"MPV",IF('Data Export'!F2161="运动型多功能车","SUV","其他"))))</f>
        <v/>
      </c>
      <c r="K2161" s="62"/>
      <c r="L2161" s="62"/>
      <c r="M2161" s="62"/>
      <c r="N2161" s="62"/>
      <c r="O2161" s="62"/>
      <c r="P2161" s="62"/>
      <c r="Q2161" s="62"/>
    </row>
    <row r="2162" spans="1:17">
      <c r="A2162" s="62"/>
      <c r="B2162" s="62"/>
      <c r="C2162" s="62"/>
      <c r="D2162" s="62"/>
      <c r="E2162" s="62"/>
      <c r="F2162" s="62"/>
      <c r="G2162" s="62"/>
      <c r="H2162" s="62" t="str">
        <f>IF(AND('Data Export'!A2162=前十整体车型排名!$B$2,'Data Export'!B2162=前十整体车型排名!$B$3,'Data Export'!D2162&lt;&gt;""),UPPER('Data Export'!C2162)&amp;"♦"&amp;'Data Export'!D2162,"")</f>
        <v/>
      </c>
      <c r="I2162" s="63" t="str">
        <f>IF(H2162="","",IFERROR(INDEX('Data Export'!G2162:CZ2162,1,MATCH(前十整体车型排名!$B$4,'Data Export'!$G$1:$CZ$1,0)),0))</f>
        <v/>
      </c>
      <c r="J2162" s="62" t="str">
        <f>IF(H2162="","",IF(OR('Data Export'!F2162="三厢轿车",'Data Export'!F2162="掀背轿车",'Data Export'!F2162="旅行车",'Data Export'!F2162="微型车",'Data Export'!F2162="硬顶跑车",'Data Export'!F2162="敞蓬车",'Data Export'!F2162="Targa"),"轿车",IF(OR('Data Export'!F2162="小型MPV",'Data Export'!F2162="客车"),"MPV",IF('Data Export'!F2162="运动型多功能车","SUV","其他"))))</f>
        <v/>
      </c>
      <c r="K2162" s="62"/>
      <c r="L2162" s="62"/>
      <c r="M2162" s="62"/>
      <c r="N2162" s="62"/>
      <c r="O2162" s="62"/>
      <c r="P2162" s="62"/>
      <c r="Q2162" s="62"/>
    </row>
    <row r="2163" spans="1:17">
      <c r="A2163" s="62"/>
      <c r="B2163" s="62"/>
      <c r="C2163" s="62"/>
      <c r="D2163" s="62"/>
      <c r="E2163" s="62"/>
      <c r="F2163" s="62"/>
      <c r="G2163" s="62"/>
      <c r="H2163" s="62" t="str">
        <f>IF(AND('Data Export'!A2163=前十整体车型排名!$B$2,'Data Export'!B2163=前十整体车型排名!$B$3,'Data Export'!D2163&lt;&gt;""),UPPER('Data Export'!C2163)&amp;"♦"&amp;'Data Export'!D2163,"")</f>
        <v/>
      </c>
      <c r="I2163" s="63" t="str">
        <f>IF(H2163="","",IFERROR(INDEX('Data Export'!G2163:CZ2163,1,MATCH(前十整体车型排名!$B$4,'Data Export'!$G$1:$CZ$1,0)),0))</f>
        <v/>
      </c>
      <c r="J2163" s="62" t="str">
        <f>IF(H2163="","",IF(OR('Data Export'!F2163="三厢轿车",'Data Export'!F2163="掀背轿车",'Data Export'!F2163="旅行车",'Data Export'!F2163="微型车",'Data Export'!F2163="硬顶跑车",'Data Export'!F2163="敞蓬车",'Data Export'!F2163="Targa"),"轿车",IF(OR('Data Export'!F2163="小型MPV",'Data Export'!F2163="客车"),"MPV",IF('Data Export'!F2163="运动型多功能车","SUV","其他"))))</f>
        <v/>
      </c>
      <c r="K2163" s="62"/>
      <c r="L2163" s="62"/>
      <c r="M2163" s="62"/>
      <c r="N2163" s="62"/>
      <c r="O2163" s="62"/>
      <c r="P2163" s="62"/>
      <c r="Q2163" s="62"/>
    </row>
    <row r="2164" spans="1:17">
      <c r="A2164" s="62"/>
      <c r="B2164" s="62"/>
      <c r="C2164" s="62"/>
      <c r="D2164" s="62"/>
      <c r="E2164" s="62"/>
      <c r="F2164" s="62"/>
      <c r="G2164" s="62"/>
      <c r="H2164" s="62" t="str">
        <f>IF(AND('Data Export'!A2164=前十整体车型排名!$B$2,'Data Export'!B2164=前十整体车型排名!$B$3,'Data Export'!D2164&lt;&gt;""),UPPER('Data Export'!C2164)&amp;"♦"&amp;'Data Export'!D2164,"")</f>
        <v/>
      </c>
      <c r="I2164" s="63" t="str">
        <f>IF(H2164="","",IFERROR(INDEX('Data Export'!G2164:CZ2164,1,MATCH(前十整体车型排名!$B$4,'Data Export'!$G$1:$CZ$1,0)),0))</f>
        <v/>
      </c>
      <c r="J2164" s="62" t="str">
        <f>IF(H2164="","",IF(OR('Data Export'!F2164="三厢轿车",'Data Export'!F2164="掀背轿车",'Data Export'!F2164="旅行车",'Data Export'!F2164="微型车",'Data Export'!F2164="硬顶跑车",'Data Export'!F2164="敞蓬车",'Data Export'!F2164="Targa"),"轿车",IF(OR('Data Export'!F2164="小型MPV",'Data Export'!F2164="客车"),"MPV",IF('Data Export'!F2164="运动型多功能车","SUV","其他"))))</f>
        <v/>
      </c>
      <c r="K2164" s="62"/>
      <c r="L2164" s="62"/>
      <c r="M2164" s="62"/>
      <c r="N2164" s="62"/>
      <c r="O2164" s="62"/>
      <c r="P2164" s="62"/>
      <c r="Q2164" s="62"/>
    </row>
    <row r="2165" spans="1:17">
      <c r="A2165" s="62"/>
      <c r="B2165" s="62"/>
      <c r="C2165" s="62"/>
      <c r="D2165" s="62"/>
      <c r="E2165" s="62"/>
      <c r="F2165" s="62"/>
      <c r="G2165" s="62"/>
      <c r="H2165" s="62" t="str">
        <f>IF(AND('Data Export'!A2165=前十整体车型排名!$B$2,'Data Export'!B2165=前十整体车型排名!$B$3,'Data Export'!D2165&lt;&gt;""),UPPER('Data Export'!C2165)&amp;"♦"&amp;'Data Export'!D2165,"")</f>
        <v/>
      </c>
      <c r="I2165" s="63" t="str">
        <f>IF(H2165="","",IFERROR(INDEX('Data Export'!G2165:CZ2165,1,MATCH(前十整体车型排名!$B$4,'Data Export'!$G$1:$CZ$1,0)),0))</f>
        <v/>
      </c>
      <c r="J2165" s="62" t="str">
        <f>IF(H2165="","",IF(OR('Data Export'!F2165="三厢轿车",'Data Export'!F2165="掀背轿车",'Data Export'!F2165="旅行车",'Data Export'!F2165="微型车",'Data Export'!F2165="硬顶跑车",'Data Export'!F2165="敞蓬车",'Data Export'!F2165="Targa"),"轿车",IF(OR('Data Export'!F2165="小型MPV",'Data Export'!F2165="客车"),"MPV",IF('Data Export'!F2165="运动型多功能车","SUV","其他"))))</f>
        <v/>
      </c>
      <c r="K2165" s="62"/>
      <c r="L2165" s="62"/>
      <c r="M2165" s="62"/>
      <c r="N2165" s="62"/>
      <c r="O2165" s="62"/>
      <c r="P2165" s="62"/>
      <c r="Q2165" s="62"/>
    </row>
    <row r="2166" spans="1:17">
      <c r="A2166" s="62"/>
      <c r="B2166" s="62"/>
      <c r="C2166" s="62"/>
      <c r="D2166" s="62"/>
      <c r="E2166" s="62"/>
      <c r="F2166" s="62"/>
      <c r="G2166" s="62"/>
      <c r="H2166" s="62" t="str">
        <f>IF(AND('Data Export'!A2166=前十整体车型排名!$B$2,'Data Export'!B2166=前十整体车型排名!$B$3,'Data Export'!D2166&lt;&gt;""),UPPER('Data Export'!C2166)&amp;"♦"&amp;'Data Export'!D2166,"")</f>
        <v/>
      </c>
      <c r="I2166" s="63" t="str">
        <f>IF(H2166="","",IFERROR(INDEX('Data Export'!G2166:CZ2166,1,MATCH(前十整体车型排名!$B$4,'Data Export'!$G$1:$CZ$1,0)),0))</f>
        <v/>
      </c>
      <c r="J2166" s="62" t="str">
        <f>IF(H2166="","",IF(OR('Data Export'!F2166="三厢轿车",'Data Export'!F2166="掀背轿车",'Data Export'!F2166="旅行车",'Data Export'!F2166="微型车",'Data Export'!F2166="硬顶跑车",'Data Export'!F2166="敞蓬车",'Data Export'!F2166="Targa"),"轿车",IF(OR('Data Export'!F2166="小型MPV",'Data Export'!F2166="客车"),"MPV",IF('Data Export'!F2166="运动型多功能车","SUV","其他"))))</f>
        <v/>
      </c>
      <c r="K2166" s="62"/>
      <c r="L2166" s="62"/>
      <c r="M2166" s="62"/>
      <c r="N2166" s="62"/>
      <c r="O2166" s="62"/>
      <c r="P2166" s="62"/>
      <c r="Q2166" s="62"/>
    </row>
    <row r="2167" spans="1:17">
      <c r="A2167" s="62"/>
      <c r="B2167" s="62"/>
      <c r="C2167" s="62"/>
      <c r="D2167" s="62"/>
      <c r="E2167" s="62"/>
      <c r="F2167" s="62"/>
      <c r="G2167" s="62"/>
      <c r="H2167" s="62" t="str">
        <f>IF(AND('Data Export'!A2167=前十整体车型排名!$B$2,'Data Export'!B2167=前十整体车型排名!$B$3,'Data Export'!D2167&lt;&gt;""),UPPER('Data Export'!C2167)&amp;"♦"&amp;'Data Export'!D2167,"")</f>
        <v/>
      </c>
      <c r="I2167" s="63" t="str">
        <f>IF(H2167="","",IFERROR(INDEX('Data Export'!G2167:CZ2167,1,MATCH(前十整体车型排名!$B$4,'Data Export'!$G$1:$CZ$1,0)),0))</f>
        <v/>
      </c>
      <c r="J2167" s="62" t="str">
        <f>IF(H2167="","",IF(OR('Data Export'!F2167="三厢轿车",'Data Export'!F2167="掀背轿车",'Data Export'!F2167="旅行车",'Data Export'!F2167="微型车",'Data Export'!F2167="硬顶跑车",'Data Export'!F2167="敞蓬车",'Data Export'!F2167="Targa"),"轿车",IF(OR('Data Export'!F2167="小型MPV",'Data Export'!F2167="客车"),"MPV",IF('Data Export'!F2167="运动型多功能车","SUV","其他"))))</f>
        <v/>
      </c>
      <c r="K2167" s="62"/>
      <c r="L2167" s="62"/>
      <c r="M2167" s="62"/>
      <c r="N2167" s="62"/>
      <c r="O2167" s="62"/>
      <c r="P2167" s="62"/>
      <c r="Q2167" s="62"/>
    </row>
    <row r="2168" spans="1:17">
      <c r="A2168" s="62"/>
      <c r="B2168" s="62"/>
      <c r="C2168" s="62"/>
      <c r="D2168" s="62"/>
      <c r="E2168" s="62"/>
      <c r="F2168" s="62"/>
      <c r="G2168" s="62"/>
      <c r="H2168" s="62" t="str">
        <f>IF(AND('Data Export'!A2168=前十整体车型排名!$B$2,'Data Export'!B2168=前十整体车型排名!$B$3,'Data Export'!D2168&lt;&gt;""),UPPER('Data Export'!C2168)&amp;"♦"&amp;'Data Export'!D2168,"")</f>
        <v/>
      </c>
      <c r="I2168" s="63" t="str">
        <f>IF(H2168="","",IFERROR(INDEX('Data Export'!G2168:CZ2168,1,MATCH(前十整体车型排名!$B$4,'Data Export'!$G$1:$CZ$1,0)),0))</f>
        <v/>
      </c>
      <c r="J2168" s="62" t="str">
        <f>IF(H2168="","",IF(OR('Data Export'!F2168="三厢轿车",'Data Export'!F2168="掀背轿车",'Data Export'!F2168="旅行车",'Data Export'!F2168="微型车",'Data Export'!F2168="硬顶跑车",'Data Export'!F2168="敞蓬车",'Data Export'!F2168="Targa"),"轿车",IF(OR('Data Export'!F2168="小型MPV",'Data Export'!F2168="客车"),"MPV",IF('Data Export'!F2168="运动型多功能车","SUV","其他"))))</f>
        <v/>
      </c>
      <c r="K2168" s="62"/>
      <c r="L2168" s="62"/>
      <c r="M2168" s="62"/>
      <c r="N2168" s="62"/>
      <c r="O2168" s="62"/>
      <c r="P2168" s="62"/>
      <c r="Q2168" s="62"/>
    </row>
    <row r="2169" spans="1:17">
      <c r="A2169" s="62"/>
      <c r="B2169" s="62"/>
      <c r="C2169" s="62"/>
      <c r="D2169" s="62"/>
      <c r="E2169" s="62"/>
      <c r="F2169" s="62"/>
      <c r="G2169" s="62"/>
      <c r="H2169" s="62" t="str">
        <f>IF(AND('Data Export'!A2169=前十整体车型排名!$B$2,'Data Export'!B2169=前十整体车型排名!$B$3,'Data Export'!D2169&lt;&gt;""),UPPER('Data Export'!C2169)&amp;"♦"&amp;'Data Export'!D2169,"")</f>
        <v/>
      </c>
      <c r="I2169" s="63" t="str">
        <f>IF(H2169="","",IFERROR(INDEX('Data Export'!G2169:CZ2169,1,MATCH(前十整体车型排名!$B$4,'Data Export'!$G$1:$CZ$1,0)),0))</f>
        <v/>
      </c>
      <c r="J2169" s="62" t="str">
        <f>IF(H2169="","",IF(OR('Data Export'!F2169="三厢轿车",'Data Export'!F2169="掀背轿车",'Data Export'!F2169="旅行车",'Data Export'!F2169="微型车",'Data Export'!F2169="硬顶跑车",'Data Export'!F2169="敞蓬车",'Data Export'!F2169="Targa"),"轿车",IF(OR('Data Export'!F2169="小型MPV",'Data Export'!F2169="客车"),"MPV",IF('Data Export'!F2169="运动型多功能车","SUV","其他"))))</f>
        <v/>
      </c>
      <c r="K2169" s="62"/>
      <c r="L2169" s="62"/>
      <c r="M2169" s="62"/>
      <c r="N2169" s="62"/>
      <c r="O2169" s="62"/>
      <c r="P2169" s="62"/>
      <c r="Q2169" s="62"/>
    </row>
    <row r="2170" spans="1:17">
      <c r="A2170" s="62"/>
      <c r="B2170" s="62"/>
      <c r="C2170" s="62"/>
      <c r="D2170" s="62"/>
      <c r="E2170" s="62"/>
      <c r="F2170" s="62"/>
      <c r="G2170" s="62"/>
      <c r="H2170" s="62" t="str">
        <f>IF(AND('Data Export'!A2170=前十整体车型排名!$B$2,'Data Export'!B2170=前十整体车型排名!$B$3,'Data Export'!D2170&lt;&gt;""),UPPER('Data Export'!C2170)&amp;"♦"&amp;'Data Export'!D2170,"")</f>
        <v/>
      </c>
      <c r="I2170" s="63" t="str">
        <f>IF(H2170="","",IFERROR(INDEX('Data Export'!G2170:CZ2170,1,MATCH(前十整体车型排名!$B$4,'Data Export'!$G$1:$CZ$1,0)),0))</f>
        <v/>
      </c>
      <c r="J2170" s="62" t="str">
        <f>IF(H2170="","",IF(OR('Data Export'!F2170="三厢轿车",'Data Export'!F2170="掀背轿车",'Data Export'!F2170="旅行车",'Data Export'!F2170="微型车",'Data Export'!F2170="硬顶跑车",'Data Export'!F2170="敞蓬车",'Data Export'!F2170="Targa"),"轿车",IF(OR('Data Export'!F2170="小型MPV",'Data Export'!F2170="客车"),"MPV",IF('Data Export'!F2170="运动型多功能车","SUV","其他"))))</f>
        <v/>
      </c>
      <c r="K2170" s="62"/>
      <c r="L2170" s="62"/>
      <c r="M2170" s="62"/>
      <c r="N2170" s="62"/>
      <c r="O2170" s="62"/>
      <c r="P2170" s="62"/>
      <c r="Q2170" s="62"/>
    </row>
    <row r="2171" spans="1:17">
      <c r="A2171" s="62"/>
      <c r="B2171" s="62"/>
      <c r="C2171" s="62"/>
      <c r="D2171" s="62"/>
      <c r="E2171" s="62"/>
      <c r="F2171" s="62"/>
      <c r="G2171" s="62"/>
      <c r="H2171" s="62" t="str">
        <f>IF(AND('Data Export'!A2171=前十整体车型排名!$B$2,'Data Export'!B2171=前十整体车型排名!$B$3,'Data Export'!D2171&lt;&gt;""),UPPER('Data Export'!C2171)&amp;"♦"&amp;'Data Export'!D2171,"")</f>
        <v/>
      </c>
      <c r="I2171" s="63" t="str">
        <f>IF(H2171="","",IFERROR(INDEX('Data Export'!G2171:CZ2171,1,MATCH(前十整体车型排名!$B$4,'Data Export'!$G$1:$CZ$1,0)),0))</f>
        <v/>
      </c>
      <c r="J2171" s="62" t="str">
        <f>IF(H2171="","",IF(OR('Data Export'!F2171="三厢轿车",'Data Export'!F2171="掀背轿车",'Data Export'!F2171="旅行车",'Data Export'!F2171="微型车",'Data Export'!F2171="硬顶跑车",'Data Export'!F2171="敞蓬车",'Data Export'!F2171="Targa"),"轿车",IF(OR('Data Export'!F2171="小型MPV",'Data Export'!F2171="客车"),"MPV",IF('Data Export'!F2171="运动型多功能车","SUV","其他"))))</f>
        <v/>
      </c>
      <c r="K2171" s="62"/>
      <c r="L2171" s="62"/>
      <c r="M2171" s="62"/>
      <c r="N2171" s="62"/>
      <c r="O2171" s="62"/>
      <c r="P2171" s="62"/>
      <c r="Q2171" s="62"/>
    </row>
    <row r="2172" spans="1:17">
      <c r="A2172" s="62"/>
      <c r="B2172" s="62"/>
      <c r="C2172" s="62"/>
      <c r="D2172" s="62"/>
      <c r="E2172" s="62"/>
      <c r="F2172" s="62"/>
      <c r="G2172" s="62"/>
      <c r="H2172" s="62" t="str">
        <f>IF(AND('Data Export'!A2172=前十整体车型排名!$B$2,'Data Export'!B2172=前十整体车型排名!$B$3,'Data Export'!D2172&lt;&gt;""),UPPER('Data Export'!C2172)&amp;"♦"&amp;'Data Export'!D2172,"")</f>
        <v/>
      </c>
      <c r="I2172" s="63" t="str">
        <f>IF(H2172="","",IFERROR(INDEX('Data Export'!G2172:CZ2172,1,MATCH(前十整体车型排名!$B$4,'Data Export'!$G$1:$CZ$1,0)),0))</f>
        <v/>
      </c>
      <c r="J2172" s="62" t="str">
        <f>IF(H2172="","",IF(OR('Data Export'!F2172="三厢轿车",'Data Export'!F2172="掀背轿车",'Data Export'!F2172="旅行车",'Data Export'!F2172="微型车",'Data Export'!F2172="硬顶跑车",'Data Export'!F2172="敞蓬车",'Data Export'!F2172="Targa"),"轿车",IF(OR('Data Export'!F2172="小型MPV",'Data Export'!F2172="客车"),"MPV",IF('Data Export'!F2172="运动型多功能车","SUV","其他"))))</f>
        <v/>
      </c>
      <c r="K2172" s="62"/>
      <c r="L2172" s="62"/>
      <c r="M2172" s="62"/>
      <c r="N2172" s="62"/>
      <c r="O2172" s="62"/>
      <c r="P2172" s="62"/>
      <c r="Q2172" s="62"/>
    </row>
    <row r="2173" spans="1:17">
      <c r="A2173" s="62"/>
      <c r="B2173" s="62"/>
      <c r="C2173" s="62"/>
      <c r="D2173" s="62"/>
      <c r="E2173" s="62"/>
      <c r="F2173" s="62"/>
      <c r="G2173" s="62"/>
      <c r="H2173" s="62" t="str">
        <f>IF(AND('Data Export'!A2173=前十整体车型排名!$B$2,'Data Export'!B2173=前十整体车型排名!$B$3,'Data Export'!D2173&lt;&gt;""),UPPER('Data Export'!C2173)&amp;"♦"&amp;'Data Export'!D2173,"")</f>
        <v/>
      </c>
      <c r="I2173" s="63" t="str">
        <f>IF(H2173="","",IFERROR(INDEX('Data Export'!G2173:CZ2173,1,MATCH(前十整体车型排名!$B$4,'Data Export'!$G$1:$CZ$1,0)),0))</f>
        <v/>
      </c>
      <c r="J2173" s="62" t="str">
        <f>IF(H2173="","",IF(OR('Data Export'!F2173="三厢轿车",'Data Export'!F2173="掀背轿车",'Data Export'!F2173="旅行车",'Data Export'!F2173="微型车",'Data Export'!F2173="硬顶跑车",'Data Export'!F2173="敞蓬车",'Data Export'!F2173="Targa"),"轿车",IF(OR('Data Export'!F2173="小型MPV",'Data Export'!F2173="客车"),"MPV",IF('Data Export'!F2173="运动型多功能车","SUV","其他"))))</f>
        <v/>
      </c>
      <c r="K2173" s="62"/>
      <c r="L2173" s="62"/>
      <c r="M2173" s="62"/>
      <c r="N2173" s="62"/>
      <c r="O2173" s="62"/>
      <c r="P2173" s="62"/>
      <c r="Q2173" s="62"/>
    </row>
    <row r="2174" spans="1:17">
      <c r="A2174" s="62"/>
      <c r="B2174" s="62"/>
      <c r="C2174" s="62"/>
      <c r="D2174" s="62"/>
      <c r="E2174" s="62"/>
      <c r="F2174" s="62"/>
      <c r="G2174" s="62"/>
      <c r="H2174" s="62" t="str">
        <f>IF(AND('Data Export'!A2174=前十整体车型排名!$B$2,'Data Export'!B2174=前十整体车型排名!$B$3,'Data Export'!D2174&lt;&gt;""),UPPER('Data Export'!C2174)&amp;"♦"&amp;'Data Export'!D2174,"")</f>
        <v/>
      </c>
      <c r="I2174" s="63" t="str">
        <f>IF(H2174="","",IFERROR(INDEX('Data Export'!G2174:CZ2174,1,MATCH(前十整体车型排名!$B$4,'Data Export'!$G$1:$CZ$1,0)),0))</f>
        <v/>
      </c>
      <c r="J2174" s="62" t="str">
        <f>IF(H2174="","",IF(OR('Data Export'!F2174="三厢轿车",'Data Export'!F2174="掀背轿车",'Data Export'!F2174="旅行车",'Data Export'!F2174="微型车",'Data Export'!F2174="硬顶跑车",'Data Export'!F2174="敞蓬车",'Data Export'!F2174="Targa"),"轿车",IF(OR('Data Export'!F2174="小型MPV",'Data Export'!F2174="客车"),"MPV",IF('Data Export'!F2174="运动型多功能车","SUV","其他"))))</f>
        <v/>
      </c>
      <c r="K2174" s="62"/>
      <c r="L2174" s="62"/>
      <c r="M2174" s="62"/>
      <c r="N2174" s="62"/>
      <c r="O2174" s="62"/>
      <c r="P2174" s="62"/>
      <c r="Q2174" s="62"/>
    </row>
    <row r="2175" spans="1:17">
      <c r="A2175" s="62"/>
      <c r="B2175" s="62"/>
      <c r="C2175" s="62"/>
      <c r="D2175" s="62"/>
      <c r="E2175" s="62"/>
      <c r="F2175" s="62"/>
      <c r="G2175" s="62"/>
      <c r="H2175" s="62" t="str">
        <f>IF(AND('Data Export'!A2175=前十整体车型排名!$B$2,'Data Export'!B2175=前十整体车型排名!$B$3,'Data Export'!D2175&lt;&gt;""),UPPER('Data Export'!C2175)&amp;"♦"&amp;'Data Export'!D2175,"")</f>
        <v/>
      </c>
      <c r="I2175" s="63" t="str">
        <f>IF(H2175="","",IFERROR(INDEX('Data Export'!G2175:CZ2175,1,MATCH(前十整体车型排名!$B$4,'Data Export'!$G$1:$CZ$1,0)),0))</f>
        <v/>
      </c>
      <c r="J2175" s="62" t="str">
        <f>IF(H2175="","",IF(OR('Data Export'!F2175="三厢轿车",'Data Export'!F2175="掀背轿车",'Data Export'!F2175="旅行车",'Data Export'!F2175="微型车",'Data Export'!F2175="硬顶跑车",'Data Export'!F2175="敞蓬车",'Data Export'!F2175="Targa"),"轿车",IF(OR('Data Export'!F2175="小型MPV",'Data Export'!F2175="客车"),"MPV",IF('Data Export'!F2175="运动型多功能车","SUV","其他"))))</f>
        <v/>
      </c>
      <c r="K2175" s="62"/>
      <c r="L2175" s="62"/>
      <c r="M2175" s="62"/>
      <c r="N2175" s="62"/>
      <c r="O2175" s="62"/>
      <c r="P2175" s="62"/>
      <c r="Q2175" s="62"/>
    </row>
    <row r="2176" spans="1:17">
      <c r="A2176" s="62"/>
      <c r="B2176" s="62"/>
      <c r="C2176" s="62"/>
      <c r="D2176" s="62"/>
      <c r="E2176" s="62"/>
      <c r="F2176" s="62"/>
      <c r="G2176" s="62"/>
      <c r="H2176" s="62" t="str">
        <f>IF(AND('Data Export'!A2176=前十整体车型排名!$B$2,'Data Export'!B2176=前十整体车型排名!$B$3,'Data Export'!D2176&lt;&gt;""),UPPER('Data Export'!C2176)&amp;"♦"&amp;'Data Export'!D2176,"")</f>
        <v/>
      </c>
      <c r="I2176" s="63" t="str">
        <f>IF(H2176="","",IFERROR(INDEX('Data Export'!G2176:CZ2176,1,MATCH(前十整体车型排名!$B$4,'Data Export'!$G$1:$CZ$1,0)),0))</f>
        <v/>
      </c>
      <c r="J2176" s="62" t="str">
        <f>IF(H2176="","",IF(OR('Data Export'!F2176="三厢轿车",'Data Export'!F2176="掀背轿车",'Data Export'!F2176="旅行车",'Data Export'!F2176="微型车",'Data Export'!F2176="硬顶跑车",'Data Export'!F2176="敞蓬车",'Data Export'!F2176="Targa"),"轿车",IF(OR('Data Export'!F2176="小型MPV",'Data Export'!F2176="客车"),"MPV",IF('Data Export'!F2176="运动型多功能车","SUV","其他"))))</f>
        <v/>
      </c>
      <c r="K2176" s="62"/>
      <c r="L2176" s="62"/>
      <c r="M2176" s="62"/>
      <c r="N2176" s="62"/>
      <c r="O2176" s="62"/>
      <c r="P2176" s="62"/>
      <c r="Q2176" s="62"/>
    </row>
    <row r="2177" spans="1:17">
      <c r="A2177" s="62"/>
      <c r="B2177" s="62"/>
      <c r="C2177" s="62"/>
      <c r="D2177" s="62"/>
      <c r="E2177" s="62"/>
      <c r="F2177" s="62"/>
      <c r="G2177" s="62"/>
      <c r="H2177" s="62" t="str">
        <f>IF(AND('Data Export'!A2177=前十整体车型排名!$B$2,'Data Export'!B2177=前十整体车型排名!$B$3,'Data Export'!D2177&lt;&gt;""),UPPER('Data Export'!C2177)&amp;"♦"&amp;'Data Export'!D2177,"")</f>
        <v/>
      </c>
      <c r="I2177" s="63" t="str">
        <f>IF(H2177="","",IFERROR(INDEX('Data Export'!G2177:CZ2177,1,MATCH(前十整体车型排名!$B$4,'Data Export'!$G$1:$CZ$1,0)),0))</f>
        <v/>
      </c>
      <c r="J2177" s="62" t="str">
        <f>IF(H2177="","",IF(OR('Data Export'!F2177="三厢轿车",'Data Export'!F2177="掀背轿车",'Data Export'!F2177="旅行车",'Data Export'!F2177="微型车",'Data Export'!F2177="硬顶跑车",'Data Export'!F2177="敞蓬车",'Data Export'!F2177="Targa"),"轿车",IF(OR('Data Export'!F2177="小型MPV",'Data Export'!F2177="客车"),"MPV",IF('Data Export'!F2177="运动型多功能车","SUV","其他"))))</f>
        <v/>
      </c>
      <c r="K2177" s="62"/>
      <c r="L2177" s="62"/>
      <c r="M2177" s="62"/>
      <c r="N2177" s="62"/>
      <c r="O2177" s="62"/>
      <c r="P2177" s="62"/>
      <c r="Q2177" s="62"/>
    </row>
    <row r="2178" spans="1:17">
      <c r="A2178" s="62"/>
      <c r="B2178" s="62"/>
      <c r="C2178" s="62"/>
      <c r="D2178" s="62"/>
      <c r="E2178" s="62"/>
      <c r="F2178" s="62"/>
      <c r="G2178" s="62"/>
      <c r="H2178" s="62" t="str">
        <f>IF(AND('Data Export'!A2178=前十整体车型排名!$B$2,'Data Export'!B2178=前十整体车型排名!$B$3,'Data Export'!D2178&lt;&gt;""),UPPER('Data Export'!C2178)&amp;"♦"&amp;'Data Export'!D2178,"")</f>
        <v/>
      </c>
      <c r="I2178" s="63" t="str">
        <f>IF(H2178="","",IFERROR(INDEX('Data Export'!G2178:CZ2178,1,MATCH(前十整体车型排名!$B$4,'Data Export'!$G$1:$CZ$1,0)),0))</f>
        <v/>
      </c>
      <c r="J2178" s="62" t="str">
        <f>IF(H2178="","",IF(OR('Data Export'!F2178="三厢轿车",'Data Export'!F2178="掀背轿车",'Data Export'!F2178="旅行车",'Data Export'!F2178="微型车",'Data Export'!F2178="硬顶跑车",'Data Export'!F2178="敞蓬车",'Data Export'!F2178="Targa"),"轿车",IF(OR('Data Export'!F2178="小型MPV",'Data Export'!F2178="客车"),"MPV",IF('Data Export'!F2178="运动型多功能车","SUV","其他"))))</f>
        <v/>
      </c>
      <c r="K2178" s="62"/>
      <c r="L2178" s="62"/>
      <c r="M2178" s="62"/>
      <c r="N2178" s="62"/>
      <c r="O2178" s="62"/>
      <c r="P2178" s="62"/>
      <c r="Q2178" s="62"/>
    </row>
    <row r="2179" spans="1:17">
      <c r="A2179" s="62"/>
      <c r="B2179" s="62"/>
      <c r="C2179" s="62"/>
      <c r="D2179" s="62"/>
      <c r="E2179" s="62"/>
      <c r="F2179" s="62"/>
      <c r="G2179" s="62"/>
      <c r="H2179" s="62" t="str">
        <f>IF(AND('Data Export'!A2179=前十整体车型排名!$B$2,'Data Export'!B2179=前十整体车型排名!$B$3,'Data Export'!D2179&lt;&gt;""),UPPER('Data Export'!C2179)&amp;"♦"&amp;'Data Export'!D2179,"")</f>
        <v/>
      </c>
      <c r="I2179" s="63" t="str">
        <f>IF(H2179="","",IFERROR(INDEX('Data Export'!G2179:CZ2179,1,MATCH(前十整体车型排名!$B$4,'Data Export'!$G$1:$CZ$1,0)),0))</f>
        <v/>
      </c>
      <c r="J2179" s="62" t="str">
        <f>IF(H2179="","",IF(OR('Data Export'!F2179="三厢轿车",'Data Export'!F2179="掀背轿车",'Data Export'!F2179="旅行车",'Data Export'!F2179="微型车",'Data Export'!F2179="硬顶跑车",'Data Export'!F2179="敞蓬车",'Data Export'!F2179="Targa"),"轿车",IF(OR('Data Export'!F2179="小型MPV",'Data Export'!F2179="客车"),"MPV",IF('Data Export'!F2179="运动型多功能车","SUV","其他"))))</f>
        <v/>
      </c>
      <c r="K2179" s="62"/>
      <c r="L2179" s="62"/>
      <c r="M2179" s="62"/>
      <c r="N2179" s="62"/>
      <c r="O2179" s="62"/>
      <c r="P2179" s="62"/>
      <c r="Q2179" s="62"/>
    </row>
    <row r="2180" spans="1:17">
      <c r="A2180" s="62"/>
      <c r="B2180" s="62"/>
      <c r="C2180" s="62"/>
      <c r="D2180" s="62"/>
      <c r="E2180" s="62"/>
      <c r="F2180" s="62"/>
      <c r="G2180" s="62"/>
      <c r="H2180" s="62" t="str">
        <f>IF(AND('Data Export'!A2180=前十整体车型排名!$B$2,'Data Export'!B2180=前十整体车型排名!$B$3,'Data Export'!D2180&lt;&gt;""),UPPER('Data Export'!C2180)&amp;"♦"&amp;'Data Export'!D2180,"")</f>
        <v/>
      </c>
      <c r="I2180" s="63" t="str">
        <f>IF(H2180="","",IFERROR(INDEX('Data Export'!G2180:CZ2180,1,MATCH(前十整体车型排名!$B$4,'Data Export'!$G$1:$CZ$1,0)),0))</f>
        <v/>
      </c>
      <c r="J2180" s="62" t="str">
        <f>IF(H2180="","",IF(OR('Data Export'!F2180="三厢轿车",'Data Export'!F2180="掀背轿车",'Data Export'!F2180="旅行车",'Data Export'!F2180="微型车",'Data Export'!F2180="硬顶跑车",'Data Export'!F2180="敞蓬车",'Data Export'!F2180="Targa"),"轿车",IF(OR('Data Export'!F2180="小型MPV",'Data Export'!F2180="客车"),"MPV",IF('Data Export'!F2180="运动型多功能车","SUV","其他"))))</f>
        <v/>
      </c>
      <c r="K2180" s="62"/>
      <c r="L2180" s="62"/>
      <c r="M2180" s="62"/>
      <c r="N2180" s="62"/>
      <c r="O2180" s="62"/>
      <c r="P2180" s="62"/>
      <c r="Q2180" s="62"/>
    </row>
    <row r="2181" spans="1:17">
      <c r="A2181" s="62"/>
      <c r="B2181" s="62"/>
      <c r="C2181" s="62"/>
      <c r="D2181" s="62"/>
      <c r="E2181" s="62"/>
      <c r="F2181" s="62"/>
      <c r="G2181" s="62"/>
      <c r="H2181" s="62" t="str">
        <f>IF(AND('Data Export'!A2181=前十整体车型排名!$B$2,'Data Export'!B2181=前十整体车型排名!$B$3,'Data Export'!D2181&lt;&gt;""),UPPER('Data Export'!C2181)&amp;"♦"&amp;'Data Export'!D2181,"")</f>
        <v/>
      </c>
      <c r="I2181" s="63" t="str">
        <f>IF(H2181="","",IFERROR(INDEX('Data Export'!G2181:CZ2181,1,MATCH(前十整体车型排名!$B$4,'Data Export'!$G$1:$CZ$1,0)),0))</f>
        <v/>
      </c>
      <c r="J2181" s="62" t="str">
        <f>IF(H2181="","",IF(OR('Data Export'!F2181="三厢轿车",'Data Export'!F2181="掀背轿车",'Data Export'!F2181="旅行车",'Data Export'!F2181="微型车",'Data Export'!F2181="硬顶跑车",'Data Export'!F2181="敞蓬车",'Data Export'!F2181="Targa"),"轿车",IF(OR('Data Export'!F2181="小型MPV",'Data Export'!F2181="客车"),"MPV",IF('Data Export'!F2181="运动型多功能车","SUV","其他"))))</f>
        <v/>
      </c>
      <c r="K2181" s="62"/>
      <c r="L2181" s="62"/>
      <c r="M2181" s="62"/>
      <c r="N2181" s="62"/>
      <c r="O2181" s="62"/>
      <c r="P2181" s="62"/>
      <c r="Q2181" s="62"/>
    </row>
    <row r="2182" spans="1:17">
      <c r="A2182" s="62"/>
      <c r="B2182" s="62"/>
      <c r="C2182" s="62"/>
      <c r="D2182" s="62"/>
      <c r="E2182" s="62"/>
      <c r="F2182" s="62"/>
      <c r="G2182" s="62"/>
      <c r="H2182" s="62" t="str">
        <f>IF(AND('Data Export'!A2182=前十整体车型排名!$B$2,'Data Export'!B2182=前十整体车型排名!$B$3,'Data Export'!D2182&lt;&gt;""),UPPER('Data Export'!C2182)&amp;"♦"&amp;'Data Export'!D2182,"")</f>
        <v/>
      </c>
      <c r="I2182" s="63" t="str">
        <f>IF(H2182="","",IFERROR(INDEX('Data Export'!G2182:CZ2182,1,MATCH(前十整体车型排名!$B$4,'Data Export'!$G$1:$CZ$1,0)),0))</f>
        <v/>
      </c>
      <c r="J2182" s="62" t="str">
        <f>IF(H2182="","",IF(OR('Data Export'!F2182="三厢轿车",'Data Export'!F2182="掀背轿车",'Data Export'!F2182="旅行车",'Data Export'!F2182="微型车",'Data Export'!F2182="硬顶跑车",'Data Export'!F2182="敞蓬车",'Data Export'!F2182="Targa"),"轿车",IF(OR('Data Export'!F2182="小型MPV",'Data Export'!F2182="客车"),"MPV",IF('Data Export'!F2182="运动型多功能车","SUV","其他"))))</f>
        <v/>
      </c>
      <c r="K2182" s="62"/>
      <c r="L2182" s="62"/>
      <c r="M2182" s="62"/>
      <c r="N2182" s="62"/>
      <c r="O2182" s="62"/>
      <c r="P2182" s="62"/>
      <c r="Q2182" s="62"/>
    </row>
    <row r="2183" spans="1:17">
      <c r="A2183" s="62"/>
      <c r="B2183" s="62"/>
      <c r="C2183" s="62"/>
      <c r="D2183" s="62"/>
      <c r="E2183" s="62"/>
      <c r="F2183" s="62"/>
      <c r="G2183" s="62"/>
      <c r="H2183" s="62" t="str">
        <f>IF(AND('Data Export'!A2183=前十整体车型排名!$B$2,'Data Export'!B2183=前十整体车型排名!$B$3,'Data Export'!D2183&lt;&gt;""),UPPER('Data Export'!C2183)&amp;"♦"&amp;'Data Export'!D2183,"")</f>
        <v/>
      </c>
      <c r="I2183" s="63" t="str">
        <f>IF(H2183="","",IFERROR(INDEX('Data Export'!G2183:CZ2183,1,MATCH(前十整体车型排名!$B$4,'Data Export'!$G$1:$CZ$1,0)),0))</f>
        <v/>
      </c>
      <c r="J2183" s="62" t="str">
        <f>IF(H2183="","",IF(OR('Data Export'!F2183="三厢轿车",'Data Export'!F2183="掀背轿车",'Data Export'!F2183="旅行车",'Data Export'!F2183="微型车",'Data Export'!F2183="硬顶跑车",'Data Export'!F2183="敞蓬车",'Data Export'!F2183="Targa"),"轿车",IF(OR('Data Export'!F2183="小型MPV",'Data Export'!F2183="客车"),"MPV",IF('Data Export'!F2183="运动型多功能车","SUV","其他"))))</f>
        <v/>
      </c>
      <c r="K2183" s="62"/>
      <c r="L2183" s="62"/>
      <c r="M2183" s="62"/>
      <c r="N2183" s="62"/>
      <c r="O2183" s="62"/>
      <c r="P2183" s="62"/>
      <c r="Q2183" s="62"/>
    </row>
    <row r="2184" spans="1:17">
      <c r="A2184" s="62"/>
      <c r="B2184" s="62"/>
      <c r="C2184" s="62"/>
      <c r="D2184" s="62"/>
      <c r="E2184" s="62"/>
      <c r="F2184" s="62"/>
      <c r="G2184" s="62"/>
      <c r="H2184" s="62" t="str">
        <f>IF(AND('Data Export'!A2184=前十整体车型排名!$B$2,'Data Export'!B2184=前十整体车型排名!$B$3,'Data Export'!D2184&lt;&gt;""),UPPER('Data Export'!C2184)&amp;"♦"&amp;'Data Export'!D2184,"")</f>
        <v/>
      </c>
      <c r="I2184" s="63" t="str">
        <f>IF(H2184="","",IFERROR(INDEX('Data Export'!G2184:CZ2184,1,MATCH(前十整体车型排名!$B$4,'Data Export'!$G$1:$CZ$1,0)),0))</f>
        <v/>
      </c>
      <c r="J2184" s="62" t="str">
        <f>IF(H2184="","",IF(OR('Data Export'!F2184="三厢轿车",'Data Export'!F2184="掀背轿车",'Data Export'!F2184="旅行车",'Data Export'!F2184="微型车",'Data Export'!F2184="硬顶跑车",'Data Export'!F2184="敞蓬车",'Data Export'!F2184="Targa"),"轿车",IF(OR('Data Export'!F2184="小型MPV",'Data Export'!F2184="客车"),"MPV",IF('Data Export'!F2184="运动型多功能车","SUV","其他"))))</f>
        <v/>
      </c>
      <c r="K2184" s="62"/>
      <c r="L2184" s="62"/>
      <c r="M2184" s="62"/>
      <c r="N2184" s="62"/>
      <c r="O2184" s="62"/>
      <c r="P2184" s="62"/>
      <c r="Q2184" s="62"/>
    </row>
    <row r="2185" spans="1:17">
      <c r="A2185" s="62"/>
      <c r="B2185" s="62"/>
      <c r="C2185" s="62"/>
      <c r="D2185" s="62"/>
      <c r="E2185" s="62"/>
      <c r="F2185" s="62"/>
      <c r="G2185" s="62"/>
      <c r="H2185" s="62" t="str">
        <f>IF(AND('Data Export'!A2185=前十整体车型排名!$B$2,'Data Export'!B2185=前十整体车型排名!$B$3,'Data Export'!D2185&lt;&gt;""),UPPER('Data Export'!C2185)&amp;"♦"&amp;'Data Export'!D2185,"")</f>
        <v/>
      </c>
      <c r="I2185" s="63" t="str">
        <f>IF(H2185="","",IFERROR(INDEX('Data Export'!G2185:CZ2185,1,MATCH(前十整体车型排名!$B$4,'Data Export'!$G$1:$CZ$1,0)),0))</f>
        <v/>
      </c>
      <c r="J2185" s="62" t="str">
        <f>IF(H2185="","",IF(OR('Data Export'!F2185="三厢轿车",'Data Export'!F2185="掀背轿车",'Data Export'!F2185="旅行车",'Data Export'!F2185="微型车",'Data Export'!F2185="硬顶跑车",'Data Export'!F2185="敞蓬车",'Data Export'!F2185="Targa"),"轿车",IF(OR('Data Export'!F2185="小型MPV",'Data Export'!F2185="客车"),"MPV",IF('Data Export'!F2185="运动型多功能车","SUV","其他"))))</f>
        <v/>
      </c>
      <c r="K2185" s="62"/>
      <c r="L2185" s="62"/>
      <c r="M2185" s="62"/>
      <c r="N2185" s="62"/>
      <c r="O2185" s="62"/>
      <c r="P2185" s="62"/>
      <c r="Q2185" s="62"/>
    </row>
    <row r="2186" spans="1:17">
      <c r="A2186" s="62"/>
      <c r="B2186" s="62"/>
      <c r="C2186" s="62"/>
      <c r="D2186" s="62"/>
      <c r="E2186" s="62"/>
      <c r="F2186" s="62"/>
      <c r="G2186" s="62"/>
      <c r="H2186" s="62" t="str">
        <f>IF(AND('Data Export'!A2186=前十整体车型排名!$B$2,'Data Export'!B2186=前十整体车型排名!$B$3,'Data Export'!D2186&lt;&gt;""),UPPER('Data Export'!C2186)&amp;"♦"&amp;'Data Export'!D2186,"")</f>
        <v/>
      </c>
      <c r="I2186" s="63" t="str">
        <f>IF(H2186="","",IFERROR(INDEX('Data Export'!G2186:CZ2186,1,MATCH(前十整体车型排名!$B$4,'Data Export'!$G$1:$CZ$1,0)),0))</f>
        <v/>
      </c>
      <c r="J2186" s="62" t="str">
        <f>IF(H2186="","",IF(OR('Data Export'!F2186="三厢轿车",'Data Export'!F2186="掀背轿车",'Data Export'!F2186="旅行车",'Data Export'!F2186="微型车",'Data Export'!F2186="硬顶跑车",'Data Export'!F2186="敞蓬车",'Data Export'!F2186="Targa"),"轿车",IF(OR('Data Export'!F2186="小型MPV",'Data Export'!F2186="客车"),"MPV",IF('Data Export'!F2186="运动型多功能车","SUV","其他"))))</f>
        <v/>
      </c>
      <c r="K2186" s="62"/>
      <c r="L2186" s="62"/>
      <c r="M2186" s="62"/>
      <c r="N2186" s="62"/>
      <c r="O2186" s="62"/>
      <c r="P2186" s="62"/>
      <c r="Q2186" s="62"/>
    </row>
    <row r="2187" spans="1:17">
      <c r="A2187" s="62"/>
      <c r="B2187" s="62"/>
      <c r="C2187" s="62"/>
      <c r="D2187" s="62"/>
      <c r="E2187" s="62"/>
      <c r="F2187" s="62"/>
      <c r="G2187" s="62"/>
      <c r="H2187" s="62" t="str">
        <f>IF(AND('Data Export'!A2187=前十整体车型排名!$B$2,'Data Export'!B2187=前十整体车型排名!$B$3,'Data Export'!D2187&lt;&gt;""),UPPER('Data Export'!C2187)&amp;"♦"&amp;'Data Export'!D2187,"")</f>
        <v/>
      </c>
      <c r="I2187" s="63" t="str">
        <f>IF(H2187="","",IFERROR(INDEX('Data Export'!G2187:CZ2187,1,MATCH(前十整体车型排名!$B$4,'Data Export'!$G$1:$CZ$1,0)),0))</f>
        <v/>
      </c>
      <c r="J2187" s="62" t="str">
        <f>IF(H2187="","",IF(OR('Data Export'!F2187="三厢轿车",'Data Export'!F2187="掀背轿车",'Data Export'!F2187="旅行车",'Data Export'!F2187="微型车",'Data Export'!F2187="硬顶跑车",'Data Export'!F2187="敞蓬车",'Data Export'!F2187="Targa"),"轿车",IF(OR('Data Export'!F2187="小型MPV",'Data Export'!F2187="客车"),"MPV",IF('Data Export'!F2187="运动型多功能车","SUV","其他"))))</f>
        <v/>
      </c>
      <c r="K2187" s="62"/>
      <c r="L2187" s="62"/>
      <c r="M2187" s="62"/>
      <c r="N2187" s="62"/>
      <c r="O2187" s="62"/>
      <c r="P2187" s="62"/>
      <c r="Q2187" s="62"/>
    </row>
    <row r="2188" spans="1:17">
      <c r="A2188" s="62"/>
      <c r="B2188" s="62"/>
      <c r="C2188" s="62"/>
      <c r="D2188" s="62"/>
      <c r="E2188" s="62"/>
      <c r="F2188" s="62"/>
      <c r="G2188" s="62"/>
      <c r="H2188" s="62" t="str">
        <f>IF(AND('Data Export'!A2188=前十整体车型排名!$B$2,'Data Export'!B2188=前十整体车型排名!$B$3,'Data Export'!D2188&lt;&gt;""),UPPER('Data Export'!C2188)&amp;"♦"&amp;'Data Export'!D2188,"")</f>
        <v/>
      </c>
      <c r="I2188" s="63" t="str">
        <f>IF(H2188="","",IFERROR(INDEX('Data Export'!G2188:CZ2188,1,MATCH(前十整体车型排名!$B$4,'Data Export'!$G$1:$CZ$1,0)),0))</f>
        <v/>
      </c>
      <c r="J2188" s="62" t="str">
        <f>IF(H2188="","",IF(OR('Data Export'!F2188="三厢轿车",'Data Export'!F2188="掀背轿车",'Data Export'!F2188="旅行车",'Data Export'!F2188="微型车",'Data Export'!F2188="硬顶跑车",'Data Export'!F2188="敞蓬车",'Data Export'!F2188="Targa"),"轿车",IF(OR('Data Export'!F2188="小型MPV",'Data Export'!F2188="客车"),"MPV",IF('Data Export'!F2188="运动型多功能车","SUV","其他"))))</f>
        <v/>
      </c>
      <c r="K2188" s="62"/>
      <c r="L2188" s="62"/>
      <c r="M2188" s="62"/>
      <c r="N2188" s="62"/>
      <c r="O2188" s="62"/>
      <c r="P2188" s="62"/>
      <c r="Q2188" s="62"/>
    </row>
    <row r="2189" spans="1:17">
      <c r="A2189" s="62"/>
      <c r="B2189" s="62"/>
      <c r="C2189" s="62"/>
      <c r="D2189" s="62"/>
      <c r="E2189" s="62"/>
      <c r="F2189" s="62"/>
      <c r="G2189" s="62"/>
      <c r="H2189" s="62" t="str">
        <f>IF(AND('Data Export'!A2189=前十整体车型排名!$B$2,'Data Export'!B2189=前十整体车型排名!$B$3,'Data Export'!D2189&lt;&gt;""),UPPER('Data Export'!C2189)&amp;"♦"&amp;'Data Export'!D2189,"")</f>
        <v/>
      </c>
      <c r="I2189" s="63" t="str">
        <f>IF(H2189="","",IFERROR(INDEX('Data Export'!G2189:CZ2189,1,MATCH(前十整体车型排名!$B$4,'Data Export'!$G$1:$CZ$1,0)),0))</f>
        <v/>
      </c>
      <c r="J2189" s="62" t="str">
        <f>IF(H2189="","",IF(OR('Data Export'!F2189="三厢轿车",'Data Export'!F2189="掀背轿车",'Data Export'!F2189="旅行车",'Data Export'!F2189="微型车",'Data Export'!F2189="硬顶跑车",'Data Export'!F2189="敞蓬车",'Data Export'!F2189="Targa"),"轿车",IF(OR('Data Export'!F2189="小型MPV",'Data Export'!F2189="客车"),"MPV",IF('Data Export'!F2189="运动型多功能车","SUV","其他"))))</f>
        <v/>
      </c>
      <c r="K2189" s="62"/>
      <c r="L2189" s="62"/>
      <c r="M2189" s="62"/>
      <c r="N2189" s="62"/>
      <c r="O2189" s="62"/>
      <c r="P2189" s="62"/>
      <c r="Q2189" s="62"/>
    </row>
    <row r="2190" spans="1:17">
      <c r="A2190" s="62"/>
      <c r="B2190" s="62"/>
      <c r="C2190" s="62"/>
      <c r="D2190" s="62"/>
      <c r="E2190" s="62"/>
      <c r="F2190" s="62"/>
      <c r="G2190" s="62"/>
      <c r="H2190" s="62" t="str">
        <f>IF(AND('Data Export'!A2190=前十整体车型排名!$B$2,'Data Export'!B2190=前十整体车型排名!$B$3,'Data Export'!D2190&lt;&gt;""),UPPER('Data Export'!C2190)&amp;"♦"&amp;'Data Export'!D2190,"")</f>
        <v/>
      </c>
      <c r="I2190" s="63" t="str">
        <f>IF(H2190="","",IFERROR(INDEX('Data Export'!G2190:CZ2190,1,MATCH(前十整体车型排名!$B$4,'Data Export'!$G$1:$CZ$1,0)),0))</f>
        <v/>
      </c>
      <c r="J2190" s="62" t="str">
        <f>IF(H2190="","",IF(OR('Data Export'!F2190="三厢轿车",'Data Export'!F2190="掀背轿车",'Data Export'!F2190="旅行车",'Data Export'!F2190="微型车",'Data Export'!F2190="硬顶跑车",'Data Export'!F2190="敞蓬车",'Data Export'!F2190="Targa"),"轿车",IF(OR('Data Export'!F2190="小型MPV",'Data Export'!F2190="客车"),"MPV",IF('Data Export'!F2190="运动型多功能车","SUV","其他"))))</f>
        <v/>
      </c>
      <c r="K2190" s="62"/>
      <c r="L2190" s="62"/>
      <c r="M2190" s="62"/>
      <c r="N2190" s="62"/>
      <c r="O2190" s="62"/>
      <c r="P2190" s="62"/>
      <c r="Q2190" s="62"/>
    </row>
    <row r="2191" spans="1:17">
      <c r="A2191" s="62"/>
      <c r="B2191" s="62"/>
      <c r="C2191" s="62"/>
      <c r="D2191" s="62"/>
      <c r="E2191" s="62"/>
      <c r="F2191" s="62"/>
      <c r="G2191" s="62"/>
      <c r="H2191" s="62" t="str">
        <f>IF(AND('Data Export'!A2191=前十整体车型排名!$B$2,'Data Export'!B2191=前十整体车型排名!$B$3,'Data Export'!D2191&lt;&gt;""),UPPER('Data Export'!C2191)&amp;"♦"&amp;'Data Export'!D2191,"")</f>
        <v/>
      </c>
      <c r="I2191" s="63" t="str">
        <f>IF(H2191="","",IFERROR(INDEX('Data Export'!G2191:CZ2191,1,MATCH(前十整体车型排名!$B$4,'Data Export'!$G$1:$CZ$1,0)),0))</f>
        <v/>
      </c>
      <c r="J2191" s="62" t="str">
        <f>IF(H2191="","",IF(OR('Data Export'!F2191="三厢轿车",'Data Export'!F2191="掀背轿车",'Data Export'!F2191="旅行车",'Data Export'!F2191="微型车",'Data Export'!F2191="硬顶跑车",'Data Export'!F2191="敞蓬车",'Data Export'!F2191="Targa"),"轿车",IF(OR('Data Export'!F2191="小型MPV",'Data Export'!F2191="客车"),"MPV",IF('Data Export'!F2191="运动型多功能车","SUV","其他"))))</f>
        <v/>
      </c>
      <c r="K2191" s="62"/>
      <c r="L2191" s="62"/>
      <c r="M2191" s="62"/>
      <c r="N2191" s="62"/>
      <c r="O2191" s="62"/>
      <c r="P2191" s="62"/>
      <c r="Q2191" s="62"/>
    </row>
    <row r="2192" spans="1:17">
      <c r="A2192" s="62"/>
      <c r="B2192" s="62"/>
      <c r="C2192" s="62"/>
      <c r="D2192" s="62"/>
      <c r="E2192" s="62"/>
      <c r="F2192" s="62"/>
      <c r="G2192" s="62"/>
      <c r="H2192" s="62" t="str">
        <f>IF(AND('Data Export'!A2192=前十整体车型排名!$B$2,'Data Export'!B2192=前十整体车型排名!$B$3,'Data Export'!D2192&lt;&gt;""),UPPER('Data Export'!C2192)&amp;"♦"&amp;'Data Export'!D2192,"")</f>
        <v/>
      </c>
      <c r="I2192" s="63" t="str">
        <f>IF(H2192="","",IFERROR(INDEX('Data Export'!G2192:CZ2192,1,MATCH(前十整体车型排名!$B$4,'Data Export'!$G$1:$CZ$1,0)),0))</f>
        <v/>
      </c>
      <c r="J2192" s="62" t="str">
        <f>IF(H2192="","",IF(OR('Data Export'!F2192="三厢轿车",'Data Export'!F2192="掀背轿车",'Data Export'!F2192="旅行车",'Data Export'!F2192="微型车",'Data Export'!F2192="硬顶跑车",'Data Export'!F2192="敞蓬车",'Data Export'!F2192="Targa"),"轿车",IF(OR('Data Export'!F2192="小型MPV",'Data Export'!F2192="客车"),"MPV",IF('Data Export'!F2192="运动型多功能车","SUV","其他"))))</f>
        <v/>
      </c>
      <c r="K2192" s="62"/>
      <c r="L2192" s="62"/>
      <c r="M2192" s="62"/>
      <c r="N2192" s="62"/>
      <c r="O2192" s="62"/>
      <c r="P2192" s="62"/>
      <c r="Q2192" s="62"/>
    </row>
    <row r="2193" spans="1:17">
      <c r="A2193" s="62"/>
      <c r="B2193" s="62"/>
      <c r="C2193" s="62"/>
      <c r="D2193" s="62"/>
      <c r="E2193" s="62"/>
      <c r="F2193" s="62"/>
      <c r="G2193" s="62"/>
      <c r="H2193" s="62" t="str">
        <f>IF(AND('Data Export'!A2193=前十整体车型排名!$B$2,'Data Export'!B2193=前十整体车型排名!$B$3,'Data Export'!D2193&lt;&gt;""),UPPER('Data Export'!C2193)&amp;"♦"&amp;'Data Export'!D2193,"")</f>
        <v/>
      </c>
      <c r="I2193" s="63" t="str">
        <f>IF(H2193="","",IFERROR(INDEX('Data Export'!G2193:CZ2193,1,MATCH(前十整体车型排名!$B$4,'Data Export'!$G$1:$CZ$1,0)),0))</f>
        <v/>
      </c>
      <c r="J2193" s="62" t="str">
        <f>IF(H2193="","",IF(OR('Data Export'!F2193="三厢轿车",'Data Export'!F2193="掀背轿车",'Data Export'!F2193="旅行车",'Data Export'!F2193="微型车",'Data Export'!F2193="硬顶跑车",'Data Export'!F2193="敞蓬车",'Data Export'!F2193="Targa"),"轿车",IF(OR('Data Export'!F2193="小型MPV",'Data Export'!F2193="客车"),"MPV",IF('Data Export'!F2193="运动型多功能车","SUV","其他"))))</f>
        <v/>
      </c>
      <c r="K2193" s="62"/>
      <c r="L2193" s="62"/>
      <c r="M2193" s="62"/>
      <c r="N2193" s="62"/>
      <c r="O2193" s="62"/>
      <c r="P2193" s="62"/>
      <c r="Q2193" s="62"/>
    </row>
    <row r="2194" spans="1:17">
      <c r="A2194" s="62"/>
      <c r="B2194" s="62"/>
      <c r="C2194" s="62"/>
      <c r="D2194" s="62"/>
      <c r="E2194" s="62"/>
      <c r="F2194" s="62"/>
      <c r="G2194" s="62"/>
      <c r="H2194" s="62" t="str">
        <f>IF(AND('Data Export'!A2194=前十整体车型排名!$B$2,'Data Export'!B2194=前十整体车型排名!$B$3,'Data Export'!D2194&lt;&gt;""),UPPER('Data Export'!C2194)&amp;"♦"&amp;'Data Export'!D2194,"")</f>
        <v/>
      </c>
      <c r="I2194" s="63" t="str">
        <f>IF(H2194="","",IFERROR(INDEX('Data Export'!G2194:CZ2194,1,MATCH(前十整体车型排名!$B$4,'Data Export'!$G$1:$CZ$1,0)),0))</f>
        <v/>
      </c>
      <c r="J2194" s="62" t="str">
        <f>IF(H2194="","",IF(OR('Data Export'!F2194="三厢轿车",'Data Export'!F2194="掀背轿车",'Data Export'!F2194="旅行车",'Data Export'!F2194="微型车",'Data Export'!F2194="硬顶跑车",'Data Export'!F2194="敞蓬车",'Data Export'!F2194="Targa"),"轿车",IF(OR('Data Export'!F2194="小型MPV",'Data Export'!F2194="客车"),"MPV",IF('Data Export'!F2194="运动型多功能车","SUV","其他"))))</f>
        <v/>
      </c>
      <c r="K2194" s="62"/>
      <c r="L2194" s="62"/>
      <c r="M2194" s="62"/>
      <c r="N2194" s="62"/>
      <c r="O2194" s="62"/>
      <c r="P2194" s="62"/>
      <c r="Q2194" s="62"/>
    </row>
    <row r="2195" spans="1:17">
      <c r="A2195" s="62"/>
      <c r="B2195" s="62"/>
      <c r="C2195" s="62"/>
      <c r="D2195" s="62"/>
      <c r="E2195" s="62"/>
      <c r="F2195" s="62"/>
      <c r="G2195" s="62"/>
      <c r="H2195" s="62" t="str">
        <f>IF(AND('Data Export'!A2195=前十整体车型排名!$B$2,'Data Export'!B2195=前十整体车型排名!$B$3,'Data Export'!D2195&lt;&gt;""),UPPER('Data Export'!C2195)&amp;"♦"&amp;'Data Export'!D2195,"")</f>
        <v/>
      </c>
      <c r="I2195" s="63" t="str">
        <f>IF(H2195="","",IFERROR(INDEX('Data Export'!G2195:CZ2195,1,MATCH(前十整体车型排名!$B$4,'Data Export'!$G$1:$CZ$1,0)),0))</f>
        <v/>
      </c>
      <c r="J2195" s="62" t="str">
        <f>IF(H2195="","",IF(OR('Data Export'!F2195="三厢轿车",'Data Export'!F2195="掀背轿车",'Data Export'!F2195="旅行车",'Data Export'!F2195="微型车",'Data Export'!F2195="硬顶跑车",'Data Export'!F2195="敞蓬车",'Data Export'!F2195="Targa"),"轿车",IF(OR('Data Export'!F2195="小型MPV",'Data Export'!F2195="客车"),"MPV",IF('Data Export'!F2195="运动型多功能车","SUV","其他"))))</f>
        <v/>
      </c>
      <c r="K2195" s="62"/>
      <c r="L2195" s="62"/>
      <c r="M2195" s="62"/>
      <c r="N2195" s="62"/>
      <c r="O2195" s="62"/>
      <c r="P2195" s="62"/>
      <c r="Q2195" s="62"/>
    </row>
    <row r="2196" spans="1:17">
      <c r="A2196" s="62"/>
      <c r="B2196" s="62"/>
      <c r="C2196" s="62"/>
      <c r="D2196" s="62"/>
      <c r="E2196" s="62"/>
      <c r="F2196" s="62"/>
      <c r="G2196" s="62"/>
      <c r="H2196" s="62" t="str">
        <f>IF(AND('Data Export'!A2196=前十整体车型排名!$B$2,'Data Export'!B2196=前十整体车型排名!$B$3,'Data Export'!D2196&lt;&gt;""),UPPER('Data Export'!C2196)&amp;"♦"&amp;'Data Export'!D2196,"")</f>
        <v/>
      </c>
      <c r="I2196" s="63" t="str">
        <f>IF(H2196="","",IFERROR(INDEX('Data Export'!G2196:CZ2196,1,MATCH(前十整体车型排名!$B$4,'Data Export'!$G$1:$CZ$1,0)),0))</f>
        <v/>
      </c>
      <c r="J2196" s="62" t="str">
        <f>IF(H2196="","",IF(OR('Data Export'!F2196="三厢轿车",'Data Export'!F2196="掀背轿车",'Data Export'!F2196="旅行车",'Data Export'!F2196="微型车",'Data Export'!F2196="硬顶跑车",'Data Export'!F2196="敞蓬车",'Data Export'!F2196="Targa"),"轿车",IF(OR('Data Export'!F2196="小型MPV",'Data Export'!F2196="客车"),"MPV",IF('Data Export'!F2196="运动型多功能车","SUV","其他"))))</f>
        <v/>
      </c>
      <c r="K2196" s="62"/>
      <c r="L2196" s="62"/>
      <c r="M2196" s="62"/>
      <c r="N2196" s="62"/>
      <c r="O2196" s="62"/>
      <c r="P2196" s="62"/>
      <c r="Q2196" s="62"/>
    </row>
    <row r="2197" spans="1:17">
      <c r="A2197" s="62"/>
      <c r="B2197" s="62"/>
      <c r="C2197" s="62"/>
      <c r="D2197" s="62"/>
      <c r="E2197" s="62"/>
      <c r="F2197" s="62"/>
      <c r="G2197" s="62"/>
      <c r="H2197" s="62" t="str">
        <f>IF(AND('Data Export'!A2197=前十整体车型排名!$B$2,'Data Export'!B2197=前十整体车型排名!$B$3,'Data Export'!D2197&lt;&gt;""),UPPER('Data Export'!C2197)&amp;"♦"&amp;'Data Export'!D2197,"")</f>
        <v/>
      </c>
      <c r="I2197" s="63" t="str">
        <f>IF(H2197="","",IFERROR(INDEX('Data Export'!G2197:CZ2197,1,MATCH(前十整体车型排名!$B$4,'Data Export'!$G$1:$CZ$1,0)),0))</f>
        <v/>
      </c>
      <c r="J2197" s="62" t="str">
        <f>IF(H2197="","",IF(OR('Data Export'!F2197="三厢轿车",'Data Export'!F2197="掀背轿车",'Data Export'!F2197="旅行车",'Data Export'!F2197="微型车",'Data Export'!F2197="硬顶跑车",'Data Export'!F2197="敞蓬车",'Data Export'!F2197="Targa"),"轿车",IF(OR('Data Export'!F2197="小型MPV",'Data Export'!F2197="客车"),"MPV",IF('Data Export'!F2197="运动型多功能车","SUV","其他"))))</f>
        <v/>
      </c>
      <c r="K2197" s="62"/>
      <c r="L2197" s="62"/>
      <c r="M2197" s="62"/>
      <c r="N2197" s="62"/>
      <c r="O2197" s="62"/>
      <c r="P2197" s="62"/>
      <c r="Q2197" s="62"/>
    </row>
    <row r="2198" spans="1:17">
      <c r="A2198" s="62"/>
      <c r="B2198" s="62"/>
      <c r="C2198" s="62"/>
      <c r="D2198" s="62"/>
      <c r="E2198" s="62"/>
      <c r="F2198" s="62"/>
      <c r="G2198" s="62"/>
      <c r="H2198" s="62" t="str">
        <f>IF(AND('Data Export'!A2198=前十整体车型排名!$B$2,'Data Export'!B2198=前十整体车型排名!$B$3,'Data Export'!D2198&lt;&gt;""),UPPER('Data Export'!C2198)&amp;"♦"&amp;'Data Export'!D2198,"")</f>
        <v/>
      </c>
      <c r="I2198" s="63" t="str">
        <f>IF(H2198="","",IFERROR(INDEX('Data Export'!G2198:CZ2198,1,MATCH(前十整体车型排名!$B$4,'Data Export'!$G$1:$CZ$1,0)),0))</f>
        <v/>
      </c>
      <c r="J2198" s="62" t="str">
        <f>IF(H2198="","",IF(OR('Data Export'!F2198="三厢轿车",'Data Export'!F2198="掀背轿车",'Data Export'!F2198="旅行车",'Data Export'!F2198="微型车",'Data Export'!F2198="硬顶跑车",'Data Export'!F2198="敞蓬车",'Data Export'!F2198="Targa"),"轿车",IF(OR('Data Export'!F2198="小型MPV",'Data Export'!F2198="客车"),"MPV",IF('Data Export'!F2198="运动型多功能车","SUV","其他"))))</f>
        <v/>
      </c>
      <c r="K2198" s="62"/>
      <c r="L2198" s="62"/>
      <c r="M2198" s="62"/>
      <c r="N2198" s="62"/>
      <c r="O2198" s="62"/>
      <c r="P2198" s="62"/>
      <c r="Q2198" s="62"/>
    </row>
    <row r="2199" spans="1:17">
      <c r="A2199" s="62"/>
      <c r="B2199" s="62"/>
      <c r="C2199" s="62"/>
      <c r="D2199" s="62"/>
      <c r="E2199" s="62"/>
      <c r="F2199" s="62"/>
      <c r="G2199" s="62"/>
      <c r="H2199" s="62" t="str">
        <f>IF(AND('Data Export'!A2199=前十整体车型排名!$B$2,'Data Export'!B2199=前十整体车型排名!$B$3,'Data Export'!D2199&lt;&gt;""),UPPER('Data Export'!C2199)&amp;"♦"&amp;'Data Export'!D2199,"")</f>
        <v/>
      </c>
      <c r="I2199" s="63" t="str">
        <f>IF(H2199="","",IFERROR(INDEX('Data Export'!G2199:CZ2199,1,MATCH(前十整体车型排名!$B$4,'Data Export'!$G$1:$CZ$1,0)),0))</f>
        <v/>
      </c>
      <c r="J2199" s="62" t="str">
        <f>IF(H2199="","",IF(OR('Data Export'!F2199="三厢轿车",'Data Export'!F2199="掀背轿车",'Data Export'!F2199="旅行车",'Data Export'!F2199="微型车",'Data Export'!F2199="硬顶跑车",'Data Export'!F2199="敞蓬车",'Data Export'!F2199="Targa"),"轿车",IF(OR('Data Export'!F2199="小型MPV",'Data Export'!F2199="客车"),"MPV",IF('Data Export'!F2199="运动型多功能车","SUV","其他"))))</f>
        <v/>
      </c>
      <c r="K2199" s="62"/>
      <c r="L2199" s="62"/>
      <c r="M2199" s="62"/>
      <c r="N2199" s="62"/>
      <c r="O2199" s="62"/>
      <c r="P2199" s="62"/>
      <c r="Q2199" s="62"/>
    </row>
    <row r="2200" spans="1:17">
      <c r="A2200" s="62"/>
      <c r="B2200" s="62"/>
      <c r="C2200" s="62"/>
      <c r="D2200" s="62"/>
      <c r="E2200" s="62"/>
      <c r="F2200" s="62"/>
      <c r="G2200" s="62"/>
      <c r="H2200" s="62" t="str">
        <f>IF(AND('Data Export'!A2200=前十整体车型排名!$B$2,'Data Export'!B2200=前十整体车型排名!$B$3,'Data Export'!D2200&lt;&gt;""),UPPER('Data Export'!C2200)&amp;"♦"&amp;'Data Export'!D2200,"")</f>
        <v/>
      </c>
      <c r="I2200" s="63" t="str">
        <f>IF(H2200="","",IFERROR(INDEX('Data Export'!G2200:CZ2200,1,MATCH(前十整体车型排名!$B$4,'Data Export'!$G$1:$CZ$1,0)),0))</f>
        <v/>
      </c>
      <c r="J2200" s="62" t="str">
        <f>IF(H2200="","",IF(OR('Data Export'!F2200="三厢轿车",'Data Export'!F2200="掀背轿车",'Data Export'!F2200="旅行车",'Data Export'!F2200="微型车",'Data Export'!F2200="硬顶跑车",'Data Export'!F2200="敞蓬车",'Data Export'!F2200="Targa"),"轿车",IF(OR('Data Export'!F2200="小型MPV",'Data Export'!F2200="客车"),"MPV",IF('Data Export'!F2200="运动型多功能车","SUV","其他"))))</f>
        <v/>
      </c>
      <c r="K2200" s="62"/>
      <c r="L2200" s="62"/>
      <c r="M2200" s="62"/>
      <c r="N2200" s="62"/>
      <c r="O2200" s="62"/>
      <c r="P2200" s="62"/>
      <c r="Q2200" s="62"/>
    </row>
    <row r="2201" spans="1:17">
      <c r="A2201" s="62"/>
      <c r="B2201" s="62"/>
      <c r="C2201" s="62"/>
      <c r="D2201" s="62"/>
      <c r="E2201" s="62"/>
      <c r="F2201" s="62"/>
      <c r="G2201" s="62"/>
      <c r="H2201" s="62" t="str">
        <f>IF(AND('Data Export'!A2201=前十整体车型排名!$B$2,'Data Export'!B2201=前十整体车型排名!$B$3,'Data Export'!D2201&lt;&gt;""),UPPER('Data Export'!C2201)&amp;"♦"&amp;'Data Export'!D2201,"")</f>
        <v/>
      </c>
      <c r="I2201" s="63" t="str">
        <f>IF(H2201="","",IFERROR(INDEX('Data Export'!G2201:CZ2201,1,MATCH(前十整体车型排名!$B$4,'Data Export'!$G$1:$CZ$1,0)),0))</f>
        <v/>
      </c>
      <c r="J2201" s="62" t="str">
        <f>IF(H2201="","",IF(OR('Data Export'!F2201="三厢轿车",'Data Export'!F2201="掀背轿车",'Data Export'!F2201="旅行车",'Data Export'!F2201="微型车",'Data Export'!F2201="硬顶跑车",'Data Export'!F2201="敞蓬车",'Data Export'!F2201="Targa"),"轿车",IF(OR('Data Export'!F2201="小型MPV",'Data Export'!F2201="客车"),"MPV",IF('Data Export'!F2201="运动型多功能车","SUV","其他"))))</f>
        <v/>
      </c>
      <c r="K2201" s="62"/>
      <c r="L2201" s="62"/>
      <c r="M2201" s="62"/>
      <c r="N2201" s="62"/>
      <c r="O2201" s="62"/>
      <c r="P2201" s="62"/>
      <c r="Q2201" s="62"/>
    </row>
    <row r="2202" spans="1:17">
      <c r="A2202" s="62"/>
      <c r="B2202" s="62"/>
      <c r="C2202" s="62"/>
      <c r="D2202" s="62"/>
      <c r="E2202" s="62"/>
      <c r="F2202" s="62"/>
      <c r="G2202" s="62"/>
      <c r="H2202" s="62" t="str">
        <f>IF(AND('Data Export'!A2202=前十整体车型排名!$B$2,'Data Export'!B2202=前十整体车型排名!$B$3,'Data Export'!D2202&lt;&gt;""),UPPER('Data Export'!C2202)&amp;"♦"&amp;'Data Export'!D2202,"")</f>
        <v/>
      </c>
      <c r="I2202" s="63" t="str">
        <f>IF(H2202="","",IFERROR(INDEX('Data Export'!G2202:CZ2202,1,MATCH(前十整体车型排名!$B$4,'Data Export'!$G$1:$CZ$1,0)),0))</f>
        <v/>
      </c>
      <c r="J2202" s="62" t="str">
        <f>IF(H2202="","",IF(OR('Data Export'!F2202="三厢轿车",'Data Export'!F2202="掀背轿车",'Data Export'!F2202="旅行车",'Data Export'!F2202="微型车",'Data Export'!F2202="硬顶跑车",'Data Export'!F2202="敞蓬车",'Data Export'!F2202="Targa"),"轿车",IF(OR('Data Export'!F2202="小型MPV",'Data Export'!F2202="客车"),"MPV",IF('Data Export'!F2202="运动型多功能车","SUV","其他"))))</f>
        <v/>
      </c>
      <c r="K2202" s="62"/>
      <c r="L2202" s="62"/>
      <c r="M2202" s="62"/>
      <c r="N2202" s="62"/>
      <c r="O2202" s="62"/>
      <c r="P2202" s="62"/>
      <c r="Q2202" s="62"/>
    </row>
    <row r="2203" spans="1:17">
      <c r="A2203" s="62"/>
      <c r="B2203" s="62"/>
      <c r="C2203" s="62"/>
      <c r="D2203" s="62"/>
      <c r="E2203" s="62"/>
      <c r="F2203" s="62"/>
      <c r="G2203" s="62"/>
      <c r="H2203" s="62" t="str">
        <f>IF(AND('Data Export'!A2203=前十整体车型排名!$B$2,'Data Export'!B2203=前十整体车型排名!$B$3,'Data Export'!D2203&lt;&gt;""),UPPER('Data Export'!C2203)&amp;"♦"&amp;'Data Export'!D2203,"")</f>
        <v/>
      </c>
      <c r="I2203" s="63" t="str">
        <f>IF(H2203="","",IFERROR(INDEX('Data Export'!G2203:CZ2203,1,MATCH(前十整体车型排名!$B$4,'Data Export'!$G$1:$CZ$1,0)),0))</f>
        <v/>
      </c>
      <c r="J2203" s="62" t="str">
        <f>IF(H2203="","",IF(OR('Data Export'!F2203="三厢轿车",'Data Export'!F2203="掀背轿车",'Data Export'!F2203="旅行车",'Data Export'!F2203="微型车",'Data Export'!F2203="硬顶跑车",'Data Export'!F2203="敞蓬车",'Data Export'!F2203="Targa"),"轿车",IF(OR('Data Export'!F2203="小型MPV",'Data Export'!F2203="客车"),"MPV",IF('Data Export'!F2203="运动型多功能车","SUV","其他"))))</f>
        <v/>
      </c>
      <c r="K2203" s="62"/>
      <c r="L2203" s="62"/>
      <c r="M2203" s="62"/>
      <c r="N2203" s="62"/>
      <c r="O2203" s="62"/>
      <c r="P2203" s="62"/>
      <c r="Q2203" s="62"/>
    </row>
    <row r="2204" spans="1:17">
      <c r="A2204" s="62"/>
      <c r="B2204" s="62"/>
      <c r="C2204" s="62"/>
      <c r="D2204" s="62"/>
      <c r="E2204" s="62"/>
      <c r="F2204" s="62"/>
      <c r="G2204" s="62"/>
      <c r="H2204" s="62" t="str">
        <f>IF(AND('Data Export'!A2204=前十整体车型排名!$B$2,'Data Export'!B2204=前十整体车型排名!$B$3,'Data Export'!D2204&lt;&gt;""),UPPER('Data Export'!C2204)&amp;"♦"&amp;'Data Export'!D2204,"")</f>
        <v/>
      </c>
      <c r="I2204" s="63" t="str">
        <f>IF(H2204="","",IFERROR(INDEX('Data Export'!G2204:CZ2204,1,MATCH(前十整体车型排名!$B$4,'Data Export'!$G$1:$CZ$1,0)),0))</f>
        <v/>
      </c>
      <c r="J2204" s="62" t="str">
        <f>IF(H2204="","",IF(OR('Data Export'!F2204="三厢轿车",'Data Export'!F2204="掀背轿车",'Data Export'!F2204="旅行车",'Data Export'!F2204="微型车",'Data Export'!F2204="硬顶跑车",'Data Export'!F2204="敞蓬车",'Data Export'!F2204="Targa"),"轿车",IF(OR('Data Export'!F2204="小型MPV",'Data Export'!F2204="客车"),"MPV",IF('Data Export'!F2204="运动型多功能车","SUV","其他"))))</f>
        <v/>
      </c>
      <c r="K2204" s="62"/>
      <c r="L2204" s="62"/>
      <c r="M2204" s="62"/>
      <c r="N2204" s="62"/>
      <c r="O2204" s="62"/>
      <c r="P2204" s="62"/>
      <c r="Q2204" s="62"/>
    </row>
    <row r="2205" spans="1:17">
      <c r="A2205" s="62"/>
      <c r="B2205" s="62"/>
      <c r="C2205" s="62"/>
      <c r="D2205" s="62"/>
      <c r="E2205" s="62"/>
      <c r="F2205" s="62"/>
      <c r="G2205" s="62"/>
      <c r="H2205" s="62" t="str">
        <f>IF(AND('Data Export'!A2205=前十整体车型排名!$B$2,'Data Export'!B2205=前十整体车型排名!$B$3,'Data Export'!D2205&lt;&gt;""),UPPER('Data Export'!C2205)&amp;"♦"&amp;'Data Export'!D2205,"")</f>
        <v/>
      </c>
      <c r="I2205" s="63" t="str">
        <f>IF(H2205="","",IFERROR(INDEX('Data Export'!G2205:CZ2205,1,MATCH(前十整体车型排名!$B$4,'Data Export'!$G$1:$CZ$1,0)),0))</f>
        <v/>
      </c>
      <c r="J2205" s="62" t="str">
        <f>IF(H2205="","",IF(OR('Data Export'!F2205="三厢轿车",'Data Export'!F2205="掀背轿车",'Data Export'!F2205="旅行车",'Data Export'!F2205="微型车",'Data Export'!F2205="硬顶跑车",'Data Export'!F2205="敞蓬车",'Data Export'!F2205="Targa"),"轿车",IF(OR('Data Export'!F2205="小型MPV",'Data Export'!F2205="客车"),"MPV",IF('Data Export'!F2205="运动型多功能车","SUV","其他"))))</f>
        <v/>
      </c>
      <c r="K2205" s="62"/>
      <c r="L2205" s="62"/>
      <c r="M2205" s="62"/>
      <c r="N2205" s="62"/>
      <c r="O2205" s="62"/>
      <c r="P2205" s="62"/>
      <c r="Q2205" s="62"/>
    </row>
    <row r="2206" spans="1:17">
      <c r="A2206" s="62"/>
      <c r="B2206" s="62"/>
      <c r="C2206" s="62"/>
      <c r="D2206" s="62"/>
      <c r="E2206" s="62"/>
      <c r="F2206" s="62"/>
      <c r="G2206" s="62"/>
      <c r="H2206" s="62" t="str">
        <f>IF(AND('Data Export'!A2206=前十整体车型排名!$B$2,'Data Export'!B2206=前十整体车型排名!$B$3,'Data Export'!D2206&lt;&gt;""),UPPER('Data Export'!C2206)&amp;"♦"&amp;'Data Export'!D2206,"")</f>
        <v/>
      </c>
      <c r="I2206" s="63" t="str">
        <f>IF(H2206="","",IFERROR(INDEX('Data Export'!G2206:CZ2206,1,MATCH(前十整体车型排名!$B$4,'Data Export'!$G$1:$CZ$1,0)),0))</f>
        <v/>
      </c>
      <c r="J2206" s="62" t="str">
        <f>IF(H2206="","",IF(OR('Data Export'!F2206="三厢轿车",'Data Export'!F2206="掀背轿车",'Data Export'!F2206="旅行车",'Data Export'!F2206="微型车",'Data Export'!F2206="硬顶跑车",'Data Export'!F2206="敞蓬车",'Data Export'!F2206="Targa"),"轿车",IF(OR('Data Export'!F2206="小型MPV",'Data Export'!F2206="客车"),"MPV",IF('Data Export'!F2206="运动型多功能车","SUV","其他"))))</f>
        <v/>
      </c>
      <c r="K2206" s="62"/>
      <c r="L2206" s="62"/>
      <c r="M2206" s="62"/>
      <c r="N2206" s="62"/>
      <c r="O2206" s="62"/>
      <c r="P2206" s="62"/>
      <c r="Q2206" s="62"/>
    </row>
    <row r="2207" spans="1:17">
      <c r="A2207" s="62"/>
      <c r="B2207" s="62"/>
      <c r="C2207" s="62"/>
      <c r="D2207" s="62"/>
      <c r="E2207" s="62"/>
      <c r="F2207" s="62"/>
      <c r="G2207" s="62"/>
      <c r="H2207" s="62" t="str">
        <f>IF(AND('Data Export'!A2207=前十整体车型排名!$B$2,'Data Export'!B2207=前十整体车型排名!$B$3,'Data Export'!D2207&lt;&gt;""),UPPER('Data Export'!C2207)&amp;"♦"&amp;'Data Export'!D2207,"")</f>
        <v/>
      </c>
      <c r="I2207" s="63" t="str">
        <f>IF(H2207="","",IFERROR(INDEX('Data Export'!G2207:CZ2207,1,MATCH(前十整体车型排名!$B$4,'Data Export'!$G$1:$CZ$1,0)),0))</f>
        <v/>
      </c>
      <c r="J2207" s="62" t="str">
        <f>IF(H2207="","",IF(OR('Data Export'!F2207="三厢轿车",'Data Export'!F2207="掀背轿车",'Data Export'!F2207="旅行车",'Data Export'!F2207="微型车",'Data Export'!F2207="硬顶跑车",'Data Export'!F2207="敞蓬车",'Data Export'!F2207="Targa"),"轿车",IF(OR('Data Export'!F2207="小型MPV",'Data Export'!F2207="客车"),"MPV",IF('Data Export'!F2207="运动型多功能车","SUV","其他"))))</f>
        <v/>
      </c>
      <c r="K2207" s="62"/>
      <c r="L2207" s="62"/>
      <c r="M2207" s="62"/>
      <c r="N2207" s="62"/>
      <c r="O2207" s="62"/>
      <c r="P2207" s="62"/>
      <c r="Q2207" s="62"/>
    </row>
    <row r="2208" spans="1:17">
      <c r="A2208" s="62"/>
      <c r="B2208" s="62"/>
      <c r="C2208" s="62"/>
      <c r="D2208" s="62"/>
      <c r="E2208" s="62"/>
      <c r="F2208" s="62"/>
      <c r="G2208" s="62"/>
      <c r="H2208" s="62" t="str">
        <f>IF(AND('Data Export'!A2208=前十整体车型排名!$B$2,'Data Export'!B2208=前十整体车型排名!$B$3,'Data Export'!D2208&lt;&gt;""),UPPER('Data Export'!C2208)&amp;"♦"&amp;'Data Export'!D2208,"")</f>
        <v/>
      </c>
      <c r="I2208" s="63" t="str">
        <f>IF(H2208="","",IFERROR(INDEX('Data Export'!G2208:CZ2208,1,MATCH(前十整体车型排名!$B$4,'Data Export'!$G$1:$CZ$1,0)),0))</f>
        <v/>
      </c>
      <c r="J2208" s="62" t="str">
        <f>IF(H2208="","",IF(OR('Data Export'!F2208="三厢轿车",'Data Export'!F2208="掀背轿车",'Data Export'!F2208="旅行车",'Data Export'!F2208="微型车",'Data Export'!F2208="硬顶跑车",'Data Export'!F2208="敞蓬车",'Data Export'!F2208="Targa"),"轿车",IF(OR('Data Export'!F2208="小型MPV",'Data Export'!F2208="客车"),"MPV",IF('Data Export'!F2208="运动型多功能车","SUV","其他"))))</f>
        <v/>
      </c>
      <c r="K2208" s="62"/>
      <c r="L2208" s="62"/>
      <c r="M2208" s="62"/>
      <c r="N2208" s="62"/>
      <c r="O2208" s="62"/>
      <c r="P2208" s="62"/>
      <c r="Q2208" s="62"/>
    </row>
    <row r="2209" spans="1:17">
      <c r="A2209" s="62"/>
      <c r="B2209" s="62"/>
      <c r="C2209" s="62"/>
      <c r="D2209" s="62"/>
      <c r="E2209" s="62"/>
      <c r="F2209" s="62"/>
      <c r="G2209" s="62"/>
      <c r="H2209" s="62" t="str">
        <f>IF(AND('Data Export'!A2209=前十整体车型排名!$B$2,'Data Export'!B2209=前十整体车型排名!$B$3,'Data Export'!D2209&lt;&gt;""),UPPER('Data Export'!C2209)&amp;"♦"&amp;'Data Export'!D2209,"")</f>
        <v/>
      </c>
      <c r="I2209" s="63" t="str">
        <f>IF(H2209="","",IFERROR(INDEX('Data Export'!G2209:CZ2209,1,MATCH(前十整体车型排名!$B$4,'Data Export'!$G$1:$CZ$1,0)),0))</f>
        <v/>
      </c>
      <c r="J2209" s="62" t="str">
        <f>IF(H2209="","",IF(OR('Data Export'!F2209="三厢轿车",'Data Export'!F2209="掀背轿车",'Data Export'!F2209="旅行车",'Data Export'!F2209="微型车",'Data Export'!F2209="硬顶跑车",'Data Export'!F2209="敞蓬车",'Data Export'!F2209="Targa"),"轿车",IF(OR('Data Export'!F2209="小型MPV",'Data Export'!F2209="客车"),"MPV",IF('Data Export'!F2209="运动型多功能车","SUV","其他"))))</f>
        <v/>
      </c>
      <c r="K2209" s="62"/>
      <c r="L2209" s="62"/>
      <c r="M2209" s="62"/>
      <c r="N2209" s="62"/>
      <c r="O2209" s="62"/>
      <c r="P2209" s="62"/>
      <c r="Q2209" s="62"/>
    </row>
    <row r="2210" spans="1:17">
      <c r="A2210" s="62"/>
      <c r="B2210" s="62"/>
      <c r="C2210" s="62"/>
      <c r="D2210" s="62"/>
      <c r="E2210" s="62"/>
      <c r="F2210" s="62"/>
      <c r="G2210" s="62"/>
      <c r="H2210" s="62" t="str">
        <f>IF(AND('Data Export'!A2210=前十整体车型排名!$B$2,'Data Export'!B2210=前十整体车型排名!$B$3,'Data Export'!D2210&lt;&gt;""),UPPER('Data Export'!C2210)&amp;"♦"&amp;'Data Export'!D2210,"")</f>
        <v/>
      </c>
      <c r="I2210" s="63" t="str">
        <f>IF(H2210="","",IFERROR(INDEX('Data Export'!G2210:CZ2210,1,MATCH(前十整体车型排名!$B$4,'Data Export'!$G$1:$CZ$1,0)),0))</f>
        <v/>
      </c>
      <c r="J2210" s="62" t="str">
        <f>IF(H2210="","",IF(OR('Data Export'!F2210="三厢轿车",'Data Export'!F2210="掀背轿车",'Data Export'!F2210="旅行车",'Data Export'!F2210="微型车",'Data Export'!F2210="硬顶跑车",'Data Export'!F2210="敞蓬车",'Data Export'!F2210="Targa"),"轿车",IF(OR('Data Export'!F2210="小型MPV",'Data Export'!F2210="客车"),"MPV",IF('Data Export'!F2210="运动型多功能车","SUV","其他"))))</f>
        <v/>
      </c>
      <c r="K2210" s="62"/>
      <c r="L2210" s="62"/>
      <c r="M2210" s="62"/>
      <c r="N2210" s="62"/>
      <c r="O2210" s="62"/>
      <c r="P2210" s="62"/>
      <c r="Q2210" s="62"/>
    </row>
    <row r="2211" spans="1:17">
      <c r="A2211" s="62"/>
      <c r="B2211" s="62"/>
      <c r="C2211" s="62"/>
      <c r="D2211" s="62"/>
      <c r="E2211" s="62"/>
      <c r="F2211" s="62"/>
      <c r="G2211" s="62"/>
      <c r="H2211" s="62" t="str">
        <f>IF(AND('Data Export'!A2211=前十整体车型排名!$B$2,'Data Export'!B2211=前十整体车型排名!$B$3,'Data Export'!D2211&lt;&gt;""),UPPER('Data Export'!C2211)&amp;"♦"&amp;'Data Export'!D2211,"")</f>
        <v/>
      </c>
      <c r="I2211" s="63" t="str">
        <f>IF(H2211="","",IFERROR(INDEX('Data Export'!G2211:CZ2211,1,MATCH(前十整体车型排名!$B$4,'Data Export'!$G$1:$CZ$1,0)),0))</f>
        <v/>
      </c>
      <c r="J2211" s="62" t="str">
        <f>IF(H2211="","",IF(OR('Data Export'!F2211="三厢轿车",'Data Export'!F2211="掀背轿车",'Data Export'!F2211="旅行车",'Data Export'!F2211="微型车",'Data Export'!F2211="硬顶跑车",'Data Export'!F2211="敞蓬车",'Data Export'!F2211="Targa"),"轿车",IF(OR('Data Export'!F2211="小型MPV",'Data Export'!F2211="客车"),"MPV",IF('Data Export'!F2211="运动型多功能车","SUV","其他"))))</f>
        <v/>
      </c>
      <c r="K2211" s="62"/>
      <c r="L2211" s="62"/>
      <c r="M2211" s="62"/>
      <c r="N2211" s="62"/>
      <c r="O2211" s="62"/>
      <c r="P2211" s="62"/>
      <c r="Q2211" s="62"/>
    </row>
    <row r="2212" spans="1:17">
      <c r="A2212" s="62"/>
      <c r="B2212" s="62"/>
      <c r="C2212" s="62"/>
      <c r="D2212" s="62"/>
      <c r="E2212" s="62"/>
      <c r="F2212" s="62"/>
      <c r="G2212" s="62"/>
      <c r="H2212" s="62" t="str">
        <f>IF(AND('Data Export'!A2212=前十整体车型排名!$B$2,'Data Export'!B2212=前十整体车型排名!$B$3,'Data Export'!D2212&lt;&gt;""),UPPER('Data Export'!C2212)&amp;"♦"&amp;'Data Export'!D2212,"")</f>
        <v/>
      </c>
      <c r="I2212" s="63" t="str">
        <f>IF(H2212="","",IFERROR(INDEX('Data Export'!G2212:CZ2212,1,MATCH(前十整体车型排名!$B$4,'Data Export'!$G$1:$CZ$1,0)),0))</f>
        <v/>
      </c>
      <c r="J2212" s="62" t="str">
        <f>IF(H2212="","",IF(OR('Data Export'!F2212="三厢轿车",'Data Export'!F2212="掀背轿车",'Data Export'!F2212="旅行车",'Data Export'!F2212="微型车",'Data Export'!F2212="硬顶跑车",'Data Export'!F2212="敞蓬车",'Data Export'!F2212="Targa"),"轿车",IF(OR('Data Export'!F2212="小型MPV",'Data Export'!F2212="客车"),"MPV",IF('Data Export'!F2212="运动型多功能车","SUV","其他"))))</f>
        <v/>
      </c>
      <c r="K2212" s="62"/>
      <c r="L2212" s="62"/>
      <c r="M2212" s="62"/>
      <c r="N2212" s="62"/>
      <c r="O2212" s="62"/>
      <c r="P2212" s="62"/>
      <c r="Q2212" s="62"/>
    </row>
    <row r="2213" spans="1:17">
      <c r="A2213" s="62"/>
      <c r="B2213" s="62"/>
      <c r="C2213" s="62"/>
      <c r="D2213" s="62"/>
      <c r="E2213" s="62"/>
      <c r="F2213" s="62"/>
      <c r="G2213" s="62"/>
      <c r="H2213" s="62" t="str">
        <f>IF(AND('Data Export'!A2213=前十整体车型排名!$B$2,'Data Export'!B2213=前十整体车型排名!$B$3,'Data Export'!D2213&lt;&gt;""),UPPER('Data Export'!C2213)&amp;"♦"&amp;'Data Export'!D2213,"")</f>
        <v/>
      </c>
      <c r="I2213" s="63" t="str">
        <f>IF(H2213="","",IFERROR(INDEX('Data Export'!G2213:CZ2213,1,MATCH(前十整体车型排名!$B$4,'Data Export'!$G$1:$CZ$1,0)),0))</f>
        <v/>
      </c>
      <c r="J2213" s="62" t="str">
        <f>IF(H2213="","",IF(OR('Data Export'!F2213="三厢轿车",'Data Export'!F2213="掀背轿车",'Data Export'!F2213="旅行车",'Data Export'!F2213="微型车",'Data Export'!F2213="硬顶跑车",'Data Export'!F2213="敞蓬车",'Data Export'!F2213="Targa"),"轿车",IF(OR('Data Export'!F2213="小型MPV",'Data Export'!F2213="客车"),"MPV",IF('Data Export'!F2213="运动型多功能车","SUV","其他"))))</f>
        <v/>
      </c>
      <c r="K2213" s="62"/>
      <c r="L2213" s="62"/>
      <c r="M2213" s="62"/>
      <c r="N2213" s="62"/>
      <c r="O2213" s="62"/>
      <c r="P2213" s="62"/>
      <c r="Q2213" s="62"/>
    </row>
    <row r="2214" spans="1:17">
      <c r="A2214" s="62"/>
      <c r="B2214" s="62"/>
      <c r="C2214" s="62"/>
      <c r="D2214" s="62"/>
      <c r="E2214" s="62"/>
      <c r="F2214" s="62"/>
      <c r="G2214" s="62"/>
      <c r="H2214" s="62" t="str">
        <f>IF(AND('Data Export'!A2214=前十整体车型排名!$B$2,'Data Export'!B2214=前十整体车型排名!$B$3,'Data Export'!D2214&lt;&gt;""),UPPER('Data Export'!C2214)&amp;"♦"&amp;'Data Export'!D2214,"")</f>
        <v/>
      </c>
      <c r="I2214" s="63" t="str">
        <f>IF(H2214="","",IFERROR(INDEX('Data Export'!G2214:CZ2214,1,MATCH(前十整体车型排名!$B$4,'Data Export'!$G$1:$CZ$1,0)),0))</f>
        <v/>
      </c>
      <c r="J2214" s="62" t="str">
        <f>IF(H2214="","",IF(OR('Data Export'!F2214="三厢轿车",'Data Export'!F2214="掀背轿车",'Data Export'!F2214="旅行车",'Data Export'!F2214="微型车",'Data Export'!F2214="硬顶跑车",'Data Export'!F2214="敞蓬车",'Data Export'!F2214="Targa"),"轿车",IF(OR('Data Export'!F2214="小型MPV",'Data Export'!F2214="客车"),"MPV",IF('Data Export'!F2214="运动型多功能车","SUV","其他"))))</f>
        <v/>
      </c>
      <c r="K2214" s="62"/>
      <c r="L2214" s="62"/>
      <c r="M2214" s="62"/>
      <c r="N2214" s="62"/>
      <c r="O2214" s="62"/>
      <c r="P2214" s="62"/>
      <c r="Q2214" s="62"/>
    </row>
    <row r="2215" spans="1:17">
      <c r="A2215" s="62"/>
      <c r="B2215" s="62"/>
      <c r="C2215" s="62"/>
      <c r="D2215" s="62"/>
      <c r="E2215" s="62"/>
      <c r="F2215" s="62"/>
      <c r="G2215" s="62"/>
      <c r="H2215" s="62" t="str">
        <f>IF(AND('Data Export'!A2215=前十整体车型排名!$B$2,'Data Export'!B2215=前十整体车型排名!$B$3,'Data Export'!D2215&lt;&gt;""),UPPER('Data Export'!C2215)&amp;"♦"&amp;'Data Export'!D2215,"")</f>
        <v/>
      </c>
      <c r="I2215" s="63" t="str">
        <f>IF(H2215="","",IFERROR(INDEX('Data Export'!G2215:CZ2215,1,MATCH(前十整体车型排名!$B$4,'Data Export'!$G$1:$CZ$1,0)),0))</f>
        <v/>
      </c>
      <c r="J2215" s="62" t="str">
        <f>IF(H2215="","",IF(OR('Data Export'!F2215="三厢轿车",'Data Export'!F2215="掀背轿车",'Data Export'!F2215="旅行车",'Data Export'!F2215="微型车",'Data Export'!F2215="硬顶跑车",'Data Export'!F2215="敞蓬车",'Data Export'!F2215="Targa"),"轿车",IF(OR('Data Export'!F2215="小型MPV",'Data Export'!F2215="客车"),"MPV",IF('Data Export'!F2215="运动型多功能车","SUV","其他"))))</f>
        <v/>
      </c>
      <c r="K2215" s="62"/>
      <c r="L2215" s="62"/>
      <c r="M2215" s="62"/>
      <c r="N2215" s="62"/>
      <c r="O2215" s="62"/>
      <c r="P2215" s="62"/>
      <c r="Q2215" s="62"/>
    </row>
    <row r="2216" spans="1:17">
      <c r="A2216" s="62"/>
      <c r="B2216" s="62"/>
      <c r="C2216" s="62"/>
      <c r="D2216" s="62"/>
      <c r="E2216" s="62"/>
      <c r="F2216" s="62"/>
      <c r="G2216" s="62"/>
      <c r="H2216" s="62" t="str">
        <f>IF(AND('Data Export'!A2216=前十整体车型排名!$B$2,'Data Export'!B2216=前十整体车型排名!$B$3,'Data Export'!D2216&lt;&gt;""),UPPER('Data Export'!C2216)&amp;"♦"&amp;'Data Export'!D2216,"")</f>
        <v/>
      </c>
      <c r="I2216" s="63" t="str">
        <f>IF(H2216="","",IFERROR(INDEX('Data Export'!G2216:CZ2216,1,MATCH(前十整体车型排名!$B$4,'Data Export'!$G$1:$CZ$1,0)),0))</f>
        <v/>
      </c>
      <c r="J2216" s="62" t="str">
        <f>IF(H2216="","",IF(OR('Data Export'!F2216="三厢轿车",'Data Export'!F2216="掀背轿车",'Data Export'!F2216="旅行车",'Data Export'!F2216="微型车",'Data Export'!F2216="硬顶跑车",'Data Export'!F2216="敞蓬车",'Data Export'!F2216="Targa"),"轿车",IF(OR('Data Export'!F2216="小型MPV",'Data Export'!F2216="客车"),"MPV",IF('Data Export'!F2216="运动型多功能车","SUV","其他"))))</f>
        <v/>
      </c>
      <c r="K2216" s="62"/>
      <c r="L2216" s="62"/>
      <c r="M2216" s="62"/>
      <c r="N2216" s="62"/>
      <c r="O2216" s="62"/>
      <c r="P2216" s="62"/>
      <c r="Q2216" s="62"/>
    </row>
    <row r="2217" spans="1:17">
      <c r="A2217" s="62"/>
      <c r="B2217" s="62"/>
      <c r="C2217" s="62"/>
      <c r="D2217" s="62"/>
      <c r="E2217" s="62"/>
      <c r="F2217" s="62"/>
      <c r="G2217" s="62"/>
      <c r="H2217" s="62" t="str">
        <f>IF(AND('Data Export'!A2217=前十整体车型排名!$B$2,'Data Export'!B2217=前十整体车型排名!$B$3,'Data Export'!D2217&lt;&gt;""),UPPER('Data Export'!C2217)&amp;"♦"&amp;'Data Export'!D2217,"")</f>
        <v/>
      </c>
      <c r="I2217" s="63" t="str">
        <f>IF(H2217="","",IFERROR(INDEX('Data Export'!G2217:CZ2217,1,MATCH(前十整体车型排名!$B$4,'Data Export'!$G$1:$CZ$1,0)),0))</f>
        <v/>
      </c>
      <c r="J2217" s="62" t="str">
        <f>IF(H2217="","",IF(OR('Data Export'!F2217="三厢轿车",'Data Export'!F2217="掀背轿车",'Data Export'!F2217="旅行车",'Data Export'!F2217="微型车",'Data Export'!F2217="硬顶跑车",'Data Export'!F2217="敞蓬车",'Data Export'!F2217="Targa"),"轿车",IF(OR('Data Export'!F2217="小型MPV",'Data Export'!F2217="客车"),"MPV",IF('Data Export'!F2217="运动型多功能车","SUV","其他"))))</f>
        <v/>
      </c>
      <c r="K2217" s="62"/>
      <c r="L2217" s="62"/>
      <c r="M2217" s="62"/>
      <c r="N2217" s="62"/>
      <c r="O2217" s="62"/>
      <c r="P2217" s="62"/>
      <c r="Q2217" s="62"/>
    </row>
    <row r="2218" spans="1:17">
      <c r="A2218" s="62"/>
      <c r="B2218" s="62"/>
      <c r="C2218" s="62"/>
      <c r="D2218" s="62"/>
      <c r="E2218" s="62"/>
      <c r="F2218" s="62"/>
      <c r="G2218" s="62"/>
      <c r="H2218" s="62" t="str">
        <f>IF(AND('Data Export'!A2218=前十整体车型排名!$B$2,'Data Export'!B2218=前十整体车型排名!$B$3,'Data Export'!D2218&lt;&gt;""),UPPER('Data Export'!C2218)&amp;"♦"&amp;'Data Export'!D2218,"")</f>
        <v/>
      </c>
      <c r="I2218" s="63" t="str">
        <f>IF(H2218="","",IFERROR(INDEX('Data Export'!G2218:CZ2218,1,MATCH(前十整体车型排名!$B$4,'Data Export'!$G$1:$CZ$1,0)),0))</f>
        <v/>
      </c>
      <c r="J2218" s="62" t="str">
        <f>IF(H2218="","",IF(OR('Data Export'!F2218="三厢轿车",'Data Export'!F2218="掀背轿车",'Data Export'!F2218="旅行车",'Data Export'!F2218="微型车",'Data Export'!F2218="硬顶跑车",'Data Export'!F2218="敞蓬车",'Data Export'!F2218="Targa"),"轿车",IF(OR('Data Export'!F2218="小型MPV",'Data Export'!F2218="客车"),"MPV",IF('Data Export'!F2218="运动型多功能车","SUV","其他"))))</f>
        <v/>
      </c>
      <c r="K2218" s="62"/>
      <c r="L2218" s="62"/>
      <c r="M2218" s="62"/>
      <c r="N2218" s="62"/>
      <c r="O2218" s="62"/>
      <c r="P2218" s="62"/>
      <c r="Q2218" s="62"/>
    </row>
    <row r="2219" spans="1:17">
      <c r="A2219" s="62"/>
      <c r="B2219" s="62"/>
      <c r="C2219" s="62"/>
      <c r="D2219" s="62"/>
      <c r="E2219" s="62"/>
      <c r="F2219" s="62"/>
      <c r="G2219" s="62"/>
      <c r="H2219" s="62" t="str">
        <f>IF(AND('Data Export'!A2219=前十整体车型排名!$B$2,'Data Export'!B2219=前十整体车型排名!$B$3,'Data Export'!D2219&lt;&gt;""),UPPER('Data Export'!C2219)&amp;"♦"&amp;'Data Export'!D2219,"")</f>
        <v/>
      </c>
      <c r="I2219" s="63" t="str">
        <f>IF(H2219="","",IFERROR(INDEX('Data Export'!G2219:CZ2219,1,MATCH(前十整体车型排名!$B$4,'Data Export'!$G$1:$CZ$1,0)),0))</f>
        <v/>
      </c>
      <c r="J2219" s="62" t="str">
        <f>IF(H2219="","",IF(OR('Data Export'!F2219="三厢轿车",'Data Export'!F2219="掀背轿车",'Data Export'!F2219="旅行车",'Data Export'!F2219="微型车",'Data Export'!F2219="硬顶跑车",'Data Export'!F2219="敞蓬车",'Data Export'!F2219="Targa"),"轿车",IF(OR('Data Export'!F2219="小型MPV",'Data Export'!F2219="客车"),"MPV",IF('Data Export'!F2219="运动型多功能车","SUV","其他"))))</f>
        <v/>
      </c>
      <c r="K2219" s="62"/>
      <c r="L2219" s="62"/>
      <c r="M2219" s="62"/>
      <c r="N2219" s="62"/>
      <c r="O2219" s="62"/>
      <c r="P2219" s="62"/>
      <c r="Q2219" s="62"/>
    </row>
    <row r="2220" spans="1:17">
      <c r="A2220" s="62"/>
      <c r="B2220" s="62"/>
      <c r="C2220" s="62"/>
      <c r="D2220" s="62"/>
      <c r="E2220" s="62"/>
      <c r="F2220" s="62"/>
      <c r="G2220" s="62"/>
      <c r="H2220" s="62" t="str">
        <f>IF(AND('Data Export'!A2220=前十整体车型排名!$B$2,'Data Export'!B2220=前十整体车型排名!$B$3,'Data Export'!D2220&lt;&gt;""),UPPER('Data Export'!C2220)&amp;"♦"&amp;'Data Export'!D2220,"")</f>
        <v/>
      </c>
      <c r="I2220" s="63" t="str">
        <f>IF(H2220="","",IFERROR(INDEX('Data Export'!G2220:CZ2220,1,MATCH(前十整体车型排名!$B$4,'Data Export'!$G$1:$CZ$1,0)),0))</f>
        <v/>
      </c>
      <c r="J2220" s="62" t="str">
        <f>IF(H2220="","",IF(OR('Data Export'!F2220="三厢轿车",'Data Export'!F2220="掀背轿车",'Data Export'!F2220="旅行车",'Data Export'!F2220="微型车",'Data Export'!F2220="硬顶跑车",'Data Export'!F2220="敞蓬车",'Data Export'!F2220="Targa"),"轿车",IF(OR('Data Export'!F2220="小型MPV",'Data Export'!F2220="客车"),"MPV",IF('Data Export'!F2220="运动型多功能车","SUV","其他"))))</f>
        <v/>
      </c>
      <c r="K2220" s="62"/>
      <c r="L2220" s="62"/>
      <c r="M2220" s="62"/>
      <c r="N2220" s="62"/>
      <c r="O2220" s="62"/>
      <c r="P2220" s="62"/>
      <c r="Q2220" s="62"/>
    </row>
    <row r="2221" spans="1:17">
      <c r="A2221" s="62"/>
      <c r="B2221" s="62"/>
      <c r="C2221" s="62"/>
      <c r="D2221" s="62"/>
      <c r="E2221" s="62"/>
      <c r="F2221" s="62"/>
      <c r="G2221" s="62"/>
      <c r="H2221" s="62" t="str">
        <f>IF(AND('Data Export'!A2221=前十整体车型排名!$B$2,'Data Export'!B2221=前十整体车型排名!$B$3,'Data Export'!D2221&lt;&gt;""),UPPER('Data Export'!C2221)&amp;"♦"&amp;'Data Export'!D2221,"")</f>
        <v/>
      </c>
      <c r="I2221" s="63" t="str">
        <f>IF(H2221="","",IFERROR(INDEX('Data Export'!G2221:CZ2221,1,MATCH(前十整体车型排名!$B$4,'Data Export'!$G$1:$CZ$1,0)),0))</f>
        <v/>
      </c>
      <c r="J2221" s="62" t="str">
        <f>IF(H2221="","",IF(OR('Data Export'!F2221="三厢轿车",'Data Export'!F2221="掀背轿车",'Data Export'!F2221="旅行车",'Data Export'!F2221="微型车",'Data Export'!F2221="硬顶跑车",'Data Export'!F2221="敞蓬车",'Data Export'!F2221="Targa"),"轿车",IF(OR('Data Export'!F2221="小型MPV",'Data Export'!F2221="客车"),"MPV",IF('Data Export'!F2221="运动型多功能车","SUV","其他"))))</f>
        <v/>
      </c>
      <c r="K2221" s="62"/>
      <c r="L2221" s="62"/>
      <c r="M2221" s="62"/>
      <c r="N2221" s="62"/>
      <c r="O2221" s="62"/>
      <c r="P2221" s="62"/>
      <c r="Q2221" s="62"/>
    </row>
    <row r="2222" spans="1:17">
      <c r="A2222" s="62"/>
      <c r="B2222" s="62"/>
      <c r="C2222" s="62"/>
      <c r="D2222" s="62"/>
      <c r="E2222" s="62"/>
      <c r="F2222" s="62"/>
      <c r="G2222" s="62"/>
      <c r="H2222" s="62" t="str">
        <f>IF(AND('Data Export'!A2222=前十整体车型排名!$B$2,'Data Export'!B2222=前十整体车型排名!$B$3,'Data Export'!D2222&lt;&gt;""),UPPER('Data Export'!C2222)&amp;"♦"&amp;'Data Export'!D2222,"")</f>
        <v/>
      </c>
      <c r="I2222" s="63" t="str">
        <f>IF(H2222="","",IFERROR(INDEX('Data Export'!G2222:CZ2222,1,MATCH(前十整体车型排名!$B$4,'Data Export'!$G$1:$CZ$1,0)),0))</f>
        <v/>
      </c>
      <c r="J2222" s="62" t="str">
        <f>IF(H2222="","",IF(OR('Data Export'!F2222="三厢轿车",'Data Export'!F2222="掀背轿车",'Data Export'!F2222="旅行车",'Data Export'!F2222="微型车",'Data Export'!F2222="硬顶跑车",'Data Export'!F2222="敞蓬车",'Data Export'!F2222="Targa"),"轿车",IF(OR('Data Export'!F2222="小型MPV",'Data Export'!F2222="客车"),"MPV",IF('Data Export'!F2222="运动型多功能车","SUV","其他"))))</f>
        <v/>
      </c>
      <c r="K2222" s="62"/>
      <c r="L2222" s="62"/>
      <c r="M2222" s="62"/>
      <c r="N2222" s="62"/>
      <c r="O2222" s="62"/>
      <c r="P2222" s="62"/>
      <c r="Q2222" s="62"/>
    </row>
    <row r="2223" spans="1:17">
      <c r="A2223" s="62"/>
      <c r="B2223" s="62"/>
      <c r="C2223" s="62"/>
      <c r="D2223" s="62"/>
      <c r="E2223" s="62"/>
      <c r="F2223" s="62"/>
      <c r="G2223" s="62"/>
      <c r="H2223" s="62" t="str">
        <f>IF(AND('Data Export'!A2223=前十整体车型排名!$B$2,'Data Export'!B2223=前十整体车型排名!$B$3,'Data Export'!D2223&lt;&gt;""),UPPER('Data Export'!C2223)&amp;"♦"&amp;'Data Export'!D2223,"")</f>
        <v/>
      </c>
      <c r="I2223" s="63" t="str">
        <f>IF(H2223="","",IFERROR(INDEX('Data Export'!G2223:CZ2223,1,MATCH(前十整体车型排名!$B$4,'Data Export'!$G$1:$CZ$1,0)),0))</f>
        <v/>
      </c>
      <c r="J2223" s="62" t="str">
        <f>IF(H2223="","",IF(OR('Data Export'!F2223="三厢轿车",'Data Export'!F2223="掀背轿车",'Data Export'!F2223="旅行车",'Data Export'!F2223="微型车",'Data Export'!F2223="硬顶跑车",'Data Export'!F2223="敞蓬车",'Data Export'!F2223="Targa"),"轿车",IF(OR('Data Export'!F2223="小型MPV",'Data Export'!F2223="客车"),"MPV",IF('Data Export'!F2223="运动型多功能车","SUV","其他"))))</f>
        <v/>
      </c>
      <c r="K2223" s="62"/>
      <c r="L2223" s="62"/>
      <c r="M2223" s="62"/>
      <c r="N2223" s="62"/>
      <c r="O2223" s="62"/>
      <c r="P2223" s="62"/>
      <c r="Q2223" s="62"/>
    </row>
    <row r="2224" spans="1:17">
      <c r="A2224" s="62"/>
      <c r="B2224" s="62"/>
      <c r="C2224" s="62"/>
      <c r="D2224" s="62"/>
      <c r="E2224" s="62"/>
      <c r="F2224" s="62"/>
      <c r="G2224" s="62"/>
      <c r="H2224" s="62" t="str">
        <f>IF(AND('Data Export'!A2224=前十整体车型排名!$B$2,'Data Export'!B2224=前十整体车型排名!$B$3,'Data Export'!D2224&lt;&gt;""),UPPER('Data Export'!C2224)&amp;"♦"&amp;'Data Export'!D2224,"")</f>
        <v/>
      </c>
      <c r="I2224" s="63" t="str">
        <f>IF(H2224="","",IFERROR(INDEX('Data Export'!G2224:CZ2224,1,MATCH(前十整体车型排名!$B$4,'Data Export'!$G$1:$CZ$1,0)),0))</f>
        <v/>
      </c>
      <c r="J2224" s="62" t="str">
        <f>IF(H2224="","",IF(OR('Data Export'!F2224="三厢轿车",'Data Export'!F2224="掀背轿车",'Data Export'!F2224="旅行车",'Data Export'!F2224="微型车",'Data Export'!F2224="硬顶跑车",'Data Export'!F2224="敞蓬车",'Data Export'!F2224="Targa"),"轿车",IF(OR('Data Export'!F2224="小型MPV",'Data Export'!F2224="客车"),"MPV",IF('Data Export'!F2224="运动型多功能车","SUV","其他"))))</f>
        <v/>
      </c>
      <c r="K2224" s="62"/>
      <c r="L2224" s="62"/>
      <c r="M2224" s="62"/>
      <c r="N2224" s="62"/>
      <c r="O2224" s="62"/>
      <c r="P2224" s="62"/>
      <c r="Q2224" s="62"/>
    </row>
    <row r="2225" spans="1:17">
      <c r="A2225" s="62"/>
      <c r="B2225" s="62"/>
      <c r="C2225" s="62"/>
      <c r="D2225" s="62"/>
      <c r="E2225" s="62"/>
      <c r="F2225" s="62"/>
      <c r="G2225" s="62"/>
      <c r="H2225" s="62" t="str">
        <f>IF(AND('Data Export'!A2225=前十整体车型排名!$B$2,'Data Export'!B2225=前十整体车型排名!$B$3,'Data Export'!D2225&lt;&gt;""),UPPER('Data Export'!C2225)&amp;"♦"&amp;'Data Export'!D2225,"")</f>
        <v/>
      </c>
      <c r="I2225" s="63" t="str">
        <f>IF(H2225="","",IFERROR(INDEX('Data Export'!G2225:CZ2225,1,MATCH(前十整体车型排名!$B$4,'Data Export'!$G$1:$CZ$1,0)),0))</f>
        <v/>
      </c>
      <c r="J2225" s="62" t="str">
        <f>IF(H2225="","",IF(OR('Data Export'!F2225="三厢轿车",'Data Export'!F2225="掀背轿车",'Data Export'!F2225="旅行车",'Data Export'!F2225="微型车",'Data Export'!F2225="硬顶跑车",'Data Export'!F2225="敞蓬车",'Data Export'!F2225="Targa"),"轿车",IF(OR('Data Export'!F2225="小型MPV",'Data Export'!F2225="客车"),"MPV",IF('Data Export'!F2225="运动型多功能车","SUV","其他"))))</f>
        <v/>
      </c>
      <c r="K2225" s="62"/>
      <c r="L2225" s="62"/>
      <c r="M2225" s="62"/>
      <c r="N2225" s="62"/>
      <c r="O2225" s="62"/>
      <c r="P2225" s="62"/>
      <c r="Q2225" s="62"/>
    </row>
    <row r="2226" spans="1:17">
      <c r="A2226" s="62"/>
      <c r="B2226" s="62"/>
      <c r="C2226" s="62"/>
      <c r="D2226" s="62"/>
      <c r="E2226" s="62"/>
      <c r="F2226" s="62"/>
      <c r="G2226" s="62"/>
      <c r="H2226" s="62" t="str">
        <f>IF(AND('Data Export'!A2226=前十整体车型排名!$B$2,'Data Export'!B2226=前十整体车型排名!$B$3,'Data Export'!D2226&lt;&gt;""),UPPER('Data Export'!C2226)&amp;"♦"&amp;'Data Export'!D2226,"")</f>
        <v/>
      </c>
      <c r="I2226" s="63" t="str">
        <f>IF(H2226="","",IFERROR(INDEX('Data Export'!G2226:CZ2226,1,MATCH(前十整体车型排名!$B$4,'Data Export'!$G$1:$CZ$1,0)),0))</f>
        <v/>
      </c>
      <c r="J2226" s="62" t="str">
        <f>IF(H2226="","",IF(OR('Data Export'!F2226="三厢轿车",'Data Export'!F2226="掀背轿车",'Data Export'!F2226="旅行车",'Data Export'!F2226="微型车",'Data Export'!F2226="硬顶跑车",'Data Export'!F2226="敞蓬车",'Data Export'!F2226="Targa"),"轿车",IF(OR('Data Export'!F2226="小型MPV",'Data Export'!F2226="客车"),"MPV",IF('Data Export'!F2226="运动型多功能车","SUV","其他"))))</f>
        <v/>
      </c>
      <c r="K2226" s="62"/>
      <c r="L2226" s="62"/>
      <c r="M2226" s="62"/>
      <c r="N2226" s="62"/>
      <c r="O2226" s="62"/>
      <c r="P2226" s="62"/>
      <c r="Q2226" s="62"/>
    </row>
    <row r="2227" spans="1:17">
      <c r="A2227" s="62"/>
      <c r="B2227" s="62"/>
      <c r="C2227" s="62"/>
      <c r="D2227" s="62"/>
      <c r="E2227" s="62"/>
      <c r="F2227" s="62"/>
      <c r="G2227" s="62"/>
      <c r="H2227" s="62" t="str">
        <f>IF(AND('Data Export'!A2227=前十整体车型排名!$B$2,'Data Export'!B2227=前十整体车型排名!$B$3,'Data Export'!D2227&lt;&gt;""),UPPER('Data Export'!C2227)&amp;"♦"&amp;'Data Export'!D2227,"")</f>
        <v/>
      </c>
      <c r="I2227" s="63" t="str">
        <f>IF(H2227="","",IFERROR(INDEX('Data Export'!G2227:CZ2227,1,MATCH(前十整体车型排名!$B$4,'Data Export'!$G$1:$CZ$1,0)),0))</f>
        <v/>
      </c>
      <c r="J2227" s="62" t="str">
        <f>IF(H2227="","",IF(OR('Data Export'!F2227="三厢轿车",'Data Export'!F2227="掀背轿车",'Data Export'!F2227="旅行车",'Data Export'!F2227="微型车",'Data Export'!F2227="硬顶跑车",'Data Export'!F2227="敞蓬车",'Data Export'!F2227="Targa"),"轿车",IF(OR('Data Export'!F2227="小型MPV",'Data Export'!F2227="客车"),"MPV",IF('Data Export'!F2227="运动型多功能车","SUV","其他"))))</f>
        <v/>
      </c>
      <c r="K2227" s="62"/>
      <c r="L2227" s="62"/>
      <c r="M2227" s="62"/>
      <c r="N2227" s="62"/>
      <c r="O2227" s="62"/>
      <c r="P2227" s="62"/>
      <c r="Q2227" s="62"/>
    </row>
    <row r="2228" spans="1:17">
      <c r="A2228" s="62"/>
      <c r="B2228" s="62"/>
      <c r="C2228" s="62"/>
      <c r="D2228" s="62"/>
      <c r="E2228" s="62"/>
      <c r="F2228" s="62"/>
      <c r="G2228" s="62"/>
      <c r="H2228" s="62" t="str">
        <f>IF(AND('Data Export'!A2228=前十整体车型排名!$B$2,'Data Export'!B2228=前十整体车型排名!$B$3,'Data Export'!D2228&lt;&gt;""),UPPER('Data Export'!C2228)&amp;"♦"&amp;'Data Export'!D2228,"")</f>
        <v/>
      </c>
      <c r="I2228" s="63" t="str">
        <f>IF(H2228="","",IFERROR(INDEX('Data Export'!G2228:CZ2228,1,MATCH(前十整体车型排名!$B$4,'Data Export'!$G$1:$CZ$1,0)),0))</f>
        <v/>
      </c>
      <c r="J2228" s="62" t="str">
        <f>IF(H2228="","",IF(OR('Data Export'!F2228="三厢轿车",'Data Export'!F2228="掀背轿车",'Data Export'!F2228="旅行车",'Data Export'!F2228="微型车",'Data Export'!F2228="硬顶跑车",'Data Export'!F2228="敞蓬车",'Data Export'!F2228="Targa"),"轿车",IF(OR('Data Export'!F2228="小型MPV",'Data Export'!F2228="客车"),"MPV",IF('Data Export'!F2228="运动型多功能车","SUV","其他"))))</f>
        <v/>
      </c>
      <c r="K2228" s="62"/>
      <c r="L2228" s="62"/>
      <c r="M2228" s="62"/>
      <c r="N2228" s="62"/>
      <c r="O2228" s="62"/>
      <c r="P2228" s="62"/>
      <c r="Q2228" s="62"/>
    </row>
    <row r="2229" spans="1:17">
      <c r="A2229" s="62"/>
      <c r="B2229" s="62"/>
      <c r="C2229" s="62"/>
      <c r="D2229" s="62"/>
      <c r="E2229" s="62"/>
      <c r="F2229" s="62"/>
      <c r="G2229" s="62"/>
      <c r="H2229" s="62" t="str">
        <f>IF(AND('Data Export'!A2229=前十整体车型排名!$B$2,'Data Export'!B2229=前十整体车型排名!$B$3,'Data Export'!D2229&lt;&gt;""),UPPER('Data Export'!C2229)&amp;"♦"&amp;'Data Export'!D2229,"")</f>
        <v/>
      </c>
      <c r="I2229" s="63" t="str">
        <f>IF(H2229="","",IFERROR(INDEX('Data Export'!G2229:CZ2229,1,MATCH(前十整体车型排名!$B$4,'Data Export'!$G$1:$CZ$1,0)),0))</f>
        <v/>
      </c>
      <c r="J2229" s="62" t="str">
        <f>IF(H2229="","",IF(OR('Data Export'!F2229="三厢轿车",'Data Export'!F2229="掀背轿车",'Data Export'!F2229="旅行车",'Data Export'!F2229="微型车",'Data Export'!F2229="硬顶跑车",'Data Export'!F2229="敞蓬车",'Data Export'!F2229="Targa"),"轿车",IF(OR('Data Export'!F2229="小型MPV",'Data Export'!F2229="客车"),"MPV",IF('Data Export'!F2229="运动型多功能车","SUV","其他"))))</f>
        <v/>
      </c>
      <c r="K2229" s="62"/>
      <c r="L2229" s="62"/>
      <c r="M2229" s="62"/>
      <c r="N2229" s="62"/>
      <c r="O2229" s="62"/>
      <c r="P2229" s="62"/>
      <c r="Q2229" s="62"/>
    </row>
    <row r="2230" spans="1:17">
      <c r="A2230" s="62"/>
      <c r="B2230" s="62"/>
      <c r="C2230" s="62"/>
      <c r="D2230" s="62"/>
      <c r="E2230" s="62"/>
      <c r="F2230" s="62"/>
      <c r="G2230" s="62"/>
      <c r="H2230" s="62" t="str">
        <f>IF(AND('Data Export'!A2230=前十整体车型排名!$B$2,'Data Export'!B2230=前十整体车型排名!$B$3,'Data Export'!D2230&lt;&gt;""),UPPER('Data Export'!C2230)&amp;"♦"&amp;'Data Export'!D2230,"")</f>
        <v/>
      </c>
      <c r="I2230" s="63" t="str">
        <f>IF(H2230="","",IFERROR(INDEX('Data Export'!G2230:CZ2230,1,MATCH(前十整体车型排名!$B$4,'Data Export'!$G$1:$CZ$1,0)),0))</f>
        <v/>
      </c>
      <c r="J2230" s="62" t="str">
        <f>IF(H2230="","",IF(OR('Data Export'!F2230="三厢轿车",'Data Export'!F2230="掀背轿车",'Data Export'!F2230="旅行车",'Data Export'!F2230="微型车",'Data Export'!F2230="硬顶跑车",'Data Export'!F2230="敞蓬车",'Data Export'!F2230="Targa"),"轿车",IF(OR('Data Export'!F2230="小型MPV",'Data Export'!F2230="客车"),"MPV",IF('Data Export'!F2230="运动型多功能车","SUV","其他"))))</f>
        <v/>
      </c>
      <c r="K2230" s="62"/>
      <c r="L2230" s="62"/>
      <c r="M2230" s="62"/>
      <c r="N2230" s="62"/>
      <c r="O2230" s="62"/>
      <c r="P2230" s="62"/>
      <c r="Q2230" s="62"/>
    </row>
    <row r="2231" spans="1:17">
      <c r="A2231" s="62"/>
      <c r="B2231" s="62"/>
      <c r="C2231" s="62"/>
      <c r="D2231" s="62"/>
      <c r="E2231" s="62"/>
      <c r="F2231" s="62"/>
      <c r="G2231" s="62"/>
      <c r="H2231" s="62" t="str">
        <f>IF(AND('Data Export'!A2231=前十整体车型排名!$B$2,'Data Export'!B2231=前十整体车型排名!$B$3,'Data Export'!D2231&lt;&gt;""),UPPER('Data Export'!C2231)&amp;"♦"&amp;'Data Export'!D2231,"")</f>
        <v/>
      </c>
      <c r="I2231" s="63" t="str">
        <f>IF(H2231="","",IFERROR(INDEX('Data Export'!G2231:CZ2231,1,MATCH(前十整体车型排名!$B$4,'Data Export'!$G$1:$CZ$1,0)),0))</f>
        <v/>
      </c>
      <c r="J2231" s="62" t="str">
        <f>IF(H2231="","",IF(OR('Data Export'!F2231="三厢轿车",'Data Export'!F2231="掀背轿车",'Data Export'!F2231="旅行车",'Data Export'!F2231="微型车",'Data Export'!F2231="硬顶跑车",'Data Export'!F2231="敞蓬车",'Data Export'!F2231="Targa"),"轿车",IF(OR('Data Export'!F2231="小型MPV",'Data Export'!F2231="客车"),"MPV",IF('Data Export'!F2231="运动型多功能车","SUV","其他"))))</f>
        <v/>
      </c>
      <c r="K2231" s="62"/>
      <c r="L2231" s="62"/>
      <c r="M2231" s="62"/>
      <c r="N2231" s="62"/>
      <c r="O2231" s="62"/>
      <c r="P2231" s="62"/>
      <c r="Q2231" s="62"/>
    </row>
    <row r="2232" spans="1:17">
      <c r="A2232" s="62"/>
      <c r="B2232" s="62"/>
      <c r="C2232" s="62"/>
      <c r="D2232" s="62"/>
      <c r="E2232" s="62"/>
      <c r="F2232" s="62"/>
      <c r="G2232" s="62"/>
      <c r="H2232" s="62" t="str">
        <f>IF(AND('Data Export'!A2232=前十整体车型排名!$B$2,'Data Export'!B2232=前十整体车型排名!$B$3,'Data Export'!D2232&lt;&gt;""),UPPER('Data Export'!C2232)&amp;"♦"&amp;'Data Export'!D2232,"")</f>
        <v/>
      </c>
      <c r="I2232" s="63" t="str">
        <f>IF(H2232="","",IFERROR(INDEX('Data Export'!G2232:CZ2232,1,MATCH(前十整体车型排名!$B$4,'Data Export'!$G$1:$CZ$1,0)),0))</f>
        <v/>
      </c>
      <c r="J2232" s="62" t="str">
        <f>IF(H2232="","",IF(OR('Data Export'!F2232="三厢轿车",'Data Export'!F2232="掀背轿车",'Data Export'!F2232="旅行车",'Data Export'!F2232="微型车",'Data Export'!F2232="硬顶跑车",'Data Export'!F2232="敞蓬车",'Data Export'!F2232="Targa"),"轿车",IF(OR('Data Export'!F2232="小型MPV",'Data Export'!F2232="客车"),"MPV",IF('Data Export'!F2232="运动型多功能车","SUV","其他"))))</f>
        <v/>
      </c>
      <c r="K2232" s="62"/>
      <c r="L2232" s="62"/>
      <c r="M2232" s="62"/>
      <c r="N2232" s="62"/>
      <c r="O2232" s="62"/>
      <c r="P2232" s="62"/>
      <c r="Q2232" s="62"/>
    </row>
    <row r="2233" spans="1:17">
      <c r="A2233" s="62"/>
      <c r="B2233" s="62"/>
      <c r="C2233" s="62"/>
      <c r="D2233" s="62"/>
      <c r="E2233" s="62"/>
      <c r="F2233" s="62"/>
      <c r="G2233" s="62"/>
      <c r="H2233" s="62" t="str">
        <f>IF(AND('Data Export'!A2233=前十整体车型排名!$B$2,'Data Export'!B2233=前十整体车型排名!$B$3,'Data Export'!D2233&lt;&gt;""),UPPER('Data Export'!C2233)&amp;"♦"&amp;'Data Export'!D2233,"")</f>
        <v/>
      </c>
      <c r="I2233" s="63" t="str">
        <f>IF(H2233="","",IFERROR(INDEX('Data Export'!G2233:CZ2233,1,MATCH(前十整体车型排名!$B$4,'Data Export'!$G$1:$CZ$1,0)),0))</f>
        <v/>
      </c>
      <c r="J2233" s="62" t="str">
        <f>IF(H2233="","",IF(OR('Data Export'!F2233="三厢轿车",'Data Export'!F2233="掀背轿车",'Data Export'!F2233="旅行车",'Data Export'!F2233="微型车",'Data Export'!F2233="硬顶跑车",'Data Export'!F2233="敞蓬车",'Data Export'!F2233="Targa"),"轿车",IF(OR('Data Export'!F2233="小型MPV",'Data Export'!F2233="客车"),"MPV",IF('Data Export'!F2233="运动型多功能车","SUV","其他"))))</f>
        <v/>
      </c>
      <c r="K2233" s="62"/>
      <c r="L2233" s="62"/>
      <c r="M2233" s="62"/>
      <c r="N2233" s="62"/>
      <c r="O2233" s="62"/>
      <c r="P2233" s="62"/>
      <c r="Q2233" s="62"/>
    </row>
    <row r="2234" spans="1:17">
      <c r="A2234" s="62"/>
      <c r="B2234" s="62"/>
      <c r="C2234" s="62"/>
      <c r="D2234" s="62"/>
      <c r="E2234" s="62"/>
      <c r="F2234" s="62"/>
      <c r="G2234" s="62"/>
      <c r="H2234" s="62" t="str">
        <f>IF(AND('Data Export'!A2234=前十整体车型排名!$B$2,'Data Export'!B2234=前十整体车型排名!$B$3,'Data Export'!D2234&lt;&gt;""),UPPER('Data Export'!C2234)&amp;"♦"&amp;'Data Export'!D2234,"")</f>
        <v/>
      </c>
      <c r="I2234" s="63" t="str">
        <f>IF(H2234="","",IFERROR(INDEX('Data Export'!G2234:CZ2234,1,MATCH(前十整体车型排名!$B$4,'Data Export'!$G$1:$CZ$1,0)),0))</f>
        <v/>
      </c>
      <c r="J2234" s="62" t="str">
        <f>IF(H2234="","",IF(OR('Data Export'!F2234="三厢轿车",'Data Export'!F2234="掀背轿车",'Data Export'!F2234="旅行车",'Data Export'!F2234="微型车",'Data Export'!F2234="硬顶跑车",'Data Export'!F2234="敞蓬车",'Data Export'!F2234="Targa"),"轿车",IF(OR('Data Export'!F2234="小型MPV",'Data Export'!F2234="客车"),"MPV",IF('Data Export'!F2234="运动型多功能车","SUV","其他"))))</f>
        <v/>
      </c>
      <c r="K2234" s="62"/>
      <c r="L2234" s="62"/>
      <c r="M2234" s="62"/>
      <c r="N2234" s="62"/>
      <c r="O2234" s="62"/>
      <c r="P2234" s="62"/>
      <c r="Q2234" s="62"/>
    </row>
    <row r="2235" spans="1:17">
      <c r="A2235" s="62"/>
      <c r="B2235" s="62"/>
      <c r="C2235" s="62"/>
      <c r="D2235" s="62"/>
      <c r="E2235" s="62"/>
      <c r="F2235" s="62"/>
      <c r="G2235" s="62"/>
      <c r="H2235" s="62" t="str">
        <f>IF(AND('Data Export'!A2235=前十整体车型排名!$B$2,'Data Export'!B2235=前十整体车型排名!$B$3,'Data Export'!D2235&lt;&gt;""),UPPER('Data Export'!C2235)&amp;"♦"&amp;'Data Export'!D2235,"")</f>
        <v/>
      </c>
      <c r="I2235" s="63" t="str">
        <f>IF(H2235="","",IFERROR(INDEX('Data Export'!G2235:CZ2235,1,MATCH(前十整体车型排名!$B$4,'Data Export'!$G$1:$CZ$1,0)),0))</f>
        <v/>
      </c>
      <c r="J2235" s="62" t="str">
        <f>IF(H2235="","",IF(OR('Data Export'!F2235="三厢轿车",'Data Export'!F2235="掀背轿车",'Data Export'!F2235="旅行车",'Data Export'!F2235="微型车",'Data Export'!F2235="硬顶跑车",'Data Export'!F2235="敞蓬车",'Data Export'!F2235="Targa"),"轿车",IF(OR('Data Export'!F2235="小型MPV",'Data Export'!F2235="客车"),"MPV",IF('Data Export'!F2235="运动型多功能车","SUV","其他"))))</f>
        <v/>
      </c>
      <c r="K2235" s="62"/>
      <c r="L2235" s="62"/>
      <c r="M2235" s="62"/>
      <c r="N2235" s="62"/>
      <c r="O2235" s="62"/>
      <c r="P2235" s="62"/>
      <c r="Q2235" s="62"/>
    </row>
    <row r="2236" spans="1:17">
      <c r="A2236" s="62"/>
      <c r="B2236" s="62"/>
      <c r="C2236" s="62"/>
      <c r="D2236" s="62"/>
      <c r="E2236" s="62"/>
      <c r="F2236" s="62"/>
      <c r="G2236" s="62"/>
      <c r="H2236" s="62" t="str">
        <f>IF(AND('Data Export'!A2236=前十整体车型排名!$B$2,'Data Export'!B2236=前十整体车型排名!$B$3,'Data Export'!D2236&lt;&gt;""),UPPER('Data Export'!C2236)&amp;"♦"&amp;'Data Export'!D2236,"")</f>
        <v/>
      </c>
      <c r="I2236" s="63" t="str">
        <f>IF(H2236="","",IFERROR(INDEX('Data Export'!G2236:CZ2236,1,MATCH(前十整体车型排名!$B$4,'Data Export'!$G$1:$CZ$1,0)),0))</f>
        <v/>
      </c>
      <c r="J2236" s="62" t="str">
        <f>IF(H2236="","",IF(OR('Data Export'!F2236="三厢轿车",'Data Export'!F2236="掀背轿车",'Data Export'!F2236="旅行车",'Data Export'!F2236="微型车",'Data Export'!F2236="硬顶跑车",'Data Export'!F2236="敞蓬车",'Data Export'!F2236="Targa"),"轿车",IF(OR('Data Export'!F2236="小型MPV",'Data Export'!F2236="客车"),"MPV",IF('Data Export'!F2236="运动型多功能车","SUV","其他"))))</f>
        <v/>
      </c>
      <c r="K2236" s="62"/>
      <c r="L2236" s="62"/>
      <c r="M2236" s="62"/>
      <c r="N2236" s="62"/>
      <c r="O2236" s="62"/>
      <c r="P2236" s="62"/>
      <c r="Q2236" s="62"/>
    </row>
    <row r="2237" spans="1:17">
      <c r="A2237" s="62"/>
      <c r="B2237" s="62"/>
      <c r="C2237" s="62"/>
      <c r="D2237" s="62"/>
      <c r="E2237" s="62"/>
      <c r="F2237" s="62"/>
      <c r="G2237" s="62"/>
      <c r="H2237" s="62" t="str">
        <f>IF(AND('Data Export'!A2237=前十整体车型排名!$B$2,'Data Export'!B2237=前十整体车型排名!$B$3,'Data Export'!D2237&lt;&gt;""),UPPER('Data Export'!C2237)&amp;"♦"&amp;'Data Export'!D2237,"")</f>
        <v/>
      </c>
      <c r="I2237" s="63" t="str">
        <f>IF(H2237="","",IFERROR(INDEX('Data Export'!G2237:CZ2237,1,MATCH(前十整体车型排名!$B$4,'Data Export'!$G$1:$CZ$1,0)),0))</f>
        <v/>
      </c>
      <c r="J2237" s="62" t="str">
        <f>IF(H2237="","",IF(OR('Data Export'!F2237="三厢轿车",'Data Export'!F2237="掀背轿车",'Data Export'!F2237="旅行车",'Data Export'!F2237="微型车",'Data Export'!F2237="硬顶跑车",'Data Export'!F2237="敞蓬车",'Data Export'!F2237="Targa"),"轿车",IF(OR('Data Export'!F2237="小型MPV",'Data Export'!F2237="客车"),"MPV",IF('Data Export'!F2237="运动型多功能车","SUV","其他"))))</f>
        <v/>
      </c>
      <c r="K2237" s="62"/>
      <c r="L2237" s="62"/>
      <c r="M2237" s="62"/>
      <c r="N2237" s="62"/>
      <c r="O2237" s="62"/>
      <c r="P2237" s="62"/>
      <c r="Q2237" s="62"/>
    </row>
    <row r="2238" spans="1:17">
      <c r="A2238" s="62"/>
      <c r="B2238" s="62"/>
      <c r="C2238" s="62"/>
      <c r="D2238" s="62"/>
      <c r="E2238" s="62"/>
      <c r="F2238" s="62"/>
      <c r="G2238" s="62"/>
      <c r="H2238" s="62" t="str">
        <f>IF(AND('Data Export'!A2238=前十整体车型排名!$B$2,'Data Export'!B2238=前十整体车型排名!$B$3,'Data Export'!D2238&lt;&gt;""),UPPER('Data Export'!C2238)&amp;"♦"&amp;'Data Export'!D2238,"")</f>
        <v/>
      </c>
      <c r="I2238" s="63" t="str">
        <f>IF(H2238="","",IFERROR(INDEX('Data Export'!G2238:CZ2238,1,MATCH(前十整体车型排名!$B$4,'Data Export'!$G$1:$CZ$1,0)),0))</f>
        <v/>
      </c>
      <c r="J2238" s="62" t="str">
        <f>IF(H2238="","",IF(OR('Data Export'!F2238="三厢轿车",'Data Export'!F2238="掀背轿车",'Data Export'!F2238="旅行车",'Data Export'!F2238="微型车",'Data Export'!F2238="硬顶跑车",'Data Export'!F2238="敞蓬车",'Data Export'!F2238="Targa"),"轿车",IF(OR('Data Export'!F2238="小型MPV",'Data Export'!F2238="客车"),"MPV",IF('Data Export'!F2238="运动型多功能车","SUV","其他"))))</f>
        <v/>
      </c>
      <c r="K2238" s="62"/>
      <c r="L2238" s="62"/>
      <c r="M2238" s="62"/>
      <c r="N2238" s="62"/>
      <c r="O2238" s="62"/>
      <c r="P2238" s="62"/>
      <c r="Q2238" s="62"/>
    </row>
    <row r="2239" spans="1:17">
      <c r="A2239" s="62"/>
      <c r="B2239" s="62"/>
      <c r="C2239" s="62"/>
      <c r="D2239" s="62"/>
      <c r="E2239" s="62"/>
      <c r="F2239" s="62"/>
      <c r="G2239" s="62"/>
      <c r="H2239" s="62" t="str">
        <f>IF(AND('Data Export'!A2239=前十整体车型排名!$B$2,'Data Export'!B2239=前十整体车型排名!$B$3,'Data Export'!D2239&lt;&gt;""),UPPER('Data Export'!C2239)&amp;"♦"&amp;'Data Export'!D2239,"")</f>
        <v/>
      </c>
      <c r="I2239" s="63" t="str">
        <f>IF(H2239="","",IFERROR(INDEX('Data Export'!G2239:CZ2239,1,MATCH(前十整体车型排名!$B$4,'Data Export'!$G$1:$CZ$1,0)),0))</f>
        <v/>
      </c>
      <c r="J2239" s="62" t="str">
        <f>IF(H2239="","",IF(OR('Data Export'!F2239="三厢轿车",'Data Export'!F2239="掀背轿车",'Data Export'!F2239="旅行车",'Data Export'!F2239="微型车",'Data Export'!F2239="硬顶跑车",'Data Export'!F2239="敞蓬车",'Data Export'!F2239="Targa"),"轿车",IF(OR('Data Export'!F2239="小型MPV",'Data Export'!F2239="客车"),"MPV",IF('Data Export'!F2239="运动型多功能车","SUV","其他"))))</f>
        <v/>
      </c>
      <c r="K2239" s="62"/>
      <c r="L2239" s="62"/>
      <c r="M2239" s="62"/>
      <c r="N2239" s="62"/>
      <c r="O2239" s="62"/>
      <c r="P2239" s="62"/>
      <c r="Q2239" s="62"/>
    </row>
    <row r="2240" spans="1:17">
      <c r="A2240" s="62"/>
      <c r="B2240" s="62"/>
      <c r="C2240" s="62"/>
      <c r="D2240" s="62"/>
      <c r="E2240" s="62"/>
      <c r="F2240" s="62"/>
      <c r="G2240" s="62"/>
      <c r="H2240" s="62" t="str">
        <f>IF(AND('Data Export'!A2240=前十整体车型排名!$B$2,'Data Export'!B2240=前十整体车型排名!$B$3,'Data Export'!D2240&lt;&gt;""),UPPER('Data Export'!C2240)&amp;"♦"&amp;'Data Export'!D2240,"")</f>
        <v/>
      </c>
      <c r="I2240" s="63" t="str">
        <f>IF(H2240="","",IFERROR(INDEX('Data Export'!G2240:CZ2240,1,MATCH(前十整体车型排名!$B$4,'Data Export'!$G$1:$CZ$1,0)),0))</f>
        <v/>
      </c>
      <c r="J2240" s="62" t="str">
        <f>IF(H2240="","",IF(OR('Data Export'!F2240="三厢轿车",'Data Export'!F2240="掀背轿车",'Data Export'!F2240="旅行车",'Data Export'!F2240="微型车",'Data Export'!F2240="硬顶跑车",'Data Export'!F2240="敞蓬车",'Data Export'!F2240="Targa"),"轿车",IF(OR('Data Export'!F2240="小型MPV",'Data Export'!F2240="客车"),"MPV",IF('Data Export'!F2240="运动型多功能车","SUV","其他"))))</f>
        <v/>
      </c>
      <c r="K2240" s="62"/>
      <c r="L2240" s="62"/>
      <c r="M2240" s="62"/>
      <c r="N2240" s="62"/>
      <c r="O2240" s="62"/>
      <c r="P2240" s="62"/>
      <c r="Q2240" s="62"/>
    </row>
    <row r="2241" spans="1:17">
      <c r="A2241" s="62"/>
      <c r="B2241" s="62"/>
      <c r="C2241" s="62"/>
      <c r="D2241" s="62"/>
      <c r="E2241" s="62"/>
      <c r="F2241" s="62"/>
      <c r="G2241" s="62"/>
      <c r="H2241" s="62" t="str">
        <f>IF(AND('Data Export'!A2241=前十整体车型排名!$B$2,'Data Export'!B2241=前十整体车型排名!$B$3,'Data Export'!D2241&lt;&gt;""),UPPER('Data Export'!C2241)&amp;"♦"&amp;'Data Export'!D2241,"")</f>
        <v/>
      </c>
      <c r="I2241" s="63" t="str">
        <f>IF(H2241="","",IFERROR(INDEX('Data Export'!G2241:CZ2241,1,MATCH(前十整体车型排名!$B$4,'Data Export'!$G$1:$CZ$1,0)),0))</f>
        <v/>
      </c>
      <c r="J2241" s="62" t="str">
        <f>IF(H2241="","",IF(OR('Data Export'!F2241="三厢轿车",'Data Export'!F2241="掀背轿车",'Data Export'!F2241="旅行车",'Data Export'!F2241="微型车",'Data Export'!F2241="硬顶跑车",'Data Export'!F2241="敞蓬车",'Data Export'!F2241="Targa"),"轿车",IF(OR('Data Export'!F2241="小型MPV",'Data Export'!F2241="客车"),"MPV",IF('Data Export'!F2241="运动型多功能车","SUV","其他"))))</f>
        <v/>
      </c>
      <c r="K2241" s="62"/>
      <c r="L2241" s="62"/>
      <c r="M2241" s="62"/>
      <c r="N2241" s="62"/>
      <c r="O2241" s="62"/>
      <c r="P2241" s="62"/>
      <c r="Q2241" s="62"/>
    </row>
    <row r="2242" spans="1:17">
      <c r="A2242" s="62"/>
      <c r="B2242" s="62"/>
      <c r="C2242" s="62"/>
      <c r="D2242" s="62"/>
      <c r="E2242" s="62"/>
      <c r="F2242" s="62"/>
      <c r="G2242" s="62"/>
      <c r="H2242" s="62" t="str">
        <f>IF(AND('Data Export'!A2242=前十整体车型排名!$B$2,'Data Export'!B2242=前十整体车型排名!$B$3,'Data Export'!D2242&lt;&gt;""),UPPER('Data Export'!C2242)&amp;"♦"&amp;'Data Export'!D2242,"")</f>
        <v/>
      </c>
      <c r="I2242" s="63" t="str">
        <f>IF(H2242="","",IFERROR(INDEX('Data Export'!G2242:CZ2242,1,MATCH(前十整体车型排名!$B$4,'Data Export'!$G$1:$CZ$1,0)),0))</f>
        <v/>
      </c>
      <c r="J2242" s="62" t="str">
        <f>IF(H2242="","",IF(OR('Data Export'!F2242="三厢轿车",'Data Export'!F2242="掀背轿车",'Data Export'!F2242="旅行车",'Data Export'!F2242="微型车",'Data Export'!F2242="硬顶跑车",'Data Export'!F2242="敞蓬车",'Data Export'!F2242="Targa"),"轿车",IF(OR('Data Export'!F2242="小型MPV",'Data Export'!F2242="客车"),"MPV",IF('Data Export'!F2242="运动型多功能车","SUV","其他"))))</f>
        <v/>
      </c>
      <c r="K2242" s="62"/>
      <c r="L2242" s="62"/>
      <c r="M2242" s="62"/>
      <c r="N2242" s="62"/>
      <c r="O2242" s="62"/>
      <c r="P2242" s="62"/>
      <c r="Q2242" s="62"/>
    </row>
    <row r="2243" spans="1:17">
      <c r="A2243" s="62"/>
      <c r="B2243" s="62"/>
      <c r="C2243" s="62"/>
      <c r="D2243" s="62"/>
      <c r="E2243" s="62"/>
      <c r="F2243" s="62"/>
      <c r="G2243" s="62"/>
      <c r="H2243" s="62" t="str">
        <f>IF(AND('Data Export'!A2243=前十整体车型排名!$B$2,'Data Export'!B2243=前十整体车型排名!$B$3,'Data Export'!D2243&lt;&gt;""),UPPER('Data Export'!C2243)&amp;"♦"&amp;'Data Export'!D2243,"")</f>
        <v/>
      </c>
      <c r="I2243" s="63" t="str">
        <f>IF(H2243="","",IFERROR(INDEX('Data Export'!G2243:CZ2243,1,MATCH(前十整体车型排名!$B$4,'Data Export'!$G$1:$CZ$1,0)),0))</f>
        <v/>
      </c>
      <c r="J2243" s="62" t="str">
        <f>IF(H2243="","",IF(OR('Data Export'!F2243="三厢轿车",'Data Export'!F2243="掀背轿车",'Data Export'!F2243="旅行车",'Data Export'!F2243="微型车",'Data Export'!F2243="硬顶跑车",'Data Export'!F2243="敞蓬车",'Data Export'!F2243="Targa"),"轿车",IF(OR('Data Export'!F2243="小型MPV",'Data Export'!F2243="客车"),"MPV",IF('Data Export'!F2243="运动型多功能车","SUV","其他"))))</f>
        <v/>
      </c>
      <c r="K2243" s="62"/>
      <c r="L2243" s="62"/>
      <c r="M2243" s="62"/>
      <c r="N2243" s="62"/>
      <c r="O2243" s="62"/>
      <c r="P2243" s="62"/>
      <c r="Q2243" s="62"/>
    </row>
    <row r="2244" spans="1:17">
      <c r="A2244" s="62"/>
      <c r="B2244" s="62"/>
      <c r="C2244" s="62"/>
      <c r="D2244" s="62"/>
      <c r="E2244" s="62"/>
      <c r="F2244" s="62"/>
      <c r="G2244" s="62"/>
      <c r="H2244" s="62" t="str">
        <f>IF(AND('Data Export'!A2244=前十整体车型排名!$B$2,'Data Export'!B2244=前十整体车型排名!$B$3,'Data Export'!D2244&lt;&gt;""),UPPER('Data Export'!C2244)&amp;"♦"&amp;'Data Export'!D2244,"")</f>
        <v/>
      </c>
      <c r="I2244" s="63" t="str">
        <f>IF(H2244="","",IFERROR(INDEX('Data Export'!G2244:CZ2244,1,MATCH(前十整体车型排名!$B$4,'Data Export'!$G$1:$CZ$1,0)),0))</f>
        <v/>
      </c>
      <c r="J2244" s="62" t="str">
        <f>IF(H2244="","",IF(OR('Data Export'!F2244="三厢轿车",'Data Export'!F2244="掀背轿车",'Data Export'!F2244="旅行车",'Data Export'!F2244="微型车",'Data Export'!F2244="硬顶跑车",'Data Export'!F2244="敞蓬车",'Data Export'!F2244="Targa"),"轿车",IF(OR('Data Export'!F2244="小型MPV",'Data Export'!F2244="客车"),"MPV",IF('Data Export'!F2244="运动型多功能车","SUV","其他"))))</f>
        <v/>
      </c>
      <c r="K2244" s="62"/>
      <c r="L2244" s="62"/>
      <c r="M2244" s="62"/>
      <c r="N2244" s="62"/>
      <c r="O2244" s="62"/>
      <c r="P2244" s="62"/>
      <c r="Q2244" s="62"/>
    </row>
    <row r="2245" spans="1:17">
      <c r="A2245" s="62"/>
      <c r="B2245" s="62"/>
      <c r="C2245" s="62"/>
      <c r="D2245" s="62"/>
      <c r="E2245" s="62"/>
      <c r="F2245" s="62"/>
      <c r="G2245" s="62"/>
      <c r="H2245" s="62" t="str">
        <f>IF(AND('Data Export'!A2245=前十整体车型排名!$B$2,'Data Export'!B2245=前十整体车型排名!$B$3,'Data Export'!D2245&lt;&gt;""),UPPER('Data Export'!C2245)&amp;"♦"&amp;'Data Export'!D2245,"")</f>
        <v/>
      </c>
      <c r="I2245" s="63" t="str">
        <f>IF(H2245="","",IFERROR(INDEX('Data Export'!G2245:CZ2245,1,MATCH(前十整体车型排名!$B$4,'Data Export'!$G$1:$CZ$1,0)),0))</f>
        <v/>
      </c>
      <c r="J2245" s="62" t="str">
        <f>IF(H2245="","",IF(OR('Data Export'!F2245="三厢轿车",'Data Export'!F2245="掀背轿车",'Data Export'!F2245="旅行车",'Data Export'!F2245="微型车",'Data Export'!F2245="硬顶跑车",'Data Export'!F2245="敞蓬车",'Data Export'!F2245="Targa"),"轿车",IF(OR('Data Export'!F2245="小型MPV",'Data Export'!F2245="客车"),"MPV",IF('Data Export'!F2245="运动型多功能车","SUV","其他"))))</f>
        <v/>
      </c>
      <c r="K2245" s="62"/>
      <c r="L2245" s="62"/>
      <c r="M2245" s="62"/>
      <c r="N2245" s="62"/>
      <c r="O2245" s="62"/>
      <c r="P2245" s="62"/>
      <c r="Q2245" s="62"/>
    </row>
    <row r="2246" spans="1:17">
      <c r="A2246" s="62"/>
      <c r="B2246" s="62"/>
      <c r="C2246" s="62"/>
      <c r="D2246" s="62"/>
      <c r="E2246" s="62"/>
      <c r="F2246" s="62"/>
      <c r="G2246" s="62"/>
      <c r="H2246" s="62" t="str">
        <f>IF(AND('Data Export'!A2246=前十整体车型排名!$B$2,'Data Export'!B2246=前十整体车型排名!$B$3,'Data Export'!D2246&lt;&gt;""),UPPER('Data Export'!C2246)&amp;"♦"&amp;'Data Export'!D2246,"")</f>
        <v/>
      </c>
      <c r="I2246" s="63" t="str">
        <f>IF(H2246="","",IFERROR(INDEX('Data Export'!G2246:CZ2246,1,MATCH(前十整体车型排名!$B$4,'Data Export'!$G$1:$CZ$1,0)),0))</f>
        <v/>
      </c>
      <c r="J2246" s="62" t="str">
        <f>IF(H2246="","",IF(OR('Data Export'!F2246="三厢轿车",'Data Export'!F2246="掀背轿车",'Data Export'!F2246="旅行车",'Data Export'!F2246="微型车",'Data Export'!F2246="硬顶跑车",'Data Export'!F2246="敞蓬车",'Data Export'!F2246="Targa"),"轿车",IF(OR('Data Export'!F2246="小型MPV",'Data Export'!F2246="客车"),"MPV",IF('Data Export'!F2246="运动型多功能车","SUV","其他"))))</f>
        <v/>
      </c>
      <c r="K2246" s="62"/>
      <c r="L2246" s="62"/>
      <c r="M2246" s="62"/>
      <c r="N2246" s="62"/>
      <c r="O2246" s="62"/>
      <c r="P2246" s="62"/>
      <c r="Q2246" s="62"/>
    </row>
    <row r="2247" spans="1:17">
      <c r="A2247" s="62"/>
      <c r="B2247" s="62"/>
      <c r="C2247" s="62"/>
      <c r="D2247" s="62"/>
      <c r="E2247" s="62"/>
      <c r="F2247" s="62"/>
      <c r="G2247" s="62"/>
      <c r="H2247" s="62" t="str">
        <f>IF(AND('Data Export'!A2247=前十整体车型排名!$B$2,'Data Export'!B2247=前十整体车型排名!$B$3,'Data Export'!D2247&lt;&gt;""),UPPER('Data Export'!C2247)&amp;"♦"&amp;'Data Export'!D2247,"")</f>
        <v/>
      </c>
      <c r="I2247" s="63" t="str">
        <f>IF(H2247="","",IFERROR(INDEX('Data Export'!G2247:CZ2247,1,MATCH(前十整体车型排名!$B$4,'Data Export'!$G$1:$CZ$1,0)),0))</f>
        <v/>
      </c>
      <c r="J2247" s="62" t="str">
        <f>IF(H2247="","",IF(OR('Data Export'!F2247="三厢轿车",'Data Export'!F2247="掀背轿车",'Data Export'!F2247="旅行车",'Data Export'!F2247="微型车",'Data Export'!F2247="硬顶跑车",'Data Export'!F2247="敞蓬车",'Data Export'!F2247="Targa"),"轿车",IF(OR('Data Export'!F2247="小型MPV",'Data Export'!F2247="客车"),"MPV",IF('Data Export'!F2247="运动型多功能车","SUV","其他"))))</f>
        <v/>
      </c>
      <c r="K2247" s="62"/>
      <c r="L2247" s="62"/>
      <c r="M2247" s="62"/>
      <c r="N2247" s="62"/>
      <c r="O2247" s="62"/>
      <c r="P2247" s="62"/>
      <c r="Q2247" s="62"/>
    </row>
    <row r="2248" spans="1:17">
      <c r="A2248" s="62"/>
      <c r="B2248" s="62"/>
      <c r="C2248" s="62"/>
      <c r="D2248" s="62"/>
      <c r="E2248" s="62"/>
      <c r="F2248" s="62"/>
      <c r="G2248" s="62"/>
      <c r="H2248" s="62" t="str">
        <f>IF(AND('Data Export'!A2248=前十整体车型排名!$B$2,'Data Export'!B2248=前十整体车型排名!$B$3,'Data Export'!D2248&lt;&gt;""),UPPER('Data Export'!C2248)&amp;"♦"&amp;'Data Export'!D2248,"")</f>
        <v/>
      </c>
      <c r="I2248" s="63" t="str">
        <f>IF(H2248="","",IFERROR(INDEX('Data Export'!G2248:CZ2248,1,MATCH(前十整体车型排名!$B$4,'Data Export'!$G$1:$CZ$1,0)),0))</f>
        <v/>
      </c>
      <c r="J2248" s="62" t="str">
        <f>IF(H2248="","",IF(OR('Data Export'!F2248="三厢轿车",'Data Export'!F2248="掀背轿车",'Data Export'!F2248="旅行车",'Data Export'!F2248="微型车",'Data Export'!F2248="硬顶跑车",'Data Export'!F2248="敞蓬车",'Data Export'!F2248="Targa"),"轿车",IF(OR('Data Export'!F2248="小型MPV",'Data Export'!F2248="客车"),"MPV",IF('Data Export'!F2248="运动型多功能车","SUV","其他"))))</f>
        <v/>
      </c>
      <c r="K2248" s="62"/>
      <c r="L2248" s="62"/>
      <c r="M2248" s="62"/>
      <c r="N2248" s="62"/>
      <c r="O2248" s="62"/>
      <c r="P2248" s="62"/>
      <c r="Q2248" s="62"/>
    </row>
    <row r="2249" spans="1:17">
      <c r="A2249" s="62"/>
      <c r="B2249" s="62"/>
      <c r="C2249" s="62"/>
      <c r="D2249" s="62"/>
      <c r="E2249" s="62"/>
      <c r="F2249" s="62"/>
      <c r="G2249" s="62"/>
      <c r="H2249" s="62" t="str">
        <f>IF(AND('Data Export'!A2249=前十整体车型排名!$B$2,'Data Export'!B2249=前十整体车型排名!$B$3,'Data Export'!D2249&lt;&gt;""),UPPER('Data Export'!C2249)&amp;"♦"&amp;'Data Export'!D2249,"")</f>
        <v/>
      </c>
      <c r="I2249" s="63" t="str">
        <f>IF(H2249="","",IFERROR(INDEX('Data Export'!G2249:CZ2249,1,MATCH(前十整体车型排名!$B$4,'Data Export'!$G$1:$CZ$1,0)),0))</f>
        <v/>
      </c>
      <c r="J2249" s="62" t="str">
        <f>IF(H2249="","",IF(OR('Data Export'!F2249="三厢轿车",'Data Export'!F2249="掀背轿车",'Data Export'!F2249="旅行车",'Data Export'!F2249="微型车",'Data Export'!F2249="硬顶跑车",'Data Export'!F2249="敞蓬车",'Data Export'!F2249="Targa"),"轿车",IF(OR('Data Export'!F2249="小型MPV",'Data Export'!F2249="客车"),"MPV",IF('Data Export'!F2249="运动型多功能车","SUV","其他"))))</f>
        <v/>
      </c>
      <c r="K2249" s="62"/>
      <c r="L2249" s="62"/>
      <c r="M2249" s="62"/>
      <c r="N2249" s="62"/>
      <c r="O2249" s="62"/>
      <c r="P2249" s="62"/>
      <c r="Q2249" s="62"/>
    </row>
    <row r="2250" spans="1:17">
      <c r="A2250" s="62"/>
      <c r="B2250" s="62"/>
      <c r="C2250" s="62"/>
      <c r="D2250" s="62"/>
      <c r="E2250" s="62"/>
      <c r="F2250" s="62"/>
      <c r="G2250" s="62"/>
      <c r="H2250" s="62" t="str">
        <f>IF(AND('Data Export'!A2250=前十整体车型排名!$B$2,'Data Export'!B2250=前十整体车型排名!$B$3,'Data Export'!D2250&lt;&gt;""),UPPER('Data Export'!C2250)&amp;"♦"&amp;'Data Export'!D2250,"")</f>
        <v/>
      </c>
      <c r="I2250" s="63" t="str">
        <f>IF(H2250="","",IFERROR(INDEX('Data Export'!G2250:CZ2250,1,MATCH(前十整体车型排名!$B$4,'Data Export'!$G$1:$CZ$1,0)),0))</f>
        <v/>
      </c>
      <c r="J2250" s="62" t="str">
        <f>IF(H2250="","",IF(OR('Data Export'!F2250="三厢轿车",'Data Export'!F2250="掀背轿车",'Data Export'!F2250="旅行车",'Data Export'!F2250="微型车",'Data Export'!F2250="硬顶跑车",'Data Export'!F2250="敞蓬车",'Data Export'!F2250="Targa"),"轿车",IF(OR('Data Export'!F2250="小型MPV",'Data Export'!F2250="客车"),"MPV",IF('Data Export'!F2250="运动型多功能车","SUV","其他"))))</f>
        <v/>
      </c>
      <c r="K2250" s="62"/>
      <c r="L2250" s="62"/>
      <c r="M2250" s="62"/>
      <c r="N2250" s="62"/>
      <c r="O2250" s="62"/>
      <c r="P2250" s="62"/>
      <c r="Q2250" s="62"/>
    </row>
    <row r="2251" spans="1:17">
      <c r="A2251" s="62"/>
      <c r="B2251" s="62"/>
      <c r="C2251" s="62"/>
      <c r="D2251" s="62"/>
      <c r="E2251" s="62"/>
      <c r="F2251" s="62"/>
      <c r="G2251" s="62"/>
      <c r="H2251" s="62" t="str">
        <f>IF(AND('Data Export'!A2251=前十整体车型排名!$B$2,'Data Export'!B2251=前十整体车型排名!$B$3,'Data Export'!D2251&lt;&gt;""),UPPER('Data Export'!C2251)&amp;"♦"&amp;'Data Export'!D2251,"")</f>
        <v/>
      </c>
      <c r="I2251" s="63" t="str">
        <f>IF(H2251="","",IFERROR(INDEX('Data Export'!G2251:CZ2251,1,MATCH(前十整体车型排名!$B$4,'Data Export'!$G$1:$CZ$1,0)),0))</f>
        <v/>
      </c>
      <c r="J2251" s="62" t="str">
        <f>IF(H2251="","",IF(OR('Data Export'!F2251="三厢轿车",'Data Export'!F2251="掀背轿车",'Data Export'!F2251="旅行车",'Data Export'!F2251="微型车",'Data Export'!F2251="硬顶跑车",'Data Export'!F2251="敞蓬车",'Data Export'!F2251="Targa"),"轿车",IF(OR('Data Export'!F2251="小型MPV",'Data Export'!F2251="客车"),"MPV",IF('Data Export'!F2251="运动型多功能车","SUV","其他"))))</f>
        <v/>
      </c>
      <c r="K2251" s="62"/>
      <c r="L2251" s="62"/>
      <c r="M2251" s="62"/>
      <c r="N2251" s="62"/>
      <c r="O2251" s="62"/>
      <c r="P2251" s="62"/>
      <c r="Q2251" s="62"/>
    </row>
    <row r="2252" spans="1:17">
      <c r="A2252" s="62"/>
      <c r="B2252" s="62"/>
      <c r="C2252" s="62"/>
      <c r="D2252" s="62"/>
      <c r="E2252" s="62"/>
      <c r="F2252" s="62"/>
      <c r="G2252" s="62"/>
      <c r="H2252" s="62" t="str">
        <f>IF(AND('Data Export'!A2252=前十整体车型排名!$B$2,'Data Export'!B2252=前十整体车型排名!$B$3,'Data Export'!D2252&lt;&gt;""),UPPER('Data Export'!C2252)&amp;"♦"&amp;'Data Export'!D2252,"")</f>
        <v/>
      </c>
      <c r="I2252" s="63" t="str">
        <f>IF(H2252="","",IFERROR(INDEX('Data Export'!G2252:CZ2252,1,MATCH(前十整体车型排名!$B$4,'Data Export'!$G$1:$CZ$1,0)),0))</f>
        <v/>
      </c>
      <c r="J2252" s="62" t="str">
        <f>IF(H2252="","",IF(OR('Data Export'!F2252="三厢轿车",'Data Export'!F2252="掀背轿车",'Data Export'!F2252="旅行车",'Data Export'!F2252="微型车",'Data Export'!F2252="硬顶跑车",'Data Export'!F2252="敞蓬车",'Data Export'!F2252="Targa"),"轿车",IF(OR('Data Export'!F2252="小型MPV",'Data Export'!F2252="客车"),"MPV",IF('Data Export'!F2252="运动型多功能车","SUV","其他"))))</f>
        <v/>
      </c>
      <c r="K2252" s="62"/>
      <c r="L2252" s="62"/>
      <c r="M2252" s="62"/>
      <c r="N2252" s="62"/>
      <c r="O2252" s="62"/>
      <c r="P2252" s="62"/>
      <c r="Q2252" s="62"/>
    </row>
    <row r="2253" spans="1:17">
      <c r="A2253" s="62"/>
      <c r="B2253" s="62"/>
      <c r="C2253" s="62"/>
      <c r="D2253" s="62"/>
      <c r="E2253" s="62"/>
      <c r="F2253" s="62"/>
      <c r="G2253" s="62"/>
      <c r="H2253" s="62" t="str">
        <f>IF(AND('Data Export'!A2253=前十整体车型排名!$B$2,'Data Export'!B2253=前十整体车型排名!$B$3,'Data Export'!D2253&lt;&gt;""),UPPER('Data Export'!C2253)&amp;"♦"&amp;'Data Export'!D2253,"")</f>
        <v/>
      </c>
      <c r="I2253" s="63" t="str">
        <f>IF(H2253="","",IFERROR(INDEX('Data Export'!G2253:CZ2253,1,MATCH(前十整体车型排名!$B$4,'Data Export'!$G$1:$CZ$1,0)),0))</f>
        <v/>
      </c>
      <c r="J2253" s="62" t="str">
        <f>IF(H2253="","",IF(OR('Data Export'!F2253="三厢轿车",'Data Export'!F2253="掀背轿车",'Data Export'!F2253="旅行车",'Data Export'!F2253="微型车",'Data Export'!F2253="硬顶跑车",'Data Export'!F2253="敞蓬车",'Data Export'!F2253="Targa"),"轿车",IF(OR('Data Export'!F2253="小型MPV",'Data Export'!F2253="客车"),"MPV",IF('Data Export'!F2253="运动型多功能车","SUV","其他"))))</f>
        <v/>
      </c>
      <c r="K2253" s="62"/>
      <c r="L2253" s="62"/>
      <c r="M2253" s="62"/>
      <c r="N2253" s="62"/>
      <c r="O2253" s="62"/>
      <c r="P2253" s="62"/>
      <c r="Q2253" s="62"/>
    </row>
    <row r="2254" spans="1:17">
      <c r="A2254" s="62"/>
      <c r="B2254" s="62"/>
      <c r="C2254" s="62"/>
      <c r="D2254" s="62"/>
      <c r="E2254" s="62"/>
      <c r="F2254" s="62"/>
      <c r="G2254" s="62"/>
      <c r="H2254" s="62" t="str">
        <f>IF(AND('Data Export'!A2254=前十整体车型排名!$B$2,'Data Export'!B2254=前十整体车型排名!$B$3,'Data Export'!D2254&lt;&gt;""),UPPER('Data Export'!C2254)&amp;"♦"&amp;'Data Export'!D2254,"")</f>
        <v/>
      </c>
      <c r="I2254" s="63" t="str">
        <f>IF(H2254="","",IFERROR(INDEX('Data Export'!G2254:CZ2254,1,MATCH(前十整体车型排名!$B$4,'Data Export'!$G$1:$CZ$1,0)),0))</f>
        <v/>
      </c>
      <c r="J2254" s="62" t="str">
        <f>IF(H2254="","",IF(OR('Data Export'!F2254="三厢轿车",'Data Export'!F2254="掀背轿车",'Data Export'!F2254="旅行车",'Data Export'!F2254="微型车",'Data Export'!F2254="硬顶跑车",'Data Export'!F2254="敞蓬车",'Data Export'!F2254="Targa"),"轿车",IF(OR('Data Export'!F2254="小型MPV",'Data Export'!F2254="客车"),"MPV",IF('Data Export'!F2254="运动型多功能车","SUV","其他"))))</f>
        <v/>
      </c>
      <c r="K2254" s="62"/>
      <c r="L2254" s="62"/>
      <c r="M2254" s="62"/>
      <c r="N2254" s="62"/>
      <c r="O2254" s="62"/>
      <c r="P2254" s="62"/>
      <c r="Q2254" s="62"/>
    </row>
    <row r="2255" spans="1:17">
      <c r="A2255" s="62"/>
      <c r="B2255" s="62"/>
      <c r="C2255" s="62"/>
      <c r="D2255" s="62"/>
      <c r="E2255" s="62"/>
      <c r="F2255" s="62"/>
      <c r="G2255" s="62"/>
      <c r="H2255" s="62" t="str">
        <f>IF(AND('Data Export'!A2255=前十整体车型排名!$B$2,'Data Export'!B2255=前十整体车型排名!$B$3,'Data Export'!D2255&lt;&gt;""),UPPER('Data Export'!C2255)&amp;"♦"&amp;'Data Export'!D2255,"")</f>
        <v/>
      </c>
      <c r="I2255" s="63" t="str">
        <f>IF(H2255="","",IFERROR(INDEX('Data Export'!G2255:CZ2255,1,MATCH(前十整体车型排名!$B$4,'Data Export'!$G$1:$CZ$1,0)),0))</f>
        <v/>
      </c>
      <c r="J2255" s="62" t="str">
        <f>IF(H2255="","",IF(OR('Data Export'!F2255="三厢轿车",'Data Export'!F2255="掀背轿车",'Data Export'!F2255="旅行车",'Data Export'!F2255="微型车",'Data Export'!F2255="硬顶跑车",'Data Export'!F2255="敞蓬车",'Data Export'!F2255="Targa"),"轿车",IF(OR('Data Export'!F2255="小型MPV",'Data Export'!F2255="客车"),"MPV",IF('Data Export'!F2255="运动型多功能车","SUV","其他"))))</f>
        <v/>
      </c>
      <c r="K2255" s="62"/>
      <c r="L2255" s="62"/>
      <c r="M2255" s="62"/>
      <c r="N2255" s="62"/>
      <c r="O2255" s="62"/>
      <c r="P2255" s="62"/>
      <c r="Q2255" s="62"/>
    </row>
    <row r="2256" spans="1:17">
      <c r="A2256" s="62"/>
      <c r="B2256" s="62"/>
      <c r="C2256" s="62"/>
      <c r="D2256" s="62"/>
      <c r="E2256" s="62"/>
      <c r="F2256" s="62"/>
      <c r="G2256" s="62"/>
      <c r="H2256" s="62" t="str">
        <f>IF(AND('Data Export'!A2256=前十整体车型排名!$B$2,'Data Export'!B2256=前十整体车型排名!$B$3,'Data Export'!D2256&lt;&gt;""),UPPER('Data Export'!C2256)&amp;"♦"&amp;'Data Export'!D2256,"")</f>
        <v/>
      </c>
      <c r="I2256" s="63" t="str">
        <f>IF(H2256="","",IFERROR(INDEX('Data Export'!G2256:CZ2256,1,MATCH(前十整体车型排名!$B$4,'Data Export'!$G$1:$CZ$1,0)),0))</f>
        <v/>
      </c>
      <c r="J2256" s="62" t="str">
        <f>IF(H2256="","",IF(OR('Data Export'!F2256="三厢轿车",'Data Export'!F2256="掀背轿车",'Data Export'!F2256="旅行车",'Data Export'!F2256="微型车",'Data Export'!F2256="硬顶跑车",'Data Export'!F2256="敞蓬车",'Data Export'!F2256="Targa"),"轿车",IF(OR('Data Export'!F2256="小型MPV",'Data Export'!F2256="客车"),"MPV",IF('Data Export'!F2256="运动型多功能车","SUV","其他"))))</f>
        <v/>
      </c>
      <c r="K2256" s="62"/>
      <c r="L2256" s="62"/>
      <c r="M2256" s="62"/>
      <c r="N2256" s="62"/>
      <c r="O2256" s="62"/>
      <c r="P2256" s="62"/>
      <c r="Q2256" s="62"/>
    </row>
    <row r="2257" spans="1:17">
      <c r="A2257" s="62"/>
      <c r="B2257" s="62"/>
      <c r="C2257" s="62"/>
      <c r="D2257" s="62"/>
      <c r="E2257" s="62"/>
      <c r="F2257" s="62"/>
      <c r="G2257" s="62"/>
      <c r="H2257" s="62" t="str">
        <f>IF(AND('Data Export'!A2257=前十整体车型排名!$B$2,'Data Export'!B2257=前十整体车型排名!$B$3,'Data Export'!D2257&lt;&gt;""),UPPER('Data Export'!C2257)&amp;"♦"&amp;'Data Export'!D2257,"")</f>
        <v/>
      </c>
      <c r="I2257" s="63" t="str">
        <f>IF(H2257="","",IFERROR(INDEX('Data Export'!G2257:CZ2257,1,MATCH(前十整体车型排名!$B$4,'Data Export'!$G$1:$CZ$1,0)),0))</f>
        <v/>
      </c>
      <c r="J2257" s="62" t="str">
        <f>IF(H2257="","",IF(OR('Data Export'!F2257="三厢轿车",'Data Export'!F2257="掀背轿车",'Data Export'!F2257="旅行车",'Data Export'!F2257="微型车",'Data Export'!F2257="硬顶跑车",'Data Export'!F2257="敞蓬车",'Data Export'!F2257="Targa"),"轿车",IF(OR('Data Export'!F2257="小型MPV",'Data Export'!F2257="客车"),"MPV",IF('Data Export'!F2257="运动型多功能车","SUV","其他"))))</f>
        <v/>
      </c>
      <c r="K2257" s="62"/>
      <c r="L2257" s="62"/>
      <c r="M2257" s="62"/>
      <c r="N2257" s="62"/>
      <c r="O2257" s="62"/>
      <c r="P2257" s="62"/>
      <c r="Q2257" s="62"/>
    </row>
    <row r="2258" spans="1:17">
      <c r="A2258" s="62"/>
      <c r="B2258" s="62"/>
      <c r="C2258" s="62"/>
      <c r="D2258" s="62"/>
      <c r="E2258" s="62"/>
      <c r="F2258" s="62"/>
      <c r="G2258" s="62"/>
      <c r="H2258" s="62" t="str">
        <f>IF(AND('Data Export'!A2258=前十整体车型排名!$B$2,'Data Export'!B2258=前十整体车型排名!$B$3,'Data Export'!D2258&lt;&gt;""),UPPER('Data Export'!C2258)&amp;"♦"&amp;'Data Export'!D2258,"")</f>
        <v/>
      </c>
      <c r="I2258" s="63" t="str">
        <f>IF(H2258="","",IFERROR(INDEX('Data Export'!G2258:CZ2258,1,MATCH(前十整体车型排名!$B$4,'Data Export'!$G$1:$CZ$1,0)),0))</f>
        <v/>
      </c>
      <c r="J2258" s="62" t="str">
        <f>IF(H2258="","",IF(OR('Data Export'!F2258="三厢轿车",'Data Export'!F2258="掀背轿车",'Data Export'!F2258="旅行车",'Data Export'!F2258="微型车",'Data Export'!F2258="硬顶跑车",'Data Export'!F2258="敞蓬车",'Data Export'!F2258="Targa"),"轿车",IF(OR('Data Export'!F2258="小型MPV",'Data Export'!F2258="客车"),"MPV",IF('Data Export'!F2258="运动型多功能车","SUV","其他"))))</f>
        <v/>
      </c>
      <c r="K2258" s="62"/>
      <c r="L2258" s="62"/>
      <c r="M2258" s="62"/>
      <c r="N2258" s="62"/>
      <c r="O2258" s="62"/>
      <c r="P2258" s="62"/>
      <c r="Q2258" s="62"/>
    </row>
    <row r="2259" spans="1:17">
      <c r="A2259" s="62"/>
      <c r="B2259" s="62"/>
      <c r="C2259" s="62"/>
      <c r="D2259" s="62"/>
      <c r="E2259" s="62"/>
      <c r="F2259" s="62"/>
      <c r="G2259" s="62"/>
      <c r="H2259" s="62" t="str">
        <f>IF(AND('Data Export'!A2259=前十整体车型排名!$B$2,'Data Export'!B2259=前十整体车型排名!$B$3,'Data Export'!D2259&lt;&gt;""),UPPER('Data Export'!C2259)&amp;"♦"&amp;'Data Export'!D2259,"")</f>
        <v/>
      </c>
      <c r="I2259" s="63" t="str">
        <f>IF(H2259="","",IFERROR(INDEX('Data Export'!G2259:CZ2259,1,MATCH(前十整体车型排名!$B$4,'Data Export'!$G$1:$CZ$1,0)),0))</f>
        <v/>
      </c>
      <c r="J2259" s="62" t="str">
        <f>IF(H2259="","",IF(OR('Data Export'!F2259="三厢轿车",'Data Export'!F2259="掀背轿车",'Data Export'!F2259="旅行车",'Data Export'!F2259="微型车",'Data Export'!F2259="硬顶跑车",'Data Export'!F2259="敞蓬车",'Data Export'!F2259="Targa"),"轿车",IF(OR('Data Export'!F2259="小型MPV",'Data Export'!F2259="客车"),"MPV",IF('Data Export'!F2259="运动型多功能车","SUV","其他"))))</f>
        <v/>
      </c>
      <c r="K2259" s="62"/>
      <c r="L2259" s="62"/>
      <c r="M2259" s="62"/>
      <c r="N2259" s="62"/>
      <c r="O2259" s="62"/>
      <c r="P2259" s="62"/>
      <c r="Q2259" s="62"/>
    </row>
    <row r="2260" spans="1:17">
      <c r="A2260" s="62"/>
      <c r="B2260" s="62"/>
      <c r="C2260" s="62"/>
      <c r="D2260" s="62"/>
      <c r="E2260" s="62"/>
      <c r="F2260" s="62"/>
      <c r="G2260" s="62"/>
      <c r="H2260" s="62" t="str">
        <f>IF(AND('Data Export'!A2260=前十整体车型排名!$B$2,'Data Export'!B2260=前十整体车型排名!$B$3,'Data Export'!D2260&lt;&gt;""),UPPER('Data Export'!C2260)&amp;"♦"&amp;'Data Export'!D2260,"")</f>
        <v/>
      </c>
      <c r="I2260" s="63" t="str">
        <f>IF(H2260="","",IFERROR(INDEX('Data Export'!G2260:CZ2260,1,MATCH(前十整体车型排名!$B$4,'Data Export'!$G$1:$CZ$1,0)),0))</f>
        <v/>
      </c>
      <c r="J2260" s="62" t="str">
        <f>IF(H2260="","",IF(OR('Data Export'!F2260="三厢轿车",'Data Export'!F2260="掀背轿车",'Data Export'!F2260="旅行车",'Data Export'!F2260="微型车",'Data Export'!F2260="硬顶跑车",'Data Export'!F2260="敞蓬车",'Data Export'!F2260="Targa"),"轿车",IF(OR('Data Export'!F2260="小型MPV",'Data Export'!F2260="客车"),"MPV",IF('Data Export'!F2260="运动型多功能车","SUV","其他"))))</f>
        <v/>
      </c>
      <c r="K2260" s="62"/>
      <c r="L2260" s="62"/>
      <c r="M2260" s="62"/>
      <c r="N2260" s="62"/>
      <c r="O2260" s="62"/>
      <c r="P2260" s="62"/>
      <c r="Q2260" s="62"/>
    </row>
    <row r="2261" spans="1:17">
      <c r="A2261" s="62"/>
      <c r="B2261" s="62"/>
      <c r="C2261" s="62"/>
      <c r="D2261" s="62"/>
      <c r="E2261" s="62"/>
      <c r="F2261" s="62"/>
      <c r="G2261" s="62"/>
      <c r="H2261" s="62" t="str">
        <f>IF(AND('Data Export'!A2261=前十整体车型排名!$B$2,'Data Export'!B2261=前十整体车型排名!$B$3,'Data Export'!D2261&lt;&gt;""),UPPER('Data Export'!C2261)&amp;"♦"&amp;'Data Export'!D2261,"")</f>
        <v/>
      </c>
      <c r="I2261" s="63" t="str">
        <f>IF(H2261="","",IFERROR(INDEX('Data Export'!G2261:CZ2261,1,MATCH(前十整体车型排名!$B$4,'Data Export'!$G$1:$CZ$1,0)),0))</f>
        <v/>
      </c>
      <c r="J2261" s="62" t="str">
        <f>IF(H2261="","",IF(OR('Data Export'!F2261="三厢轿车",'Data Export'!F2261="掀背轿车",'Data Export'!F2261="旅行车",'Data Export'!F2261="微型车",'Data Export'!F2261="硬顶跑车",'Data Export'!F2261="敞蓬车",'Data Export'!F2261="Targa"),"轿车",IF(OR('Data Export'!F2261="小型MPV",'Data Export'!F2261="客车"),"MPV",IF('Data Export'!F2261="运动型多功能车","SUV","其他"))))</f>
        <v/>
      </c>
      <c r="K2261" s="62"/>
      <c r="L2261" s="62"/>
      <c r="M2261" s="62"/>
      <c r="N2261" s="62"/>
      <c r="O2261" s="62"/>
      <c r="P2261" s="62"/>
      <c r="Q2261" s="62"/>
    </row>
    <row r="2262" spans="1:17">
      <c r="A2262" s="62"/>
      <c r="B2262" s="62"/>
      <c r="C2262" s="62"/>
      <c r="D2262" s="62"/>
      <c r="E2262" s="62"/>
      <c r="F2262" s="62"/>
      <c r="G2262" s="62"/>
      <c r="H2262" s="62" t="str">
        <f>IF(AND('Data Export'!A2262=前十整体车型排名!$B$2,'Data Export'!B2262=前十整体车型排名!$B$3,'Data Export'!D2262&lt;&gt;""),UPPER('Data Export'!C2262)&amp;"♦"&amp;'Data Export'!D2262,"")</f>
        <v/>
      </c>
      <c r="I2262" s="63" t="str">
        <f>IF(H2262="","",IFERROR(INDEX('Data Export'!G2262:CZ2262,1,MATCH(前十整体车型排名!$B$4,'Data Export'!$G$1:$CZ$1,0)),0))</f>
        <v/>
      </c>
      <c r="J2262" s="62" t="str">
        <f>IF(H2262="","",IF(OR('Data Export'!F2262="三厢轿车",'Data Export'!F2262="掀背轿车",'Data Export'!F2262="旅行车",'Data Export'!F2262="微型车",'Data Export'!F2262="硬顶跑车",'Data Export'!F2262="敞蓬车",'Data Export'!F2262="Targa"),"轿车",IF(OR('Data Export'!F2262="小型MPV",'Data Export'!F2262="客车"),"MPV",IF('Data Export'!F2262="运动型多功能车","SUV","其他"))))</f>
        <v/>
      </c>
      <c r="K2262" s="62"/>
      <c r="L2262" s="62"/>
      <c r="M2262" s="62"/>
      <c r="N2262" s="62"/>
      <c r="O2262" s="62"/>
      <c r="P2262" s="62"/>
      <c r="Q2262" s="62"/>
    </row>
    <row r="2263" spans="1:17">
      <c r="A2263" s="62"/>
      <c r="B2263" s="62"/>
      <c r="C2263" s="62"/>
      <c r="D2263" s="62"/>
      <c r="E2263" s="62"/>
      <c r="F2263" s="62"/>
      <c r="G2263" s="62"/>
      <c r="H2263" s="62" t="str">
        <f>IF(AND('Data Export'!A2263=前十整体车型排名!$B$2,'Data Export'!B2263=前十整体车型排名!$B$3,'Data Export'!D2263&lt;&gt;""),UPPER('Data Export'!C2263)&amp;"♦"&amp;'Data Export'!D2263,"")</f>
        <v/>
      </c>
      <c r="I2263" s="63" t="str">
        <f>IF(H2263="","",IFERROR(INDEX('Data Export'!G2263:CZ2263,1,MATCH(前十整体车型排名!$B$4,'Data Export'!$G$1:$CZ$1,0)),0))</f>
        <v/>
      </c>
      <c r="J2263" s="62" t="str">
        <f>IF(H2263="","",IF(OR('Data Export'!F2263="三厢轿车",'Data Export'!F2263="掀背轿车",'Data Export'!F2263="旅行车",'Data Export'!F2263="微型车",'Data Export'!F2263="硬顶跑车",'Data Export'!F2263="敞蓬车",'Data Export'!F2263="Targa"),"轿车",IF(OR('Data Export'!F2263="小型MPV",'Data Export'!F2263="客车"),"MPV",IF('Data Export'!F2263="运动型多功能车","SUV","其他"))))</f>
        <v/>
      </c>
      <c r="K2263" s="62"/>
      <c r="L2263" s="62"/>
      <c r="M2263" s="62"/>
      <c r="N2263" s="62"/>
      <c r="O2263" s="62"/>
      <c r="P2263" s="62"/>
      <c r="Q2263" s="62"/>
    </row>
    <row r="2264" spans="1:17">
      <c r="A2264" s="62"/>
      <c r="B2264" s="62"/>
      <c r="C2264" s="62"/>
      <c r="D2264" s="62"/>
      <c r="E2264" s="62"/>
      <c r="F2264" s="62"/>
      <c r="G2264" s="62"/>
      <c r="H2264" s="62" t="str">
        <f>IF(AND('Data Export'!A2264=前十整体车型排名!$B$2,'Data Export'!B2264=前十整体车型排名!$B$3,'Data Export'!D2264&lt;&gt;""),UPPER('Data Export'!C2264)&amp;"♦"&amp;'Data Export'!D2264,"")</f>
        <v/>
      </c>
      <c r="I2264" s="63" t="str">
        <f>IF(H2264="","",IFERROR(INDEX('Data Export'!G2264:CZ2264,1,MATCH(前十整体车型排名!$B$4,'Data Export'!$G$1:$CZ$1,0)),0))</f>
        <v/>
      </c>
      <c r="J2264" s="62" t="str">
        <f>IF(H2264="","",IF(OR('Data Export'!F2264="三厢轿车",'Data Export'!F2264="掀背轿车",'Data Export'!F2264="旅行车",'Data Export'!F2264="微型车",'Data Export'!F2264="硬顶跑车",'Data Export'!F2264="敞蓬车",'Data Export'!F2264="Targa"),"轿车",IF(OR('Data Export'!F2264="小型MPV",'Data Export'!F2264="客车"),"MPV",IF('Data Export'!F2264="运动型多功能车","SUV","其他"))))</f>
        <v/>
      </c>
      <c r="K2264" s="62"/>
      <c r="L2264" s="62"/>
      <c r="M2264" s="62"/>
      <c r="N2264" s="62"/>
      <c r="O2264" s="62"/>
      <c r="P2264" s="62"/>
      <c r="Q2264" s="62"/>
    </row>
    <row r="2265" spans="1:17">
      <c r="A2265" s="62"/>
      <c r="B2265" s="62"/>
      <c r="C2265" s="62"/>
      <c r="D2265" s="62"/>
      <c r="E2265" s="62"/>
      <c r="F2265" s="62"/>
      <c r="G2265" s="62"/>
      <c r="H2265" s="62" t="str">
        <f>IF(AND('Data Export'!A2265=前十整体车型排名!$B$2,'Data Export'!B2265=前十整体车型排名!$B$3,'Data Export'!D2265&lt;&gt;""),UPPER('Data Export'!C2265)&amp;"♦"&amp;'Data Export'!D2265,"")</f>
        <v/>
      </c>
      <c r="I2265" s="63" t="str">
        <f>IF(H2265="","",IFERROR(INDEX('Data Export'!G2265:CZ2265,1,MATCH(前十整体车型排名!$B$4,'Data Export'!$G$1:$CZ$1,0)),0))</f>
        <v/>
      </c>
      <c r="J2265" s="62" t="str">
        <f>IF(H2265="","",IF(OR('Data Export'!F2265="三厢轿车",'Data Export'!F2265="掀背轿车",'Data Export'!F2265="旅行车",'Data Export'!F2265="微型车",'Data Export'!F2265="硬顶跑车",'Data Export'!F2265="敞蓬车",'Data Export'!F2265="Targa"),"轿车",IF(OR('Data Export'!F2265="小型MPV",'Data Export'!F2265="客车"),"MPV",IF('Data Export'!F2265="运动型多功能车","SUV","其他"))))</f>
        <v/>
      </c>
      <c r="K2265" s="62"/>
      <c r="L2265" s="62"/>
      <c r="M2265" s="62"/>
      <c r="N2265" s="62"/>
      <c r="O2265" s="62"/>
      <c r="P2265" s="62"/>
      <c r="Q2265" s="62"/>
    </row>
    <row r="2266" spans="1:17">
      <c r="A2266" s="62"/>
      <c r="B2266" s="62"/>
      <c r="C2266" s="62"/>
      <c r="D2266" s="62"/>
      <c r="E2266" s="62"/>
      <c r="F2266" s="62"/>
      <c r="G2266" s="62"/>
      <c r="H2266" s="62" t="str">
        <f>IF(AND('Data Export'!A2266=前十整体车型排名!$B$2,'Data Export'!B2266=前十整体车型排名!$B$3,'Data Export'!D2266&lt;&gt;""),UPPER('Data Export'!C2266)&amp;"♦"&amp;'Data Export'!D2266,"")</f>
        <v/>
      </c>
      <c r="I2266" s="63" t="str">
        <f>IF(H2266="","",IFERROR(INDEX('Data Export'!G2266:CZ2266,1,MATCH(前十整体车型排名!$B$4,'Data Export'!$G$1:$CZ$1,0)),0))</f>
        <v/>
      </c>
      <c r="J2266" s="62" t="str">
        <f>IF(H2266="","",IF(OR('Data Export'!F2266="三厢轿车",'Data Export'!F2266="掀背轿车",'Data Export'!F2266="旅行车",'Data Export'!F2266="微型车",'Data Export'!F2266="硬顶跑车",'Data Export'!F2266="敞蓬车",'Data Export'!F2266="Targa"),"轿车",IF(OR('Data Export'!F2266="小型MPV",'Data Export'!F2266="客车"),"MPV",IF('Data Export'!F2266="运动型多功能车","SUV","其他"))))</f>
        <v/>
      </c>
      <c r="K2266" s="62"/>
      <c r="L2266" s="62"/>
      <c r="M2266" s="62"/>
      <c r="N2266" s="62"/>
      <c r="O2266" s="62"/>
      <c r="P2266" s="62"/>
      <c r="Q2266" s="62"/>
    </row>
    <row r="2267" spans="1:17">
      <c r="A2267" s="62"/>
      <c r="B2267" s="62"/>
      <c r="C2267" s="62"/>
      <c r="D2267" s="62"/>
      <c r="E2267" s="62"/>
      <c r="F2267" s="62"/>
      <c r="G2267" s="62"/>
      <c r="H2267" s="62" t="str">
        <f>IF(AND('Data Export'!A2267=前十整体车型排名!$B$2,'Data Export'!B2267=前十整体车型排名!$B$3,'Data Export'!D2267&lt;&gt;""),UPPER('Data Export'!C2267)&amp;"♦"&amp;'Data Export'!D2267,"")</f>
        <v/>
      </c>
      <c r="I2267" s="63" t="str">
        <f>IF(H2267="","",IFERROR(INDEX('Data Export'!G2267:CZ2267,1,MATCH(前十整体车型排名!$B$4,'Data Export'!$G$1:$CZ$1,0)),0))</f>
        <v/>
      </c>
      <c r="J2267" s="62" t="str">
        <f>IF(H2267="","",IF(OR('Data Export'!F2267="三厢轿车",'Data Export'!F2267="掀背轿车",'Data Export'!F2267="旅行车",'Data Export'!F2267="微型车",'Data Export'!F2267="硬顶跑车",'Data Export'!F2267="敞蓬车",'Data Export'!F2267="Targa"),"轿车",IF(OR('Data Export'!F2267="小型MPV",'Data Export'!F2267="客车"),"MPV",IF('Data Export'!F2267="运动型多功能车","SUV","其他"))))</f>
        <v/>
      </c>
      <c r="K2267" s="62"/>
      <c r="L2267" s="62"/>
      <c r="M2267" s="62"/>
      <c r="N2267" s="62"/>
      <c r="O2267" s="62"/>
      <c r="P2267" s="62"/>
      <c r="Q2267" s="62"/>
    </row>
    <row r="2268" spans="1:17">
      <c r="A2268" s="62"/>
      <c r="B2268" s="62"/>
      <c r="C2268" s="62"/>
      <c r="D2268" s="62"/>
      <c r="E2268" s="62"/>
      <c r="F2268" s="62"/>
      <c r="G2268" s="62"/>
      <c r="H2268" s="62" t="str">
        <f>IF(AND('Data Export'!A2268=前十整体车型排名!$B$2,'Data Export'!B2268=前十整体车型排名!$B$3,'Data Export'!D2268&lt;&gt;""),UPPER('Data Export'!C2268)&amp;"♦"&amp;'Data Export'!D2268,"")</f>
        <v/>
      </c>
      <c r="I2268" s="63" t="str">
        <f>IF(H2268="","",IFERROR(INDEX('Data Export'!G2268:CZ2268,1,MATCH(前十整体车型排名!$B$4,'Data Export'!$G$1:$CZ$1,0)),0))</f>
        <v/>
      </c>
      <c r="J2268" s="62" t="str">
        <f>IF(H2268="","",IF(OR('Data Export'!F2268="三厢轿车",'Data Export'!F2268="掀背轿车",'Data Export'!F2268="旅行车",'Data Export'!F2268="微型车",'Data Export'!F2268="硬顶跑车",'Data Export'!F2268="敞蓬车",'Data Export'!F2268="Targa"),"轿车",IF(OR('Data Export'!F2268="小型MPV",'Data Export'!F2268="客车"),"MPV",IF('Data Export'!F2268="运动型多功能车","SUV","其他"))))</f>
        <v/>
      </c>
      <c r="K2268" s="62"/>
      <c r="L2268" s="62"/>
      <c r="M2268" s="62"/>
      <c r="N2268" s="62"/>
      <c r="O2268" s="62"/>
      <c r="P2268" s="62"/>
      <c r="Q2268" s="62"/>
    </row>
    <row r="2269" spans="1:17">
      <c r="A2269" s="62"/>
      <c r="B2269" s="62"/>
      <c r="C2269" s="62"/>
      <c r="D2269" s="62"/>
      <c r="E2269" s="62"/>
      <c r="F2269" s="62"/>
      <c r="G2269" s="62"/>
      <c r="H2269" s="62" t="str">
        <f>IF(AND('Data Export'!A2269=前十整体车型排名!$B$2,'Data Export'!B2269=前十整体车型排名!$B$3,'Data Export'!D2269&lt;&gt;""),UPPER('Data Export'!C2269)&amp;"♦"&amp;'Data Export'!D2269,"")</f>
        <v/>
      </c>
      <c r="I2269" s="63" t="str">
        <f>IF(H2269="","",IFERROR(INDEX('Data Export'!G2269:CZ2269,1,MATCH(前十整体车型排名!$B$4,'Data Export'!$G$1:$CZ$1,0)),0))</f>
        <v/>
      </c>
      <c r="J2269" s="62" t="str">
        <f>IF(H2269="","",IF(OR('Data Export'!F2269="三厢轿车",'Data Export'!F2269="掀背轿车",'Data Export'!F2269="旅行车",'Data Export'!F2269="微型车",'Data Export'!F2269="硬顶跑车",'Data Export'!F2269="敞蓬车",'Data Export'!F2269="Targa"),"轿车",IF(OR('Data Export'!F2269="小型MPV",'Data Export'!F2269="客车"),"MPV",IF('Data Export'!F2269="运动型多功能车","SUV","其他"))))</f>
        <v/>
      </c>
      <c r="K2269" s="62"/>
      <c r="L2269" s="62"/>
      <c r="M2269" s="62"/>
      <c r="N2269" s="62"/>
      <c r="O2269" s="62"/>
      <c r="P2269" s="62"/>
      <c r="Q2269" s="62"/>
    </row>
    <row r="2270" spans="1:17">
      <c r="A2270" s="62"/>
      <c r="B2270" s="62"/>
      <c r="C2270" s="62"/>
      <c r="D2270" s="62"/>
      <c r="E2270" s="62"/>
      <c r="F2270" s="62"/>
      <c r="G2270" s="62"/>
      <c r="H2270" s="62" t="str">
        <f>IF(AND('Data Export'!A2270=前十整体车型排名!$B$2,'Data Export'!B2270=前十整体车型排名!$B$3,'Data Export'!D2270&lt;&gt;""),UPPER('Data Export'!C2270)&amp;"♦"&amp;'Data Export'!D2270,"")</f>
        <v/>
      </c>
      <c r="I2270" s="63" t="str">
        <f>IF(H2270="","",IFERROR(INDEX('Data Export'!G2270:CZ2270,1,MATCH(前十整体车型排名!$B$4,'Data Export'!$G$1:$CZ$1,0)),0))</f>
        <v/>
      </c>
      <c r="J2270" s="62" t="str">
        <f>IF(H2270="","",IF(OR('Data Export'!F2270="三厢轿车",'Data Export'!F2270="掀背轿车",'Data Export'!F2270="旅行车",'Data Export'!F2270="微型车",'Data Export'!F2270="硬顶跑车",'Data Export'!F2270="敞蓬车",'Data Export'!F2270="Targa"),"轿车",IF(OR('Data Export'!F2270="小型MPV",'Data Export'!F2270="客车"),"MPV",IF('Data Export'!F2270="运动型多功能车","SUV","其他"))))</f>
        <v/>
      </c>
      <c r="K2270" s="62"/>
      <c r="L2270" s="62"/>
      <c r="M2270" s="62"/>
      <c r="N2270" s="62"/>
      <c r="O2270" s="62"/>
      <c r="P2270" s="62"/>
      <c r="Q2270" s="62"/>
    </row>
    <row r="2271" spans="1:17">
      <c r="A2271" s="62"/>
      <c r="B2271" s="62"/>
      <c r="C2271" s="62"/>
      <c r="D2271" s="62"/>
      <c r="E2271" s="62"/>
      <c r="F2271" s="62"/>
      <c r="G2271" s="62"/>
      <c r="H2271" s="62" t="str">
        <f>IF(AND('Data Export'!A2271=前十整体车型排名!$B$2,'Data Export'!B2271=前十整体车型排名!$B$3,'Data Export'!D2271&lt;&gt;""),UPPER('Data Export'!C2271)&amp;"♦"&amp;'Data Export'!D2271,"")</f>
        <v/>
      </c>
      <c r="I2271" s="63" t="str">
        <f>IF(H2271="","",IFERROR(INDEX('Data Export'!G2271:CZ2271,1,MATCH(前十整体车型排名!$B$4,'Data Export'!$G$1:$CZ$1,0)),0))</f>
        <v/>
      </c>
      <c r="J2271" s="62" t="str">
        <f>IF(H2271="","",IF(OR('Data Export'!F2271="三厢轿车",'Data Export'!F2271="掀背轿车",'Data Export'!F2271="旅行车",'Data Export'!F2271="微型车",'Data Export'!F2271="硬顶跑车",'Data Export'!F2271="敞蓬车",'Data Export'!F2271="Targa"),"轿车",IF(OR('Data Export'!F2271="小型MPV",'Data Export'!F2271="客车"),"MPV",IF('Data Export'!F2271="运动型多功能车","SUV","其他"))))</f>
        <v/>
      </c>
      <c r="K2271" s="62"/>
      <c r="L2271" s="62"/>
      <c r="M2271" s="62"/>
      <c r="N2271" s="62"/>
      <c r="O2271" s="62"/>
      <c r="P2271" s="62"/>
      <c r="Q2271" s="62"/>
    </row>
    <row r="2272" spans="1:17">
      <c r="A2272" s="62"/>
      <c r="B2272" s="62"/>
      <c r="C2272" s="62"/>
      <c r="D2272" s="62"/>
      <c r="E2272" s="62"/>
      <c r="F2272" s="62"/>
      <c r="G2272" s="62"/>
      <c r="H2272" s="62" t="str">
        <f>IF(AND('Data Export'!A2272=前十整体车型排名!$B$2,'Data Export'!B2272=前十整体车型排名!$B$3,'Data Export'!D2272&lt;&gt;""),UPPER('Data Export'!C2272)&amp;"♦"&amp;'Data Export'!D2272,"")</f>
        <v/>
      </c>
      <c r="I2272" s="63" t="str">
        <f>IF(H2272="","",IFERROR(INDEX('Data Export'!G2272:CZ2272,1,MATCH(前十整体车型排名!$B$4,'Data Export'!$G$1:$CZ$1,0)),0))</f>
        <v/>
      </c>
      <c r="J2272" s="62" t="str">
        <f>IF(H2272="","",IF(OR('Data Export'!F2272="三厢轿车",'Data Export'!F2272="掀背轿车",'Data Export'!F2272="旅行车",'Data Export'!F2272="微型车",'Data Export'!F2272="硬顶跑车",'Data Export'!F2272="敞蓬车",'Data Export'!F2272="Targa"),"轿车",IF(OR('Data Export'!F2272="小型MPV",'Data Export'!F2272="客车"),"MPV",IF('Data Export'!F2272="运动型多功能车","SUV","其他"))))</f>
        <v/>
      </c>
      <c r="K2272" s="62"/>
      <c r="L2272" s="62"/>
      <c r="M2272" s="62"/>
      <c r="N2272" s="62"/>
      <c r="O2272" s="62"/>
      <c r="P2272" s="62"/>
      <c r="Q2272" s="62"/>
    </row>
    <row r="2273" spans="1:17">
      <c r="A2273" s="62"/>
      <c r="B2273" s="62"/>
      <c r="C2273" s="62"/>
      <c r="D2273" s="62"/>
      <c r="E2273" s="62"/>
      <c r="F2273" s="62"/>
      <c r="G2273" s="62"/>
      <c r="H2273" s="62" t="str">
        <f>IF(AND('Data Export'!A2273=前十整体车型排名!$B$2,'Data Export'!B2273=前十整体车型排名!$B$3,'Data Export'!D2273&lt;&gt;""),UPPER('Data Export'!C2273)&amp;"♦"&amp;'Data Export'!D2273,"")</f>
        <v/>
      </c>
      <c r="I2273" s="63" t="str">
        <f>IF(H2273="","",IFERROR(INDEX('Data Export'!G2273:CZ2273,1,MATCH(前十整体车型排名!$B$4,'Data Export'!$G$1:$CZ$1,0)),0))</f>
        <v/>
      </c>
      <c r="J2273" s="62" t="str">
        <f>IF(H2273="","",IF(OR('Data Export'!F2273="三厢轿车",'Data Export'!F2273="掀背轿车",'Data Export'!F2273="旅行车",'Data Export'!F2273="微型车",'Data Export'!F2273="硬顶跑车",'Data Export'!F2273="敞蓬车",'Data Export'!F2273="Targa"),"轿车",IF(OR('Data Export'!F2273="小型MPV",'Data Export'!F2273="客车"),"MPV",IF('Data Export'!F2273="运动型多功能车","SUV","其他"))))</f>
        <v/>
      </c>
      <c r="K2273" s="62"/>
      <c r="L2273" s="62"/>
      <c r="M2273" s="62"/>
      <c r="N2273" s="62"/>
      <c r="O2273" s="62"/>
      <c r="P2273" s="62"/>
      <c r="Q2273" s="62"/>
    </row>
    <row r="2274" spans="1:17">
      <c r="A2274" s="62"/>
      <c r="B2274" s="62"/>
      <c r="C2274" s="62"/>
      <c r="D2274" s="62"/>
      <c r="E2274" s="62"/>
      <c r="F2274" s="62"/>
      <c r="G2274" s="62"/>
      <c r="H2274" s="62" t="str">
        <f>IF(AND('Data Export'!A2274=前十整体车型排名!$B$2,'Data Export'!B2274=前十整体车型排名!$B$3,'Data Export'!D2274&lt;&gt;""),UPPER('Data Export'!C2274)&amp;"♦"&amp;'Data Export'!D2274,"")</f>
        <v/>
      </c>
      <c r="I2274" s="63" t="str">
        <f>IF(H2274="","",IFERROR(INDEX('Data Export'!G2274:CZ2274,1,MATCH(前十整体车型排名!$B$4,'Data Export'!$G$1:$CZ$1,0)),0))</f>
        <v/>
      </c>
      <c r="J2274" s="62" t="str">
        <f>IF(H2274="","",IF(OR('Data Export'!F2274="三厢轿车",'Data Export'!F2274="掀背轿车",'Data Export'!F2274="旅行车",'Data Export'!F2274="微型车",'Data Export'!F2274="硬顶跑车",'Data Export'!F2274="敞蓬车",'Data Export'!F2274="Targa"),"轿车",IF(OR('Data Export'!F2274="小型MPV",'Data Export'!F2274="客车"),"MPV",IF('Data Export'!F2274="运动型多功能车","SUV","其他"))))</f>
        <v/>
      </c>
      <c r="K2274" s="62"/>
      <c r="L2274" s="62"/>
      <c r="M2274" s="62"/>
      <c r="N2274" s="62"/>
      <c r="O2274" s="62"/>
      <c r="P2274" s="62"/>
      <c r="Q2274" s="62"/>
    </row>
    <row r="2275" spans="1:17">
      <c r="A2275" s="62"/>
      <c r="B2275" s="62"/>
      <c r="C2275" s="62"/>
      <c r="D2275" s="62"/>
      <c r="E2275" s="62"/>
      <c r="F2275" s="62"/>
      <c r="G2275" s="62"/>
      <c r="H2275" s="62" t="str">
        <f>IF(AND('Data Export'!A2275=前十整体车型排名!$B$2,'Data Export'!B2275=前十整体车型排名!$B$3,'Data Export'!D2275&lt;&gt;""),UPPER('Data Export'!C2275)&amp;"♦"&amp;'Data Export'!D2275,"")</f>
        <v/>
      </c>
      <c r="I2275" s="63" t="str">
        <f>IF(H2275="","",IFERROR(INDEX('Data Export'!G2275:CZ2275,1,MATCH(前十整体车型排名!$B$4,'Data Export'!$G$1:$CZ$1,0)),0))</f>
        <v/>
      </c>
      <c r="J2275" s="62" t="str">
        <f>IF(H2275="","",IF(OR('Data Export'!F2275="三厢轿车",'Data Export'!F2275="掀背轿车",'Data Export'!F2275="旅行车",'Data Export'!F2275="微型车",'Data Export'!F2275="硬顶跑车",'Data Export'!F2275="敞蓬车",'Data Export'!F2275="Targa"),"轿车",IF(OR('Data Export'!F2275="小型MPV",'Data Export'!F2275="客车"),"MPV",IF('Data Export'!F2275="运动型多功能车","SUV","其他"))))</f>
        <v/>
      </c>
      <c r="K2275" s="62"/>
      <c r="L2275" s="62"/>
      <c r="M2275" s="62"/>
      <c r="N2275" s="62"/>
      <c r="O2275" s="62"/>
      <c r="P2275" s="62"/>
      <c r="Q2275" s="62"/>
    </row>
    <row r="2276" spans="1:17">
      <c r="A2276" s="62"/>
      <c r="B2276" s="62"/>
      <c r="C2276" s="62"/>
      <c r="D2276" s="62"/>
      <c r="E2276" s="62"/>
      <c r="F2276" s="62"/>
      <c r="G2276" s="62"/>
      <c r="H2276" s="62" t="str">
        <f>IF(AND('Data Export'!A2276=前十整体车型排名!$B$2,'Data Export'!B2276=前十整体车型排名!$B$3,'Data Export'!D2276&lt;&gt;""),UPPER('Data Export'!C2276)&amp;"♦"&amp;'Data Export'!D2276,"")</f>
        <v/>
      </c>
      <c r="I2276" s="63" t="str">
        <f>IF(H2276="","",IFERROR(INDEX('Data Export'!G2276:CZ2276,1,MATCH(前十整体车型排名!$B$4,'Data Export'!$G$1:$CZ$1,0)),0))</f>
        <v/>
      </c>
      <c r="J2276" s="62" t="str">
        <f>IF(H2276="","",IF(OR('Data Export'!F2276="三厢轿车",'Data Export'!F2276="掀背轿车",'Data Export'!F2276="旅行车",'Data Export'!F2276="微型车",'Data Export'!F2276="硬顶跑车",'Data Export'!F2276="敞蓬车",'Data Export'!F2276="Targa"),"轿车",IF(OR('Data Export'!F2276="小型MPV",'Data Export'!F2276="客车"),"MPV",IF('Data Export'!F2276="运动型多功能车","SUV","其他"))))</f>
        <v/>
      </c>
      <c r="K2276" s="62"/>
      <c r="L2276" s="62"/>
      <c r="M2276" s="62"/>
      <c r="N2276" s="62"/>
      <c r="O2276" s="62"/>
      <c r="P2276" s="62"/>
      <c r="Q2276" s="62"/>
    </row>
    <row r="2277" spans="1:17">
      <c r="A2277" s="62"/>
      <c r="B2277" s="62"/>
      <c r="C2277" s="62"/>
      <c r="D2277" s="62"/>
      <c r="E2277" s="62"/>
      <c r="F2277" s="62"/>
      <c r="G2277" s="62"/>
      <c r="H2277" s="62" t="str">
        <f>IF(AND('Data Export'!A2277=前十整体车型排名!$B$2,'Data Export'!B2277=前十整体车型排名!$B$3,'Data Export'!D2277&lt;&gt;""),UPPER('Data Export'!C2277)&amp;"♦"&amp;'Data Export'!D2277,"")</f>
        <v/>
      </c>
      <c r="I2277" s="63" t="str">
        <f>IF(H2277="","",IFERROR(INDEX('Data Export'!G2277:CZ2277,1,MATCH(前十整体车型排名!$B$4,'Data Export'!$G$1:$CZ$1,0)),0))</f>
        <v/>
      </c>
      <c r="J2277" s="62" t="str">
        <f>IF(H2277="","",IF(OR('Data Export'!F2277="三厢轿车",'Data Export'!F2277="掀背轿车",'Data Export'!F2277="旅行车",'Data Export'!F2277="微型车",'Data Export'!F2277="硬顶跑车",'Data Export'!F2277="敞蓬车",'Data Export'!F2277="Targa"),"轿车",IF(OR('Data Export'!F2277="小型MPV",'Data Export'!F2277="客车"),"MPV",IF('Data Export'!F2277="运动型多功能车","SUV","其他"))))</f>
        <v/>
      </c>
      <c r="K2277" s="62"/>
      <c r="L2277" s="62"/>
      <c r="M2277" s="62"/>
      <c r="N2277" s="62"/>
      <c r="O2277" s="62"/>
      <c r="P2277" s="62"/>
      <c r="Q2277" s="62"/>
    </row>
    <row r="2278" spans="1:17">
      <c r="A2278" s="62"/>
      <c r="B2278" s="62"/>
      <c r="C2278" s="62"/>
      <c r="D2278" s="62"/>
      <c r="E2278" s="62"/>
      <c r="F2278" s="62"/>
      <c r="G2278" s="62"/>
      <c r="H2278" s="62" t="str">
        <f>IF(AND('Data Export'!A2278=前十整体车型排名!$B$2,'Data Export'!B2278=前十整体车型排名!$B$3,'Data Export'!D2278&lt;&gt;""),UPPER('Data Export'!C2278)&amp;"♦"&amp;'Data Export'!D2278,"")</f>
        <v/>
      </c>
      <c r="I2278" s="63" t="str">
        <f>IF(H2278="","",IFERROR(INDEX('Data Export'!G2278:CZ2278,1,MATCH(前十整体车型排名!$B$4,'Data Export'!$G$1:$CZ$1,0)),0))</f>
        <v/>
      </c>
      <c r="J2278" s="62" t="str">
        <f>IF(H2278="","",IF(OR('Data Export'!F2278="三厢轿车",'Data Export'!F2278="掀背轿车",'Data Export'!F2278="旅行车",'Data Export'!F2278="微型车",'Data Export'!F2278="硬顶跑车",'Data Export'!F2278="敞蓬车",'Data Export'!F2278="Targa"),"轿车",IF(OR('Data Export'!F2278="小型MPV",'Data Export'!F2278="客车"),"MPV",IF('Data Export'!F2278="运动型多功能车","SUV","其他"))))</f>
        <v/>
      </c>
      <c r="K2278" s="62"/>
      <c r="L2278" s="62"/>
      <c r="M2278" s="62"/>
      <c r="N2278" s="62"/>
      <c r="O2278" s="62"/>
      <c r="P2278" s="62"/>
      <c r="Q2278" s="62"/>
    </row>
    <row r="2279" spans="1:17">
      <c r="A2279" s="62"/>
      <c r="B2279" s="62"/>
      <c r="C2279" s="62"/>
      <c r="D2279" s="62"/>
      <c r="E2279" s="62"/>
      <c r="F2279" s="62"/>
      <c r="G2279" s="62"/>
      <c r="H2279" s="62" t="str">
        <f>IF(AND('Data Export'!A2279=前十整体车型排名!$B$2,'Data Export'!B2279=前十整体车型排名!$B$3,'Data Export'!D2279&lt;&gt;""),UPPER('Data Export'!C2279)&amp;"♦"&amp;'Data Export'!D2279,"")</f>
        <v/>
      </c>
      <c r="I2279" s="63" t="str">
        <f>IF(H2279="","",IFERROR(INDEX('Data Export'!G2279:CZ2279,1,MATCH(前十整体车型排名!$B$4,'Data Export'!$G$1:$CZ$1,0)),0))</f>
        <v/>
      </c>
      <c r="J2279" s="62" t="str">
        <f>IF(H2279="","",IF(OR('Data Export'!F2279="三厢轿车",'Data Export'!F2279="掀背轿车",'Data Export'!F2279="旅行车",'Data Export'!F2279="微型车",'Data Export'!F2279="硬顶跑车",'Data Export'!F2279="敞蓬车",'Data Export'!F2279="Targa"),"轿车",IF(OR('Data Export'!F2279="小型MPV",'Data Export'!F2279="客车"),"MPV",IF('Data Export'!F2279="运动型多功能车","SUV","其他"))))</f>
        <v/>
      </c>
      <c r="K2279" s="62"/>
      <c r="L2279" s="62"/>
      <c r="M2279" s="62"/>
      <c r="N2279" s="62"/>
      <c r="O2279" s="62"/>
      <c r="P2279" s="62"/>
      <c r="Q2279" s="62"/>
    </row>
    <row r="2280" spans="1:17">
      <c r="A2280" s="62"/>
      <c r="B2280" s="62"/>
      <c r="C2280" s="62"/>
      <c r="D2280" s="62"/>
      <c r="E2280" s="62"/>
      <c r="F2280" s="62"/>
      <c r="G2280" s="62"/>
      <c r="H2280" s="62" t="str">
        <f>IF(AND('Data Export'!A2280=前十整体车型排名!$B$2,'Data Export'!B2280=前十整体车型排名!$B$3,'Data Export'!D2280&lt;&gt;""),UPPER('Data Export'!C2280)&amp;"♦"&amp;'Data Export'!D2280,"")</f>
        <v/>
      </c>
      <c r="I2280" s="63" t="str">
        <f>IF(H2280="","",IFERROR(INDEX('Data Export'!G2280:CZ2280,1,MATCH(前十整体车型排名!$B$4,'Data Export'!$G$1:$CZ$1,0)),0))</f>
        <v/>
      </c>
      <c r="J2280" s="62" t="str">
        <f>IF(H2280="","",IF(OR('Data Export'!F2280="三厢轿车",'Data Export'!F2280="掀背轿车",'Data Export'!F2280="旅行车",'Data Export'!F2280="微型车",'Data Export'!F2280="硬顶跑车",'Data Export'!F2280="敞蓬车",'Data Export'!F2280="Targa"),"轿车",IF(OR('Data Export'!F2280="小型MPV",'Data Export'!F2280="客车"),"MPV",IF('Data Export'!F2280="运动型多功能车","SUV","其他"))))</f>
        <v/>
      </c>
      <c r="K2280" s="62"/>
      <c r="L2280" s="62"/>
      <c r="M2280" s="62"/>
      <c r="N2280" s="62"/>
      <c r="O2280" s="62"/>
      <c r="P2280" s="62"/>
      <c r="Q2280" s="62"/>
    </row>
    <row r="2281" spans="1:17">
      <c r="A2281" s="62"/>
      <c r="B2281" s="62"/>
      <c r="C2281" s="62"/>
      <c r="D2281" s="62"/>
      <c r="E2281" s="62"/>
      <c r="F2281" s="62"/>
      <c r="G2281" s="62"/>
      <c r="H2281" s="62" t="str">
        <f>IF(AND('Data Export'!A2281=前十整体车型排名!$B$2,'Data Export'!B2281=前十整体车型排名!$B$3,'Data Export'!D2281&lt;&gt;""),UPPER('Data Export'!C2281)&amp;"♦"&amp;'Data Export'!D2281,"")</f>
        <v/>
      </c>
      <c r="I2281" s="63" t="str">
        <f>IF(H2281="","",IFERROR(INDEX('Data Export'!G2281:CZ2281,1,MATCH(前十整体车型排名!$B$4,'Data Export'!$G$1:$CZ$1,0)),0))</f>
        <v/>
      </c>
      <c r="J2281" s="62" t="str">
        <f>IF(H2281="","",IF(OR('Data Export'!F2281="三厢轿车",'Data Export'!F2281="掀背轿车",'Data Export'!F2281="旅行车",'Data Export'!F2281="微型车",'Data Export'!F2281="硬顶跑车",'Data Export'!F2281="敞蓬车",'Data Export'!F2281="Targa"),"轿车",IF(OR('Data Export'!F2281="小型MPV",'Data Export'!F2281="客车"),"MPV",IF('Data Export'!F2281="运动型多功能车","SUV","其他"))))</f>
        <v/>
      </c>
      <c r="K2281" s="62"/>
      <c r="L2281" s="62"/>
      <c r="M2281" s="62"/>
      <c r="N2281" s="62"/>
      <c r="O2281" s="62"/>
      <c r="P2281" s="62"/>
      <c r="Q2281" s="62"/>
    </row>
    <row r="2282" spans="1:17">
      <c r="A2282" s="62"/>
      <c r="B2282" s="62"/>
      <c r="C2282" s="62"/>
      <c r="D2282" s="62"/>
      <c r="E2282" s="62"/>
      <c r="F2282" s="62"/>
      <c r="G2282" s="62"/>
      <c r="H2282" s="62" t="str">
        <f>IF(AND('Data Export'!A2282=前十整体车型排名!$B$2,'Data Export'!B2282=前十整体车型排名!$B$3,'Data Export'!D2282&lt;&gt;""),UPPER('Data Export'!C2282)&amp;"♦"&amp;'Data Export'!D2282,"")</f>
        <v/>
      </c>
      <c r="I2282" s="63" t="str">
        <f>IF(H2282="","",IFERROR(INDEX('Data Export'!G2282:CZ2282,1,MATCH(前十整体车型排名!$B$4,'Data Export'!$G$1:$CZ$1,0)),0))</f>
        <v/>
      </c>
      <c r="J2282" s="62" t="str">
        <f>IF(H2282="","",IF(OR('Data Export'!F2282="三厢轿车",'Data Export'!F2282="掀背轿车",'Data Export'!F2282="旅行车",'Data Export'!F2282="微型车",'Data Export'!F2282="硬顶跑车",'Data Export'!F2282="敞蓬车",'Data Export'!F2282="Targa"),"轿车",IF(OR('Data Export'!F2282="小型MPV",'Data Export'!F2282="客车"),"MPV",IF('Data Export'!F2282="运动型多功能车","SUV","其他"))))</f>
        <v/>
      </c>
      <c r="K2282" s="62"/>
      <c r="L2282" s="62"/>
      <c r="M2282" s="62"/>
      <c r="N2282" s="62"/>
      <c r="O2282" s="62"/>
      <c r="P2282" s="62"/>
      <c r="Q2282" s="62"/>
    </row>
    <row r="2283" spans="1:17">
      <c r="A2283" s="62"/>
      <c r="B2283" s="62"/>
      <c r="C2283" s="62"/>
      <c r="D2283" s="62"/>
      <c r="E2283" s="62"/>
      <c r="F2283" s="62"/>
      <c r="G2283" s="62"/>
      <c r="H2283" s="62" t="str">
        <f>IF(AND('Data Export'!A2283=前十整体车型排名!$B$2,'Data Export'!B2283=前十整体车型排名!$B$3,'Data Export'!D2283&lt;&gt;""),UPPER('Data Export'!C2283)&amp;"♦"&amp;'Data Export'!D2283,"")</f>
        <v/>
      </c>
      <c r="I2283" s="63" t="str">
        <f>IF(H2283="","",IFERROR(INDEX('Data Export'!G2283:CZ2283,1,MATCH(前十整体车型排名!$B$4,'Data Export'!$G$1:$CZ$1,0)),0))</f>
        <v/>
      </c>
      <c r="J2283" s="62" t="str">
        <f>IF(H2283="","",IF(OR('Data Export'!F2283="三厢轿车",'Data Export'!F2283="掀背轿车",'Data Export'!F2283="旅行车",'Data Export'!F2283="微型车",'Data Export'!F2283="硬顶跑车",'Data Export'!F2283="敞蓬车",'Data Export'!F2283="Targa"),"轿车",IF(OR('Data Export'!F2283="小型MPV",'Data Export'!F2283="客车"),"MPV",IF('Data Export'!F2283="运动型多功能车","SUV","其他"))))</f>
        <v/>
      </c>
      <c r="K2283" s="62"/>
      <c r="L2283" s="62"/>
      <c r="M2283" s="62"/>
      <c r="N2283" s="62"/>
      <c r="O2283" s="62"/>
      <c r="P2283" s="62"/>
      <c r="Q2283" s="62"/>
    </row>
    <row r="2284" spans="1:17">
      <c r="A2284" s="62"/>
      <c r="B2284" s="62"/>
      <c r="C2284" s="62"/>
      <c r="D2284" s="62"/>
      <c r="E2284" s="62"/>
      <c r="F2284" s="62"/>
      <c r="G2284" s="62"/>
      <c r="H2284" s="62" t="str">
        <f>IF(AND('Data Export'!A2284=前十整体车型排名!$B$2,'Data Export'!B2284=前十整体车型排名!$B$3,'Data Export'!D2284&lt;&gt;""),UPPER('Data Export'!C2284)&amp;"♦"&amp;'Data Export'!D2284,"")</f>
        <v/>
      </c>
      <c r="I2284" s="63" t="str">
        <f>IF(H2284="","",IFERROR(INDEX('Data Export'!G2284:CZ2284,1,MATCH(前十整体车型排名!$B$4,'Data Export'!$G$1:$CZ$1,0)),0))</f>
        <v/>
      </c>
      <c r="J2284" s="62" t="str">
        <f>IF(H2284="","",IF(OR('Data Export'!F2284="三厢轿车",'Data Export'!F2284="掀背轿车",'Data Export'!F2284="旅行车",'Data Export'!F2284="微型车",'Data Export'!F2284="硬顶跑车",'Data Export'!F2284="敞蓬车",'Data Export'!F2284="Targa"),"轿车",IF(OR('Data Export'!F2284="小型MPV",'Data Export'!F2284="客车"),"MPV",IF('Data Export'!F2284="运动型多功能车","SUV","其他"))))</f>
        <v/>
      </c>
      <c r="K2284" s="62"/>
      <c r="L2284" s="62"/>
      <c r="M2284" s="62"/>
      <c r="N2284" s="62"/>
      <c r="O2284" s="62"/>
      <c r="P2284" s="62"/>
      <c r="Q2284" s="62"/>
    </row>
    <row r="2285" spans="1:17">
      <c r="A2285" s="62"/>
      <c r="B2285" s="62"/>
      <c r="C2285" s="62"/>
      <c r="D2285" s="62"/>
      <c r="E2285" s="62"/>
      <c r="F2285" s="62"/>
      <c r="G2285" s="62"/>
      <c r="H2285" s="62" t="str">
        <f>IF(AND('Data Export'!A2285=前十整体车型排名!$B$2,'Data Export'!B2285=前十整体车型排名!$B$3,'Data Export'!D2285&lt;&gt;""),UPPER('Data Export'!C2285)&amp;"♦"&amp;'Data Export'!D2285,"")</f>
        <v/>
      </c>
      <c r="I2285" s="63" t="str">
        <f>IF(H2285="","",IFERROR(INDEX('Data Export'!G2285:CZ2285,1,MATCH(前十整体车型排名!$B$4,'Data Export'!$G$1:$CZ$1,0)),0))</f>
        <v/>
      </c>
      <c r="J2285" s="62" t="str">
        <f>IF(H2285="","",IF(OR('Data Export'!F2285="三厢轿车",'Data Export'!F2285="掀背轿车",'Data Export'!F2285="旅行车",'Data Export'!F2285="微型车",'Data Export'!F2285="硬顶跑车",'Data Export'!F2285="敞蓬车",'Data Export'!F2285="Targa"),"轿车",IF(OR('Data Export'!F2285="小型MPV",'Data Export'!F2285="客车"),"MPV",IF('Data Export'!F2285="运动型多功能车","SUV","其他"))))</f>
        <v/>
      </c>
      <c r="K2285" s="62"/>
      <c r="L2285" s="62"/>
      <c r="M2285" s="62"/>
      <c r="N2285" s="62"/>
      <c r="O2285" s="62"/>
      <c r="P2285" s="62"/>
      <c r="Q2285" s="62"/>
    </row>
    <row r="2286" spans="1:17">
      <c r="A2286" s="62"/>
      <c r="B2286" s="62"/>
      <c r="C2286" s="62"/>
      <c r="D2286" s="62"/>
      <c r="E2286" s="62"/>
      <c r="F2286" s="62"/>
      <c r="G2286" s="62"/>
      <c r="H2286" s="62" t="str">
        <f>IF(AND('Data Export'!A2286=前十整体车型排名!$B$2,'Data Export'!B2286=前十整体车型排名!$B$3,'Data Export'!D2286&lt;&gt;""),UPPER('Data Export'!C2286)&amp;"♦"&amp;'Data Export'!D2286,"")</f>
        <v/>
      </c>
      <c r="I2286" s="63" t="str">
        <f>IF(H2286="","",IFERROR(INDEX('Data Export'!G2286:CZ2286,1,MATCH(前十整体车型排名!$B$4,'Data Export'!$G$1:$CZ$1,0)),0))</f>
        <v/>
      </c>
      <c r="J2286" s="62" t="str">
        <f>IF(H2286="","",IF(OR('Data Export'!F2286="三厢轿车",'Data Export'!F2286="掀背轿车",'Data Export'!F2286="旅行车",'Data Export'!F2286="微型车",'Data Export'!F2286="硬顶跑车",'Data Export'!F2286="敞蓬车",'Data Export'!F2286="Targa"),"轿车",IF(OR('Data Export'!F2286="小型MPV",'Data Export'!F2286="客车"),"MPV",IF('Data Export'!F2286="运动型多功能车","SUV","其他"))))</f>
        <v/>
      </c>
      <c r="K2286" s="62"/>
      <c r="L2286" s="62"/>
      <c r="M2286" s="62"/>
      <c r="N2286" s="62"/>
      <c r="O2286" s="62"/>
      <c r="P2286" s="62"/>
      <c r="Q2286" s="62"/>
    </row>
    <row r="2287" spans="1:17">
      <c r="A2287" s="62"/>
      <c r="B2287" s="62"/>
      <c r="C2287" s="62"/>
      <c r="D2287" s="62"/>
      <c r="E2287" s="62"/>
      <c r="F2287" s="62"/>
      <c r="G2287" s="62"/>
      <c r="H2287" s="62" t="str">
        <f>IF(AND('Data Export'!A2287=前十整体车型排名!$B$2,'Data Export'!B2287=前十整体车型排名!$B$3,'Data Export'!D2287&lt;&gt;""),UPPER('Data Export'!C2287)&amp;"♦"&amp;'Data Export'!D2287,"")</f>
        <v/>
      </c>
      <c r="I2287" s="63" t="str">
        <f>IF(H2287="","",IFERROR(INDEX('Data Export'!G2287:CZ2287,1,MATCH(前十整体车型排名!$B$4,'Data Export'!$G$1:$CZ$1,0)),0))</f>
        <v/>
      </c>
      <c r="J2287" s="62" t="str">
        <f>IF(H2287="","",IF(OR('Data Export'!F2287="三厢轿车",'Data Export'!F2287="掀背轿车",'Data Export'!F2287="旅行车",'Data Export'!F2287="微型车",'Data Export'!F2287="硬顶跑车",'Data Export'!F2287="敞蓬车",'Data Export'!F2287="Targa"),"轿车",IF(OR('Data Export'!F2287="小型MPV",'Data Export'!F2287="客车"),"MPV",IF('Data Export'!F2287="运动型多功能车","SUV","其他"))))</f>
        <v/>
      </c>
      <c r="K2287" s="62"/>
      <c r="L2287" s="62"/>
      <c r="M2287" s="62"/>
      <c r="N2287" s="62"/>
      <c r="O2287" s="62"/>
      <c r="P2287" s="62"/>
      <c r="Q2287" s="62"/>
    </row>
    <row r="2288" spans="1:17">
      <c r="A2288" s="62"/>
      <c r="B2288" s="62"/>
      <c r="C2288" s="62"/>
      <c r="D2288" s="62"/>
      <c r="E2288" s="62"/>
      <c r="F2288" s="62"/>
      <c r="G2288" s="62"/>
      <c r="H2288" s="62" t="str">
        <f>IF(AND('Data Export'!A2288=前十整体车型排名!$B$2,'Data Export'!B2288=前十整体车型排名!$B$3,'Data Export'!D2288&lt;&gt;""),UPPER('Data Export'!C2288)&amp;"♦"&amp;'Data Export'!D2288,"")</f>
        <v/>
      </c>
      <c r="I2288" s="63" t="str">
        <f>IF(H2288="","",IFERROR(INDEX('Data Export'!G2288:CZ2288,1,MATCH(前十整体车型排名!$B$4,'Data Export'!$G$1:$CZ$1,0)),0))</f>
        <v/>
      </c>
      <c r="J2288" s="62" t="str">
        <f>IF(H2288="","",IF(OR('Data Export'!F2288="三厢轿车",'Data Export'!F2288="掀背轿车",'Data Export'!F2288="旅行车",'Data Export'!F2288="微型车",'Data Export'!F2288="硬顶跑车",'Data Export'!F2288="敞蓬车",'Data Export'!F2288="Targa"),"轿车",IF(OR('Data Export'!F2288="小型MPV",'Data Export'!F2288="客车"),"MPV",IF('Data Export'!F2288="运动型多功能车","SUV","其他"))))</f>
        <v/>
      </c>
      <c r="K2288" s="62"/>
      <c r="L2288" s="62"/>
      <c r="M2288" s="62"/>
      <c r="N2288" s="62"/>
      <c r="O2288" s="62"/>
      <c r="P2288" s="62"/>
      <c r="Q2288" s="62"/>
    </row>
    <row r="2289" spans="1:17">
      <c r="A2289" s="62"/>
      <c r="B2289" s="62"/>
      <c r="C2289" s="62"/>
      <c r="D2289" s="62"/>
      <c r="E2289" s="62"/>
      <c r="F2289" s="62"/>
      <c r="G2289" s="62"/>
      <c r="H2289" s="62" t="str">
        <f>IF(AND('Data Export'!A2289=前十整体车型排名!$B$2,'Data Export'!B2289=前十整体车型排名!$B$3,'Data Export'!D2289&lt;&gt;""),UPPER('Data Export'!C2289)&amp;"♦"&amp;'Data Export'!D2289,"")</f>
        <v/>
      </c>
      <c r="I2289" s="63" t="str">
        <f>IF(H2289="","",IFERROR(INDEX('Data Export'!G2289:CZ2289,1,MATCH(前十整体车型排名!$B$4,'Data Export'!$G$1:$CZ$1,0)),0))</f>
        <v/>
      </c>
      <c r="J2289" s="62" t="str">
        <f>IF(H2289="","",IF(OR('Data Export'!F2289="三厢轿车",'Data Export'!F2289="掀背轿车",'Data Export'!F2289="旅行车",'Data Export'!F2289="微型车",'Data Export'!F2289="硬顶跑车",'Data Export'!F2289="敞蓬车",'Data Export'!F2289="Targa"),"轿车",IF(OR('Data Export'!F2289="小型MPV",'Data Export'!F2289="客车"),"MPV",IF('Data Export'!F2289="运动型多功能车","SUV","其他"))))</f>
        <v/>
      </c>
      <c r="K2289" s="62"/>
      <c r="L2289" s="62"/>
      <c r="M2289" s="62"/>
      <c r="N2289" s="62"/>
      <c r="O2289" s="62"/>
      <c r="P2289" s="62"/>
      <c r="Q2289" s="62"/>
    </row>
    <row r="2290" spans="1:17">
      <c r="A2290" s="62"/>
      <c r="B2290" s="62"/>
      <c r="C2290" s="62"/>
      <c r="D2290" s="62"/>
      <c r="E2290" s="62"/>
      <c r="F2290" s="62"/>
      <c r="G2290" s="62"/>
      <c r="H2290" s="62" t="str">
        <f>IF(AND('Data Export'!A2290=前十整体车型排名!$B$2,'Data Export'!B2290=前十整体车型排名!$B$3,'Data Export'!D2290&lt;&gt;""),UPPER('Data Export'!C2290)&amp;"♦"&amp;'Data Export'!D2290,"")</f>
        <v/>
      </c>
      <c r="I2290" s="63" t="str">
        <f>IF(H2290="","",IFERROR(INDEX('Data Export'!G2290:CZ2290,1,MATCH(前十整体车型排名!$B$4,'Data Export'!$G$1:$CZ$1,0)),0))</f>
        <v/>
      </c>
      <c r="J2290" s="62" t="str">
        <f>IF(H2290="","",IF(OR('Data Export'!F2290="三厢轿车",'Data Export'!F2290="掀背轿车",'Data Export'!F2290="旅行车",'Data Export'!F2290="微型车",'Data Export'!F2290="硬顶跑车",'Data Export'!F2290="敞蓬车",'Data Export'!F2290="Targa"),"轿车",IF(OR('Data Export'!F2290="小型MPV",'Data Export'!F2290="客车"),"MPV",IF('Data Export'!F2290="运动型多功能车","SUV","其他"))))</f>
        <v/>
      </c>
      <c r="K2290" s="62"/>
      <c r="L2290" s="62"/>
      <c r="M2290" s="62"/>
      <c r="N2290" s="62"/>
      <c r="O2290" s="62"/>
      <c r="P2290" s="62"/>
      <c r="Q2290" s="62"/>
    </row>
    <row r="2291" spans="1:17">
      <c r="A2291" s="62"/>
      <c r="B2291" s="62"/>
      <c r="C2291" s="62"/>
      <c r="D2291" s="62"/>
      <c r="E2291" s="62"/>
      <c r="F2291" s="62"/>
      <c r="G2291" s="62"/>
      <c r="H2291" s="62" t="str">
        <f>IF(AND('Data Export'!A2291=前十整体车型排名!$B$2,'Data Export'!B2291=前十整体车型排名!$B$3,'Data Export'!D2291&lt;&gt;""),UPPER('Data Export'!C2291)&amp;"♦"&amp;'Data Export'!D2291,"")</f>
        <v/>
      </c>
      <c r="I2291" s="63" t="str">
        <f>IF(H2291="","",IFERROR(INDEX('Data Export'!G2291:CZ2291,1,MATCH(前十整体车型排名!$B$4,'Data Export'!$G$1:$CZ$1,0)),0))</f>
        <v/>
      </c>
      <c r="J2291" s="62" t="str">
        <f>IF(H2291="","",IF(OR('Data Export'!F2291="三厢轿车",'Data Export'!F2291="掀背轿车",'Data Export'!F2291="旅行车",'Data Export'!F2291="微型车",'Data Export'!F2291="硬顶跑车",'Data Export'!F2291="敞蓬车",'Data Export'!F2291="Targa"),"轿车",IF(OR('Data Export'!F2291="小型MPV",'Data Export'!F2291="客车"),"MPV",IF('Data Export'!F2291="运动型多功能车","SUV","其他"))))</f>
        <v/>
      </c>
      <c r="K2291" s="62"/>
      <c r="L2291" s="62"/>
      <c r="M2291" s="62"/>
      <c r="N2291" s="62"/>
      <c r="O2291" s="62"/>
      <c r="P2291" s="62"/>
      <c r="Q2291" s="62"/>
    </row>
    <row r="2292" spans="1:17">
      <c r="A2292" s="62"/>
      <c r="B2292" s="62"/>
      <c r="C2292" s="62"/>
      <c r="D2292" s="62"/>
      <c r="E2292" s="62"/>
      <c r="F2292" s="62"/>
      <c r="G2292" s="62"/>
      <c r="H2292" s="62" t="str">
        <f>IF(AND('Data Export'!A2292=前十整体车型排名!$B$2,'Data Export'!B2292=前十整体车型排名!$B$3,'Data Export'!D2292&lt;&gt;""),UPPER('Data Export'!C2292)&amp;"♦"&amp;'Data Export'!D2292,"")</f>
        <v/>
      </c>
      <c r="I2292" s="63" t="str">
        <f>IF(H2292="","",IFERROR(INDEX('Data Export'!G2292:CZ2292,1,MATCH(前十整体车型排名!$B$4,'Data Export'!$G$1:$CZ$1,0)),0))</f>
        <v/>
      </c>
      <c r="J2292" s="62" t="str">
        <f>IF(H2292="","",IF(OR('Data Export'!F2292="三厢轿车",'Data Export'!F2292="掀背轿车",'Data Export'!F2292="旅行车",'Data Export'!F2292="微型车",'Data Export'!F2292="硬顶跑车",'Data Export'!F2292="敞蓬车",'Data Export'!F2292="Targa"),"轿车",IF(OR('Data Export'!F2292="小型MPV",'Data Export'!F2292="客车"),"MPV",IF('Data Export'!F2292="运动型多功能车","SUV","其他"))))</f>
        <v/>
      </c>
      <c r="K2292" s="62"/>
      <c r="L2292" s="62"/>
      <c r="M2292" s="62"/>
      <c r="N2292" s="62"/>
      <c r="O2292" s="62"/>
      <c r="P2292" s="62"/>
      <c r="Q2292" s="62"/>
    </row>
    <row r="2293" spans="1:17">
      <c r="A2293" s="62"/>
      <c r="B2293" s="62"/>
      <c r="C2293" s="62"/>
      <c r="D2293" s="62"/>
      <c r="E2293" s="62"/>
      <c r="F2293" s="62"/>
      <c r="G2293" s="62"/>
      <c r="H2293" s="62" t="str">
        <f>IF(AND('Data Export'!A2293=前十整体车型排名!$B$2,'Data Export'!B2293=前十整体车型排名!$B$3,'Data Export'!D2293&lt;&gt;""),UPPER('Data Export'!C2293)&amp;"♦"&amp;'Data Export'!D2293,"")</f>
        <v/>
      </c>
      <c r="I2293" s="63" t="str">
        <f>IF(H2293="","",IFERROR(INDEX('Data Export'!G2293:CZ2293,1,MATCH(前十整体车型排名!$B$4,'Data Export'!$G$1:$CZ$1,0)),0))</f>
        <v/>
      </c>
      <c r="J2293" s="62" t="str">
        <f>IF(H2293="","",IF(OR('Data Export'!F2293="三厢轿车",'Data Export'!F2293="掀背轿车",'Data Export'!F2293="旅行车",'Data Export'!F2293="微型车",'Data Export'!F2293="硬顶跑车",'Data Export'!F2293="敞蓬车",'Data Export'!F2293="Targa"),"轿车",IF(OR('Data Export'!F2293="小型MPV",'Data Export'!F2293="客车"),"MPV",IF('Data Export'!F2293="运动型多功能车","SUV","其他"))))</f>
        <v/>
      </c>
      <c r="K2293" s="62"/>
      <c r="L2293" s="62"/>
      <c r="M2293" s="62"/>
      <c r="N2293" s="62"/>
      <c r="O2293" s="62"/>
      <c r="P2293" s="62"/>
      <c r="Q2293" s="62"/>
    </row>
    <row r="2294" spans="1:17">
      <c r="A2294" s="62"/>
      <c r="B2294" s="62"/>
      <c r="C2294" s="62"/>
      <c r="D2294" s="62"/>
      <c r="E2294" s="62"/>
      <c r="F2294" s="62"/>
      <c r="G2294" s="62"/>
      <c r="H2294" s="62" t="str">
        <f>IF(AND('Data Export'!A2294=前十整体车型排名!$B$2,'Data Export'!B2294=前十整体车型排名!$B$3,'Data Export'!D2294&lt;&gt;""),UPPER('Data Export'!C2294)&amp;"♦"&amp;'Data Export'!D2294,"")</f>
        <v/>
      </c>
      <c r="I2294" s="63" t="str">
        <f>IF(H2294="","",IFERROR(INDEX('Data Export'!G2294:CZ2294,1,MATCH(前十整体车型排名!$B$4,'Data Export'!$G$1:$CZ$1,0)),0))</f>
        <v/>
      </c>
      <c r="J2294" s="62" t="str">
        <f>IF(H2294="","",IF(OR('Data Export'!F2294="三厢轿车",'Data Export'!F2294="掀背轿车",'Data Export'!F2294="旅行车",'Data Export'!F2294="微型车",'Data Export'!F2294="硬顶跑车",'Data Export'!F2294="敞蓬车",'Data Export'!F2294="Targa"),"轿车",IF(OR('Data Export'!F2294="小型MPV",'Data Export'!F2294="客车"),"MPV",IF('Data Export'!F2294="运动型多功能车","SUV","其他"))))</f>
        <v/>
      </c>
      <c r="K2294" s="62"/>
      <c r="L2294" s="62"/>
      <c r="M2294" s="62"/>
      <c r="N2294" s="62"/>
      <c r="O2294" s="62"/>
      <c r="P2294" s="62"/>
      <c r="Q2294" s="62"/>
    </row>
    <row r="2295" spans="1:17">
      <c r="A2295" s="62"/>
      <c r="B2295" s="62"/>
      <c r="C2295" s="62"/>
      <c r="D2295" s="62"/>
      <c r="E2295" s="62"/>
      <c r="F2295" s="62"/>
      <c r="G2295" s="62"/>
      <c r="H2295" s="62" t="str">
        <f>IF(AND('Data Export'!A2295=前十整体车型排名!$B$2,'Data Export'!B2295=前十整体车型排名!$B$3,'Data Export'!D2295&lt;&gt;""),UPPER('Data Export'!C2295)&amp;"♦"&amp;'Data Export'!D2295,"")</f>
        <v/>
      </c>
      <c r="I2295" s="63" t="str">
        <f>IF(H2295="","",IFERROR(INDEX('Data Export'!G2295:CZ2295,1,MATCH(前十整体车型排名!$B$4,'Data Export'!$G$1:$CZ$1,0)),0))</f>
        <v/>
      </c>
      <c r="J2295" s="62" t="str">
        <f>IF(H2295="","",IF(OR('Data Export'!F2295="三厢轿车",'Data Export'!F2295="掀背轿车",'Data Export'!F2295="旅行车",'Data Export'!F2295="微型车",'Data Export'!F2295="硬顶跑车",'Data Export'!F2295="敞蓬车",'Data Export'!F2295="Targa"),"轿车",IF(OR('Data Export'!F2295="小型MPV",'Data Export'!F2295="客车"),"MPV",IF('Data Export'!F2295="运动型多功能车","SUV","其他"))))</f>
        <v/>
      </c>
      <c r="K2295" s="62"/>
      <c r="L2295" s="62"/>
      <c r="M2295" s="62"/>
      <c r="N2295" s="62"/>
      <c r="O2295" s="62"/>
      <c r="P2295" s="62"/>
      <c r="Q2295" s="62"/>
    </row>
    <row r="2296" spans="1:17">
      <c r="A2296" s="62"/>
      <c r="B2296" s="62"/>
      <c r="C2296" s="62"/>
      <c r="D2296" s="62"/>
      <c r="E2296" s="62"/>
      <c r="F2296" s="62"/>
      <c r="G2296" s="62"/>
      <c r="H2296" s="62" t="str">
        <f>IF(AND('Data Export'!A2296=前十整体车型排名!$B$2,'Data Export'!B2296=前十整体车型排名!$B$3,'Data Export'!D2296&lt;&gt;""),UPPER('Data Export'!C2296)&amp;"♦"&amp;'Data Export'!D2296,"")</f>
        <v/>
      </c>
      <c r="I2296" s="63" t="str">
        <f>IF(H2296="","",IFERROR(INDEX('Data Export'!G2296:CZ2296,1,MATCH(前十整体车型排名!$B$4,'Data Export'!$G$1:$CZ$1,0)),0))</f>
        <v/>
      </c>
      <c r="J2296" s="62" t="str">
        <f>IF(H2296="","",IF(OR('Data Export'!F2296="三厢轿车",'Data Export'!F2296="掀背轿车",'Data Export'!F2296="旅行车",'Data Export'!F2296="微型车",'Data Export'!F2296="硬顶跑车",'Data Export'!F2296="敞蓬车",'Data Export'!F2296="Targa"),"轿车",IF(OR('Data Export'!F2296="小型MPV",'Data Export'!F2296="客车"),"MPV",IF('Data Export'!F2296="运动型多功能车","SUV","其他"))))</f>
        <v/>
      </c>
      <c r="K2296" s="62"/>
      <c r="L2296" s="62"/>
      <c r="M2296" s="62"/>
      <c r="N2296" s="62"/>
      <c r="O2296" s="62"/>
      <c r="P2296" s="62"/>
      <c r="Q2296" s="62"/>
    </row>
    <row r="2297" spans="1:17">
      <c r="A2297" s="62"/>
      <c r="B2297" s="62"/>
      <c r="C2297" s="62"/>
      <c r="D2297" s="62"/>
      <c r="E2297" s="62"/>
      <c r="F2297" s="62"/>
      <c r="G2297" s="62"/>
      <c r="H2297" s="62" t="str">
        <f>IF(AND('Data Export'!A2297=前十整体车型排名!$B$2,'Data Export'!B2297=前十整体车型排名!$B$3,'Data Export'!D2297&lt;&gt;""),UPPER('Data Export'!C2297)&amp;"♦"&amp;'Data Export'!D2297,"")</f>
        <v/>
      </c>
      <c r="I2297" s="63" t="str">
        <f>IF(H2297="","",IFERROR(INDEX('Data Export'!G2297:CZ2297,1,MATCH(前十整体车型排名!$B$4,'Data Export'!$G$1:$CZ$1,0)),0))</f>
        <v/>
      </c>
      <c r="J2297" s="62" t="str">
        <f>IF(H2297="","",IF(OR('Data Export'!F2297="三厢轿车",'Data Export'!F2297="掀背轿车",'Data Export'!F2297="旅行车",'Data Export'!F2297="微型车",'Data Export'!F2297="硬顶跑车",'Data Export'!F2297="敞蓬车",'Data Export'!F2297="Targa"),"轿车",IF(OR('Data Export'!F2297="小型MPV",'Data Export'!F2297="客车"),"MPV",IF('Data Export'!F2297="运动型多功能车","SUV","其他"))))</f>
        <v/>
      </c>
      <c r="K2297" s="62"/>
      <c r="L2297" s="62"/>
      <c r="M2297" s="62"/>
      <c r="N2297" s="62"/>
      <c r="O2297" s="62"/>
      <c r="P2297" s="62"/>
      <c r="Q2297" s="62"/>
    </row>
    <row r="2298" spans="1:17">
      <c r="A2298" s="62"/>
      <c r="B2298" s="62"/>
      <c r="C2298" s="62"/>
      <c r="D2298" s="62"/>
      <c r="E2298" s="62"/>
      <c r="F2298" s="62"/>
      <c r="G2298" s="62"/>
      <c r="H2298" s="62" t="str">
        <f>IF(AND('Data Export'!A2298=前十整体车型排名!$B$2,'Data Export'!B2298=前十整体车型排名!$B$3,'Data Export'!D2298&lt;&gt;""),UPPER('Data Export'!C2298)&amp;"♦"&amp;'Data Export'!D2298,"")</f>
        <v/>
      </c>
      <c r="I2298" s="63" t="str">
        <f>IF(H2298="","",IFERROR(INDEX('Data Export'!G2298:CZ2298,1,MATCH(前十整体车型排名!$B$4,'Data Export'!$G$1:$CZ$1,0)),0))</f>
        <v/>
      </c>
      <c r="J2298" s="62" t="str">
        <f>IF(H2298="","",IF(OR('Data Export'!F2298="三厢轿车",'Data Export'!F2298="掀背轿车",'Data Export'!F2298="旅行车",'Data Export'!F2298="微型车",'Data Export'!F2298="硬顶跑车",'Data Export'!F2298="敞蓬车",'Data Export'!F2298="Targa"),"轿车",IF(OR('Data Export'!F2298="小型MPV",'Data Export'!F2298="客车"),"MPV",IF('Data Export'!F2298="运动型多功能车","SUV","其他"))))</f>
        <v/>
      </c>
      <c r="K2298" s="62"/>
      <c r="L2298" s="62"/>
      <c r="M2298" s="62"/>
      <c r="N2298" s="62"/>
      <c r="O2298" s="62"/>
      <c r="P2298" s="62"/>
      <c r="Q2298" s="62"/>
    </row>
    <row r="2299" spans="1:17">
      <c r="A2299" s="62"/>
      <c r="B2299" s="62"/>
      <c r="C2299" s="62"/>
      <c r="D2299" s="62"/>
      <c r="E2299" s="62"/>
      <c r="F2299" s="62"/>
      <c r="G2299" s="62"/>
      <c r="H2299" s="62" t="str">
        <f>IF(AND('Data Export'!A2299=前十整体车型排名!$B$2,'Data Export'!B2299=前十整体车型排名!$B$3,'Data Export'!D2299&lt;&gt;""),UPPER('Data Export'!C2299)&amp;"♦"&amp;'Data Export'!D2299,"")</f>
        <v/>
      </c>
      <c r="I2299" s="63" t="str">
        <f>IF(H2299="","",IFERROR(INDEX('Data Export'!G2299:CZ2299,1,MATCH(前十整体车型排名!$B$4,'Data Export'!$G$1:$CZ$1,0)),0))</f>
        <v/>
      </c>
      <c r="J2299" s="62" t="str">
        <f>IF(H2299="","",IF(OR('Data Export'!F2299="三厢轿车",'Data Export'!F2299="掀背轿车",'Data Export'!F2299="旅行车",'Data Export'!F2299="微型车",'Data Export'!F2299="硬顶跑车",'Data Export'!F2299="敞蓬车",'Data Export'!F2299="Targa"),"轿车",IF(OR('Data Export'!F2299="小型MPV",'Data Export'!F2299="客车"),"MPV",IF('Data Export'!F2299="运动型多功能车","SUV","其他"))))</f>
        <v/>
      </c>
      <c r="K2299" s="62"/>
      <c r="L2299" s="62"/>
      <c r="M2299" s="62"/>
      <c r="N2299" s="62"/>
      <c r="O2299" s="62"/>
      <c r="P2299" s="62"/>
      <c r="Q2299" s="62"/>
    </row>
    <row r="2300" spans="1:17">
      <c r="A2300" s="62"/>
      <c r="B2300" s="62"/>
      <c r="C2300" s="62"/>
      <c r="D2300" s="62"/>
      <c r="E2300" s="62"/>
      <c r="F2300" s="62"/>
      <c r="G2300" s="62"/>
      <c r="H2300" s="62" t="str">
        <f>IF(AND('Data Export'!A2300=前十整体车型排名!$B$2,'Data Export'!B2300=前十整体车型排名!$B$3,'Data Export'!D2300&lt;&gt;""),UPPER('Data Export'!C2300)&amp;"♦"&amp;'Data Export'!D2300,"")</f>
        <v/>
      </c>
      <c r="I2300" s="63" t="str">
        <f>IF(H2300="","",IFERROR(INDEX('Data Export'!G2300:CZ2300,1,MATCH(前十整体车型排名!$B$4,'Data Export'!$G$1:$CZ$1,0)),0))</f>
        <v/>
      </c>
      <c r="J2300" s="62" t="str">
        <f>IF(H2300="","",IF(OR('Data Export'!F2300="三厢轿车",'Data Export'!F2300="掀背轿车",'Data Export'!F2300="旅行车",'Data Export'!F2300="微型车",'Data Export'!F2300="硬顶跑车",'Data Export'!F2300="敞蓬车",'Data Export'!F2300="Targa"),"轿车",IF(OR('Data Export'!F2300="小型MPV",'Data Export'!F2300="客车"),"MPV",IF('Data Export'!F2300="运动型多功能车","SUV","其他"))))</f>
        <v/>
      </c>
      <c r="K2300" s="62"/>
      <c r="L2300" s="62"/>
      <c r="M2300" s="62"/>
      <c r="N2300" s="62"/>
      <c r="O2300" s="62"/>
      <c r="P2300" s="62"/>
      <c r="Q2300" s="62"/>
    </row>
    <row r="2301" spans="1:17">
      <c r="A2301" s="62"/>
      <c r="B2301" s="62"/>
      <c r="C2301" s="62"/>
      <c r="D2301" s="62"/>
      <c r="E2301" s="62"/>
      <c r="F2301" s="62"/>
      <c r="G2301" s="62"/>
      <c r="H2301" s="62" t="str">
        <f>IF(AND('Data Export'!A2301=前十整体车型排名!$B$2,'Data Export'!B2301=前十整体车型排名!$B$3,'Data Export'!D2301&lt;&gt;""),UPPER('Data Export'!C2301)&amp;"♦"&amp;'Data Export'!D2301,"")</f>
        <v/>
      </c>
      <c r="I2301" s="63" t="str">
        <f>IF(H2301="","",IFERROR(INDEX('Data Export'!G2301:CZ2301,1,MATCH(前十整体车型排名!$B$4,'Data Export'!$G$1:$CZ$1,0)),0))</f>
        <v/>
      </c>
      <c r="J2301" s="62" t="str">
        <f>IF(H2301="","",IF(OR('Data Export'!F2301="三厢轿车",'Data Export'!F2301="掀背轿车",'Data Export'!F2301="旅行车",'Data Export'!F2301="微型车",'Data Export'!F2301="硬顶跑车",'Data Export'!F2301="敞蓬车",'Data Export'!F2301="Targa"),"轿车",IF(OR('Data Export'!F2301="小型MPV",'Data Export'!F2301="客车"),"MPV",IF('Data Export'!F2301="运动型多功能车","SUV","其他"))))</f>
        <v/>
      </c>
      <c r="K2301" s="62"/>
      <c r="L2301" s="62"/>
      <c r="M2301" s="62"/>
      <c r="N2301" s="62"/>
      <c r="O2301" s="62"/>
      <c r="P2301" s="62"/>
      <c r="Q2301" s="62"/>
    </row>
    <row r="2302" spans="1:17">
      <c r="A2302" s="62"/>
      <c r="B2302" s="62"/>
      <c r="C2302" s="62"/>
      <c r="D2302" s="62"/>
      <c r="E2302" s="62"/>
      <c r="F2302" s="62"/>
      <c r="G2302" s="62"/>
      <c r="H2302" s="62" t="str">
        <f>IF(AND('Data Export'!A2302=前十整体车型排名!$B$2,'Data Export'!B2302=前十整体车型排名!$B$3,'Data Export'!D2302&lt;&gt;""),UPPER('Data Export'!C2302)&amp;"♦"&amp;'Data Export'!D2302,"")</f>
        <v/>
      </c>
      <c r="I2302" s="63" t="str">
        <f>IF(H2302="","",IFERROR(INDEX('Data Export'!G2302:CZ2302,1,MATCH(前十整体车型排名!$B$4,'Data Export'!$G$1:$CZ$1,0)),0))</f>
        <v/>
      </c>
      <c r="J2302" s="62" t="str">
        <f>IF(H2302="","",IF(OR('Data Export'!F2302="三厢轿车",'Data Export'!F2302="掀背轿车",'Data Export'!F2302="旅行车",'Data Export'!F2302="微型车",'Data Export'!F2302="硬顶跑车",'Data Export'!F2302="敞蓬车",'Data Export'!F2302="Targa"),"轿车",IF(OR('Data Export'!F2302="小型MPV",'Data Export'!F2302="客车"),"MPV",IF('Data Export'!F2302="运动型多功能车","SUV","其他"))))</f>
        <v/>
      </c>
      <c r="K2302" s="62"/>
      <c r="L2302" s="62"/>
      <c r="M2302" s="62"/>
      <c r="N2302" s="62"/>
      <c r="O2302" s="62"/>
      <c r="P2302" s="62"/>
      <c r="Q2302" s="62"/>
    </row>
    <row r="2303" spans="1:17">
      <c r="A2303" s="62"/>
      <c r="B2303" s="62"/>
      <c r="C2303" s="62"/>
      <c r="D2303" s="62"/>
      <c r="E2303" s="62"/>
      <c r="F2303" s="62"/>
      <c r="G2303" s="62"/>
      <c r="H2303" s="62" t="str">
        <f>IF(AND('Data Export'!A2303=前十整体车型排名!$B$2,'Data Export'!B2303=前十整体车型排名!$B$3,'Data Export'!D2303&lt;&gt;""),UPPER('Data Export'!C2303)&amp;"♦"&amp;'Data Export'!D2303,"")</f>
        <v/>
      </c>
      <c r="I2303" s="63" t="str">
        <f>IF(H2303="","",IFERROR(INDEX('Data Export'!G2303:CZ2303,1,MATCH(前十整体车型排名!$B$4,'Data Export'!$G$1:$CZ$1,0)),0))</f>
        <v/>
      </c>
      <c r="J2303" s="62" t="str">
        <f>IF(H2303="","",IF(OR('Data Export'!F2303="三厢轿车",'Data Export'!F2303="掀背轿车",'Data Export'!F2303="旅行车",'Data Export'!F2303="微型车",'Data Export'!F2303="硬顶跑车",'Data Export'!F2303="敞蓬车",'Data Export'!F2303="Targa"),"轿车",IF(OR('Data Export'!F2303="小型MPV",'Data Export'!F2303="客车"),"MPV",IF('Data Export'!F2303="运动型多功能车","SUV","其他"))))</f>
        <v/>
      </c>
      <c r="K2303" s="62"/>
      <c r="L2303" s="62"/>
      <c r="M2303" s="62"/>
      <c r="N2303" s="62"/>
      <c r="O2303" s="62"/>
      <c r="P2303" s="62"/>
      <c r="Q2303" s="62"/>
    </row>
    <row r="2304" spans="1:17">
      <c r="A2304" s="62"/>
      <c r="B2304" s="62"/>
      <c r="C2304" s="62"/>
      <c r="D2304" s="62"/>
      <c r="E2304" s="62"/>
      <c r="F2304" s="62"/>
      <c r="G2304" s="62"/>
      <c r="H2304" s="62" t="str">
        <f>IF(AND('Data Export'!A2304=前十整体车型排名!$B$2,'Data Export'!B2304=前十整体车型排名!$B$3,'Data Export'!D2304&lt;&gt;""),UPPER('Data Export'!C2304)&amp;"♦"&amp;'Data Export'!D2304,"")</f>
        <v/>
      </c>
      <c r="I2304" s="63" t="str">
        <f>IF(H2304="","",IFERROR(INDEX('Data Export'!G2304:CZ2304,1,MATCH(前十整体车型排名!$B$4,'Data Export'!$G$1:$CZ$1,0)),0))</f>
        <v/>
      </c>
      <c r="J2304" s="62" t="str">
        <f>IF(H2304="","",IF(OR('Data Export'!F2304="三厢轿车",'Data Export'!F2304="掀背轿车",'Data Export'!F2304="旅行车",'Data Export'!F2304="微型车",'Data Export'!F2304="硬顶跑车",'Data Export'!F2304="敞蓬车",'Data Export'!F2304="Targa"),"轿车",IF(OR('Data Export'!F2304="小型MPV",'Data Export'!F2304="客车"),"MPV",IF('Data Export'!F2304="运动型多功能车","SUV","其他"))))</f>
        <v/>
      </c>
      <c r="K2304" s="62"/>
      <c r="L2304" s="62"/>
      <c r="M2304" s="62"/>
      <c r="N2304" s="62"/>
      <c r="O2304" s="62"/>
      <c r="P2304" s="62"/>
      <c r="Q2304" s="62"/>
    </row>
    <row r="2305" spans="1:17">
      <c r="A2305" s="62"/>
      <c r="B2305" s="62"/>
      <c r="C2305" s="62"/>
      <c r="D2305" s="62"/>
      <c r="E2305" s="62"/>
      <c r="F2305" s="62"/>
      <c r="G2305" s="62"/>
      <c r="H2305" s="62" t="str">
        <f>IF(AND('Data Export'!A2305=前十整体车型排名!$B$2,'Data Export'!B2305=前十整体车型排名!$B$3,'Data Export'!D2305&lt;&gt;""),UPPER('Data Export'!C2305)&amp;"♦"&amp;'Data Export'!D2305,"")</f>
        <v/>
      </c>
      <c r="I2305" s="63" t="str">
        <f>IF(H2305="","",IFERROR(INDEX('Data Export'!G2305:CZ2305,1,MATCH(前十整体车型排名!$B$4,'Data Export'!$G$1:$CZ$1,0)),0))</f>
        <v/>
      </c>
      <c r="J2305" s="62" t="str">
        <f>IF(H2305="","",IF(OR('Data Export'!F2305="三厢轿车",'Data Export'!F2305="掀背轿车",'Data Export'!F2305="旅行车",'Data Export'!F2305="微型车",'Data Export'!F2305="硬顶跑车",'Data Export'!F2305="敞蓬车",'Data Export'!F2305="Targa"),"轿车",IF(OR('Data Export'!F2305="小型MPV",'Data Export'!F2305="客车"),"MPV",IF('Data Export'!F2305="运动型多功能车","SUV","其他"))))</f>
        <v/>
      </c>
      <c r="K2305" s="62"/>
      <c r="L2305" s="62"/>
      <c r="M2305" s="62"/>
      <c r="N2305" s="62"/>
      <c r="O2305" s="62"/>
      <c r="P2305" s="62"/>
      <c r="Q2305" s="62"/>
    </row>
    <row r="2306" spans="1:17">
      <c r="A2306" s="62"/>
      <c r="B2306" s="62"/>
      <c r="C2306" s="62"/>
      <c r="D2306" s="62"/>
      <c r="E2306" s="62"/>
      <c r="F2306" s="62"/>
      <c r="G2306" s="62"/>
      <c r="H2306" s="62" t="str">
        <f>IF(AND('Data Export'!A2306=前十整体车型排名!$B$2,'Data Export'!B2306=前十整体车型排名!$B$3,'Data Export'!D2306&lt;&gt;""),UPPER('Data Export'!C2306)&amp;"♦"&amp;'Data Export'!D2306,"")</f>
        <v/>
      </c>
      <c r="I2306" s="63" t="str">
        <f>IF(H2306="","",IFERROR(INDEX('Data Export'!G2306:CZ2306,1,MATCH(前十整体车型排名!$B$4,'Data Export'!$G$1:$CZ$1,0)),0))</f>
        <v/>
      </c>
      <c r="J2306" s="62" t="str">
        <f>IF(H2306="","",IF(OR('Data Export'!F2306="三厢轿车",'Data Export'!F2306="掀背轿车",'Data Export'!F2306="旅行车",'Data Export'!F2306="微型车",'Data Export'!F2306="硬顶跑车",'Data Export'!F2306="敞蓬车",'Data Export'!F2306="Targa"),"轿车",IF(OR('Data Export'!F2306="小型MPV",'Data Export'!F2306="客车"),"MPV",IF('Data Export'!F2306="运动型多功能车","SUV","其他"))))</f>
        <v/>
      </c>
      <c r="K2306" s="62"/>
      <c r="L2306" s="62"/>
      <c r="M2306" s="62"/>
      <c r="N2306" s="62"/>
      <c r="O2306" s="62"/>
      <c r="P2306" s="62"/>
      <c r="Q2306" s="62"/>
    </row>
    <row r="2307" spans="1:17">
      <c r="A2307" s="62"/>
      <c r="B2307" s="62"/>
      <c r="C2307" s="62"/>
      <c r="D2307" s="62"/>
      <c r="E2307" s="62"/>
      <c r="F2307" s="62"/>
      <c r="G2307" s="62"/>
      <c r="H2307" s="62" t="str">
        <f>IF(AND('Data Export'!A2307=前十整体车型排名!$B$2,'Data Export'!B2307=前十整体车型排名!$B$3,'Data Export'!D2307&lt;&gt;""),UPPER('Data Export'!C2307)&amp;"♦"&amp;'Data Export'!D2307,"")</f>
        <v/>
      </c>
      <c r="I2307" s="63" t="str">
        <f>IF(H2307="","",IFERROR(INDEX('Data Export'!G2307:CZ2307,1,MATCH(前十整体车型排名!$B$4,'Data Export'!$G$1:$CZ$1,0)),0))</f>
        <v/>
      </c>
      <c r="J2307" s="62" t="str">
        <f>IF(H2307="","",IF(OR('Data Export'!F2307="三厢轿车",'Data Export'!F2307="掀背轿车",'Data Export'!F2307="旅行车",'Data Export'!F2307="微型车",'Data Export'!F2307="硬顶跑车",'Data Export'!F2307="敞蓬车",'Data Export'!F2307="Targa"),"轿车",IF(OR('Data Export'!F2307="小型MPV",'Data Export'!F2307="客车"),"MPV",IF('Data Export'!F2307="运动型多功能车","SUV","其他"))))</f>
        <v/>
      </c>
      <c r="K2307" s="62"/>
      <c r="L2307" s="62"/>
      <c r="M2307" s="62"/>
      <c r="N2307" s="62"/>
      <c r="O2307" s="62"/>
      <c r="P2307" s="62"/>
      <c r="Q2307" s="62"/>
    </row>
    <row r="2308" spans="1:17">
      <c r="A2308" s="62"/>
      <c r="B2308" s="62"/>
      <c r="C2308" s="62"/>
      <c r="D2308" s="62"/>
      <c r="E2308" s="62"/>
      <c r="F2308" s="62"/>
      <c r="G2308" s="62"/>
      <c r="H2308" s="62" t="str">
        <f>IF(AND('Data Export'!A2308=前十整体车型排名!$B$2,'Data Export'!B2308=前十整体车型排名!$B$3,'Data Export'!D2308&lt;&gt;""),UPPER('Data Export'!C2308)&amp;"♦"&amp;'Data Export'!D2308,"")</f>
        <v/>
      </c>
      <c r="I2308" s="63" t="str">
        <f>IF(H2308="","",IFERROR(INDEX('Data Export'!G2308:CZ2308,1,MATCH(前十整体车型排名!$B$4,'Data Export'!$G$1:$CZ$1,0)),0))</f>
        <v/>
      </c>
      <c r="J2308" s="62" t="str">
        <f>IF(H2308="","",IF(OR('Data Export'!F2308="三厢轿车",'Data Export'!F2308="掀背轿车",'Data Export'!F2308="旅行车",'Data Export'!F2308="微型车",'Data Export'!F2308="硬顶跑车",'Data Export'!F2308="敞蓬车",'Data Export'!F2308="Targa"),"轿车",IF(OR('Data Export'!F2308="小型MPV",'Data Export'!F2308="客车"),"MPV",IF('Data Export'!F2308="运动型多功能车","SUV","其他"))))</f>
        <v/>
      </c>
      <c r="K2308" s="62"/>
      <c r="L2308" s="62"/>
      <c r="M2308" s="62"/>
      <c r="N2308" s="62"/>
      <c r="O2308" s="62"/>
      <c r="P2308" s="62"/>
      <c r="Q2308" s="62"/>
    </row>
    <row r="2309" spans="1:17">
      <c r="A2309" s="62"/>
      <c r="B2309" s="62"/>
      <c r="C2309" s="62"/>
      <c r="D2309" s="62"/>
      <c r="E2309" s="62"/>
      <c r="F2309" s="62"/>
      <c r="G2309" s="62"/>
      <c r="H2309" s="62" t="str">
        <f>IF(AND('Data Export'!A2309=前十整体车型排名!$B$2,'Data Export'!B2309=前十整体车型排名!$B$3,'Data Export'!D2309&lt;&gt;""),UPPER('Data Export'!C2309)&amp;"♦"&amp;'Data Export'!D2309,"")</f>
        <v/>
      </c>
      <c r="I2309" s="63" t="str">
        <f>IF(H2309="","",IFERROR(INDEX('Data Export'!G2309:CZ2309,1,MATCH(前十整体车型排名!$B$4,'Data Export'!$G$1:$CZ$1,0)),0))</f>
        <v/>
      </c>
      <c r="J2309" s="62" t="str">
        <f>IF(H2309="","",IF(OR('Data Export'!F2309="三厢轿车",'Data Export'!F2309="掀背轿车",'Data Export'!F2309="旅行车",'Data Export'!F2309="微型车",'Data Export'!F2309="硬顶跑车",'Data Export'!F2309="敞蓬车",'Data Export'!F2309="Targa"),"轿车",IF(OR('Data Export'!F2309="小型MPV",'Data Export'!F2309="客车"),"MPV",IF('Data Export'!F2309="运动型多功能车","SUV","其他"))))</f>
        <v/>
      </c>
      <c r="K2309" s="62"/>
      <c r="L2309" s="62"/>
      <c r="M2309" s="62"/>
      <c r="N2309" s="62"/>
      <c r="O2309" s="62"/>
      <c r="P2309" s="62"/>
      <c r="Q2309" s="62"/>
    </row>
    <row r="2310" spans="1:17">
      <c r="A2310" s="62"/>
      <c r="B2310" s="62"/>
      <c r="C2310" s="62"/>
      <c r="D2310" s="62"/>
      <c r="E2310" s="62"/>
      <c r="F2310" s="62"/>
      <c r="G2310" s="62"/>
      <c r="H2310" s="62" t="str">
        <f>IF(AND('Data Export'!A2310=前十整体车型排名!$B$2,'Data Export'!B2310=前十整体车型排名!$B$3,'Data Export'!D2310&lt;&gt;""),UPPER('Data Export'!C2310)&amp;"♦"&amp;'Data Export'!D2310,"")</f>
        <v/>
      </c>
      <c r="I2310" s="63" t="str">
        <f>IF(H2310="","",IFERROR(INDEX('Data Export'!G2310:CZ2310,1,MATCH(前十整体车型排名!$B$4,'Data Export'!$G$1:$CZ$1,0)),0))</f>
        <v/>
      </c>
      <c r="J2310" s="62" t="str">
        <f>IF(H2310="","",IF(OR('Data Export'!F2310="三厢轿车",'Data Export'!F2310="掀背轿车",'Data Export'!F2310="旅行车",'Data Export'!F2310="微型车",'Data Export'!F2310="硬顶跑车",'Data Export'!F2310="敞蓬车",'Data Export'!F2310="Targa"),"轿车",IF(OR('Data Export'!F2310="小型MPV",'Data Export'!F2310="客车"),"MPV",IF('Data Export'!F2310="运动型多功能车","SUV","其他"))))</f>
        <v/>
      </c>
      <c r="K2310" s="62"/>
      <c r="L2310" s="62"/>
      <c r="M2310" s="62"/>
      <c r="N2310" s="62"/>
      <c r="O2310" s="62"/>
      <c r="P2310" s="62"/>
      <c r="Q2310" s="62"/>
    </row>
    <row r="2311" spans="1:17">
      <c r="A2311" s="62"/>
      <c r="B2311" s="62"/>
      <c r="C2311" s="62"/>
      <c r="D2311" s="62"/>
      <c r="E2311" s="62"/>
      <c r="F2311" s="62"/>
      <c r="G2311" s="62"/>
      <c r="H2311" s="62" t="str">
        <f>IF(AND('Data Export'!A2311=前十整体车型排名!$B$2,'Data Export'!B2311=前十整体车型排名!$B$3,'Data Export'!D2311&lt;&gt;""),UPPER('Data Export'!C2311)&amp;"♦"&amp;'Data Export'!D2311,"")</f>
        <v/>
      </c>
      <c r="I2311" s="63" t="str">
        <f>IF(H2311="","",IFERROR(INDEX('Data Export'!G2311:CZ2311,1,MATCH(前十整体车型排名!$B$4,'Data Export'!$G$1:$CZ$1,0)),0))</f>
        <v/>
      </c>
      <c r="J2311" s="62" t="str">
        <f>IF(H2311="","",IF(OR('Data Export'!F2311="三厢轿车",'Data Export'!F2311="掀背轿车",'Data Export'!F2311="旅行车",'Data Export'!F2311="微型车",'Data Export'!F2311="硬顶跑车",'Data Export'!F2311="敞蓬车",'Data Export'!F2311="Targa"),"轿车",IF(OR('Data Export'!F2311="小型MPV",'Data Export'!F2311="客车"),"MPV",IF('Data Export'!F2311="运动型多功能车","SUV","其他"))))</f>
        <v/>
      </c>
      <c r="K2311" s="62"/>
      <c r="L2311" s="62"/>
      <c r="M2311" s="62"/>
      <c r="N2311" s="62"/>
      <c r="O2311" s="62"/>
      <c r="P2311" s="62"/>
      <c r="Q2311" s="62"/>
    </row>
    <row r="2312" spans="1:17">
      <c r="A2312" s="62"/>
      <c r="B2312" s="62"/>
      <c r="C2312" s="62"/>
      <c r="D2312" s="62"/>
      <c r="E2312" s="62"/>
      <c r="F2312" s="62"/>
      <c r="G2312" s="62"/>
      <c r="H2312" s="62" t="str">
        <f>IF(AND('Data Export'!A2312=前十整体车型排名!$B$2,'Data Export'!B2312=前十整体车型排名!$B$3,'Data Export'!D2312&lt;&gt;""),UPPER('Data Export'!C2312)&amp;"♦"&amp;'Data Export'!D2312,"")</f>
        <v/>
      </c>
      <c r="I2312" s="63" t="str">
        <f>IF(H2312="","",IFERROR(INDEX('Data Export'!G2312:CZ2312,1,MATCH(前十整体车型排名!$B$4,'Data Export'!$G$1:$CZ$1,0)),0))</f>
        <v/>
      </c>
      <c r="J2312" s="62" t="str">
        <f>IF(H2312="","",IF(OR('Data Export'!F2312="三厢轿车",'Data Export'!F2312="掀背轿车",'Data Export'!F2312="旅行车",'Data Export'!F2312="微型车",'Data Export'!F2312="硬顶跑车",'Data Export'!F2312="敞蓬车",'Data Export'!F2312="Targa"),"轿车",IF(OR('Data Export'!F2312="小型MPV",'Data Export'!F2312="客车"),"MPV",IF('Data Export'!F2312="运动型多功能车","SUV","其他"))))</f>
        <v/>
      </c>
      <c r="K2312" s="62"/>
      <c r="L2312" s="62"/>
      <c r="M2312" s="62"/>
      <c r="N2312" s="62"/>
      <c r="O2312" s="62"/>
      <c r="P2312" s="62"/>
      <c r="Q2312" s="62"/>
    </row>
    <row r="2313" spans="1:17">
      <c r="A2313" s="62"/>
      <c r="B2313" s="62"/>
      <c r="C2313" s="62"/>
      <c r="D2313" s="62"/>
      <c r="E2313" s="62"/>
      <c r="F2313" s="62"/>
      <c r="G2313" s="62"/>
      <c r="H2313" s="62" t="str">
        <f>IF(AND('Data Export'!A2313=前十整体车型排名!$B$2,'Data Export'!B2313=前十整体车型排名!$B$3,'Data Export'!D2313&lt;&gt;""),UPPER('Data Export'!C2313)&amp;"♦"&amp;'Data Export'!D2313,"")</f>
        <v/>
      </c>
      <c r="I2313" s="63" t="str">
        <f>IF(H2313="","",IFERROR(INDEX('Data Export'!G2313:CZ2313,1,MATCH(前十整体车型排名!$B$4,'Data Export'!$G$1:$CZ$1,0)),0))</f>
        <v/>
      </c>
      <c r="J2313" s="62" t="str">
        <f>IF(H2313="","",IF(OR('Data Export'!F2313="三厢轿车",'Data Export'!F2313="掀背轿车",'Data Export'!F2313="旅行车",'Data Export'!F2313="微型车",'Data Export'!F2313="硬顶跑车",'Data Export'!F2313="敞蓬车",'Data Export'!F2313="Targa"),"轿车",IF(OR('Data Export'!F2313="小型MPV",'Data Export'!F2313="客车"),"MPV",IF('Data Export'!F2313="运动型多功能车","SUV","其他"))))</f>
        <v/>
      </c>
      <c r="K2313" s="62"/>
      <c r="L2313" s="62"/>
      <c r="M2313" s="62"/>
      <c r="N2313" s="62"/>
      <c r="O2313" s="62"/>
      <c r="P2313" s="62"/>
      <c r="Q2313" s="62"/>
    </row>
    <row r="2314" spans="1:17">
      <c r="A2314" s="62"/>
      <c r="B2314" s="62"/>
      <c r="C2314" s="62"/>
      <c r="D2314" s="62"/>
      <c r="E2314" s="62"/>
      <c r="F2314" s="62"/>
      <c r="G2314" s="62"/>
      <c r="H2314" s="62" t="str">
        <f>IF(AND('Data Export'!A2314=前十整体车型排名!$B$2,'Data Export'!B2314=前十整体车型排名!$B$3,'Data Export'!D2314&lt;&gt;""),UPPER('Data Export'!C2314)&amp;"♦"&amp;'Data Export'!D2314,"")</f>
        <v/>
      </c>
      <c r="I2314" s="63" t="str">
        <f>IF(H2314="","",IFERROR(INDEX('Data Export'!G2314:CZ2314,1,MATCH(前十整体车型排名!$B$4,'Data Export'!$G$1:$CZ$1,0)),0))</f>
        <v/>
      </c>
      <c r="J2314" s="62" t="str">
        <f>IF(H2314="","",IF(OR('Data Export'!F2314="三厢轿车",'Data Export'!F2314="掀背轿车",'Data Export'!F2314="旅行车",'Data Export'!F2314="微型车",'Data Export'!F2314="硬顶跑车",'Data Export'!F2314="敞蓬车",'Data Export'!F2314="Targa"),"轿车",IF(OR('Data Export'!F2314="小型MPV",'Data Export'!F2314="客车"),"MPV",IF('Data Export'!F2314="运动型多功能车","SUV","其他"))))</f>
        <v/>
      </c>
      <c r="K2314" s="62"/>
      <c r="L2314" s="62"/>
      <c r="M2314" s="62"/>
      <c r="N2314" s="62"/>
      <c r="O2314" s="62"/>
      <c r="P2314" s="62"/>
      <c r="Q2314" s="62"/>
    </row>
    <row r="2315" spans="1:17">
      <c r="A2315" s="62"/>
      <c r="B2315" s="62"/>
      <c r="C2315" s="62"/>
      <c r="D2315" s="62"/>
      <c r="E2315" s="62"/>
      <c r="F2315" s="62"/>
      <c r="G2315" s="62"/>
      <c r="H2315" s="62" t="str">
        <f>IF(AND('Data Export'!A2315=前十整体车型排名!$B$2,'Data Export'!B2315=前十整体车型排名!$B$3,'Data Export'!D2315&lt;&gt;""),UPPER('Data Export'!C2315)&amp;"♦"&amp;'Data Export'!D2315,"")</f>
        <v/>
      </c>
      <c r="I2315" s="63" t="str">
        <f>IF(H2315="","",IFERROR(INDEX('Data Export'!G2315:CZ2315,1,MATCH(前十整体车型排名!$B$4,'Data Export'!$G$1:$CZ$1,0)),0))</f>
        <v/>
      </c>
      <c r="J2315" s="62" t="str">
        <f>IF(H2315="","",IF(OR('Data Export'!F2315="三厢轿车",'Data Export'!F2315="掀背轿车",'Data Export'!F2315="旅行车",'Data Export'!F2315="微型车",'Data Export'!F2315="硬顶跑车",'Data Export'!F2315="敞蓬车",'Data Export'!F2315="Targa"),"轿车",IF(OR('Data Export'!F2315="小型MPV",'Data Export'!F2315="客车"),"MPV",IF('Data Export'!F2315="运动型多功能车","SUV","其他"))))</f>
        <v/>
      </c>
      <c r="K2315" s="62"/>
      <c r="L2315" s="62"/>
      <c r="M2315" s="62"/>
      <c r="N2315" s="62"/>
      <c r="O2315" s="62"/>
      <c r="P2315" s="62"/>
      <c r="Q2315" s="62"/>
    </row>
    <row r="2316" spans="1:17">
      <c r="A2316" s="62"/>
      <c r="B2316" s="62"/>
      <c r="C2316" s="62"/>
      <c r="D2316" s="62"/>
      <c r="E2316" s="62"/>
      <c r="F2316" s="62"/>
      <c r="G2316" s="62"/>
      <c r="H2316" s="62" t="str">
        <f>IF(AND('Data Export'!A2316=前十整体车型排名!$B$2,'Data Export'!B2316=前十整体车型排名!$B$3,'Data Export'!D2316&lt;&gt;""),UPPER('Data Export'!C2316)&amp;"♦"&amp;'Data Export'!D2316,"")</f>
        <v/>
      </c>
      <c r="I2316" s="63" t="str">
        <f>IF(H2316="","",IFERROR(INDEX('Data Export'!G2316:CZ2316,1,MATCH(前十整体车型排名!$B$4,'Data Export'!$G$1:$CZ$1,0)),0))</f>
        <v/>
      </c>
      <c r="J2316" s="62" t="str">
        <f>IF(H2316="","",IF(OR('Data Export'!F2316="三厢轿车",'Data Export'!F2316="掀背轿车",'Data Export'!F2316="旅行车",'Data Export'!F2316="微型车",'Data Export'!F2316="硬顶跑车",'Data Export'!F2316="敞蓬车",'Data Export'!F2316="Targa"),"轿车",IF(OR('Data Export'!F2316="小型MPV",'Data Export'!F2316="客车"),"MPV",IF('Data Export'!F2316="运动型多功能车","SUV","其他"))))</f>
        <v/>
      </c>
      <c r="K2316" s="62"/>
      <c r="L2316" s="62"/>
      <c r="M2316" s="62"/>
      <c r="N2316" s="62"/>
      <c r="O2316" s="62"/>
      <c r="P2316" s="62"/>
      <c r="Q2316" s="62"/>
    </row>
    <row r="2317" spans="1:17">
      <c r="A2317" s="62"/>
      <c r="B2317" s="62"/>
      <c r="C2317" s="62"/>
      <c r="D2317" s="62"/>
      <c r="E2317" s="62"/>
      <c r="F2317" s="62"/>
      <c r="G2317" s="62"/>
      <c r="H2317" s="62" t="str">
        <f>IF(AND('Data Export'!A2317=前十整体车型排名!$B$2,'Data Export'!B2317=前十整体车型排名!$B$3,'Data Export'!D2317&lt;&gt;""),UPPER('Data Export'!C2317)&amp;"♦"&amp;'Data Export'!D2317,"")</f>
        <v/>
      </c>
      <c r="I2317" s="63" t="str">
        <f>IF(H2317="","",IFERROR(INDEX('Data Export'!G2317:CZ2317,1,MATCH(前十整体车型排名!$B$4,'Data Export'!$G$1:$CZ$1,0)),0))</f>
        <v/>
      </c>
      <c r="J2317" s="62" t="str">
        <f>IF(H2317="","",IF(OR('Data Export'!F2317="三厢轿车",'Data Export'!F2317="掀背轿车",'Data Export'!F2317="旅行车",'Data Export'!F2317="微型车",'Data Export'!F2317="硬顶跑车",'Data Export'!F2317="敞蓬车",'Data Export'!F2317="Targa"),"轿车",IF(OR('Data Export'!F2317="小型MPV",'Data Export'!F2317="客车"),"MPV",IF('Data Export'!F2317="运动型多功能车","SUV","其他"))))</f>
        <v/>
      </c>
      <c r="K2317" s="62"/>
      <c r="L2317" s="62"/>
      <c r="M2317" s="62"/>
      <c r="N2317" s="62"/>
      <c r="O2317" s="62"/>
      <c r="P2317" s="62"/>
      <c r="Q2317" s="62"/>
    </row>
    <row r="2318" spans="1:17">
      <c r="A2318" s="62"/>
      <c r="B2318" s="62"/>
      <c r="C2318" s="62"/>
      <c r="D2318" s="62"/>
      <c r="E2318" s="62"/>
      <c r="F2318" s="62"/>
      <c r="G2318" s="62"/>
      <c r="H2318" s="62" t="str">
        <f>IF(AND('Data Export'!A2318=前十整体车型排名!$B$2,'Data Export'!B2318=前十整体车型排名!$B$3,'Data Export'!D2318&lt;&gt;""),UPPER('Data Export'!C2318)&amp;"♦"&amp;'Data Export'!D2318,"")</f>
        <v/>
      </c>
      <c r="I2318" s="63" t="str">
        <f>IF(H2318="","",IFERROR(INDEX('Data Export'!G2318:CZ2318,1,MATCH(前十整体车型排名!$B$4,'Data Export'!$G$1:$CZ$1,0)),0))</f>
        <v/>
      </c>
      <c r="J2318" s="62" t="str">
        <f>IF(H2318="","",IF(OR('Data Export'!F2318="三厢轿车",'Data Export'!F2318="掀背轿车",'Data Export'!F2318="旅行车",'Data Export'!F2318="微型车",'Data Export'!F2318="硬顶跑车",'Data Export'!F2318="敞蓬车",'Data Export'!F2318="Targa"),"轿车",IF(OR('Data Export'!F2318="小型MPV",'Data Export'!F2318="客车"),"MPV",IF('Data Export'!F2318="运动型多功能车","SUV","其他"))))</f>
        <v/>
      </c>
      <c r="K2318" s="62"/>
      <c r="L2318" s="62"/>
      <c r="M2318" s="62"/>
      <c r="N2318" s="62"/>
      <c r="O2318" s="62"/>
      <c r="P2318" s="62"/>
      <c r="Q2318" s="62"/>
    </row>
    <row r="2319" spans="1:17">
      <c r="A2319" s="62"/>
      <c r="B2319" s="62"/>
      <c r="C2319" s="62"/>
      <c r="D2319" s="62"/>
      <c r="E2319" s="62"/>
      <c r="F2319" s="62"/>
      <c r="G2319" s="62"/>
      <c r="H2319" s="62" t="str">
        <f>IF(AND('Data Export'!A2319=前十整体车型排名!$B$2,'Data Export'!B2319=前十整体车型排名!$B$3,'Data Export'!D2319&lt;&gt;""),UPPER('Data Export'!C2319)&amp;"♦"&amp;'Data Export'!D2319,"")</f>
        <v/>
      </c>
      <c r="I2319" s="63" t="str">
        <f>IF(H2319="","",IFERROR(INDEX('Data Export'!G2319:CZ2319,1,MATCH(前十整体车型排名!$B$4,'Data Export'!$G$1:$CZ$1,0)),0))</f>
        <v/>
      </c>
      <c r="J2319" s="62" t="str">
        <f>IF(H2319="","",IF(OR('Data Export'!F2319="三厢轿车",'Data Export'!F2319="掀背轿车",'Data Export'!F2319="旅行车",'Data Export'!F2319="微型车",'Data Export'!F2319="硬顶跑车",'Data Export'!F2319="敞蓬车",'Data Export'!F2319="Targa"),"轿车",IF(OR('Data Export'!F2319="小型MPV",'Data Export'!F2319="客车"),"MPV",IF('Data Export'!F2319="运动型多功能车","SUV","其他"))))</f>
        <v/>
      </c>
      <c r="K2319" s="62"/>
      <c r="L2319" s="62"/>
      <c r="M2319" s="62"/>
      <c r="N2319" s="62"/>
      <c r="O2319" s="62"/>
      <c r="P2319" s="62"/>
      <c r="Q2319" s="62"/>
    </row>
    <row r="2320" spans="1:17">
      <c r="A2320" s="62"/>
      <c r="B2320" s="62"/>
      <c r="C2320" s="62"/>
      <c r="D2320" s="62"/>
      <c r="E2320" s="62"/>
      <c r="F2320" s="62"/>
      <c r="G2320" s="62"/>
      <c r="H2320" s="62" t="str">
        <f>IF(AND('Data Export'!A2320=前十整体车型排名!$B$2,'Data Export'!B2320=前十整体车型排名!$B$3,'Data Export'!D2320&lt;&gt;""),UPPER('Data Export'!C2320)&amp;"♦"&amp;'Data Export'!D2320,"")</f>
        <v/>
      </c>
      <c r="I2320" s="63" t="str">
        <f>IF(H2320="","",IFERROR(INDEX('Data Export'!G2320:CZ2320,1,MATCH(前十整体车型排名!$B$4,'Data Export'!$G$1:$CZ$1,0)),0))</f>
        <v/>
      </c>
      <c r="J2320" s="62" t="str">
        <f>IF(H2320="","",IF(OR('Data Export'!F2320="三厢轿车",'Data Export'!F2320="掀背轿车",'Data Export'!F2320="旅行车",'Data Export'!F2320="微型车",'Data Export'!F2320="硬顶跑车",'Data Export'!F2320="敞蓬车",'Data Export'!F2320="Targa"),"轿车",IF(OR('Data Export'!F2320="小型MPV",'Data Export'!F2320="客车"),"MPV",IF('Data Export'!F2320="运动型多功能车","SUV","其他"))))</f>
        <v/>
      </c>
      <c r="K2320" s="62"/>
      <c r="L2320" s="62"/>
      <c r="M2320" s="62"/>
      <c r="N2320" s="62"/>
      <c r="O2320" s="62"/>
      <c r="P2320" s="62"/>
      <c r="Q2320" s="62"/>
    </row>
    <row r="2321" spans="1:17">
      <c r="A2321" s="62"/>
      <c r="B2321" s="62"/>
      <c r="C2321" s="62"/>
      <c r="D2321" s="62"/>
      <c r="E2321" s="62"/>
      <c r="F2321" s="62"/>
      <c r="G2321" s="62"/>
      <c r="H2321" s="62" t="str">
        <f>IF(AND('Data Export'!A2321=前十整体车型排名!$B$2,'Data Export'!B2321=前十整体车型排名!$B$3,'Data Export'!D2321&lt;&gt;""),UPPER('Data Export'!C2321)&amp;"♦"&amp;'Data Export'!D2321,"")</f>
        <v/>
      </c>
      <c r="I2321" s="63" t="str">
        <f>IF(H2321="","",IFERROR(INDEX('Data Export'!G2321:CZ2321,1,MATCH(前十整体车型排名!$B$4,'Data Export'!$G$1:$CZ$1,0)),0))</f>
        <v/>
      </c>
      <c r="J2321" s="62" t="str">
        <f>IF(H2321="","",IF(OR('Data Export'!F2321="三厢轿车",'Data Export'!F2321="掀背轿车",'Data Export'!F2321="旅行车",'Data Export'!F2321="微型车",'Data Export'!F2321="硬顶跑车",'Data Export'!F2321="敞蓬车",'Data Export'!F2321="Targa"),"轿车",IF(OR('Data Export'!F2321="小型MPV",'Data Export'!F2321="客车"),"MPV",IF('Data Export'!F2321="运动型多功能车","SUV","其他"))))</f>
        <v/>
      </c>
      <c r="K2321" s="62"/>
      <c r="L2321" s="62"/>
      <c r="M2321" s="62"/>
      <c r="N2321" s="62"/>
      <c r="O2321" s="62"/>
      <c r="P2321" s="62"/>
      <c r="Q2321" s="62"/>
    </row>
    <row r="2322" spans="1:17">
      <c r="A2322" s="62"/>
      <c r="B2322" s="62"/>
      <c r="C2322" s="62"/>
      <c r="D2322" s="62"/>
      <c r="E2322" s="62"/>
      <c r="F2322" s="62"/>
      <c r="G2322" s="62"/>
      <c r="H2322" s="62" t="str">
        <f>IF(AND('Data Export'!A2322=前十整体车型排名!$B$2,'Data Export'!B2322=前十整体车型排名!$B$3,'Data Export'!D2322&lt;&gt;""),UPPER('Data Export'!C2322)&amp;"♦"&amp;'Data Export'!D2322,"")</f>
        <v/>
      </c>
      <c r="I2322" s="63" t="str">
        <f>IF(H2322="","",IFERROR(INDEX('Data Export'!G2322:CZ2322,1,MATCH(前十整体车型排名!$B$4,'Data Export'!$G$1:$CZ$1,0)),0))</f>
        <v/>
      </c>
      <c r="J2322" s="62" t="str">
        <f>IF(H2322="","",IF(OR('Data Export'!F2322="三厢轿车",'Data Export'!F2322="掀背轿车",'Data Export'!F2322="旅行车",'Data Export'!F2322="微型车",'Data Export'!F2322="硬顶跑车",'Data Export'!F2322="敞蓬车",'Data Export'!F2322="Targa"),"轿车",IF(OR('Data Export'!F2322="小型MPV",'Data Export'!F2322="客车"),"MPV",IF('Data Export'!F2322="运动型多功能车","SUV","其他"))))</f>
        <v/>
      </c>
      <c r="K2322" s="62"/>
      <c r="L2322" s="62"/>
      <c r="M2322" s="62"/>
      <c r="N2322" s="62"/>
      <c r="O2322" s="62"/>
      <c r="P2322" s="62"/>
      <c r="Q2322" s="62"/>
    </row>
    <row r="2323" spans="1:17">
      <c r="A2323" s="62"/>
      <c r="B2323" s="62"/>
      <c r="C2323" s="62"/>
      <c r="D2323" s="62"/>
      <c r="E2323" s="62"/>
      <c r="F2323" s="62"/>
      <c r="G2323" s="62"/>
      <c r="H2323" s="62" t="str">
        <f>IF(AND('Data Export'!A2323=前十整体车型排名!$B$2,'Data Export'!B2323=前十整体车型排名!$B$3,'Data Export'!D2323&lt;&gt;""),UPPER('Data Export'!C2323)&amp;"♦"&amp;'Data Export'!D2323,"")</f>
        <v/>
      </c>
      <c r="I2323" s="63" t="str">
        <f>IF(H2323="","",IFERROR(INDEX('Data Export'!G2323:CZ2323,1,MATCH(前十整体车型排名!$B$4,'Data Export'!$G$1:$CZ$1,0)),0))</f>
        <v/>
      </c>
      <c r="J2323" s="62" t="str">
        <f>IF(H2323="","",IF(OR('Data Export'!F2323="三厢轿车",'Data Export'!F2323="掀背轿车",'Data Export'!F2323="旅行车",'Data Export'!F2323="微型车",'Data Export'!F2323="硬顶跑车",'Data Export'!F2323="敞蓬车",'Data Export'!F2323="Targa"),"轿车",IF(OR('Data Export'!F2323="小型MPV",'Data Export'!F2323="客车"),"MPV",IF('Data Export'!F2323="运动型多功能车","SUV","其他"))))</f>
        <v/>
      </c>
      <c r="K2323" s="62"/>
      <c r="L2323" s="62"/>
      <c r="M2323" s="62"/>
      <c r="N2323" s="62"/>
      <c r="O2323" s="62"/>
      <c r="P2323" s="62"/>
      <c r="Q2323" s="62"/>
    </row>
    <row r="2324" spans="1:17">
      <c r="A2324" s="62"/>
      <c r="B2324" s="62"/>
      <c r="C2324" s="62"/>
      <c r="D2324" s="62"/>
      <c r="E2324" s="62"/>
      <c r="F2324" s="62"/>
      <c r="G2324" s="62"/>
      <c r="H2324" s="62" t="str">
        <f>IF(AND('Data Export'!A2324=前十整体车型排名!$B$2,'Data Export'!B2324=前十整体车型排名!$B$3,'Data Export'!D2324&lt;&gt;""),UPPER('Data Export'!C2324)&amp;"♦"&amp;'Data Export'!D2324,"")</f>
        <v/>
      </c>
      <c r="I2324" s="63" t="str">
        <f>IF(H2324="","",IFERROR(INDEX('Data Export'!G2324:CZ2324,1,MATCH(前十整体车型排名!$B$4,'Data Export'!$G$1:$CZ$1,0)),0))</f>
        <v/>
      </c>
      <c r="J2324" s="62" t="str">
        <f>IF(H2324="","",IF(OR('Data Export'!F2324="三厢轿车",'Data Export'!F2324="掀背轿车",'Data Export'!F2324="旅行车",'Data Export'!F2324="微型车",'Data Export'!F2324="硬顶跑车",'Data Export'!F2324="敞蓬车",'Data Export'!F2324="Targa"),"轿车",IF(OR('Data Export'!F2324="小型MPV",'Data Export'!F2324="客车"),"MPV",IF('Data Export'!F2324="运动型多功能车","SUV","其他"))))</f>
        <v/>
      </c>
      <c r="K2324" s="62"/>
      <c r="L2324" s="62"/>
      <c r="M2324" s="62"/>
      <c r="N2324" s="62"/>
      <c r="O2324" s="62"/>
      <c r="P2324" s="62"/>
      <c r="Q2324" s="62"/>
    </row>
    <row r="2325" spans="1:17">
      <c r="A2325" s="62"/>
      <c r="B2325" s="62"/>
      <c r="C2325" s="62"/>
      <c r="D2325" s="62"/>
      <c r="E2325" s="62"/>
      <c r="F2325" s="62"/>
      <c r="G2325" s="62"/>
      <c r="H2325" s="62" t="str">
        <f>IF(AND('Data Export'!A2325=前十整体车型排名!$B$2,'Data Export'!B2325=前十整体车型排名!$B$3,'Data Export'!D2325&lt;&gt;""),UPPER('Data Export'!C2325)&amp;"♦"&amp;'Data Export'!D2325,"")</f>
        <v/>
      </c>
      <c r="I2325" s="63" t="str">
        <f>IF(H2325="","",IFERROR(INDEX('Data Export'!G2325:CZ2325,1,MATCH(前十整体车型排名!$B$4,'Data Export'!$G$1:$CZ$1,0)),0))</f>
        <v/>
      </c>
      <c r="J2325" s="62" t="str">
        <f>IF(H2325="","",IF(OR('Data Export'!F2325="三厢轿车",'Data Export'!F2325="掀背轿车",'Data Export'!F2325="旅行车",'Data Export'!F2325="微型车",'Data Export'!F2325="硬顶跑车",'Data Export'!F2325="敞蓬车",'Data Export'!F2325="Targa"),"轿车",IF(OR('Data Export'!F2325="小型MPV",'Data Export'!F2325="客车"),"MPV",IF('Data Export'!F2325="运动型多功能车","SUV","其他"))))</f>
        <v/>
      </c>
      <c r="K2325" s="62"/>
      <c r="L2325" s="62"/>
      <c r="M2325" s="62"/>
      <c r="N2325" s="62"/>
      <c r="O2325" s="62"/>
      <c r="P2325" s="62"/>
      <c r="Q2325" s="62"/>
    </row>
    <row r="2326" spans="1:17">
      <c r="A2326" s="62"/>
      <c r="B2326" s="62"/>
      <c r="C2326" s="62"/>
      <c r="D2326" s="62"/>
      <c r="E2326" s="62"/>
      <c r="F2326" s="62"/>
      <c r="G2326" s="62"/>
      <c r="H2326" s="62" t="str">
        <f>IF(AND('Data Export'!A2326=前十整体车型排名!$B$2,'Data Export'!B2326=前十整体车型排名!$B$3,'Data Export'!D2326&lt;&gt;""),UPPER('Data Export'!C2326)&amp;"♦"&amp;'Data Export'!D2326,"")</f>
        <v/>
      </c>
      <c r="I2326" s="63" t="str">
        <f>IF(H2326="","",IFERROR(INDEX('Data Export'!G2326:CZ2326,1,MATCH(前十整体车型排名!$B$4,'Data Export'!$G$1:$CZ$1,0)),0))</f>
        <v/>
      </c>
      <c r="J2326" s="62" t="str">
        <f>IF(H2326="","",IF(OR('Data Export'!F2326="三厢轿车",'Data Export'!F2326="掀背轿车",'Data Export'!F2326="旅行车",'Data Export'!F2326="微型车",'Data Export'!F2326="硬顶跑车",'Data Export'!F2326="敞蓬车",'Data Export'!F2326="Targa"),"轿车",IF(OR('Data Export'!F2326="小型MPV",'Data Export'!F2326="客车"),"MPV",IF('Data Export'!F2326="运动型多功能车","SUV","其他"))))</f>
        <v/>
      </c>
      <c r="K2326" s="62"/>
      <c r="L2326" s="62"/>
      <c r="M2326" s="62"/>
      <c r="N2326" s="62"/>
      <c r="O2326" s="62"/>
      <c r="P2326" s="62"/>
      <c r="Q2326" s="62"/>
    </row>
    <row r="2327" spans="1:17">
      <c r="A2327" s="62"/>
      <c r="B2327" s="62"/>
      <c r="C2327" s="62"/>
      <c r="D2327" s="62"/>
      <c r="E2327" s="62"/>
      <c r="F2327" s="62"/>
      <c r="G2327" s="62"/>
      <c r="H2327" s="62" t="str">
        <f>IF(AND('Data Export'!A2327=前十整体车型排名!$B$2,'Data Export'!B2327=前十整体车型排名!$B$3,'Data Export'!D2327&lt;&gt;""),UPPER('Data Export'!C2327)&amp;"♦"&amp;'Data Export'!D2327,"")</f>
        <v/>
      </c>
      <c r="I2327" s="63" t="str">
        <f>IF(H2327="","",IFERROR(INDEX('Data Export'!G2327:CZ2327,1,MATCH(前十整体车型排名!$B$4,'Data Export'!$G$1:$CZ$1,0)),0))</f>
        <v/>
      </c>
      <c r="J2327" s="62" t="str">
        <f>IF(H2327="","",IF(OR('Data Export'!F2327="三厢轿车",'Data Export'!F2327="掀背轿车",'Data Export'!F2327="旅行车",'Data Export'!F2327="微型车",'Data Export'!F2327="硬顶跑车",'Data Export'!F2327="敞蓬车",'Data Export'!F2327="Targa"),"轿车",IF(OR('Data Export'!F2327="小型MPV",'Data Export'!F2327="客车"),"MPV",IF('Data Export'!F2327="运动型多功能车","SUV","其他"))))</f>
        <v/>
      </c>
      <c r="K2327" s="62"/>
      <c r="L2327" s="62"/>
      <c r="M2327" s="62"/>
      <c r="N2327" s="62"/>
      <c r="O2327" s="62"/>
      <c r="P2327" s="62"/>
      <c r="Q2327" s="62"/>
    </row>
    <row r="2328" spans="1:17">
      <c r="A2328" s="62"/>
      <c r="B2328" s="62"/>
      <c r="C2328" s="62"/>
      <c r="D2328" s="62"/>
      <c r="E2328" s="62"/>
      <c r="F2328" s="62"/>
      <c r="G2328" s="62"/>
      <c r="H2328" s="62" t="str">
        <f>IF(AND('Data Export'!A2328=前十整体车型排名!$B$2,'Data Export'!B2328=前十整体车型排名!$B$3,'Data Export'!D2328&lt;&gt;""),UPPER('Data Export'!C2328)&amp;"♦"&amp;'Data Export'!D2328,"")</f>
        <v/>
      </c>
      <c r="I2328" s="63" t="str">
        <f>IF(H2328="","",IFERROR(INDEX('Data Export'!G2328:CZ2328,1,MATCH(前十整体车型排名!$B$4,'Data Export'!$G$1:$CZ$1,0)),0))</f>
        <v/>
      </c>
      <c r="J2328" s="62" t="str">
        <f>IF(H2328="","",IF(OR('Data Export'!F2328="三厢轿车",'Data Export'!F2328="掀背轿车",'Data Export'!F2328="旅行车",'Data Export'!F2328="微型车",'Data Export'!F2328="硬顶跑车",'Data Export'!F2328="敞蓬车",'Data Export'!F2328="Targa"),"轿车",IF(OR('Data Export'!F2328="小型MPV",'Data Export'!F2328="客车"),"MPV",IF('Data Export'!F2328="运动型多功能车","SUV","其他"))))</f>
        <v/>
      </c>
      <c r="K2328" s="62"/>
      <c r="L2328" s="62"/>
      <c r="M2328" s="62"/>
      <c r="N2328" s="62"/>
      <c r="O2328" s="62"/>
      <c r="P2328" s="62"/>
      <c r="Q2328" s="62"/>
    </row>
    <row r="2329" spans="1:17">
      <c r="A2329" s="62"/>
      <c r="B2329" s="62"/>
      <c r="C2329" s="62"/>
      <c r="D2329" s="62"/>
      <c r="E2329" s="62"/>
      <c r="F2329" s="62"/>
      <c r="G2329" s="62"/>
      <c r="H2329" s="62" t="str">
        <f>IF(AND('Data Export'!A2329=前十整体车型排名!$B$2,'Data Export'!B2329=前十整体车型排名!$B$3,'Data Export'!D2329&lt;&gt;""),UPPER('Data Export'!C2329)&amp;"♦"&amp;'Data Export'!D2329,"")</f>
        <v/>
      </c>
      <c r="I2329" s="63" t="str">
        <f>IF(H2329="","",IFERROR(INDEX('Data Export'!G2329:CZ2329,1,MATCH(前十整体车型排名!$B$4,'Data Export'!$G$1:$CZ$1,0)),0))</f>
        <v/>
      </c>
      <c r="J2329" s="62" t="str">
        <f>IF(H2329="","",IF(OR('Data Export'!F2329="三厢轿车",'Data Export'!F2329="掀背轿车",'Data Export'!F2329="旅行车",'Data Export'!F2329="微型车",'Data Export'!F2329="硬顶跑车",'Data Export'!F2329="敞蓬车",'Data Export'!F2329="Targa"),"轿车",IF(OR('Data Export'!F2329="小型MPV",'Data Export'!F2329="客车"),"MPV",IF('Data Export'!F2329="运动型多功能车","SUV","其他"))))</f>
        <v/>
      </c>
      <c r="K2329" s="62"/>
      <c r="L2329" s="62"/>
      <c r="M2329" s="62"/>
      <c r="N2329" s="62"/>
      <c r="O2329" s="62"/>
      <c r="P2329" s="62"/>
      <c r="Q2329" s="62"/>
    </row>
    <row r="2330" spans="1:17">
      <c r="A2330" s="62"/>
      <c r="B2330" s="62"/>
      <c r="C2330" s="62"/>
      <c r="D2330" s="62"/>
      <c r="E2330" s="62"/>
      <c r="F2330" s="62"/>
      <c r="G2330" s="62"/>
      <c r="H2330" s="62" t="str">
        <f>IF(AND('Data Export'!A2330=前十整体车型排名!$B$2,'Data Export'!B2330=前十整体车型排名!$B$3,'Data Export'!D2330&lt;&gt;""),UPPER('Data Export'!C2330)&amp;"♦"&amp;'Data Export'!D2330,"")</f>
        <v/>
      </c>
      <c r="I2330" s="63" t="str">
        <f>IF(H2330="","",IFERROR(INDEX('Data Export'!G2330:CZ2330,1,MATCH(前十整体车型排名!$B$4,'Data Export'!$G$1:$CZ$1,0)),0))</f>
        <v/>
      </c>
      <c r="J2330" s="62" t="str">
        <f>IF(H2330="","",IF(OR('Data Export'!F2330="三厢轿车",'Data Export'!F2330="掀背轿车",'Data Export'!F2330="旅行车",'Data Export'!F2330="微型车",'Data Export'!F2330="硬顶跑车",'Data Export'!F2330="敞蓬车",'Data Export'!F2330="Targa"),"轿车",IF(OR('Data Export'!F2330="小型MPV",'Data Export'!F2330="客车"),"MPV",IF('Data Export'!F2330="运动型多功能车","SUV","其他"))))</f>
        <v/>
      </c>
      <c r="K2330" s="62"/>
      <c r="L2330" s="62"/>
      <c r="M2330" s="62"/>
      <c r="N2330" s="62"/>
      <c r="O2330" s="62"/>
      <c r="P2330" s="62"/>
      <c r="Q2330" s="62"/>
    </row>
    <row r="2331" spans="1:17">
      <c r="A2331" s="62"/>
      <c r="B2331" s="62"/>
      <c r="C2331" s="62"/>
      <c r="D2331" s="62"/>
      <c r="E2331" s="62"/>
      <c r="F2331" s="62"/>
      <c r="G2331" s="62"/>
      <c r="H2331" s="62" t="str">
        <f>IF(AND('Data Export'!A2331=前十整体车型排名!$B$2,'Data Export'!B2331=前十整体车型排名!$B$3,'Data Export'!D2331&lt;&gt;""),UPPER('Data Export'!C2331)&amp;"♦"&amp;'Data Export'!D2331,"")</f>
        <v/>
      </c>
      <c r="I2331" s="63" t="str">
        <f>IF(H2331="","",IFERROR(INDEX('Data Export'!G2331:CZ2331,1,MATCH(前十整体车型排名!$B$4,'Data Export'!$G$1:$CZ$1,0)),0))</f>
        <v/>
      </c>
      <c r="J2331" s="62" t="str">
        <f>IF(H2331="","",IF(OR('Data Export'!F2331="三厢轿车",'Data Export'!F2331="掀背轿车",'Data Export'!F2331="旅行车",'Data Export'!F2331="微型车",'Data Export'!F2331="硬顶跑车",'Data Export'!F2331="敞蓬车",'Data Export'!F2331="Targa"),"轿车",IF(OR('Data Export'!F2331="小型MPV",'Data Export'!F2331="客车"),"MPV",IF('Data Export'!F2331="运动型多功能车","SUV","其他"))))</f>
        <v/>
      </c>
      <c r="K2331" s="62"/>
      <c r="L2331" s="62"/>
      <c r="M2331" s="62"/>
      <c r="N2331" s="62"/>
      <c r="O2331" s="62"/>
      <c r="P2331" s="62"/>
      <c r="Q2331" s="62"/>
    </row>
    <row r="2332" spans="1:17">
      <c r="A2332" s="62"/>
      <c r="B2332" s="62"/>
      <c r="C2332" s="62"/>
      <c r="D2332" s="62"/>
      <c r="E2332" s="62"/>
      <c r="F2332" s="62"/>
      <c r="G2332" s="62"/>
      <c r="H2332" s="62" t="str">
        <f>IF(AND('Data Export'!A2332=前十整体车型排名!$B$2,'Data Export'!B2332=前十整体车型排名!$B$3,'Data Export'!D2332&lt;&gt;""),UPPER('Data Export'!C2332)&amp;"♦"&amp;'Data Export'!D2332,"")</f>
        <v/>
      </c>
      <c r="I2332" s="63" t="str">
        <f>IF(H2332="","",IFERROR(INDEX('Data Export'!G2332:CZ2332,1,MATCH(前十整体车型排名!$B$4,'Data Export'!$G$1:$CZ$1,0)),0))</f>
        <v/>
      </c>
      <c r="J2332" s="62" t="str">
        <f>IF(H2332="","",IF(OR('Data Export'!F2332="三厢轿车",'Data Export'!F2332="掀背轿车",'Data Export'!F2332="旅行车",'Data Export'!F2332="微型车",'Data Export'!F2332="硬顶跑车",'Data Export'!F2332="敞蓬车",'Data Export'!F2332="Targa"),"轿车",IF(OR('Data Export'!F2332="小型MPV",'Data Export'!F2332="客车"),"MPV",IF('Data Export'!F2332="运动型多功能车","SUV","其他"))))</f>
        <v/>
      </c>
      <c r="K2332" s="62"/>
      <c r="L2332" s="62"/>
      <c r="M2332" s="62"/>
      <c r="N2332" s="62"/>
      <c r="O2332" s="62"/>
      <c r="P2332" s="62"/>
      <c r="Q2332" s="62"/>
    </row>
    <row r="2333" spans="1:17">
      <c r="A2333" s="62"/>
      <c r="B2333" s="62"/>
      <c r="C2333" s="62"/>
      <c r="D2333" s="62"/>
      <c r="E2333" s="62"/>
      <c r="F2333" s="62"/>
      <c r="G2333" s="62"/>
      <c r="H2333" s="62" t="str">
        <f>IF(AND('Data Export'!A2333=前十整体车型排名!$B$2,'Data Export'!B2333=前十整体车型排名!$B$3,'Data Export'!D2333&lt;&gt;""),UPPER('Data Export'!C2333)&amp;"♦"&amp;'Data Export'!D2333,"")</f>
        <v/>
      </c>
      <c r="I2333" s="63" t="str">
        <f>IF(H2333="","",IFERROR(INDEX('Data Export'!G2333:CZ2333,1,MATCH(前十整体车型排名!$B$4,'Data Export'!$G$1:$CZ$1,0)),0))</f>
        <v/>
      </c>
      <c r="J2333" s="62" t="str">
        <f>IF(H2333="","",IF(OR('Data Export'!F2333="三厢轿车",'Data Export'!F2333="掀背轿车",'Data Export'!F2333="旅行车",'Data Export'!F2333="微型车",'Data Export'!F2333="硬顶跑车",'Data Export'!F2333="敞蓬车",'Data Export'!F2333="Targa"),"轿车",IF(OR('Data Export'!F2333="小型MPV",'Data Export'!F2333="客车"),"MPV",IF('Data Export'!F2333="运动型多功能车","SUV","其他"))))</f>
        <v/>
      </c>
      <c r="K2333" s="62"/>
      <c r="L2333" s="62"/>
      <c r="M2333" s="62"/>
      <c r="N2333" s="62"/>
      <c r="O2333" s="62"/>
      <c r="P2333" s="62"/>
      <c r="Q2333" s="62"/>
    </row>
    <row r="2334" spans="1:17">
      <c r="A2334" s="62"/>
      <c r="B2334" s="62"/>
      <c r="C2334" s="62"/>
      <c r="D2334" s="62"/>
      <c r="E2334" s="62"/>
      <c r="F2334" s="62"/>
      <c r="G2334" s="62"/>
      <c r="H2334" s="62" t="str">
        <f>IF(AND('Data Export'!A2334=前十整体车型排名!$B$2,'Data Export'!B2334=前十整体车型排名!$B$3,'Data Export'!D2334&lt;&gt;""),UPPER('Data Export'!C2334)&amp;"♦"&amp;'Data Export'!D2334,"")</f>
        <v/>
      </c>
      <c r="I2334" s="63" t="str">
        <f>IF(H2334="","",IFERROR(INDEX('Data Export'!G2334:CZ2334,1,MATCH(前十整体车型排名!$B$4,'Data Export'!$G$1:$CZ$1,0)),0))</f>
        <v/>
      </c>
      <c r="J2334" s="62" t="str">
        <f>IF(H2334="","",IF(OR('Data Export'!F2334="三厢轿车",'Data Export'!F2334="掀背轿车",'Data Export'!F2334="旅行车",'Data Export'!F2334="微型车",'Data Export'!F2334="硬顶跑车",'Data Export'!F2334="敞蓬车",'Data Export'!F2334="Targa"),"轿车",IF(OR('Data Export'!F2334="小型MPV",'Data Export'!F2334="客车"),"MPV",IF('Data Export'!F2334="运动型多功能车","SUV","其他"))))</f>
        <v/>
      </c>
      <c r="K2334" s="62"/>
      <c r="L2334" s="62"/>
      <c r="M2334" s="62"/>
      <c r="N2334" s="62"/>
      <c r="O2334" s="62"/>
      <c r="P2334" s="62"/>
      <c r="Q2334" s="62"/>
    </row>
    <row r="2335" spans="1:17">
      <c r="A2335" s="62"/>
      <c r="B2335" s="62"/>
      <c r="C2335" s="62"/>
      <c r="D2335" s="62"/>
      <c r="E2335" s="62"/>
      <c r="F2335" s="62"/>
      <c r="G2335" s="62"/>
      <c r="H2335" s="62" t="str">
        <f>IF(AND('Data Export'!A2335=前十整体车型排名!$B$2,'Data Export'!B2335=前十整体车型排名!$B$3,'Data Export'!D2335&lt;&gt;""),UPPER('Data Export'!C2335)&amp;"♦"&amp;'Data Export'!D2335,"")</f>
        <v/>
      </c>
      <c r="I2335" s="63" t="str">
        <f>IF(H2335="","",IFERROR(INDEX('Data Export'!G2335:CZ2335,1,MATCH(前十整体车型排名!$B$4,'Data Export'!$G$1:$CZ$1,0)),0))</f>
        <v/>
      </c>
      <c r="J2335" s="62" t="str">
        <f>IF(H2335="","",IF(OR('Data Export'!F2335="三厢轿车",'Data Export'!F2335="掀背轿车",'Data Export'!F2335="旅行车",'Data Export'!F2335="微型车",'Data Export'!F2335="硬顶跑车",'Data Export'!F2335="敞蓬车",'Data Export'!F2335="Targa"),"轿车",IF(OR('Data Export'!F2335="小型MPV",'Data Export'!F2335="客车"),"MPV",IF('Data Export'!F2335="运动型多功能车","SUV","其他"))))</f>
        <v/>
      </c>
      <c r="K2335" s="62"/>
      <c r="L2335" s="62"/>
      <c r="M2335" s="62"/>
      <c r="N2335" s="62"/>
      <c r="O2335" s="62"/>
      <c r="P2335" s="62"/>
      <c r="Q2335" s="62"/>
    </row>
    <row r="2336" spans="1:17">
      <c r="A2336" s="62"/>
      <c r="B2336" s="62"/>
      <c r="C2336" s="62"/>
      <c r="D2336" s="62"/>
      <c r="E2336" s="62"/>
      <c r="F2336" s="62"/>
      <c r="G2336" s="62"/>
      <c r="H2336" s="62" t="str">
        <f>IF(AND('Data Export'!A2336=前十整体车型排名!$B$2,'Data Export'!B2336=前十整体车型排名!$B$3,'Data Export'!D2336&lt;&gt;""),UPPER('Data Export'!C2336)&amp;"♦"&amp;'Data Export'!D2336,"")</f>
        <v/>
      </c>
      <c r="I2336" s="63" t="str">
        <f>IF(H2336="","",IFERROR(INDEX('Data Export'!G2336:CZ2336,1,MATCH(前十整体车型排名!$B$4,'Data Export'!$G$1:$CZ$1,0)),0))</f>
        <v/>
      </c>
      <c r="J2336" s="62" t="str">
        <f>IF(H2336="","",IF(OR('Data Export'!F2336="三厢轿车",'Data Export'!F2336="掀背轿车",'Data Export'!F2336="旅行车",'Data Export'!F2336="微型车",'Data Export'!F2336="硬顶跑车",'Data Export'!F2336="敞蓬车",'Data Export'!F2336="Targa"),"轿车",IF(OR('Data Export'!F2336="小型MPV",'Data Export'!F2336="客车"),"MPV",IF('Data Export'!F2336="运动型多功能车","SUV","其他"))))</f>
        <v/>
      </c>
      <c r="K2336" s="62"/>
      <c r="L2336" s="62"/>
      <c r="M2336" s="62"/>
      <c r="N2336" s="62"/>
      <c r="O2336" s="62"/>
      <c r="P2336" s="62"/>
      <c r="Q2336" s="62"/>
    </row>
    <row r="2337" spans="1:17">
      <c r="A2337" s="62"/>
      <c r="B2337" s="62"/>
      <c r="C2337" s="62"/>
      <c r="D2337" s="62"/>
      <c r="E2337" s="62"/>
      <c r="F2337" s="62"/>
      <c r="G2337" s="62"/>
      <c r="H2337" s="62" t="str">
        <f>IF(AND('Data Export'!A2337=前十整体车型排名!$B$2,'Data Export'!B2337=前十整体车型排名!$B$3,'Data Export'!D2337&lt;&gt;""),UPPER('Data Export'!C2337)&amp;"♦"&amp;'Data Export'!D2337,"")</f>
        <v/>
      </c>
      <c r="I2337" s="63" t="str">
        <f>IF(H2337="","",IFERROR(INDEX('Data Export'!G2337:CZ2337,1,MATCH(前十整体车型排名!$B$4,'Data Export'!$G$1:$CZ$1,0)),0))</f>
        <v/>
      </c>
      <c r="J2337" s="62" t="str">
        <f>IF(H2337="","",IF(OR('Data Export'!F2337="三厢轿车",'Data Export'!F2337="掀背轿车",'Data Export'!F2337="旅行车",'Data Export'!F2337="微型车",'Data Export'!F2337="硬顶跑车",'Data Export'!F2337="敞蓬车",'Data Export'!F2337="Targa"),"轿车",IF(OR('Data Export'!F2337="小型MPV",'Data Export'!F2337="客车"),"MPV",IF('Data Export'!F2337="运动型多功能车","SUV","其他"))))</f>
        <v/>
      </c>
      <c r="K2337" s="62"/>
      <c r="L2337" s="62"/>
      <c r="M2337" s="62"/>
      <c r="N2337" s="62"/>
      <c r="O2337" s="62"/>
      <c r="P2337" s="62"/>
      <c r="Q2337" s="62"/>
    </row>
    <row r="2338" spans="1:17">
      <c r="A2338" s="62"/>
      <c r="B2338" s="62"/>
      <c r="C2338" s="62"/>
      <c r="D2338" s="62"/>
      <c r="E2338" s="62"/>
      <c r="F2338" s="62"/>
      <c r="G2338" s="62"/>
      <c r="H2338" s="62" t="str">
        <f>IF(AND('Data Export'!A2338=前十整体车型排名!$B$2,'Data Export'!B2338=前十整体车型排名!$B$3,'Data Export'!D2338&lt;&gt;""),UPPER('Data Export'!C2338)&amp;"♦"&amp;'Data Export'!D2338,"")</f>
        <v/>
      </c>
      <c r="I2338" s="63" t="str">
        <f>IF(H2338="","",IFERROR(INDEX('Data Export'!G2338:CZ2338,1,MATCH(前十整体车型排名!$B$4,'Data Export'!$G$1:$CZ$1,0)),0))</f>
        <v/>
      </c>
      <c r="J2338" s="62" t="str">
        <f>IF(H2338="","",IF(OR('Data Export'!F2338="三厢轿车",'Data Export'!F2338="掀背轿车",'Data Export'!F2338="旅行车",'Data Export'!F2338="微型车",'Data Export'!F2338="硬顶跑车",'Data Export'!F2338="敞蓬车",'Data Export'!F2338="Targa"),"轿车",IF(OR('Data Export'!F2338="小型MPV",'Data Export'!F2338="客车"),"MPV",IF('Data Export'!F2338="运动型多功能车","SUV","其他"))))</f>
        <v/>
      </c>
      <c r="K2338" s="62"/>
      <c r="L2338" s="62"/>
      <c r="M2338" s="62"/>
      <c r="N2338" s="62"/>
      <c r="O2338" s="62"/>
      <c r="P2338" s="62"/>
      <c r="Q2338" s="62"/>
    </row>
    <row r="2339" spans="1:17">
      <c r="A2339" s="62"/>
      <c r="B2339" s="62"/>
      <c r="C2339" s="62"/>
      <c r="D2339" s="62"/>
      <c r="E2339" s="62"/>
      <c r="F2339" s="62"/>
      <c r="G2339" s="62"/>
      <c r="H2339" s="62" t="str">
        <f>IF(AND('Data Export'!A2339=前十整体车型排名!$B$2,'Data Export'!B2339=前十整体车型排名!$B$3,'Data Export'!D2339&lt;&gt;""),UPPER('Data Export'!C2339)&amp;"♦"&amp;'Data Export'!D2339,"")</f>
        <v/>
      </c>
      <c r="I2339" s="63" t="str">
        <f>IF(H2339="","",IFERROR(INDEX('Data Export'!G2339:CZ2339,1,MATCH(前十整体车型排名!$B$4,'Data Export'!$G$1:$CZ$1,0)),0))</f>
        <v/>
      </c>
      <c r="J2339" s="62" t="str">
        <f>IF(H2339="","",IF(OR('Data Export'!F2339="三厢轿车",'Data Export'!F2339="掀背轿车",'Data Export'!F2339="旅行车",'Data Export'!F2339="微型车",'Data Export'!F2339="硬顶跑车",'Data Export'!F2339="敞蓬车",'Data Export'!F2339="Targa"),"轿车",IF(OR('Data Export'!F2339="小型MPV",'Data Export'!F2339="客车"),"MPV",IF('Data Export'!F2339="运动型多功能车","SUV","其他"))))</f>
        <v/>
      </c>
      <c r="K2339" s="62"/>
      <c r="L2339" s="62"/>
      <c r="M2339" s="62"/>
      <c r="N2339" s="62"/>
      <c r="O2339" s="62"/>
      <c r="P2339" s="62"/>
      <c r="Q2339" s="62"/>
    </row>
    <row r="2340" spans="1:17">
      <c r="A2340" s="62"/>
      <c r="B2340" s="62"/>
      <c r="C2340" s="62"/>
      <c r="D2340" s="62"/>
      <c r="E2340" s="62"/>
      <c r="F2340" s="62"/>
      <c r="G2340" s="62"/>
      <c r="H2340" s="62" t="str">
        <f>IF(AND('Data Export'!A2340=前十整体车型排名!$B$2,'Data Export'!B2340=前十整体车型排名!$B$3,'Data Export'!D2340&lt;&gt;""),UPPER('Data Export'!C2340)&amp;"♦"&amp;'Data Export'!D2340,"")</f>
        <v/>
      </c>
      <c r="I2340" s="63" t="str">
        <f>IF(H2340="","",IFERROR(INDEX('Data Export'!G2340:CZ2340,1,MATCH(前十整体车型排名!$B$4,'Data Export'!$G$1:$CZ$1,0)),0))</f>
        <v/>
      </c>
      <c r="J2340" s="62" t="str">
        <f>IF(H2340="","",IF(OR('Data Export'!F2340="三厢轿车",'Data Export'!F2340="掀背轿车",'Data Export'!F2340="旅行车",'Data Export'!F2340="微型车",'Data Export'!F2340="硬顶跑车",'Data Export'!F2340="敞蓬车",'Data Export'!F2340="Targa"),"轿车",IF(OR('Data Export'!F2340="小型MPV",'Data Export'!F2340="客车"),"MPV",IF('Data Export'!F2340="运动型多功能车","SUV","其他"))))</f>
        <v/>
      </c>
      <c r="K2340" s="62"/>
      <c r="L2340" s="62"/>
      <c r="M2340" s="62"/>
      <c r="N2340" s="62"/>
      <c r="O2340" s="62"/>
      <c r="P2340" s="62"/>
      <c r="Q2340" s="62"/>
    </row>
    <row r="2341" spans="1:17">
      <c r="A2341" s="62"/>
      <c r="B2341" s="62"/>
      <c r="C2341" s="62"/>
      <c r="D2341" s="62"/>
      <c r="E2341" s="62"/>
      <c r="F2341" s="62"/>
      <c r="G2341" s="62"/>
      <c r="H2341" s="62" t="str">
        <f>IF(AND('Data Export'!A2341=前十整体车型排名!$B$2,'Data Export'!B2341=前十整体车型排名!$B$3,'Data Export'!D2341&lt;&gt;""),UPPER('Data Export'!C2341)&amp;"♦"&amp;'Data Export'!D2341,"")</f>
        <v/>
      </c>
      <c r="I2341" s="63" t="str">
        <f>IF(H2341="","",IFERROR(INDEX('Data Export'!G2341:CZ2341,1,MATCH(前十整体车型排名!$B$4,'Data Export'!$G$1:$CZ$1,0)),0))</f>
        <v/>
      </c>
      <c r="J2341" s="62" t="str">
        <f>IF(H2341="","",IF(OR('Data Export'!F2341="三厢轿车",'Data Export'!F2341="掀背轿车",'Data Export'!F2341="旅行车",'Data Export'!F2341="微型车",'Data Export'!F2341="硬顶跑车",'Data Export'!F2341="敞蓬车",'Data Export'!F2341="Targa"),"轿车",IF(OR('Data Export'!F2341="小型MPV",'Data Export'!F2341="客车"),"MPV",IF('Data Export'!F2341="运动型多功能车","SUV","其他"))))</f>
        <v/>
      </c>
      <c r="K2341" s="62"/>
      <c r="L2341" s="62"/>
      <c r="M2341" s="62"/>
      <c r="N2341" s="62"/>
      <c r="O2341" s="62"/>
      <c r="P2341" s="62"/>
      <c r="Q2341" s="62"/>
    </row>
    <row r="2342" spans="1:17">
      <c r="A2342" s="62"/>
      <c r="B2342" s="62"/>
      <c r="C2342" s="62"/>
      <c r="D2342" s="62"/>
      <c r="E2342" s="62"/>
      <c r="F2342" s="62"/>
      <c r="G2342" s="62"/>
      <c r="H2342" s="62" t="str">
        <f>IF(AND('Data Export'!A2342=前十整体车型排名!$B$2,'Data Export'!B2342=前十整体车型排名!$B$3,'Data Export'!D2342&lt;&gt;""),UPPER('Data Export'!C2342)&amp;"♦"&amp;'Data Export'!D2342,"")</f>
        <v/>
      </c>
      <c r="I2342" s="63" t="str">
        <f>IF(H2342="","",IFERROR(INDEX('Data Export'!G2342:CZ2342,1,MATCH(前十整体车型排名!$B$4,'Data Export'!$G$1:$CZ$1,0)),0))</f>
        <v/>
      </c>
      <c r="J2342" s="62" t="str">
        <f>IF(H2342="","",IF(OR('Data Export'!F2342="三厢轿车",'Data Export'!F2342="掀背轿车",'Data Export'!F2342="旅行车",'Data Export'!F2342="微型车",'Data Export'!F2342="硬顶跑车",'Data Export'!F2342="敞蓬车",'Data Export'!F2342="Targa"),"轿车",IF(OR('Data Export'!F2342="小型MPV",'Data Export'!F2342="客车"),"MPV",IF('Data Export'!F2342="运动型多功能车","SUV","其他"))))</f>
        <v/>
      </c>
      <c r="K2342" s="62"/>
      <c r="L2342" s="62"/>
      <c r="M2342" s="62"/>
      <c r="N2342" s="62"/>
      <c r="O2342" s="62"/>
      <c r="P2342" s="62"/>
      <c r="Q2342" s="62"/>
    </row>
    <row r="2343" spans="1:17">
      <c r="A2343" s="62"/>
      <c r="B2343" s="62"/>
      <c r="C2343" s="62"/>
      <c r="D2343" s="62"/>
      <c r="E2343" s="62"/>
      <c r="F2343" s="62"/>
      <c r="G2343" s="62"/>
      <c r="H2343" s="62" t="str">
        <f>IF(AND('Data Export'!A2343=前十整体车型排名!$B$2,'Data Export'!B2343=前十整体车型排名!$B$3,'Data Export'!D2343&lt;&gt;""),UPPER('Data Export'!C2343)&amp;"♦"&amp;'Data Export'!D2343,"")</f>
        <v/>
      </c>
      <c r="I2343" s="63" t="str">
        <f>IF(H2343="","",IFERROR(INDEX('Data Export'!G2343:CZ2343,1,MATCH(前十整体车型排名!$B$4,'Data Export'!$G$1:$CZ$1,0)),0))</f>
        <v/>
      </c>
      <c r="J2343" s="62" t="str">
        <f>IF(H2343="","",IF(OR('Data Export'!F2343="三厢轿车",'Data Export'!F2343="掀背轿车",'Data Export'!F2343="旅行车",'Data Export'!F2343="微型车",'Data Export'!F2343="硬顶跑车",'Data Export'!F2343="敞蓬车",'Data Export'!F2343="Targa"),"轿车",IF(OR('Data Export'!F2343="小型MPV",'Data Export'!F2343="客车"),"MPV",IF('Data Export'!F2343="运动型多功能车","SUV","其他"))))</f>
        <v/>
      </c>
      <c r="K2343" s="62"/>
      <c r="L2343" s="62"/>
      <c r="M2343" s="62"/>
      <c r="N2343" s="62"/>
      <c r="O2343" s="62"/>
      <c r="P2343" s="62"/>
      <c r="Q2343" s="62"/>
    </row>
    <row r="2344" spans="1:17">
      <c r="A2344" s="62"/>
      <c r="B2344" s="62"/>
      <c r="C2344" s="62"/>
      <c r="D2344" s="62"/>
      <c r="E2344" s="62"/>
      <c r="F2344" s="62"/>
      <c r="G2344" s="62"/>
      <c r="H2344" s="62" t="str">
        <f>IF(AND('Data Export'!A2344=前十整体车型排名!$B$2,'Data Export'!B2344=前十整体车型排名!$B$3,'Data Export'!D2344&lt;&gt;""),UPPER('Data Export'!C2344)&amp;"♦"&amp;'Data Export'!D2344,"")</f>
        <v/>
      </c>
      <c r="I2344" s="63" t="str">
        <f>IF(H2344="","",IFERROR(INDEX('Data Export'!G2344:CZ2344,1,MATCH(前十整体车型排名!$B$4,'Data Export'!$G$1:$CZ$1,0)),0))</f>
        <v/>
      </c>
      <c r="J2344" s="62" t="str">
        <f>IF(H2344="","",IF(OR('Data Export'!F2344="三厢轿车",'Data Export'!F2344="掀背轿车",'Data Export'!F2344="旅行车",'Data Export'!F2344="微型车",'Data Export'!F2344="硬顶跑车",'Data Export'!F2344="敞蓬车",'Data Export'!F2344="Targa"),"轿车",IF(OR('Data Export'!F2344="小型MPV",'Data Export'!F2344="客车"),"MPV",IF('Data Export'!F2344="运动型多功能车","SUV","其他"))))</f>
        <v/>
      </c>
      <c r="K2344" s="62"/>
      <c r="L2344" s="62"/>
      <c r="M2344" s="62"/>
      <c r="N2344" s="62"/>
      <c r="O2344" s="62"/>
      <c r="P2344" s="62"/>
      <c r="Q2344" s="62"/>
    </row>
    <row r="2345" spans="1:17">
      <c r="A2345" s="62"/>
      <c r="B2345" s="62"/>
      <c r="C2345" s="62"/>
      <c r="D2345" s="62"/>
      <c r="E2345" s="62"/>
      <c r="F2345" s="62"/>
      <c r="G2345" s="62"/>
      <c r="H2345" s="62" t="str">
        <f>IF(AND('Data Export'!A2345=前十整体车型排名!$B$2,'Data Export'!B2345=前十整体车型排名!$B$3,'Data Export'!D2345&lt;&gt;""),UPPER('Data Export'!C2345)&amp;"♦"&amp;'Data Export'!D2345,"")</f>
        <v/>
      </c>
      <c r="I2345" s="63" t="str">
        <f>IF(H2345="","",IFERROR(INDEX('Data Export'!G2345:CZ2345,1,MATCH(前十整体车型排名!$B$4,'Data Export'!$G$1:$CZ$1,0)),0))</f>
        <v/>
      </c>
      <c r="J2345" s="62" t="str">
        <f>IF(H2345="","",IF(OR('Data Export'!F2345="三厢轿车",'Data Export'!F2345="掀背轿车",'Data Export'!F2345="旅行车",'Data Export'!F2345="微型车",'Data Export'!F2345="硬顶跑车",'Data Export'!F2345="敞蓬车",'Data Export'!F2345="Targa"),"轿车",IF(OR('Data Export'!F2345="小型MPV",'Data Export'!F2345="客车"),"MPV",IF('Data Export'!F2345="运动型多功能车","SUV","其他"))))</f>
        <v/>
      </c>
      <c r="K2345" s="62"/>
      <c r="L2345" s="62"/>
      <c r="M2345" s="62"/>
      <c r="N2345" s="62"/>
      <c r="O2345" s="62"/>
      <c r="P2345" s="62"/>
      <c r="Q2345" s="62"/>
    </row>
    <row r="2346" spans="1:17">
      <c r="A2346" s="62"/>
      <c r="B2346" s="62"/>
      <c r="C2346" s="62"/>
      <c r="D2346" s="62"/>
      <c r="E2346" s="62"/>
      <c r="F2346" s="62"/>
      <c r="G2346" s="62"/>
      <c r="H2346" s="62" t="str">
        <f>IF(AND('Data Export'!A2346=前十整体车型排名!$B$2,'Data Export'!B2346=前十整体车型排名!$B$3,'Data Export'!D2346&lt;&gt;""),UPPER('Data Export'!C2346)&amp;"♦"&amp;'Data Export'!D2346,"")</f>
        <v/>
      </c>
      <c r="I2346" s="63" t="str">
        <f>IF(H2346="","",IFERROR(INDEX('Data Export'!G2346:CZ2346,1,MATCH(前十整体车型排名!$B$4,'Data Export'!$G$1:$CZ$1,0)),0))</f>
        <v/>
      </c>
      <c r="J2346" s="62" t="str">
        <f>IF(H2346="","",IF(OR('Data Export'!F2346="三厢轿车",'Data Export'!F2346="掀背轿车",'Data Export'!F2346="旅行车",'Data Export'!F2346="微型车",'Data Export'!F2346="硬顶跑车",'Data Export'!F2346="敞蓬车",'Data Export'!F2346="Targa"),"轿车",IF(OR('Data Export'!F2346="小型MPV",'Data Export'!F2346="客车"),"MPV",IF('Data Export'!F2346="运动型多功能车","SUV","其他"))))</f>
        <v/>
      </c>
      <c r="K2346" s="62"/>
      <c r="L2346" s="62"/>
      <c r="M2346" s="62"/>
      <c r="N2346" s="62"/>
      <c r="O2346" s="62"/>
      <c r="P2346" s="62"/>
      <c r="Q2346" s="62"/>
    </row>
    <row r="2347" spans="1:17">
      <c r="A2347" s="62"/>
      <c r="B2347" s="62"/>
      <c r="C2347" s="62"/>
      <c r="D2347" s="62"/>
      <c r="E2347" s="62"/>
      <c r="F2347" s="62"/>
      <c r="G2347" s="62"/>
      <c r="H2347" s="62" t="str">
        <f>IF(AND('Data Export'!A2347=前十整体车型排名!$B$2,'Data Export'!B2347=前十整体车型排名!$B$3,'Data Export'!D2347&lt;&gt;""),UPPER('Data Export'!C2347)&amp;"♦"&amp;'Data Export'!D2347,"")</f>
        <v/>
      </c>
      <c r="I2347" s="63" t="str">
        <f>IF(H2347="","",IFERROR(INDEX('Data Export'!G2347:CZ2347,1,MATCH(前十整体车型排名!$B$4,'Data Export'!$G$1:$CZ$1,0)),0))</f>
        <v/>
      </c>
      <c r="J2347" s="62" t="str">
        <f>IF(H2347="","",IF(OR('Data Export'!F2347="三厢轿车",'Data Export'!F2347="掀背轿车",'Data Export'!F2347="旅行车",'Data Export'!F2347="微型车",'Data Export'!F2347="硬顶跑车",'Data Export'!F2347="敞蓬车",'Data Export'!F2347="Targa"),"轿车",IF(OR('Data Export'!F2347="小型MPV",'Data Export'!F2347="客车"),"MPV",IF('Data Export'!F2347="运动型多功能车","SUV","其他"))))</f>
        <v/>
      </c>
      <c r="K2347" s="62"/>
      <c r="L2347" s="62"/>
      <c r="M2347" s="62"/>
      <c r="N2347" s="62"/>
      <c r="O2347" s="62"/>
      <c r="P2347" s="62"/>
      <c r="Q2347" s="62"/>
    </row>
    <row r="2348" spans="1:17">
      <c r="A2348" s="62"/>
      <c r="B2348" s="62"/>
      <c r="C2348" s="62"/>
      <c r="D2348" s="62"/>
      <c r="E2348" s="62"/>
      <c r="F2348" s="62"/>
      <c r="G2348" s="62"/>
      <c r="H2348" s="62" t="str">
        <f>IF(AND('Data Export'!A2348=前十整体车型排名!$B$2,'Data Export'!B2348=前十整体车型排名!$B$3,'Data Export'!D2348&lt;&gt;""),UPPER('Data Export'!C2348)&amp;"♦"&amp;'Data Export'!D2348,"")</f>
        <v/>
      </c>
      <c r="I2348" s="63" t="str">
        <f>IF(H2348="","",IFERROR(INDEX('Data Export'!G2348:CZ2348,1,MATCH(前十整体车型排名!$B$4,'Data Export'!$G$1:$CZ$1,0)),0))</f>
        <v/>
      </c>
      <c r="J2348" s="62" t="str">
        <f>IF(H2348="","",IF(OR('Data Export'!F2348="三厢轿车",'Data Export'!F2348="掀背轿车",'Data Export'!F2348="旅行车",'Data Export'!F2348="微型车",'Data Export'!F2348="硬顶跑车",'Data Export'!F2348="敞蓬车",'Data Export'!F2348="Targa"),"轿车",IF(OR('Data Export'!F2348="小型MPV",'Data Export'!F2348="客车"),"MPV",IF('Data Export'!F2348="运动型多功能车","SUV","其他"))))</f>
        <v/>
      </c>
      <c r="K2348" s="62"/>
      <c r="L2348" s="62"/>
      <c r="M2348" s="62"/>
      <c r="N2348" s="62"/>
      <c r="O2348" s="62"/>
      <c r="P2348" s="62"/>
      <c r="Q2348" s="62"/>
    </row>
    <row r="2349" spans="1:17">
      <c r="A2349" s="62"/>
      <c r="B2349" s="62"/>
      <c r="C2349" s="62"/>
      <c r="D2349" s="62"/>
      <c r="E2349" s="62"/>
      <c r="F2349" s="62"/>
      <c r="G2349" s="62"/>
      <c r="H2349" s="62" t="str">
        <f>IF(AND('Data Export'!A2349=前十整体车型排名!$B$2,'Data Export'!B2349=前十整体车型排名!$B$3,'Data Export'!D2349&lt;&gt;""),UPPER('Data Export'!C2349)&amp;"♦"&amp;'Data Export'!D2349,"")</f>
        <v/>
      </c>
      <c r="I2349" s="63" t="str">
        <f>IF(H2349="","",IFERROR(INDEX('Data Export'!G2349:CZ2349,1,MATCH(前十整体车型排名!$B$4,'Data Export'!$G$1:$CZ$1,0)),0))</f>
        <v/>
      </c>
      <c r="J2349" s="62" t="str">
        <f>IF(H2349="","",IF(OR('Data Export'!F2349="三厢轿车",'Data Export'!F2349="掀背轿车",'Data Export'!F2349="旅行车",'Data Export'!F2349="微型车",'Data Export'!F2349="硬顶跑车",'Data Export'!F2349="敞蓬车",'Data Export'!F2349="Targa"),"轿车",IF(OR('Data Export'!F2349="小型MPV",'Data Export'!F2349="客车"),"MPV",IF('Data Export'!F2349="运动型多功能车","SUV","其他"))))</f>
        <v/>
      </c>
      <c r="K2349" s="62"/>
      <c r="L2349" s="62"/>
      <c r="M2349" s="62"/>
      <c r="N2349" s="62"/>
      <c r="O2349" s="62"/>
      <c r="P2349" s="62"/>
      <c r="Q2349" s="62"/>
    </row>
    <row r="2350" spans="1:17">
      <c r="A2350" s="62"/>
      <c r="B2350" s="62"/>
      <c r="C2350" s="62"/>
      <c r="D2350" s="62"/>
      <c r="E2350" s="62"/>
      <c r="F2350" s="62"/>
      <c r="G2350" s="62"/>
      <c r="H2350" s="62" t="str">
        <f>IF(AND('Data Export'!A2350=前十整体车型排名!$B$2,'Data Export'!B2350=前十整体车型排名!$B$3,'Data Export'!D2350&lt;&gt;""),UPPER('Data Export'!C2350)&amp;"♦"&amp;'Data Export'!D2350,"")</f>
        <v/>
      </c>
      <c r="I2350" s="63" t="str">
        <f>IF(H2350="","",IFERROR(INDEX('Data Export'!G2350:CZ2350,1,MATCH(前十整体车型排名!$B$4,'Data Export'!$G$1:$CZ$1,0)),0))</f>
        <v/>
      </c>
      <c r="J2350" s="62" t="str">
        <f>IF(H2350="","",IF(OR('Data Export'!F2350="三厢轿车",'Data Export'!F2350="掀背轿车",'Data Export'!F2350="旅行车",'Data Export'!F2350="微型车",'Data Export'!F2350="硬顶跑车",'Data Export'!F2350="敞蓬车",'Data Export'!F2350="Targa"),"轿车",IF(OR('Data Export'!F2350="小型MPV",'Data Export'!F2350="客车"),"MPV",IF('Data Export'!F2350="运动型多功能车","SUV","其他"))))</f>
        <v/>
      </c>
      <c r="K2350" s="62"/>
      <c r="L2350" s="62"/>
      <c r="M2350" s="62"/>
      <c r="N2350" s="62"/>
      <c r="O2350" s="62"/>
      <c r="P2350" s="62"/>
      <c r="Q2350" s="62"/>
    </row>
    <row r="2351" spans="1:17">
      <c r="A2351" s="62"/>
      <c r="B2351" s="62"/>
      <c r="C2351" s="62"/>
      <c r="D2351" s="62"/>
      <c r="E2351" s="62"/>
      <c r="F2351" s="62"/>
      <c r="G2351" s="62"/>
      <c r="H2351" s="62" t="str">
        <f>IF(AND('Data Export'!A2351=前十整体车型排名!$B$2,'Data Export'!B2351=前十整体车型排名!$B$3,'Data Export'!D2351&lt;&gt;""),UPPER('Data Export'!C2351)&amp;"♦"&amp;'Data Export'!D2351,"")</f>
        <v/>
      </c>
      <c r="I2351" s="63" t="str">
        <f>IF(H2351="","",IFERROR(INDEX('Data Export'!G2351:CZ2351,1,MATCH(前十整体车型排名!$B$4,'Data Export'!$G$1:$CZ$1,0)),0))</f>
        <v/>
      </c>
      <c r="J2351" s="62" t="str">
        <f>IF(H2351="","",IF(OR('Data Export'!F2351="三厢轿车",'Data Export'!F2351="掀背轿车",'Data Export'!F2351="旅行车",'Data Export'!F2351="微型车",'Data Export'!F2351="硬顶跑车",'Data Export'!F2351="敞蓬车",'Data Export'!F2351="Targa"),"轿车",IF(OR('Data Export'!F2351="小型MPV",'Data Export'!F2351="客车"),"MPV",IF('Data Export'!F2351="运动型多功能车","SUV","其他"))))</f>
        <v/>
      </c>
      <c r="K2351" s="62"/>
      <c r="L2351" s="62"/>
      <c r="M2351" s="62"/>
      <c r="N2351" s="62"/>
      <c r="O2351" s="62"/>
      <c r="P2351" s="62"/>
      <c r="Q2351" s="62"/>
    </row>
    <row r="2352" spans="1:17">
      <c r="A2352" s="62"/>
      <c r="B2352" s="62"/>
      <c r="C2352" s="62"/>
      <c r="D2352" s="62"/>
      <c r="E2352" s="62"/>
      <c r="F2352" s="62"/>
      <c r="G2352" s="62"/>
      <c r="H2352" s="62" t="str">
        <f>IF(AND('Data Export'!A2352=前十整体车型排名!$B$2,'Data Export'!B2352=前十整体车型排名!$B$3,'Data Export'!D2352&lt;&gt;""),UPPER('Data Export'!C2352)&amp;"♦"&amp;'Data Export'!D2352,"")</f>
        <v/>
      </c>
      <c r="I2352" s="63" t="str">
        <f>IF(H2352="","",IFERROR(INDEX('Data Export'!G2352:CZ2352,1,MATCH(前十整体车型排名!$B$4,'Data Export'!$G$1:$CZ$1,0)),0))</f>
        <v/>
      </c>
      <c r="J2352" s="62" t="str">
        <f>IF(H2352="","",IF(OR('Data Export'!F2352="三厢轿车",'Data Export'!F2352="掀背轿车",'Data Export'!F2352="旅行车",'Data Export'!F2352="微型车",'Data Export'!F2352="硬顶跑车",'Data Export'!F2352="敞蓬车",'Data Export'!F2352="Targa"),"轿车",IF(OR('Data Export'!F2352="小型MPV",'Data Export'!F2352="客车"),"MPV",IF('Data Export'!F2352="运动型多功能车","SUV","其他"))))</f>
        <v/>
      </c>
      <c r="K2352" s="62"/>
      <c r="L2352" s="62"/>
      <c r="M2352" s="62"/>
      <c r="N2352" s="62"/>
      <c r="O2352" s="62"/>
      <c r="P2352" s="62"/>
      <c r="Q2352" s="62"/>
    </row>
    <row r="2353" spans="1:17">
      <c r="A2353" s="62"/>
      <c r="B2353" s="62"/>
      <c r="C2353" s="62"/>
      <c r="D2353" s="62"/>
      <c r="E2353" s="62"/>
      <c r="F2353" s="62"/>
      <c r="G2353" s="62"/>
      <c r="H2353" s="62" t="str">
        <f>IF(AND('Data Export'!A2353=前十整体车型排名!$B$2,'Data Export'!B2353=前十整体车型排名!$B$3,'Data Export'!D2353&lt;&gt;""),UPPER('Data Export'!C2353)&amp;"♦"&amp;'Data Export'!D2353,"")</f>
        <v/>
      </c>
      <c r="I2353" s="63" t="str">
        <f>IF(H2353="","",IFERROR(INDEX('Data Export'!G2353:CZ2353,1,MATCH(前十整体车型排名!$B$4,'Data Export'!$G$1:$CZ$1,0)),0))</f>
        <v/>
      </c>
      <c r="J2353" s="62" t="str">
        <f>IF(H2353="","",IF(OR('Data Export'!F2353="三厢轿车",'Data Export'!F2353="掀背轿车",'Data Export'!F2353="旅行车",'Data Export'!F2353="微型车",'Data Export'!F2353="硬顶跑车",'Data Export'!F2353="敞蓬车",'Data Export'!F2353="Targa"),"轿车",IF(OR('Data Export'!F2353="小型MPV",'Data Export'!F2353="客车"),"MPV",IF('Data Export'!F2353="运动型多功能车","SUV","其他"))))</f>
        <v/>
      </c>
      <c r="K2353" s="62"/>
      <c r="L2353" s="62"/>
      <c r="M2353" s="62"/>
      <c r="N2353" s="62"/>
      <c r="O2353" s="62"/>
      <c r="P2353" s="62"/>
      <c r="Q2353" s="62"/>
    </row>
    <row r="2354" spans="1:17">
      <c r="A2354" s="62"/>
      <c r="B2354" s="62"/>
      <c r="C2354" s="62"/>
      <c r="D2354" s="62"/>
      <c r="E2354" s="62"/>
      <c r="F2354" s="62"/>
      <c r="G2354" s="62"/>
      <c r="H2354" s="62" t="str">
        <f>IF(AND('Data Export'!A2354=前十整体车型排名!$B$2,'Data Export'!B2354=前十整体车型排名!$B$3,'Data Export'!D2354&lt;&gt;""),UPPER('Data Export'!C2354)&amp;"♦"&amp;'Data Export'!D2354,"")</f>
        <v/>
      </c>
      <c r="I2354" s="63" t="str">
        <f>IF(H2354="","",IFERROR(INDEX('Data Export'!G2354:CZ2354,1,MATCH(前十整体车型排名!$B$4,'Data Export'!$G$1:$CZ$1,0)),0))</f>
        <v/>
      </c>
      <c r="J2354" s="62" t="str">
        <f>IF(H2354="","",IF(OR('Data Export'!F2354="三厢轿车",'Data Export'!F2354="掀背轿车",'Data Export'!F2354="旅行车",'Data Export'!F2354="微型车",'Data Export'!F2354="硬顶跑车",'Data Export'!F2354="敞蓬车",'Data Export'!F2354="Targa"),"轿车",IF(OR('Data Export'!F2354="小型MPV",'Data Export'!F2354="客车"),"MPV",IF('Data Export'!F2354="运动型多功能车","SUV","其他"))))</f>
        <v/>
      </c>
      <c r="K2354" s="62"/>
      <c r="L2354" s="62"/>
      <c r="M2354" s="62"/>
      <c r="N2354" s="62"/>
      <c r="O2354" s="62"/>
      <c r="P2354" s="62"/>
      <c r="Q2354" s="62"/>
    </row>
    <row r="2355" spans="1:17">
      <c r="A2355" s="62"/>
      <c r="B2355" s="62"/>
      <c r="C2355" s="62"/>
      <c r="D2355" s="62"/>
      <c r="E2355" s="62"/>
      <c r="F2355" s="62"/>
      <c r="G2355" s="62"/>
      <c r="H2355" s="62" t="str">
        <f>IF(AND('Data Export'!A2355=前十整体车型排名!$B$2,'Data Export'!B2355=前十整体车型排名!$B$3,'Data Export'!D2355&lt;&gt;""),UPPER('Data Export'!C2355)&amp;"♦"&amp;'Data Export'!D2355,"")</f>
        <v/>
      </c>
      <c r="I2355" s="63" t="str">
        <f>IF(H2355="","",IFERROR(INDEX('Data Export'!G2355:CZ2355,1,MATCH(前十整体车型排名!$B$4,'Data Export'!$G$1:$CZ$1,0)),0))</f>
        <v/>
      </c>
      <c r="J2355" s="62" t="str">
        <f>IF(H2355="","",IF(OR('Data Export'!F2355="三厢轿车",'Data Export'!F2355="掀背轿车",'Data Export'!F2355="旅行车",'Data Export'!F2355="微型车",'Data Export'!F2355="硬顶跑车",'Data Export'!F2355="敞蓬车",'Data Export'!F2355="Targa"),"轿车",IF(OR('Data Export'!F2355="小型MPV",'Data Export'!F2355="客车"),"MPV",IF('Data Export'!F2355="运动型多功能车","SUV","其他"))))</f>
        <v/>
      </c>
      <c r="K2355" s="62"/>
      <c r="L2355" s="62"/>
      <c r="M2355" s="62"/>
      <c r="N2355" s="62"/>
      <c r="O2355" s="62"/>
      <c r="P2355" s="62"/>
      <c r="Q2355" s="62"/>
    </row>
    <row r="2356" spans="1:17">
      <c r="A2356" s="62"/>
      <c r="B2356" s="62"/>
      <c r="C2356" s="62"/>
      <c r="D2356" s="62"/>
      <c r="E2356" s="62"/>
      <c r="F2356" s="62"/>
      <c r="G2356" s="62"/>
      <c r="H2356" s="62" t="str">
        <f>IF(AND('Data Export'!A2356=前十整体车型排名!$B$2,'Data Export'!B2356=前十整体车型排名!$B$3,'Data Export'!D2356&lt;&gt;""),UPPER('Data Export'!C2356)&amp;"♦"&amp;'Data Export'!D2356,"")</f>
        <v/>
      </c>
      <c r="I2356" s="63" t="str">
        <f>IF(H2356="","",IFERROR(INDEX('Data Export'!G2356:CZ2356,1,MATCH(前十整体车型排名!$B$4,'Data Export'!$G$1:$CZ$1,0)),0))</f>
        <v/>
      </c>
      <c r="J2356" s="62" t="str">
        <f>IF(H2356="","",IF(OR('Data Export'!F2356="三厢轿车",'Data Export'!F2356="掀背轿车",'Data Export'!F2356="旅行车",'Data Export'!F2356="微型车",'Data Export'!F2356="硬顶跑车",'Data Export'!F2356="敞蓬车",'Data Export'!F2356="Targa"),"轿车",IF(OR('Data Export'!F2356="小型MPV",'Data Export'!F2356="客车"),"MPV",IF('Data Export'!F2356="运动型多功能车","SUV","其他"))))</f>
        <v/>
      </c>
      <c r="K2356" s="62"/>
      <c r="L2356" s="62"/>
      <c r="M2356" s="62"/>
      <c r="N2356" s="62"/>
      <c r="O2356" s="62"/>
      <c r="P2356" s="62"/>
      <c r="Q2356" s="62"/>
    </row>
    <row r="2357" spans="1:17">
      <c r="A2357" s="62"/>
      <c r="B2357" s="62"/>
      <c r="C2357" s="62"/>
      <c r="D2357" s="62"/>
      <c r="E2357" s="62"/>
      <c r="F2357" s="62"/>
      <c r="G2357" s="62"/>
      <c r="H2357" s="62" t="str">
        <f>IF(AND('Data Export'!A2357=前十整体车型排名!$B$2,'Data Export'!B2357=前十整体车型排名!$B$3,'Data Export'!D2357&lt;&gt;""),UPPER('Data Export'!C2357)&amp;"♦"&amp;'Data Export'!D2357,"")</f>
        <v/>
      </c>
      <c r="I2357" s="63" t="str">
        <f>IF(H2357="","",IFERROR(INDEX('Data Export'!G2357:CZ2357,1,MATCH(前十整体车型排名!$B$4,'Data Export'!$G$1:$CZ$1,0)),0))</f>
        <v/>
      </c>
      <c r="J2357" s="62" t="str">
        <f>IF(H2357="","",IF(OR('Data Export'!F2357="三厢轿车",'Data Export'!F2357="掀背轿车",'Data Export'!F2357="旅行车",'Data Export'!F2357="微型车",'Data Export'!F2357="硬顶跑车",'Data Export'!F2357="敞蓬车",'Data Export'!F2357="Targa"),"轿车",IF(OR('Data Export'!F2357="小型MPV",'Data Export'!F2357="客车"),"MPV",IF('Data Export'!F2357="运动型多功能车","SUV","其他"))))</f>
        <v/>
      </c>
      <c r="K2357" s="62"/>
      <c r="L2357" s="62"/>
      <c r="M2357" s="62"/>
      <c r="N2357" s="62"/>
      <c r="O2357" s="62"/>
      <c r="P2357" s="62"/>
      <c r="Q2357" s="62"/>
    </row>
    <row r="2358" spans="1:17">
      <c r="A2358" s="62"/>
      <c r="B2358" s="62"/>
      <c r="C2358" s="62"/>
      <c r="D2358" s="62"/>
      <c r="E2358" s="62"/>
      <c r="F2358" s="62"/>
      <c r="G2358" s="62"/>
      <c r="H2358" s="62" t="str">
        <f>IF(AND('Data Export'!A2358=前十整体车型排名!$B$2,'Data Export'!B2358=前十整体车型排名!$B$3,'Data Export'!D2358&lt;&gt;""),UPPER('Data Export'!C2358)&amp;"♦"&amp;'Data Export'!D2358,"")</f>
        <v/>
      </c>
      <c r="I2358" s="63" t="str">
        <f>IF(H2358="","",IFERROR(INDEX('Data Export'!G2358:CZ2358,1,MATCH(前十整体车型排名!$B$4,'Data Export'!$G$1:$CZ$1,0)),0))</f>
        <v/>
      </c>
      <c r="J2358" s="62" t="str">
        <f>IF(H2358="","",IF(OR('Data Export'!F2358="三厢轿车",'Data Export'!F2358="掀背轿车",'Data Export'!F2358="旅行车",'Data Export'!F2358="微型车",'Data Export'!F2358="硬顶跑车",'Data Export'!F2358="敞蓬车",'Data Export'!F2358="Targa"),"轿车",IF(OR('Data Export'!F2358="小型MPV",'Data Export'!F2358="客车"),"MPV",IF('Data Export'!F2358="运动型多功能车","SUV","其他"))))</f>
        <v/>
      </c>
      <c r="K2358" s="62"/>
      <c r="L2358" s="62"/>
      <c r="M2358" s="62"/>
      <c r="N2358" s="62"/>
      <c r="O2358" s="62"/>
      <c r="P2358" s="62"/>
      <c r="Q2358" s="62"/>
    </row>
    <row r="2359" spans="1:17">
      <c r="A2359" s="62"/>
      <c r="B2359" s="62"/>
      <c r="C2359" s="62"/>
      <c r="D2359" s="62"/>
      <c r="E2359" s="62"/>
      <c r="F2359" s="62"/>
      <c r="G2359" s="62"/>
      <c r="H2359" s="62" t="str">
        <f>IF(AND('Data Export'!A2359=前十整体车型排名!$B$2,'Data Export'!B2359=前十整体车型排名!$B$3,'Data Export'!D2359&lt;&gt;""),UPPER('Data Export'!C2359)&amp;"♦"&amp;'Data Export'!D2359,"")</f>
        <v/>
      </c>
      <c r="I2359" s="63" t="str">
        <f>IF(H2359="","",IFERROR(INDEX('Data Export'!G2359:CZ2359,1,MATCH(前十整体车型排名!$B$4,'Data Export'!$G$1:$CZ$1,0)),0))</f>
        <v/>
      </c>
      <c r="J2359" s="62" t="str">
        <f>IF(H2359="","",IF(OR('Data Export'!F2359="三厢轿车",'Data Export'!F2359="掀背轿车",'Data Export'!F2359="旅行车",'Data Export'!F2359="微型车",'Data Export'!F2359="硬顶跑车",'Data Export'!F2359="敞蓬车",'Data Export'!F2359="Targa"),"轿车",IF(OR('Data Export'!F2359="小型MPV",'Data Export'!F2359="客车"),"MPV",IF('Data Export'!F2359="运动型多功能车","SUV","其他"))))</f>
        <v/>
      </c>
      <c r="K2359" s="62"/>
      <c r="L2359" s="62"/>
      <c r="M2359" s="62"/>
      <c r="N2359" s="62"/>
      <c r="O2359" s="62"/>
      <c r="P2359" s="62"/>
      <c r="Q2359" s="62"/>
    </row>
    <row r="2360" spans="1:17">
      <c r="A2360" s="62"/>
      <c r="B2360" s="62"/>
      <c r="C2360" s="62"/>
      <c r="D2360" s="62"/>
      <c r="E2360" s="62"/>
      <c r="F2360" s="62"/>
      <c r="G2360" s="62"/>
      <c r="H2360" s="62" t="str">
        <f>IF(AND('Data Export'!A2360=前十整体车型排名!$B$2,'Data Export'!B2360=前十整体车型排名!$B$3,'Data Export'!D2360&lt;&gt;""),UPPER('Data Export'!C2360)&amp;"♦"&amp;'Data Export'!D2360,"")</f>
        <v/>
      </c>
      <c r="I2360" s="63" t="str">
        <f>IF(H2360="","",IFERROR(INDEX('Data Export'!G2360:CZ2360,1,MATCH(前十整体车型排名!$B$4,'Data Export'!$G$1:$CZ$1,0)),0))</f>
        <v/>
      </c>
      <c r="J2360" s="62" t="str">
        <f>IF(H2360="","",IF(OR('Data Export'!F2360="三厢轿车",'Data Export'!F2360="掀背轿车",'Data Export'!F2360="旅行车",'Data Export'!F2360="微型车",'Data Export'!F2360="硬顶跑车",'Data Export'!F2360="敞蓬车",'Data Export'!F2360="Targa"),"轿车",IF(OR('Data Export'!F2360="小型MPV",'Data Export'!F2360="客车"),"MPV",IF('Data Export'!F2360="运动型多功能车","SUV","其他"))))</f>
        <v/>
      </c>
      <c r="K2360" s="62"/>
      <c r="L2360" s="62"/>
      <c r="M2360" s="62"/>
      <c r="N2360" s="62"/>
      <c r="O2360" s="62"/>
      <c r="P2360" s="62"/>
      <c r="Q2360" s="62"/>
    </row>
    <row r="2361" spans="1:17">
      <c r="A2361" s="62"/>
      <c r="B2361" s="62"/>
      <c r="C2361" s="62"/>
      <c r="D2361" s="62"/>
      <c r="E2361" s="62"/>
      <c r="F2361" s="62"/>
      <c r="G2361" s="62"/>
      <c r="H2361" s="62" t="str">
        <f>IF(AND('Data Export'!A2361=前十整体车型排名!$B$2,'Data Export'!B2361=前十整体车型排名!$B$3,'Data Export'!D2361&lt;&gt;""),UPPER('Data Export'!C2361)&amp;"♦"&amp;'Data Export'!D2361,"")</f>
        <v/>
      </c>
      <c r="I2361" s="63" t="str">
        <f>IF(H2361="","",IFERROR(INDEX('Data Export'!G2361:CZ2361,1,MATCH(前十整体车型排名!$B$4,'Data Export'!$G$1:$CZ$1,0)),0))</f>
        <v/>
      </c>
      <c r="J2361" s="62" t="str">
        <f>IF(H2361="","",IF(OR('Data Export'!F2361="三厢轿车",'Data Export'!F2361="掀背轿车",'Data Export'!F2361="旅行车",'Data Export'!F2361="微型车",'Data Export'!F2361="硬顶跑车",'Data Export'!F2361="敞蓬车",'Data Export'!F2361="Targa"),"轿车",IF(OR('Data Export'!F2361="小型MPV",'Data Export'!F2361="客车"),"MPV",IF('Data Export'!F2361="运动型多功能车","SUV","其他"))))</f>
        <v/>
      </c>
      <c r="K2361" s="62"/>
      <c r="L2361" s="62"/>
      <c r="M2361" s="62"/>
      <c r="N2361" s="62"/>
      <c r="O2361" s="62"/>
      <c r="P2361" s="62"/>
      <c r="Q2361" s="62"/>
    </row>
    <row r="2362" spans="1:17">
      <c r="A2362" s="62"/>
      <c r="B2362" s="62"/>
      <c r="C2362" s="62"/>
      <c r="D2362" s="62"/>
      <c r="E2362" s="62"/>
      <c r="F2362" s="62"/>
      <c r="G2362" s="62"/>
      <c r="H2362" s="62" t="str">
        <f>IF(AND('Data Export'!A2362=前十整体车型排名!$B$2,'Data Export'!B2362=前十整体车型排名!$B$3,'Data Export'!D2362&lt;&gt;""),UPPER('Data Export'!C2362)&amp;"♦"&amp;'Data Export'!D2362,"")</f>
        <v/>
      </c>
      <c r="I2362" s="63" t="str">
        <f>IF(H2362="","",IFERROR(INDEX('Data Export'!G2362:CZ2362,1,MATCH(前十整体车型排名!$B$4,'Data Export'!$G$1:$CZ$1,0)),0))</f>
        <v/>
      </c>
      <c r="J2362" s="62" t="str">
        <f>IF(H2362="","",IF(OR('Data Export'!F2362="三厢轿车",'Data Export'!F2362="掀背轿车",'Data Export'!F2362="旅行车",'Data Export'!F2362="微型车",'Data Export'!F2362="硬顶跑车",'Data Export'!F2362="敞蓬车",'Data Export'!F2362="Targa"),"轿车",IF(OR('Data Export'!F2362="小型MPV",'Data Export'!F2362="客车"),"MPV",IF('Data Export'!F2362="运动型多功能车","SUV","其他"))))</f>
        <v/>
      </c>
      <c r="K2362" s="62"/>
      <c r="L2362" s="62"/>
      <c r="M2362" s="62"/>
      <c r="N2362" s="62"/>
      <c r="O2362" s="62"/>
      <c r="P2362" s="62"/>
      <c r="Q2362" s="62"/>
    </row>
    <row r="2363" spans="1:17">
      <c r="A2363" s="62"/>
      <c r="B2363" s="62"/>
      <c r="C2363" s="62"/>
      <c r="D2363" s="62"/>
      <c r="E2363" s="62"/>
      <c r="F2363" s="62"/>
      <c r="G2363" s="62"/>
      <c r="H2363" s="62" t="str">
        <f>IF(AND('Data Export'!A2363=前十整体车型排名!$B$2,'Data Export'!B2363=前十整体车型排名!$B$3,'Data Export'!D2363&lt;&gt;""),UPPER('Data Export'!C2363)&amp;"♦"&amp;'Data Export'!D2363,"")</f>
        <v/>
      </c>
      <c r="I2363" s="63" t="str">
        <f>IF(H2363="","",IFERROR(INDEX('Data Export'!G2363:CZ2363,1,MATCH(前十整体车型排名!$B$4,'Data Export'!$G$1:$CZ$1,0)),0))</f>
        <v/>
      </c>
      <c r="J2363" s="62" t="str">
        <f>IF(H2363="","",IF(OR('Data Export'!F2363="三厢轿车",'Data Export'!F2363="掀背轿车",'Data Export'!F2363="旅行车",'Data Export'!F2363="微型车",'Data Export'!F2363="硬顶跑车",'Data Export'!F2363="敞蓬车",'Data Export'!F2363="Targa"),"轿车",IF(OR('Data Export'!F2363="小型MPV",'Data Export'!F2363="客车"),"MPV",IF('Data Export'!F2363="运动型多功能车","SUV","其他"))))</f>
        <v/>
      </c>
      <c r="K2363" s="62"/>
      <c r="L2363" s="62"/>
      <c r="M2363" s="62"/>
      <c r="N2363" s="62"/>
      <c r="O2363" s="62"/>
      <c r="P2363" s="62"/>
      <c r="Q2363" s="62"/>
    </row>
    <row r="2364" spans="1:17">
      <c r="A2364" s="62"/>
      <c r="B2364" s="62"/>
      <c r="C2364" s="62"/>
      <c r="D2364" s="62"/>
      <c r="E2364" s="62"/>
      <c r="F2364" s="62"/>
      <c r="G2364" s="62"/>
      <c r="H2364" s="62" t="str">
        <f>IF(AND('Data Export'!A2364=前十整体车型排名!$B$2,'Data Export'!B2364=前十整体车型排名!$B$3,'Data Export'!D2364&lt;&gt;""),UPPER('Data Export'!C2364)&amp;"♦"&amp;'Data Export'!D2364,"")</f>
        <v/>
      </c>
      <c r="I2364" s="63" t="str">
        <f>IF(H2364="","",IFERROR(INDEX('Data Export'!G2364:CZ2364,1,MATCH(前十整体车型排名!$B$4,'Data Export'!$G$1:$CZ$1,0)),0))</f>
        <v/>
      </c>
      <c r="J2364" s="62" t="str">
        <f>IF(H2364="","",IF(OR('Data Export'!F2364="三厢轿车",'Data Export'!F2364="掀背轿车",'Data Export'!F2364="旅行车",'Data Export'!F2364="微型车",'Data Export'!F2364="硬顶跑车",'Data Export'!F2364="敞蓬车",'Data Export'!F2364="Targa"),"轿车",IF(OR('Data Export'!F2364="小型MPV",'Data Export'!F2364="客车"),"MPV",IF('Data Export'!F2364="运动型多功能车","SUV","其他"))))</f>
        <v/>
      </c>
      <c r="K2364" s="62"/>
      <c r="L2364" s="62"/>
      <c r="M2364" s="62"/>
      <c r="N2364" s="62"/>
      <c r="O2364" s="62"/>
      <c r="P2364" s="62"/>
      <c r="Q2364" s="62"/>
    </row>
    <row r="2365" spans="1:17">
      <c r="A2365" s="62"/>
      <c r="B2365" s="62"/>
      <c r="C2365" s="62"/>
      <c r="D2365" s="62"/>
      <c r="E2365" s="62"/>
      <c r="F2365" s="62"/>
      <c r="G2365" s="62"/>
      <c r="H2365" s="62" t="str">
        <f>IF(AND('Data Export'!A2365=前十整体车型排名!$B$2,'Data Export'!B2365=前十整体车型排名!$B$3,'Data Export'!D2365&lt;&gt;""),UPPER('Data Export'!C2365)&amp;"♦"&amp;'Data Export'!D2365,"")</f>
        <v/>
      </c>
      <c r="I2365" s="63" t="str">
        <f>IF(H2365="","",IFERROR(INDEX('Data Export'!G2365:CZ2365,1,MATCH(前十整体车型排名!$B$4,'Data Export'!$G$1:$CZ$1,0)),0))</f>
        <v/>
      </c>
      <c r="J2365" s="62" t="str">
        <f>IF(H2365="","",IF(OR('Data Export'!F2365="三厢轿车",'Data Export'!F2365="掀背轿车",'Data Export'!F2365="旅行车",'Data Export'!F2365="微型车",'Data Export'!F2365="硬顶跑车",'Data Export'!F2365="敞蓬车",'Data Export'!F2365="Targa"),"轿车",IF(OR('Data Export'!F2365="小型MPV",'Data Export'!F2365="客车"),"MPV",IF('Data Export'!F2365="运动型多功能车","SUV","其他"))))</f>
        <v/>
      </c>
      <c r="K2365" s="62"/>
      <c r="L2365" s="62"/>
      <c r="M2365" s="62"/>
      <c r="N2365" s="62"/>
      <c r="O2365" s="62"/>
      <c r="P2365" s="62"/>
      <c r="Q2365" s="62"/>
    </row>
    <row r="2366" spans="1:17">
      <c r="A2366" s="62"/>
      <c r="B2366" s="62"/>
      <c r="C2366" s="62"/>
      <c r="D2366" s="62"/>
      <c r="E2366" s="62"/>
      <c r="F2366" s="62"/>
      <c r="G2366" s="62"/>
      <c r="H2366" s="62" t="str">
        <f>IF(AND('Data Export'!A2366=前十整体车型排名!$B$2,'Data Export'!B2366=前十整体车型排名!$B$3,'Data Export'!D2366&lt;&gt;""),UPPER('Data Export'!C2366)&amp;"♦"&amp;'Data Export'!D2366,"")</f>
        <v/>
      </c>
      <c r="I2366" s="63" t="str">
        <f>IF(H2366="","",IFERROR(INDEX('Data Export'!G2366:CZ2366,1,MATCH(前十整体车型排名!$B$4,'Data Export'!$G$1:$CZ$1,0)),0))</f>
        <v/>
      </c>
      <c r="J2366" s="62" t="str">
        <f>IF(H2366="","",IF(OR('Data Export'!F2366="三厢轿车",'Data Export'!F2366="掀背轿车",'Data Export'!F2366="旅行车",'Data Export'!F2366="微型车",'Data Export'!F2366="硬顶跑车",'Data Export'!F2366="敞蓬车",'Data Export'!F2366="Targa"),"轿车",IF(OR('Data Export'!F2366="小型MPV",'Data Export'!F2366="客车"),"MPV",IF('Data Export'!F2366="运动型多功能车","SUV","其他"))))</f>
        <v/>
      </c>
      <c r="K2366" s="62"/>
      <c r="L2366" s="62"/>
      <c r="M2366" s="62"/>
      <c r="N2366" s="62"/>
      <c r="O2366" s="62"/>
      <c r="P2366" s="62"/>
      <c r="Q2366" s="62"/>
    </row>
    <row r="2367" spans="1:17">
      <c r="A2367" s="62"/>
      <c r="B2367" s="62"/>
      <c r="C2367" s="62"/>
      <c r="D2367" s="62"/>
      <c r="E2367" s="62"/>
      <c r="F2367" s="62"/>
      <c r="G2367" s="62"/>
      <c r="H2367" s="62" t="str">
        <f>IF(AND('Data Export'!A2367=前十整体车型排名!$B$2,'Data Export'!B2367=前十整体车型排名!$B$3,'Data Export'!D2367&lt;&gt;""),UPPER('Data Export'!C2367)&amp;"♦"&amp;'Data Export'!D2367,"")</f>
        <v/>
      </c>
      <c r="I2367" s="63" t="str">
        <f>IF(H2367="","",IFERROR(INDEX('Data Export'!G2367:CZ2367,1,MATCH(前十整体车型排名!$B$4,'Data Export'!$G$1:$CZ$1,0)),0))</f>
        <v/>
      </c>
      <c r="J2367" s="62" t="str">
        <f>IF(H2367="","",IF(OR('Data Export'!F2367="三厢轿车",'Data Export'!F2367="掀背轿车",'Data Export'!F2367="旅行车",'Data Export'!F2367="微型车",'Data Export'!F2367="硬顶跑车",'Data Export'!F2367="敞蓬车",'Data Export'!F2367="Targa"),"轿车",IF(OR('Data Export'!F2367="小型MPV",'Data Export'!F2367="客车"),"MPV",IF('Data Export'!F2367="运动型多功能车","SUV","其他"))))</f>
        <v/>
      </c>
      <c r="K2367" s="62"/>
      <c r="L2367" s="62"/>
      <c r="M2367" s="62"/>
      <c r="N2367" s="62"/>
      <c r="O2367" s="62"/>
      <c r="P2367" s="62"/>
      <c r="Q2367" s="62"/>
    </row>
    <row r="2368" spans="1:17">
      <c r="A2368" s="62"/>
      <c r="B2368" s="62"/>
      <c r="C2368" s="62"/>
      <c r="D2368" s="62"/>
      <c r="E2368" s="62"/>
      <c r="F2368" s="62"/>
      <c r="G2368" s="62"/>
      <c r="H2368" s="62" t="str">
        <f>IF(AND('Data Export'!A2368=前十整体车型排名!$B$2,'Data Export'!B2368=前十整体车型排名!$B$3,'Data Export'!D2368&lt;&gt;""),UPPER('Data Export'!C2368)&amp;"♦"&amp;'Data Export'!D2368,"")</f>
        <v/>
      </c>
      <c r="I2368" s="63" t="str">
        <f>IF(H2368="","",IFERROR(INDEX('Data Export'!G2368:CZ2368,1,MATCH(前十整体车型排名!$B$4,'Data Export'!$G$1:$CZ$1,0)),0))</f>
        <v/>
      </c>
      <c r="J2368" s="62" t="str">
        <f>IF(H2368="","",IF(OR('Data Export'!F2368="三厢轿车",'Data Export'!F2368="掀背轿车",'Data Export'!F2368="旅行车",'Data Export'!F2368="微型车",'Data Export'!F2368="硬顶跑车",'Data Export'!F2368="敞蓬车",'Data Export'!F2368="Targa"),"轿车",IF(OR('Data Export'!F2368="小型MPV",'Data Export'!F2368="客车"),"MPV",IF('Data Export'!F2368="运动型多功能车","SUV","其他"))))</f>
        <v/>
      </c>
      <c r="K2368" s="62"/>
      <c r="L2368" s="62"/>
      <c r="M2368" s="62"/>
      <c r="N2368" s="62"/>
      <c r="O2368" s="62"/>
      <c r="P2368" s="62"/>
      <c r="Q2368" s="62"/>
    </row>
    <row r="2369" spans="1:17">
      <c r="A2369" s="62"/>
      <c r="B2369" s="62"/>
      <c r="C2369" s="62"/>
      <c r="D2369" s="62"/>
      <c r="E2369" s="62"/>
      <c r="F2369" s="62"/>
      <c r="G2369" s="62"/>
      <c r="H2369" s="62" t="str">
        <f>IF(AND('Data Export'!A2369=前十整体车型排名!$B$2,'Data Export'!B2369=前十整体车型排名!$B$3,'Data Export'!D2369&lt;&gt;""),UPPER('Data Export'!C2369)&amp;"♦"&amp;'Data Export'!D2369,"")</f>
        <v/>
      </c>
      <c r="I2369" s="63" t="str">
        <f>IF(H2369="","",IFERROR(INDEX('Data Export'!G2369:CZ2369,1,MATCH(前十整体车型排名!$B$4,'Data Export'!$G$1:$CZ$1,0)),0))</f>
        <v/>
      </c>
      <c r="J2369" s="62" t="str">
        <f>IF(H2369="","",IF(OR('Data Export'!F2369="三厢轿车",'Data Export'!F2369="掀背轿车",'Data Export'!F2369="旅行车",'Data Export'!F2369="微型车",'Data Export'!F2369="硬顶跑车",'Data Export'!F2369="敞蓬车",'Data Export'!F2369="Targa"),"轿车",IF(OR('Data Export'!F2369="小型MPV",'Data Export'!F2369="客车"),"MPV",IF('Data Export'!F2369="运动型多功能车","SUV","其他"))))</f>
        <v/>
      </c>
      <c r="K2369" s="62"/>
      <c r="L2369" s="62"/>
      <c r="M2369" s="62"/>
      <c r="N2369" s="62"/>
      <c r="O2369" s="62"/>
      <c r="P2369" s="62"/>
      <c r="Q2369" s="62"/>
    </row>
    <row r="2370" spans="1:17">
      <c r="A2370" s="62"/>
      <c r="B2370" s="62"/>
      <c r="C2370" s="62"/>
      <c r="D2370" s="62"/>
      <c r="E2370" s="62"/>
      <c r="F2370" s="62"/>
      <c r="G2370" s="62"/>
      <c r="H2370" s="62" t="str">
        <f>IF(AND('Data Export'!A2370=前十整体车型排名!$B$2,'Data Export'!B2370=前十整体车型排名!$B$3,'Data Export'!D2370&lt;&gt;""),UPPER('Data Export'!C2370)&amp;"♦"&amp;'Data Export'!D2370,"")</f>
        <v/>
      </c>
      <c r="I2370" s="63" t="str">
        <f>IF(H2370="","",IFERROR(INDEX('Data Export'!G2370:CZ2370,1,MATCH(前十整体车型排名!$B$4,'Data Export'!$G$1:$CZ$1,0)),0))</f>
        <v/>
      </c>
      <c r="J2370" s="62" t="str">
        <f>IF(H2370="","",IF(OR('Data Export'!F2370="三厢轿车",'Data Export'!F2370="掀背轿车",'Data Export'!F2370="旅行车",'Data Export'!F2370="微型车",'Data Export'!F2370="硬顶跑车",'Data Export'!F2370="敞蓬车",'Data Export'!F2370="Targa"),"轿车",IF(OR('Data Export'!F2370="小型MPV",'Data Export'!F2370="客车"),"MPV",IF('Data Export'!F2370="运动型多功能车","SUV","其他"))))</f>
        <v/>
      </c>
      <c r="K2370" s="62"/>
      <c r="L2370" s="62"/>
      <c r="M2370" s="62"/>
      <c r="N2370" s="62"/>
      <c r="O2370" s="62"/>
      <c r="P2370" s="62"/>
      <c r="Q2370" s="62"/>
    </row>
    <row r="2371" spans="1:17">
      <c r="A2371" s="62"/>
      <c r="B2371" s="62"/>
      <c r="C2371" s="62"/>
      <c r="D2371" s="62"/>
      <c r="E2371" s="62"/>
      <c r="F2371" s="62"/>
      <c r="G2371" s="62"/>
      <c r="H2371" s="62" t="str">
        <f>IF(AND('Data Export'!A2371=前十整体车型排名!$B$2,'Data Export'!B2371=前十整体车型排名!$B$3,'Data Export'!D2371&lt;&gt;""),UPPER('Data Export'!C2371)&amp;"♦"&amp;'Data Export'!D2371,"")</f>
        <v/>
      </c>
      <c r="I2371" s="63" t="str">
        <f>IF(H2371="","",IFERROR(INDEX('Data Export'!G2371:CZ2371,1,MATCH(前十整体车型排名!$B$4,'Data Export'!$G$1:$CZ$1,0)),0))</f>
        <v/>
      </c>
      <c r="J2371" s="62" t="str">
        <f>IF(H2371="","",IF(OR('Data Export'!F2371="三厢轿车",'Data Export'!F2371="掀背轿车",'Data Export'!F2371="旅行车",'Data Export'!F2371="微型车",'Data Export'!F2371="硬顶跑车",'Data Export'!F2371="敞蓬车",'Data Export'!F2371="Targa"),"轿车",IF(OR('Data Export'!F2371="小型MPV",'Data Export'!F2371="客车"),"MPV",IF('Data Export'!F2371="运动型多功能车","SUV","其他"))))</f>
        <v/>
      </c>
      <c r="K2371" s="62"/>
      <c r="L2371" s="62"/>
      <c r="M2371" s="62"/>
      <c r="N2371" s="62"/>
      <c r="O2371" s="62"/>
      <c r="P2371" s="62"/>
      <c r="Q2371" s="62"/>
    </row>
    <row r="2372" spans="1:17">
      <c r="A2372" s="62"/>
      <c r="B2372" s="62"/>
      <c r="C2372" s="62"/>
      <c r="D2372" s="62"/>
      <c r="E2372" s="62"/>
      <c r="F2372" s="62"/>
      <c r="G2372" s="62"/>
      <c r="H2372" s="62" t="str">
        <f>IF(AND('Data Export'!A2372=前十整体车型排名!$B$2,'Data Export'!B2372=前十整体车型排名!$B$3,'Data Export'!D2372&lt;&gt;""),UPPER('Data Export'!C2372)&amp;"♦"&amp;'Data Export'!D2372,"")</f>
        <v/>
      </c>
      <c r="I2372" s="63" t="str">
        <f>IF(H2372="","",IFERROR(INDEX('Data Export'!G2372:CZ2372,1,MATCH(前十整体车型排名!$B$4,'Data Export'!$G$1:$CZ$1,0)),0))</f>
        <v/>
      </c>
      <c r="J2372" s="62" t="str">
        <f>IF(H2372="","",IF(OR('Data Export'!F2372="三厢轿车",'Data Export'!F2372="掀背轿车",'Data Export'!F2372="旅行车",'Data Export'!F2372="微型车",'Data Export'!F2372="硬顶跑车",'Data Export'!F2372="敞蓬车",'Data Export'!F2372="Targa"),"轿车",IF(OR('Data Export'!F2372="小型MPV",'Data Export'!F2372="客车"),"MPV",IF('Data Export'!F2372="运动型多功能车","SUV","其他"))))</f>
        <v/>
      </c>
      <c r="K2372" s="62"/>
      <c r="L2372" s="62"/>
      <c r="M2372" s="62"/>
      <c r="N2372" s="62"/>
      <c r="O2372" s="62"/>
      <c r="P2372" s="62"/>
      <c r="Q2372" s="62"/>
    </row>
    <row r="2373" spans="1:17">
      <c r="A2373" s="62"/>
      <c r="B2373" s="62"/>
      <c r="C2373" s="62"/>
      <c r="D2373" s="62"/>
      <c r="E2373" s="62"/>
      <c r="F2373" s="62"/>
      <c r="G2373" s="62"/>
      <c r="H2373" s="62" t="str">
        <f>IF(AND('Data Export'!A2373=前十整体车型排名!$B$2,'Data Export'!B2373=前十整体车型排名!$B$3,'Data Export'!D2373&lt;&gt;""),UPPER('Data Export'!C2373)&amp;"♦"&amp;'Data Export'!D2373,"")</f>
        <v/>
      </c>
      <c r="I2373" s="63" t="str">
        <f>IF(H2373="","",IFERROR(INDEX('Data Export'!G2373:CZ2373,1,MATCH(前十整体车型排名!$B$4,'Data Export'!$G$1:$CZ$1,0)),0))</f>
        <v/>
      </c>
      <c r="J2373" s="62" t="str">
        <f>IF(H2373="","",IF(OR('Data Export'!F2373="三厢轿车",'Data Export'!F2373="掀背轿车",'Data Export'!F2373="旅行车",'Data Export'!F2373="微型车",'Data Export'!F2373="硬顶跑车",'Data Export'!F2373="敞蓬车",'Data Export'!F2373="Targa"),"轿车",IF(OR('Data Export'!F2373="小型MPV",'Data Export'!F2373="客车"),"MPV",IF('Data Export'!F2373="运动型多功能车","SUV","其他"))))</f>
        <v/>
      </c>
      <c r="K2373" s="62"/>
      <c r="L2373" s="62"/>
      <c r="M2373" s="62"/>
      <c r="N2373" s="62"/>
      <c r="O2373" s="62"/>
      <c r="P2373" s="62"/>
      <c r="Q2373" s="62"/>
    </row>
    <row r="2374" spans="1:17">
      <c r="A2374" s="62"/>
      <c r="B2374" s="62"/>
      <c r="C2374" s="62"/>
      <c r="D2374" s="62"/>
      <c r="E2374" s="62"/>
      <c r="F2374" s="62"/>
      <c r="G2374" s="62"/>
      <c r="H2374" s="62" t="str">
        <f>IF(AND('Data Export'!A2374=前十整体车型排名!$B$2,'Data Export'!B2374=前十整体车型排名!$B$3,'Data Export'!D2374&lt;&gt;""),UPPER('Data Export'!C2374)&amp;"♦"&amp;'Data Export'!D2374,"")</f>
        <v/>
      </c>
      <c r="I2374" s="63" t="str">
        <f>IF(H2374="","",IFERROR(INDEX('Data Export'!G2374:CZ2374,1,MATCH(前十整体车型排名!$B$4,'Data Export'!$G$1:$CZ$1,0)),0))</f>
        <v/>
      </c>
      <c r="J2374" s="62" t="str">
        <f>IF(H2374="","",IF(OR('Data Export'!F2374="三厢轿车",'Data Export'!F2374="掀背轿车",'Data Export'!F2374="旅行车",'Data Export'!F2374="微型车",'Data Export'!F2374="硬顶跑车",'Data Export'!F2374="敞蓬车",'Data Export'!F2374="Targa"),"轿车",IF(OR('Data Export'!F2374="小型MPV",'Data Export'!F2374="客车"),"MPV",IF('Data Export'!F2374="运动型多功能车","SUV","其他"))))</f>
        <v/>
      </c>
      <c r="K2374" s="62"/>
      <c r="L2374" s="62"/>
      <c r="M2374" s="62"/>
      <c r="N2374" s="62"/>
      <c r="O2374" s="62"/>
      <c r="P2374" s="62"/>
      <c r="Q2374" s="62"/>
    </row>
    <row r="2375" spans="1:17">
      <c r="A2375" s="62"/>
      <c r="B2375" s="62"/>
      <c r="C2375" s="62"/>
      <c r="D2375" s="62"/>
      <c r="E2375" s="62"/>
      <c r="F2375" s="62"/>
      <c r="G2375" s="62"/>
      <c r="H2375" s="62" t="str">
        <f>IF(AND('Data Export'!A2375=前十整体车型排名!$B$2,'Data Export'!B2375=前十整体车型排名!$B$3,'Data Export'!D2375&lt;&gt;""),UPPER('Data Export'!C2375)&amp;"♦"&amp;'Data Export'!D2375,"")</f>
        <v/>
      </c>
      <c r="I2375" s="63" t="str">
        <f>IF(H2375="","",IFERROR(INDEX('Data Export'!G2375:CZ2375,1,MATCH(前十整体车型排名!$B$4,'Data Export'!$G$1:$CZ$1,0)),0))</f>
        <v/>
      </c>
      <c r="J2375" s="62" t="str">
        <f>IF(H2375="","",IF(OR('Data Export'!F2375="三厢轿车",'Data Export'!F2375="掀背轿车",'Data Export'!F2375="旅行车",'Data Export'!F2375="微型车",'Data Export'!F2375="硬顶跑车",'Data Export'!F2375="敞蓬车",'Data Export'!F2375="Targa"),"轿车",IF(OR('Data Export'!F2375="小型MPV",'Data Export'!F2375="客车"),"MPV",IF('Data Export'!F2375="运动型多功能车","SUV","其他"))))</f>
        <v/>
      </c>
      <c r="K2375" s="62"/>
      <c r="L2375" s="62"/>
      <c r="M2375" s="62"/>
      <c r="N2375" s="62"/>
      <c r="O2375" s="62"/>
      <c r="P2375" s="62"/>
      <c r="Q2375" s="62"/>
    </row>
    <row r="2376" spans="1:17">
      <c r="A2376" s="62"/>
      <c r="B2376" s="62"/>
      <c r="C2376" s="62"/>
      <c r="D2376" s="62"/>
      <c r="E2376" s="62"/>
      <c r="F2376" s="62"/>
      <c r="G2376" s="62"/>
      <c r="H2376" s="62" t="str">
        <f>IF(AND('Data Export'!A2376=前十整体车型排名!$B$2,'Data Export'!B2376=前十整体车型排名!$B$3,'Data Export'!D2376&lt;&gt;""),UPPER('Data Export'!C2376)&amp;"♦"&amp;'Data Export'!D2376,"")</f>
        <v/>
      </c>
      <c r="I2376" s="63" t="str">
        <f>IF(H2376="","",IFERROR(INDEX('Data Export'!G2376:CZ2376,1,MATCH(前十整体车型排名!$B$4,'Data Export'!$G$1:$CZ$1,0)),0))</f>
        <v/>
      </c>
      <c r="J2376" s="62" t="str">
        <f>IF(H2376="","",IF(OR('Data Export'!F2376="三厢轿车",'Data Export'!F2376="掀背轿车",'Data Export'!F2376="旅行车",'Data Export'!F2376="微型车",'Data Export'!F2376="硬顶跑车",'Data Export'!F2376="敞蓬车",'Data Export'!F2376="Targa"),"轿车",IF(OR('Data Export'!F2376="小型MPV",'Data Export'!F2376="客车"),"MPV",IF('Data Export'!F2376="运动型多功能车","SUV","其他"))))</f>
        <v/>
      </c>
      <c r="K2376" s="62"/>
      <c r="L2376" s="62"/>
      <c r="M2376" s="62"/>
      <c r="N2376" s="62"/>
      <c r="O2376" s="62"/>
      <c r="P2376" s="62"/>
      <c r="Q2376" s="62"/>
    </row>
    <row r="2377" spans="1:17">
      <c r="A2377" s="62"/>
      <c r="B2377" s="62"/>
      <c r="C2377" s="62"/>
      <c r="D2377" s="62"/>
      <c r="E2377" s="62"/>
      <c r="F2377" s="62"/>
      <c r="G2377" s="62"/>
      <c r="H2377" s="62" t="str">
        <f>IF(AND('Data Export'!A2377=前十整体车型排名!$B$2,'Data Export'!B2377=前十整体车型排名!$B$3,'Data Export'!D2377&lt;&gt;""),UPPER('Data Export'!C2377)&amp;"♦"&amp;'Data Export'!D2377,"")</f>
        <v/>
      </c>
      <c r="I2377" s="63" t="str">
        <f>IF(H2377="","",IFERROR(INDEX('Data Export'!G2377:CZ2377,1,MATCH(前十整体车型排名!$B$4,'Data Export'!$G$1:$CZ$1,0)),0))</f>
        <v/>
      </c>
      <c r="J2377" s="62" t="str">
        <f>IF(H2377="","",IF(OR('Data Export'!F2377="三厢轿车",'Data Export'!F2377="掀背轿车",'Data Export'!F2377="旅行车",'Data Export'!F2377="微型车",'Data Export'!F2377="硬顶跑车",'Data Export'!F2377="敞蓬车",'Data Export'!F2377="Targa"),"轿车",IF(OR('Data Export'!F2377="小型MPV",'Data Export'!F2377="客车"),"MPV",IF('Data Export'!F2377="运动型多功能车","SUV","其他"))))</f>
        <v/>
      </c>
      <c r="K2377" s="62"/>
      <c r="L2377" s="62"/>
      <c r="M2377" s="62"/>
      <c r="N2377" s="62"/>
      <c r="O2377" s="62"/>
      <c r="P2377" s="62"/>
      <c r="Q2377" s="62"/>
    </row>
    <row r="2378" spans="1:17">
      <c r="A2378" s="62"/>
      <c r="B2378" s="62"/>
      <c r="C2378" s="62"/>
      <c r="D2378" s="62"/>
      <c r="E2378" s="62"/>
      <c r="F2378" s="62"/>
      <c r="G2378" s="62"/>
      <c r="H2378" s="62" t="str">
        <f>IF(AND('Data Export'!A2378=前十整体车型排名!$B$2,'Data Export'!B2378=前十整体车型排名!$B$3,'Data Export'!D2378&lt;&gt;""),UPPER('Data Export'!C2378)&amp;"♦"&amp;'Data Export'!D2378,"")</f>
        <v/>
      </c>
      <c r="I2378" s="63" t="str">
        <f>IF(H2378="","",IFERROR(INDEX('Data Export'!G2378:CZ2378,1,MATCH(前十整体车型排名!$B$4,'Data Export'!$G$1:$CZ$1,0)),0))</f>
        <v/>
      </c>
      <c r="J2378" s="62" t="str">
        <f>IF(H2378="","",IF(OR('Data Export'!F2378="三厢轿车",'Data Export'!F2378="掀背轿车",'Data Export'!F2378="旅行车",'Data Export'!F2378="微型车",'Data Export'!F2378="硬顶跑车",'Data Export'!F2378="敞蓬车",'Data Export'!F2378="Targa"),"轿车",IF(OR('Data Export'!F2378="小型MPV",'Data Export'!F2378="客车"),"MPV",IF('Data Export'!F2378="运动型多功能车","SUV","其他"))))</f>
        <v/>
      </c>
      <c r="K2378" s="62"/>
      <c r="L2378" s="62"/>
      <c r="M2378" s="62"/>
      <c r="N2378" s="62"/>
      <c r="O2378" s="62"/>
      <c r="P2378" s="62"/>
      <c r="Q2378" s="62"/>
    </row>
    <row r="2379" spans="1:17">
      <c r="A2379" s="62"/>
      <c r="B2379" s="62"/>
      <c r="C2379" s="62"/>
      <c r="D2379" s="62"/>
      <c r="E2379" s="62"/>
      <c r="F2379" s="62"/>
      <c r="G2379" s="62"/>
      <c r="H2379" s="62" t="str">
        <f>IF(AND('Data Export'!A2379=前十整体车型排名!$B$2,'Data Export'!B2379=前十整体车型排名!$B$3,'Data Export'!D2379&lt;&gt;""),UPPER('Data Export'!C2379)&amp;"♦"&amp;'Data Export'!D2379,"")</f>
        <v/>
      </c>
      <c r="I2379" s="63" t="str">
        <f>IF(H2379="","",IFERROR(INDEX('Data Export'!G2379:CZ2379,1,MATCH(前十整体车型排名!$B$4,'Data Export'!$G$1:$CZ$1,0)),0))</f>
        <v/>
      </c>
      <c r="J2379" s="62" t="str">
        <f>IF(H2379="","",IF(OR('Data Export'!F2379="三厢轿车",'Data Export'!F2379="掀背轿车",'Data Export'!F2379="旅行车",'Data Export'!F2379="微型车",'Data Export'!F2379="硬顶跑车",'Data Export'!F2379="敞蓬车",'Data Export'!F2379="Targa"),"轿车",IF(OR('Data Export'!F2379="小型MPV",'Data Export'!F2379="客车"),"MPV",IF('Data Export'!F2379="运动型多功能车","SUV","其他"))))</f>
        <v/>
      </c>
      <c r="K2379" s="62"/>
      <c r="L2379" s="62"/>
      <c r="M2379" s="62"/>
      <c r="N2379" s="62"/>
      <c r="O2379" s="62"/>
      <c r="P2379" s="62"/>
      <c r="Q2379" s="62"/>
    </row>
    <row r="2380" spans="1:17">
      <c r="A2380" s="62"/>
      <c r="B2380" s="62"/>
      <c r="C2380" s="62"/>
      <c r="D2380" s="62"/>
      <c r="E2380" s="62"/>
      <c r="F2380" s="62"/>
      <c r="G2380" s="62"/>
      <c r="H2380" s="62" t="str">
        <f>IF(AND('Data Export'!A2380=前十整体车型排名!$B$2,'Data Export'!B2380=前十整体车型排名!$B$3,'Data Export'!D2380&lt;&gt;""),UPPER('Data Export'!C2380)&amp;"♦"&amp;'Data Export'!D2380,"")</f>
        <v/>
      </c>
      <c r="I2380" s="63" t="str">
        <f>IF(H2380="","",IFERROR(INDEX('Data Export'!G2380:CZ2380,1,MATCH(前十整体车型排名!$B$4,'Data Export'!$G$1:$CZ$1,0)),0))</f>
        <v/>
      </c>
      <c r="J2380" s="62" t="str">
        <f>IF(H2380="","",IF(OR('Data Export'!F2380="三厢轿车",'Data Export'!F2380="掀背轿车",'Data Export'!F2380="旅行车",'Data Export'!F2380="微型车",'Data Export'!F2380="硬顶跑车",'Data Export'!F2380="敞蓬车",'Data Export'!F2380="Targa"),"轿车",IF(OR('Data Export'!F2380="小型MPV",'Data Export'!F2380="客车"),"MPV",IF('Data Export'!F2380="运动型多功能车","SUV","其他"))))</f>
        <v/>
      </c>
      <c r="K2380" s="62"/>
      <c r="L2380" s="62"/>
      <c r="M2380" s="62"/>
      <c r="N2380" s="62"/>
      <c r="O2380" s="62"/>
      <c r="P2380" s="62"/>
      <c r="Q2380" s="62"/>
    </row>
    <row r="2381" spans="1:17">
      <c r="A2381" s="62"/>
      <c r="B2381" s="62"/>
      <c r="C2381" s="62"/>
      <c r="D2381" s="62"/>
      <c r="E2381" s="62"/>
      <c r="F2381" s="62"/>
      <c r="G2381" s="62"/>
      <c r="H2381" s="62" t="str">
        <f>IF(AND('Data Export'!A2381=前十整体车型排名!$B$2,'Data Export'!B2381=前十整体车型排名!$B$3,'Data Export'!D2381&lt;&gt;""),UPPER('Data Export'!C2381)&amp;"♦"&amp;'Data Export'!D2381,"")</f>
        <v/>
      </c>
      <c r="I2381" s="63" t="str">
        <f>IF(H2381="","",IFERROR(INDEX('Data Export'!G2381:CZ2381,1,MATCH(前十整体车型排名!$B$4,'Data Export'!$G$1:$CZ$1,0)),0))</f>
        <v/>
      </c>
      <c r="J2381" s="62" t="str">
        <f>IF(H2381="","",IF(OR('Data Export'!F2381="三厢轿车",'Data Export'!F2381="掀背轿车",'Data Export'!F2381="旅行车",'Data Export'!F2381="微型车",'Data Export'!F2381="硬顶跑车",'Data Export'!F2381="敞蓬车",'Data Export'!F2381="Targa"),"轿车",IF(OR('Data Export'!F2381="小型MPV",'Data Export'!F2381="客车"),"MPV",IF('Data Export'!F2381="运动型多功能车","SUV","其他"))))</f>
        <v/>
      </c>
      <c r="K2381" s="62"/>
      <c r="L2381" s="62"/>
      <c r="M2381" s="62"/>
      <c r="N2381" s="62"/>
      <c r="O2381" s="62"/>
      <c r="P2381" s="62"/>
      <c r="Q2381" s="62"/>
    </row>
    <row r="2382" spans="1:17">
      <c r="A2382" s="62"/>
      <c r="B2382" s="62"/>
      <c r="C2382" s="62"/>
      <c r="D2382" s="62"/>
      <c r="E2382" s="62"/>
      <c r="F2382" s="62"/>
      <c r="G2382" s="62"/>
      <c r="H2382" s="62" t="str">
        <f>IF(AND('Data Export'!A2382=前十整体车型排名!$B$2,'Data Export'!B2382=前十整体车型排名!$B$3,'Data Export'!D2382&lt;&gt;""),UPPER('Data Export'!C2382)&amp;"♦"&amp;'Data Export'!D2382,"")</f>
        <v/>
      </c>
      <c r="I2382" s="63" t="str">
        <f>IF(H2382="","",IFERROR(INDEX('Data Export'!G2382:CZ2382,1,MATCH(前十整体车型排名!$B$4,'Data Export'!$G$1:$CZ$1,0)),0))</f>
        <v/>
      </c>
      <c r="J2382" s="62" t="str">
        <f>IF(H2382="","",IF(OR('Data Export'!F2382="三厢轿车",'Data Export'!F2382="掀背轿车",'Data Export'!F2382="旅行车",'Data Export'!F2382="微型车",'Data Export'!F2382="硬顶跑车",'Data Export'!F2382="敞蓬车",'Data Export'!F2382="Targa"),"轿车",IF(OR('Data Export'!F2382="小型MPV",'Data Export'!F2382="客车"),"MPV",IF('Data Export'!F2382="运动型多功能车","SUV","其他"))))</f>
        <v/>
      </c>
      <c r="K2382" s="62"/>
      <c r="L2382" s="62"/>
      <c r="M2382" s="62"/>
      <c r="N2382" s="62"/>
      <c r="O2382" s="62"/>
      <c r="P2382" s="62"/>
      <c r="Q2382" s="62"/>
    </row>
    <row r="2383" spans="1:17">
      <c r="A2383" s="62"/>
      <c r="B2383" s="62"/>
      <c r="C2383" s="62"/>
      <c r="D2383" s="62"/>
      <c r="E2383" s="62"/>
      <c r="F2383" s="62"/>
      <c r="G2383" s="62"/>
      <c r="H2383" s="62" t="str">
        <f>IF(AND('Data Export'!A2383=前十整体车型排名!$B$2,'Data Export'!B2383=前十整体车型排名!$B$3,'Data Export'!D2383&lt;&gt;""),UPPER('Data Export'!C2383)&amp;"♦"&amp;'Data Export'!D2383,"")</f>
        <v/>
      </c>
      <c r="I2383" s="63" t="str">
        <f>IF(H2383="","",IFERROR(INDEX('Data Export'!G2383:CZ2383,1,MATCH(前十整体车型排名!$B$4,'Data Export'!$G$1:$CZ$1,0)),0))</f>
        <v/>
      </c>
      <c r="J2383" s="62" t="str">
        <f>IF(H2383="","",IF(OR('Data Export'!F2383="三厢轿车",'Data Export'!F2383="掀背轿车",'Data Export'!F2383="旅行车",'Data Export'!F2383="微型车",'Data Export'!F2383="硬顶跑车",'Data Export'!F2383="敞蓬车",'Data Export'!F2383="Targa"),"轿车",IF(OR('Data Export'!F2383="小型MPV",'Data Export'!F2383="客车"),"MPV",IF('Data Export'!F2383="运动型多功能车","SUV","其他"))))</f>
        <v/>
      </c>
      <c r="K2383" s="62"/>
      <c r="L2383" s="62"/>
      <c r="M2383" s="62"/>
      <c r="N2383" s="62"/>
      <c r="O2383" s="62"/>
      <c r="P2383" s="62"/>
      <c r="Q2383" s="62"/>
    </row>
    <row r="2384" spans="1:17">
      <c r="A2384" s="62"/>
      <c r="B2384" s="62"/>
      <c r="C2384" s="62"/>
      <c r="D2384" s="62"/>
      <c r="E2384" s="62"/>
      <c r="F2384" s="62"/>
      <c r="G2384" s="62"/>
      <c r="H2384" s="62" t="str">
        <f>IF(AND('Data Export'!A2384=前十整体车型排名!$B$2,'Data Export'!B2384=前十整体车型排名!$B$3,'Data Export'!D2384&lt;&gt;""),UPPER('Data Export'!C2384)&amp;"♦"&amp;'Data Export'!D2384,"")</f>
        <v/>
      </c>
      <c r="I2384" s="63" t="str">
        <f>IF(H2384="","",IFERROR(INDEX('Data Export'!G2384:CZ2384,1,MATCH(前十整体车型排名!$B$4,'Data Export'!$G$1:$CZ$1,0)),0))</f>
        <v/>
      </c>
      <c r="J2384" s="62" t="str">
        <f>IF(H2384="","",IF(OR('Data Export'!F2384="三厢轿车",'Data Export'!F2384="掀背轿车",'Data Export'!F2384="旅行车",'Data Export'!F2384="微型车",'Data Export'!F2384="硬顶跑车",'Data Export'!F2384="敞蓬车",'Data Export'!F2384="Targa"),"轿车",IF(OR('Data Export'!F2384="小型MPV",'Data Export'!F2384="客车"),"MPV",IF('Data Export'!F2384="运动型多功能车","SUV","其他"))))</f>
        <v/>
      </c>
      <c r="K2384" s="62"/>
      <c r="L2384" s="62"/>
      <c r="M2384" s="62"/>
      <c r="N2384" s="62"/>
      <c r="O2384" s="62"/>
      <c r="P2384" s="62"/>
      <c r="Q2384" s="62"/>
    </row>
    <row r="2385" spans="1:17">
      <c r="A2385" s="62"/>
      <c r="B2385" s="62"/>
      <c r="C2385" s="62"/>
      <c r="D2385" s="62"/>
      <c r="E2385" s="62"/>
      <c r="F2385" s="62"/>
      <c r="G2385" s="62"/>
      <c r="H2385" s="62" t="str">
        <f>IF(AND('Data Export'!A2385=前十整体车型排名!$B$2,'Data Export'!B2385=前十整体车型排名!$B$3,'Data Export'!D2385&lt;&gt;""),UPPER('Data Export'!C2385)&amp;"♦"&amp;'Data Export'!D2385,"")</f>
        <v/>
      </c>
      <c r="I2385" s="63" t="str">
        <f>IF(H2385="","",IFERROR(INDEX('Data Export'!G2385:CZ2385,1,MATCH(前十整体车型排名!$B$4,'Data Export'!$G$1:$CZ$1,0)),0))</f>
        <v/>
      </c>
      <c r="J2385" s="62" t="str">
        <f>IF(H2385="","",IF(OR('Data Export'!F2385="三厢轿车",'Data Export'!F2385="掀背轿车",'Data Export'!F2385="旅行车",'Data Export'!F2385="微型车",'Data Export'!F2385="硬顶跑车",'Data Export'!F2385="敞蓬车",'Data Export'!F2385="Targa"),"轿车",IF(OR('Data Export'!F2385="小型MPV",'Data Export'!F2385="客车"),"MPV",IF('Data Export'!F2385="运动型多功能车","SUV","其他"))))</f>
        <v/>
      </c>
      <c r="K2385" s="62"/>
      <c r="L2385" s="62"/>
      <c r="M2385" s="62"/>
      <c r="N2385" s="62"/>
      <c r="O2385" s="62"/>
      <c r="P2385" s="62"/>
      <c r="Q2385" s="62"/>
    </row>
    <row r="2386" spans="1:17">
      <c r="A2386" s="62"/>
      <c r="B2386" s="62"/>
      <c r="C2386" s="62"/>
      <c r="D2386" s="62"/>
      <c r="E2386" s="62"/>
      <c r="F2386" s="62"/>
      <c r="G2386" s="62"/>
      <c r="H2386" s="62" t="str">
        <f>IF(AND('Data Export'!A2386=前十整体车型排名!$B$2,'Data Export'!B2386=前十整体车型排名!$B$3,'Data Export'!D2386&lt;&gt;""),UPPER('Data Export'!C2386)&amp;"♦"&amp;'Data Export'!D2386,"")</f>
        <v/>
      </c>
      <c r="I2386" s="63" t="str">
        <f>IF(H2386="","",IFERROR(INDEX('Data Export'!G2386:CZ2386,1,MATCH(前十整体车型排名!$B$4,'Data Export'!$G$1:$CZ$1,0)),0))</f>
        <v/>
      </c>
      <c r="J2386" s="62" t="str">
        <f>IF(H2386="","",IF(OR('Data Export'!F2386="三厢轿车",'Data Export'!F2386="掀背轿车",'Data Export'!F2386="旅行车",'Data Export'!F2386="微型车",'Data Export'!F2386="硬顶跑车",'Data Export'!F2386="敞蓬车",'Data Export'!F2386="Targa"),"轿车",IF(OR('Data Export'!F2386="小型MPV",'Data Export'!F2386="客车"),"MPV",IF('Data Export'!F2386="运动型多功能车","SUV","其他"))))</f>
        <v/>
      </c>
      <c r="K2386" s="62"/>
      <c r="L2386" s="62"/>
      <c r="M2386" s="62"/>
      <c r="N2386" s="62"/>
      <c r="O2386" s="62"/>
      <c r="P2386" s="62"/>
      <c r="Q2386" s="62"/>
    </row>
    <row r="2387" spans="1:17">
      <c r="A2387" s="62"/>
      <c r="B2387" s="62"/>
      <c r="C2387" s="62"/>
      <c r="D2387" s="62"/>
      <c r="E2387" s="62"/>
      <c r="F2387" s="62"/>
      <c r="G2387" s="62"/>
      <c r="H2387" s="62" t="str">
        <f>IF(AND('Data Export'!A2387=前十整体车型排名!$B$2,'Data Export'!B2387=前十整体车型排名!$B$3,'Data Export'!D2387&lt;&gt;""),UPPER('Data Export'!C2387)&amp;"♦"&amp;'Data Export'!D2387,"")</f>
        <v/>
      </c>
      <c r="I2387" s="63" t="str">
        <f>IF(H2387="","",IFERROR(INDEX('Data Export'!G2387:CZ2387,1,MATCH(前十整体车型排名!$B$4,'Data Export'!$G$1:$CZ$1,0)),0))</f>
        <v/>
      </c>
      <c r="J2387" s="62" t="str">
        <f>IF(H2387="","",IF(OR('Data Export'!F2387="三厢轿车",'Data Export'!F2387="掀背轿车",'Data Export'!F2387="旅行车",'Data Export'!F2387="微型车",'Data Export'!F2387="硬顶跑车",'Data Export'!F2387="敞蓬车",'Data Export'!F2387="Targa"),"轿车",IF(OR('Data Export'!F2387="小型MPV",'Data Export'!F2387="客车"),"MPV",IF('Data Export'!F2387="运动型多功能车","SUV","其他"))))</f>
        <v/>
      </c>
      <c r="K2387" s="62"/>
      <c r="L2387" s="62"/>
      <c r="M2387" s="62"/>
      <c r="N2387" s="62"/>
      <c r="O2387" s="62"/>
      <c r="P2387" s="62"/>
      <c r="Q2387" s="62"/>
    </row>
    <row r="2388" spans="1:17">
      <c r="A2388" s="62"/>
      <c r="B2388" s="62"/>
      <c r="C2388" s="62"/>
      <c r="D2388" s="62"/>
      <c r="E2388" s="62"/>
      <c r="F2388" s="62"/>
      <c r="G2388" s="62"/>
      <c r="H2388" s="62" t="str">
        <f>IF(AND('Data Export'!A2388=前十整体车型排名!$B$2,'Data Export'!B2388=前十整体车型排名!$B$3,'Data Export'!D2388&lt;&gt;""),UPPER('Data Export'!C2388)&amp;"♦"&amp;'Data Export'!D2388,"")</f>
        <v/>
      </c>
      <c r="I2388" s="63" t="str">
        <f>IF(H2388="","",IFERROR(INDEX('Data Export'!G2388:CZ2388,1,MATCH(前十整体车型排名!$B$4,'Data Export'!$G$1:$CZ$1,0)),0))</f>
        <v/>
      </c>
      <c r="J2388" s="62" t="str">
        <f>IF(H2388="","",IF(OR('Data Export'!F2388="三厢轿车",'Data Export'!F2388="掀背轿车",'Data Export'!F2388="旅行车",'Data Export'!F2388="微型车",'Data Export'!F2388="硬顶跑车",'Data Export'!F2388="敞蓬车",'Data Export'!F2388="Targa"),"轿车",IF(OR('Data Export'!F2388="小型MPV",'Data Export'!F2388="客车"),"MPV",IF('Data Export'!F2388="运动型多功能车","SUV","其他"))))</f>
        <v/>
      </c>
      <c r="K2388" s="62"/>
      <c r="L2388" s="62"/>
      <c r="M2388" s="62"/>
      <c r="N2388" s="62"/>
      <c r="O2388" s="62"/>
      <c r="P2388" s="62"/>
      <c r="Q2388" s="62"/>
    </row>
    <row r="2389" spans="1:17">
      <c r="A2389" s="62"/>
      <c r="B2389" s="62"/>
      <c r="C2389" s="62"/>
      <c r="D2389" s="62"/>
      <c r="E2389" s="62"/>
      <c r="F2389" s="62"/>
      <c r="G2389" s="62"/>
      <c r="H2389" s="62" t="str">
        <f>IF(AND('Data Export'!A2389=前十整体车型排名!$B$2,'Data Export'!B2389=前十整体车型排名!$B$3,'Data Export'!D2389&lt;&gt;""),UPPER('Data Export'!C2389)&amp;"♦"&amp;'Data Export'!D2389,"")</f>
        <v/>
      </c>
      <c r="I2389" s="63" t="str">
        <f>IF(H2389="","",IFERROR(INDEX('Data Export'!G2389:CZ2389,1,MATCH(前十整体车型排名!$B$4,'Data Export'!$G$1:$CZ$1,0)),0))</f>
        <v/>
      </c>
      <c r="J2389" s="62" t="str">
        <f>IF(H2389="","",IF(OR('Data Export'!F2389="三厢轿车",'Data Export'!F2389="掀背轿车",'Data Export'!F2389="旅行车",'Data Export'!F2389="微型车",'Data Export'!F2389="硬顶跑车",'Data Export'!F2389="敞蓬车",'Data Export'!F2389="Targa"),"轿车",IF(OR('Data Export'!F2389="小型MPV",'Data Export'!F2389="客车"),"MPV",IF('Data Export'!F2389="运动型多功能车","SUV","其他"))))</f>
        <v/>
      </c>
      <c r="K2389" s="62"/>
      <c r="L2389" s="62"/>
      <c r="M2389" s="62"/>
      <c r="N2389" s="62"/>
      <c r="O2389" s="62"/>
      <c r="P2389" s="62"/>
      <c r="Q2389" s="62"/>
    </row>
    <row r="2390" spans="1:17">
      <c r="A2390" s="62"/>
      <c r="B2390" s="62"/>
      <c r="C2390" s="62"/>
      <c r="D2390" s="62"/>
      <c r="E2390" s="62"/>
      <c r="F2390" s="62"/>
      <c r="G2390" s="62"/>
      <c r="H2390" s="62" t="str">
        <f>IF(AND('Data Export'!A2390=前十整体车型排名!$B$2,'Data Export'!B2390=前十整体车型排名!$B$3,'Data Export'!D2390&lt;&gt;""),UPPER('Data Export'!C2390)&amp;"♦"&amp;'Data Export'!D2390,"")</f>
        <v/>
      </c>
      <c r="I2390" s="63" t="str">
        <f>IF(H2390="","",IFERROR(INDEX('Data Export'!G2390:CZ2390,1,MATCH(前十整体车型排名!$B$4,'Data Export'!$G$1:$CZ$1,0)),0))</f>
        <v/>
      </c>
      <c r="J2390" s="62" t="str">
        <f>IF(H2390="","",IF(OR('Data Export'!F2390="三厢轿车",'Data Export'!F2390="掀背轿车",'Data Export'!F2390="旅行车",'Data Export'!F2390="微型车",'Data Export'!F2390="硬顶跑车",'Data Export'!F2390="敞蓬车",'Data Export'!F2390="Targa"),"轿车",IF(OR('Data Export'!F2390="小型MPV",'Data Export'!F2390="客车"),"MPV",IF('Data Export'!F2390="运动型多功能车","SUV","其他"))))</f>
        <v/>
      </c>
      <c r="K2390" s="62"/>
      <c r="L2390" s="62"/>
      <c r="M2390" s="62"/>
      <c r="N2390" s="62"/>
      <c r="O2390" s="62"/>
      <c r="P2390" s="62"/>
      <c r="Q2390" s="62"/>
    </row>
    <row r="2391" spans="1:17">
      <c r="A2391" s="62"/>
      <c r="B2391" s="62"/>
      <c r="C2391" s="62"/>
      <c r="D2391" s="62"/>
      <c r="E2391" s="62"/>
      <c r="F2391" s="62"/>
      <c r="G2391" s="62"/>
      <c r="H2391" s="62" t="str">
        <f>IF(AND('Data Export'!A2391=前十整体车型排名!$B$2,'Data Export'!B2391=前十整体车型排名!$B$3,'Data Export'!D2391&lt;&gt;""),UPPER('Data Export'!C2391)&amp;"♦"&amp;'Data Export'!D2391,"")</f>
        <v/>
      </c>
      <c r="I2391" s="63" t="str">
        <f>IF(H2391="","",IFERROR(INDEX('Data Export'!G2391:CZ2391,1,MATCH(前十整体车型排名!$B$4,'Data Export'!$G$1:$CZ$1,0)),0))</f>
        <v/>
      </c>
      <c r="J2391" s="62" t="str">
        <f>IF(H2391="","",IF(OR('Data Export'!F2391="三厢轿车",'Data Export'!F2391="掀背轿车",'Data Export'!F2391="旅行车",'Data Export'!F2391="微型车",'Data Export'!F2391="硬顶跑车",'Data Export'!F2391="敞蓬车",'Data Export'!F2391="Targa"),"轿车",IF(OR('Data Export'!F2391="小型MPV",'Data Export'!F2391="客车"),"MPV",IF('Data Export'!F2391="运动型多功能车","SUV","其他"))))</f>
        <v/>
      </c>
      <c r="K2391" s="62"/>
      <c r="L2391" s="62"/>
      <c r="M2391" s="62"/>
      <c r="N2391" s="62"/>
      <c r="O2391" s="62"/>
      <c r="P2391" s="62"/>
      <c r="Q2391" s="62"/>
    </row>
    <row r="2392" spans="1:17">
      <c r="A2392" s="62"/>
      <c r="B2392" s="62"/>
      <c r="C2392" s="62"/>
      <c r="D2392" s="62"/>
      <c r="E2392" s="62"/>
      <c r="F2392" s="62"/>
      <c r="G2392" s="62"/>
      <c r="H2392" s="62" t="str">
        <f>IF(AND('Data Export'!A2392=前十整体车型排名!$B$2,'Data Export'!B2392=前十整体车型排名!$B$3,'Data Export'!D2392&lt;&gt;""),UPPER('Data Export'!C2392)&amp;"♦"&amp;'Data Export'!D2392,"")</f>
        <v/>
      </c>
      <c r="I2392" s="63" t="str">
        <f>IF(H2392="","",IFERROR(INDEX('Data Export'!G2392:CZ2392,1,MATCH(前十整体车型排名!$B$4,'Data Export'!$G$1:$CZ$1,0)),0))</f>
        <v/>
      </c>
      <c r="J2392" s="62" t="str">
        <f>IF(H2392="","",IF(OR('Data Export'!F2392="三厢轿车",'Data Export'!F2392="掀背轿车",'Data Export'!F2392="旅行车",'Data Export'!F2392="微型车",'Data Export'!F2392="硬顶跑车",'Data Export'!F2392="敞蓬车",'Data Export'!F2392="Targa"),"轿车",IF(OR('Data Export'!F2392="小型MPV",'Data Export'!F2392="客车"),"MPV",IF('Data Export'!F2392="运动型多功能车","SUV","其他"))))</f>
        <v/>
      </c>
      <c r="K2392" s="62"/>
      <c r="L2392" s="62"/>
      <c r="M2392" s="62"/>
      <c r="N2392" s="62"/>
      <c r="O2392" s="62"/>
      <c r="P2392" s="62"/>
      <c r="Q2392" s="62"/>
    </row>
    <row r="2393" spans="1:17">
      <c r="A2393" s="62"/>
      <c r="B2393" s="62"/>
      <c r="C2393" s="62"/>
      <c r="D2393" s="62"/>
      <c r="E2393" s="62"/>
      <c r="F2393" s="62"/>
      <c r="G2393" s="62"/>
      <c r="H2393" s="62" t="str">
        <f>IF(AND('Data Export'!A2393=前十整体车型排名!$B$2,'Data Export'!B2393=前十整体车型排名!$B$3,'Data Export'!D2393&lt;&gt;""),UPPER('Data Export'!C2393)&amp;"♦"&amp;'Data Export'!D2393,"")</f>
        <v/>
      </c>
      <c r="I2393" s="63" t="str">
        <f>IF(H2393="","",IFERROR(INDEX('Data Export'!G2393:CZ2393,1,MATCH(前十整体车型排名!$B$4,'Data Export'!$G$1:$CZ$1,0)),0))</f>
        <v/>
      </c>
      <c r="J2393" s="62" t="str">
        <f>IF(H2393="","",IF(OR('Data Export'!F2393="三厢轿车",'Data Export'!F2393="掀背轿车",'Data Export'!F2393="旅行车",'Data Export'!F2393="微型车",'Data Export'!F2393="硬顶跑车",'Data Export'!F2393="敞蓬车",'Data Export'!F2393="Targa"),"轿车",IF(OR('Data Export'!F2393="小型MPV",'Data Export'!F2393="客车"),"MPV",IF('Data Export'!F2393="运动型多功能车","SUV","其他"))))</f>
        <v/>
      </c>
      <c r="K2393" s="62"/>
      <c r="L2393" s="62"/>
      <c r="M2393" s="62"/>
      <c r="N2393" s="62"/>
      <c r="O2393" s="62"/>
      <c r="P2393" s="62"/>
      <c r="Q2393" s="62"/>
    </row>
    <row r="2394" spans="1:17">
      <c r="A2394" s="62"/>
      <c r="B2394" s="62"/>
      <c r="C2394" s="62"/>
      <c r="D2394" s="62"/>
      <c r="E2394" s="62"/>
      <c r="F2394" s="62"/>
      <c r="G2394" s="62"/>
      <c r="H2394" s="62" t="str">
        <f>IF(AND('Data Export'!A2394=前十整体车型排名!$B$2,'Data Export'!B2394=前十整体车型排名!$B$3,'Data Export'!D2394&lt;&gt;""),UPPER('Data Export'!C2394)&amp;"♦"&amp;'Data Export'!D2394,"")</f>
        <v/>
      </c>
      <c r="I2394" s="63" t="str">
        <f>IF(H2394="","",IFERROR(INDEX('Data Export'!G2394:CZ2394,1,MATCH(前十整体车型排名!$B$4,'Data Export'!$G$1:$CZ$1,0)),0))</f>
        <v/>
      </c>
      <c r="J2394" s="62" t="str">
        <f>IF(H2394="","",IF(OR('Data Export'!F2394="三厢轿车",'Data Export'!F2394="掀背轿车",'Data Export'!F2394="旅行车",'Data Export'!F2394="微型车",'Data Export'!F2394="硬顶跑车",'Data Export'!F2394="敞蓬车",'Data Export'!F2394="Targa"),"轿车",IF(OR('Data Export'!F2394="小型MPV",'Data Export'!F2394="客车"),"MPV",IF('Data Export'!F2394="运动型多功能车","SUV","其他"))))</f>
        <v/>
      </c>
      <c r="K2394" s="62"/>
      <c r="L2394" s="62"/>
      <c r="M2394" s="62"/>
      <c r="N2394" s="62"/>
      <c r="O2394" s="62"/>
      <c r="P2394" s="62"/>
      <c r="Q2394" s="62"/>
    </row>
    <row r="2395" spans="1:17">
      <c r="A2395" s="62"/>
      <c r="B2395" s="62"/>
      <c r="C2395" s="62"/>
      <c r="D2395" s="62"/>
      <c r="E2395" s="62"/>
      <c r="F2395" s="62"/>
      <c r="G2395" s="62"/>
      <c r="H2395" s="62" t="str">
        <f>IF(AND('Data Export'!A2395=前十整体车型排名!$B$2,'Data Export'!B2395=前十整体车型排名!$B$3,'Data Export'!D2395&lt;&gt;""),UPPER('Data Export'!C2395)&amp;"♦"&amp;'Data Export'!D2395,"")</f>
        <v/>
      </c>
      <c r="I2395" s="63" t="str">
        <f>IF(H2395="","",IFERROR(INDEX('Data Export'!G2395:CZ2395,1,MATCH(前十整体车型排名!$B$4,'Data Export'!$G$1:$CZ$1,0)),0))</f>
        <v/>
      </c>
      <c r="J2395" s="62" t="str">
        <f>IF(H2395="","",IF(OR('Data Export'!F2395="三厢轿车",'Data Export'!F2395="掀背轿车",'Data Export'!F2395="旅行车",'Data Export'!F2395="微型车",'Data Export'!F2395="硬顶跑车",'Data Export'!F2395="敞蓬车",'Data Export'!F2395="Targa"),"轿车",IF(OR('Data Export'!F2395="小型MPV",'Data Export'!F2395="客车"),"MPV",IF('Data Export'!F2395="运动型多功能车","SUV","其他"))))</f>
        <v/>
      </c>
      <c r="K2395" s="62"/>
      <c r="L2395" s="62"/>
      <c r="M2395" s="62"/>
      <c r="N2395" s="62"/>
      <c r="O2395" s="62"/>
      <c r="P2395" s="62"/>
      <c r="Q2395" s="62"/>
    </row>
    <row r="2396" spans="1:17">
      <c r="A2396" s="62"/>
      <c r="B2396" s="62"/>
      <c r="C2396" s="62"/>
      <c r="D2396" s="62"/>
      <c r="E2396" s="62"/>
      <c r="F2396" s="62"/>
      <c r="G2396" s="62"/>
      <c r="H2396" s="62" t="str">
        <f>IF(AND('Data Export'!A2396=前十整体车型排名!$B$2,'Data Export'!B2396=前十整体车型排名!$B$3,'Data Export'!D2396&lt;&gt;""),UPPER('Data Export'!C2396)&amp;"♦"&amp;'Data Export'!D2396,"")</f>
        <v/>
      </c>
      <c r="I2396" s="63" t="str">
        <f>IF(H2396="","",IFERROR(INDEX('Data Export'!G2396:CZ2396,1,MATCH(前十整体车型排名!$B$4,'Data Export'!$G$1:$CZ$1,0)),0))</f>
        <v/>
      </c>
      <c r="J2396" s="62" t="str">
        <f>IF(H2396="","",IF(OR('Data Export'!F2396="三厢轿车",'Data Export'!F2396="掀背轿车",'Data Export'!F2396="旅行车",'Data Export'!F2396="微型车",'Data Export'!F2396="硬顶跑车",'Data Export'!F2396="敞蓬车",'Data Export'!F2396="Targa"),"轿车",IF(OR('Data Export'!F2396="小型MPV",'Data Export'!F2396="客车"),"MPV",IF('Data Export'!F2396="运动型多功能车","SUV","其他"))))</f>
        <v/>
      </c>
      <c r="K2396" s="62"/>
      <c r="L2396" s="62"/>
      <c r="M2396" s="62"/>
      <c r="N2396" s="62"/>
      <c r="O2396" s="62"/>
      <c r="P2396" s="62"/>
      <c r="Q2396" s="62"/>
    </row>
    <row r="2397" spans="1:17">
      <c r="A2397" s="62"/>
      <c r="B2397" s="62"/>
      <c r="C2397" s="62"/>
      <c r="D2397" s="62"/>
      <c r="E2397" s="62"/>
      <c r="F2397" s="62"/>
      <c r="G2397" s="62"/>
      <c r="H2397" s="62" t="str">
        <f>IF(AND('Data Export'!A2397=前十整体车型排名!$B$2,'Data Export'!B2397=前十整体车型排名!$B$3,'Data Export'!D2397&lt;&gt;""),UPPER('Data Export'!C2397)&amp;"♦"&amp;'Data Export'!D2397,"")</f>
        <v/>
      </c>
      <c r="I2397" s="63" t="str">
        <f>IF(H2397="","",IFERROR(INDEX('Data Export'!G2397:CZ2397,1,MATCH(前十整体车型排名!$B$4,'Data Export'!$G$1:$CZ$1,0)),0))</f>
        <v/>
      </c>
      <c r="J2397" s="62" t="str">
        <f>IF(H2397="","",IF(OR('Data Export'!F2397="三厢轿车",'Data Export'!F2397="掀背轿车",'Data Export'!F2397="旅行车",'Data Export'!F2397="微型车",'Data Export'!F2397="硬顶跑车",'Data Export'!F2397="敞蓬车",'Data Export'!F2397="Targa"),"轿车",IF(OR('Data Export'!F2397="小型MPV",'Data Export'!F2397="客车"),"MPV",IF('Data Export'!F2397="运动型多功能车","SUV","其他"))))</f>
        <v/>
      </c>
      <c r="K2397" s="62"/>
      <c r="L2397" s="62"/>
      <c r="M2397" s="62"/>
      <c r="N2397" s="62"/>
      <c r="O2397" s="62"/>
      <c r="P2397" s="62"/>
      <c r="Q2397" s="62"/>
    </row>
    <row r="2398" spans="1:17">
      <c r="A2398" s="62"/>
      <c r="B2398" s="62"/>
      <c r="C2398" s="62"/>
      <c r="D2398" s="62"/>
      <c r="E2398" s="62"/>
      <c r="F2398" s="62"/>
      <c r="G2398" s="62"/>
      <c r="H2398" s="62" t="str">
        <f>IF(AND('Data Export'!A2398=前十整体车型排名!$B$2,'Data Export'!B2398=前十整体车型排名!$B$3,'Data Export'!D2398&lt;&gt;""),UPPER('Data Export'!C2398)&amp;"♦"&amp;'Data Export'!D2398,"")</f>
        <v/>
      </c>
      <c r="I2398" s="63" t="str">
        <f>IF(H2398="","",IFERROR(INDEX('Data Export'!G2398:CZ2398,1,MATCH(前十整体车型排名!$B$4,'Data Export'!$G$1:$CZ$1,0)),0))</f>
        <v/>
      </c>
      <c r="J2398" s="62" t="str">
        <f>IF(H2398="","",IF(OR('Data Export'!F2398="三厢轿车",'Data Export'!F2398="掀背轿车",'Data Export'!F2398="旅行车",'Data Export'!F2398="微型车",'Data Export'!F2398="硬顶跑车",'Data Export'!F2398="敞蓬车",'Data Export'!F2398="Targa"),"轿车",IF(OR('Data Export'!F2398="小型MPV",'Data Export'!F2398="客车"),"MPV",IF('Data Export'!F2398="运动型多功能车","SUV","其他"))))</f>
        <v/>
      </c>
      <c r="K2398" s="62"/>
      <c r="L2398" s="62"/>
      <c r="M2398" s="62"/>
      <c r="N2398" s="62"/>
      <c r="O2398" s="62"/>
      <c r="P2398" s="62"/>
      <c r="Q2398" s="62"/>
    </row>
    <row r="2399" spans="1:17">
      <c r="A2399" s="62"/>
      <c r="B2399" s="62"/>
      <c r="C2399" s="62"/>
      <c r="D2399" s="62"/>
      <c r="E2399" s="62"/>
      <c r="F2399" s="62"/>
      <c r="G2399" s="62"/>
      <c r="H2399" s="62" t="str">
        <f>IF(AND('Data Export'!A2399=前十整体车型排名!$B$2,'Data Export'!B2399=前十整体车型排名!$B$3,'Data Export'!D2399&lt;&gt;""),UPPER('Data Export'!C2399)&amp;"♦"&amp;'Data Export'!D2399,"")</f>
        <v/>
      </c>
      <c r="I2399" s="63" t="str">
        <f>IF(H2399="","",IFERROR(INDEX('Data Export'!G2399:CZ2399,1,MATCH(前十整体车型排名!$B$4,'Data Export'!$G$1:$CZ$1,0)),0))</f>
        <v/>
      </c>
      <c r="J2399" s="62" t="str">
        <f>IF(H2399="","",IF(OR('Data Export'!F2399="三厢轿车",'Data Export'!F2399="掀背轿车",'Data Export'!F2399="旅行车",'Data Export'!F2399="微型车",'Data Export'!F2399="硬顶跑车",'Data Export'!F2399="敞蓬车",'Data Export'!F2399="Targa"),"轿车",IF(OR('Data Export'!F2399="小型MPV",'Data Export'!F2399="客车"),"MPV",IF('Data Export'!F2399="运动型多功能车","SUV","其他"))))</f>
        <v/>
      </c>
      <c r="K2399" s="62"/>
      <c r="L2399" s="62"/>
      <c r="M2399" s="62"/>
      <c r="N2399" s="62"/>
      <c r="O2399" s="62"/>
      <c r="P2399" s="62"/>
      <c r="Q2399" s="62"/>
    </row>
    <row r="2400" spans="1:17">
      <c r="A2400" s="62"/>
      <c r="B2400" s="62"/>
      <c r="C2400" s="62"/>
      <c r="D2400" s="62"/>
      <c r="E2400" s="62"/>
      <c r="F2400" s="62"/>
      <c r="G2400" s="62"/>
      <c r="H2400" s="62" t="str">
        <f>IF(AND('Data Export'!A2400=前十整体车型排名!$B$2,'Data Export'!B2400=前十整体车型排名!$B$3,'Data Export'!D2400&lt;&gt;""),UPPER('Data Export'!C2400)&amp;"♦"&amp;'Data Export'!D2400,"")</f>
        <v/>
      </c>
      <c r="I2400" s="63" t="str">
        <f>IF(H2400="","",IFERROR(INDEX('Data Export'!G2400:CZ2400,1,MATCH(前十整体车型排名!$B$4,'Data Export'!$G$1:$CZ$1,0)),0))</f>
        <v/>
      </c>
      <c r="J2400" s="62" t="str">
        <f>IF(H2400="","",IF(OR('Data Export'!F2400="三厢轿车",'Data Export'!F2400="掀背轿车",'Data Export'!F2400="旅行车",'Data Export'!F2400="微型车",'Data Export'!F2400="硬顶跑车",'Data Export'!F2400="敞蓬车",'Data Export'!F2400="Targa"),"轿车",IF(OR('Data Export'!F2400="小型MPV",'Data Export'!F2400="客车"),"MPV",IF('Data Export'!F2400="运动型多功能车","SUV","其他"))))</f>
        <v/>
      </c>
      <c r="K2400" s="62"/>
      <c r="L2400" s="62"/>
      <c r="M2400" s="62"/>
      <c r="N2400" s="62"/>
      <c r="O2400" s="62"/>
      <c r="P2400" s="62"/>
      <c r="Q2400" s="62"/>
    </row>
    <row r="2401" spans="1:17">
      <c r="A2401" s="62"/>
      <c r="B2401" s="62"/>
      <c r="C2401" s="62"/>
      <c r="D2401" s="62"/>
      <c r="E2401" s="62"/>
      <c r="F2401" s="62"/>
      <c r="G2401" s="62"/>
      <c r="H2401" s="62" t="str">
        <f>IF(AND('Data Export'!A2401=前十整体车型排名!$B$2,'Data Export'!B2401=前十整体车型排名!$B$3,'Data Export'!D2401&lt;&gt;""),UPPER('Data Export'!C2401)&amp;"♦"&amp;'Data Export'!D2401,"")</f>
        <v/>
      </c>
      <c r="I2401" s="63" t="str">
        <f>IF(H2401="","",IFERROR(INDEX('Data Export'!G2401:CZ2401,1,MATCH(前十整体车型排名!$B$4,'Data Export'!$G$1:$CZ$1,0)),0))</f>
        <v/>
      </c>
      <c r="J2401" s="62" t="str">
        <f>IF(H2401="","",IF(OR('Data Export'!F2401="三厢轿车",'Data Export'!F2401="掀背轿车",'Data Export'!F2401="旅行车",'Data Export'!F2401="微型车",'Data Export'!F2401="硬顶跑车",'Data Export'!F2401="敞蓬车",'Data Export'!F2401="Targa"),"轿车",IF(OR('Data Export'!F2401="小型MPV",'Data Export'!F2401="客车"),"MPV",IF('Data Export'!F2401="运动型多功能车","SUV","其他"))))</f>
        <v/>
      </c>
      <c r="K2401" s="62"/>
      <c r="L2401" s="62"/>
      <c r="M2401" s="62"/>
      <c r="N2401" s="62"/>
      <c r="O2401" s="62"/>
      <c r="P2401" s="62"/>
      <c r="Q2401" s="62"/>
    </row>
    <row r="2402" spans="1:17">
      <c r="A2402" s="62"/>
      <c r="B2402" s="62"/>
      <c r="C2402" s="62"/>
      <c r="D2402" s="62"/>
      <c r="E2402" s="62"/>
      <c r="F2402" s="62"/>
      <c r="G2402" s="62"/>
      <c r="H2402" s="62" t="str">
        <f>IF(AND('Data Export'!A2402=前十整体车型排名!$B$2,'Data Export'!B2402=前十整体车型排名!$B$3,'Data Export'!D2402&lt;&gt;""),UPPER('Data Export'!C2402)&amp;"♦"&amp;'Data Export'!D2402,"")</f>
        <v/>
      </c>
      <c r="I2402" s="63" t="str">
        <f>IF(H2402="","",IFERROR(INDEX('Data Export'!G2402:CZ2402,1,MATCH(前十整体车型排名!$B$4,'Data Export'!$G$1:$CZ$1,0)),0))</f>
        <v/>
      </c>
      <c r="J2402" s="62" t="str">
        <f>IF(H2402="","",IF(OR('Data Export'!F2402="三厢轿车",'Data Export'!F2402="掀背轿车",'Data Export'!F2402="旅行车",'Data Export'!F2402="微型车",'Data Export'!F2402="硬顶跑车",'Data Export'!F2402="敞蓬车",'Data Export'!F2402="Targa"),"轿车",IF(OR('Data Export'!F2402="小型MPV",'Data Export'!F2402="客车"),"MPV",IF('Data Export'!F2402="运动型多功能车","SUV","其他"))))</f>
        <v/>
      </c>
      <c r="K2402" s="62"/>
      <c r="L2402" s="62"/>
      <c r="M2402" s="62"/>
      <c r="N2402" s="62"/>
      <c r="O2402" s="62"/>
      <c r="P2402" s="62"/>
      <c r="Q2402" s="62"/>
    </row>
    <row r="2403" spans="1:17">
      <c r="A2403" s="62"/>
      <c r="B2403" s="62"/>
      <c r="C2403" s="62"/>
      <c r="D2403" s="62"/>
      <c r="E2403" s="62"/>
      <c r="F2403" s="62"/>
      <c r="G2403" s="62"/>
      <c r="H2403" s="62" t="str">
        <f>IF(AND('Data Export'!A2403=前十整体车型排名!$B$2,'Data Export'!B2403=前十整体车型排名!$B$3,'Data Export'!D2403&lt;&gt;""),UPPER('Data Export'!C2403)&amp;"♦"&amp;'Data Export'!D2403,"")</f>
        <v/>
      </c>
      <c r="I2403" s="63" t="str">
        <f>IF(H2403="","",IFERROR(INDEX('Data Export'!G2403:CZ2403,1,MATCH(前十整体车型排名!$B$4,'Data Export'!$G$1:$CZ$1,0)),0))</f>
        <v/>
      </c>
      <c r="J2403" s="62" t="str">
        <f>IF(H2403="","",IF(OR('Data Export'!F2403="三厢轿车",'Data Export'!F2403="掀背轿车",'Data Export'!F2403="旅行车",'Data Export'!F2403="微型车",'Data Export'!F2403="硬顶跑车",'Data Export'!F2403="敞蓬车",'Data Export'!F2403="Targa"),"轿车",IF(OR('Data Export'!F2403="小型MPV",'Data Export'!F2403="客车"),"MPV",IF('Data Export'!F2403="运动型多功能车","SUV","其他"))))</f>
        <v/>
      </c>
      <c r="K2403" s="62"/>
      <c r="L2403" s="62"/>
      <c r="M2403" s="62"/>
      <c r="N2403" s="62"/>
      <c r="O2403" s="62"/>
      <c r="P2403" s="62"/>
      <c r="Q2403" s="62"/>
    </row>
    <row r="2404" spans="1:17">
      <c r="A2404" s="62"/>
      <c r="B2404" s="62"/>
      <c r="C2404" s="62"/>
      <c r="D2404" s="62"/>
      <c r="E2404" s="62"/>
      <c r="F2404" s="62"/>
      <c r="G2404" s="62"/>
      <c r="H2404" s="62" t="str">
        <f>IF(AND('Data Export'!A2404=前十整体车型排名!$B$2,'Data Export'!B2404=前十整体车型排名!$B$3,'Data Export'!D2404&lt;&gt;""),UPPER('Data Export'!C2404)&amp;"♦"&amp;'Data Export'!D2404,"")</f>
        <v/>
      </c>
      <c r="I2404" s="63" t="str">
        <f>IF(H2404="","",IFERROR(INDEX('Data Export'!G2404:CZ2404,1,MATCH(前十整体车型排名!$B$4,'Data Export'!$G$1:$CZ$1,0)),0))</f>
        <v/>
      </c>
      <c r="J2404" s="62" t="str">
        <f>IF(H2404="","",IF(OR('Data Export'!F2404="三厢轿车",'Data Export'!F2404="掀背轿车",'Data Export'!F2404="旅行车",'Data Export'!F2404="微型车",'Data Export'!F2404="硬顶跑车",'Data Export'!F2404="敞蓬车",'Data Export'!F2404="Targa"),"轿车",IF(OR('Data Export'!F2404="小型MPV",'Data Export'!F2404="客车"),"MPV",IF('Data Export'!F2404="运动型多功能车","SUV","其他"))))</f>
        <v/>
      </c>
      <c r="K2404" s="62"/>
      <c r="L2404" s="62"/>
      <c r="M2404" s="62"/>
      <c r="N2404" s="62"/>
      <c r="O2404" s="62"/>
      <c r="P2404" s="62"/>
      <c r="Q2404" s="62"/>
    </row>
    <row r="2405" spans="1:17">
      <c r="A2405" s="62"/>
      <c r="B2405" s="62"/>
      <c r="C2405" s="62"/>
      <c r="D2405" s="62"/>
      <c r="E2405" s="62"/>
      <c r="F2405" s="62"/>
      <c r="G2405" s="62"/>
      <c r="H2405" s="62" t="str">
        <f>IF(AND('Data Export'!A2405=前十整体车型排名!$B$2,'Data Export'!B2405=前十整体车型排名!$B$3,'Data Export'!D2405&lt;&gt;""),UPPER('Data Export'!C2405)&amp;"♦"&amp;'Data Export'!D2405,"")</f>
        <v/>
      </c>
      <c r="I2405" s="63" t="str">
        <f>IF(H2405="","",IFERROR(INDEX('Data Export'!G2405:CZ2405,1,MATCH(前十整体车型排名!$B$4,'Data Export'!$G$1:$CZ$1,0)),0))</f>
        <v/>
      </c>
      <c r="J2405" s="62" t="str">
        <f>IF(H2405="","",IF(OR('Data Export'!F2405="三厢轿车",'Data Export'!F2405="掀背轿车",'Data Export'!F2405="旅行车",'Data Export'!F2405="微型车",'Data Export'!F2405="硬顶跑车",'Data Export'!F2405="敞蓬车",'Data Export'!F2405="Targa"),"轿车",IF(OR('Data Export'!F2405="小型MPV",'Data Export'!F2405="客车"),"MPV",IF('Data Export'!F2405="运动型多功能车","SUV","其他"))))</f>
        <v/>
      </c>
      <c r="K2405" s="62"/>
      <c r="L2405" s="62"/>
      <c r="M2405" s="62"/>
      <c r="N2405" s="62"/>
      <c r="O2405" s="62"/>
      <c r="P2405" s="62"/>
      <c r="Q2405" s="62"/>
    </row>
    <row r="2406" spans="1:17">
      <c r="A2406" s="62"/>
      <c r="B2406" s="62"/>
      <c r="C2406" s="62"/>
      <c r="D2406" s="62"/>
      <c r="E2406" s="62"/>
      <c r="F2406" s="62"/>
      <c r="G2406" s="62"/>
      <c r="H2406" s="62" t="str">
        <f>IF(AND('Data Export'!A2406=前十整体车型排名!$B$2,'Data Export'!B2406=前十整体车型排名!$B$3,'Data Export'!D2406&lt;&gt;""),UPPER('Data Export'!C2406)&amp;"♦"&amp;'Data Export'!D2406,"")</f>
        <v/>
      </c>
      <c r="I2406" s="63" t="str">
        <f>IF(H2406="","",IFERROR(INDEX('Data Export'!G2406:CZ2406,1,MATCH(前十整体车型排名!$B$4,'Data Export'!$G$1:$CZ$1,0)),0))</f>
        <v/>
      </c>
      <c r="J2406" s="62" t="str">
        <f>IF(H2406="","",IF(OR('Data Export'!F2406="三厢轿车",'Data Export'!F2406="掀背轿车",'Data Export'!F2406="旅行车",'Data Export'!F2406="微型车",'Data Export'!F2406="硬顶跑车",'Data Export'!F2406="敞蓬车",'Data Export'!F2406="Targa"),"轿车",IF(OR('Data Export'!F2406="小型MPV",'Data Export'!F2406="客车"),"MPV",IF('Data Export'!F2406="运动型多功能车","SUV","其他"))))</f>
        <v/>
      </c>
      <c r="K2406" s="62"/>
      <c r="L2406" s="62"/>
      <c r="M2406" s="62"/>
      <c r="N2406" s="62"/>
      <c r="O2406" s="62"/>
      <c r="P2406" s="62"/>
      <c r="Q2406" s="62"/>
    </row>
    <row r="2407" spans="1:17">
      <c r="A2407" s="62"/>
      <c r="B2407" s="62"/>
      <c r="C2407" s="62"/>
      <c r="D2407" s="62"/>
      <c r="E2407" s="62"/>
      <c r="F2407" s="62"/>
      <c r="G2407" s="62"/>
      <c r="H2407" s="62" t="str">
        <f>IF(AND('Data Export'!A2407=前十整体车型排名!$B$2,'Data Export'!B2407=前十整体车型排名!$B$3,'Data Export'!D2407&lt;&gt;""),UPPER('Data Export'!C2407)&amp;"♦"&amp;'Data Export'!D2407,"")</f>
        <v/>
      </c>
      <c r="I2407" s="63" t="str">
        <f>IF(H2407="","",IFERROR(INDEX('Data Export'!G2407:CZ2407,1,MATCH(前十整体车型排名!$B$4,'Data Export'!$G$1:$CZ$1,0)),0))</f>
        <v/>
      </c>
      <c r="J2407" s="62" t="str">
        <f>IF(H2407="","",IF(OR('Data Export'!F2407="三厢轿车",'Data Export'!F2407="掀背轿车",'Data Export'!F2407="旅行车",'Data Export'!F2407="微型车",'Data Export'!F2407="硬顶跑车",'Data Export'!F2407="敞蓬车",'Data Export'!F2407="Targa"),"轿车",IF(OR('Data Export'!F2407="小型MPV",'Data Export'!F2407="客车"),"MPV",IF('Data Export'!F2407="运动型多功能车","SUV","其他"))))</f>
        <v/>
      </c>
      <c r="K2407" s="62"/>
      <c r="L2407" s="62"/>
      <c r="M2407" s="62"/>
      <c r="N2407" s="62"/>
      <c r="O2407" s="62"/>
      <c r="P2407" s="62"/>
      <c r="Q2407" s="62"/>
    </row>
    <row r="2408" spans="1:17">
      <c r="A2408" s="62"/>
      <c r="B2408" s="62"/>
      <c r="C2408" s="62"/>
      <c r="D2408" s="62"/>
      <c r="E2408" s="62"/>
      <c r="F2408" s="62"/>
      <c r="G2408" s="62"/>
      <c r="H2408" s="62" t="str">
        <f>IF(AND('Data Export'!A2408=前十整体车型排名!$B$2,'Data Export'!B2408=前十整体车型排名!$B$3,'Data Export'!D2408&lt;&gt;""),UPPER('Data Export'!C2408)&amp;"♦"&amp;'Data Export'!D2408,"")</f>
        <v/>
      </c>
      <c r="I2408" s="63" t="str">
        <f>IF(H2408="","",IFERROR(INDEX('Data Export'!G2408:CZ2408,1,MATCH(前十整体车型排名!$B$4,'Data Export'!$G$1:$CZ$1,0)),0))</f>
        <v/>
      </c>
      <c r="J2408" s="62" t="str">
        <f>IF(H2408="","",IF(OR('Data Export'!F2408="三厢轿车",'Data Export'!F2408="掀背轿车",'Data Export'!F2408="旅行车",'Data Export'!F2408="微型车",'Data Export'!F2408="硬顶跑车",'Data Export'!F2408="敞蓬车",'Data Export'!F2408="Targa"),"轿车",IF(OR('Data Export'!F2408="小型MPV",'Data Export'!F2408="客车"),"MPV",IF('Data Export'!F2408="运动型多功能车","SUV","其他"))))</f>
        <v/>
      </c>
      <c r="K2408" s="62"/>
      <c r="L2408" s="62"/>
      <c r="M2408" s="62"/>
      <c r="N2408" s="62"/>
      <c r="O2408" s="62"/>
      <c r="P2408" s="62"/>
      <c r="Q2408" s="62"/>
    </row>
    <row r="2409" spans="1:17">
      <c r="A2409" s="62"/>
      <c r="B2409" s="62"/>
      <c r="C2409" s="62"/>
      <c r="D2409" s="62"/>
      <c r="E2409" s="62"/>
      <c r="F2409" s="62"/>
      <c r="G2409" s="62"/>
      <c r="H2409" s="62" t="str">
        <f>IF(AND('Data Export'!A2409=前十整体车型排名!$B$2,'Data Export'!B2409=前十整体车型排名!$B$3,'Data Export'!D2409&lt;&gt;""),UPPER('Data Export'!C2409)&amp;"♦"&amp;'Data Export'!D2409,"")</f>
        <v/>
      </c>
      <c r="I2409" s="63" t="str">
        <f>IF(H2409="","",IFERROR(INDEX('Data Export'!G2409:CZ2409,1,MATCH(前十整体车型排名!$B$4,'Data Export'!$G$1:$CZ$1,0)),0))</f>
        <v/>
      </c>
      <c r="J2409" s="62" t="str">
        <f>IF(H2409="","",IF(OR('Data Export'!F2409="三厢轿车",'Data Export'!F2409="掀背轿车",'Data Export'!F2409="旅行车",'Data Export'!F2409="微型车",'Data Export'!F2409="硬顶跑车",'Data Export'!F2409="敞蓬车",'Data Export'!F2409="Targa"),"轿车",IF(OR('Data Export'!F2409="小型MPV",'Data Export'!F2409="客车"),"MPV",IF('Data Export'!F2409="运动型多功能车","SUV","其他"))))</f>
        <v/>
      </c>
      <c r="K2409" s="62"/>
      <c r="L2409" s="62"/>
      <c r="M2409" s="62"/>
      <c r="N2409" s="62"/>
      <c r="O2409" s="62"/>
      <c r="P2409" s="62"/>
      <c r="Q2409" s="62"/>
    </row>
    <row r="2410" spans="1:17">
      <c r="A2410" s="62"/>
      <c r="B2410" s="62"/>
      <c r="C2410" s="62"/>
      <c r="D2410" s="62"/>
      <c r="E2410" s="62"/>
      <c r="F2410" s="62"/>
      <c r="G2410" s="62"/>
      <c r="H2410" s="62" t="str">
        <f>IF(AND('Data Export'!A2410=前十整体车型排名!$B$2,'Data Export'!B2410=前十整体车型排名!$B$3,'Data Export'!D2410&lt;&gt;""),UPPER('Data Export'!C2410)&amp;"♦"&amp;'Data Export'!D2410,"")</f>
        <v/>
      </c>
      <c r="I2410" s="63" t="str">
        <f>IF(H2410="","",IFERROR(INDEX('Data Export'!G2410:CZ2410,1,MATCH(前十整体车型排名!$B$4,'Data Export'!$G$1:$CZ$1,0)),0))</f>
        <v/>
      </c>
      <c r="J2410" s="62" t="str">
        <f>IF(H2410="","",IF(OR('Data Export'!F2410="三厢轿车",'Data Export'!F2410="掀背轿车",'Data Export'!F2410="旅行车",'Data Export'!F2410="微型车",'Data Export'!F2410="硬顶跑车",'Data Export'!F2410="敞蓬车",'Data Export'!F2410="Targa"),"轿车",IF(OR('Data Export'!F2410="小型MPV",'Data Export'!F2410="客车"),"MPV",IF('Data Export'!F2410="运动型多功能车","SUV","其他"))))</f>
        <v/>
      </c>
      <c r="K2410" s="62"/>
      <c r="L2410" s="62"/>
      <c r="M2410" s="62"/>
      <c r="N2410" s="62"/>
      <c r="O2410" s="62"/>
      <c r="P2410" s="62"/>
      <c r="Q2410" s="62"/>
    </row>
    <row r="2411" spans="1:17">
      <c r="A2411" s="62"/>
      <c r="B2411" s="62"/>
      <c r="C2411" s="62"/>
      <c r="D2411" s="62"/>
      <c r="E2411" s="62"/>
      <c r="F2411" s="62"/>
      <c r="G2411" s="62"/>
      <c r="H2411" s="62" t="str">
        <f>IF(AND('Data Export'!A2411=前十整体车型排名!$B$2,'Data Export'!B2411=前十整体车型排名!$B$3,'Data Export'!D2411&lt;&gt;""),UPPER('Data Export'!C2411)&amp;"♦"&amp;'Data Export'!D2411,"")</f>
        <v/>
      </c>
      <c r="I2411" s="63" t="str">
        <f>IF(H2411="","",IFERROR(INDEX('Data Export'!G2411:CZ2411,1,MATCH(前十整体车型排名!$B$4,'Data Export'!$G$1:$CZ$1,0)),0))</f>
        <v/>
      </c>
      <c r="J2411" s="62" t="str">
        <f>IF(H2411="","",IF(OR('Data Export'!F2411="三厢轿车",'Data Export'!F2411="掀背轿车",'Data Export'!F2411="旅行车",'Data Export'!F2411="微型车",'Data Export'!F2411="硬顶跑车",'Data Export'!F2411="敞蓬车",'Data Export'!F2411="Targa"),"轿车",IF(OR('Data Export'!F2411="小型MPV",'Data Export'!F2411="客车"),"MPV",IF('Data Export'!F2411="运动型多功能车","SUV","其他"))))</f>
        <v/>
      </c>
      <c r="K2411" s="62"/>
      <c r="L2411" s="62"/>
      <c r="M2411" s="62"/>
      <c r="N2411" s="62"/>
      <c r="O2411" s="62"/>
      <c r="P2411" s="62"/>
      <c r="Q2411" s="62"/>
    </row>
    <row r="2412" spans="1:17">
      <c r="A2412" s="62"/>
      <c r="B2412" s="62"/>
      <c r="C2412" s="62"/>
      <c r="D2412" s="62"/>
      <c r="E2412" s="62"/>
      <c r="F2412" s="62"/>
      <c r="G2412" s="62"/>
      <c r="H2412" s="62" t="str">
        <f>IF(AND('Data Export'!A2412=前十整体车型排名!$B$2,'Data Export'!B2412=前十整体车型排名!$B$3,'Data Export'!D2412&lt;&gt;""),UPPER('Data Export'!C2412)&amp;"♦"&amp;'Data Export'!D2412,"")</f>
        <v/>
      </c>
      <c r="I2412" s="63" t="str">
        <f>IF(H2412="","",IFERROR(INDEX('Data Export'!G2412:CZ2412,1,MATCH(前十整体车型排名!$B$4,'Data Export'!$G$1:$CZ$1,0)),0))</f>
        <v/>
      </c>
      <c r="J2412" s="62" t="str">
        <f>IF(H2412="","",IF(OR('Data Export'!F2412="三厢轿车",'Data Export'!F2412="掀背轿车",'Data Export'!F2412="旅行车",'Data Export'!F2412="微型车",'Data Export'!F2412="硬顶跑车",'Data Export'!F2412="敞蓬车",'Data Export'!F2412="Targa"),"轿车",IF(OR('Data Export'!F2412="小型MPV",'Data Export'!F2412="客车"),"MPV",IF('Data Export'!F2412="运动型多功能车","SUV","其他"))))</f>
        <v/>
      </c>
      <c r="K2412" s="62"/>
      <c r="L2412" s="62"/>
      <c r="M2412" s="62"/>
      <c r="N2412" s="62"/>
      <c r="O2412" s="62"/>
      <c r="P2412" s="62"/>
      <c r="Q2412" s="62"/>
    </row>
    <row r="2413" spans="1:17">
      <c r="A2413" s="62"/>
      <c r="B2413" s="62"/>
      <c r="C2413" s="62"/>
      <c r="D2413" s="62"/>
      <c r="E2413" s="62"/>
      <c r="F2413" s="62"/>
      <c r="G2413" s="62"/>
      <c r="H2413" s="62" t="str">
        <f>IF(AND('Data Export'!A2413=前十整体车型排名!$B$2,'Data Export'!B2413=前十整体车型排名!$B$3,'Data Export'!D2413&lt;&gt;""),UPPER('Data Export'!C2413)&amp;"♦"&amp;'Data Export'!D2413,"")</f>
        <v/>
      </c>
      <c r="I2413" s="63" t="str">
        <f>IF(H2413="","",IFERROR(INDEX('Data Export'!G2413:CZ2413,1,MATCH(前十整体车型排名!$B$4,'Data Export'!$G$1:$CZ$1,0)),0))</f>
        <v/>
      </c>
      <c r="J2413" s="62" t="str">
        <f>IF(H2413="","",IF(OR('Data Export'!F2413="三厢轿车",'Data Export'!F2413="掀背轿车",'Data Export'!F2413="旅行车",'Data Export'!F2413="微型车",'Data Export'!F2413="硬顶跑车",'Data Export'!F2413="敞蓬车",'Data Export'!F2413="Targa"),"轿车",IF(OR('Data Export'!F2413="小型MPV",'Data Export'!F2413="客车"),"MPV",IF('Data Export'!F2413="运动型多功能车","SUV","其他"))))</f>
        <v/>
      </c>
      <c r="K2413" s="62"/>
      <c r="L2413" s="62"/>
      <c r="M2413" s="62"/>
      <c r="N2413" s="62"/>
      <c r="O2413" s="62"/>
      <c r="P2413" s="62"/>
      <c r="Q2413" s="62"/>
    </row>
    <row r="2414" spans="1:17">
      <c r="A2414" s="62"/>
      <c r="B2414" s="62"/>
      <c r="C2414" s="62"/>
      <c r="D2414" s="62"/>
      <c r="E2414" s="62"/>
      <c r="F2414" s="62"/>
      <c r="G2414" s="62"/>
      <c r="H2414" s="62" t="str">
        <f>IF(AND('Data Export'!A2414=前十整体车型排名!$B$2,'Data Export'!B2414=前十整体车型排名!$B$3,'Data Export'!D2414&lt;&gt;""),UPPER('Data Export'!C2414)&amp;"♦"&amp;'Data Export'!D2414,"")</f>
        <v/>
      </c>
      <c r="I2414" s="63" t="str">
        <f>IF(H2414="","",IFERROR(INDEX('Data Export'!G2414:CZ2414,1,MATCH(前十整体车型排名!$B$4,'Data Export'!$G$1:$CZ$1,0)),0))</f>
        <v/>
      </c>
      <c r="J2414" s="62" t="str">
        <f>IF(H2414="","",IF(OR('Data Export'!F2414="三厢轿车",'Data Export'!F2414="掀背轿车",'Data Export'!F2414="旅行车",'Data Export'!F2414="微型车",'Data Export'!F2414="硬顶跑车",'Data Export'!F2414="敞蓬车",'Data Export'!F2414="Targa"),"轿车",IF(OR('Data Export'!F2414="小型MPV",'Data Export'!F2414="客车"),"MPV",IF('Data Export'!F2414="运动型多功能车","SUV","其他"))))</f>
        <v/>
      </c>
      <c r="K2414" s="62"/>
      <c r="L2414" s="62"/>
      <c r="M2414" s="62"/>
      <c r="N2414" s="62"/>
      <c r="O2414" s="62"/>
      <c r="P2414" s="62"/>
      <c r="Q2414" s="62"/>
    </row>
    <row r="2415" spans="1:17">
      <c r="A2415" s="62"/>
      <c r="B2415" s="62"/>
      <c r="C2415" s="62"/>
      <c r="D2415" s="62"/>
      <c r="E2415" s="62"/>
      <c r="F2415" s="62"/>
      <c r="G2415" s="62"/>
      <c r="H2415" s="62" t="str">
        <f>IF(AND('Data Export'!A2415=前十整体车型排名!$B$2,'Data Export'!B2415=前十整体车型排名!$B$3,'Data Export'!D2415&lt;&gt;""),UPPER('Data Export'!C2415)&amp;"♦"&amp;'Data Export'!D2415,"")</f>
        <v/>
      </c>
      <c r="I2415" s="63" t="str">
        <f>IF(H2415="","",IFERROR(INDEX('Data Export'!G2415:CZ2415,1,MATCH(前十整体车型排名!$B$4,'Data Export'!$G$1:$CZ$1,0)),0))</f>
        <v/>
      </c>
      <c r="J2415" s="62" t="str">
        <f>IF(H2415="","",IF(OR('Data Export'!F2415="三厢轿车",'Data Export'!F2415="掀背轿车",'Data Export'!F2415="旅行车",'Data Export'!F2415="微型车",'Data Export'!F2415="硬顶跑车",'Data Export'!F2415="敞蓬车",'Data Export'!F2415="Targa"),"轿车",IF(OR('Data Export'!F2415="小型MPV",'Data Export'!F2415="客车"),"MPV",IF('Data Export'!F2415="运动型多功能车","SUV","其他"))))</f>
        <v/>
      </c>
      <c r="K2415" s="62"/>
      <c r="L2415" s="62"/>
      <c r="M2415" s="62"/>
      <c r="N2415" s="62"/>
      <c r="O2415" s="62"/>
      <c r="P2415" s="62"/>
      <c r="Q2415" s="62"/>
    </row>
    <row r="2416" spans="1:17">
      <c r="A2416" s="62"/>
      <c r="B2416" s="62"/>
      <c r="C2416" s="62"/>
      <c r="D2416" s="62"/>
      <c r="E2416" s="62"/>
      <c r="F2416" s="62"/>
      <c r="G2416" s="62"/>
      <c r="H2416" s="62" t="str">
        <f>IF(AND('Data Export'!A2416=前十整体车型排名!$B$2,'Data Export'!B2416=前十整体车型排名!$B$3,'Data Export'!D2416&lt;&gt;""),UPPER('Data Export'!C2416)&amp;"♦"&amp;'Data Export'!D2416,"")</f>
        <v/>
      </c>
      <c r="I2416" s="63" t="str">
        <f>IF(H2416="","",IFERROR(INDEX('Data Export'!G2416:CZ2416,1,MATCH(前十整体车型排名!$B$4,'Data Export'!$G$1:$CZ$1,0)),0))</f>
        <v/>
      </c>
      <c r="J2416" s="62" t="str">
        <f>IF(H2416="","",IF(OR('Data Export'!F2416="三厢轿车",'Data Export'!F2416="掀背轿车",'Data Export'!F2416="旅行车",'Data Export'!F2416="微型车",'Data Export'!F2416="硬顶跑车",'Data Export'!F2416="敞蓬车",'Data Export'!F2416="Targa"),"轿车",IF(OR('Data Export'!F2416="小型MPV",'Data Export'!F2416="客车"),"MPV",IF('Data Export'!F2416="运动型多功能车","SUV","其他"))))</f>
        <v/>
      </c>
      <c r="K2416" s="62"/>
      <c r="L2416" s="62"/>
      <c r="M2416" s="62"/>
      <c r="N2416" s="62"/>
      <c r="O2416" s="62"/>
      <c r="P2416" s="62"/>
      <c r="Q2416" s="62"/>
    </row>
    <row r="2417" spans="1:17">
      <c r="A2417" s="62"/>
      <c r="B2417" s="62"/>
      <c r="C2417" s="62"/>
      <c r="D2417" s="62"/>
      <c r="E2417" s="62"/>
      <c r="F2417" s="62"/>
      <c r="G2417" s="62"/>
      <c r="H2417" s="62" t="str">
        <f>IF(AND('Data Export'!A2417=前十整体车型排名!$B$2,'Data Export'!B2417=前十整体车型排名!$B$3,'Data Export'!D2417&lt;&gt;""),UPPER('Data Export'!C2417)&amp;"♦"&amp;'Data Export'!D2417,"")</f>
        <v/>
      </c>
      <c r="I2417" s="63" t="str">
        <f>IF(H2417="","",IFERROR(INDEX('Data Export'!G2417:CZ2417,1,MATCH(前十整体车型排名!$B$4,'Data Export'!$G$1:$CZ$1,0)),0))</f>
        <v/>
      </c>
      <c r="J2417" s="62" t="str">
        <f>IF(H2417="","",IF(OR('Data Export'!F2417="三厢轿车",'Data Export'!F2417="掀背轿车",'Data Export'!F2417="旅行车",'Data Export'!F2417="微型车",'Data Export'!F2417="硬顶跑车",'Data Export'!F2417="敞蓬车",'Data Export'!F2417="Targa"),"轿车",IF(OR('Data Export'!F2417="小型MPV",'Data Export'!F2417="客车"),"MPV",IF('Data Export'!F2417="运动型多功能车","SUV","其他"))))</f>
        <v/>
      </c>
      <c r="K2417" s="62"/>
      <c r="L2417" s="62"/>
      <c r="M2417" s="62"/>
      <c r="N2417" s="62"/>
      <c r="O2417" s="62"/>
      <c r="P2417" s="62"/>
      <c r="Q2417" s="62"/>
    </row>
    <row r="2418" spans="1:17">
      <c r="A2418" s="62"/>
      <c r="B2418" s="62"/>
      <c r="C2418" s="62"/>
      <c r="D2418" s="62"/>
      <c r="E2418" s="62"/>
      <c r="F2418" s="62"/>
      <c r="G2418" s="62"/>
      <c r="H2418" s="62" t="str">
        <f>IF(AND('Data Export'!A2418=前十整体车型排名!$B$2,'Data Export'!B2418=前十整体车型排名!$B$3,'Data Export'!D2418&lt;&gt;""),UPPER('Data Export'!C2418)&amp;"♦"&amp;'Data Export'!D2418,"")</f>
        <v/>
      </c>
      <c r="I2418" s="63" t="str">
        <f>IF(H2418="","",IFERROR(INDEX('Data Export'!G2418:CZ2418,1,MATCH(前十整体车型排名!$B$4,'Data Export'!$G$1:$CZ$1,0)),0))</f>
        <v/>
      </c>
      <c r="J2418" s="62" t="str">
        <f>IF(H2418="","",IF(OR('Data Export'!F2418="三厢轿车",'Data Export'!F2418="掀背轿车",'Data Export'!F2418="旅行车",'Data Export'!F2418="微型车",'Data Export'!F2418="硬顶跑车",'Data Export'!F2418="敞蓬车",'Data Export'!F2418="Targa"),"轿车",IF(OR('Data Export'!F2418="小型MPV",'Data Export'!F2418="客车"),"MPV",IF('Data Export'!F2418="运动型多功能车","SUV","其他"))))</f>
        <v/>
      </c>
      <c r="K2418" s="62"/>
      <c r="L2418" s="62"/>
      <c r="M2418" s="62"/>
      <c r="N2418" s="62"/>
      <c r="O2418" s="62"/>
      <c r="P2418" s="62"/>
      <c r="Q2418" s="62"/>
    </row>
    <row r="2419" spans="1:17">
      <c r="A2419" s="62"/>
      <c r="B2419" s="62"/>
      <c r="C2419" s="62"/>
      <c r="D2419" s="62"/>
      <c r="E2419" s="62"/>
      <c r="F2419" s="62"/>
      <c r="G2419" s="62"/>
      <c r="H2419" s="62" t="str">
        <f>IF(AND('Data Export'!A2419=前十整体车型排名!$B$2,'Data Export'!B2419=前十整体车型排名!$B$3,'Data Export'!D2419&lt;&gt;""),UPPER('Data Export'!C2419)&amp;"♦"&amp;'Data Export'!D2419,"")</f>
        <v/>
      </c>
      <c r="I2419" s="63" t="str">
        <f>IF(H2419="","",IFERROR(INDEX('Data Export'!G2419:CZ2419,1,MATCH(前十整体车型排名!$B$4,'Data Export'!$G$1:$CZ$1,0)),0))</f>
        <v/>
      </c>
      <c r="J2419" s="62" t="str">
        <f>IF(H2419="","",IF(OR('Data Export'!F2419="三厢轿车",'Data Export'!F2419="掀背轿车",'Data Export'!F2419="旅行车",'Data Export'!F2419="微型车",'Data Export'!F2419="硬顶跑车",'Data Export'!F2419="敞蓬车",'Data Export'!F2419="Targa"),"轿车",IF(OR('Data Export'!F2419="小型MPV",'Data Export'!F2419="客车"),"MPV",IF('Data Export'!F2419="运动型多功能车","SUV","其他"))))</f>
        <v/>
      </c>
      <c r="K2419" s="62"/>
      <c r="L2419" s="62"/>
      <c r="M2419" s="62"/>
      <c r="N2419" s="62"/>
      <c r="O2419" s="62"/>
      <c r="P2419" s="62"/>
      <c r="Q2419" s="62"/>
    </row>
    <row r="2420" spans="1:17">
      <c r="A2420" s="62"/>
      <c r="B2420" s="62"/>
      <c r="C2420" s="62"/>
      <c r="D2420" s="62"/>
      <c r="E2420" s="62"/>
      <c r="F2420" s="62"/>
      <c r="G2420" s="62"/>
      <c r="H2420" s="62" t="str">
        <f>IF(AND('Data Export'!A2420=前十整体车型排名!$B$2,'Data Export'!B2420=前十整体车型排名!$B$3,'Data Export'!D2420&lt;&gt;""),UPPER('Data Export'!C2420)&amp;"♦"&amp;'Data Export'!D2420,"")</f>
        <v/>
      </c>
      <c r="I2420" s="63" t="str">
        <f>IF(H2420="","",IFERROR(INDEX('Data Export'!G2420:CZ2420,1,MATCH(前十整体车型排名!$B$4,'Data Export'!$G$1:$CZ$1,0)),0))</f>
        <v/>
      </c>
      <c r="J2420" s="62" t="str">
        <f>IF(H2420="","",IF(OR('Data Export'!F2420="三厢轿车",'Data Export'!F2420="掀背轿车",'Data Export'!F2420="旅行车",'Data Export'!F2420="微型车",'Data Export'!F2420="硬顶跑车",'Data Export'!F2420="敞蓬车",'Data Export'!F2420="Targa"),"轿车",IF(OR('Data Export'!F2420="小型MPV",'Data Export'!F2420="客车"),"MPV",IF('Data Export'!F2420="运动型多功能车","SUV","其他"))))</f>
        <v/>
      </c>
      <c r="K2420" s="62"/>
      <c r="L2420" s="62"/>
      <c r="M2420" s="62"/>
      <c r="N2420" s="62"/>
      <c r="O2420" s="62"/>
      <c r="P2420" s="62"/>
      <c r="Q2420" s="62"/>
    </row>
    <row r="2421" spans="1:17">
      <c r="A2421" s="62"/>
      <c r="B2421" s="62"/>
      <c r="C2421" s="62"/>
      <c r="D2421" s="62"/>
      <c r="E2421" s="62"/>
      <c r="F2421" s="62"/>
      <c r="G2421" s="62"/>
      <c r="H2421" s="62" t="str">
        <f>IF(AND('Data Export'!A2421=前十整体车型排名!$B$2,'Data Export'!B2421=前十整体车型排名!$B$3,'Data Export'!D2421&lt;&gt;""),UPPER('Data Export'!C2421)&amp;"♦"&amp;'Data Export'!D2421,"")</f>
        <v/>
      </c>
      <c r="I2421" s="63" t="str">
        <f>IF(H2421="","",IFERROR(INDEX('Data Export'!G2421:CZ2421,1,MATCH(前十整体车型排名!$B$4,'Data Export'!$G$1:$CZ$1,0)),0))</f>
        <v/>
      </c>
      <c r="J2421" s="62" t="str">
        <f>IF(H2421="","",IF(OR('Data Export'!F2421="三厢轿车",'Data Export'!F2421="掀背轿车",'Data Export'!F2421="旅行车",'Data Export'!F2421="微型车",'Data Export'!F2421="硬顶跑车",'Data Export'!F2421="敞蓬车",'Data Export'!F2421="Targa"),"轿车",IF(OR('Data Export'!F2421="小型MPV",'Data Export'!F2421="客车"),"MPV",IF('Data Export'!F2421="运动型多功能车","SUV","其他"))))</f>
        <v/>
      </c>
      <c r="K2421" s="62"/>
      <c r="L2421" s="62"/>
      <c r="M2421" s="62"/>
      <c r="N2421" s="62"/>
      <c r="O2421" s="62"/>
      <c r="P2421" s="62"/>
      <c r="Q2421" s="62"/>
    </row>
    <row r="2422" spans="1:17">
      <c r="A2422" s="62"/>
      <c r="B2422" s="62"/>
      <c r="C2422" s="62"/>
      <c r="D2422" s="62"/>
      <c r="E2422" s="62"/>
      <c r="F2422" s="62"/>
      <c r="G2422" s="62"/>
      <c r="H2422" s="62" t="str">
        <f>IF(AND('Data Export'!A2422=前十整体车型排名!$B$2,'Data Export'!B2422=前十整体车型排名!$B$3,'Data Export'!D2422&lt;&gt;""),UPPER('Data Export'!C2422)&amp;"♦"&amp;'Data Export'!D2422,"")</f>
        <v/>
      </c>
      <c r="I2422" s="63" t="str">
        <f>IF(H2422="","",IFERROR(INDEX('Data Export'!G2422:CZ2422,1,MATCH(前十整体车型排名!$B$4,'Data Export'!$G$1:$CZ$1,0)),0))</f>
        <v/>
      </c>
      <c r="J2422" s="62" t="str">
        <f>IF(H2422="","",IF(OR('Data Export'!F2422="三厢轿车",'Data Export'!F2422="掀背轿车",'Data Export'!F2422="旅行车",'Data Export'!F2422="微型车",'Data Export'!F2422="硬顶跑车",'Data Export'!F2422="敞蓬车",'Data Export'!F2422="Targa"),"轿车",IF(OR('Data Export'!F2422="小型MPV",'Data Export'!F2422="客车"),"MPV",IF('Data Export'!F2422="运动型多功能车","SUV","其他"))))</f>
        <v/>
      </c>
      <c r="K2422" s="62"/>
      <c r="L2422" s="62"/>
      <c r="M2422" s="62"/>
      <c r="N2422" s="62"/>
      <c r="O2422" s="62"/>
      <c r="P2422" s="62"/>
      <c r="Q2422" s="62"/>
    </row>
    <row r="2423" spans="1:17">
      <c r="A2423" s="62"/>
      <c r="B2423" s="62"/>
      <c r="C2423" s="62"/>
      <c r="D2423" s="62"/>
      <c r="E2423" s="62"/>
      <c r="F2423" s="62"/>
      <c r="G2423" s="62"/>
      <c r="H2423" s="62" t="str">
        <f>IF(AND('Data Export'!A2423=前十整体车型排名!$B$2,'Data Export'!B2423=前十整体车型排名!$B$3,'Data Export'!D2423&lt;&gt;""),UPPER('Data Export'!C2423)&amp;"♦"&amp;'Data Export'!D2423,"")</f>
        <v/>
      </c>
      <c r="I2423" s="63" t="str">
        <f>IF(H2423="","",IFERROR(INDEX('Data Export'!G2423:CZ2423,1,MATCH(前十整体车型排名!$B$4,'Data Export'!$G$1:$CZ$1,0)),0))</f>
        <v/>
      </c>
      <c r="J2423" s="62" t="str">
        <f>IF(H2423="","",IF(OR('Data Export'!F2423="三厢轿车",'Data Export'!F2423="掀背轿车",'Data Export'!F2423="旅行车",'Data Export'!F2423="微型车",'Data Export'!F2423="硬顶跑车",'Data Export'!F2423="敞蓬车",'Data Export'!F2423="Targa"),"轿车",IF(OR('Data Export'!F2423="小型MPV",'Data Export'!F2423="客车"),"MPV",IF('Data Export'!F2423="运动型多功能车","SUV","其他"))))</f>
        <v/>
      </c>
      <c r="K2423" s="62"/>
      <c r="L2423" s="62"/>
      <c r="M2423" s="62"/>
      <c r="N2423" s="62"/>
      <c r="O2423" s="62"/>
      <c r="P2423" s="62"/>
      <c r="Q2423" s="62"/>
    </row>
    <row r="2424" spans="1:17">
      <c r="A2424" s="62"/>
      <c r="B2424" s="62"/>
      <c r="C2424" s="62"/>
      <c r="D2424" s="62"/>
      <c r="E2424" s="62"/>
      <c r="F2424" s="62"/>
      <c r="G2424" s="62"/>
      <c r="H2424" s="62" t="str">
        <f>IF(AND('Data Export'!A2424=前十整体车型排名!$B$2,'Data Export'!B2424=前十整体车型排名!$B$3,'Data Export'!D2424&lt;&gt;""),UPPER('Data Export'!C2424)&amp;"♦"&amp;'Data Export'!D2424,"")</f>
        <v/>
      </c>
      <c r="I2424" s="63" t="str">
        <f>IF(H2424="","",IFERROR(INDEX('Data Export'!G2424:CZ2424,1,MATCH(前十整体车型排名!$B$4,'Data Export'!$G$1:$CZ$1,0)),0))</f>
        <v/>
      </c>
      <c r="J2424" s="62" t="str">
        <f>IF(H2424="","",IF(OR('Data Export'!F2424="三厢轿车",'Data Export'!F2424="掀背轿车",'Data Export'!F2424="旅行车",'Data Export'!F2424="微型车",'Data Export'!F2424="硬顶跑车",'Data Export'!F2424="敞蓬车",'Data Export'!F2424="Targa"),"轿车",IF(OR('Data Export'!F2424="小型MPV",'Data Export'!F2424="客车"),"MPV",IF('Data Export'!F2424="运动型多功能车","SUV","其他"))))</f>
        <v/>
      </c>
      <c r="K2424" s="62"/>
      <c r="L2424" s="62"/>
      <c r="M2424" s="62"/>
      <c r="N2424" s="62"/>
      <c r="O2424" s="62"/>
      <c r="P2424" s="62"/>
      <c r="Q2424" s="62"/>
    </row>
    <row r="2425" spans="1:17">
      <c r="A2425" s="62"/>
      <c r="B2425" s="62"/>
      <c r="C2425" s="62"/>
      <c r="D2425" s="62"/>
      <c r="E2425" s="62"/>
      <c r="F2425" s="62"/>
      <c r="G2425" s="62"/>
      <c r="H2425" s="62" t="str">
        <f>IF(AND('Data Export'!A2425=前十整体车型排名!$B$2,'Data Export'!B2425=前十整体车型排名!$B$3,'Data Export'!D2425&lt;&gt;""),UPPER('Data Export'!C2425)&amp;"♦"&amp;'Data Export'!D2425,"")</f>
        <v/>
      </c>
      <c r="I2425" s="63" t="str">
        <f>IF(H2425="","",IFERROR(INDEX('Data Export'!G2425:CZ2425,1,MATCH(前十整体车型排名!$B$4,'Data Export'!$G$1:$CZ$1,0)),0))</f>
        <v/>
      </c>
      <c r="J2425" s="62" t="str">
        <f>IF(H2425="","",IF(OR('Data Export'!F2425="三厢轿车",'Data Export'!F2425="掀背轿车",'Data Export'!F2425="旅行车",'Data Export'!F2425="微型车",'Data Export'!F2425="硬顶跑车",'Data Export'!F2425="敞蓬车",'Data Export'!F2425="Targa"),"轿车",IF(OR('Data Export'!F2425="小型MPV",'Data Export'!F2425="客车"),"MPV",IF('Data Export'!F2425="运动型多功能车","SUV","其他"))))</f>
        <v/>
      </c>
      <c r="K2425" s="62"/>
      <c r="L2425" s="62"/>
      <c r="M2425" s="62"/>
      <c r="N2425" s="62"/>
      <c r="O2425" s="62"/>
      <c r="P2425" s="62"/>
      <c r="Q2425" s="62"/>
    </row>
    <row r="2426" spans="1:17">
      <c r="A2426" s="62"/>
      <c r="B2426" s="62"/>
      <c r="C2426" s="62"/>
      <c r="D2426" s="62"/>
      <c r="E2426" s="62"/>
      <c r="F2426" s="62"/>
      <c r="G2426" s="62"/>
      <c r="H2426" s="62" t="str">
        <f>IF(AND('Data Export'!A2426=前十整体车型排名!$B$2,'Data Export'!B2426=前十整体车型排名!$B$3,'Data Export'!D2426&lt;&gt;""),UPPER('Data Export'!C2426)&amp;"♦"&amp;'Data Export'!D2426,"")</f>
        <v/>
      </c>
      <c r="I2426" s="63" t="str">
        <f>IF(H2426="","",IFERROR(INDEX('Data Export'!G2426:CZ2426,1,MATCH(前十整体车型排名!$B$4,'Data Export'!$G$1:$CZ$1,0)),0))</f>
        <v/>
      </c>
      <c r="J2426" s="62" t="str">
        <f>IF(H2426="","",IF(OR('Data Export'!F2426="三厢轿车",'Data Export'!F2426="掀背轿车",'Data Export'!F2426="旅行车",'Data Export'!F2426="微型车",'Data Export'!F2426="硬顶跑车",'Data Export'!F2426="敞蓬车",'Data Export'!F2426="Targa"),"轿车",IF(OR('Data Export'!F2426="小型MPV",'Data Export'!F2426="客车"),"MPV",IF('Data Export'!F2426="运动型多功能车","SUV","其他"))))</f>
        <v/>
      </c>
      <c r="K2426" s="62"/>
      <c r="L2426" s="62"/>
      <c r="M2426" s="62"/>
      <c r="N2426" s="62"/>
      <c r="O2426" s="62"/>
      <c r="P2426" s="62"/>
      <c r="Q2426" s="62"/>
    </row>
    <row r="2427" spans="1:17">
      <c r="A2427" s="62"/>
      <c r="B2427" s="62"/>
      <c r="C2427" s="62"/>
      <c r="D2427" s="62"/>
      <c r="E2427" s="62"/>
      <c r="F2427" s="62"/>
      <c r="G2427" s="62"/>
      <c r="H2427" s="62" t="str">
        <f>IF(AND('Data Export'!A2427=前十整体车型排名!$B$2,'Data Export'!B2427=前十整体车型排名!$B$3,'Data Export'!D2427&lt;&gt;""),UPPER('Data Export'!C2427)&amp;"♦"&amp;'Data Export'!D2427,"")</f>
        <v/>
      </c>
      <c r="I2427" s="63" t="str">
        <f>IF(H2427="","",IFERROR(INDEX('Data Export'!G2427:CZ2427,1,MATCH(前十整体车型排名!$B$4,'Data Export'!$G$1:$CZ$1,0)),0))</f>
        <v/>
      </c>
      <c r="J2427" s="62" t="str">
        <f>IF(H2427="","",IF(OR('Data Export'!F2427="三厢轿车",'Data Export'!F2427="掀背轿车",'Data Export'!F2427="旅行车",'Data Export'!F2427="微型车",'Data Export'!F2427="硬顶跑车",'Data Export'!F2427="敞蓬车",'Data Export'!F2427="Targa"),"轿车",IF(OR('Data Export'!F2427="小型MPV",'Data Export'!F2427="客车"),"MPV",IF('Data Export'!F2427="运动型多功能车","SUV","其他"))))</f>
        <v/>
      </c>
      <c r="K2427" s="62"/>
      <c r="L2427" s="62"/>
      <c r="M2427" s="62"/>
      <c r="N2427" s="62"/>
      <c r="O2427" s="62"/>
      <c r="P2427" s="62"/>
      <c r="Q2427" s="62"/>
    </row>
    <row r="2428" spans="1:17">
      <c r="A2428" s="62"/>
      <c r="B2428" s="62"/>
      <c r="C2428" s="62"/>
      <c r="D2428" s="62"/>
      <c r="E2428" s="62"/>
      <c r="F2428" s="62"/>
      <c r="G2428" s="62"/>
      <c r="H2428" s="62" t="str">
        <f>IF(AND('Data Export'!A2428=前十整体车型排名!$B$2,'Data Export'!B2428=前十整体车型排名!$B$3,'Data Export'!D2428&lt;&gt;""),UPPER('Data Export'!C2428)&amp;"♦"&amp;'Data Export'!D2428,"")</f>
        <v/>
      </c>
      <c r="I2428" s="63" t="str">
        <f>IF(H2428="","",IFERROR(INDEX('Data Export'!G2428:CZ2428,1,MATCH(前十整体车型排名!$B$4,'Data Export'!$G$1:$CZ$1,0)),0))</f>
        <v/>
      </c>
      <c r="J2428" s="62" t="str">
        <f>IF(H2428="","",IF(OR('Data Export'!F2428="三厢轿车",'Data Export'!F2428="掀背轿车",'Data Export'!F2428="旅行车",'Data Export'!F2428="微型车",'Data Export'!F2428="硬顶跑车",'Data Export'!F2428="敞蓬车",'Data Export'!F2428="Targa"),"轿车",IF(OR('Data Export'!F2428="小型MPV",'Data Export'!F2428="客车"),"MPV",IF('Data Export'!F2428="运动型多功能车","SUV","其他"))))</f>
        <v/>
      </c>
      <c r="K2428" s="62"/>
      <c r="L2428" s="62"/>
      <c r="M2428" s="62"/>
      <c r="N2428" s="62"/>
      <c r="O2428" s="62"/>
      <c r="P2428" s="62"/>
      <c r="Q2428" s="62"/>
    </row>
    <row r="2429" spans="1:17">
      <c r="A2429" s="62"/>
      <c r="B2429" s="62"/>
      <c r="C2429" s="62"/>
      <c r="D2429" s="62"/>
      <c r="E2429" s="62"/>
      <c r="F2429" s="62"/>
      <c r="G2429" s="62"/>
      <c r="H2429" s="62" t="str">
        <f>IF(AND('Data Export'!A2429=前十整体车型排名!$B$2,'Data Export'!B2429=前十整体车型排名!$B$3,'Data Export'!D2429&lt;&gt;""),UPPER('Data Export'!C2429)&amp;"♦"&amp;'Data Export'!D2429,"")</f>
        <v/>
      </c>
      <c r="I2429" s="63" t="str">
        <f>IF(H2429="","",IFERROR(INDEX('Data Export'!G2429:CZ2429,1,MATCH(前十整体车型排名!$B$4,'Data Export'!$G$1:$CZ$1,0)),0))</f>
        <v/>
      </c>
      <c r="J2429" s="62" t="str">
        <f>IF(H2429="","",IF(OR('Data Export'!F2429="三厢轿车",'Data Export'!F2429="掀背轿车",'Data Export'!F2429="旅行车",'Data Export'!F2429="微型车",'Data Export'!F2429="硬顶跑车",'Data Export'!F2429="敞蓬车",'Data Export'!F2429="Targa"),"轿车",IF(OR('Data Export'!F2429="小型MPV",'Data Export'!F2429="客车"),"MPV",IF('Data Export'!F2429="运动型多功能车","SUV","其他"))))</f>
        <v/>
      </c>
      <c r="K2429" s="62"/>
      <c r="L2429" s="62"/>
      <c r="M2429" s="62"/>
      <c r="N2429" s="62"/>
      <c r="O2429" s="62"/>
      <c r="P2429" s="62"/>
      <c r="Q2429" s="62"/>
    </row>
    <row r="2430" spans="1:17">
      <c r="A2430" s="62"/>
      <c r="B2430" s="62"/>
      <c r="C2430" s="62"/>
      <c r="D2430" s="62"/>
      <c r="E2430" s="62"/>
      <c r="F2430" s="62"/>
      <c r="G2430" s="62"/>
      <c r="H2430" s="62" t="str">
        <f>IF(AND('Data Export'!A2430=前十整体车型排名!$B$2,'Data Export'!B2430=前十整体车型排名!$B$3,'Data Export'!D2430&lt;&gt;""),UPPER('Data Export'!C2430)&amp;"♦"&amp;'Data Export'!D2430,"")</f>
        <v/>
      </c>
      <c r="I2430" s="63" t="str">
        <f>IF(H2430="","",IFERROR(INDEX('Data Export'!G2430:CZ2430,1,MATCH(前十整体车型排名!$B$4,'Data Export'!$G$1:$CZ$1,0)),0))</f>
        <v/>
      </c>
      <c r="J2430" s="62" t="str">
        <f>IF(H2430="","",IF(OR('Data Export'!F2430="三厢轿车",'Data Export'!F2430="掀背轿车",'Data Export'!F2430="旅行车",'Data Export'!F2430="微型车",'Data Export'!F2430="硬顶跑车",'Data Export'!F2430="敞蓬车",'Data Export'!F2430="Targa"),"轿车",IF(OR('Data Export'!F2430="小型MPV",'Data Export'!F2430="客车"),"MPV",IF('Data Export'!F2430="运动型多功能车","SUV","其他"))))</f>
        <v/>
      </c>
      <c r="K2430" s="62"/>
      <c r="L2430" s="62"/>
      <c r="M2430" s="62"/>
      <c r="N2430" s="62"/>
      <c r="O2430" s="62"/>
      <c r="P2430" s="62"/>
      <c r="Q2430" s="62"/>
    </row>
    <row r="2431" spans="1:17">
      <c r="A2431" s="62"/>
      <c r="B2431" s="62"/>
      <c r="C2431" s="62"/>
      <c r="D2431" s="62"/>
      <c r="E2431" s="62"/>
      <c r="F2431" s="62"/>
      <c r="G2431" s="62"/>
      <c r="H2431" s="62" t="str">
        <f>IF(AND('Data Export'!A2431=前十整体车型排名!$B$2,'Data Export'!B2431=前十整体车型排名!$B$3,'Data Export'!D2431&lt;&gt;""),UPPER('Data Export'!C2431)&amp;"♦"&amp;'Data Export'!D2431,"")</f>
        <v/>
      </c>
      <c r="I2431" s="63" t="str">
        <f>IF(H2431="","",IFERROR(INDEX('Data Export'!G2431:CZ2431,1,MATCH(前十整体车型排名!$B$4,'Data Export'!$G$1:$CZ$1,0)),0))</f>
        <v/>
      </c>
      <c r="J2431" s="62" t="str">
        <f>IF(H2431="","",IF(OR('Data Export'!F2431="三厢轿车",'Data Export'!F2431="掀背轿车",'Data Export'!F2431="旅行车",'Data Export'!F2431="微型车",'Data Export'!F2431="硬顶跑车",'Data Export'!F2431="敞蓬车",'Data Export'!F2431="Targa"),"轿车",IF(OR('Data Export'!F2431="小型MPV",'Data Export'!F2431="客车"),"MPV",IF('Data Export'!F2431="运动型多功能车","SUV","其他"))))</f>
        <v/>
      </c>
      <c r="K2431" s="62"/>
      <c r="L2431" s="62"/>
      <c r="M2431" s="62"/>
      <c r="N2431" s="62"/>
      <c r="O2431" s="62"/>
      <c r="P2431" s="62"/>
      <c r="Q2431" s="62"/>
    </row>
    <row r="2432" spans="1:17">
      <c r="A2432" s="62"/>
      <c r="B2432" s="62"/>
      <c r="C2432" s="62"/>
      <c r="D2432" s="62"/>
      <c r="E2432" s="62"/>
      <c r="F2432" s="62"/>
      <c r="G2432" s="62"/>
      <c r="H2432" s="62" t="str">
        <f>IF(AND('Data Export'!A2432=前十整体车型排名!$B$2,'Data Export'!B2432=前十整体车型排名!$B$3,'Data Export'!D2432&lt;&gt;""),UPPER('Data Export'!C2432)&amp;"♦"&amp;'Data Export'!D2432,"")</f>
        <v/>
      </c>
      <c r="I2432" s="63" t="str">
        <f>IF(H2432="","",IFERROR(INDEX('Data Export'!G2432:CZ2432,1,MATCH(前十整体车型排名!$B$4,'Data Export'!$G$1:$CZ$1,0)),0))</f>
        <v/>
      </c>
      <c r="J2432" s="62" t="str">
        <f>IF(H2432="","",IF(OR('Data Export'!F2432="三厢轿车",'Data Export'!F2432="掀背轿车",'Data Export'!F2432="旅行车",'Data Export'!F2432="微型车",'Data Export'!F2432="硬顶跑车",'Data Export'!F2432="敞蓬车",'Data Export'!F2432="Targa"),"轿车",IF(OR('Data Export'!F2432="小型MPV",'Data Export'!F2432="客车"),"MPV",IF('Data Export'!F2432="运动型多功能车","SUV","其他"))))</f>
        <v/>
      </c>
      <c r="K2432" s="62"/>
      <c r="L2432" s="62"/>
      <c r="M2432" s="62"/>
      <c r="N2432" s="62"/>
      <c r="O2432" s="62"/>
      <c r="P2432" s="62"/>
      <c r="Q2432" s="62"/>
    </row>
    <row r="2433" spans="1:17">
      <c r="A2433" s="62"/>
      <c r="B2433" s="62"/>
      <c r="C2433" s="62"/>
      <c r="D2433" s="62"/>
      <c r="E2433" s="62"/>
      <c r="F2433" s="62"/>
      <c r="G2433" s="62"/>
      <c r="H2433" s="62" t="str">
        <f>IF(AND('Data Export'!A2433=前十整体车型排名!$B$2,'Data Export'!B2433=前十整体车型排名!$B$3,'Data Export'!D2433&lt;&gt;""),UPPER('Data Export'!C2433)&amp;"♦"&amp;'Data Export'!D2433,"")</f>
        <v/>
      </c>
      <c r="I2433" s="63" t="str">
        <f>IF(H2433="","",IFERROR(INDEX('Data Export'!G2433:CZ2433,1,MATCH(前十整体车型排名!$B$4,'Data Export'!$G$1:$CZ$1,0)),0))</f>
        <v/>
      </c>
      <c r="J2433" s="62" t="str">
        <f>IF(H2433="","",IF(OR('Data Export'!F2433="三厢轿车",'Data Export'!F2433="掀背轿车",'Data Export'!F2433="旅行车",'Data Export'!F2433="微型车",'Data Export'!F2433="硬顶跑车",'Data Export'!F2433="敞蓬车",'Data Export'!F2433="Targa"),"轿车",IF(OR('Data Export'!F2433="小型MPV",'Data Export'!F2433="客车"),"MPV",IF('Data Export'!F2433="运动型多功能车","SUV","其他"))))</f>
        <v/>
      </c>
      <c r="K2433" s="62"/>
      <c r="L2433" s="62"/>
      <c r="M2433" s="62"/>
      <c r="N2433" s="62"/>
      <c r="O2433" s="62"/>
      <c r="P2433" s="62"/>
      <c r="Q2433" s="62"/>
    </row>
    <row r="2434" spans="1:17">
      <c r="A2434" s="62"/>
      <c r="B2434" s="62"/>
      <c r="C2434" s="62"/>
      <c r="D2434" s="62"/>
      <c r="E2434" s="62"/>
      <c r="F2434" s="62"/>
      <c r="G2434" s="62"/>
      <c r="H2434" s="62" t="str">
        <f>IF(AND('Data Export'!A2434=前十整体车型排名!$B$2,'Data Export'!B2434=前十整体车型排名!$B$3,'Data Export'!D2434&lt;&gt;""),UPPER('Data Export'!C2434)&amp;"♦"&amp;'Data Export'!D2434,"")</f>
        <v/>
      </c>
      <c r="I2434" s="63" t="str">
        <f>IF(H2434="","",IFERROR(INDEX('Data Export'!G2434:CZ2434,1,MATCH(前十整体车型排名!$B$4,'Data Export'!$G$1:$CZ$1,0)),0))</f>
        <v/>
      </c>
      <c r="J2434" s="62" t="str">
        <f>IF(H2434="","",IF(OR('Data Export'!F2434="三厢轿车",'Data Export'!F2434="掀背轿车",'Data Export'!F2434="旅行车",'Data Export'!F2434="微型车",'Data Export'!F2434="硬顶跑车",'Data Export'!F2434="敞蓬车",'Data Export'!F2434="Targa"),"轿车",IF(OR('Data Export'!F2434="小型MPV",'Data Export'!F2434="客车"),"MPV",IF('Data Export'!F2434="运动型多功能车","SUV","其他"))))</f>
        <v/>
      </c>
      <c r="K2434" s="62"/>
      <c r="L2434" s="62"/>
      <c r="M2434" s="62"/>
      <c r="N2434" s="62"/>
      <c r="O2434" s="62"/>
      <c r="P2434" s="62"/>
      <c r="Q2434" s="62"/>
    </row>
    <row r="2435" spans="1:17">
      <c r="A2435" s="62"/>
      <c r="B2435" s="62"/>
      <c r="C2435" s="62"/>
      <c r="D2435" s="62"/>
      <c r="E2435" s="62"/>
      <c r="F2435" s="62"/>
      <c r="G2435" s="62"/>
      <c r="H2435" s="62" t="str">
        <f>IF(AND('Data Export'!A2435=前十整体车型排名!$B$2,'Data Export'!B2435=前十整体车型排名!$B$3,'Data Export'!D2435&lt;&gt;""),UPPER('Data Export'!C2435)&amp;"♦"&amp;'Data Export'!D2435,"")</f>
        <v/>
      </c>
      <c r="I2435" s="63" t="str">
        <f>IF(H2435="","",IFERROR(INDEX('Data Export'!G2435:CZ2435,1,MATCH(前十整体车型排名!$B$4,'Data Export'!$G$1:$CZ$1,0)),0))</f>
        <v/>
      </c>
      <c r="J2435" s="62" t="str">
        <f>IF(H2435="","",IF(OR('Data Export'!F2435="三厢轿车",'Data Export'!F2435="掀背轿车",'Data Export'!F2435="旅行车",'Data Export'!F2435="微型车",'Data Export'!F2435="硬顶跑车",'Data Export'!F2435="敞蓬车",'Data Export'!F2435="Targa"),"轿车",IF(OR('Data Export'!F2435="小型MPV",'Data Export'!F2435="客车"),"MPV",IF('Data Export'!F2435="运动型多功能车","SUV","其他"))))</f>
        <v/>
      </c>
      <c r="K2435" s="62"/>
      <c r="L2435" s="62"/>
      <c r="M2435" s="62"/>
      <c r="N2435" s="62"/>
      <c r="O2435" s="62"/>
      <c r="P2435" s="62"/>
      <c r="Q2435" s="62"/>
    </row>
    <row r="2436" spans="1:17">
      <c r="A2436" s="62"/>
      <c r="B2436" s="62"/>
      <c r="C2436" s="62"/>
      <c r="D2436" s="62"/>
      <c r="E2436" s="62"/>
      <c r="F2436" s="62"/>
      <c r="G2436" s="62"/>
      <c r="H2436" s="62" t="str">
        <f>IF(AND('Data Export'!A2436=前十整体车型排名!$B$2,'Data Export'!B2436=前十整体车型排名!$B$3,'Data Export'!D2436&lt;&gt;""),UPPER('Data Export'!C2436)&amp;"♦"&amp;'Data Export'!D2436,"")</f>
        <v/>
      </c>
      <c r="I2436" s="63" t="str">
        <f>IF(H2436="","",IFERROR(INDEX('Data Export'!G2436:CZ2436,1,MATCH(前十整体车型排名!$B$4,'Data Export'!$G$1:$CZ$1,0)),0))</f>
        <v/>
      </c>
      <c r="J2436" s="62" t="str">
        <f>IF(H2436="","",IF(OR('Data Export'!F2436="三厢轿车",'Data Export'!F2436="掀背轿车",'Data Export'!F2436="旅行车",'Data Export'!F2436="微型车",'Data Export'!F2436="硬顶跑车",'Data Export'!F2436="敞蓬车",'Data Export'!F2436="Targa"),"轿车",IF(OR('Data Export'!F2436="小型MPV",'Data Export'!F2436="客车"),"MPV",IF('Data Export'!F2436="运动型多功能车","SUV","其他"))))</f>
        <v/>
      </c>
      <c r="K2436" s="62"/>
      <c r="L2436" s="62"/>
      <c r="M2436" s="62"/>
      <c r="N2436" s="62"/>
      <c r="O2436" s="62"/>
      <c r="P2436" s="62"/>
      <c r="Q2436" s="62"/>
    </row>
    <row r="2437" spans="1:17">
      <c r="A2437" s="62"/>
      <c r="B2437" s="62"/>
      <c r="C2437" s="62"/>
      <c r="D2437" s="62"/>
      <c r="E2437" s="62"/>
      <c r="F2437" s="62"/>
      <c r="G2437" s="62"/>
      <c r="H2437" s="62" t="str">
        <f>IF(AND('Data Export'!A2437=前十整体车型排名!$B$2,'Data Export'!B2437=前十整体车型排名!$B$3,'Data Export'!D2437&lt;&gt;""),UPPER('Data Export'!C2437)&amp;"♦"&amp;'Data Export'!D2437,"")</f>
        <v/>
      </c>
      <c r="I2437" s="63" t="str">
        <f>IF(H2437="","",IFERROR(INDEX('Data Export'!G2437:CZ2437,1,MATCH(前十整体车型排名!$B$4,'Data Export'!$G$1:$CZ$1,0)),0))</f>
        <v/>
      </c>
      <c r="J2437" s="62" t="str">
        <f>IF(H2437="","",IF(OR('Data Export'!F2437="三厢轿车",'Data Export'!F2437="掀背轿车",'Data Export'!F2437="旅行车",'Data Export'!F2437="微型车",'Data Export'!F2437="硬顶跑车",'Data Export'!F2437="敞蓬车",'Data Export'!F2437="Targa"),"轿车",IF(OR('Data Export'!F2437="小型MPV",'Data Export'!F2437="客车"),"MPV",IF('Data Export'!F2437="运动型多功能车","SUV","其他"))))</f>
        <v/>
      </c>
      <c r="K2437" s="62"/>
      <c r="L2437" s="62"/>
      <c r="M2437" s="62"/>
      <c r="N2437" s="62"/>
      <c r="O2437" s="62"/>
      <c r="P2437" s="62"/>
      <c r="Q2437" s="62"/>
    </row>
    <row r="2438" spans="1:17">
      <c r="A2438" s="62"/>
      <c r="B2438" s="62"/>
      <c r="C2438" s="62"/>
      <c r="D2438" s="62"/>
      <c r="E2438" s="62"/>
      <c r="F2438" s="62"/>
      <c r="G2438" s="62"/>
      <c r="H2438" s="62" t="str">
        <f>IF(AND('Data Export'!A2438=前十整体车型排名!$B$2,'Data Export'!B2438=前十整体车型排名!$B$3,'Data Export'!D2438&lt;&gt;""),UPPER('Data Export'!C2438)&amp;"♦"&amp;'Data Export'!D2438,"")</f>
        <v/>
      </c>
      <c r="I2438" s="63" t="str">
        <f>IF(H2438="","",IFERROR(INDEX('Data Export'!G2438:CZ2438,1,MATCH(前十整体车型排名!$B$4,'Data Export'!$G$1:$CZ$1,0)),0))</f>
        <v/>
      </c>
      <c r="J2438" s="62" t="str">
        <f>IF(H2438="","",IF(OR('Data Export'!F2438="三厢轿车",'Data Export'!F2438="掀背轿车",'Data Export'!F2438="旅行车",'Data Export'!F2438="微型车",'Data Export'!F2438="硬顶跑车",'Data Export'!F2438="敞蓬车",'Data Export'!F2438="Targa"),"轿车",IF(OR('Data Export'!F2438="小型MPV",'Data Export'!F2438="客车"),"MPV",IF('Data Export'!F2438="运动型多功能车","SUV","其他"))))</f>
        <v/>
      </c>
      <c r="K2438" s="62"/>
      <c r="L2438" s="62"/>
      <c r="M2438" s="62"/>
      <c r="N2438" s="62"/>
      <c r="O2438" s="62"/>
      <c r="P2438" s="62"/>
      <c r="Q2438" s="62"/>
    </row>
    <row r="2439" spans="1:17">
      <c r="A2439" s="62"/>
      <c r="B2439" s="62"/>
      <c r="C2439" s="62"/>
      <c r="D2439" s="62"/>
      <c r="E2439" s="62"/>
      <c r="F2439" s="62"/>
      <c r="G2439" s="62"/>
      <c r="H2439" s="62" t="str">
        <f>IF(AND('Data Export'!A2439=前十整体车型排名!$B$2,'Data Export'!B2439=前十整体车型排名!$B$3,'Data Export'!D2439&lt;&gt;""),UPPER('Data Export'!C2439)&amp;"♦"&amp;'Data Export'!D2439,"")</f>
        <v/>
      </c>
      <c r="I2439" s="63" t="str">
        <f>IF(H2439="","",IFERROR(INDEX('Data Export'!G2439:CZ2439,1,MATCH(前十整体车型排名!$B$4,'Data Export'!$G$1:$CZ$1,0)),0))</f>
        <v/>
      </c>
      <c r="J2439" s="62" t="str">
        <f>IF(H2439="","",IF(OR('Data Export'!F2439="三厢轿车",'Data Export'!F2439="掀背轿车",'Data Export'!F2439="旅行车",'Data Export'!F2439="微型车",'Data Export'!F2439="硬顶跑车",'Data Export'!F2439="敞蓬车",'Data Export'!F2439="Targa"),"轿车",IF(OR('Data Export'!F2439="小型MPV",'Data Export'!F2439="客车"),"MPV",IF('Data Export'!F2439="运动型多功能车","SUV","其他"))))</f>
        <v/>
      </c>
      <c r="K2439" s="62"/>
      <c r="L2439" s="62"/>
      <c r="M2439" s="62"/>
      <c r="N2439" s="62"/>
      <c r="O2439" s="62"/>
      <c r="P2439" s="62"/>
      <c r="Q2439" s="62"/>
    </row>
    <row r="2440" spans="1:17">
      <c r="A2440" s="62"/>
      <c r="B2440" s="62"/>
      <c r="C2440" s="62"/>
      <c r="D2440" s="62"/>
      <c r="E2440" s="62"/>
      <c r="F2440" s="62"/>
      <c r="G2440" s="62"/>
      <c r="H2440" s="62" t="str">
        <f>IF(AND('Data Export'!A2440=前十整体车型排名!$B$2,'Data Export'!B2440=前十整体车型排名!$B$3,'Data Export'!D2440&lt;&gt;""),UPPER('Data Export'!C2440)&amp;"♦"&amp;'Data Export'!D2440,"")</f>
        <v/>
      </c>
      <c r="I2440" s="63" t="str">
        <f>IF(H2440="","",IFERROR(INDEX('Data Export'!G2440:CZ2440,1,MATCH(前十整体车型排名!$B$4,'Data Export'!$G$1:$CZ$1,0)),0))</f>
        <v/>
      </c>
      <c r="J2440" s="62" t="str">
        <f>IF(H2440="","",IF(OR('Data Export'!F2440="三厢轿车",'Data Export'!F2440="掀背轿车",'Data Export'!F2440="旅行车",'Data Export'!F2440="微型车",'Data Export'!F2440="硬顶跑车",'Data Export'!F2440="敞蓬车",'Data Export'!F2440="Targa"),"轿车",IF(OR('Data Export'!F2440="小型MPV",'Data Export'!F2440="客车"),"MPV",IF('Data Export'!F2440="运动型多功能车","SUV","其他"))))</f>
        <v/>
      </c>
      <c r="K2440" s="62"/>
      <c r="L2440" s="62"/>
      <c r="M2440" s="62"/>
      <c r="N2440" s="62"/>
      <c r="O2440" s="62"/>
      <c r="P2440" s="62"/>
      <c r="Q2440" s="62"/>
    </row>
    <row r="2441" spans="1:17">
      <c r="A2441" s="62"/>
      <c r="B2441" s="62"/>
      <c r="C2441" s="62"/>
      <c r="D2441" s="62"/>
      <c r="E2441" s="62"/>
      <c r="F2441" s="62"/>
      <c r="G2441" s="62"/>
      <c r="H2441" s="62" t="str">
        <f>IF(AND('Data Export'!A2441=前十整体车型排名!$B$2,'Data Export'!B2441=前十整体车型排名!$B$3,'Data Export'!D2441&lt;&gt;""),UPPER('Data Export'!C2441)&amp;"♦"&amp;'Data Export'!D2441,"")</f>
        <v/>
      </c>
      <c r="I2441" s="63" t="str">
        <f>IF(H2441="","",IFERROR(INDEX('Data Export'!G2441:CZ2441,1,MATCH(前十整体车型排名!$B$4,'Data Export'!$G$1:$CZ$1,0)),0))</f>
        <v/>
      </c>
      <c r="J2441" s="62" t="str">
        <f>IF(H2441="","",IF(OR('Data Export'!F2441="三厢轿车",'Data Export'!F2441="掀背轿车",'Data Export'!F2441="旅行车",'Data Export'!F2441="微型车",'Data Export'!F2441="硬顶跑车",'Data Export'!F2441="敞蓬车",'Data Export'!F2441="Targa"),"轿车",IF(OR('Data Export'!F2441="小型MPV",'Data Export'!F2441="客车"),"MPV",IF('Data Export'!F2441="运动型多功能车","SUV","其他"))))</f>
        <v/>
      </c>
      <c r="K2441" s="62"/>
      <c r="L2441" s="62"/>
      <c r="M2441" s="62"/>
      <c r="N2441" s="62"/>
      <c r="O2441" s="62"/>
      <c r="P2441" s="62"/>
      <c r="Q2441" s="62"/>
    </row>
    <row r="2442" spans="1:17">
      <c r="A2442" s="62"/>
      <c r="B2442" s="62"/>
      <c r="C2442" s="62"/>
      <c r="D2442" s="62"/>
      <c r="E2442" s="62"/>
      <c r="F2442" s="62"/>
      <c r="G2442" s="62"/>
      <c r="H2442" s="62" t="str">
        <f>IF(AND('Data Export'!A2442=前十整体车型排名!$B$2,'Data Export'!B2442=前十整体车型排名!$B$3,'Data Export'!D2442&lt;&gt;""),UPPER('Data Export'!C2442)&amp;"♦"&amp;'Data Export'!D2442,"")</f>
        <v/>
      </c>
      <c r="I2442" s="63" t="str">
        <f>IF(H2442="","",IFERROR(INDEX('Data Export'!G2442:CZ2442,1,MATCH(前十整体车型排名!$B$4,'Data Export'!$G$1:$CZ$1,0)),0))</f>
        <v/>
      </c>
      <c r="J2442" s="62" t="str">
        <f>IF(H2442="","",IF(OR('Data Export'!F2442="三厢轿车",'Data Export'!F2442="掀背轿车",'Data Export'!F2442="旅行车",'Data Export'!F2442="微型车",'Data Export'!F2442="硬顶跑车",'Data Export'!F2442="敞蓬车",'Data Export'!F2442="Targa"),"轿车",IF(OR('Data Export'!F2442="小型MPV",'Data Export'!F2442="客车"),"MPV",IF('Data Export'!F2442="运动型多功能车","SUV","其他"))))</f>
        <v/>
      </c>
      <c r="K2442" s="62"/>
      <c r="L2442" s="62"/>
      <c r="M2442" s="62"/>
      <c r="N2442" s="62"/>
      <c r="O2442" s="62"/>
      <c r="P2442" s="62"/>
      <c r="Q2442" s="62"/>
    </row>
    <row r="2443" spans="1:17">
      <c r="A2443" s="62"/>
      <c r="B2443" s="62"/>
      <c r="C2443" s="62"/>
      <c r="D2443" s="62"/>
      <c r="E2443" s="62"/>
      <c r="F2443" s="62"/>
      <c r="G2443" s="62"/>
      <c r="H2443" s="62" t="str">
        <f>IF(AND('Data Export'!A2443=前十整体车型排名!$B$2,'Data Export'!B2443=前十整体车型排名!$B$3,'Data Export'!D2443&lt;&gt;""),UPPER('Data Export'!C2443)&amp;"♦"&amp;'Data Export'!D2443,"")</f>
        <v/>
      </c>
      <c r="I2443" s="63" t="str">
        <f>IF(H2443="","",IFERROR(INDEX('Data Export'!G2443:CZ2443,1,MATCH(前十整体车型排名!$B$4,'Data Export'!$G$1:$CZ$1,0)),0))</f>
        <v/>
      </c>
      <c r="J2443" s="62" t="str">
        <f>IF(H2443="","",IF(OR('Data Export'!F2443="三厢轿车",'Data Export'!F2443="掀背轿车",'Data Export'!F2443="旅行车",'Data Export'!F2443="微型车",'Data Export'!F2443="硬顶跑车",'Data Export'!F2443="敞蓬车",'Data Export'!F2443="Targa"),"轿车",IF(OR('Data Export'!F2443="小型MPV",'Data Export'!F2443="客车"),"MPV",IF('Data Export'!F2443="运动型多功能车","SUV","其他"))))</f>
        <v/>
      </c>
      <c r="K2443" s="62"/>
      <c r="L2443" s="62"/>
      <c r="M2443" s="62"/>
      <c r="N2443" s="62"/>
      <c r="O2443" s="62"/>
      <c r="P2443" s="62"/>
      <c r="Q2443" s="62"/>
    </row>
    <row r="2444" spans="1:17">
      <c r="A2444" s="62"/>
      <c r="B2444" s="62"/>
      <c r="C2444" s="62"/>
      <c r="D2444" s="62"/>
      <c r="E2444" s="62"/>
      <c r="F2444" s="62"/>
      <c r="G2444" s="62"/>
      <c r="H2444" s="62" t="str">
        <f>IF(AND('Data Export'!A2444=前十整体车型排名!$B$2,'Data Export'!B2444=前十整体车型排名!$B$3,'Data Export'!D2444&lt;&gt;""),UPPER('Data Export'!C2444)&amp;"♦"&amp;'Data Export'!D2444,"")</f>
        <v/>
      </c>
      <c r="I2444" s="63" t="str">
        <f>IF(H2444="","",IFERROR(INDEX('Data Export'!G2444:CZ2444,1,MATCH(前十整体车型排名!$B$4,'Data Export'!$G$1:$CZ$1,0)),0))</f>
        <v/>
      </c>
      <c r="J2444" s="62" t="str">
        <f>IF(H2444="","",IF(OR('Data Export'!F2444="三厢轿车",'Data Export'!F2444="掀背轿车",'Data Export'!F2444="旅行车",'Data Export'!F2444="微型车",'Data Export'!F2444="硬顶跑车",'Data Export'!F2444="敞蓬车",'Data Export'!F2444="Targa"),"轿车",IF(OR('Data Export'!F2444="小型MPV",'Data Export'!F2444="客车"),"MPV",IF('Data Export'!F2444="运动型多功能车","SUV","其他"))))</f>
        <v/>
      </c>
      <c r="K2444" s="62"/>
      <c r="L2444" s="62"/>
      <c r="M2444" s="62"/>
      <c r="N2444" s="62"/>
      <c r="O2444" s="62"/>
      <c r="P2444" s="62"/>
      <c r="Q2444" s="62"/>
    </row>
    <row r="2445" spans="1:17">
      <c r="A2445" s="62"/>
      <c r="B2445" s="62"/>
      <c r="C2445" s="62"/>
      <c r="D2445" s="62"/>
      <c r="E2445" s="62"/>
      <c r="F2445" s="62"/>
      <c r="G2445" s="62"/>
      <c r="H2445" s="62" t="str">
        <f>IF(AND('Data Export'!A2445=前十整体车型排名!$B$2,'Data Export'!B2445=前十整体车型排名!$B$3,'Data Export'!D2445&lt;&gt;""),UPPER('Data Export'!C2445)&amp;"♦"&amp;'Data Export'!D2445,"")</f>
        <v/>
      </c>
      <c r="I2445" s="63" t="str">
        <f>IF(H2445="","",IFERROR(INDEX('Data Export'!G2445:CZ2445,1,MATCH(前十整体车型排名!$B$4,'Data Export'!$G$1:$CZ$1,0)),0))</f>
        <v/>
      </c>
      <c r="J2445" s="62" t="str">
        <f>IF(H2445="","",IF(OR('Data Export'!F2445="三厢轿车",'Data Export'!F2445="掀背轿车",'Data Export'!F2445="旅行车",'Data Export'!F2445="微型车",'Data Export'!F2445="硬顶跑车",'Data Export'!F2445="敞蓬车",'Data Export'!F2445="Targa"),"轿车",IF(OR('Data Export'!F2445="小型MPV",'Data Export'!F2445="客车"),"MPV",IF('Data Export'!F2445="运动型多功能车","SUV","其他"))))</f>
        <v/>
      </c>
      <c r="K2445" s="62"/>
      <c r="L2445" s="62"/>
      <c r="M2445" s="62"/>
      <c r="N2445" s="62"/>
      <c r="O2445" s="62"/>
      <c r="P2445" s="62"/>
      <c r="Q2445" s="62"/>
    </row>
    <row r="2446" spans="1:17">
      <c r="A2446" s="62"/>
      <c r="B2446" s="62"/>
      <c r="C2446" s="62"/>
      <c r="D2446" s="62"/>
      <c r="E2446" s="62"/>
      <c r="F2446" s="62"/>
      <c r="G2446" s="62"/>
      <c r="H2446" s="62" t="str">
        <f>IF(AND('Data Export'!A2446=前十整体车型排名!$B$2,'Data Export'!B2446=前十整体车型排名!$B$3,'Data Export'!D2446&lt;&gt;""),UPPER('Data Export'!C2446)&amp;"♦"&amp;'Data Export'!D2446,"")</f>
        <v/>
      </c>
      <c r="I2446" s="63" t="str">
        <f>IF(H2446="","",IFERROR(INDEX('Data Export'!G2446:CZ2446,1,MATCH(前十整体车型排名!$B$4,'Data Export'!$G$1:$CZ$1,0)),0))</f>
        <v/>
      </c>
      <c r="J2446" s="62" t="str">
        <f>IF(H2446="","",IF(OR('Data Export'!F2446="三厢轿车",'Data Export'!F2446="掀背轿车",'Data Export'!F2446="旅行车",'Data Export'!F2446="微型车",'Data Export'!F2446="硬顶跑车",'Data Export'!F2446="敞蓬车",'Data Export'!F2446="Targa"),"轿车",IF(OR('Data Export'!F2446="小型MPV",'Data Export'!F2446="客车"),"MPV",IF('Data Export'!F2446="运动型多功能车","SUV","其他"))))</f>
        <v/>
      </c>
      <c r="K2446" s="62"/>
      <c r="L2446" s="62"/>
      <c r="M2446" s="62"/>
      <c r="N2446" s="62"/>
      <c r="O2446" s="62"/>
      <c r="P2446" s="62"/>
      <c r="Q2446" s="62"/>
    </row>
    <row r="2447" spans="1:17">
      <c r="A2447" s="62"/>
      <c r="B2447" s="62"/>
      <c r="C2447" s="62"/>
      <c r="D2447" s="62"/>
      <c r="E2447" s="62"/>
      <c r="F2447" s="62"/>
      <c r="G2447" s="62"/>
      <c r="H2447" s="62" t="str">
        <f>IF(AND('Data Export'!A2447=前十整体车型排名!$B$2,'Data Export'!B2447=前十整体车型排名!$B$3,'Data Export'!D2447&lt;&gt;""),UPPER('Data Export'!C2447)&amp;"♦"&amp;'Data Export'!D2447,"")</f>
        <v/>
      </c>
      <c r="I2447" s="63" t="str">
        <f>IF(H2447="","",IFERROR(INDEX('Data Export'!G2447:CZ2447,1,MATCH(前十整体车型排名!$B$4,'Data Export'!$G$1:$CZ$1,0)),0))</f>
        <v/>
      </c>
      <c r="J2447" s="62" t="str">
        <f>IF(H2447="","",IF(OR('Data Export'!F2447="三厢轿车",'Data Export'!F2447="掀背轿车",'Data Export'!F2447="旅行车",'Data Export'!F2447="微型车",'Data Export'!F2447="硬顶跑车",'Data Export'!F2447="敞蓬车",'Data Export'!F2447="Targa"),"轿车",IF(OR('Data Export'!F2447="小型MPV",'Data Export'!F2447="客车"),"MPV",IF('Data Export'!F2447="运动型多功能车","SUV","其他"))))</f>
        <v/>
      </c>
      <c r="K2447" s="62"/>
      <c r="L2447" s="62"/>
      <c r="M2447" s="62"/>
      <c r="N2447" s="62"/>
      <c r="O2447" s="62"/>
      <c r="P2447" s="62"/>
      <c r="Q2447" s="62"/>
    </row>
    <row r="2448" spans="1:17">
      <c r="A2448" s="62"/>
      <c r="B2448" s="62"/>
      <c r="C2448" s="62"/>
      <c r="D2448" s="62"/>
      <c r="E2448" s="62"/>
      <c r="F2448" s="62"/>
      <c r="G2448" s="62"/>
      <c r="H2448" s="62" t="str">
        <f>IF(AND('Data Export'!A2448=前十整体车型排名!$B$2,'Data Export'!B2448=前十整体车型排名!$B$3,'Data Export'!D2448&lt;&gt;""),UPPER('Data Export'!C2448)&amp;"♦"&amp;'Data Export'!D2448,"")</f>
        <v/>
      </c>
      <c r="I2448" s="63" t="str">
        <f>IF(H2448="","",IFERROR(INDEX('Data Export'!G2448:CZ2448,1,MATCH(前十整体车型排名!$B$4,'Data Export'!$G$1:$CZ$1,0)),0))</f>
        <v/>
      </c>
      <c r="J2448" s="62" t="str">
        <f>IF(H2448="","",IF(OR('Data Export'!F2448="三厢轿车",'Data Export'!F2448="掀背轿车",'Data Export'!F2448="旅行车",'Data Export'!F2448="微型车",'Data Export'!F2448="硬顶跑车",'Data Export'!F2448="敞蓬车",'Data Export'!F2448="Targa"),"轿车",IF(OR('Data Export'!F2448="小型MPV",'Data Export'!F2448="客车"),"MPV",IF('Data Export'!F2448="运动型多功能车","SUV","其他"))))</f>
        <v/>
      </c>
      <c r="K2448" s="62"/>
      <c r="L2448" s="62"/>
      <c r="M2448" s="62"/>
      <c r="N2448" s="62"/>
      <c r="O2448" s="62"/>
      <c r="P2448" s="62"/>
      <c r="Q2448" s="62"/>
    </row>
    <row r="2449" spans="1:17">
      <c r="A2449" s="62"/>
      <c r="B2449" s="62"/>
      <c r="C2449" s="62"/>
      <c r="D2449" s="62"/>
      <c r="E2449" s="62"/>
      <c r="F2449" s="62"/>
      <c r="G2449" s="62"/>
      <c r="H2449" s="62" t="str">
        <f>IF(AND('Data Export'!A2449=前十整体车型排名!$B$2,'Data Export'!B2449=前十整体车型排名!$B$3,'Data Export'!D2449&lt;&gt;""),UPPER('Data Export'!C2449)&amp;"♦"&amp;'Data Export'!D2449,"")</f>
        <v/>
      </c>
      <c r="I2449" s="63" t="str">
        <f>IF(H2449="","",IFERROR(INDEX('Data Export'!G2449:CZ2449,1,MATCH(前十整体车型排名!$B$4,'Data Export'!$G$1:$CZ$1,0)),0))</f>
        <v/>
      </c>
      <c r="J2449" s="62" t="str">
        <f>IF(H2449="","",IF(OR('Data Export'!F2449="三厢轿车",'Data Export'!F2449="掀背轿车",'Data Export'!F2449="旅行车",'Data Export'!F2449="微型车",'Data Export'!F2449="硬顶跑车",'Data Export'!F2449="敞蓬车",'Data Export'!F2449="Targa"),"轿车",IF(OR('Data Export'!F2449="小型MPV",'Data Export'!F2449="客车"),"MPV",IF('Data Export'!F2449="运动型多功能车","SUV","其他"))))</f>
        <v/>
      </c>
      <c r="K2449" s="62"/>
      <c r="L2449" s="62"/>
      <c r="M2449" s="62"/>
      <c r="N2449" s="62"/>
      <c r="O2449" s="62"/>
      <c r="P2449" s="62"/>
      <c r="Q2449" s="62"/>
    </row>
    <row r="2450" spans="1:17">
      <c r="A2450" s="62"/>
      <c r="B2450" s="62"/>
      <c r="C2450" s="62"/>
      <c r="D2450" s="62"/>
      <c r="E2450" s="62"/>
      <c r="F2450" s="62"/>
      <c r="G2450" s="62"/>
      <c r="H2450" s="62" t="str">
        <f>IF(AND('Data Export'!A2450=前十整体车型排名!$B$2,'Data Export'!B2450=前十整体车型排名!$B$3,'Data Export'!D2450&lt;&gt;""),UPPER('Data Export'!C2450)&amp;"♦"&amp;'Data Export'!D2450,"")</f>
        <v/>
      </c>
      <c r="I2450" s="63" t="str">
        <f>IF(H2450="","",IFERROR(INDEX('Data Export'!G2450:CZ2450,1,MATCH(前十整体车型排名!$B$4,'Data Export'!$G$1:$CZ$1,0)),0))</f>
        <v/>
      </c>
      <c r="J2450" s="62" t="str">
        <f>IF(H2450="","",IF(OR('Data Export'!F2450="三厢轿车",'Data Export'!F2450="掀背轿车",'Data Export'!F2450="旅行车",'Data Export'!F2450="微型车",'Data Export'!F2450="硬顶跑车",'Data Export'!F2450="敞蓬车",'Data Export'!F2450="Targa"),"轿车",IF(OR('Data Export'!F2450="小型MPV",'Data Export'!F2450="客车"),"MPV",IF('Data Export'!F2450="运动型多功能车","SUV","其他"))))</f>
        <v/>
      </c>
      <c r="K2450" s="62"/>
      <c r="L2450" s="62"/>
      <c r="M2450" s="62"/>
      <c r="N2450" s="62"/>
      <c r="O2450" s="62"/>
      <c r="P2450" s="62"/>
      <c r="Q2450" s="62"/>
    </row>
    <row r="2451" spans="1:17">
      <c r="A2451" s="62"/>
      <c r="B2451" s="62"/>
      <c r="C2451" s="62"/>
      <c r="D2451" s="62"/>
      <c r="E2451" s="62"/>
      <c r="F2451" s="62"/>
      <c r="G2451" s="62"/>
      <c r="H2451" s="62" t="str">
        <f>IF(AND('Data Export'!A2451=前十整体车型排名!$B$2,'Data Export'!B2451=前十整体车型排名!$B$3,'Data Export'!D2451&lt;&gt;""),UPPER('Data Export'!C2451)&amp;"♦"&amp;'Data Export'!D2451,"")</f>
        <v/>
      </c>
      <c r="I2451" s="63" t="str">
        <f>IF(H2451="","",IFERROR(INDEX('Data Export'!G2451:CZ2451,1,MATCH(前十整体车型排名!$B$4,'Data Export'!$G$1:$CZ$1,0)),0))</f>
        <v/>
      </c>
      <c r="J2451" s="62" t="str">
        <f>IF(H2451="","",IF(OR('Data Export'!F2451="三厢轿车",'Data Export'!F2451="掀背轿车",'Data Export'!F2451="旅行车",'Data Export'!F2451="微型车",'Data Export'!F2451="硬顶跑车",'Data Export'!F2451="敞蓬车",'Data Export'!F2451="Targa"),"轿车",IF(OR('Data Export'!F2451="小型MPV",'Data Export'!F2451="客车"),"MPV",IF('Data Export'!F2451="运动型多功能车","SUV","其他"))))</f>
        <v/>
      </c>
      <c r="K2451" s="62"/>
      <c r="L2451" s="62"/>
      <c r="M2451" s="62"/>
      <c r="N2451" s="62"/>
      <c r="O2451" s="62"/>
      <c r="P2451" s="62"/>
      <c r="Q2451" s="62"/>
    </row>
    <row r="2452" spans="1:17">
      <c r="A2452" s="62"/>
      <c r="B2452" s="62"/>
      <c r="C2452" s="62"/>
      <c r="D2452" s="62"/>
      <c r="E2452" s="62"/>
      <c r="F2452" s="62"/>
      <c r="G2452" s="62"/>
      <c r="H2452" s="62" t="str">
        <f>IF(AND('Data Export'!A2452=前十整体车型排名!$B$2,'Data Export'!B2452=前十整体车型排名!$B$3,'Data Export'!D2452&lt;&gt;""),UPPER('Data Export'!C2452)&amp;"♦"&amp;'Data Export'!D2452,"")</f>
        <v/>
      </c>
      <c r="I2452" s="63" t="str">
        <f>IF(H2452="","",IFERROR(INDEX('Data Export'!G2452:CZ2452,1,MATCH(前十整体车型排名!$B$4,'Data Export'!$G$1:$CZ$1,0)),0))</f>
        <v/>
      </c>
      <c r="J2452" s="62" t="str">
        <f>IF(H2452="","",IF(OR('Data Export'!F2452="三厢轿车",'Data Export'!F2452="掀背轿车",'Data Export'!F2452="旅行车",'Data Export'!F2452="微型车",'Data Export'!F2452="硬顶跑车",'Data Export'!F2452="敞蓬车",'Data Export'!F2452="Targa"),"轿车",IF(OR('Data Export'!F2452="小型MPV",'Data Export'!F2452="客车"),"MPV",IF('Data Export'!F2452="运动型多功能车","SUV","其他"))))</f>
        <v/>
      </c>
      <c r="K2452" s="62"/>
      <c r="L2452" s="62"/>
      <c r="M2452" s="62"/>
      <c r="N2452" s="62"/>
      <c r="O2452" s="62"/>
      <c r="P2452" s="62"/>
      <c r="Q2452" s="62"/>
    </row>
    <row r="2453" spans="1:17">
      <c r="A2453" s="62"/>
      <c r="B2453" s="62"/>
      <c r="C2453" s="62"/>
      <c r="D2453" s="62"/>
      <c r="E2453" s="62"/>
      <c r="F2453" s="62"/>
      <c r="G2453" s="62"/>
      <c r="H2453" s="62" t="str">
        <f>IF(AND('Data Export'!A2453=前十整体车型排名!$B$2,'Data Export'!B2453=前十整体车型排名!$B$3,'Data Export'!D2453&lt;&gt;""),UPPER('Data Export'!C2453)&amp;"♦"&amp;'Data Export'!D2453,"")</f>
        <v/>
      </c>
      <c r="I2453" s="63" t="str">
        <f>IF(H2453="","",IFERROR(INDEX('Data Export'!G2453:CZ2453,1,MATCH(前十整体车型排名!$B$4,'Data Export'!$G$1:$CZ$1,0)),0))</f>
        <v/>
      </c>
      <c r="J2453" s="62" t="str">
        <f>IF(H2453="","",IF(OR('Data Export'!F2453="三厢轿车",'Data Export'!F2453="掀背轿车",'Data Export'!F2453="旅行车",'Data Export'!F2453="微型车",'Data Export'!F2453="硬顶跑车",'Data Export'!F2453="敞蓬车",'Data Export'!F2453="Targa"),"轿车",IF(OR('Data Export'!F2453="小型MPV",'Data Export'!F2453="客车"),"MPV",IF('Data Export'!F2453="运动型多功能车","SUV","其他"))))</f>
        <v/>
      </c>
      <c r="K2453" s="62"/>
      <c r="L2453" s="62"/>
      <c r="M2453" s="62"/>
      <c r="N2453" s="62"/>
      <c r="O2453" s="62"/>
      <c r="P2453" s="62"/>
      <c r="Q2453" s="62"/>
    </row>
    <row r="2454" spans="1:17">
      <c r="A2454" s="62"/>
      <c r="B2454" s="62"/>
      <c r="C2454" s="62"/>
      <c r="D2454" s="62"/>
      <c r="E2454" s="62"/>
      <c r="F2454" s="62"/>
      <c r="G2454" s="62"/>
      <c r="H2454" s="62" t="str">
        <f>IF(AND('Data Export'!A2454=前十整体车型排名!$B$2,'Data Export'!B2454=前十整体车型排名!$B$3,'Data Export'!D2454&lt;&gt;""),UPPER('Data Export'!C2454)&amp;"♦"&amp;'Data Export'!D2454,"")</f>
        <v/>
      </c>
      <c r="I2454" s="63" t="str">
        <f>IF(H2454="","",IFERROR(INDEX('Data Export'!G2454:CZ2454,1,MATCH(前十整体车型排名!$B$4,'Data Export'!$G$1:$CZ$1,0)),0))</f>
        <v/>
      </c>
      <c r="J2454" s="62" t="str">
        <f>IF(H2454="","",IF(OR('Data Export'!F2454="三厢轿车",'Data Export'!F2454="掀背轿车",'Data Export'!F2454="旅行车",'Data Export'!F2454="微型车",'Data Export'!F2454="硬顶跑车",'Data Export'!F2454="敞蓬车",'Data Export'!F2454="Targa"),"轿车",IF(OR('Data Export'!F2454="小型MPV",'Data Export'!F2454="客车"),"MPV",IF('Data Export'!F2454="运动型多功能车","SUV","其他"))))</f>
        <v/>
      </c>
      <c r="K2454" s="62"/>
      <c r="L2454" s="62"/>
      <c r="M2454" s="62"/>
      <c r="N2454" s="62"/>
      <c r="O2454" s="62"/>
      <c r="P2454" s="62"/>
      <c r="Q2454" s="62"/>
    </row>
    <row r="2455" spans="1:17">
      <c r="A2455" s="62"/>
      <c r="B2455" s="62"/>
      <c r="C2455" s="62"/>
      <c r="D2455" s="62"/>
      <c r="E2455" s="62"/>
      <c r="F2455" s="62"/>
      <c r="G2455" s="62"/>
      <c r="H2455" s="62" t="str">
        <f>IF(AND('Data Export'!A2455=前十整体车型排名!$B$2,'Data Export'!B2455=前十整体车型排名!$B$3,'Data Export'!D2455&lt;&gt;""),UPPER('Data Export'!C2455)&amp;"♦"&amp;'Data Export'!D2455,"")</f>
        <v/>
      </c>
      <c r="I2455" s="63" t="str">
        <f>IF(H2455="","",IFERROR(INDEX('Data Export'!G2455:CZ2455,1,MATCH(前十整体车型排名!$B$4,'Data Export'!$G$1:$CZ$1,0)),0))</f>
        <v/>
      </c>
      <c r="J2455" s="62" t="str">
        <f>IF(H2455="","",IF(OR('Data Export'!F2455="三厢轿车",'Data Export'!F2455="掀背轿车",'Data Export'!F2455="旅行车",'Data Export'!F2455="微型车",'Data Export'!F2455="硬顶跑车",'Data Export'!F2455="敞蓬车",'Data Export'!F2455="Targa"),"轿车",IF(OR('Data Export'!F2455="小型MPV",'Data Export'!F2455="客车"),"MPV",IF('Data Export'!F2455="运动型多功能车","SUV","其他"))))</f>
        <v/>
      </c>
      <c r="K2455" s="62"/>
      <c r="L2455" s="62"/>
      <c r="M2455" s="62"/>
      <c r="N2455" s="62"/>
      <c r="O2455" s="62"/>
      <c r="P2455" s="62"/>
      <c r="Q2455" s="62"/>
    </row>
    <row r="2456" spans="1:17">
      <c r="A2456" s="62"/>
      <c r="B2456" s="62"/>
      <c r="C2456" s="62"/>
      <c r="D2456" s="62"/>
      <c r="E2456" s="62"/>
      <c r="F2456" s="62"/>
      <c r="G2456" s="62"/>
      <c r="H2456" s="62" t="str">
        <f>IF(AND('Data Export'!A2456=前十整体车型排名!$B$2,'Data Export'!B2456=前十整体车型排名!$B$3,'Data Export'!D2456&lt;&gt;""),UPPER('Data Export'!C2456)&amp;"♦"&amp;'Data Export'!D2456,"")</f>
        <v/>
      </c>
      <c r="I2456" s="63" t="str">
        <f>IF(H2456="","",IFERROR(INDEX('Data Export'!G2456:CZ2456,1,MATCH(前十整体车型排名!$B$4,'Data Export'!$G$1:$CZ$1,0)),0))</f>
        <v/>
      </c>
      <c r="J2456" s="62" t="str">
        <f>IF(H2456="","",IF(OR('Data Export'!F2456="三厢轿车",'Data Export'!F2456="掀背轿车",'Data Export'!F2456="旅行车",'Data Export'!F2456="微型车",'Data Export'!F2456="硬顶跑车",'Data Export'!F2456="敞蓬车",'Data Export'!F2456="Targa"),"轿车",IF(OR('Data Export'!F2456="小型MPV",'Data Export'!F2456="客车"),"MPV",IF('Data Export'!F2456="运动型多功能车","SUV","其他"))))</f>
        <v/>
      </c>
      <c r="K2456" s="62"/>
      <c r="L2456" s="62"/>
      <c r="M2456" s="62"/>
      <c r="N2456" s="62"/>
      <c r="O2456" s="62"/>
      <c r="P2456" s="62"/>
      <c r="Q2456" s="62"/>
    </row>
    <row r="2457" spans="1:17">
      <c r="A2457" s="62"/>
      <c r="B2457" s="62"/>
      <c r="C2457" s="62"/>
      <c r="D2457" s="62"/>
      <c r="E2457" s="62"/>
      <c r="F2457" s="62"/>
      <c r="G2457" s="62"/>
      <c r="H2457" s="62" t="str">
        <f>IF(AND('Data Export'!A2457=前十整体车型排名!$B$2,'Data Export'!B2457=前十整体车型排名!$B$3,'Data Export'!D2457&lt;&gt;""),UPPER('Data Export'!C2457)&amp;"♦"&amp;'Data Export'!D2457,"")</f>
        <v/>
      </c>
      <c r="I2457" s="63" t="str">
        <f>IF(H2457="","",IFERROR(INDEX('Data Export'!G2457:CZ2457,1,MATCH(前十整体车型排名!$B$4,'Data Export'!$G$1:$CZ$1,0)),0))</f>
        <v/>
      </c>
      <c r="J2457" s="62" t="str">
        <f>IF(H2457="","",IF(OR('Data Export'!F2457="三厢轿车",'Data Export'!F2457="掀背轿车",'Data Export'!F2457="旅行车",'Data Export'!F2457="微型车",'Data Export'!F2457="硬顶跑车",'Data Export'!F2457="敞蓬车",'Data Export'!F2457="Targa"),"轿车",IF(OR('Data Export'!F2457="小型MPV",'Data Export'!F2457="客车"),"MPV",IF('Data Export'!F2457="运动型多功能车","SUV","其他"))))</f>
        <v/>
      </c>
      <c r="K2457" s="62"/>
      <c r="L2457" s="62"/>
      <c r="M2457" s="62"/>
      <c r="N2457" s="62"/>
      <c r="O2457" s="62"/>
      <c r="P2457" s="62"/>
      <c r="Q2457" s="62"/>
    </row>
    <row r="2458" spans="1:17">
      <c r="A2458" s="62"/>
      <c r="B2458" s="62"/>
      <c r="C2458" s="62"/>
      <c r="D2458" s="62"/>
      <c r="E2458" s="62"/>
      <c r="F2458" s="62"/>
      <c r="G2458" s="62"/>
      <c r="H2458" s="62" t="str">
        <f>IF(AND('Data Export'!A2458=前十整体车型排名!$B$2,'Data Export'!B2458=前十整体车型排名!$B$3,'Data Export'!D2458&lt;&gt;""),UPPER('Data Export'!C2458)&amp;"♦"&amp;'Data Export'!D2458,"")</f>
        <v/>
      </c>
      <c r="I2458" s="63" t="str">
        <f>IF(H2458="","",IFERROR(INDEX('Data Export'!G2458:CZ2458,1,MATCH(前十整体车型排名!$B$4,'Data Export'!$G$1:$CZ$1,0)),0))</f>
        <v/>
      </c>
      <c r="J2458" s="62" t="str">
        <f>IF(H2458="","",IF(OR('Data Export'!F2458="三厢轿车",'Data Export'!F2458="掀背轿车",'Data Export'!F2458="旅行车",'Data Export'!F2458="微型车",'Data Export'!F2458="硬顶跑车",'Data Export'!F2458="敞蓬车",'Data Export'!F2458="Targa"),"轿车",IF(OR('Data Export'!F2458="小型MPV",'Data Export'!F2458="客车"),"MPV",IF('Data Export'!F2458="运动型多功能车","SUV","其他"))))</f>
        <v/>
      </c>
      <c r="K2458" s="62"/>
      <c r="L2458" s="62"/>
      <c r="M2458" s="62"/>
      <c r="N2458" s="62"/>
      <c r="O2458" s="62"/>
      <c r="P2458" s="62"/>
      <c r="Q2458" s="62"/>
    </row>
    <row r="2459" spans="1:17">
      <c r="A2459" s="62"/>
      <c r="B2459" s="62"/>
      <c r="C2459" s="62"/>
      <c r="D2459" s="62"/>
      <c r="E2459" s="62"/>
      <c r="F2459" s="62"/>
      <c r="G2459" s="62"/>
      <c r="H2459" s="62" t="str">
        <f>IF(AND('Data Export'!A2459=前十整体车型排名!$B$2,'Data Export'!B2459=前十整体车型排名!$B$3,'Data Export'!D2459&lt;&gt;""),UPPER('Data Export'!C2459)&amp;"♦"&amp;'Data Export'!D2459,"")</f>
        <v/>
      </c>
      <c r="I2459" s="63" t="str">
        <f>IF(H2459="","",IFERROR(INDEX('Data Export'!G2459:CZ2459,1,MATCH(前十整体车型排名!$B$4,'Data Export'!$G$1:$CZ$1,0)),0))</f>
        <v/>
      </c>
      <c r="J2459" s="62" t="str">
        <f>IF(H2459="","",IF(OR('Data Export'!F2459="三厢轿车",'Data Export'!F2459="掀背轿车",'Data Export'!F2459="旅行车",'Data Export'!F2459="微型车",'Data Export'!F2459="硬顶跑车",'Data Export'!F2459="敞蓬车",'Data Export'!F2459="Targa"),"轿车",IF(OR('Data Export'!F2459="小型MPV",'Data Export'!F2459="客车"),"MPV",IF('Data Export'!F2459="运动型多功能车","SUV","其他"))))</f>
        <v/>
      </c>
      <c r="K2459" s="62"/>
      <c r="L2459" s="62"/>
      <c r="M2459" s="62"/>
      <c r="N2459" s="62"/>
      <c r="O2459" s="62"/>
      <c r="P2459" s="62"/>
      <c r="Q2459" s="62"/>
    </row>
    <row r="2460" spans="1:17">
      <c r="A2460" s="62"/>
      <c r="B2460" s="62"/>
      <c r="C2460" s="62"/>
      <c r="D2460" s="62"/>
      <c r="E2460" s="62"/>
      <c r="F2460" s="62"/>
      <c r="G2460" s="62"/>
      <c r="H2460" s="62" t="str">
        <f>IF(AND('Data Export'!A2460=前十整体车型排名!$B$2,'Data Export'!B2460=前十整体车型排名!$B$3,'Data Export'!D2460&lt;&gt;""),UPPER('Data Export'!C2460)&amp;"♦"&amp;'Data Export'!D2460,"")</f>
        <v/>
      </c>
      <c r="I2460" s="63" t="str">
        <f>IF(H2460="","",IFERROR(INDEX('Data Export'!G2460:CZ2460,1,MATCH(前十整体车型排名!$B$4,'Data Export'!$G$1:$CZ$1,0)),0))</f>
        <v/>
      </c>
      <c r="J2460" s="62" t="str">
        <f>IF(H2460="","",IF(OR('Data Export'!F2460="三厢轿车",'Data Export'!F2460="掀背轿车",'Data Export'!F2460="旅行车",'Data Export'!F2460="微型车",'Data Export'!F2460="硬顶跑车",'Data Export'!F2460="敞蓬车",'Data Export'!F2460="Targa"),"轿车",IF(OR('Data Export'!F2460="小型MPV",'Data Export'!F2460="客车"),"MPV",IF('Data Export'!F2460="运动型多功能车","SUV","其他"))))</f>
        <v/>
      </c>
      <c r="K2460" s="62"/>
      <c r="L2460" s="62"/>
      <c r="M2460" s="62"/>
      <c r="N2460" s="62"/>
      <c r="O2460" s="62"/>
      <c r="P2460" s="62"/>
      <c r="Q2460" s="62"/>
    </row>
    <row r="2461" spans="1:17">
      <c r="A2461" s="62"/>
      <c r="B2461" s="62"/>
      <c r="C2461" s="62"/>
      <c r="D2461" s="62"/>
      <c r="E2461" s="62"/>
      <c r="F2461" s="62"/>
      <c r="G2461" s="62"/>
      <c r="H2461" s="62" t="str">
        <f>IF(AND('Data Export'!A2461=前十整体车型排名!$B$2,'Data Export'!B2461=前十整体车型排名!$B$3,'Data Export'!D2461&lt;&gt;""),UPPER('Data Export'!C2461)&amp;"♦"&amp;'Data Export'!D2461,"")</f>
        <v/>
      </c>
      <c r="I2461" s="63" t="str">
        <f>IF(H2461="","",IFERROR(INDEX('Data Export'!G2461:CZ2461,1,MATCH(前十整体车型排名!$B$4,'Data Export'!$G$1:$CZ$1,0)),0))</f>
        <v/>
      </c>
      <c r="J2461" s="62" t="str">
        <f>IF(H2461="","",IF(OR('Data Export'!F2461="三厢轿车",'Data Export'!F2461="掀背轿车",'Data Export'!F2461="旅行车",'Data Export'!F2461="微型车",'Data Export'!F2461="硬顶跑车",'Data Export'!F2461="敞蓬车",'Data Export'!F2461="Targa"),"轿车",IF(OR('Data Export'!F2461="小型MPV",'Data Export'!F2461="客车"),"MPV",IF('Data Export'!F2461="运动型多功能车","SUV","其他"))))</f>
        <v/>
      </c>
      <c r="K2461" s="62"/>
      <c r="L2461" s="62"/>
      <c r="M2461" s="62"/>
      <c r="N2461" s="62"/>
      <c r="O2461" s="62"/>
      <c r="P2461" s="62"/>
      <c r="Q2461" s="62"/>
    </row>
    <row r="2462" spans="1:17">
      <c r="A2462" s="62"/>
      <c r="B2462" s="62"/>
      <c r="C2462" s="62"/>
      <c r="D2462" s="62"/>
      <c r="E2462" s="62"/>
      <c r="F2462" s="62"/>
      <c r="G2462" s="62"/>
      <c r="H2462" s="62" t="str">
        <f>IF(AND('Data Export'!A2462=前十整体车型排名!$B$2,'Data Export'!B2462=前十整体车型排名!$B$3,'Data Export'!D2462&lt;&gt;""),UPPER('Data Export'!C2462)&amp;"♦"&amp;'Data Export'!D2462,"")</f>
        <v/>
      </c>
      <c r="I2462" s="63" t="str">
        <f>IF(H2462="","",IFERROR(INDEX('Data Export'!G2462:CZ2462,1,MATCH(前十整体车型排名!$B$4,'Data Export'!$G$1:$CZ$1,0)),0))</f>
        <v/>
      </c>
      <c r="J2462" s="62" t="str">
        <f>IF(H2462="","",IF(OR('Data Export'!F2462="三厢轿车",'Data Export'!F2462="掀背轿车",'Data Export'!F2462="旅行车",'Data Export'!F2462="微型车",'Data Export'!F2462="硬顶跑车",'Data Export'!F2462="敞蓬车",'Data Export'!F2462="Targa"),"轿车",IF(OR('Data Export'!F2462="小型MPV",'Data Export'!F2462="客车"),"MPV",IF('Data Export'!F2462="运动型多功能车","SUV","其他"))))</f>
        <v/>
      </c>
      <c r="K2462" s="62"/>
      <c r="L2462" s="62"/>
      <c r="M2462" s="62"/>
      <c r="N2462" s="62"/>
      <c r="O2462" s="62"/>
      <c r="P2462" s="62"/>
      <c r="Q2462" s="62"/>
    </row>
    <row r="2463" spans="1:17">
      <c r="A2463" s="62"/>
      <c r="B2463" s="62"/>
      <c r="C2463" s="62"/>
      <c r="D2463" s="62"/>
      <c r="E2463" s="62"/>
      <c r="F2463" s="62"/>
      <c r="G2463" s="62"/>
      <c r="H2463" s="62" t="str">
        <f>IF(AND('Data Export'!A2463=前十整体车型排名!$B$2,'Data Export'!B2463=前十整体车型排名!$B$3,'Data Export'!D2463&lt;&gt;""),UPPER('Data Export'!C2463)&amp;"♦"&amp;'Data Export'!D2463,"")</f>
        <v/>
      </c>
      <c r="I2463" s="63" t="str">
        <f>IF(H2463="","",IFERROR(INDEX('Data Export'!G2463:CZ2463,1,MATCH(前十整体车型排名!$B$4,'Data Export'!$G$1:$CZ$1,0)),0))</f>
        <v/>
      </c>
      <c r="J2463" s="62" t="str">
        <f>IF(H2463="","",IF(OR('Data Export'!F2463="三厢轿车",'Data Export'!F2463="掀背轿车",'Data Export'!F2463="旅行车",'Data Export'!F2463="微型车",'Data Export'!F2463="硬顶跑车",'Data Export'!F2463="敞蓬车",'Data Export'!F2463="Targa"),"轿车",IF(OR('Data Export'!F2463="小型MPV",'Data Export'!F2463="客车"),"MPV",IF('Data Export'!F2463="运动型多功能车","SUV","其他"))))</f>
        <v/>
      </c>
      <c r="K2463" s="62"/>
      <c r="L2463" s="62"/>
      <c r="M2463" s="62"/>
      <c r="N2463" s="62"/>
      <c r="O2463" s="62"/>
      <c r="P2463" s="62"/>
      <c r="Q2463" s="62"/>
    </row>
    <row r="2464" spans="1:17">
      <c r="A2464" s="62"/>
      <c r="B2464" s="62"/>
      <c r="C2464" s="62"/>
      <c r="D2464" s="62"/>
      <c r="E2464" s="62"/>
      <c r="F2464" s="62"/>
      <c r="G2464" s="62"/>
      <c r="H2464" s="62" t="str">
        <f>IF(AND('Data Export'!A2464=前十整体车型排名!$B$2,'Data Export'!B2464=前十整体车型排名!$B$3,'Data Export'!D2464&lt;&gt;""),UPPER('Data Export'!C2464)&amp;"♦"&amp;'Data Export'!D2464,"")</f>
        <v/>
      </c>
      <c r="I2464" s="63" t="str">
        <f>IF(H2464="","",IFERROR(INDEX('Data Export'!G2464:CZ2464,1,MATCH(前十整体车型排名!$B$4,'Data Export'!$G$1:$CZ$1,0)),0))</f>
        <v/>
      </c>
      <c r="J2464" s="62" t="str">
        <f>IF(H2464="","",IF(OR('Data Export'!F2464="三厢轿车",'Data Export'!F2464="掀背轿车",'Data Export'!F2464="旅行车",'Data Export'!F2464="微型车",'Data Export'!F2464="硬顶跑车",'Data Export'!F2464="敞蓬车",'Data Export'!F2464="Targa"),"轿车",IF(OR('Data Export'!F2464="小型MPV",'Data Export'!F2464="客车"),"MPV",IF('Data Export'!F2464="运动型多功能车","SUV","其他"))))</f>
        <v/>
      </c>
      <c r="K2464" s="62"/>
      <c r="L2464" s="62"/>
      <c r="M2464" s="62"/>
      <c r="N2464" s="62"/>
      <c r="O2464" s="62"/>
      <c r="P2464" s="62"/>
      <c r="Q2464" s="62"/>
    </row>
    <row r="2465" spans="1:17">
      <c r="A2465" s="62"/>
      <c r="B2465" s="62"/>
      <c r="C2465" s="62"/>
      <c r="D2465" s="62"/>
      <c r="E2465" s="62"/>
      <c r="F2465" s="62"/>
      <c r="G2465" s="62"/>
      <c r="H2465" s="62" t="str">
        <f>IF(AND('Data Export'!A2465=前十整体车型排名!$B$2,'Data Export'!B2465=前十整体车型排名!$B$3,'Data Export'!D2465&lt;&gt;""),UPPER('Data Export'!C2465)&amp;"♦"&amp;'Data Export'!D2465,"")</f>
        <v/>
      </c>
      <c r="I2465" s="63" t="str">
        <f>IF(H2465="","",IFERROR(INDEX('Data Export'!G2465:CZ2465,1,MATCH(前十整体车型排名!$B$4,'Data Export'!$G$1:$CZ$1,0)),0))</f>
        <v/>
      </c>
      <c r="J2465" s="62" t="str">
        <f>IF(H2465="","",IF(OR('Data Export'!F2465="三厢轿车",'Data Export'!F2465="掀背轿车",'Data Export'!F2465="旅行车",'Data Export'!F2465="微型车",'Data Export'!F2465="硬顶跑车",'Data Export'!F2465="敞蓬车",'Data Export'!F2465="Targa"),"轿车",IF(OR('Data Export'!F2465="小型MPV",'Data Export'!F2465="客车"),"MPV",IF('Data Export'!F2465="运动型多功能车","SUV","其他"))))</f>
        <v/>
      </c>
      <c r="K2465" s="62"/>
      <c r="L2465" s="62"/>
      <c r="M2465" s="62"/>
      <c r="N2465" s="62"/>
      <c r="O2465" s="62"/>
      <c r="P2465" s="62"/>
      <c r="Q2465" s="62"/>
    </row>
    <row r="2466" spans="1:17">
      <c r="A2466" s="62"/>
      <c r="B2466" s="62"/>
      <c r="C2466" s="62"/>
      <c r="D2466" s="62"/>
      <c r="E2466" s="62"/>
      <c r="F2466" s="62"/>
      <c r="G2466" s="62"/>
      <c r="H2466" s="62" t="str">
        <f>IF(AND('Data Export'!A2466=前十整体车型排名!$B$2,'Data Export'!B2466=前十整体车型排名!$B$3,'Data Export'!D2466&lt;&gt;""),UPPER('Data Export'!C2466)&amp;"♦"&amp;'Data Export'!D2466,"")</f>
        <v/>
      </c>
      <c r="I2466" s="63" t="str">
        <f>IF(H2466="","",IFERROR(INDEX('Data Export'!G2466:CZ2466,1,MATCH(前十整体车型排名!$B$4,'Data Export'!$G$1:$CZ$1,0)),0))</f>
        <v/>
      </c>
      <c r="J2466" s="62" t="str">
        <f>IF(H2466="","",IF(OR('Data Export'!F2466="三厢轿车",'Data Export'!F2466="掀背轿车",'Data Export'!F2466="旅行车",'Data Export'!F2466="微型车",'Data Export'!F2466="硬顶跑车",'Data Export'!F2466="敞蓬车",'Data Export'!F2466="Targa"),"轿车",IF(OR('Data Export'!F2466="小型MPV",'Data Export'!F2466="客车"),"MPV",IF('Data Export'!F2466="运动型多功能车","SUV","其他"))))</f>
        <v/>
      </c>
      <c r="K2466" s="62"/>
      <c r="L2466" s="62"/>
      <c r="M2466" s="62"/>
      <c r="N2466" s="62"/>
      <c r="O2466" s="62"/>
      <c r="P2466" s="62"/>
      <c r="Q2466" s="62"/>
    </row>
    <row r="2467" spans="1:17">
      <c r="A2467" s="62"/>
      <c r="B2467" s="62"/>
      <c r="C2467" s="62"/>
      <c r="D2467" s="62"/>
      <c r="E2467" s="62"/>
      <c r="F2467" s="62"/>
      <c r="G2467" s="62"/>
      <c r="H2467" s="62" t="str">
        <f>IF(AND('Data Export'!A2467=前十整体车型排名!$B$2,'Data Export'!B2467=前十整体车型排名!$B$3,'Data Export'!D2467&lt;&gt;""),UPPER('Data Export'!C2467)&amp;"♦"&amp;'Data Export'!D2467,"")</f>
        <v/>
      </c>
      <c r="I2467" s="63" t="str">
        <f>IF(H2467="","",IFERROR(INDEX('Data Export'!G2467:CZ2467,1,MATCH(前十整体车型排名!$B$4,'Data Export'!$G$1:$CZ$1,0)),0))</f>
        <v/>
      </c>
      <c r="J2467" s="62" t="str">
        <f>IF(H2467="","",IF(OR('Data Export'!F2467="三厢轿车",'Data Export'!F2467="掀背轿车",'Data Export'!F2467="旅行车",'Data Export'!F2467="微型车",'Data Export'!F2467="硬顶跑车",'Data Export'!F2467="敞蓬车",'Data Export'!F2467="Targa"),"轿车",IF(OR('Data Export'!F2467="小型MPV",'Data Export'!F2467="客车"),"MPV",IF('Data Export'!F2467="运动型多功能车","SUV","其他"))))</f>
        <v/>
      </c>
      <c r="K2467" s="62"/>
      <c r="L2467" s="62"/>
      <c r="M2467" s="62"/>
      <c r="N2467" s="62"/>
      <c r="O2467" s="62"/>
      <c r="P2467" s="62"/>
      <c r="Q2467" s="62"/>
    </row>
    <row r="2468" spans="1:17">
      <c r="A2468" s="62"/>
      <c r="B2468" s="62"/>
      <c r="C2468" s="62"/>
      <c r="D2468" s="62"/>
      <c r="E2468" s="62"/>
      <c r="F2468" s="62"/>
      <c r="G2468" s="62"/>
      <c r="H2468" s="62" t="str">
        <f>IF(AND('Data Export'!A2468=前十整体车型排名!$B$2,'Data Export'!B2468=前十整体车型排名!$B$3,'Data Export'!D2468&lt;&gt;""),UPPER('Data Export'!C2468)&amp;"♦"&amp;'Data Export'!D2468,"")</f>
        <v/>
      </c>
      <c r="I2468" s="63" t="str">
        <f>IF(H2468="","",IFERROR(INDEX('Data Export'!G2468:CZ2468,1,MATCH(前十整体车型排名!$B$4,'Data Export'!$G$1:$CZ$1,0)),0))</f>
        <v/>
      </c>
      <c r="J2468" s="62" t="str">
        <f>IF(H2468="","",IF(OR('Data Export'!F2468="三厢轿车",'Data Export'!F2468="掀背轿车",'Data Export'!F2468="旅行车",'Data Export'!F2468="微型车",'Data Export'!F2468="硬顶跑车",'Data Export'!F2468="敞蓬车",'Data Export'!F2468="Targa"),"轿车",IF(OR('Data Export'!F2468="小型MPV",'Data Export'!F2468="客车"),"MPV",IF('Data Export'!F2468="运动型多功能车","SUV","其他"))))</f>
        <v/>
      </c>
      <c r="K2468" s="62"/>
      <c r="L2468" s="62"/>
      <c r="M2468" s="62"/>
      <c r="N2468" s="62"/>
      <c r="O2468" s="62"/>
      <c r="P2468" s="62"/>
      <c r="Q2468" s="62"/>
    </row>
    <row r="2469" spans="1:17">
      <c r="A2469" s="62"/>
      <c r="B2469" s="62"/>
      <c r="C2469" s="62"/>
      <c r="D2469" s="62"/>
      <c r="E2469" s="62"/>
      <c r="F2469" s="62"/>
      <c r="G2469" s="62"/>
      <c r="H2469" s="62" t="str">
        <f>IF(AND('Data Export'!A2469=前十整体车型排名!$B$2,'Data Export'!B2469=前十整体车型排名!$B$3,'Data Export'!D2469&lt;&gt;""),UPPER('Data Export'!C2469)&amp;"♦"&amp;'Data Export'!D2469,"")</f>
        <v/>
      </c>
      <c r="I2469" s="63" t="str">
        <f>IF(H2469="","",IFERROR(INDEX('Data Export'!G2469:CZ2469,1,MATCH(前十整体车型排名!$B$4,'Data Export'!$G$1:$CZ$1,0)),0))</f>
        <v/>
      </c>
      <c r="J2469" s="62" t="str">
        <f>IF(H2469="","",IF(OR('Data Export'!F2469="三厢轿车",'Data Export'!F2469="掀背轿车",'Data Export'!F2469="旅行车",'Data Export'!F2469="微型车",'Data Export'!F2469="硬顶跑车",'Data Export'!F2469="敞蓬车",'Data Export'!F2469="Targa"),"轿车",IF(OR('Data Export'!F2469="小型MPV",'Data Export'!F2469="客车"),"MPV",IF('Data Export'!F2469="运动型多功能车","SUV","其他"))))</f>
        <v/>
      </c>
      <c r="K2469" s="62"/>
      <c r="L2469" s="62"/>
      <c r="M2469" s="62"/>
      <c r="N2469" s="62"/>
      <c r="O2469" s="62"/>
      <c r="P2469" s="62"/>
      <c r="Q2469" s="62"/>
    </row>
    <row r="2470" spans="1:17">
      <c r="A2470" s="62"/>
      <c r="B2470" s="62"/>
      <c r="C2470" s="62"/>
      <c r="D2470" s="62"/>
      <c r="E2470" s="62"/>
      <c r="F2470" s="62"/>
      <c r="G2470" s="62"/>
      <c r="H2470" s="62" t="str">
        <f>IF(AND('Data Export'!A2470=前十整体车型排名!$B$2,'Data Export'!B2470=前十整体车型排名!$B$3,'Data Export'!D2470&lt;&gt;""),UPPER('Data Export'!C2470)&amp;"♦"&amp;'Data Export'!D2470,"")</f>
        <v/>
      </c>
      <c r="I2470" s="63" t="str">
        <f>IF(H2470="","",IFERROR(INDEX('Data Export'!G2470:CZ2470,1,MATCH(前十整体车型排名!$B$4,'Data Export'!$G$1:$CZ$1,0)),0))</f>
        <v/>
      </c>
      <c r="J2470" s="62" t="str">
        <f>IF(H2470="","",IF(OR('Data Export'!F2470="三厢轿车",'Data Export'!F2470="掀背轿车",'Data Export'!F2470="旅行车",'Data Export'!F2470="微型车",'Data Export'!F2470="硬顶跑车",'Data Export'!F2470="敞蓬车",'Data Export'!F2470="Targa"),"轿车",IF(OR('Data Export'!F2470="小型MPV",'Data Export'!F2470="客车"),"MPV",IF('Data Export'!F2470="运动型多功能车","SUV","其他"))))</f>
        <v/>
      </c>
      <c r="K2470" s="62"/>
      <c r="L2470" s="62"/>
      <c r="M2470" s="62"/>
      <c r="N2470" s="62"/>
      <c r="O2470" s="62"/>
      <c r="P2470" s="62"/>
      <c r="Q2470" s="62"/>
    </row>
    <row r="2471" spans="1:17">
      <c r="A2471" s="62"/>
      <c r="B2471" s="62"/>
      <c r="C2471" s="62"/>
      <c r="D2471" s="62"/>
      <c r="E2471" s="62"/>
      <c r="F2471" s="62"/>
      <c r="G2471" s="62"/>
      <c r="H2471" s="62" t="str">
        <f>IF(AND('Data Export'!A2471=前十整体车型排名!$B$2,'Data Export'!B2471=前十整体车型排名!$B$3,'Data Export'!D2471&lt;&gt;""),UPPER('Data Export'!C2471)&amp;"♦"&amp;'Data Export'!D2471,"")</f>
        <v/>
      </c>
      <c r="I2471" s="63" t="str">
        <f>IF(H2471="","",IFERROR(INDEX('Data Export'!G2471:CZ2471,1,MATCH(前十整体车型排名!$B$4,'Data Export'!$G$1:$CZ$1,0)),0))</f>
        <v/>
      </c>
      <c r="J2471" s="62" t="str">
        <f>IF(H2471="","",IF(OR('Data Export'!F2471="三厢轿车",'Data Export'!F2471="掀背轿车",'Data Export'!F2471="旅行车",'Data Export'!F2471="微型车",'Data Export'!F2471="硬顶跑车",'Data Export'!F2471="敞蓬车",'Data Export'!F2471="Targa"),"轿车",IF(OR('Data Export'!F2471="小型MPV",'Data Export'!F2471="客车"),"MPV",IF('Data Export'!F2471="运动型多功能车","SUV","其他"))))</f>
        <v/>
      </c>
      <c r="K2471" s="62"/>
      <c r="L2471" s="62"/>
      <c r="M2471" s="62"/>
      <c r="N2471" s="62"/>
      <c r="O2471" s="62"/>
      <c r="P2471" s="62"/>
      <c r="Q2471" s="62"/>
    </row>
    <row r="2472" spans="1:17">
      <c r="A2472" s="62"/>
      <c r="B2472" s="62"/>
      <c r="C2472" s="62"/>
      <c r="D2472" s="62"/>
      <c r="E2472" s="62"/>
      <c r="F2472" s="62"/>
      <c r="G2472" s="62"/>
      <c r="H2472" s="62" t="str">
        <f>IF(AND('Data Export'!A2472=前十整体车型排名!$B$2,'Data Export'!B2472=前十整体车型排名!$B$3,'Data Export'!D2472&lt;&gt;""),UPPER('Data Export'!C2472)&amp;"♦"&amp;'Data Export'!D2472,"")</f>
        <v/>
      </c>
      <c r="I2472" s="63" t="str">
        <f>IF(H2472="","",IFERROR(INDEX('Data Export'!G2472:CZ2472,1,MATCH(前十整体车型排名!$B$4,'Data Export'!$G$1:$CZ$1,0)),0))</f>
        <v/>
      </c>
      <c r="J2472" s="62" t="str">
        <f>IF(H2472="","",IF(OR('Data Export'!F2472="三厢轿车",'Data Export'!F2472="掀背轿车",'Data Export'!F2472="旅行车",'Data Export'!F2472="微型车",'Data Export'!F2472="硬顶跑车",'Data Export'!F2472="敞蓬车",'Data Export'!F2472="Targa"),"轿车",IF(OR('Data Export'!F2472="小型MPV",'Data Export'!F2472="客车"),"MPV",IF('Data Export'!F2472="运动型多功能车","SUV","其他"))))</f>
        <v/>
      </c>
      <c r="K2472" s="62"/>
      <c r="L2472" s="62"/>
      <c r="M2472" s="62"/>
      <c r="N2472" s="62"/>
      <c r="O2472" s="62"/>
      <c r="P2472" s="62"/>
      <c r="Q2472" s="62"/>
    </row>
    <row r="2473" spans="1:17">
      <c r="A2473" s="62"/>
      <c r="B2473" s="62"/>
      <c r="C2473" s="62"/>
      <c r="D2473" s="62"/>
      <c r="E2473" s="62"/>
      <c r="F2473" s="62"/>
      <c r="G2473" s="62"/>
      <c r="H2473" s="62" t="str">
        <f>IF(AND('Data Export'!A2473=前十整体车型排名!$B$2,'Data Export'!B2473=前十整体车型排名!$B$3,'Data Export'!D2473&lt;&gt;""),UPPER('Data Export'!C2473)&amp;"♦"&amp;'Data Export'!D2473,"")</f>
        <v/>
      </c>
      <c r="I2473" s="63" t="str">
        <f>IF(H2473="","",IFERROR(INDEX('Data Export'!G2473:CZ2473,1,MATCH(前十整体车型排名!$B$4,'Data Export'!$G$1:$CZ$1,0)),0))</f>
        <v/>
      </c>
      <c r="J2473" s="62" t="str">
        <f>IF(H2473="","",IF(OR('Data Export'!F2473="三厢轿车",'Data Export'!F2473="掀背轿车",'Data Export'!F2473="旅行车",'Data Export'!F2473="微型车",'Data Export'!F2473="硬顶跑车",'Data Export'!F2473="敞蓬车",'Data Export'!F2473="Targa"),"轿车",IF(OR('Data Export'!F2473="小型MPV",'Data Export'!F2473="客车"),"MPV",IF('Data Export'!F2473="运动型多功能车","SUV","其他"))))</f>
        <v/>
      </c>
      <c r="K2473" s="62"/>
      <c r="L2473" s="62"/>
      <c r="M2473" s="62"/>
      <c r="N2473" s="62"/>
      <c r="O2473" s="62"/>
      <c r="P2473" s="62"/>
      <c r="Q2473" s="62"/>
    </row>
    <row r="2474" spans="1:17">
      <c r="A2474" s="62"/>
      <c r="B2474" s="62"/>
      <c r="C2474" s="62"/>
      <c r="D2474" s="62"/>
      <c r="E2474" s="62"/>
      <c r="F2474" s="62"/>
      <c r="G2474" s="62"/>
      <c r="H2474" s="62" t="str">
        <f>IF(AND('Data Export'!A2474=前十整体车型排名!$B$2,'Data Export'!B2474=前十整体车型排名!$B$3,'Data Export'!D2474&lt;&gt;""),UPPER('Data Export'!C2474)&amp;"♦"&amp;'Data Export'!D2474,"")</f>
        <v/>
      </c>
      <c r="I2474" s="63" t="str">
        <f>IF(H2474="","",IFERROR(INDEX('Data Export'!G2474:CZ2474,1,MATCH(前十整体车型排名!$B$4,'Data Export'!$G$1:$CZ$1,0)),0))</f>
        <v/>
      </c>
      <c r="J2474" s="62" t="str">
        <f>IF(H2474="","",IF(OR('Data Export'!F2474="三厢轿车",'Data Export'!F2474="掀背轿车",'Data Export'!F2474="旅行车",'Data Export'!F2474="微型车",'Data Export'!F2474="硬顶跑车",'Data Export'!F2474="敞蓬车",'Data Export'!F2474="Targa"),"轿车",IF(OR('Data Export'!F2474="小型MPV",'Data Export'!F2474="客车"),"MPV",IF('Data Export'!F2474="运动型多功能车","SUV","其他"))))</f>
        <v/>
      </c>
      <c r="K2474" s="62"/>
      <c r="L2474" s="62"/>
      <c r="M2474" s="62"/>
      <c r="N2474" s="62"/>
      <c r="O2474" s="62"/>
      <c r="P2474" s="62"/>
      <c r="Q2474" s="62"/>
    </row>
    <row r="2475" spans="1:17">
      <c r="A2475" s="62"/>
      <c r="B2475" s="62"/>
      <c r="C2475" s="62"/>
      <c r="D2475" s="62"/>
      <c r="E2475" s="62"/>
      <c r="F2475" s="62"/>
      <c r="G2475" s="62"/>
      <c r="H2475" s="62" t="str">
        <f>IF(AND('Data Export'!A2475=前十整体车型排名!$B$2,'Data Export'!B2475=前十整体车型排名!$B$3,'Data Export'!D2475&lt;&gt;""),UPPER('Data Export'!C2475)&amp;"♦"&amp;'Data Export'!D2475,"")</f>
        <v/>
      </c>
      <c r="I2475" s="63" t="str">
        <f>IF(H2475="","",IFERROR(INDEX('Data Export'!G2475:CZ2475,1,MATCH(前十整体车型排名!$B$4,'Data Export'!$G$1:$CZ$1,0)),0))</f>
        <v/>
      </c>
      <c r="J2475" s="62" t="str">
        <f>IF(H2475="","",IF(OR('Data Export'!F2475="三厢轿车",'Data Export'!F2475="掀背轿车",'Data Export'!F2475="旅行车",'Data Export'!F2475="微型车",'Data Export'!F2475="硬顶跑车",'Data Export'!F2475="敞蓬车",'Data Export'!F2475="Targa"),"轿车",IF(OR('Data Export'!F2475="小型MPV",'Data Export'!F2475="客车"),"MPV",IF('Data Export'!F2475="运动型多功能车","SUV","其他"))))</f>
        <v/>
      </c>
      <c r="K2475" s="62"/>
      <c r="L2475" s="62"/>
      <c r="M2475" s="62"/>
      <c r="N2475" s="62"/>
      <c r="O2475" s="62"/>
      <c r="P2475" s="62"/>
      <c r="Q2475" s="62"/>
    </row>
    <row r="2476" spans="1:17">
      <c r="A2476" s="62"/>
      <c r="B2476" s="62"/>
      <c r="C2476" s="62"/>
      <c r="D2476" s="62"/>
      <c r="E2476" s="62"/>
      <c r="F2476" s="62"/>
      <c r="G2476" s="62"/>
      <c r="H2476" s="62" t="str">
        <f>IF(AND('Data Export'!A2476=前十整体车型排名!$B$2,'Data Export'!B2476=前十整体车型排名!$B$3,'Data Export'!D2476&lt;&gt;""),UPPER('Data Export'!C2476)&amp;"♦"&amp;'Data Export'!D2476,"")</f>
        <v/>
      </c>
      <c r="I2476" s="63" t="str">
        <f>IF(H2476="","",IFERROR(INDEX('Data Export'!G2476:CZ2476,1,MATCH(前十整体车型排名!$B$4,'Data Export'!$G$1:$CZ$1,0)),0))</f>
        <v/>
      </c>
      <c r="J2476" s="62" t="str">
        <f>IF(H2476="","",IF(OR('Data Export'!F2476="三厢轿车",'Data Export'!F2476="掀背轿车",'Data Export'!F2476="旅行车",'Data Export'!F2476="微型车",'Data Export'!F2476="硬顶跑车",'Data Export'!F2476="敞蓬车",'Data Export'!F2476="Targa"),"轿车",IF(OR('Data Export'!F2476="小型MPV",'Data Export'!F2476="客车"),"MPV",IF('Data Export'!F2476="运动型多功能车","SUV","其他"))))</f>
        <v/>
      </c>
      <c r="K2476" s="62"/>
      <c r="L2476" s="62"/>
      <c r="M2476" s="62"/>
      <c r="N2476" s="62"/>
      <c r="O2476" s="62"/>
      <c r="P2476" s="62"/>
      <c r="Q2476" s="62"/>
    </row>
    <row r="2477" spans="1:17">
      <c r="A2477" s="62"/>
      <c r="B2477" s="62"/>
      <c r="C2477" s="62"/>
      <c r="D2477" s="62"/>
      <c r="E2477" s="62"/>
      <c r="F2477" s="62"/>
      <c r="G2477" s="62"/>
      <c r="H2477" s="62" t="str">
        <f>IF(AND('Data Export'!A2477=前十整体车型排名!$B$2,'Data Export'!B2477=前十整体车型排名!$B$3,'Data Export'!D2477&lt;&gt;""),UPPER('Data Export'!C2477)&amp;"♦"&amp;'Data Export'!D2477,"")</f>
        <v/>
      </c>
      <c r="I2477" s="63" t="str">
        <f>IF(H2477="","",IFERROR(INDEX('Data Export'!G2477:CZ2477,1,MATCH(前十整体车型排名!$B$4,'Data Export'!$G$1:$CZ$1,0)),0))</f>
        <v/>
      </c>
      <c r="J2477" s="62" t="str">
        <f>IF(H2477="","",IF(OR('Data Export'!F2477="三厢轿车",'Data Export'!F2477="掀背轿车",'Data Export'!F2477="旅行车",'Data Export'!F2477="微型车",'Data Export'!F2477="硬顶跑车",'Data Export'!F2477="敞蓬车",'Data Export'!F2477="Targa"),"轿车",IF(OR('Data Export'!F2477="小型MPV",'Data Export'!F2477="客车"),"MPV",IF('Data Export'!F2477="运动型多功能车","SUV","其他"))))</f>
        <v/>
      </c>
      <c r="K2477" s="62"/>
      <c r="L2477" s="62"/>
      <c r="M2477" s="62"/>
      <c r="N2477" s="62"/>
      <c r="O2477" s="62"/>
      <c r="P2477" s="62"/>
      <c r="Q2477" s="62"/>
    </row>
    <row r="2478" spans="1:17">
      <c r="A2478" s="62"/>
      <c r="B2478" s="62"/>
      <c r="C2478" s="62"/>
      <c r="D2478" s="62"/>
      <c r="E2478" s="62"/>
      <c r="F2478" s="62"/>
      <c r="G2478" s="62"/>
      <c r="H2478" s="62" t="str">
        <f>IF(AND('Data Export'!A2478=前十整体车型排名!$B$2,'Data Export'!B2478=前十整体车型排名!$B$3,'Data Export'!D2478&lt;&gt;""),UPPER('Data Export'!C2478)&amp;"♦"&amp;'Data Export'!D2478,"")</f>
        <v/>
      </c>
      <c r="I2478" s="63" t="str">
        <f>IF(H2478="","",IFERROR(INDEX('Data Export'!G2478:CZ2478,1,MATCH(前十整体车型排名!$B$4,'Data Export'!$G$1:$CZ$1,0)),0))</f>
        <v/>
      </c>
      <c r="J2478" s="62" t="str">
        <f>IF(H2478="","",IF(OR('Data Export'!F2478="三厢轿车",'Data Export'!F2478="掀背轿车",'Data Export'!F2478="旅行车",'Data Export'!F2478="微型车",'Data Export'!F2478="硬顶跑车",'Data Export'!F2478="敞蓬车",'Data Export'!F2478="Targa"),"轿车",IF(OR('Data Export'!F2478="小型MPV",'Data Export'!F2478="客车"),"MPV",IF('Data Export'!F2478="运动型多功能车","SUV","其他"))))</f>
        <v/>
      </c>
      <c r="K2478" s="62"/>
      <c r="L2478" s="62"/>
      <c r="M2478" s="62"/>
      <c r="N2478" s="62"/>
      <c r="O2478" s="62"/>
      <c r="P2478" s="62"/>
      <c r="Q2478" s="62"/>
    </row>
    <row r="2479" spans="1:17">
      <c r="A2479" s="62"/>
      <c r="B2479" s="62"/>
      <c r="C2479" s="62"/>
      <c r="D2479" s="62"/>
      <c r="E2479" s="62"/>
      <c r="F2479" s="62"/>
      <c r="G2479" s="62"/>
      <c r="H2479" s="62" t="str">
        <f>IF(AND('Data Export'!A2479=前十整体车型排名!$B$2,'Data Export'!B2479=前十整体车型排名!$B$3,'Data Export'!D2479&lt;&gt;""),UPPER('Data Export'!C2479)&amp;"♦"&amp;'Data Export'!D2479,"")</f>
        <v/>
      </c>
      <c r="I2479" s="63" t="str">
        <f>IF(H2479="","",IFERROR(INDEX('Data Export'!G2479:CZ2479,1,MATCH(前十整体车型排名!$B$4,'Data Export'!$G$1:$CZ$1,0)),0))</f>
        <v/>
      </c>
      <c r="J2479" s="62" t="str">
        <f>IF(H2479="","",IF(OR('Data Export'!F2479="三厢轿车",'Data Export'!F2479="掀背轿车",'Data Export'!F2479="旅行车",'Data Export'!F2479="微型车",'Data Export'!F2479="硬顶跑车",'Data Export'!F2479="敞蓬车",'Data Export'!F2479="Targa"),"轿车",IF(OR('Data Export'!F2479="小型MPV",'Data Export'!F2479="客车"),"MPV",IF('Data Export'!F2479="运动型多功能车","SUV","其他"))))</f>
        <v/>
      </c>
      <c r="K2479" s="62"/>
      <c r="L2479" s="62"/>
      <c r="M2479" s="62"/>
      <c r="N2479" s="62"/>
      <c r="O2479" s="62"/>
      <c r="P2479" s="62"/>
      <c r="Q2479" s="62"/>
    </row>
    <row r="2480" spans="1:17">
      <c r="A2480" s="62"/>
      <c r="B2480" s="62"/>
      <c r="C2480" s="62"/>
      <c r="D2480" s="62"/>
      <c r="E2480" s="62"/>
      <c r="F2480" s="62"/>
      <c r="G2480" s="62"/>
      <c r="H2480" s="62" t="str">
        <f>IF(AND('Data Export'!A2480=前十整体车型排名!$B$2,'Data Export'!B2480=前十整体车型排名!$B$3,'Data Export'!D2480&lt;&gt;""),UPPER('Data Export'!C2480)&amp;"♦"&amp;'Data Export'!D2480,"")</f>
        <v/>
      </c>
      <c r="I2480" s="63" t="str">
        <f>IF(H2480="","",IFERROR(INDEX('Data Export'!G2480:CZ2480,1,MATCH(前十整体车型排名!$B$4,'Data Export'!$G$1:$CZ$1,0)),0))</f>
        <v/>
      </c>
      <c r="J2480" s="62" t="str">
        <f>IF(H2480="","",IF(OR('Data Export'!F2480="三厢轿车",'Data Export'!F2480="掀背轿车",'Data Export'!F2480="旅行车",'Data Export'!F2480="微型车",'Data Export'!F2480="硬顶跑车",'Data Export'!F2480="敞蓬车",'Data Export'!F2480="Targa"),"轿车",IF(OR('Data Export'!F2480="小型MPV",'Data Export'!F2480="客车"),"MPV",IF('Data Export'!F2480="运动型多功能车","SUV","其他"))))</f>
        <v/>
      </c>
      <c r="K2480" s="62"/>
      <c r="L2480" s="62"/>
      <c r="M2480" s="62"/>
      <c r="N2480" s="62"/>
      <c r="O2480" s="62"/>
      <c r="P2480" s="62"/>
      <c r="Q2480" s="62"/>
    </row>
    <row r="2481" spans="1:17">
      <c r="A2481" s="62"/>
      <c r="B2481" s="62"/>
      <c r="C2481" s="62"/>
      <c r="D2481" s="62"/>
      <c r="E2481" s="62"/>
      <c r="F2481" s="62"/>
      <c r="G2481" s="62"/>
      <c r="H2481" s="62" t="str">
        <f>IF(AND('Data Export'!A2481=前十整体车型排名!$B$2,'Data Export'!B2481=前十整体车型排名!$B$3,'Data Export'!D2481&lt;&gt;""),UPPER('Data Export'!C2481)&amp;"♦"&amp;'Data Export'!D2481,"")</f>
        <v/>
      </c>
      <c r="I2481" s="63" t="str">
        <f>IF(H2481="","",IFERROR(INDEX('Data Export'!G2481:CZ2481,1,MATCH(前十整体车型排名!$B$4,'Data Export'!$G$1:$CZ$1,0)),0))</f>
        <v/>
      </c>
      <c r="J2481" s="62" t="str">
        <f>IF(H2481="","",IF(OR('Data Export'!F2481="三厢轿车",'Data Export'!F2481="掀背轿车",'Data Export'!F2481="旅行车",'Data Export'!F2481="微型车",'Data Export'!F2481="硬顶跑车",'Data Export'!F2481="敞蓬车",'Data Export'!F2481="Targa"),"轿车",IF(OR('Data Export'!F2481="小型MPV",'Data Export'!F2481="客车"),"MPV",IF('Data Export'!F2481="运动型多功能车","SUV","其他"))))</f>
        <v/>
      </c>
      <c r="K2481" s="62"/>
      <c r="L2481" s="62"/>
      <c r="M2481" s="62"/>
      <c r="N2481" s="62"/>
      <c r="O2481" s="62"/>
      <c r="P2481" s="62"/>
      <c r="Q2481" s="62"/>
    </row>
    <row r="2482" spans="1:17">
      <c r="A2482" s="62"/>
      <c r="B2482" s="62"/>
      <c r="C2482" s="62"/>
      <c r="D2482" s="62"/>
      <c r="E2482" s="62"/>
      <c r="F2482" s="62"/>
      <c r="G2482" s="62"/>
      <c r="H2482" s="62" t="str">
        <f>IF(AND('Data Export'!A2482=前十整体车型排名!$B$2,'Data Export'!B2482=前十整体车型排名!$B$3,'Data Export'!D2482&lt;&gt;""),UPPER('Data Export'!C2482)&amp;"♦"&amp;'Data Export'!D2482,"")</f>
        <v/>
      </c>
      <c r="I2482" s="63" t="str">
        <f>IF(H2482="","",IFERROR(INDEX('Data Export'!G2482:CZ2482,1,MATCH(前十整体车型排名!$B$4,'Data Export'!$G$1:$CZ$1,0)),0))</f>
        <v/>
      </c>
      <c r="J2482" s="62" t="str">
        <f>IF(H2482="","",IF(OR('Data Export'!F2482="三厢轿车",'Data Export'!F2482="掀背轿车",'Data Export'!F2482="旅行车",'Data Export'!F2482="微型车",'Data Export'!F2482="硬顶跑车",'Data Export'!F2482="敞蓬车",'Data Export'!F2482="Targa"),"轿车",IF(OR('Data Export'!F2482="小型MPV",'Data Export'!F2482="客车"),"MPV",IF('Data Export'!F2482="运动型多功能车","SUV","其他"))))</f>
        <v/>
      </c>
      <c r="K2482" s="62"/>
      <c r="L2482" s="62"/>
      <c r="M2482" s="62"/>
      <c r="N2482" s="62"/>
      <c r="O2482" s="62"/>
      <c r="P2482" s="62"/>
      <c r="Q2482" s="62"/>
    </row>
    <row r="2483" spans="1:17">
      <c r="A2483" s="62"/>
      <c r="B2483" s="62"/>
      <c r="C2483" s="62"/>
      <c r="D2483" s="62"/>
      <c r="E2483" s="62"/>
      <c r="F2483" s="62"/>
      <c r="G2483" s="62"/>
      <c r="H2483" s="62" t="str">
        <f>IF(AND('Data Export'!A2483=前十整体车型排名!$B$2,'Data Export'!B2483=前十整体车型排名!$B$3,'Data Export'!D2483&lt;&gt;""),UPPER('Data Export'!C2483)&amp;"♦"&amp;'Data Export'!D2483,"")</f>
        <v/>
      </c>
      <c r="I2483" s="63" t="str">
        <f>IF(H2483="","",IFERROR(INDEX('Data Export'!G2483:CZ2483,1,MATCH(前十整体车型排名!$B$4,'Data Export'!$G$1:$CZ$1,0)),0))</f>
        <v/>
      </c>
      <c r="J2483" s="62" t="str">
        <f>IF(H2483="","",IF(OR('Data Export'!F2483="三厢轿车",'Data Export'!F2483="掀背轿车",'Data Export'!F2483="旅行车",'Data Export'!F2483="微型车",'Data Export'!F2483="硬顶跑车",'Data Export'!F2483="敞蓬车",'Data Export'!F2483="Targa"),"轿车",IF(OR('Data Export'!F2483="小型MPV",'Data Export'!F2483="客车"),"MPV",IF('Data Export'!F2483="运动型多功能车","SUV","其他"))))</f>
        <v/>
      </c>
      <c r="K2483" s="62"/>
      <c r="L2483" s="62"/>
      <c r="M2483" s="62"/>
      <c r="N2483" s="62"/>
      <c r="O2483" s="62"/>
      <c r="P2483" s="62"/>
      <c r="Q2483" s="62"/>
    </row>
    <row r="2484" spans="1:17">
      <c r="A2484" s="62"/>
      <c r="B2484" s="62"/>
      <c r="C2484" s="62"/>
      <c r="D2484" s="62"/>
      <c r="E2484" s="62"/>
      <c r="F2484" s="62"/>
      <c r="G2484" s="62"/>
      <c r="H2484" s="62" t="str">
        <f>IF(AND('Data Export'!A2484=前十整体车型排名!$B$2,'Data Export'!B2484=前十整体车型排名!$B$3,'Data Export'!D2484&lt;&gt;""),UPPER('Data Export'!C2484)&amp;"♦"&amp;'Data Export'!D2484,"")</f>
        <v/>
      </c>
      <c r="I2484" s="63" t="str">
        <f>IF(H2484="","",IFERROR(INDEX('Data Export'!G2484:CZ2484,1,MATCH(前十整体车型排名!$B$4,'Data Export'!$G$1:$CZ$1,0)),0))</f>
        <v/>
      </c>
      <c r="J2484" s="62" t="str">
        <f>IF(H2484="","",IF(OR('Data Export'!F2484="三厢轿车",'Data Export'!F2484="掀背轿车",'Data Export'!F2484="旅行车",'Data Export'!F2484="微型车",'Data Export'!F2484="硬顶跑车",'Data Export'!F2484="敞蓬车",'Data Export'!F2484="Targa"),"轿车",IF(OR('Data Export'!F2484="小型MPV",'Data Export'!F2484="客车"),"MPV",IF('Data Export'!F2484="运动型多功能车","SUV","其他"))))</f>
        <v/>
      </c>
      <c r="K2484" s="62"/>
      <c r="L2484" s="62"/>
      <c r="M2484" s="62"/>
      <c r="N2484" s="62"/>
      <c r="O2484" s="62"/>
      <c r="P2484" s="62"/>
      <c r="Q2484" s="62"/>
    </row>
    <row r="2485" spans="1:17">
      <c r="A2485" s="62"/>
      <c r="B2485" s="62"/>
      <c r="C2485" s="62"/>
      <c r="D2485" s="62"/>
      <c r="E2485" s="62"/>
      <c r="F2485" s="62"/>
      <c r="G2485" s="62"/>
      <c r="H2485" s="62" t="str">
        <f>IF(AND('Data Export'!A2485=前十整体车型排名!$B$2,'Data Export'!B2485=前十整体车型排名!$B$3,'Data Export'!D2485&lt;&gt;""),UPPER('Data Export'!C2485)&amp;"♦"&amp;'Data Export'!D2485,"")</f>
        <v/>
      </c>
      <c r="I2485" s="63" t="str">
        <f>IF(H2485="","",IFERROR(INDEX('Data Export'!G2485:CZ2485,1,MATCH(前十整体车型排名!$B$4,'Data Export'!$G$1:$CZ$1,0)),0))</f>
        <v/>
      </c>
      <c r="J2485" s="62" t="str">
        <f>IF(H2485="","",IF(OR('Data Export'!F2485="三厢轿车",'Data Export'!F2485="掀背轿车",'Data Export'!F2485="旅行车",'Data Export'!F2485="微型车",'Data Export'!F2485="硬顶跑车",'Data Export'!F2485="敞蓬车",'Data Export'!F2485="Targa"),"轿车",IF(OR('Data Export'!F2485="小型MPV",'Data Export'!F2485="客车"),"MPV",IF('Data Export'!F2485="运动型多功能车","SUV","其他"))))</f>
        <v/>
      </c>
      <c r="K2485" s="62"/>
      <c r="L2485" s="62"/>
      <c r="M2485" s="62"/>
      <c r="N2485" s="62"/>
      <c r="O2485" s="62"/>
      <c r="P2485" s="62"/>
      <c r="Q2485" s="62"/>
    </row>
    <row r="2486" spans="1:17">
      <c r="A2486" s="62"/>
      <c r="B2486" s="62"/>
      <c r="C2486" s="62"/>
      <c r="D2486" s="62"/>
      <c r="E2486" s="62"/>
      <c r="F2486" s="62"/>
      <c r="G2486" s="62"/>
      <c r="H2486" s="62" t="str">
        <f>IF(AND('Data Export'!A2486=前十整体车型排名!$B$2,'Data Export'!B2486=前十整体车型排名!$B$3,'Data Export'!D2486&lt;&gt;""),UPPER('Data Export'!C2486)&amp;"♦"&amp;'Data Export'!D2486,"")</f>
        <v/>
      </c>
      <c r="I2486" s="63" t="str">
        <f>IF(H2486="","",IFERROR(INDEX('Data Export'!G2486:CZ2486,1,MATCH(前十整体车型排名!$B$4,'Data Export'!$G$1:$CZ$1,0)),0))</f>
        <v/>
      </c>
      <c r="J2486" s="62" t="str">
        <f>IF(H2486="","",IF(OR('Data Export'!F2486="三厢轿车",'Data Export'!F2486="掀背轿车",'Data Export'!F2486="旅行车",'Data Export'!F2486="微型车",'Data Export'!F2486="硬顶跑车",'Data Export'!F2486="敞蓬车",'Data Export'!F2486="Targa"),"轿车",IF(OR('Data Export'!F2486="小型MPV",'Data Export'!F2486="客车"),"MPV",IF('Data Export'!F2486="运动型多功能车","SUV","其他"))))</f>
        <v/>
      </c>
      <c r="K2486" s="62"/>
      <c r="L2486" s="62"/>
      <c r="M2486" s="62"/>
      <c r="N2486" s="62"/>
      <c r="O2486" s="62"/>
      <c r="P2486" s="62"/>
      <c r="Q2486" s="62"/>
    </row>
    <row r="2487" spans="1:17">
      <c r="A2487" s="62"/>
      <c r="B2487" s="62"/>
      <c r="C2487" s="62"/>
      <c r="D2487" s="62"/>
      <c r="E2487" s="62"/>
      <c r="F2487" s="62"/>
      <c r="G2487" s="62"/>
      <c r="H2487" s="62" t="str">
        <f>IF(AND('Data Export'!A2487=前十整体车型排名!$B$2,'Data Export'!B2487=前十整体车型排名!$B$3,'Data Export'!D2487&lt;&gt;""),UPPER('Data Export'!C2487)&amp;"♦"&amp;'Data Export'!D2487,"")</f>
        <v/>
      </c>
      <c r="I2487" s="63" t="str">
        <f>IF(H2487="","",IFERROR(INDEX('Data Export'!G2487:CZ2487,1,MATCH(前十整体车型排名!$B$4,'Data Export'!$G$1:$CZ$1,0)),0))</f>
        <v/>
      </c>
      <c r="J2487" s="62" t="str">
        <f>IF(H2487="","",IF(OR('Data Export'!F2487="三厢轿车",'Data Export'!F2487="掀背轿车",'Data Export'!F2487="旅行车",'Data Export'!F2487="微型车",'Data Export'!F2487="硬顶跑车",'Data Export'!F2487="敞蓬车",'Data Export'!F2487="Targa"),"轿车",IF(OR('Data Export'!F2487="小型MPV",'Data Export'!F2487="客车"),"MPV",IF('Data Export'!F2487="运动型多功能车","SUV","其他"))))</f>
        <v/>
      </c>
      <c r="K2487" s="62"/>
      <c r="L2487" s="62"/>
      <c r="M2487" s="62"/>
      <c r="N2487" s="62"/>
      <c r="O2487" s="62"/>
      <c r="P2487" s="62"/>
      <c r="Q2487" s="62"/>
    </row>
    <row r="2488" spans="1:17">
      <c r="A2488" s="62"/>
      <c r="B2488" s="62"/>
      <c r="C2488" s="62"/>
      <c r="D2488" s="62"/>
      <c r="E2488" s="62"/>
      <c r="F2488" s="62"/>
      <c r="G2488" s="62"/>
      <c r="H2488" s="62" t="str">
        <f>IF(AND('Data Export'!A2488=前十整体车型排名!$B$2,'Data Export'!B2488=前十整体车型排名!$B$3,'Data Export'!D2488&lt;&gt;""),UPPER('Data Export'!C2488)&amp;"♦"&amp;'Data Export'!D2488,"")</f>
        <v/>
      </c>
      <c r="I2488" s="63" t="str">
        <f>IF(H2488="","",IFERROR(INDEX('Data Export'!G2488:CZ2488,1,MATCH(前十整体车型排名!$B$4,'Data Export'!$G$1:$CZ$1,0)),0))</f>
        <v/>
      </c>
      <c r="J2488" s="62" t="str">
        <f>IF(H2488="","",IF(OR('Data Export'!F2488="三厢轿车",'Data Export'!F2488="掀背轿车",'Data Export'!F2488="旅行车",'Data Export'!F2488="微型车",'Data Export'!F2488="硬顶跑车",'Data Export'!F2488="敞蓬车",'Data Export'!F2488="Targa"),"轿车",IF(OR('Data Export'!F2488="小型MPV",'Data Export'!F2488="客车"),"MPV",IF('Data Export'!F2488="运动型多功能车","SUV","其他"))))</f>
        <v/>
      </c>
      <c r="K2488" s="62"/>
      <c r="L2488" s="62"/>
      <c r="M2488" s="62"/>
      <c r="N2488" s="62"/>
      <c r="O2488" s="62"/>
      <c r="P2488" s="62"/>
      <c r="Q2488" s="62"/>
    </row>
    <row r="2489" spans="1:17">
      <c r="A2489" s="62"/>
      <c r="B2489" s="62"/>
      <c r="C2489" s="62"/>
      <c r="D2489" s="62"/>
      <c r="E2489" s="62"/>
      <c r="F2489" s="62"/>
      <c r="G2489" s="62"/>
      <c r="H2489" s="62" t="str">
        <f>IF(AND('Data Export'!A2489=前十整体车型排名!$B$2,'Data Export'!B2489=前十整体车型排名!$B$3,'Data Export'!D2489&lt;&gt;""),UPPER('Data Export'!C2489)&amp;"♦"&amp;'Data Export'!D2489,"")</f>
        <v/>
      </c>
      <c r="I2489" s="63" t="str">
        <f>IF(H2489="","",IFERROR(INDEX('Data Export'!G2489:CZ2489,1,MATCH(前十整体车型排名!$B$4,'Data Export'!$G$1:$CZ$1,0)),0))</f>
        <v/>
      </c>
      <c r="J2489" s="62" t="str">
        <f>IF(H2489="","",IF(OR('Data Export'!F2489="三厢轿车",'Data Export'!F2489="掀背轿车",'Data Export'!F2489="旅行车",'Data Export'!F2489="微型车",'Data Export'!F2489="硬顶跑车",'Data Export'!F2489="敞蓬车",'Data Export'!F2489="Targa"),"轿车",IF(OR('Data Export'!F2489="小型MPV",'Data Export'!F2489="客车"),"MPV",IF('Data Export'!F2489="运动型多功能车","SUV","其他"))))</f>
        <v/>
      </c>
      <c r="K2489" s="62"/>
      <c r="L2489" s="62"/>
      <c r="M2489" s="62"/>
      <c r="N2489" s="62"/>
      <c r="O2489" s="62"/>
      <c r="P2489" s="62"/>
      <c r="Q2489" s="62"/>
    </row>
    <row r="2490" spans="1:17">
      <c r="A2490" s="62"/>
      <c r="B2490" s="62"/>
      <c r="C2490" s="62"/>
      <c r="D2490" s="62"/>
      <c r="E2490" s="62"/>
      <c r="F2490" s="62"/>
      <c r="G2490" s="62"/>
      <c r="H2490" s="62" t="str">
        <f>IF(AND('Data Export'!A2490=前十整体车型排名!$B$2,'Data Export'!B2490=前十整体车型排名!$B$3,'Data Export'!D2490&lt;&gt;""),UPPER('Data Export'!C2490)&amp;"♦"&amp;'Data Export'!D2490,"")</f>
        <v/>
      </c>
      <c r="I2490" s="63" t="str">
        <f>IF(H2490="","",IFERROR(INDEX('Data Export'!G2490:CZ2490,1,MATCH(前十整体车型排名!$B$4,'Data Export'!$G$1:$CZ$1,0)),0))</f>
        <v/>
      </c>
      <c r="J2490" s="62" t="str">
        <f>IF(H2490="","",IF(OR('Data Export'!F2490="三厢轿车",'Data Export'!F2490="掀背轿车",'Data Export'!F2490="旅行车",'Data Export'!F2490="微型车",'Data Export'!F2490="硬顶跑车",'Data Export'!F2490="敞蓬车",'Data Export'!F2490="Targa"),"轿车",IF(OR('Data Export'!F2490="小型MPV",'Data Export'!F2490="客车"),"MPV",IF('Data Export'!F2490="运动型多功能车","SUV","其他"))))</f>
        <v/>
      </c>
      <c r="K2490" s="62"/>
      <c r="L2490" s="62"/>
      <c r="M2490" s="62"/>
      <c r="N2490" s="62"/>
      <c r="O2490" s="62"/>
      <c r="P2490" s="62"/>
      <c r="Q2490" s="62"/>
    </row>
    <row r="2491" spans="1:17">
      <c r="A2491" s="62"/>
      <c r="B2491" s="62"/>
      <c r="C2491" s="62"/>
      <c r="D2491" s="62"/>
      <c r="E2491" s="62"/>
      <c r="F2491" s="62"/>
      <c r="G2491" s="62"/>
      <c r="H2491" s="62" t="str">
        <f>IF(AND('Data Export'!A2491=前十整体车型排名!$B$2,'Data Export'!B2491=前十整体车型排名!$B$3,'Data Export'!D2491&lt;&gt;""),UPPER('Data Export'!C2491)&amp;"♦"&amp;'Data Export'!D2491,"")</f>
        <v/>
      </c>
      <c r="I2491" s="63" t="str">
        <f>IF(H2491="","",IFERROR(INDEX('Data Export'!G2491:CZ2491,1,MATCH(前十整体车型排名!$B$4,'Data Export'!$G$1:$CZ$1,0)),0))</f>
        <v/>
      </c>
      <c r="J2491" s="62" t="str">
        <f>IF(H2491="","",IF(OR('Data Export'!F2491="三厢轿车",'Data Export'!F2491="掀背轿车",'Data Export'!F2491="旅行车",'Data Export'!F2491="微型车",'Data Export'!F2491="硬顶跑车",'Data Export'!F2491="敞蓬车",'Data Export'!F2491="Targa"),"轿车",IF(OR('Data Export'!F2491="小型MPV",'Data Export'!F2491="客车"),"MPV",IF('Data Export'!F2491="运动型多功能车","SUV","其他"))))</f>
        <v/>
      </c>
      <c r="K2491" s="62"/>
      <c r="L2491" s="62"/>
      <c r="M2491" s="62"/>
      <c r="N2491" s="62"/>
      <c r="O2491" s="62"/>
      <c r="P2491" s="62"/>
      <c r="Q2491" s="62"/>
    </row>
    <row r="2492" spans="1:17">
      <c r="A2492" s="62"/>
      <c r="B2492" s="62"/>
      <c r="C2492" s="62"/>
      <c r="D2492" s="62"/>
      <c r="E2492" s="62"/>
      <c r="F2492" s="62"/>
      <c r="G2492" s="62"/>
      <c r="H2492" s="62" t="str">
        <f>IF(AND('Data Export'!A2492=前十整体车型排名!$B$2,'Data Export'!B2492=前十整体车型排名!$B$3,'Data Export'!D2492&lt;&gt;""),UPPER('Data Export'!C2492)&amp;"♦"&amp;'Data Export'!D2492,"")</f>
        <v/>
      </c>
      <c r="I2492" s="63" t="str">
        <f>IF(H2492="","",IFERROR(INDEX('Data Export'!G2492:CZ2492,1,MATCH(前十整体车型排名!$B$4,'Data Export'!$G$1:$CZ$1,0)),0))</f>
        <v/>
      </c>
      <c r="J2492" s="62" t="str">
        <f>IF(H2492="","",IF(OR('Data Export'!F2492="三厢轿车",'Data Export'!F2492="掀背轿车",'Data Export'!F2492="旅行车",'Data Export'!F2492="微型车",'Data Export'!F2492="硬顶跑车",'Data Export'!F2492="敞蓬车",'Data Export'!F2492="Targa"),"轿车",IF(OR('Data Export'!F2492="小型MPV",'Data Export'!F2492="客车"),"MPV",IF('Data Export'!F2492="运动型多功能车","SUV","其他"))))</f>
        <v/>
      </c>
      <c r="K2492" s="62"/>
      <c r="L2492" s="62"/>
      <c r="M2492" s="62"/>
      <c r="N2492" s="62"/>
      <c r="O2492" s="62"/>
      <c r="P2492" s="62"/>
      <c r="Q2492" s="62"/>
    </row>
    <row r="2493" spans="1:17">
      <c r="A2493" s="62"/>
      <c r="B2493" s="62"/>
      <c r="C2493" s="62"/>
      <c r="D2493" s="62"/>
      <c r="E2493" s="62"/>
      <c r="F2493" s="62"/>
      <c r="G2493" s="62"/>
      <c r="H2493" s="62" t="str">
        <f>IF(AND('Data Export'!A2493=前十整体车型排名!$B$2,'Data Export'!B2493=前十整体车型排名!$B$3,'Data Export'!D2493&lt;&gt;""),UPPER('Data Export'!C2493)&amp;"♦"&amp;'Data Export'!D2493,"")</f>
        <v/>
      </c>
      <c r="I2493" s="63" t="str">
        <f>IF(H2493="","",IFERROR(INDEX('Data Export'!G2493:CZ2493,1,MATCH(前十整体车型排名!$B$4,'Data Export'!$G$1:$CZ$1,0)),0))</f>
        <v/>
      </c>
      <c r="J2493" s="62" t="str">
        <f>IF(H2493="","",IF(OR('Data Export'!F2493="三厢轿车",'Data Export'!F2493="掀背轿车",'Data Export'!F2493="旅行车",'Data Export'!F2493="微型车",'Data Export'!F2493="硬顶跑车",'Data Export'!F2493="敞蓬车",'Data Export'!F2493="Targa"),"轿车",IF(OR('Data Export'!F2493="小型MPV",'Data Export'!F2493="客车"),"MPV",IF('Data Export'!F2493="运动型多功能车","SUV","其他"))))</f>
        <v/>
      </c>
      <c r="K2493" s="62"/>
      <c r="L2493" s="62"/>
      <c r="M2493" s="62"/>
      <c r="N2493" s="62"/>
      <c r="O2493" s="62"/>
      <c r="P2493" s="62"/>
      <c r="Q2493" s="62"/>
    </row>
    <row r="2494" spans="1:17">
      <c r="A2494" s="62"/>
      <c r="B2494" s="62"/>
      <c r="C2494" s="62"/>
      <c r="D2494" s="62"/>
      <c r="E2494" s="62"/>
      <c r="F2494" s="62"/>
      <c r="G2494" s="62"/>
      <c r="H2494" s="62" t="str">
        <f>IF(AND('Data Export'!A2494=前十整体车型排名!$B$2,'Data Export'!B2494=前十整体车型排名!$B$3,'Data Export'!D2494&lt;&gt;""),UPPER('Data Export'!C2494)&amp;"♦"&amp;'Data Export'!D2494,"")</f>
        <v/>
      </c>
      <c r="I2494" s="63" t="str">
        <f>IF(H2494="","",IFERROR(INDEX('Data Export'!G2494:CZ2494,1,MATCH(前十整体车型排名!$B$4,'Data Export'!$G$1:$CZ$1,0)),0))</f>
        <v/>
      </c>
      <c r="J2494" s="62" t="str">
        <f>IF(H2494="","",IF(OR('Data Export'!F2494="三厢轿车",'Data Export'!F2494="掀背轿车",'Data Export'!F2494="旅行车",'Data Export'!F2494="微型车",'Data Export'!F2494="硬顶跑车",'Data Export'!F2494="敞蓬车",'Data Export'!F2494="Targa"),"轿车",IF(OR('Data Export'!F2494="小型MPV",'Data Export'!F2494="客车"),"MPV",IF('Data Export'!F2494="运动型多功能车","SUV","其他"))))</f>
        <v/>
      </c>
      <c r="K2494" s="62"/>
      <c r="L2494" s="62"/>
      <c r="M2494" s="62"/>
      <c r="N2494" s="62"/>
      <c r="O2494" s="62"/>
      <c r="P2494" s="62"/>
      <c r="Q2494" s="62"/>
    </row>
    <row r="2495" spans="1:17">
      <c r="A2495" s="62"/>
      <c r="B2495" s="62"/>
      <c r="C2495" s="62"/>
      <c r="D2495" s="62"/>
      <c r="E2495" s="62"/>
      <c r="F2495" s="62"/>
      <c r="G2495" s="62"/>
      <c r="H2495" s="62" t="str">
        <f>IF(AND('Data Export'!A2495=前十整体车型排名!$B$2,'Data Export'!B2495=前十整体车型排名!$B$3,'Data Export'!D2495&lt;&gt;""),UPPER('Data Export'!C2495)&amp;"♦"&amp;'Data Export'!D2495,"")</f>
        <v/>
      </c>
      <c r="I2495" s="63" t="str">
        <f>IF(H2495="","",IFERROR(INDEX('Data Export'!G2495:CZ2495,1,MATCH(前十整体车型排名!$B$4,'Data Export'!$G$1:$CZ$1,0)),0))</f>
        <v/>
      </c>
      <c r="J2495" s="62" t="str">
        <f>IF(H2495="","",IF(OR('Data Export'!F2495="三厢轿车",'Data Export'!F2495="掀背轿车",'Data Export'!F2495="旅行车",'Data Export'!F2495="微型车",'Data Export'!F2495="硬顶跑车",'Data Export'!F2495="敞蓬车",'Data Export'!F2495="Targa"),"轿车",IF(OR('Data Export'!F2495="小型MPV",'Data Export'!F2495="客车"),"MPV",IF('Data Export'!F2495="运动型多功能车","SUV","其他"))))</f>
        <v/>
      </c>
      <c r="K2495" s="62"/>
      <c r="L2495" s="62"/>
      <c r="M2495" s="62"/>
      <c r="N2495" s="62"/>
      <c r="O2495" s="62"/>
      <c r="P2495" s="62"/>
      <c r="Q2495" s="62"/>
    </row>
    <row r="2496" spans="1:17">
      <c r="A2496" s="62"/>
      <c r="B2496" s="62"/>
      <c r="C2496" s="62"/>
      <c r="D2496" s="62"/>
      <c r="E2496" s="62"/>
      <c r="F2496" s="62"/>
      <c r="G2496" s="62"/>
      <c r="H2496" s="62" t="str">
        <f>IF(AND('Data Export'!A2496=前十整体车型排名!$B$2,'Data Export'!B2496=前十整体车型排名!$B$3,'Data Export'!D2496&lt;&gt;""),UPPER('Data Export'!C2496)&amp;"♦"&amp;'Data Export'!D2496,"")</f>
        <v/>
      </c>
      <c r="I2496" s="63" t="str">
        <f>IF(H2496="","",IFERROR(INDEX('Data Export'!G2496:CZ2496,1,MATCH(前十整体车型排名!$B$4,'Data Export'!$G$1:$CZ$1,0)),0))</f>
        <v/>
      </c>
      <c r="J2496" s="62" t="str">
        <f>IF(H2496="","",IF(OR('Data Export'!F2496="三厢轿车",'Data Export'!F2496="掀背轿车",'Data Export'!F2496="旅行车",'Data Export'!F2496="微型车",'Data Export'!F2496="硬顶跑车",'Data Export'!F2496="敞蓬车",'Data Export'!F2496="Targa"),"轿车",IF(OR('Data Export'!F2496="小型MPV",'Data Export'!F2496="客车"),"MPV",IF('Data Export'!F2496="运动型多功能车","SUV","其他"))))</f>
        <v/>
      </c>
      <c r="K2496" s="62"/>
      <c r="L2496" s="62"/>
      <c r="M2496" s="62"/>
      <c r="N2496" s="62"/>
      <c r="O2496" s="62"/>
      <c r="P2496" s="62"/>
      <c r="Q2496" s="62"/>
    </row>
    <row r="2497" spans="1:17">
      <c r="A2497" s="62"/>
      <c r="B2497" s="62"/>
      <c r="C2497" s="62"/>
      <c r="D2497" s="62"/>
      <c r="E2497" s="62"/>
      <c r="F2497" s="62"/>
      <c r="G2497" s="62"/>
      <c r="H2497" s="62" t="str">
        <f>IF(AND('Data Export'!A2497=前十整体车型排名!$B$2,'Data Export'!B2497=前十整体车型排名!$B$3,'Data Export'!D2497&lt;&gt;""),UPPER('Data Export'!C2497)&amp;"♦"&amp;'Data Export'!D2497,"")</f>
        <v/>
      </c>
      <c r="I2497" s="63" t="str">
        <f>IF(H2497="","",IFERROR(INDEX('Data Export'!G2497:CZ2497,1,MATCH(前十整体车型排名!$B$4,'Data Export'!$G$1:$CZ$1,0)),0))</f>
        <v/>
      </c>
      <c r="J2497" s="62" t="str">
        <f>IF(H2497="","",IF(OR('Data Export'!F2497="三厢轿车",'Data Export'!F2497="掀背轿车",'Data Export'!F2497="旅行车",'Data Export'!F2497="微型车",'Data Export'!F2497="硬顶跑车",'Data Export'!F2497="敞蓬车",'Data Export'!F2497="Targa"),"轿车",IF(OR('Data Export'!F2497="小型MPV",'Data Export'!F2497="客车"),"MPV",IF('Data Export'!F2497="运动型多功能车","SUV","其他"))))</f>
        <v/>
      </c>
      <c r="K2497" s="62"/>
      <c r="L2497" s="62"/>
      <c r="M2497" s="62"/>
      <c r="N2497" s="62"/>
      <c r="O2497" s="62"/>
      <c r="P2497" s="62"/>
      <c r="Q2497" s="62"/>
    </row>
    <row r="2498" spans="1:17">
      <c r="A2498" s="62"/>
      <c r="B2498" s="62"/>
      <c r="C2498" s="62"/>
      <c r="D2498" s="62"/>
      <c r="E2498" s="62"/>
      <c r="F2498" s="62"/>
      <c r="G2498" s="62"/>
      <c r="H2498" s="62" t="str">
        <f>IF(AND('Data Export'!A2498=前十整体车型排名!$B$2,'Data Export'!B2498=前十整体车型排名!$B$3,'Data Export'!D2498&lt;&gt;""),UPPER('Data Export'!C2498)&amp;"♦"&amp;'Data Export'!D2498,"")</f>
        <v/>
      </c>
      <c r="I2498" s="63" t="str">
        <f>IF(H2498="","",IFERROR(INDEX('Data Export'!G2498:CZ2498,1,MATCH(前十整体车型排名!$B$4,'Data Export'!$G$1:$CZ$1,0)),0))</f>
        <v/>
      </c>
      <c r="J2498" s="62" t="str">
        <f>IF(H2498="","",IF(OR('Data Export'!F2498="三厢轿车",'Data Export'!F2498="掀背轿车",'Data Export'!F2498="旅行车",'Data Export'!F2498="微型车",'Data Export'!F2498="硬顶跑车",'Data Export'!F2498="敞蓬车",'Data Export'!F2498="Targa"),"轿车",IF(OR('Data Export'!F2498="小型MPV",'Data Export'!F2498="客车"),"MPV",IF('Data Export'!F2498="运动型多功能车","SUV","其他"))))</f>
        <v/>
      </c>
      <c r="K2498" s="62"/>
      <c r="L2498" s="62"/>
      <c r="M2498" s="62"/>
      <c r="N2498" s="62"/>
      <c r="O2498" s="62"/>
      <c r="P2498" s="62"/>
      <c r="Q2498" s="62"/>
    </row>
    <row r="2499" spans="1:17">
      <c r="A2499" s="62"/>
      <c r="B2499" s="62"/>
      <c r="C2499" s="62"/>
      <c r="D2499" s="62"/>
      <c r="E2499" s="62"/>
      <c r="F2499" s="62"/>
      <c r="G2499" s="62"/>
      <c r="H2499" s="62" t="str">
        <f>IF(AND('Data Export'!A2499=前十整体车型排名!$B$2,'Data Export'!B2499=前十整体车型排名!$B$3,'Data Export'!D2499&lt;&gt;""),UPPER('Data Export'!C2499)&amp;"♦"&amp;'Data Export'!D2499,"")</f>
        <v/>
      </c>
      <c r="I2499" s="63" t="str">
        <f>IF(H2499="","",IFERROR(INDEX('Data Export'!G2499:CZ2499,1,MATCH(前十整体车型排名!$B$4,'Data Export'!$G$1:$CZ$1,0)),0))</f>
        <v/>
      </c>
      <c r="J2499" s="62" t="str">
        <f>IF(H2499="","",IF(OR('Data Export'!F2499="三厢轿车",'Data Export'!F2499="掀背轿车",'Data Export'!F2499="旅行车",'Data Export'!F2499="微型车",'Data Export'!F2499="硬顶跑车",'Data Export'!F2499="敞蓬车",'Data Export'!F2499="Targa"),"轿车",IF(OR('Data Export'!F2499="小型MPV",'Data Export'!F2499="客车"),"MPV",IF('Data Export'!F2499="运动型多功能车","SUV","其他"))))</f>
        <v/>
      </c>
      <c r="K2499" s="62"/>
      <c r="L2499" s="62"/>
      <c r="M2499" s="62"/>
      <c r="N2499" s="62"/>
      <c r="O2499" s="62"/>
      <c r="P2499" s="62"/>
      <c r="Q2499" s="62"/>
    </row>
    <row r="2500" spans="1:17">
      <c r="A2500" s="62"/>
      <c r="B2500" s="62"/>
      <c r="C2500" s="62"/>
      <c r="D2500" s="62"/>
      <c r="E2500" s="62"/>
      <c r="F2500" s="62"/>
      <c r="G2500" s="62"/>
      <c r="H2500" s="62" t="str">
        <f>IF(AND('Data Export'!A2500=前十整体车型排名!$B$2,'Data Export'!B2500=前十整体车型排名!$B$3,'Data Export'!D2500&lt;&gt;""),UPPER('Data Export'!C2500)&amp;"♦"&amp;'Data Export'!D2500,"")</f>
        <v/>
      </c>
      <c r="I2500" s="63" t="str">
        <f>IF(H2500="","",IFERROR(INDEX('Data Export'!G2500:CZ2500,1,MATCH(前十整体车型排名!$B$4,'Data Export'!$G$1:$CZ$1,0)),0))</f>
        <v/>
      </c>
      <c r="J2500" s="62" t="str">
        <f>IF(H2500="","",IF(OR('Data Export'!F2500="三厢轿车",'Data Export'!F2500="掀背轿车",'Data Export'!F2500="旅行车",'Data Export'!F2500="微型车",'Data Export'!F2500="硬顶跑车",'Data Export'!F2500="敞蓬车",'Data Export'!F2500="Targa"),"轿车",IF(OR('Data Export'!F2500="小型MPV",'Data Export'!F2500="客车"),"MPV",IF('Data Export'!F2500="运动型多功能车","SUV","其他"))))</f>
        <v/>
      </c>
      <c r="K2500" s="62"/>
      <c r="L2500" s="62"/>
      <c r="M2500" s="62"/>
      <c r="N2500" s="62"/>
      <c r="O2500" s="62"/>
      <c r="P2500" s="62"/>
      <c r="Q2500" s="62"/>
    </row>
    <row r="2501" spans="1:17">
      <c r="A2501" s="62"/>
      <c r="B2501" s="62"/>
      <c r="C2501" s="62"/>
      <c r="D2501" s="62"/>
      <c r="E2501" s="62"/>
      <c r="F2501" s="62"/>
      <c r="G2501" s="62"/>
      <c r="H2501" s="62" t="str">
        <f>IF(AND('Data Export'!A2501=前十整体车型排名!$B$2,'Data Export'!B2501=前十整体车型排名!$B$3,'Data Export'!D2501&lt;&gt;""),UPPER('Data Export'!C2501)&amp;"♦"&amp;'Data Export'!D2501,"")</f>
        <v/>
      </c>
      <c r="I2501" s="63" t="str">
        <f>IF(H2501="","",IFERROR(INDEX('Data Export'!G2501:CZ2501,1,MATCH(前十整体车型排名!$B$4,'Data Export'!$G$1:$CZ$1,0)),0))</f>
        <v/>
      </c>
      <c r="J2501" s="62" t="str">
        <f>IF(H2501="","",IF(OR('Data Export'!F2501="三厢轿车",'Data Export'!F2501="掀背轿车",'Data Export'!F2501="旅行车",'Data Export'!F2501="微型车",'Data Export'!F2501="硬顶跑车",'Data Export'!F2501="敞蓬车",'Data Export'!F2501="Targa"),"轿车",IF(OR('Data Export'!F2501="小型MPV",'Data Export'!F2501="客车"),"MPV",IF('Data Export'!F2501="运动型多功能车","SUV","其他"))))</f>
        <v/>
      </c>
      <c r="K2501" s="62"/>
      <c r="L2501" s="62"/>
      <c r="M2501" s="62"/>
      <c r="N2501" s="62"/>
      <c r="O2501" s="62"/>
      <c r="P2501" s="62"/>
      <c r="Q2501" s="62"/>
    </row>
    <row r="2502" spans="1:17">
      <c r="A2502" s="62"/>
      <c r="B2502" s="62"/>
      <c r="C2502" s="62"/>
      <c r="D2502" s="62"/>
      <c r="E2502" s="62"/>
      <c r="F2502" s="62"/>
      <c r="G2502" s="62"/>
      <c r="H2502" s="62" t="str">
        <f>IF(AND('Data Export'!A2502=前十整体车型排名!$B$2,'Data Export'!B2502=前十整体车型排名!$B$3,'Data Export'!D2502&lt;&gt;""),UPPER('Data Export'!C2502)&amp;"♦"&amp;'Data Export'!D2502,"")</f>
        <v/>
      </c>
      <c r="I2502" s="63" t="str">
        <f>IF(H2502="","",IFERROR(INDEX('Data Export'!G2502:CZ2502,1,MATCH(前十整体车型排名!$B$4,'Data Export'!$G$1:$CZ$1,0)),0))</f>
        <v/>
      </c>
      <c r="J2502" s="62" t="str">
        <f>IF(H2502="","",IF(OR('Data Export'!F2502="三厢轿车",'Data Export'!F2502="掀背轿车",'Data Export'!F2502="旅行车",'Data Export'!F2502="微型车",'Data Export'!F2502="硬顶跑车",'Data Export'!F2502="敞蓬车",'Data Export'!F2502="Targa"),"轿车",IF(OR('Data Export'!F2502="小型MPV",'Data Export'!F2502="客车"),"MPV",IF('Data Export'!F2502="运动型多功能车","SUV","其他"))))</f>
        <v/>
      </c>
      <c r="K2502" s="62"/>
      <c r="L2502" s="62"/>
      <c r="M2502" s="62"/>
      <c r="N2502" s="62"/>
      <c r="O2502" s="62"/>
      <c r="P2502" s="62"/>
      <c r="Q2502" s="62"/>
    </row>
    <row r="2503" spans="1:17">
      <c r="A2503" s="62"/>
      <c r="B2503" s="62"/>
      <c r="C2503" s="62"/>
      <c r="D2503" s="62"/>
      <c r="E2503" s="62"/>
      <c r="F2503" s="62"/>
      <c r="G2503" s="62"/>
      <c r="H2503" s="62" t="str">
        <f>IF(AND('Data Export'!A2503=前十整体车型排名!$B$2,'Data Export'!B2503=前十整体车型排名!$B$3,'Data Export'!D2503&lt;&gt;""),UPPER('Data Export'!C2503)&amp;"♦"&amp;'Data Export'!D2503,"")</f>
        <v/>
      </c>
      <c r="I2503" s="63" t="str">
        <f>IF(H2503="","",IFERROR(INDEX('Data Export'!G2503:CZ2503,1,MATCH(前十整体车型排名!$B$4,'Data Export'!$G$1:$CZ$1,0)),0))</f>
        <v/>
      </c>
      <c r="J2503" s="62" t="str">
        <f>IF(H2503="","",IF(OR('Data Export'!F2503="三厢轿车",'Data Export'!F2503="掀背轿车",'Data Export'!F2503="旅行车",'Data Export'!F2503="微型车",'Data Export'!F2503="硬顶跑车",'Data Export'!F2503="敞蓬车",'Data Export'!F2503="Targa"),"轿车",IF(OR('Data Export'!F2503="小型MPV",'Data Export'!F2503="客车"),"MPV",IF('Data Export'!F2503="运动型多功能车","SUV","其他"))))</f>
        <v/>
      </c>
      <c r="K2503" s="62"/>
      <c r="L2503" s="62"/>
      <c r="M2503" s="62"/>
      <c r="N2503" s="62"/>
      <c r="O2503" s="62"/>
      <c r="P2503" s="62"/>
      <c r="Q2503" s="62"/>
    </row>
    <row r="2504" spans="1:17">
      <c r="A2504" s="62"/>
      <c r="B2504" s="62"/>
      <c r="C2504" s="62"/>
      <c r="D2504" s="62"/>
      <c r="E2504" s="62"/>
      <c r="F2504" s="62"/>
      <c r="G2504" s="62"/>
      <c r="H2504" s="62" t="str">
        <f>IF(AND('Data Export'!A2504=前十整体车型排名!$B$2,'Data Export'!B2504=前十整体车型排名!$B$3,'Data Export'!D2504&lt;&gt;""),UPPER('Data Export'!C2504)&amp;"♦"&amp;'Data Export'!D2504,"")</f>
        <v/>
      </c>
      <c r="I2504" s="63" t="str">
        <f>IF(H2504="","",IFERROR(INDEX('Data Export'!G2504:CZ2504,1,MATCH(前十整体车型排名!$B$4,'Data Export'!$G$1:$CZ$1,0)),0))</f>
        <v/>
      </c>
      <c r="J2504" s="62" t="str">
        <f>IF(H2504="","",IF(OR('Data Export'!F2504="三厢轿车",'Data Export'!F2504="掀背轿车",'Data Export'!F2504="旅行车",'Data Export'!F2504="微型车",'Data Export'!F2504="硬顶跑车",'Data Export'!F2504="敞蓬车",'Data Export'!F2504="Targa"),"轿车",IF(OR('Data Export'!F2504="小型MPV",'Data Export'!F2504="客车"),"MPV",IF('Data Export'!F2504="运动型多功能车","SUV","其他"))))</f>
        <v/>
      </c>
      <c r="K2504" s="62"/>
      <c r="L2504" s="62"/>
      <c r="M2504" s="62"/>
      <c r="N2504" s="62"/>
      <c r="O2504" s="62"/>
      <c r="P2504" s="62"/>
      <c r="Q2504" s="62"/>
    </row>
    <row r="2505" spans="1:17">
      <c r="A2505" s="62"/>
      <c r="B2505" s="62"/>
      <c r="C2505" s="62"/>
      <c r="D2505" s="62"/>
      <c r="E2505" s="62"/>
      <c r="F2505" s="62"/>
      <c r="G2505" s="62"/>
      <c r="H2505" s="62" t="str">
        <f>IF(AND('Data Export'!A2505=前十整体车型排名!$B$2,'Data Export'!B2505=前十整体车型排名!$B$3,'Data Export'!D2505&lt;&gt;""),UPPER('Data Export'!C2505)&amp;"♦"&amp;'Data Export'!D2505,"")</f>
        <v/>
      </c>
      <c r="I2505" s="63" t="str">
        <f>IF(H2505="","",IFERROR(INDEX('Data Export'!G2505:CZ2505,1,MATCH(前十整体车型排名!$B$4,'Data Export'!$G$1:$CZ$1,0)),0))</f>
        <v/>
      </c>
      <c r="J2505" s="62" t="str">
        <f>IF(H2505="","",IF(OR('Data Export'!F2505="三厢轿车",'Data Export'!F2505="掀背轿车",'Data Export'!F2505="旅行车",'Data Export'!F2505="微型车",'Data Export'!F2505="硬顶跑车",'Data Export'!F2505="敞蓬车",'Data Export'!F2505="Targa"),"轿车",IF(OR('Data Export'!F2505="小型MPV",'Data Export'!F2505="客车"),"MPV",IF('Data Export'!F2505="运动型多功能车","SUV","其他"))))</f>
        <v/>
      </c>
      <c r="K2505" s="62"/>
      <c r="L2505" s="62"/>
      <c r="M2505" s="62"/>
      <c r="N2505" s="62"/>
      <c r="O2505" s="62"/>
      <c r="P2505" s="62"/>
      <c r="Q2505" s="62"/>
    </row>
    <row r="2506" spans="1:17">
      <c r="A2506" s="62"/>
      <c r="B2506" s="62"/>
      <c r="C2506" s="62"/>
      <c r="D2506" s="62"/>
      <c r="E2506" s="62"/>
      <c r="F2506" s="62"/>
      <c r="G2506" s="62"/>
      <c r="H2506" s="62" t="str">
        <f>IF(AND('Data Export'!A2506=前十整体车型排名!$B$2,'Data Export'!B2506=前十整体车型排名!$B$3,'Data Export'!D2506&lt;&gt;""),UPPER('Data Export'!C2506)&amp;"♦"&amp;'Data Export'!D2506,"")</f>
        <v/>
      </c>
      <c r="I2506" s="63" t="str">
        <f>IF(H2506="","",IFERROR(INDEX('Data Export'!G2506:CZ2506,1,MATCH(前十整体车型排名!$B$4,'Data Export'!$G$1:$CZ$1,0)),0))</f>
        <v/>
      </c>
      <c r="J2506" s="62" t="str">
        <f>IF(H2506="","",IF(OR('Data Export'!F2506="三厢轿车",'Data Export'!F2506="掀背轿车",'Data Export'!F2506="旅行车",'Data Export'!F2506="微型车",'Data Export'!F2506="硬顶跑车",'Data Export'!F2506="敞蓬车",'Data Export'!F2506="Targa"),"轿车",IF(OR('Data Export'!F2506="小型MPV",'Data Export'!F2506="客车"),"MPV",IF('Data Export'!F2506="运动型多功能车","SUV","其他"))))</f>
        <v/>
      </c>
      <c r="K2506" s="62"/>
      <c r="L2506" s="62"/>
      <c r="M2506" s="62"/>
      <c r="N2506" s="62"/>
      <c r="O2506" s="62"/>
      <c r="P2506" s="62"/>
      <c r="Q2506" s="62"/>
    </row>
    <row r="2507" spans="1:17">
      <c r="A2507" s="62"/>
      <c r="B2507" s="62"/>
      <c r="C2507" s="62"/>
      <c r="D2507" s="62"/>
      <c r="E2507" s="62"/>
      <c r="F2507" s="62"/>
      <c r="G2507" s="62"/>
      <c r="H2507" s="62" t="str">
        <f>IF(AND('Data Export'!A2507=前十整体车型排名!$B$2,'Data Export'!B2507=前十整体车型排名!$B$3,'Data Export'!D2507&lt;&gt;""),UPPER('Data Export'!C2507)&amp;"♦"&amp;'Data Export'!D2507,"")</f>
        <v/>
      </c>
      <c r="I2507" s="63" t="str">
        <f>IF(H2507="","",IFERROR(INDEX('Data Export'!G2507:CZ2507,1,MATCH(前十整体车型排名!$B$4,'Data Export'!$G$1:$CZ$1,0)),0))</f>
        <v/>
      </c>
      <c r="J2507" s="62" t="str">
        <f>IF(H2507="","",IF(OR('Data Export'!F2507="三厢轿车",'Data Export'!F2507="掀背轿车",'Data Export'!F2507="旅行车",'Data Export'!F2507="微型车",'Data Export'!F2507="硬顶跑车",'Data Export'!F2507="敞蓬车",'Data Export'!F2507="Targa"),"轿车",IF(OR('Data Export'!F2507="小型MPV",'Data Export'!F2507="客车"),"MPV",IF('Data Export'!F2507="运动型多功能车","SUV","其他"))))</f>
        <v/>
      </c>
      <c r="K2507" s="62"/>
      <c r="L2507" s="62"/>
      <c r="M2507" s="62"/>
      <c r="N2507" s="62"/>
      <c r="O2507" s="62"/>
      <c r="P2507" s="62"/>
      <c r="Q2507" s="62"/>
    </row>
    <row r="2508" spans="1:17">
      <c r="A2508" s="62"/>
      <c r="B2508" s="62"/>
      <c r="C2508" s="62"/>
      <c r="D2508" s="62"/>
      <c r="E2508" s="62"/>
      <c r="F2508" s="62"/>
      <c r="G2508" s="62"/>
      <c r="H2508" s="62" t="str">
        <f>IF(AND('Data Export'!A2508=前十整体车型排名!$B$2,'Data Export'!B2508=前十整体车型排名!$B$3,'Data Export'!D2508&lt;&gt;""),UPPER('Data Export'!C2508)&amp;"♦"&amp;'Data Export'!D2508,"")</f>
        <v/>
      </c>
      <c r="I2508" s="63" t="str">
        <f>IF(H2508="","",IFERROR(INDEX('Data Export'!G2508:CZ2508,1,MATCH(前十整体车型排名!$B$4,'Data Export'!$G$1:$CZ$1,0)),0))</f>
        <v/>
      </c>
      <c r="J2508" s="62" t="str">
        <f>IF(H2508="","",IF(OR('Data Export'!F2508="三厢轿车",'Data Export'!F2508="掀背轿车",'Data Export'!F2508="旅行车",'Data Export'!F2508="微型车",'Data Export'!F2508="硬顶跑车",'Data Export'!F2508="敞蓬车",'Data Export'!F2508="Targa"),"轿车",IF(OR('Data Export'!F2508="小型MPV",'Data Export'!F2508="客车"),"MPV",IF('Data Export'!F2508="运动型多功能车","SUV","其他"))))</f>
        <v/>
      </c>
      <c r="K2508" s="62"/>
      <c r="L2508" s="62"/>
      <c r="M2508" s="62"/>
      <c r="N2508" s="62"/>
      <c r="O2508" s="62"/>
      <c r="P2508" s="62"/>
      <c r="Q2508" s="62"/>
    </row>
    <row r="2509" spans="1:17">
      <c r="A2509" s="62"/>
      <c r="B2509" s="62"/>
      <c r="C2509" s="62"/>
      <c r="D2509" s="62"/>
      <c r="E2509" s="62"/>
      <c r="F2509" s="62"/>
      <c r="G2509" s="62"/>
      <c r="H2509" s="62" t="str">
        <f>IF(AND('Data Export'!A2509=前十整体车型排名!$B$2,'Data Export'!B2509=前十整体车型排名!$B$3,'Data Export'!D2509&lt;&gt;""),UPPER('Data Export'!C2509)&amp;"♦"&amp;'Data Export'!D2509,"")</f>
        <v/>
      </c>
      <c r="I2509" s="63" t="str">
        <f>IF(H2509="","",IFERROR(INDEX('Data Export'!G2509:CZ2509,1,MATCH(前十整体车型排名!$B$4,'Data Export'!$G$1:$CZ$1,0)),0))</f>
        <v/>
      </c>
      <c r="J2509" s="62" t="str">
        <f>IF(H2509="","",IF(OR('Data Export'!F2509="三厢轿车",'Data Export'!F2509="掀背轿车",'Data Export'!F2509="旅行车",'Data Export'!F2509="微型车",'Data Export'!F2509="硬顶跑车",'Data Export'!F2509="敞蓬车",'Data Export'!F2509="Targa"),"轿车",IF(OR('Data Export'!F2509="小型MPV",'Data Export'!F2509="客车"),"MPV",IF('Data Export'!F2509="运动型多功能车","SUV","其他"))))</f>
        <v/>
      </c>
      <c r="K2509" s="62"/>
      <c r="L2509" s="62"/>
      <c r="M2509" s="62"/>
      <c r="N2509" s="62"/>
      <c r="O2509" s="62"/>
      <c r="P2509" s="62"/>
      <c r="Q2509" s="62"/>
    </row>
    <row r="2510" spans="1:17">
      <c r="A2510" s="62"/>
      <c r="B2510" s="62"/>
      <c r="C2510" s="62"/>
      <c r="D2510" s="62"/>
      <c r="E2510" s="62"/>
      <c r="F2510" s="62"/>
      <c r="G2510" s="62"/>
      <c r="H2510" s="62" t="str">
        <f>IF(AND('Data Export'!A2510=前十整体车型排名!$B$2,'Data Export'!B2510=前十整体车型排名!$B$3,'Data Export'!D2510&lt;&gt;""),UPPER('Data Export'!C2510)&amp;"♦"&amp;'Data Export'!D2510,"")</f>
        <v/>
      </c>
      <c r="I2510" s="63" t="str">
        <f>IF(H2510="","",IFERROR(INDEX('Data Export'!G2510:CZ2510,1,MATCH(前十整体车型排名!$B$4,'Data Export'!$G$1:$CZ$1,0)),0))</f>
        <v/>
      </c>
      <c r="J2510" s="62" t="str">
        <f>IF(H2510="","",IF(OR('Data Export'!F2510="三厢轿车",'Data Export'!F2510="掀背轿车",'Data Export'!F2510="旅行车",'Data Export'!F2510="微型车",'Data Export'!F2510="硬顶跑车",'Data Export'!F2510="敞蓬车",'Data Export'!F2510="Targa"),"轿车",IF(OR('Data Export'!F2510="小型MPV",'Data Export'!F2510="客车"),"MPV",IF('Data Export'!F2510="运动型多功能车","SUV","其他"))))</f>
        <v/>
      </c>
      <c r="K2510" s="62"/>
      <c r="L2510" s="62"/>
      <c r="M2510" s="62"/>
      <c r="N2510" s="62"/>
      <c r="O2510" s="62"/>
      <c r="P2510" s="62"/>
      <c r="Q2510" s="62"/>
    </row>
    <row r="2511" spans="1:17">
      <c r="A2511" s="62"/>
      <c r="B2511" s="62"/>
      <c r="C2511" s="62"/>
      <c r="D2511" s="62"/>
      <c r="E2511" s="62"/>
      <c r="F2511" s="62"/>
      <c r="G2511" s="62"/>
      <c r="H2511" s="62" t="str">
        <f>IF(AND('Data Export'!A2511=前十整体车型排名!$B$2,'Data Export'!B2511=前十整体车型排名!$B$3,'Data Export'!D2511&lt;&gt;""),UPPER('Data Export'!C2511)&amp;"♦"&amp;'Data Export'!D2511,"")</f>
        <v/>
      </c>
      <c r="I2511" s="63" t="str">
        <f>IF(H2511="","",IFERROR(INDEX('Data Export'!G2511:CZ2511,1,MATCH(前十整体车型排名!$B$4,'Data Export'!$G$1:$CZ$1,0)),0))</f>
        <v/>
      </c>
      <c r="J2511" s="62" t="str">
        <f>IF(H2511="","",IF(OR('Data Export'!F2511="三厢轿车",'Data Export'!F2511="掀背轿车",'Data Export'!F2511="旅行车",'Data Export'!F2511="微型车",'Data Export'!F2511="硬顶跑车",'Data Export'!F2511="敞蓬车",'Data Export'!F2511="Targa"),"轿车",IF(OR('Data Export'!F2511="小型MPV",'Data Export'!F2511="客车"),"MPV",IF('Data Export'!F2511="运动型多功能车","SUV","其他"))))</f>
        <v/>
      </c>
      <c r="K2511" s="62"/>
      <c r="L2511" s="62"/>
      <c r="M2511" s="62"/>
      <c r="N2511" s="62"/>
      <c r="O2511" s="62"/>
      <c r="P2511" s="62"/>
      <c r="Q2511" s="62"/>
    </row>
    <row r="2512" spans="1:17">
      <c r="A2512" s="62"/>
      <c r="B2512" s="62"/>
      <c r="C2512" s="62"/>
      <c r="D2512" s="62"/>
      <c r="E2512" s="62"/>
      <c r="F2512" s="62"/>
      <c r="G2512" s="62"/>
      <c r="H2512" s="62" t="str">
        <f>IF(AND('Data Export'!A2512=前十整体车型排名!$B$2,'Data Export'!B2512=前十整体车型排名!$B$3,'Data Export'!D2512&lt;&gt;""),UPPER('Data Export'!C2512)&amp;"♦"&amp;'Data Export'!D2512,"")</f>
        <v/>
      </c>
      <c r="I2512" s="63" t="str">
        <f>IF(H2512="","",IFERROR(INDEX('Data Export'!G2512:CZ2512,1,MATCH(前十整体车型排名!$B$4,'Data Export'!$G$1:$CZ$1,0)),0))</f>
        <v/>
      </c>
      <c r="J2512" s="62" t="str">
        <f>IF(H2512="","",IF(OR('Data Export'!F2512="三厢轿车",'Data Export'!F2512="掀背轿车",'Data Export'!F2512="旅行车",'Data Export'!F2512="微型车",'Data Export'!F2512="硬顶跑车",'Data Export'!F2512="敞蓬车",'Data Export'!F2512="Targa"),"轿车",IF(OR('Data Export'!F2512="小型MPV",'Data Export'!F2512="客车"),"MPV",IF('Data Export'!F2512="运动型多功能车","SUV","其他"))))</f>
        <v/>
      </c>
      <c r="K2512" s="62"/>
      <c r="L2512" s="62"/>
      <c r="M2512" s="62"/>
      <c r="N2512" s="62"/>
      <c r="O2512" s="62"/>
      <c r="P2512" s="62"/>
      <c r="Q2512" s="62"/>
    </row>
    <row r="2513" spans="1:17">
      <c r="A2513" s="62"/>
      <c r="B2513" s="62"/>
      <c r="C2513" s="62"/>
      <c r="D2513" s="62"/>
      <c r="E2513" s="62"/>
      <c r="F2513" s="62"/>
      <c r="G2513" s="62"/>
      <c r="H2513" s="62" t="str">
        <f>IF(AND('Data Export'!A2513=前十整体车型排名!$B$2,'Data Export'!B2513=前十整体车型排名!$B$3,'Data Export'!D2513&lt;&gt;""),UPPER('Data Export'!C2513)&amp;"♦"&amp;'Data Export'!D2513,"")</f>
        <v/>
      </c>
      <c r="I2513" s="63" t="str">
        <f>IF(H2513="","",IFERROR(INDEX('Data Export'!G2513:CZ2513,1,MATCH(前十整体车型排名!$B$4,'Data Export'!$G$1:$CZ$1,0)),0))</f>
        <v/>
      </c>
      <c r="J2513" s="62" t="str">
        <f>IF(H2513="","",IF(OR('Data Export'!F2513="三厢轿车",'Data Export'!F2513="掀背轿车",'Data Export'!F2513="旅行车",'Data Export'!F2513="微型车",'Data Export'!F2513="硬顶跑车",'Data Export'!F2513="敞蓬车",'Data Export'!F2513="Targa"),"轿车",IF(OR('Data Export'!F2513="小型MPV",'Data Export'!F2513="客车"),"MPV",IF('Data Export'!F2513="运动型多功能车","SUV","其他"))))</f>
        <v/>
      </c>
      <c r="K2513" s="62"/>
      <c r="L2513" s="62"/>
      <c r="M2513" s="62"/>
      <c r="N2513" s="62"/>
      <c r="O2513" s="62"/>
      <c r="P2513" s="62"/>
      <c r="Q2513" s="62"/>
    </row>
    <row r="2514" spans="1:17">
      <c r="A2514" s="62"/>
      <c r="B2514" s="62"/>
      <c r="C2514" s="62"/>
      <c r="D2514" s="62"/>
      <c r="E2514" s="62"/>
      <c r="F2514" s="62"/>
      <c r="G2514" s="62"/>
      <c r="H2514" s="62" t="str">
        <f>IF(AND('Data Export'!A2514=前十整体车型排名!$B$2,'Data Export'!B2514=前十整体车型排名!$B$3,'Data Export'!D2514&lt;&gt;""),UPPER('Data Export'!C2514)&amp;"♦"&amp;'Data Export'!D2514,"")</f>
        <v/>
      </c>
      <c r="I2514" s="63" t="str">
        <f>IF(H2514="","",IFERROR(INDEX('Data Export'!G2514:CZ2514,1,MATCH(前十整体车型排名!$B$4,'Data Export'!$G$1:$CZ$1,0)),0))</f>
        <v/>
      </c>
      <c r="J2514" s="62" t="str">
        <f>IF(H2514="","",IF(OR('Data Export'!F2514="三厢轿车",'Data Export'!F2514="掀背轿车",'Data Export'!F2514="旅行车",'Data Export'!F2514="微型车",'Data Export'!F2514="硬顶跑车",'Data Export'!F2514="敞蓬车",'Data Export'!F2514="Targa"),"轿车",IF(OR('Data Export'!F2514="小型MPV",'Data Export'!F2514="客车"),"MPV",IF('Data Export'!F2514="运动型多功能车","SUV","其他"))))</f>
        <v/>
      </c>
      <c r="K2514" s="62"/>
      <c r="L2514" s="62"/>
      <c r="M2514" s="62"/>
      <c r="N2514" s="62"/>
      <c r="O2514" s="62"/>
      <c r="P2514" s="62"/>
      <c r="Q2514" s="62"/>
    </row>
    <row r="2515" spans="1:17">
      <c r="A2515" s="62"/>
      <c r="B2515" s="62"/>
      <c r="C2515" s="62"/>
      <c r="D2515" s="62"/>
      <c r="E2515" s="62"/>
      <c r="F2515" s="62"/>
      <c r="G2515" s="62"/>
      <c r="H2515" s="62" t="str">
        <f>IF(AND('Data Export'!A2515=前十整体车型排名!$B$2,'Data Export'!B2515=前十整体车型排名!$B$3,'Data Export'!D2515&lt;&gt;""),UPPER('Data Export'!C2515)&amp;"♦"&amp;'Data Export'!D2515,"")</f>
        <v/>
      </c>
      <c r="I2515" s="63" t="str">
        <f>IF(H2515="","",IFERROR(INDEX('Data Export'!G2515:CZ2515,1,MATCH(前十整体车型排名!$B$4,'Data Export'!$G$1:$CZ$1,0)),0))</f>
        <v/>
      </c>
      <c r="J2515" s="62" t="str">
        <f>IF(H2515="","",IF(OR('Data Export'!F2515="三厢轿车",'Data Export'!F2515="掀背轿车",'Data Export'!F2515="旅行车",'Data Export'!F2515="微型车",'Data Export'!F2515="硬顶跑车",'Data Export'!F2515="敞蓬车",'Data Export'!F2515="Targa"),"轿车",IF(OR('Data Export'!F2515="小型MPV",'Data Export'!F2515="客车"),"MPV",IF('Data Export'!F2515="运动型多功能车","SUV","其他"))))</f>
        <v/>
      </c>
      <c r="K2515" s="62"/>
      <c r="L2515" s="62"/>
      <c r="M2515" s="62"/>
      <c r="N2515" s="62"/>
      <c r="O2515" s="62"/>
      <c r="P2515" s="62"/>
      <c r="Q2515" s="62"/>
    </row>
    <row r="2516" spans="1:17">
      <c r="A2516" s="62"/>
      <c r="B2516" s="62"/>
      <c r="C2516" s="62"/>
      <c r="D2516" s="62"/>
      <c r="E2516" s="62"/>
      <c r="F2516" s="62"/>
      <c r="G2516" s="62"/>
      <c r="H2516" s="62" t="str">
        <f>IF(AND('Data Export'!A2516=前十整体车型排名!$B$2,'Data Export'!B2516=前十整体车型排名!$B$3,'Data Export'!D2516&lt;&gt;""),UPPER('Data Export'!C2516)&amp;"♦"&amp;'Data Export'!D2516,"")</f>
        <v/>
      </c>
      <c r="I2516" s="63" t="str">
        <f>IF(H2516="","",IFERROR(INDEX('Data Export'!G2516:CZ2516,1,MATCH(前十整体车型排名!$B$4,'Data Export'!$G$1:$CZ$1,0)),0))</f>
        <v/>
      </c>
      <c r="J2516" s="62" t="str">
        <f>IF(H2516="","",IF(OR('Data Export'!F2516="三厢轿车",'Data Export'!F2516="掀背轿车",'Data Export'!F2516="旅行车",'Data Export'!F2516="微型车",'Data Export'!F2516="硬顶跑车",'Data Export'!F2516="敞蓬车",'Data Export'!F2516="Targa"),"轿车",IF(OR('Data Export'!F2516="小型MPV",'Data Export'!F2516="客车"),"MPV",IF('Data Export'!F2516="运动型多功能车","SUV","其他"))))</f>
        <v/>
      </c>
      <c r="K2516" s="62"/>
      <c r="L2516" s="62"/>
      <c r="M2516" s="62"/>
      <c r="N2516" s="62"/>
      <c r="O2516" s="62"/>
      <c r="P2516" s="62"/>
      <c r="Q2516" s="62"/>
    </row>
    <row r="2517" spans="1:17">
      <c r="A2517" s="62"/>
      <c r="B2517" s="62"/>
      <c r="C2517" s="62"/>
      <c r="D2517" s="62"/>
      <c r="E2517" s="62"/>
      <c r="F2517" s="62"/>
      <c r="G2517" s="62"/>
      <c r="H2517" s="62" t="str">
        <f>IF(AND('Data Export'!A2517=前十整体车型排名!$B$2,'Data Export'!B2517=前十整体车型排名!$B$3,'Data Export'!D2517&lt;&gt;""),UPPER('Data Export'!C2517)&amp;"♦"&amp;'Data Export'!D2517,"")</f>
        <v/>
      </c>
      <c r="I2517" s="63" t="str">
        <f>IF(H2517="","",IFERROR(INDEX('Data Export'!G2517:CZ2517,1,MATCH(前十整体车型排名!$B$4,'Data Export'!$G$1:$CZ$1,0)),0))</f>
        <v/>
      </c>
      <c r="J2517" s="62" t="str">
        <f>IF(H2517="","",IF(OR('Data Export'!F2517="三厢轿车",'Data Export'!F2517="掀背轿车",'Data Export'!F2517="旅行车",'Data Export'!F2517="微型车",'Data Export'!F2517="硬顶跑车",'Data Export'!F2517="敞蓬车",'Data Export'!F2517="Targa"),"轿车",IF(OR('Data Export'!F2517="小型MPV",'Data Export'!F2517="客车"),"MPV",IF('Data Export'!F2517="运动型多功能车","SUV","其他"))))</f>
        <v/>
      </c>
      <c r="K2517" s="62"/>
      <c r="L2517" s="62"/>
      <c r="M2517" s="62"/>
      <c r="N2517" s="62"/>
      <c r="O2517" s="62"/>
      <c r="P2517" s="62"/>
      <c r="Q2517" s="62"/>
    </row>
    <row r="2518" spans="1:17">
      <c r="A2518" s="62"/>
      <c r="B2518" s="62"/>
      <c r="C2518" s="62"/>
      <c r="D2518" s="62"/>
      <c r="E2518" s="62"/>
      <c r="F2518" s="62"/>
      <c r="G2518" s="62"/>
      <c r="H2518" s="62" t="str">
        <f>IF(AND('Data Export'!A2518=前十整体车型排名!$B$2,'Data Export'!B2518=前十整体车型排名!$B$3,'Data Export'!D2518&lt;&gt;""),UPPER('Data Export'!C2518)&amp;"♦"&amp;'Data Export'!D2518,"")</f>
        <v/>
      </c>
      <c r="I2518" s="63" t="str">
        <f>IF(H2518="","",IFERROR(INDEX('Data Export'!G2518:CZ2518,1,MATCH(前十整体车型排名!$B$4,'Data Export'!$G$1:$CZ$1,0)),0))</f>
        <v/>
      </c>
      <c r="J2518" s="62" t="str">
        <f>IF(H2518="","",IF(OR('Data Export'!F2518="三厢轿车",'Data Export'!F2518="掀背轿车",'Data Export'!F2518="旅行车",'Data Export'!F2518="微型车",'Data Export'!F2518="硬顶跑车",'Data Export'!F2518="敞蓬车",'Data Export'!F2518="Targa"),"轿车",IF(OR('Data Export'!F2518="小型MPV",'Data Export'!F2518="客车"),"MPV",IF('Data Export'!F2518="运动型多功能车","SUV","其他"))))</f>
        <v/>
      </c>
      <c r="K2518" s="62"/>
      <c r="L2518" s="62"/>
      <c r="M2518" s="62"/>
      <c r="N2518" s="62"/>
      <c r="O2518" s="62"/>
      <c r="P2518" s="62"/>
      <c r="Q2518" s="62"/>
    </row>
    <row r="2519" spans="1:17">
      <c r="A2519" s="62"/>
      <c r="B2519" s="62"/>
      <c r="C2519" s="62"/>
      <c r="D2519" s="62"/>
      <c r="E2519" s="62"/>
      <c r="F2519" s="62"/>
      <c r="G2519" s="62"/>
      <c r="H2519" s="62" t="str">
        <f>IF(AND('Data Export'!A2519=前十整体车型排名!$B$2,'Data Export'!B2519=前十整体车型排名!$B$3,'Data Export'!D2519&lt;&gt;""),UPPER('Data Export'!C2519)&amp;"♦"&amp;'Data Export'!D2519,"")</f>
        <v/>
      </c>
      <c r="I2519" s="63" t="str">
        <f>IF(H2519="","",IFERROR(INDEX('Data Export'!G2519:CZ2519,1,MATCH(前十整体车型排名!$B$4,'Data Export'!$G$1:$CZ$1,0)),0))</f>
        <v/>
      </c>
      <c r="J2519" s="62" t="str">
        <f>IF(H2519="","",IF(OR('Data Export'!F2519="三厢轿车",'Data Export'!F2519="掀背轿车",'Data Export'!F2519="旅行车",'Data Export'!F2519="微型车",'Data Export'!F2519="硬顶跑车",'Data Export'!F2519="敞蓬车",'Data Export'!F2519="Targa"),"轿车",IF(OR('Data Export'!F2519="小型MPV",'Data Export'!F2519="客车"),"MPV",IF('Data Export'!F2519="运动型多功能车","SUV","其他"))))</f>
        <v/>
      </c>
      <c r="K2519" s="62"/>
      <c r="L2519" s="62"/>
      <c r="M2519" s="62"/>
      <c r="N2519" s="62"/>
      <c r="O2519" s="62"/>
      <c r="P2519" s="62"/>
      <c r="Q2519" s="62"/>
    </row>
    <row r="2520" spans="1:17">
      <c r="A2520" s="62"/>
      <c r="B2520" s="62"/>
      <c r="C2520" s="62"/>
      <c r="D2520" s="62"/>
      <c r="E2520" s="62"/>
      <c r="F2520" s="62"/>
      <c r="G2520" s="62"/>
      <c r="H2520" s="62" t="str">
        <f>IF(AND('Data Export'!A2520=前十整体车型排名!$B$2,'Data Export'!B2520=前十整体车型排名!$B$3,'Data Export'!D2520&lt;&gt;""),UPPER('Data Export'!C2520)&amp;"♦"&amp;'Data Export'!D2520,"")</f>
        <v/>
      </c>
      <c r="I2520" s="63" t="str">
        <f>IF(H2520="","",IFERROR(INDEX('Data Export'!G2520:CZ2520,1,MATCH(前十整体车型排名!$B$4,'Data Export'!$G$1:$CZ$1,0)),0))</f>
        <v/>
      </c>
      <c r="J2520" s="62" t="str">
        <f>IF(H2520="","",IF(OR('Data Export'!F2520="三厢轿车",'Data Export'!F2520="掀背轿车",'Data Export'!F2520="旅行车",'Data Export'!F2520="微型车",'Data Export'!F2520="硬顶跑车",'Data Export'!F2520="敞蓬车",'Data Export'!F2520="Targa"),"轿车",IF(OR('Data Export'!F2520="小型MPV",'Data Export'!F2520="客车"),"MPV",IF('Data Export'!F2520="运动型多功能车","SUV","其他"))))</f>
        <v/>
      </c>
      <c r="K2520" s="62"/>
      <c r="L2520" s="62"/>
      <c r="M2520" s="62"/>
      <c r="N2520" s="62"/>
      <c r="O2520" s="62"/>
      <c r="P2520" s="62"/>
      <c r="Q2520" s="62"/>
    </row>
    <row r="2521" spans="1:17">
      <c r="A2521" s="62"/>
      <c r="B2521" s="62"/>
      <c r="C2521" s="62"/>
      <c r="D2521" s="62"/>
      <c r="E2521" s="62"/>
      <c r="F2521" s="62"/>
      <c r="G2521" s="62"/>
      <c r="H2521" s="62" t="str">
        <f>IF(AND('Data Export'!A2521=前十整体车型排名!$B$2,'Data Export'!B2521=前十整体车型排名!$B$3,'Data Export'!D2521&lt;&gt;""),UPPER('Data Export'!C2521)&amp;"♦"&amp;'Data Export'!D2521,"")</f>
        <v/>
      </c>
      <c r="I2521" s="63" t="str">
        <f>IF(H2521="","",IFERROR(INDEX('Data Export'!G2521:CZ2521,1,MATCH(前十整体车型排名!$B$4,'Data Export'!$G$1:$CZ$1,0)),0))</f>
        <v/>
      </c>
      <c r="J2521" s="62" t="str">
        <f>IF(H2521="","",IF(OR('Data Export'!F2521="三厢轿车",'Data Export'!F2521="掀背轿车",'Data Export'!F2521="旅行车",'Data Export'!F2521="微型车",'Data Export'!F2521="硬顶跑车",'Data Export'!F2521="敞蓬车",'Data Export'!F2521="Targa"),"轿车",IF(OR('Data Export'!F2521="小型MPV",'Data Export'!F2521="客车"),"MPV",IF('Data Export'!F2521="运动型多功能车","SUV","其他"))))</f>
        <v/>
      </c>
      <c r="K2521" s="62"/>
      <c r="L2521" s="62"/>
      <c r="M2521" s="62"/>
      <c r="N2521" s="62"/>
      <c r="O2521" s="62"/>
      <c r="P2521" s="62"/>
      <c r="Q2521" s="62"/>
    </row>
    <row r="2522" spans="1:17">
      <c r="A2522" s="62"/>
      <c r="B2522" s="62"/>
      <c r="C2522" s="62"/>
      <c r="D2522" s="62"/>
      <c r="E2522" s="62"/>
      <c r="F2522" s="62"/>
      <c r="G2522" s="62"/>
      <c r="H2522" s="62" t="str">
        <f>IF(AND('Data Export'!A2522=前十整体车型排名!$B$2,'Data Export'!B2522=前十整体车型排名!$B$3,'Data Export'!D2522&lt;&gt;""),UPPER('Data Export'!C2522)&amp;"♦"&amp;'Data Export'!D2522,"")</f>
        <v/>
      </c>
      <c r="I2522" s="63" t="str">
        <f>IF(H2522="","",IFERROR(INDEX('Data Export'!G2522:CZ2522,1,MATCH(前十整体车型排名!$B$4,'Data Export'!$G$1:$CZ$1,0)),0))</f>
        <v/>
      </c>
      <c r="J2522" s="62" t="str">
        <f>IF(H2522="","",IF(OR('Data Export'!F2522="三厢轿车",'Data Export'!F2522="掀背轿车",'Data Export'!F2522="旅行车",'Data Export'!F2522="微型车",'Data Export'!F2522="硬顶跑车",'Data Export'!F2522="敞蓬车",'Data Export'!F2522="Targa"),"轿车",IF(OR('Data Export'!F2522="小型MPV",'Data Export'!F2522="客车"),"MPV",IF('Data Export'!F2522="运动型多功能车","SUV","其他"))))</f>
        <v/>
      </c>
      <c r="K2522" s="62"/>
      <c r="L2522" s="62"/>
      <c r="M2522" s="62"/>
      <c r="N2522" s="62"/>
      <c r="O2522" s="62"/>
      <c r="P2522" s="62"/>
      <c r="Q2522" s="62"/>
    </row>
    <row r="2523" spans="1:17">
      <c r="A2523" s="62"/>
      <c r="B2523" s="62"/>
      <c r="C2523" s="62"/>
      <c r="D2523" s="62"/>
      <c r="E2523" s="62"/>
      <c r="F2523" s="62"/>
      <c r="G2523" s="62"/>
      <c r="H2523" s="62" t="str">
        <f>IF(AND('Data Export'!A2523=前十整体车型排名!$B$2,'Data Export'!B2523=前十整体车型排名!$B$3,'Data Export'!D2523&lt;&gt;""),UPPER('Data Export'!C2523)&amp;"♦"&amp;'Data Export'!D2523,"")</f>
        <v/>
      </c>
      <c r="I2523" s="63" t="str">
        <f>IF(H2523="","",IFERROR(INDEX('Data Export'!G2523:CZ2523,1,MATCH(前十整体车型排名!$B$4,'Data Export'!$G$1:$CZ$1,0)),0))</f>
        <v/>
      </c>
      <c r="J2523" s="62" t="str">
        <f>IF(H2523="","",IF(OR('Data Export'!F2523="三厢轿车",'Data Export'!F2523="掀背轿车",'Data Export'!F2523="旅行车",'Data Export'!F2523="微型车",'Data Export'!F2523="硬顶跑车",'Data Export'!F2523="敞蓬车",'Data Export'!F2523="Targa"),"轿车",IF(OR('Data Export'!F2523="小型MPV",'Data Export'!F2523="客车"),"MPV",IF('Data Export'!F2523="运动型多功能车","SUV","其他"))))</f>
        <v/>
      </c>
      <c r="K2523" s="62"/>
      <c r="L2523" s="62"/>
      <c r="M2523" s="62"/>
      <c r="N2523" s="62"/>
      <c r="O2523" s="62"/>
      <c r="P2523" s="62"/>
      <c r="Q2523" s="62"/>
    </row>
    <row r="2524" spans="1:17">
      <c r="A2524" s="62"/>
      <c r="B2524" s="62"/>
      <c r="C2524" s="62"/>
      <c r="D2524" s="62"/>
      <c r="E2524" s="62"/>
      <c r="F2524" s="62"/>
      <c r="G2524" s="62"/>
      <c r="H2524" s="62" t="str">
        <f>IF(AND('Data Export'!A2524=前十整体车型排名!$B$2,'Data Export'!B2524=前十整体车型排名!$B$3,'Data Export'!D2524&lt;&gt;""),UPPER('Data Export'!C2524)&amp;"♦"&amp;'Data Export'!D2524,"")</f>
        <v/>
      </c>
      <c r="I2524" s="63" t="str">
        <f>IF(H2524="","",IFERROR(INDEX('Data Export'!G2524:CZ2524,1,MATCH(前十整体车型排名!$B$4,'Data Export'!$G$1:$CZ$1,0)),0))</f>
        <v/>
      </c>
      <c r="J2524" s="62" t="str">
        <f>IF(H2524="","",IF(OR('Data Export'!F2524="三厢轿车",'Data Export'!F2524="掀背轿车",'Data Export'!F2524="旅行车",'Data Export'!F2524="微型车",'Data Export'!F2524="硬顶跑车",'Data Export'!F2524="敞蓬车",'Data Export'!F2524="Targa"),"轿车",IF(OR('Data Export'!F2524="小型MPV",'Data Export'!F2524="客车"),"MPV",IF('Data Export'!F2524="运动型多功能车","SUV","其他"))))</f>
        <v/>
      </c>
      <c r="K2524" s="62"/>
      <c r="L2524" s="62"/>
      <c r="M2524" s="62"/>
      <c r="N2524" s="62"/>
      <c r="O2524" s="62"/>
      <c r="P2524" s="62"/>
      <c r="Q2524" s="62"/>
    </row>
    <row r="2525" spans="1:17">
      <c r="A2525" s="62"/>
      <c r="B2525" s="62"/>
      <c r="C2525" s="62"/>
      <c r="D2525" s="62"/>
      <c r="E2525" s="62"/>
      <c r="F2525" s="62"/>
      <c r="G2525" s="62"/>
      <c r="H2525" s="62" t="str">
        <f>IF(AND('Data Export'!A2525=前十整体车型排名!$B$2,'Data Export'!B2525=前十整体车型排名!$B$3,'Data Export'!D2525&lt;&gt;""),UPPER('Data Export'!C2525)&amp;"♦"&amp;'Data Export'!D2525,"")</f>
        <v/>
      </c>
      <c r="I2525" s="63" t="str">
        <f>IF(H2525="","",IFERROR(INDEX('Data Export'!G2525:CZ2525,1,MATCH(前十整体车型排名!$B$4,'Data Export'!$G$1:$CZ$1,0)),0))</f>
        <v/>
      </c>
      <c r="J2525" s="62" t="str">
        <f>IF(H2525="","",IF(OR('Data Export'!F2525="三厢轿车",'Data Export'!F2525="掀背轿车",'Data Export'!F2525="旅行车",'Data Export'!F2525="微型车",'Data Export'!F2525="硬顶跑车",'Data Export'!F2525="敞蓬车",'Data Export'!F2525="Targa"),"轿车",IF(OR('Data Export'!F2525="小型MPV",'Data Export'!F2525="客车"),"MPV",IF('Data Export'!F2525="运动型多功能车","SUV","其他"))))</f>
        <v/>
      </c>
      <c r="K2525" s="62"/>
      <c r="L2525" s="62"/>
      <c r="M2525" s="62"/>
      <c r="N2525" s="62"/>
      <c r="O2525" s="62"/>
      <c r="P2525" s="62"/>
      <c r="Q2525" s="62"/>
    </row>
    <row r="2526" spans="1:17">
      <c r="A2526" s="62"/>
      <c r="B2526" s="62"/>
      <c r="C2526" s="62"/>
      <c r="D2526" s="62"/>
      <c r="E2526" s="62"/>
      <c r="F2526" s="62"/>
      <c r="G2526" s="62"/>
      <c r="H2526" s="62" t="str">
        <f>IF(AND('Data Export'!A2526=前十整体车型排名!$B$2,'Data Export'!B2526=前十整体车型排名!$B$3,'Data Export'!D2526&lt;&gt;""),UPPER('Data Export'!C2526)&amp;"♦"&amp;'Data Export'!D2526,"")</f>
        <v/>
      </c>
      <c r="I2526" s="63" t="str">
        <f>IF(H2526="","",IFERROR(INDEX('Data Export'!G2526:CZ2526,1,MATCH(前十整体车型排名!$B$4,'Data Export'!$G$1:$CZ$1,0)),0))</f>
        <v/>
      </c>
      <c r="J2526" s="62" t="str">
        <f>IF(H2526="","",IF(OR('Data Export'!F2526="三厢轿车",'Data Export'!F2526="掀背轿车",'Data Export'!F2526="旅行车",'Data Export'!F2526="微型车",'Data Export'!F2526="硬顶跑车",'Data Export'!F2526="敞蓬车",'Data Export'!F2526="Targa"),"轿车",IF(OR('Data Export'!F2526="小型MPV",'Data Export'!F2526="客车"),"MPV",IF('Data Export'!F2526="运动型多功能车","SUV","其他"))))</f>
        <v/>
      </c>
      <c r="K2526" s="62"/>
      <c r="L2526" s="62"/>
      <c r="M2526" s="62"/>
      <c r="N2526" s="62"/>
      <c r="O2526" s="62"/>
      <c r="P2526" s="62"/>
      <c r="Q2526" s="62"/>
    </row>
    <row r="2527" spans="1:17">
      <c r="A2527" s="62"/>
      <c r="B2527" s="62"/>
      <c r="C2527" s="62"/>
      <c r="D2527" s="62"/>
      <c r="E2527" s="62"/>
      <c r="F2527" s="62"/>
      <c r="G2527" s="62"/>
      <c r="H2527" s="62" t="str">
        <f>IF(AND('Data Export'!A2527=前十整体车型排名!$B$2,'Data Export'!B2527=前十整体车型排名!$B$3,'Data Export'!D2527&lt;&gt;""),UPPER('Data Export'!C2527)&amp;"♦"&amp;'Data Export'!D2527,"")</f>
        <v/>
      </c>
      <c r="I2527" s="63" t="str">
        <f>IF(H2527="","",IFERROR(INDEX('Data Export'!G2527:CZ2527,1,MATCH(前十整体车型排名!$B$4,'Data Export'!$G$1:$CZ$1,0)),0))</f>
        <v/>
      </c>
      <c r="J2527" s="62" t="str">
        <f>IF(H2527="","",IF(OR('Data Export'!F2527="三厢轿车",'Data Export'!F2527="掀背轿车",'Data Export'!F2527="旅行车",'Data Export'!F2527="微型车",'Data Export'!F2527="硬顶跑车",'Data Export'!F2527="敞蓬车",'Data Export'!F2527="Targa"),"轿车",IF(OR('Data Export'!F2527="小型MPV",'Data Export'!F2527="客车"),"MPV",IF('Data Export'!F2527="运动型多功能车","SUV","其他"))))</f>
        <v/>
      </c>
      <c r="K2527" s="62"/>
      <c r="L2527" s="62"/>
      <c r="M2527" s="62"/>
      <c r="N2527" s="62"/>
      <c r="O2527" s="62"/>
      <c r="P2527" s="62"/>
      <c r="Q2527" s="62"/>
    </row>
    <row r="2528" spans="1:17">
      <c r="A2528" s="62"/>
      <c r="B2528" s="62"/>
      <c r="C2528" s="62"/>
      <c r="D2528" s="62"/>
      <c r="E2528" s="62"/>
      <c r="F2528" s="62"/>
      <c r="G2528" s="62"/>
      <c r="H2528" s="62" t="str">
        <f>IF(AND('Data Export'!A2528=前十整体车型排名!$B$2,'Data Export'!B2528=前十整体车型排名!$B$3,'Data Export'!D2528&lt;&gt;""),UPPER('Data Export'!C2528)&amp;"♦"&amp;'Data Export'!D2528,"")</f>
        <v/>
      </c>
      <c r="I2528" s="63" t="str">
        <f>IF(H2528="","",IFERROR(INDEX('Data Export'!G2528:CZ2528,1,MATCH(前十整体车型排名!$B$4,'Data Export'!$G$1:$CZ$1,0)),0))</f>
        <v/>
      </c>
      <c r="J2528" s="62" t="str">
        <f>IF(H2528="","",IF(OR('Data Export'!F2528="三厢轿车",'Data Export'!F2528="掀背轿车",'Data Export'!F2528="旅行车",'Data Export'!F2528="微型车",'Data Export'!F2528="硬顶跑车",'Data Export'!F2528="敞蓬车",'Data Export'!F2528="Targa"),"轿车",IF(OR('Data Export'!F2528="小型MPV",'Data Export'!F2528="客车"),"MPV",IF('Data Export'!F2528="运动型多功能车","SUV","其他"))))</f>
        <v/>
      </c>
      <c r="K2528" s="62"/>
      <c r="L2528" s="62"/>
      <c r="M2528" s="62"/>
      <c r="N2528" s="62"/>
      <c r="O2528" s="62"/>
      <c r="P2528" s="62"/>
      <c r="Q2528" s="62"/>
    </row>
    <row r="2529" spans="1:17">
      <c r="A2529" s="62"/>
      <c r="B2529" s="62"/>
      <c r="C2529" s="62"/>
      <c r="D2529" s="62"/>
      <c r="E2529" s="62"/>
      <c r="F2529" s="62"/>
      <c r="G2529" s="62"/>
      <c r="H2529" s="62" t="str">
        <f>IF(AND('Data Export'!A2529=前十整体车型排名!$B$2,'Data Export'!B2529=前十整体车型排名!$B$3,'Data Export'!D2529&lt;&gt;""),UPPER('Data Export'!C2529)&amp;"♦"&amp;'Data Export'!D2529,"")</f>
        <v/>
      </c>
      <c r="I2529" s="63" t="str">
        <f>IF(H2529="","",IFERROR(INDEX('Data Export'!G2529:CZ2529,1,MATCH(前十整体车型排名!$B$4,'Data Export'!$G$1:$CZ$1,0)),0))</f>
        <v/>
      </c>
      <c r="J2529" s="62" t="str">
        <f>IF(H2529="","",IF(OR('Data Export'!F2529="三厢轿车",'Data Export'!F2529="掀背轿车",'Data Export'!F2529="旅行车",'Data Export'!F2529="微型车",'Data Export'!F2529="硬顶跑车",'Data Export'!F2529="敞蓬车",'Data Export'!F2529="Targa"),"轿车",IF(OR('Data Export'!F2529="小型MPV",'Data Export'!F2529="客车"),"MPV",IF('Data Export'!F2529="运动型多功能车","SUV","其他"))))</f>
        <v/>
      </c>
      <c r="K2529" s="62"/>
      <c r="L2529" s="62"/>
      <c r="M2529" s="62"/>
      <c r="N2529" s="62"/>
      <c r="O2529" s="62"/>
      <c r="P2529" s="62"/>
      <c r="Q2529" s="62"/>
    </row>
    <row r="2530" spans="1:17">
      <c r="A2530" s="62"/>
      <c r="B2530" s="62"/>
      <c r="C2530" s="62"/>
      <c r="D2530" s="62"/>
      <c r="E2530" s="62"/>
      <c r="F2530" s="62"/>
      <c r="G2530" s="62"/>
      <c r="H2530" s="62" t="str">
        <f>IF(AND('Data Export'!A2530=前十整体车型排名!$B$2,'Data Export'!B2530=前十整体车型排名!$B$3,'Data Export'!D2530&lt;&gt;""),UPPER('Data Export'!C2530)&amp;"♦"&amp;'Data Export'!D2530,"")</f>
        <v/>
      </c>
      <c r="I2530" s="63" t="str">
        <f>IF(H2530="","",IFERROR(INDEX('Data Export'!G2530:CZ2530,1,MATCH(前十整体车型排名!$B$4,'Data Export'!$G$1:$CZ$1,0)),0))</f>
        <v/>
      </c>
      <c r="J2530" s="62" t="str">
        <f>IF(H2530="","",IF(OR('Data Export'!F2530="三厢轿车",'Data Export'!F2530="掀背轿车",'Data Export'!F2530="旅行车",'Data Export'!F2530="微型车",'Data Export'!F2530="硬顶跑车",'Data Export'!F2530="敞蓬车",'Data Export'!F2530="Targa"),"轿车",IF(OR('Data Export'!F2530="小型MPV",'Data Export'!F2530="客车"),"MPV",IF('Data Export'!F2530="运动型多功能车","SUV","其他"))))</f>
        <v/>
      </c>
      <c r="K2530" s="62"/>
      <c r="L2530" s="62"/>
      <c r="M2530" s="62"/>
      <c r="N2530" s="62"/>
      <c r="O2530" s="62"/>
      <c r="P2530" s="62"/>
      <c r="Q2530" s="62"/>
    </row>
    <row r="2531" spans="1:17">
      <c r="A2531" s="62"/>
      <c r="B2531" s="62"/>
      <c r="C2531" s="62"/>
      <c r="D2531" s="62"/>
      <c r="E2531" s="62"/>
      <c r="F2531" s="62"/>
      <c r="G2531" s="62"/>
      <c r="H2531" s="62" t="str">
        <f>IF(AND('Data Export'!A2531=前十整体车型排名!$B$2,'Data Export'!B2531=前十整体车型排名!$B$3,'Data Export'!D2531&lt;&gt;""),UPPER('Data Export'!C2531)&amp;"♦"&amp;'Data Export'!D2531,"")</f>
        <v/>
      </c>
      <c r="I2531" s="63" t="str">
        <f>IF(H2531="","",IFERROR(INDEX('Data Export'!G2531:CZ2531,1,MATCH(前十整体车型排名!$B$4,'Data Export'!$G$1:$CZ$1,0)),0))</f>
        <v/>
      </c>
      <c r="J2531" s="62" t="str">
        <f>IF(H2531="","",IF(OR('Data Export'!F2531="三厢轿车",'Data Export'!F2531="掀背轿车",'Data Export'!F2531="旅行车",'Data Export'!F2531="微型车",'Data Export'!F2531="硬顶跑车",'Data Export'!F2531="敞蓬车",'Data Export'!F2531="Targa"),"轿车",IF(OR('Data Export'!F2531="小型MPV",'Data Export'!F2531="客车"),"MPV",IF('Data Export'!F2531="运动型多功能车","SUV","其他"))))</f>
        <v/>
      </c>
      <c r="K2531" s="62"/>
      <c r="L2531" s="62"/>
      <c r="M2531" s="62"/>
      <c r="N2531" s="62"/>
      <c r="O2531" s="62"/>
      <c r="P2531" s="62"/>
      <c r="Q2531" s="62"/>
    </row>
    <row r="2532" spans="1:17">
      <c r="A2532" s="62"/>
      <c r="B2532" s="62"/>
      <c r="C2532" s="62"/>
      <c r="D2532" s="62"/>
      <c r="E2532" s="62"/>
      <c r="F2532" s="62"/>
      <c r="G2532" s="62"/>
      <c r="H2532" s="62" t="str">
        <f>IF(AND('Data Export'!A2532=前十整体车型排名!$B$2,'Data Export'!B2532=前十整体车型排名!$B$3,'Data Export'!D2532&lt;&gt;""),UPPER('Data Export'!C2532)&amp;"♦"&amp;'Data Export'!D2532,"")</f>
        <v/>
      </c>
      <c r="I2532" s="63" t="str">
        <f>IF(H2532="","",IFERROR(INDEX('Data Export'!G2532:CZ2532,1,MATCH(前十整体车型排名!$B$4,'Data Export'!$G$1:$CZ$1,0)),0))</f>
        <v/>
      </c>
      <c r="J2532" s="62" t="str">
        <f>IF(H2532="","",IF(OR('Data Export'!F2532="三厢轿车",'Data Export'!F2532="掀背轿车",'Data Export'!F2532="旅行车",'Data Export'!F2532="微型车",'Data Export'!F2532="硬顶跑车",'Data Export'!F2532="敞蓬车",'Data Export'!F2532="Targa"),"轿车",IF(OR('Data Export'!F2532="小型MPV",'Data Export'!F2532="客车"),"MPV",IF('Data Export'!F2532="运动型多功能车","SUV","其他"))))</f>
        <v/>
      </c>
      <c r="K2532" s="62"/>
      <c r="L2532" s="62"/>
      <c r="M2532" s="62"/>
      <c r="N2532" s="62"/>
      <c r="O2532" s="62"/>
      <c r="P2532" s="62"/>
      <c r="Q2532" s="62"/>
    </row>
    <row r="2533" spans="1:17">
      <c r="A2533" s="62"/>
      <c r="B2533" s="62"/>
      <c r="C2533" s="62"/>
      <c r="D2533" s="62"/>
      <c r="E2533" s="62"/>
      <c r="F2533" s="62"/>
      <c r="G2533" s="62"/>
      <c r="H2533" s="62" t="str">
        <f>IF(AND('Data Export'!A2533=前十整体车型排名!$B$2,'Data Export'!B2533=前十整体车型排名!$B$3,'Data Export'!D2533&lt;&gt;""),UPPER('Data Export'!C2533)&amp;"♦"&amp;'Data Export'!D2533,"")</f>
        <v/>
      </c>
      <c r="I2533" s="63" t="str">
        <f>IF(H2533="","",IFERROR(INDEX('Data Export'!G2533:CZ2533,1,MATCH(前十整体车型排名!$B$4,'Data Export'!$G$1:$CZ$1,0)),0))</f>
        <v/>
      </c>
      <c r="J2533" s="62" t="str">
        <f>IF(H2533="","",IF(OR('Data Export'!F2533="三厢轿车",'Data Export'!F2533="掀背轿车",'Data Export'!F2533="旅行车",'Data Export'!F2533="微型车",'Data Export'!F2533="硬顶跑车",'Data Export'!F2533="敞蓬车",'Data Export'!F2533="Targa"),"轿车",IF(OR('Data Export'!F2533="小型MPV",'Data Export'!F2533="客车"),"MPV",IF('Data Export'!F2533="运动型多功能车","SUV","其他"))))</f>
        <v/>
      </c>
      <c r="K2533" s="62"/>
      <c r="L2533" s="62"/>
      <c r="M2533" s="62"/>
      <c r="N2533" s="62"/>
      <c r="O2533" s="62"/>
      <c r="P2533" s="62"/>
      <c r="Q2533" s="62"/>
    </row>
    <row r="2534" spans="1:17">
      <c r="A2534" s="62"/>
      <c r="B2534" s="62"/>
      <c r="C2534" s="62"/>
      <c r="D2534" s="62"/>
      <c r="E2534" s="62"/>
      <c r="F2534" s="62"/>
      <c r="G2534" s="62"/>
      <c r="H2534" s="62" t="str">
        <f>IF(AND('Data Export'!A2534=前十整体车型排名!$B$2,'Data Export'!B2534=前十整体车型排名!$B$3,'Data Export'!D2534&lt;&gt;""),UPPER('Data Export'!C2534)&amp;"♦"&amp;'Data Export'!D2534,"")</f>
        <v/>
      </c>
      <c r="I2534" s="63" t="str">
        <f>IF(H2534="","",IFERROR(INDEX('Data Export'!G2534:CZ2534,1,MATCH(前十整体车型排名!$B$4,'Data Export'!$G$1:$CZ$1,0)),0))</f>
        <v/>
      </c>
      <c r="J2534" s="62" t="str">
        <f>IF(H2534="","",IF(OR('Data Export'!F2534="三厢轿车",'Data Export'!F2534="掀背轿车",'Data Export'!F2534="旅行车",'Data Export'!F2534="微型车",'Data Export'!F2534="硬顶跑车",'Data Export'!F2534="敞蓬车",'Data Export'!F2534="Targa"),"轿车",IF(OR('Data Export'!F2534="小型MPV",'Data Export'!F2534="客车"),"MPV",IF('Data Export'!F2534="运动型多功能车","SUV","其他"))))</f>
        <v/>
      </c>
      <c r="K2534" s="62"/>
      <c r="L2534" s="62"/>
      <c r="M2534" s="62"/>
      <c r="N2534" s="62"/>
      <c r="O2534" s="62"/>
      <c r="P2534" s="62"/>
      <c r="Q2534" s="62"/>
    </row>
    <row r="2535" spans="1:17">
      <c r="A2535" s="62"/>
      <c r="B2535" s="62"/>
      <c r="C2535" s="62"/>
      <c r="D2535" s="62"/>
      <c r="E2535" s="62"/>
      <c r="F2535" s="62"/>
      <c r="G2535" s="62"/>
      <c r="H2535" s="62" t="str">
        <f>IF(AND('Data Export'!A2535=前十整体车型排名!$B$2,'Data Export'!B2535=前十整体车型排名!$B$3,'Data Export'!D2535&lt;&gt;""),UPPER('Data Export'!C2535)&amp;"♦"&amp;'Data Export'!D2535,"")</f>
        <v/>
      </c>
      <c r="I2535" s="63" t="str">
        <f>IF(H2535="","",IFERROR(INDEX('Data Export'!G2535:CZ2535,1,MATCH(前十整体车型排名!$B$4,'Data Export'!$G$1:$CZ$1,0)),0))</f>
        <v/>
      </c>
      <c r="J2535" s="62" t="str">
        <f>IF(H2535="","",IF(OR('Data Export'!F2535="三厢轿车",'Data Export'!F2535="掀背轿车",'Data Export'!F2535="旅行车",'Data Export'!F2535="微型车",'Data Export'!F2535="硬顶跑车",'Data Export'!F2535="敞蓬车",'Data Export'!F2535="Targa"),"轿车",IF(OR('Data Export'!F2535="小型MPV",'Data Export'!F2535="客车"),"MPV",IF('Data Export'!F2535="运动型多功能车","SUV","其他"))))</f>
        <v/>
      </c>
      <c r="K2535" s="62"/>
      <c r="L2535" s="62"/>
      <c r="M2535" s="62"/>
      <c r="N2535" s="62"/>
      <c r="O2535" s="62"/>
      <c r="P2535" s="62"/>
      <c r="Q2535" s="62"/>
    </row>
    <row r="2536" spans="1:17">
      <c r="A2536" s="62"/>
      <c r="B2536" s="62"/>
      <c r="C2536" s="62"/>
      <c r="D2536" s="62"/>
      <c r="E2536" s="62"/>
      <c r="F2536" s="62"/>
      <c r="G2536" s="62"/>
      <c r="H2536" s="62" t="str">
        <f>IF(AND('Data Export'!A2536=前十整体车型排名!$B$2,'Data Export'!B2536=前十整体车型排名!$B$3,'Data Export'!D2536&lt;&gt;""),UPPER('Data Export'!C2536)&amp;"♦"&amp;'Data Export'!D2536,"")</f>
        <v/>
      </c>
      <c r="I2536" s="63" t="str">
        <f>IF(H2536="","",IFERROR(INDEX('Data Export'!G2536:CZ2536,1,MATCH(前十整体车型排名!$B$4,'Data Export'!$G$1:$CZ$1,0)),0))</f>
        <v/>
      </c>
      <c r="J2536" s="62" t="str">
        <f>IF(H2536="","",IF(OR('Data Export'!F2536="三厢轿车",'Data Export'!F2536="掀背轿车",'Data Export'!F2536="旅行车",'Data Export'!F2536="微型车",'Data Export'!F2536="硬顶跑车",'Data Export'!F2536="敞蓬车",'Data Export'!F2536="Targa"),"轿车",IF(OR('Data Export'!F2536="小型MPV",'Data Export'!F2536="客车"),"MPV",IF('Data Export'!F2536="运动型多功能车","SUV","其他"))))</f>
        <v/>
      </c>
      <c r="K2536" s="62"/>
      <c r="L2536" s="62"/>
      <c r="M2536" s="62"/>
      <c r="N2536" s="62"/>
      <c r="O2536" s="62"/>
      <c r="P2536" s="62"/>
      <c r="Q2536" s="62"/>
    </row>
    <row r="2537" spans="1:17">
      <c r="A2537" s="62"/>
      <c r="B2537" s="62"/>
      <c r="C2537" s="62"/>
      <c r="D2537" s="62"/>
      <c r="E2537" s="62"/>
      <c r="F2537" s="62"/>
      <c r="G2537" s="62"/>
      <c r="H2537" s="62" t="str">
        <f>IF(AND('Data Export'!A2537=前十整体车型排名!$B$2,'Data Export'!B2537=前十整体车型排名!$B$3,'Data Export'!D2537&lt;&gt;""),UPPER('Data Export'!C2537)&amp;"♦"&amp;'Data Export'!D2537,"")</f>
        <v/>
      </c>
      <c r="I2537" s="63" t="str">
        <f>IF(H2537="","",IFERROR(INDEX('Data Export'!G2537:CZ2537,1,MATCH(前十整体车型排名!$B$4,'Data Export'!$G$1:$CZ$1,0)),0))</f>
        <v/>
      </c>
      <c r="J2537" s="62" t="str">
        <f>IF(H2537="","",IF(OR('Data Export'!F2537="三厢轿车",'Data Export'!F2537="掀背轿车",'Data Export'!F2537="旅行车",'Data Export'!F2537="微型车",'Data Export'!F2537="硬顶跑车",'Data Export'!F2537="敞蓬车",'Data Export'!F2537="Targa"),"轿车",IF(OR('Data Export'!F2537="小型MPV",'Data Export'!F2537="客车"),"MPV",IF('Data Export'!F2537="运动型多功能车","SUV","其他"))))</f>
        <v/>
      </c>
      <c r="K2537" s="62"/>
      <c r="L2537" s="62"/>
      <c r="M2537" s="62"/>
      <c r="N2537" s="62"/>
      <c r="O2537" s="62"/>
      <c r="P2537" s="62"/>
      <c r="Q2537" s="62"/>
    </row>
    <row r="2538" spans="1:17">
      <c r="A2538" s="62"/>
      <c r="B2538" s="62"/>
      <c r="C2538" s="62"/>
      <c r="D2538" s="62"/>
      <c r="E2538" s="62"/>
      <c r="F2538" s="62"/>
      <c r="G2538" s="62"/>
      <c r="H2538" s="62" t="str">
        <f>IF(AND('Data Export'!A2538=前十整体车型排名!$B$2,'Data Export'!B2538=前十整体车型排名!$B$3,'Data Export'!D2538&lt;&gt;""),UPPER('Data Export'!C2538)&amp;"♦"&amp;'Data Export'!D2538,"")</f>
        <v/>
      </c>
      <c r="I2538" s="63" t="str">
        <f>IF(H2538="","",IFERROR(INDEX('Data Export'!G2538:CZ2538,1,MATCH(前十整体车型排名!$B$4,'Data Export'!$G$1:$CZ$1,0)),0))</f>
        <v/>
      </c>
      <c r="J2538" s="62" t="str">
        <f>IF(H2538="","",IF(OR('Data Export'!F2538="三厢轿车",'Data Export'!F2538="掀背轿车",'Data Export'!F2538="旅行车",'Data Export'!F2538="微型车",'Data Export'!F2538="硬顶跑车",'Data Export'!F2538="敞蓬车",'Data Export'!F2538="Targa"),"轿车",IF(OR('Data Export'!F2538="小型MPV",'Data Export'!F2538="客车"),"MPV",IF('Data Export'!F2538="运动型多功能车","SUV","其他"))))</f>
        <v/>
      </c>
      <c r="K2538" s="62"/>
      <c r="L2538" s="62"/>
      <c r="M2538" s="62"/>
      <c r="N2538" s="62"/>
      <c r="O2538" s="62"/>
      <c r="P2538" s="62"/>
      <c r="Q2538" s="62"/>
    </row>
    <row r="2539" spans="1:17">
      <c r="A2539" s="62"/>
      <c r="B2539" s="62"/>
      <c r="C2539" s="62"/>
      <c r="D2539" s="62"/>
      <c r="E2539" s="62"/>
      <c r="F2539" s="62"/>
      <c r="G2539" s="62"/>
      <c r="H2539" s="62" t="str">
        <f>IF(AND('Data Export'!A2539=前十整体车型排名!$B$2,'Data Export'!B2539=前十整体车型排名!$B$3,'Data Export'!D2539&lt;&gt;""),UPPER('Data Export'!C2539)&amp;"♦"&amp;'Data Export'!D2539,"")</f>
        <v/>
      </c>
      <c r="I2539" s="63" t="str">
        <f>IF(H2539="","",IFERROR(INDEX('Data Export'!G2539:CZ2539,1,MATCH(前十整体车型排名!$B$4,'Data Export'!$G$1:$CZ$1,0)),0))</f>
        <v/>
      </c>
      <c r="J2539" s="62" t="str">
        <f>IF(H2539="","",IF(OR('Data Export'!F2539="三厢轿车",'Data Export'!F2539="掀背轿车",'Data Export'!F2539="旅行车",'Data Export'!F2539="微型车",'Data Export'!F2539="硬顶跑车",'Data Export'!F2539="敞蓬车",'Data Export'!F2539="Targa"),"轿车",IF(OR('Data Export'!F2539="小型MPV",'Data Export'!F2539="客车"),"MPV",IF('Data Export'!F2539="运动型多功能车","SUV","其他"))))</f>
        <v/>
      </c>
      <c r="K2539" s="62"/>
      <c r="L2539" s="62"/>
      <c r="M2539" s="62"/>
      <c r="N2539" s="62"/>
      <c r="O2539" s="62"/>
      <c r="P2539" s="62"/>
      <c r="Q2539" s="62"/>
    </row>
    <row r="2540" spans="1:17">
      <c r="A2540" s="62"/>
      <c r="B2540" s="62"/>
      <c r="C2540" s="62"/>
      <c r="D2540" s="62"/>
      <c r="E2540" s="62"/>
      <c r="F2540" s="62"/>
      <c r="G2540" s="62"/>
      <c r="H2540" s="62" t="str">
        <f>IF(AND('Data Export'!A2540=前十整体车型排名!$B$2,'Data Export'!B2540=前十整体车型排名!$B$3,'Data Export'!D2540&lt;&gt;""),UPPER('Data Export'!C2540)&amp;"♦"&amp;'Data Export'!D2540,"")</f>
        <v/>
      </c>
      <c r="I2540" s="63" t="str">
        <f>IF(H2540="","",IFERROR(INDEX('Data Export'!G2540:CZ2540,1,MATCH(前十整体车型排名!$B$4,'Data Export'!$G$1:$CZ$1,0)),0))</f>
        <v/>
      </c>
      <c r="J2540" s="62" t="str">
        <f>IF(H2540="","",IF(OR('Data Export'!F2540="三厢轿车",'Data Export'!F2540="掀背轿车",'Data Export'!F2540="旅行车",'Data Export'!F2540="微型车",'Data Export'!F2540="硬顶跑车",'Data Export'!F2540="敞蓬车",'Data Export'!F2540="Targa"),"轿车",IF(OR('Data Export'!F2540="小型MPV",'Data Export'!F2540="客车"),"MPV",IF('Data Export'!F2540="运动型多功能车","SUV","其他"))))</f>
        <v/>
      </c>
      <c r="K2540" s="62"/>
      <c r="L2540" s="62"/>
      <c r="M2540" s="62"/>
      <c r="N2540" s="62"/>
      <c r="O2540" s="62"/>
      <c r="P2540" s="62"/>
      <c r="Q2540" s="62"/>
    </row>
    <row r="2541" spans="1:17">
      <c r="A2541" s="62"/>
      <c r="B2541" s="62"/>
      <c r="C2541" s="62"/>
      <c r="D2541" s="62"/>
      <c r="E2541" s="62"/>
      <c r="F2541" s="62"/>
      <c r="G2541" s="62"/>
      <c r="H2541" s="62" t="str">
        <f>IF(AND('Data Export'!A2541=前十整体车型排名!$B$2,'Data Export'!B2541=前十整体车型排名!$B$3,'Data Export'!D2541&lt;&gt;""),UPPER('Data Export'!C2541)&amp;"♦"&amp;'Data Export'!D2541,"")</f>
        <v/>
      </c>
      <c r="I2541" s="63" t="str">
        <f>IF(H2541="","",IFERROR(INDEX('Data Export'!G2541:CZ2541,1,MATCH(前十整体车型排名!$B$4,'Data Export'!$G$1:$CZ$1,0)),0))</f>
        <v/>
      </c>
      <c r="J2541" s="62" t="str">
        <f>IF(H2541="","",IF(OR('Data Export'!F2541="三厢轿车",'Data Export'!F2541="掀背轿车",'Data Export'!F2541="旅行车",'Data Export'!F2541="微型车",'Data Export'!F2541="硬顶跑车",'Data Export'!F2541="敞蓬车",'Data Export'!F2541="Targa"),"轿车",IF(OR('Data Export'!F2541="小型MPV",'Data Export'!F2541="客车"),"MPV",IF('Data Export'!F2541="运动型多功能车","SUV","其他"))))</f>
        <v/>
      </c>
      <c r="K2541" s="62"/>
      <c r="L2541" s="62"/>
      <c r="M2541" s="62"/>
      <c r="N2541" s="62"/>
      <c r="O2541" s="62"/>
      <c r="P2541" s="62"/>
      <c r="Q2541" s="62"/>
    </row>
    <row r="2542" spans="1:17">
      <c r="A2542" s="62"/>
      <c r="B2542" s="62"/>
      <c r="C2542" s="62"/>
      <c r="D2542" s="62"/>
      <c r="E2542" s="62"/>
      <c r="F2542" s="62"/>
      <c r="G2542" s="62"/>
      <c r="H2542" s="62" t="str">
        <f>IF(AND('Data Export'!A2542=前十整体车型排名!$B$2,'Data Export'!B2542=前十整体车型排名!$B$3,'Data Export'!D2542&lt;&gt;""),UPPER('Data Export'!C2542)&amp;"♦"&amp;'Data Export'!D2542,"")</f>
        <v/>
      </c>
      <c r="I2542" s="63" t="str">
        <f>IF(H2542="","",IFERROR(INDEX('Data Export'!G2542:CZ2542,1,MATCH(前十整体车型排名!$B$4,'Data Export'!$G$1:$CZ$1,0)),0))</f>
        <v/>
      </c>
      <c r="J2542" s="62" t="str">
        <f>IF(H2542="","",IF(OR('Data Export'!F2542="三厢轿车",'Data Export'!F2542="掀背轿车",'Data Export'!F2542="旅行车",'Data Export'!F2542="微型车",'Data Export'!F2542="硬顶跑车",'Data Export'!F2542="敞蓬车",'Data Export'!F2542="Targa"),"轿车",IF(OR('Data Export'!F2542="小型MPV",'Data Export'!F2542="客车"),"MPV",IF('Data Export'!F2542="运动型多功能车","SUV","其他"))))</f>
        <v/>
      </c>
      <c r="K2542" s="62"/>
      <c r="L2542" s="62"/>
      <c r="M2542" s="62"/>
      <c r="N2542" s="62"/>
      <c r="O2542" s="62"/>
      <c r="P2542" s="62"/>
      <c r="Q2542" s="62"/>
    </row>
    <row r="2543" spans="1:17">
      <c r="A2543" s="62"/>
      <c r="B2543" s="62"/>
      <c r="C2543" s="62"/>
      <c r="D2543" s="62"/>
      <c r="E2543" s="62"/>
      <c r="F2543" s="62"/>
      <c r="G2543" s="62"/>
      <c r="H2543" s="62" t="str">
        <f>IF(AND('Data Export'!A2543=前十整体车型排名!$B$2,'Data Export'!B2543=前十整体车型排名!$B$3,'Data Export'!D2543&lt;&gt;""),UPPER('Data Export'!C2543)&amp;"♦"&amp;'Data Export'!D2543,"")</f>
        <v/>
      </c>
      <c r="I2543" s="63" t="str">
        <f>IF(H2543="","",IFERROR(INDEX('Data Export'!G2543:CZ2543,1,MATCH(前十整体车型排名!$B$4,'Data Export'!$G$1:$CZ$1,0)),0))</f>
        <v/>
      </c>
      <c r="J2543" s="62" t="str">
        <f>IF(H2543="","",IF(OR('Data Export'!F2543="三厢轿车",'Data Export'!F2543="掀背轿车",'Data Export'!F2543="旅行车",'Data Export'!F2543="微型车",'Data Export'!F2543="硬顶跑车",'Data Export'!F2543="敞蓬车",'Data Export'!F2543="Targa"),"轿车",IF(OR('Data Export'!F2543="小型MPV",'Data Export'!F2543="客车"),"MPV",IF('Data Export'!F2543="运动型多功能车","SUV","其他"))))</f>
        <v/>
      </c>
      <c r="K2543" s="62"/>
      <c r="L2543" s="62"/>
      <c r="M2543" s="62"/>
      <c r="N2543" s="62"/>
      <c r="O2543" s="62"/>
      <c r="P2543" s="62"/>
      <c r="Q2543" s="62"/>
    </row>
    <row r="2544" spans="1:17">
      <c r="A2544" s="62"/>
      <c r="B2544" s="62"/>
      <c r="C2544" s="62"/>
      <c r="D2544" s="62"/>
      <c r="E2544" s="62"/>
      <c r="F2544" s="62"/>
      <c r="G2544" s="62"/>
      <c r="H2544" s="62" t="str">
        <f>IF(AND('Data Export'!A2544=前十整体车型排名!$B$2,'Data Export'!B2544=前十整体车型排名!$B$3,'Data Export'!D2544&lt;&gt;""),UPPER('Data Export'!C2544)&amp;"♦"&amp;'Data Export'!D2544,"")</f>
        <v/>
      </c>
      <c r="I2544" s="63" t="str">
        <f>IF(H2544="","",IFERROR(INDEX('Data Export'!G2544:CZ2544,1,MATCH(前十整体车型排名!$B$4,'Data Export'!$G$1:$CZ$1,0)),0))</f>
        <v/>
      </c>
      <c r="J2544" s="62" t="str">
        <f>IF(H2544="","",IF(OR('Data Export'!F2544="三厢轿车",'Data Export'!F2544="掀背轿车",'Data Export'!F2544="旅行车",'Data Export'!F2544="微型车",'Data Export'!F2544="硬顶跑车",'Data Export'!F2544="敞蓬车",'Data Export'!F2544="Targa"),"轿车",IF(OR('Data Export'!F2544="小型MPV",'Data Export'!F2544="客车"),"MPV",IF('Data Export'!F2544="运动型多功能车","SUV","其他"))))</f>
        <v/>
      </c>
      <c r="K2544" s="62"/>
      <c r="L2544" s="62"/>
      <c r="M2544" s="62"/>
      <c r="N2544" s="62"/>
      <c r="O2544" s="62"/>
      <c r="P2544" s="62"/>
      <c r="Q2544" s="62"/>
    </row>
    <row r="2545" spans="1:17">
      <c r="A2545" s="62"/>
      <c r="B2545" s="62"/>
      <c r="C2545" s="62"/>
      <c r="D2545" s="62"/>
      <c r="E2545" s="62"/>
      <c r="F2545" s="62"/>
      <c r="G2545" s="62"/>
      <c r="H2545" s="62" t="str">
        <f>IF(AND('Data Export'!A2545=前十整体车型排名!$B$2,'Data Export'!B2545=前十整体车型排名!$B$3,'Data Export'!D2545&lt;&gt;""),UPPER('Data Export'!C2545)&amp;"♦"&amp;'Data Export'!D2545,"")</f>
        <v/>
      </c>
      <c r="I2545" s="63" t="str">
        <f>IF(H2545="","",IFERROR(INDEX('Data Export'!G2545:CZ2545,1,MATCH(前十整体车型排名!$B$4,'Data Export'!$G$1:$CZ$1,0)),0))</f>
        <v/>
      </c>
      <c r="J2545" s="62" t="str">
        <f>IF(H2545="","",IF(OR('Data Export'!F2545="三厢轿车",'Data Export'!F2545="掀背轿车",'Data Export'!F2545="旅行车",'Data Export'!F2545="微型车",'Data Export'!F2545="硬顶跑车",'Data Export'!F2545="敞蓬车",'Data Export'!F2545="Targa"),"轿车",IF(OR('Data Export'!F2545="小型MPV",'Data Export'!F2545="客车"),"MPV",IF('Data Export'!F2545="运动型多功能车","SUV","其他"))))</f>
        <v/>
      </c>
      <c r="K2545" s="62"/>
      <c r="L2545" s="62"/>
      <c r="M2545" s="62"/>
      <c r="N2545" s="62"/>
      <c r="O2545" s="62"/>
      <c r="P2545" s="62"/>
      <c r="Q2545" s="62"/>
    </row>
    <row r="2546" spans="1:17">
      <c r="A2546" s="62"/>
      <c r="B2546" s="62"/>
      <c r="C2546" s="62"/>
      <c r="D2546" s="62"/>
      <c r="E2546" s="62"/>
      <c r="F2546" s="62"/>
      <c r="G2546" s="62"/>
      <c r="H2546" s="62" t="str">
        <f>IF(AND('Data Export'!A2546=前十整体车型排名!$B$2,'Data Export'!B2546=前十整体车型排名!$B$3,'Data Export'!D2546&lt;&gt;""),UPPER('Data Export'!C2546)&amp;"♦"&amp;'Data Export'!D2546,"")</f>
        <v/>
      </c>
      <c r="I2546" s="63" t="str">
        <f>IF(H2546="","",IFERROR(INDEX('Data Export'!G2546:CZ2546,1,MATCH(前十整体车型排名!$B$4,'Data Export'!$G$1:$CZ$1,0)),0))</f>
        <v/>
      </c>
      <c r="J2546" s="62" t="str">
        <f>IF(H2546="","",IF(OR('Data Export'!F2546="三厢轿车",'Data Export'!F2546="掀背轿车",'Data Export'!F2546="旅行车",'Data Export'!F2546="微型车",'Data Export'!F2546="硬顶跑车",'Data Export'!F2546="敞蓬车",'Data Export'!F2546="Targa"),"轿车",IF(OR('Data Export'!F2546="小型MPV",'Data Export'!F2546="客车"),"MPV",IF('Data Export'!F2546="运动型多功能车","SUV","其他"))))</f>
        <v/>
      </c>
      <c r="K2546" s="62"/>
      <c r="L2546" s="62"/>
      <c r="M2546" s="62"/>
      <c r="N2546" s="62"/>
      <c r="O2546" s="62"/>
      <c r="P2546" s="62"/>
      <c r="Q2546" s="62"/>
    </row>
    <row r="2547" spans="1:17">
      <c r="A2547" s="62"/>
      <c r="B2547" s="62"/>
      <c r="C2547" s="62"/>
      <c r="D2547" s="62"/>
      <c r="E2547" s="62"/>
      <c r="F2547" s="62"/>
      <c r="G2547" s="62"/>
      <c r="H2547" s="62" t="str">
        <f>IF(AND('Data Export'!A2547=前十整体车型排名!$B$2,'Data Export'!B2547=前十整体车型排名!$B$3,'Data Export'!D2547&lt;&gt;""),UPPER('Data Export'!C2547)&amp;"♦"&amp;'Data Export'!D2547,"")</f>
        <v/>
      </c>
      <c r="I2547" s="63" t="str">
        <f>IF(H2547="","",IFERROR(INDEX('Data Export'!G2547:CZ2547,1,MATCH(前十整体车型排名!$B$4,'Data Export'!$G$1:$CZ$1,0)),0))</f>
        <v/>
      </c>
      <c r="J2547" s="62" t="str">
        <f>IF(H2547="","",IF(OR('Data Export'!F2547="三厢轿车",'Data Export'!F2547="掀背轿车",'Data Export'!F2547="旅行车",'Data Export'!F2547="微型车",'Data Export'!F2547="硬顶跑车",'Data Export'!F2547="敞蓬车",'Data Export'!F2547="Targa"),"轿车",IF(OR('Data Export'!F2547="小型MPV",'Data Export'!F2547="客车"),"MPV",IF('Data Export'!F2547="运动型多功能车","SUV","其他"))))</f>
        <v/>
      </c>
      <c r="K2547" s="62"/>
      <c r="L2547" s="62"/>
      <c r="M2547" s="62"/>
      <c r="N2547" s="62"/>
      <c r="O2547" s="62"/>
      <c r="P2547" s="62"/>
      <c r="Q2547" s="62"/>
    </row>
    <row r="2548" spans="1:17">
      <c r="A2548" s="62"/>
      <c r="B2548" s="62"/>
      <c r="C2548" s="62"/>
      <c r="D2548" s="62"/>
      <c r="E2548" s="62"/>
      <c r="F2548" s="62"/>
      <c r="G2548" s="62"/>
      <c r="H2548" s="62" t="str">
        <f>IF(AND('Data Export'!A2548=前十整体车型排名!$B$2,'Data Export'!B2548=前十整体车型排名!$B$3,'Data Export'!D2548&lt;&gt;""),UPPER('Data Export'!C2548)&amp;"♦"&amp;'Data Export'!D2548,"")</f>
        <v/>
      </c>
      <c r="I2548" s="63" t="str">
        <f>IF(H2548="","",IFERROR(INDEX('Data Export'!G2548:CZ2548,1,MATCH(前十整体车型排名!$B$4,'Data Export'!$G$1:$CZ$1,0)),0))</f>
        <v/>
      </c>
      <c r="J2548" s="62" t="str">
        <f>IF(H2548="","",IF(OR('Data Export'!F2548="三厢轿车",'Data Export'!F2548="掀背轿车",'Data Export'!F2548="旅行车",'Data Export'!F2548="微型车",'Data Export'!F2548="硬顶跑车",'Data Export'!F2548="敞蓬车",'Data Export'!F2548="Targa"),"轿车",IF(OR('Data Export'!F2548="小型MPV",'Data Export'!F2548="客车"),"MPV",IF('Data Export'!F2548="运动型多功能车","SUV","其他"))))</f>
        <v/>
      </c>
      <c r="K2548" s="62"/>
      <c r="L2548" s="62"/>
      <c r="M2548" s="62"/>
      <c r="N2548" s="62"/>
      <c r="O2548" s="62"/>
      <c r="P2548" s="62"/>
      <c r="Q2548" s="62"/>
    </row>
    <row r="2549" spans="1:17">
      <c r="A2549" s="62"/>
      <c r="B2549" s="62"/>
      <c r="C2549" s="62"/>
      <c r="D2549" s="62"/>
      <c r="E2549" s="62"/>
      <c r="F2549" s="62"/>
      <c r="G2549" s="62"/>
      <c r="H2549" s="62" t="str">
        <f>IF(AND('Data Export'!A2549=前十整体车型排名!$B$2,'Data Export'!B2549=前十整体车型排名!$B$3,'Data Export'!D2549&lt;&gt;""),UPPER('Data Export'!C2549)&amp;"♦"&amp;'Data Export'!D2549,"")</f>
        <v/>
      </c>
      <c r="I2549" s="63" t="str">
        <f>IF(H2549="","",IFERROR(INDEX('Data Export'!G2549:CZ2549,1,MATCH(前十整体车型排名!$B$4,'Data Export'!$G$1:$CZ$1,0)),0))</f>
        <v/>
      </c>
      <c r="J2549" s="62" t="str">
        <f>IF(H2549="","",IF(OR('Data Export'!F2549="三厢轿车",'Data Export'!F2549="掀背轿车",'Data Export'!F2549="旅行车",'Data Export'!F2549="微型车",'Data Export'!F2549="硬顶跑车",'Data Export'!F2549="敞蓬车",'Data Export'!F2549="Targa"),"轿车",IF(OR('Data Export'!F2549="小型MPV",'Data Export'!F2549="客车"),"MPV",IF('Data Export'!F2549="运动型多功能车","SUV","其他"))))</f>
        <v/>
      </c>
      <c r="K2549" s="62"/>
      <c r="L2549" s="62"/>
      <c r="M2549" s="62"/>
      <c r="N2549" s="62"/>
      <c r="O2549" s="62"/>
      <c r="P2549" s="62"/>
      <c r="Q2549" s="62"/>
    </row>
    <row r="2550" spans="1:17">
      <c r="A2550" s="62"/>
      <c r="B2550" s="62"/>
      <c r="C2550" s="62"/>
      <c r="D2550" s="62"/>
      <c r="E2550" s="62"/>
      <c r="F2550" s="62"/>
      <c r="G2550" s="62"/>
      <c r="H2550" s="62" t="str">
        <f>IF(AND('Data Export'!A2550=前十整体车型排名!$B$2,'Data Export'!B2550=前十整体车型排名!$B$3,'Data Export'!D2550&lt;&gt;""),UPPER('Data Export'!C2550)&amp;"♦"&amp;'Data Export'!D2550,"")</f>
        <v/>
      </c>
      <c r="I2550" s="63" t="str">
        <f>IF(H2550="","",IFERROR(INDEX('Data Export'!G2550:CZ2550,1,MATCH(前十整体车型排名!$B$4,'Data Export'!$G$1:$CZ$1,0)),0))</f>
        <v/>
      </c>
      <c r="J2550" s="62" t="str">
        <f>IF(H2550="","",IF(OR('Data Export'!F2550="三厢轿车",'Data Export'!F2550="掀背轿车",'Data Export'!F2550="旅行车",'Data Export'!F2550="微型车",'Data Export'!F2550="硬顶跑车",'Data Export'!F2550="敞蓬车",'Data Export'!F2550="Targa"),"轿车",IF(OR('Data Export'!F2550="小型MPV",'Data Export'!F2550="客车"),"MPV",IF('Data Export'!F2550="运动型多功能车","SUV","其他"))))</f>
        <v/>
      </c>
      <c r="K2550" s="62"/>
      <c r="L2550" s="62"/>
      <c r="M2550" s="62"/>
      <c r="N2550" s="62"/>
      <c r="O2550" s="62"/>
      <c r="P2550" s="62"/>
      <c r="Q2550" s="62"/>
    </row>
    <row r="2551" spans="1:17">
      <c r="A2551" s="62"/>
      <c r="B2551" s="62"/>
      <c r="C2551" s="62"/>
      <c r="D2551" s="62"/>
      <c r="E2551" s="62"/>
      <c r="F2551" s="62"/>
      <c r="G2551" s="62"/>
      <c r="H2551" s="62" t="str">
        <f>IF(AND('Data Export'!A2551=前十整体车型排名!$B$2,'Data Export'!B2551=前十整体车型排名!$B$3,'Data Export'!D2551&lt;&gt;""),UPPER('Data Export'!C2551)&amp;"♦"&amp;'Data Export'!D2551,"")</f>
        <v/>
      </c>
      <c r="I2551" s="63" t="str">
        <f>IF(H2551="","",IFERROR(INDEX('Data Export'!G2551:CZ2551,1,MATCH(前十整体车型排名!$B$4,'Data Export'!$G$1:$CZ$1,0)),0))</f>
        <v/>
      </c>
      <c r="J2551" s="62" t="str">
        <f>IF(H2551="","",IF(OR('Data Export'!F2551="三厢轿车",'Data Export'!F2551="掀背轿车",'Data Export'!F2551="旅行车",'Data Export'!F2551="微型车",'Data Export'!F2551="硬顶跑车",'Data Export'!F2551="敞蓬车",'Data Export'!F2551="Targa"),"轿车",IF(OR('Data Export'!F2551="小型MPV",'Data Export'!F2551="客车"),"MPV",IF('Data Export'!F2551="运动型多功能车","SUV","其他"))))</f>
        <v/>
      </c>
      <c r="K2551" s="62"/>
      <c r="L2551" s="62"/>
      <c r="M2551" s="62"/>
      <c r="N2551" s="62"/>
      <c r="O2551" s="62"/>
      <c r="P2551" s="62"/>
      <c r="Q2551" s="62"/>
    </row>
    <row r="2552" spans="1:17">
      <c r="A2552" s="62"/>
      <c r="B2552" s="62"/>
      <c r="C2552" s="62"/>
      <c r="D2552" s="62"/>
      <c r="E2552" s="62"/>
      <c r="F2552" s="62"/>
      <c r="G2552" s="62"/>
      <c r="H2552" s="62" t="str">
        <f>IF(AND('Data Export'!A2552=前十整体车型排名!$B$2,'Data Export'!B2552=前十整体车型排名!$B$3,'Data Export'!D2552&lt;&gt;""),UPPER('Data Export'!C2552)&amp;"♦"&amp;'Data Export'!D2552,"")</f>
        <v/>
      </c>
      <c r="I2552" s="63" t="str">
        <f>IF(H2552="","",IFERROR(INDEX('Data Export'!G2552:CZ2552,1,MATCH(前十整体车型排名!$B$4,'Data Export'!$G$1:$CZ$1,0)),0))</f>
        <v/>
      </c>
      <c r="J2552" s="62" t="str">
        <f>IF(H2552="","",IF(OR('Data Export'!F2552="三厢轿车",'Data Export'!F2552="掀背轿车",'Data Export'!F2552="旅行车",'Data Export'!F2552="微型车",'Data Export'!F2552="硬顶跑车",'Data Export'!F2552="敞蓬车",'Data Export'!F2552="Targa"),"轿车",IF(OR('Data Export'!F2552="小型MPV",'Data Export'!F2552="客车"),"MPV",IF('Data Export'!F2552="运动型多功能车","SUV","其他"))))</f>
        <v/>
      </c>
      <c r="K2552" s="62"/>
      <c r="L2552" s="62"/>
      <c r="M2552" s="62"/>
      <c r="N2552" s="62"/>
      <c r="O2552" s="62"/>
      <c r="P2552" s="62"/>
      <c r="Q2552" s="62"/>
    </row>
    <row r="2553" spans="1:17">
      <c r="A2553" s="62"/>
      <c r="B2553" s="62"/>
      <c r="C2553" s="62"/>
      <c r="D2553" s="62"/>
      <c r="E2553" s="62"/>
      <c r="F2553" s="62"/>
      <c r="G2553" s="62"/>
      <c r="H2553" s="62" t="str">
        <f>IF(AND('Data Export'!A2553=前十整体车型排名!$B$2,'Data Export'!B2553=前十整体车型排名!$B$3,'Data Export'!D2553&lt;&gt;""),UPPER('Data Export'!C2553)&amp;"♦"&amp;'Data Export'!D2553,"")</f>
        <v/>
      </c>
      <c r="I2553" s="63" t="str">
        <f>IF(H2553="","",IFERROR(INDEX('Data Export'!G2553:CZ2553,1,MATCH(前十整体车型排名!$B$4,'Data Export'!$G$1:$CZ$1,0)),0))</f>
        <v/>
      </c>
      <c r="J2553" s="62" t="str">
        <f>IF(H2553="","",IF(OR('Data Export'!F2553="三厢轿车",'Data Export'!F2553="掀背轿车",'Data Export'!F2553="旅行车",'Data Export'!F2553="微型车",'Data Export'!F2553="硬顶跑车",'Data Export'!F2553="敞蓬车",'Data Export'!F2553="Targa"),"轿车",IF(OR('Data Export'!F2553="小型MPV",'Data Export'!F2553="客车"),"MPV",IF('Data Export'!F2553="运动型多功能车","SUV","其他"))))</f>
        <v/>
      </c>
      <c r="K2553" s="62"/>
      <c r="L2553" s="62"/>
      <c r="M2553" s="62"/>
      <c r="N2553" s="62"/>
      <c r="O2553" s="62"/>
      <c r="P2553" s="62"/>
      <c r="Q2553" s="62"/>
    </row>
    <row r="2554" spans="1:17">
      <c r="A2554" s="62"/>
      <c r="B2554" s="62"/>
      <c r="C2554" s="62"/>
      <c r="D2554" s="62"/>
      <c r="E2554" s="62"/>
      <c r="F2554" s="62"/>
      <c r="G2554" s="62"/>
      <c r="H2554" s="62" t="str">
        <f>IF(AND('Data Export'!A2554=前十整体车型排名!$B$2,'Data Export'!B2554=前十整体车型排名!$B$3,'Data Export'!D2554&lt;&gt;""),UPPER('Data Export'!C2554)&amp;"♦"&amp;'Data Export'!D2554,"")</f>
        <v/>
      </c>
      <c r="I2554" s="63" t="str">
        <f>IF(H2554="","",IFERROR(INDEX('Data Export'!G2554:CZ2554,1,MATCH(前十整体车型排名!$B$4,'Data Export'!$G$1:$CZ$1,0)),0))</f>
        <v/>
      </c>
      <c r="J2554" s="62" t="str">
        <f>IF(H2554="","",IF(OR('Data Export'!F2554="三厢轿车",'Data Export'!F2554="掀背轿车",'Data Export'!F2554="旅行车",'Data Export'!F2554="微型车",'Data Export'!F2554="硬顶跑车",'Data Export'!F2554="敞蓬车",'Data Export'!F2554="Targa"),"轿车",IF(OR('Data Export'!F2554="小型MPV",'Data Export'!F2554="客车"),"MPV",IF('Data Export'!F2554="运动型多功能车","SUV","其他"))))</f>
        <v/>
      </c>
      <c r="K2554" s="62"/>
      <c r="L2554" s="62"/>
      <c r="M2554" s="62"/>
      <c r="N2554" s="62"/>
      <c r="O2554" s="62"/>
      <c r="P2554" s="62"/>
      <c r="Q2554" s="62"/>
    </row>
    <row r="2555" spans="1:17">
      <c r="A2555" s="62"/>
      <c r="B2555" s="62"/>
      <c r="C2555" s="62"/>
      <c r="D2555" s="62"/>
      <c r="E2555" s="62"/>
      <c r="F2555" s="62"/>
      <c r="G2555" s="62"/>
      <c r="H2555" s="62" t="str">
        <f>IF(AND('Data Export'!A2555=前十整体车型排名!$B$2,'Data Export'!B2555=前十整体车型排名!$B$3,'Data Export'!D2555&lt;&gt;""),UPPER('Data Export'!C2555)&amp;"♦"&amp;'Data Export'!D2555,"")</f>
        <v/>
      </c>
      <c r="I2555" s="63" t="str">
        <f>IF(H2555="","",IFERROR(INDEX('Data Export'!G2555:CZ2555,1,MATCH(前十整体车型排名!$B$4,'Data Export'!$G$1:$CZ$1,0)),0))</f>
        <v/>
      </c>
      <c r="J2555" s="62" t="str">
        <f>IF(H2555="","",IF(OR('Data Export'!F2555="三厢轿车",'Data Export'!F2555="掀背轿车",'Data Export'!F2555="旅行车",'Data Export'!F2555="微型车",'Data Export'!F2555="硬顶跑车",'Data Export'!F2555="敞蓬车",'Data Export'!F2555="Targa"),"轿车",IF(OR('Data Export'!F2555="小型MPV",'Data Export'!F2555="客车"),"MPV",IF('Data Export'!F2555="运动型多功能车","SUV","其他"))))</f>
        <v/>
      </c>
      <c r="K2555" s="62"/>
      <c r="L2555" s="62"/>
      <c r="M2555" s="62"/>
      <c r="N2555" s="62"/>
      <c r="O2555" s="62"/>
      <c r="P2555" s="62"/>
      <c r="Q2555" s="62"/>
    </row>
    <row r="2556" spans="1:17">
      <c r="A2556" s="62"/>
      <c r="B2556" s="62"/>
      <c r="C2556" s="62"/>
      <c r="D2556" s="62"/>
      <c r="E2556" s="62"/>
      <c r="F2556" s="62"/>
      <c r="G2556" s="62"/>
      <c r="H2556" s="62" t="str">
        <f>IF(AND('Data Export'!A2556=前十整体车型排名!$B$2,'Data Export'!B2556=前十整体车型排名!$B$3,'Data Export'!D2556&lt;&gt;""),UPPER('Data Export'!C2556)&amp;"♦"&amp;'Data Export'!D2556,"")</f>
        <v/>
      </c>
      <c r="I2556" s="63" t="str">
        <f>IF(H2556="","",IFERROR(INDEX('Data Export'!G2556:CZ2556,1,MATCH(前十整体车型排名!$B$4,'Data Export'!$G$1:$CZ$1,0)),0))</f>
        <v/>
      </c>
      <c r="J2556" s="62" t="str">
        <f>IF(H2556="","",IF(OR('Data Export'!F2556="三厢轿车",'Data Export'!F2556="掀背轿车",'Data Export'!F2556="旅行车",'Data Export'!F2556="微型车",'Data Export'!F2556="硬顶跑车",'Data Export'!F2556="敞蓬车",'Data Export'!F2556="Targa"),"轿车",IF(OR('Data Export'!F2556="小型MPV",'Data Export'!F2556="客车"),"MPV",IF('Data Export'!F2556="运动型多功能车","SUV","其他"))))</f>
        <v/>
      </c>
      <c r="K2556" s="62"/>
      <c r="L2556" s="62"/>
      <c r="M2556" s="62"/>
      <c r="N2556" s="62"/>
      <c r="O2556" s="62"/>
      <c r="P2556" s="62"/>
      <c r="Q2556" s="62"/>
    </row>
    <row r="2557" spans="1:17">
      <c r="A2557" s="62"/>
      <c r="B2557" s="62"/>
      <c r="C2557" s="62"/>
      <c r="D2557" s="62"/>
      <c r="E2557" s="62"/>
      <c r="F2557" s="62"/>
      <c r="G2557" s="62"/>
      <c r="H2557" s="62" t="str">
        <f>IF(AND('Data Export'!A2557=前十整体车型排名!$B$2,'Data Export'!B2557=前十整体车型排名!$B$3,'Data Export'!D2557&lt;&gt;""),UPPER('Data Export'!C2557)&amp;"♦"&amp;'Data Export'!D2557,"")</f>
        <v/>
      </c>
      <c r="I2557" s="63" t="str">
        <f>IF(H2557="","",IFERROR(INDEX('Data Export'!G2557:CZ2557,1,MATCH(前十整体车型排名!$B$4,'Data Export'!$G$1:$CZ$1,0)),0))</f>
        <v/>
      </c>
      <c r="J2557" s="62" t="str">
        <f>IF(H2557="","",IF(OR('Data Export'!F2557="三厢轿车",'Data Export'!F2557="掀背轿车",'Data Export'!F2557="旅行车",'Data Export'!F2557="微型车",'Data Export'!F2557="硬顶跑车",'Data Export'!F2557="敞蓬车",'Data Export'!F2557="Targa"),"轿车",IF(OR('Data Export'!F2557="小型MPV",'Data Export'!F2557="客车"),"MPV",IF('Data Export'!F2557="运动型多功能车","SUV","其他"))))</f>
        <v/>
      </c>
      <c r="K2557" s="62"/>
      <c r="L2557" s="62"/>
      <c r="M2557" s="62"/>
      <c r="N2557" s="62"/>
      <c r="O2557" s="62"/>
      <c r="P2557" s="62"/>
      <c r="Q2557" s="62"/>
    </row>
    <row r="2558" spans="1:17">
      <c r="A2558" s="62"/>
      <c r="B2558" s="62"/>
      <c r="C2558" s="62"/>
      <c r="D2558" s="62"/>
      <c r="E2558" s="62"/>
      <c r="F2558" s="62"/>
      <c r="G2558" s="62"/>
      <c r="H2558" s="62" t="str">
        <f>IF(AND('Data Export'!A2558=前十整体车型排名!$B$2,'Data Export'!B2558=前十整体车型排名!$B$3,'Data Export'!D2558&lt;&gt;""),UPPER('Data Export'!C2558)&amp;"♦"&amp;'Data Export'!D2558,"")</f>
        <v/>
      </c>
      <c r="I2558" s="63" t="str">
        <f>IF(H2558="","",IFERROR(INDEX('Data Export'!G2558:CZ2558,1,MATCH(前十整体车型排名!$B$4,'Data Export'!$G$1:$CZ$1,0)),0))</f>
        <v/>
      </c>
      <c r="J2558" s="62" t="str">
        <f>IF(H2558="","",IF(OR('Data Export'!F2558="三厢轿车",'Data Export'!F2558="掀背轿车",'Data Export'!F2558="旅行车",'Data Export'!F2558="微型车",'Data Export'!F2558="硬顶跑车",'Data Export'!F2558="敞蓬车",'Data Export'!F2558="Targa"),"轿车",IF(OR('Data Export'!F2558="小型MPV",'Data Export'!F2558="客车"),"MPV",IF('Data Export'!F2558="运动型多功能车","SUV","其他"))))</f>
        <v/>
      </c>
      <c r="K2558" s="62"/>
      <c r="L2558" s="62"/>
      <c r="M2558" s="62"/>
      <c r="N2558" s="62"/>
      <c r="O2558" s="62"/>
      <c r="P2558" s="62"/>
      <c r="Q2558" s="62"/>
    </row>
    <row r="2559" spans="1:17">
      <c r="A2559" s="62"/>
      <c r="B2559" s="62"/>
      <c r="C2559" s="62"/>
      <c r="D2559" s="62"/>
      <c r="E2559" s="62"/>
      <c r="F2559" s="62"/>
      <c r="G2559" s="62"/>
      <c r="H2559" s="62" t="str">
        <f>IF(AND('Data Export'!A2559=前十整体车型排名!$B$2,'Data Export'!B2559=前十整体车型排名!$B$3,'Data Export'!D2559&lt;&gt;""),UPPER('Data Export'!C2559)&amp;"♦"&amp;'Data Export'!D2559,"")</f>
        <v/>
      </c>
      <c r="I2559" s="63" t="str">
        <f>IF(H2559="","",IFERROR(INDEX('Data Export'!G2559:CZ2559,1,MATCH(前十整体车型排名!$B$4,'Data Export'!$G$1:$CZ$1,0)),0))</f>
        <v/>
      </c>
      <c r="J2559" s="62" t="str">
        <f>IF(H2559="","",IF(OR('Data Export'!F2559="三厢轿车",'Data Export'!F2559="掀背轿车",'Data Export'!F2559="旅行车",'Data Export'!F2559="微型车",'Data Export'!F2559="硬顶跑车",'Data Export'!F2559="敞蓬车",'Data Export'!F2559="Targa"),"轿车",IF(OR('Data Export'!F2559="小型MPV",'Data Export'!F2559="客车"),"MPV",IF('Data Export'!F2559="运动型多功能车","SUV","其他"))))</f>
        <v/>
      </c>
      <c r="K2559" s="62"/>
      <c r="L2559" s="62"/>
      <c r="M2559" s="62"/>
      <c r="N2559" s="62"/>
      <c r="O2559" s="62"/>
      <c r="P2559" s="62"/>
      <c r="Q2559" s="62"/>
    </row>
    <row r="2560" spans="1:17">
      <c r="A2560" s="62"/>
      <c r="B2560" s="62"/>
      <c r="C2560" s="62"/>
      <c r="D2560" s="62"/>
      <c r="E2560" s="62"/>
      <c r="F2560" s="62"/>
      <c r="G2560" s="62"/>
      <c r="H2560" s="62" t="str">
        <f>IF(AND('Data Export'!A2560=前十整体车型排名!$B$2,'Data Export'!B2560=前十整体车型排名!$B$3,'Data Export'!D2560&lt;&gt;""),UPPER('Data Export'!C2560)&amp;"♦"&amp;'Data Export'!D2560,"")</f>
        <v/>
      </c>
      <c r="I2560" s="63" t="str">
        <f>IF(H2560="","",IFERROR(INDEX('Data Export'!G2560:CZ2560,1,MATCH(前十整体车型排名!$B$4,'Data Export'!$G$1:$CZ$1,0)),0))</f>
        <v/>
      </c>
      <c r="J2560" s="62" t="str">
        <f>IF(H2560="","",IF(OR('Data Export'!F2560="三厢轿车",'Data Export'!F2560="掀背轿车",'Data Export'!F2560="旅行车",'Data Export'!F2560="微型车",'Data Export'!F2560="硬顶跑车",'Data Export'!F2560="敞蓬车",'Data Export'!F2560="Targa"),"轿车",IF(OR('Data Export'!F2560="小型MPV",'Data Export'!F2560="客车"),"MPV",IF('Data Export'!F2560="运动型多功能车","SUV","其他"))))</f>
        <v/>
      </c>
      <c r="K2560" s="62"/>
      <c r="L2560" s="62"/>
      <c r="M2560" s="62"/>
      <c r="N2560" s="62"/>
      <c r="O2560" s="62"/>
      <c r="P2560" s="62"/>
      <c r="Q2560" s="62"/>
    </row>
    <row r="2561" spans="1:17">
      <c r="A2561" s="62"/>
      <c r="B2561" s="62"/>
      <c r="C2561" s="62"/>
      <c r="D2561" s="62"/>
      <c r="E2561" s="62"/>
      <c r="F2561" s="62"/>
      <c r="G2561" s="62"/>
      <c r="H2561" s="62" t="str">
        <f>IF(AND('Data Export'!A2561=前十整体车型排名!$B$2,'Data Export'!B2561=前十整体车型排名!$B$3,'Data Export'!D2561&lt;&gt;""),UPPER('Data Export'!C2561)&amp;"♦"&amp;'Data Export'!D2561,"")</f>
        <v/>
      </c>
      <c r="I2561" s="63" t="str">
        <f>IF(H2561="","",IFERROR(INDEX('Data Export'!G2561:CZ2561,1,MATCH(前十整体车型排名!$B$4,'Data Export'!$G$1:$CZ$1,0)),0))</f>
        <v/>
      </c>
      <c r="J2561" s="62" t="str">
        <f>IF(H2561="","",IF(OR('Data Export'!F2561="三厢轿车",'Data Export'!F2561="掀背轿车",'Data Export'!F2561="旅行车",'Data Export'!F2561="微型车",'Data Export'!F2561="硬顶跑车",'Data Export'!F2561="敞蓬车",'Data Export'!F2561="Targa"),"轿车",IF(OR('Data Export'!F2561="小型MPV",'Data Export'!F2561="客车"),"MPV",IF('Data Export'!F2561="运动型多功能车","SUV","其他"))))</f>
        <v/>
      </c>
      <c r="K2561" s="62"/>
      <c r="L2561" s="62"/>
      <c r="M2561" s="62"/>
      <c r="N2561" s="62"/>
      <c r="O2561" s="62"/>
      <c r="P2561" s="62"/>
      <c r="Q2561" s="62"/>
    </row>
    <row r="2562" spans="1:17">
      <c r="A2562" s="62"/>
      <c r="B2562" s="62"/>
      <c r="C2562" s="62"/>
      <c r="D2562" s="62"/>
      <c r="E2562" s="62"/>
      <c r="F2562" s="62"/>
      <c r="G2562" s="62"/>
      <c r="H2562" s="62" t="str">
        <f>IF(AND('Data Export'!A2562=前十整体车型排名!$B$2,'Data Export'!B2562=前十整体车型排名!$B$3,'Data Export'!D2562&lt;&gt;""),UPPER('Data Export'!C2562)&amp;"♦"&amp;'Data Export'!D2562,"")</f>
        <v/>
      </c>
      <c r="I2562" s="63" t="str">
        <f>IF(H2562="","",IFERROR(INDEX('Data Export'!G2562:CZ2562,1,MATCH(前十整体车型排名!$B$4,'Data Export'!$G$1:$CZ$1,0)),0))</f>
        <v/>
      </c>
      <c r="J2562" s="62" t="str">
        <f>IF(H2562="","",IF(OR('Data Export'!F2562="三厢轿车",'Data Export'!F2562="掀背轿车",'Data Export'!F2562="旅行车",'Data Export'!F2562="微型车",'Data Export'!F2562="硬顶跑车",'Data Export'!F2562="敞蓬车",'Data Export'!F2562="Targa"),"轿车",IF(OR('Data Export'!F2562="小型MPV",'Data Export'!F2562="客车"),"MPV",IF('Data Export'!F2562="运动型多功能车","SUV","其他"))))</f>
        <v/>
      </c>
      <c r="K2562" s="62"/>
      <c r="L2562" s="62"/>
      <c r="M2562" s="62"/>
      <c r="N2562" s="62"/>
      <c r="O2562" s="62"/>
      <c r="P2562" s="62"/>
      <c r="Q2562" s="62"/>
    </row>
    <row r="2563" spans="1:17">
      <c r="A2563" s="62"/>
      <c r="B2563" s="62"/>
      <c r="C2563" s="62"/>
      <c r="D2563" s="62"/>
      <c r="E2563" s="62"/>
      <c r="F2563" s="62"/>
      <c r="G2563" s="62"/>
      <c r="H2563" s="62" t="str">
        <f>IF(AND('Data Export'!A2563=前十整体车型排名!$B$2,'Data Export'!B2563=前十整体车型排名!$B$3,'Data Export'!D2563&lt;&gt;""),UPPER('Data Export'!C2563)&amp;"♦"&amp;'Data Export'!D2563,"")</f>
        <v/>
      </c>
      <c r="I2563" s="63" t="str">
        <f>IF(H2563="","",IFERROR(INDEX('Data Export'!G2563:CZ2563,1,MATCH(前十整体车型排名!$B$4,'Data Export'!$G$1:$CZ$1,0)),0))</f>
        <v/>
      </c>
      <c r="J2563" s="62" t="str">
        <f>IF(H2563="","",IF(OR('Data Export'!F2563="三厢轿车",'Data Export'!F2563="掀背轿车",'Data Export'!F2563="旅行车",'Data Export'!F2563="微型车",'Data Export'!F2563="硬顶跑车",'Data Export'!F2563="敞蓬车",'Data Export'!F2563="Targa"),"轿车",IF(OR('Data Export'!F2563="小型MPV",'Data Export'!F2563="客车"),"MPV",IF('Data Export'!F2563="运动型多功能车","SUV","其他"))))</f>
        <v/>
      </c>
      <c r="K2563" s="62"/>
      <c r="L2563" s="62"/>
      <c r="M2563" s="62"/>
      <c r="N2563" s="62"/>
      <c r="O2563" s="62"/>
      <c r="P2563" s="62"/>
      <c r="Q2563" s="62"/>
    </row>
    <row r="2564" spans="1:17">
      <c r="A2564" s="62"/>
      <c r="B2564" s="62"/>
      <c r="C2564" s="62"/>
      <c r="D2564" s="62"/>
      <c r="E2564" s="62"/>
      <c r="F2564" s="62"/>
      <c r="G2564" s="62"/>
      <c r="H2564" s="62" t="str">
        <f>IF(AND('Data Export'!A2564=前十整体车型排名!$B$2,'Data Export'!B2564=前十整体车型排名!$B$3,'Data Export'!D2564&lt;&gt;""),UPPER('Data Export'!C2564)&amp;"♦"&amp;'Data Export'!D2564,"")</f>
        <v/>
      </c>
      <c r="I2564" s="63" t="str">
        <f>IF(H2564="","",IFERROR(INDEX('Data Export'!G2564:CZ2564,1,MATCH(前十整体车型排名!$B$4,'Data Export'!$G$1:$CZ$1,0)),0))</f>
        <v/>
      </c>
      <c r="J2564" s="62" t="str">
        <f>IF(H2564="","",IF(OR('Data Export'!F2564="三厢轿车",'Data Export'!F2564="掀背轿车",'Data Export'!F2564="旅行车",'Data Export'!F2564="微型车",'Data Export'!F2564="硬顶跑车",'Data Export'!F2564="敞蓬车",'Data Export'!F2564="Targa"),"轿车",IF(OR('Data Export'!F2564="小型MPV",'Data Export'!F2564="客车"),"MPV",IF('Data Export'!F2564="运动型多功能车","SUV","其他"))))</f>
        <v/>
      </c>
      <c r="K2564" s="62"/>
      <c r="L2564" s="62"/>
      <c r="M2564" s="62"/>
      <c r="N2564" s="62"/>
      <c r="O2564" s="62"/>
      <c r="P2564" s="62"/>
      <c r="Q2564" s="62"/>
    </row>
    <row r="2565" spans="1:17">
      <c r="A2565" s="62"/>
      <c r="B2565" s="62"/>
      <c r="C2565" s="62"/>
      <c r="D2565" s="62"/>
      <c r="E2565" s="62"/>
      <c r="F2565" s="62"/>
      <c r="G2565" s="62"/>
      <c r="H2565" s="62" t="str">
        <f>IF(AND('Data Export'!A2565=前十整体车型排名!$B$2,'Data Export'!B2565=前十整体车型排名!$B$3,'Data Export'!D2565&lt;&gt;""),UPPER('Data Export'!C2565)&amp;"♦"&amp;'Data Export'!D2565,"")</f>
        <v/>
      </c>
      <c r="I2565" s="63" t="str">
        <f>IF(H2565="","",IFERROR(INDEX('Data Export'!G2565:CZ2565,1,MATCH(前十整体车型排名!$B$4,'Data Export'!$G$1:$CZ$1,0)),0))</f>
        <v/>
      </c>
      <c r="J2565" s="62" t="str">
        <f>IF(H2565="","",IF(OR('Data Export'!F2565="三厢轿车",'Data Export'!F2565="掀背轿车",'Data Export'!F2565="旅行车",'Data Export'!F2565="微型车",'Data Export'!F2565="硬顶跑车",'Data Export'!F2565="敞蓬车",'Data Export'!F2565="Targa"),"轿车",IF(OR('Data Export'!F2565="小型MPV",'Data Export'!F2565="客车"),"MPV",IF('Data Export'!F2565="运动型多功能车","SUV","其他"))))</f>
        <v/>
      </c>
      <c r="K2565" s="62"/>
      <c r="L2565" s="62"/>
      <c r="M2565" s="62"/>
      <c r="N2565" s="62"/>
      <c r="O2565" s="62"/>
      <c r="P2565" s="62"/>
      <c r="Q2565" s="62"/>
    </row>
    <row r="2566" spans="1:17">
      <c r="A2566" s="62"/>
      <c r="B2566" s="62"/>
      <c r="C2566" s="62"/>
      <c r="D2566" s="62"/>
      <c r="E2566" s="62"/>
      <c r="F2566" s="62"/>
      <c r="G2566" s="62"/>
      <c r="H2566" s="62" t="str">
        <f>IF(AND('Data Export'!A2566=前十整体车型排名!$B$2,'Data Export'!B2566=前十整体车型排名!$B$3,'Data Export'!D2566&lt;&gt;""),UPPER('Data Export'!C2566)&amp;"♦"&amp;'Data Export'!D2566,"")</f>
        <v/>
      </c>
      <c r="I2566" s="63" t="str">
        <f>IF(H2566="","",IFERROR(INDEX('Data Export'!G2566:CZ2566,1,MATCH(前十整体车型排名!$B$4,'Data Export'!$G$1:$CZ$1,0)),0))</f>
        <v/>
      </c>
      <c r="J2566" s="62" t="str">
        <f>IF(H2566="","",IF(OR('Data Export'!F2566="三厢轿车",'Data Export'!F2566="掀背轿车",'Data Export'!F2566="旅行车",'Data Export'!F2566="微型车",'Data Export'!F2566="硬顶跑车",'Data Export'!F2566="敞蓬车",'Data Export'!F2566="Targa"),"轿车",IF(OR('Data Export'!F2566="小型MPV",'Data Export'!F2566="客车"),"MPV",IF('Data Export'!F2566="运动型多功能车","SUV","其他"))))</f>
        <v/>
      </c>
      <c r="K2566" s="62"/>
      <c r="L2566" s="62"/>
      <c r="M2566" s="62"/>
      <c r="N2566" s="62"/>
      <c r="O2566" s="62"/>
      <c r="P2566" s="62"/>
      <c r="Q2566" s="62"/>
    </row>
    <row r="2567" spans="1:17">
      <c r="A2567" s="62"/>
      <c r="B2567" s="62"/>
      <c r="C2567" s="62"/>
      <c r="D2567" s="62"/>
      <c r="E2567" s="62"/>
      <c r="F2567" s="62"/>
      <c r="G2567" s="62"/>
      <c r="H2567" s="62" t="str">
        <f>IF(AND('Data Export'!A2567=前十整体车型排名!$B$2,'Data Export'!B2567=前十整体车型排名!$B$3,'Data Export'!D2567&lt;&gt;""),UPPER('Data Export'!C2567)&amp;"♦"&amp;'Data Export'!D2567,"")</f>
        <v/>
      </c>
      <c r="I2567" s="63" t="str">
        <f>IF(H2567="","",IFERROR(INDEX('Data Export'!G2567:CZ2567,1,MATCH(前十整体车型排名!$B$4,'Data Export'!$G$1:$CZ$1,0)),0))</f>
        <v/>
      </c>
      <c r="J2567" s="62" t="str">
        <f>IF(H2567="","",IF(OR('Data Export'!F2567="三厢轿车",'Data Export'!F2567="掀背轿车",'Data Export'!F2567="旅行车",'Data Export'!F2567="微型车",'Data Export'!F2567="硬顶跑车",'Data Export'!F2567="敞蓬车",'Data Export'!F2567="Targa"),"轿车",IF(OR('Data Export'!F2567="小型MPV",'Data Export'!F2567="客车"),"MPV",IF('Data Export'!F2567="运动型多功能车","SUV","其他"))))</f>
        <v/>
      </c>
      <c r="K2567" s="62"/>
      <c r="L2567" s="62"/>
      <c r="M2567" s="62"/>
      <c r="N2567" s="62"/>
      <c r="O2567" s="62"/>
      <c r="P2567" s="62"/>
      <c r="Q2567" s="62"/>
    </row>
    <row r="2568" spans="1:17">
      <c r="A2568" s="62"/>
      <c r="B2568" s="62"/>
      <c r="C2568" s="62"/>
      <c r="D2568" s="62"/>
      <c r="E2568" s="62"/>
      <c r="F2568" s="62"/>
      <c r="G2568" s="62"/>
      <c r="H2568" s="62" t="str">
        <f>IF(AND('Data Export'!A2568=前十整体车型排名!$B$2,'Data Export'!B2568=前十整体车型排名!$B$3,'Data Export'!D2568&lt;&gt;""),UPPER('Data Export'!C2568)&amp;"♦"&amp;'Data Export'!D2568,"")</f>
        <v/>
      </c>
      <c r="I2568" s="63" t="str">
        <f>IF(H2568="","",IFERROR(INDEX('Data Export'!G2568:CZ2568,1,MATCH(前十整体车型排名!$B$4,'Data Export'!$G$1:$CZ$1,0)),0))</f>
        <v/>
      </c>
      <c r="J2568" s="62" t="str">
        <f>IF(H2568="","",IF(OR('Data Export'!F2568="三厢轿车",'Data Export'!F2568="掀背轿车",'Data Export'!F2568="旅行车",'Data Export'!F2568="微型车",'Data Export'!F2568="硬顶跑车",'Data Export'!F2568="敞蓬车",'Data Export'!F2568="Targa"),"轿车",IF(OR('Data Export'!F2568="小型MPV",'Data Export'!F2568="客车"),"MPV",IF('Data Export'!F2568="运动型多功能车","SUV","其他"))))</f>
        <v/>
      </c>
      <c r="K2568" s="62"/>
      <c r="L2568" s="62"/>
      <c r="M2568" s="62"/>
      <c r="N2568" s="62"/>
      <c r="O2568" s="62"/>
      <c r="P2568" s="62"/>
      <c r="Q2568" s="62"/>
    </row>
    <row r="2569" spans="1:17">
      <c r="A2569" s="62"/>
      <c r="B2569" s="62"/>
      <c r="C2569" s="62"/>
      <c r="D2569" s="62"/>
      <c r="E2569" s="62"/>
      <c r="F2569" s="62"/>
      <c r="G2569" s="62"/>
      <c r="H2569" s="62" t="str">
        <f>IF(AND('Data Export'!A2569=前十整体车型排名!$B$2,'Data Export'!B2569=前十整体车型排名!$B$3,'Data Export'!D2569&lt;&gt;""),UPPER('Data Export'!C2569)&amp;"♦"&amp;'Data Export'!D2569,"")</f>
        <v/>
      </c>
      <c r="I2569" s="63" t="str">
        <f>IF(H2569="","",IFERROR(INDEX('Data Export'!G2569:CZ2569,1,MATCH(前十整体车型排名!$B$4,'Data Export'!$G$1:$CZ$1,0)),0))</f>
        <v/>
      </c>
      <c r="J2569" s="62" t="str">
        <f>IF(H2569="","",IF(OR('Data Export'!F2569="三厢轿车",'Data Export'!F2569="掀背轿车",'Data Export'!F2569="旅行车",'Data Export'!F2569="微型车",'Data Export'!F2569="硬顶跑车",'Data Export'!F2569="敞蓬车",'Data Export'!F2569="Targa"),"轿车",IF(OR('Data Export'!F2569="小型MPV",'Data Export'!F2569="客车"),"MPV",IF('Data Export'!F2569="运动型多功能车","SUV","其他"))))</f>
        <v/>
      </c>
      <c r="K2569" s="62"/>
      <c r="L2569" s="62"/>
      <c r="M2569" s="62"/>
      <c r="N2569" s="62"/>
      <c r="O2569" s="62"/>
      <c r="P2569" s="62"/>
      <c r="Q2569" s="62"/>
    </row>
    <row r="2570" spans="1:17">
      <c r="A2570" s="62"/>
      <c r="B2570" s="62"/>
      <c r="C2570" s="62"/>
      <c r="D2570" s="62"/>
      <c r="E2570" s="62"/>
      <c r="F2570" s="62"/>
      <c r="G2570" s="62"/>
      <c r="H2570" s="62" t="str">
        <f>IF(AND('Data Export'!A2570=前十整体车型排名!$B$2,'Data Export'!B2570=前十整体车型排名!$B$3,'Data Export'!D2570&lt;&gt;""),UPPER('Data Export'!C2570)&amp;"♦"&amp;'Data Export'!D2570,"")</f>
        <v/>
      </c>
      <c r="I2570" s="63" t="str">
        <f>IF(H2570="","",IFERROR(INDEX('Data Export'!G2570:CZ2570,1,MATCH(前十整体车型排名!$B$4,'Data Export'!$G$1:$CZ$1,0)),0))</f>
        <v/>
      </c>
      <c r="J2570" s="62" t="str">
        <f>IF(H2570="","",IF(OR('Data Export'!F2570="三厢轿车",'Data Export'!F2570="掀背轿车",'Data Export'!F2570="旅行车",'Data Export'!F2570="微型车",'Data Export'!F2570="硬顶跑车",'Data Export'!F2570="敞蓬车",'Data Export'!F2570="Targa"),"轿车",IF(OR('Data Export'!F2570="小型MPV",'Data Export'!F2570="客车"),"MPV",IF('Data Export'!F2570="运动型多功能车","SUV","其他"))))</f>
        <v/>
      </c>
      <c r="K2570" s="62"/>
      <c r="L2570" s="62"/>
      <c r="M2570" s="62"/>
      <c r="N2570" s="62"/>
      <c r="O2570" s="62"/>
      <c r="P2570" s="62"/>
      <c r="Q2570" s="62"/>
    </row>
    <row r="2571" spans="1:17">
      <c r="A2571" s="62"/>
      <c r="B2571" s="62"/>
      <c r="C2571" s="62"/>
      <c r="D2571" s="62"/>
      <c r="E2571" s="62"/>
      <c r="F2571" s="62"/>
      <c r="G2571" s="62"/>
      <c r="H2571" s="62" t="str">
        <f>IF(AND('Data Export'!A2571=前十整体车型排名!$B$2,'Data Export'!B2571=前十整体车型排名!$B$3,'Data Export'!D2571&lt;&gt;""),UPPER('Data Export'!C2571)&amp;"♦"&amp;'Data Export'!D2571,"")</f>
        <v/>
      </c>
      <c r="I2571" s="63" t="str">
        <f>IF(H2571="","",IFERROR(INDEX('Data Export'!G2571:CZ2571,1,MATCH(前十整体车型排名!$B$4,'Data Export'!$G$1:$CZ$1,0)),0))</f>
        <v/>
      </c>
      <c r="J2571" s="62" t="str">
        <f>IF(H2571="","",IF(OR('Data Export'!F2571="三厢轿车",'Data Export'!F2571="掀背轿车",'Data Export'!F2571="旅行车",'Data Export'!F2571="微型车",'Data Export'!F2571="硬顶跑车",'Data Export'!F2571="敞蓬车",'Data Export'!F2571="Targa"),"轿车",IF(OR('Data Export'!F2571="小型MPV",'Data Export'!F2571="客车"),"MPV",IF('Data Export'!F2571="运动型多功能车","SUV","其他"))))</f>
        <v/>
      </c>
      <c r="K2571" s="62"/>
      <c r="L2571" s="62"/>
      <c r="M2571" s="62"/>
      <c r="N2571" s="62"/>
      <c r="O2571" s="62"/>
      <c r="P2571" s="62"/>
      <c r="Q2571" s="62"/>
    </row>
    <row r="2572" spans="1:17">
      <c r="A2572" s="62"/>
      <c r="B2572" s="62"/>
      <c r="C2572" s="62"/>
      <c r="D2572" s="62"/>
      <c r="E2572" s="62"/>
      <c r="F2572" s="62"/>
      <c r="G2572" s="62"/>
      <c r="H2572" s="62" t="str">
        <f>IF(AND('Data Export'!A2572=前十整体车型排名!$B$2,'Data Export'!B2572=前十整体车型排名!$B$3,'Data Export'!D2572&lt;&gt;""),UPPER('Data Export'!C2572)&amp;"♦"&amp;'Data Export'!D2572,"")</f>
        <v/>
      </c>
      <c r="I2572" s="63" t="str">
        <f>IF(H2572="","",IFERROR(INDEX('Data Export'!G2572:CZ2572,1,MATCH(前十整体车型排名!$B$4,'Data Export'!$G$1:$CZ$1,0)),0))</f>
        <v/>
      </c>
      <c r="J2572" s="62" t="str">
        <f>IF(H2572="","",IF(OR('Data Export'!F2572="三厢轿车",'Data Export'!F2572="掀背轿车",'Data Export'!F2572="旅行车",'Data Export'!F2572="微型车",'Data Export'!F2572="硬顶跑车",'Data Export'!F2572="敞蓬车",'Data Export'!F2572="Targa"),"轿车",IF(OR('Data Export'!F2572="小型MPV",'Data Export'!F2572="客车"),"MPV",IF('Data Export'!F2572="运动型多功能车","SUV","其他"))))</f>
        <v/>
      </c>
      <c r="K2572" s="62"/>
      <c r="L2572" s="62"/>
      <c r="M2572" s="62"/>
      <c r="N2572" s="62"/>
      <c r="O2572" s="62"/>
      <c r="P2572" s="62"/>
      <c r="Q2572" s="62"/>
    </row>
    <row r="2573" spans="1:17">
      <c r="A2573" s="62"/>
      <c r="B2573" s="62"/>
      <c r="C2573" s="62"/>
      <c r="D2573" s="62"/>
      <c r="E2573" s="62"/>
      <c r="F2573" s="62"/>
      <c r="G2573" s="62"/>
      <c r="H2573" s="62" t="str">
        <f>IF(AND('Data Export'!A2573=前十整体车型排名!$B$2,'Data Export'!B2573=前十整体车型排名!$B$3,'Data Export'!D2573&lt;&gt;""),UPPER('Data Export'!C2573)&amp;"♦"&amp;'Data Export'!D2573,"")</f>
        <v/>
      </c>
      <c r="I2573" s="63" t="str">
        <f>IF(H2573="","",IFERROR(INDEX('Data Export'!G2573:CZ2573,1,MATCH(前十整体车型排名!$B$4,'Data Export'!$G$1:$CZ$1,0)),0))</f>
        <v/>
      </c>
      <c r="J2573" s="62" t="str">
        <f>IF(H2573="","",IF(OR('Data Export'!F2573="三厢轿车",'Data Export'!F2573="掀背轿车",'Data Export'!F2573="旅行车",'Data Export'!F2573="微型车",'Data Export'!F2573="硬顶跑车",'Data Export'!F2573="敞蓬车",'Data Export'!F2573="Targa"),"轿车",IF(OR('Data Export'!F2573="小型MPV",'Data Export'!F2573="客车"),"MPV",IF('Data Export'!F2573="运动型多功能车","SUV","其他"))))</f>
        <v/>
      </c>
      <c r="K2573" s="62"/>
      <c r="L2573" s="62"/>
      <c r="M2573" s="62"/>
      <c r="N2573" s="62"/>
      <c r="O2573" s="62"/>
      <c r="P2573" s="62"/>
      <c r="Q2573" s="62"/>
    </row>
    <row r="2574" spans="1:17">
      <c r="A2574" s="62"/>
      <c r="B2574" s="62"/>
      <c r="C2574" s="62"/>
      <c r="D2574" s="62"/>
      <c r="E2574" s="62"/>
      <c r="F2574" s="62"/>
      <c r="G2574" s="62"/>
      <c r="H2574" s="62" t="str">
        <f>IF(AND('Data Export'!A2574=前十整体车型排名!$B$2,'Data Export'!B2574=前十整体车型排名!$B$3,'Data Export'!D2574&lt;&gt;""),UPPER('Data Export'!C2574)&amp;"♦"&amp;'Data Export'!D2574,"")</f>
        <v/>
      </c>
      <c r="I2574" s="63" t="str">
        <f>IF(H2574="","",IFERROR(INDEX('Data Export'!G2574:CZ2574,1,MATCH(前十整体车型排名!$B$4,'Data Export'!$G$1:$CZ$1,0)),0))</f>
        <v/>
      </c>
      <c r="J2574" s="62" t="str">
        <f>IF(H2574="","",IF(OR('Data Export'!F2574="三厢轿车",'Data Export'!F2574="掀背轿车",'Data Export'!F2574="旅行车",'Data Export'!F2574="微型车",'Data Export'!F2574="硬顶跑车",'Data Export'!F2574="敞蓬车",'Data Export'!F2574="Targa"),"轿车",IF(OR('Data Export'!F2574="小型MPV",'Data Export'!F2574="客车"),"MPV",IF('Data Export'!F2574="运动型多功能车","SUV","其他"))))</f>
        <v/>
      </c>
      <c r="K2574" s="62"/>
      <c r="L2574" s="62"/>
      <c r="M2574" s="62"/>
      <c r="N2574" s="62"/>
      <c r="O2574" s="62"/>
      <c r="P2574" s="62"/>
      <c r="Q2574" s="62"/>
    </row>
    <row r="2575" spans="1:17">
      <c r="A2575" s="62"/>
      <c r="B2575" s="62"/>
      <c r="C2575" s="62"/>
      <c r="D2575" s="62"/>
      <c r="E2575" s="62"/>
      <c r="F2575" s="62"/>
      <c r="G2575" s="62"/>
      <c r="H2575" s="62" t="str">
        <f>IF(AND('Data Export'!A2575=前十整体车型排名!$B$2,'Data Export'!B2575=前十整体车型排名!$B$3,'Data Export'!D2575&lt;&gt;""),UPPER('Data Export'!C2575)&amp;"♦"&amp;'Data Export'!D2575,"")</f>
        <v/>
      </c>
      <c r="I2575" s="63" t="str">
        <f>IF(H2575="","",IFERROR(INDEX('Data Export'!G2575:CZ2575,1,MATCH(前十整体车型排名!$B$4,'Data Export'!$G$1:$CZ$1,0)),0))</f>
        <v/>
      </c>
      <c r="J2575" s="62" t="str">
        <f>IF(H2575="","",IF(OR('Data Export'!F2575="三厢轿车",'Data Export'!F2575="掀背轿车",'Data Export'!F2575="旅行车",'Data Export'!F2575="微型车",'Data Export'!F2575="硬顶跑车",'Data Export'!F2575="敞蓬车",'Data Export'!F2575="Targa"),"轿车",IF(OR('Data Export'!F2575="小型MPV",'Data Export'!F2575="客车"),"MPV",IF('Data Export'!F2575="运动型多功能车","SUV","其他"))))</f>
        <v/>
      </c>
      <c r="K2575" s="62"/>
      <c r="L2575" s="62"/>
      <c r="M2575" s="62"/>
      <c r="N2575" s="62"/>
      <c r="O2575" s="62"/>
      <c r="P2575" s="62"/>
      <c r="Q2575" s="62"/>
    </row>
    <row r="2576" spans="1:17">
      <c r="A2576" s="62"/>
      <c r="B2576" s="62"/>
      <c r="C2576" s="62"/>
      <c r="D2576" s="62"/>
      <c r="E2576" s="62"/>
      <c r="F2576" s="62"/>
      <c r="G2576" s="62"/>
      <c r="H2576" s="62" t="str">
        <f>IF(AND('Data Export'!A2576=前十整体车型排名!$B$2,'Data Export'!B2576=前十整体车型排名!$B$3,'Data Export'!D2576&lt;&gt;""),UPPER('Data Export'!C2576)&amp;"♦"&amp;'Data Export'!D2576,"")</f>
        <v/>
      </c>
      <c r="I2576" s="63" t="str">
        <f>IF(H2576="","",IFERROR(INDEX('Data Export'!G2576:CZ2576,1,MATCH(前十整体车型排名!$B$4,'Data Export'!$G$1:$CZ$1,0)),0))</f>
        <v/>
      </c>
      <c r="J2576" s="62" t="str">
        <f>IF(H2576="","",IF(OR('Data Export'!F2576="三厢轿车",'Data Export'!F2576="掀背轿车",'Data Export'!F2576="旅行车",'Data Export'!F2576="微型车",'Data Export'!F2576="硬顶跑车",'Data Export'!F2576="敞蓬车",'Data Export'!F2576="Targa"),"轿车",IF(OR('Data Export'!F2576="小型MPV",'Data Export'!F2576="客车"),"MPV",IF('Data Export'!F2576="运动型多功能车","SUV","其他"))))</f>
        <v/>
      </c>
      <c r="K2576" s="62"/>
      <c r="L2576" s="62"/>
      <c r="M2576" s="62"/>
      <c r="N2576" s="62"/>
      <c r="O2576" s="62"/>
      <c r="P2576" s="62"/>
      <c r="Q2576" s="62"/>
    </row>
    <row r="2577" spans="1:17">
      <c r="A2577" s="62"/>
      <c r="B2577" s="62"/>
      <c r="C2577" s="62"/>
      <c r="D2577" s="62"/>
      <c r="E2577" s="62"/>
      <c r="F2577" s="62"/>
      <c r="G2577" s="62"/>
      <c r="H2577" s="62" t="str">
        <f>IF(AND('Data Export'!A2577=前十整体车型排名!$B$2,'Data Export'!B2577=前十整体车型排名!$B$3,'Data Export'!D2577&lt;&gt;""),UPPER('Data Export'!C2577)&amp;"♦"&amp;'Data Export'!D2577,"")</f>
        <v/>
      </c>
      <c r="I2577" s="63" t="str">
        <f>IF(H2577="","",IFERROR(INDEX('Data Export'!G2577:CZ2577,1,MATCH(前十整体车型排名!$B$4,'Data Export'!$G$1:$CZ$1,0)),0))</f>
        <v/>
      </c>
      <c r="J2577" s="62" t="str">
        <f>IF(H2577="","",IF(OR('Data Export'!F2577="三厢轿车",'Data Export'!F2577="掀背轿车",'Data Export'!F2577="旅行车",'Data Export'!F2577="微型车",'Data Export'!F2577="硬顶跑车",'Data Export'!F2577="敞蓬车",'Data Export'!F2577="Targa"),"轿车",IF(OR('Data Export'!F2577="小型MPV",'Data Export'!F2577="客车"),"MPV",IF('Data Export'!F2577="运动型多功能车","SUV","其他"))))</f>
        <v/>
      </c>
      <c r="K2577" s="62"/>
      <c r="L2577" s="62"/>
      <c r="M2577" s="62"/>
      <c r="N2577" s="62"/>
      <c r="O2577" s="62"/>
      <c r="P2577" s="62"/>
      <c r="Q2577" s="62"/>
    </row>
    <row r="2578" spans="1:17">
      <c r="A2578" s="62"/>
      <c r="B2578" s="62"/>
      <c r="C2578" s="62"/>
      <c r="D2578" s="62"/>
      <c r="E2578" s="62"/>
      <c r="F2578" s="62"/>
      <c r="G2578" s="62"/>
      <c r="H2578" s="62" t="str">
        <f>IF(AND('Data Export'!A2578=前十整体车型排名!$B$2,'Data Export'!B2578=前十整体车型排名!$B$3,'Data Export'!D2578&lt;&gt;""),UPPER('Data Export'!C2578)&amp;"♦"&amp;'Data Export'!D2578,"")</f>
        <v/>
      </c>
      <c r="I2578" s="63" t="str">
        <f>IF(H2578="","",IFERROR(INDEX('Data Export'!G2578:CZ2578,1,MATCH(前十整体车型排名!$B$4,'Data Export'!$G$1:$CZ$1,0)),0))</f>
        <v/>
      </c>
      <c r="J2578" s="62" t="str">
        <f>IF(H2578="","",IF(OR('Data Export'!F2578="三厢轿车",'Data Export'!F2578="掀背轿车",'Data Export'!F2578="旅行车",'Data Export'!F2578="微型车",'Data Export'!F2578="硬顶跑车",'Data Export'!F2578="敞蓬车",'Data Export'!F2578="Targa"),"轿车",IF(OR('Data Export'!F2578="小型MPV",'Data Export'!F2578="客车"),"MPV",IF('Data Export'!F2578="运动型多功能车","SUV","其他"))))</f>
        <v/>
      </c>
      <c r="K2578" s="62"/>
      <c r="L2578" s="62"/>
      <c r="M2578" s="62"/>
      <c r="N2578" s="62"/>
      <c r="O2578" s="62"/>
      <c r="P2578" s="62"/>
      <c r="Q2578" s="62"/>
    </row>
    <row r="2579" spans="1:17">
      <c r="A2579" s="62"/>
      <c r="B2579" s="62"/>
      <c r="C2579" s="62"/>
      <c r="D2579" s="62"/>
      <c r="E2579" s="62"/>
      <c r="F2579" s="62"/>
      <c r="G2579" s="62"/>
      <c r="H2579" s="62" t="str">
        <f>IF(AND('Data Export'!A2579=前十整体车型排名!$B$2,'Data Export'!B2579=前十整体车型排名!$B$3,'Data Export'!D2579&lt;&gt;""),UPPER('Data Export'!C2579)&amp;"♦"&amp;'Data Export'!D2579,"")</f>
        <v/>
      </c>
      <c r="I2579" s="63" t="str">
        <f>IF(H2579="","",IFERROR(INDEX('Data Export'!G2579:CZ2579,1,MATCH(前十整体车型排名!$B$4,'Data Export'!$G$1:$CZ$1,0)),0))</f>
        <v/>
      </c>
      <c r="J2579" s="62" t="str">
        <f>IF(H2579="","",IF(OR('Data Export'!F2579="三厢轿车",'Data Export'!F2579="掀背轿车",'Data Export'!F2579="旅行车",'Data Export'!F2579="微型车",'Data Export'!F2579="硬顶跑车",'Data Export'!F2579="敞蓬车",'Data Export'!F2579="Targa"),"轿车",IF(OR('Data Export'!F2579="小型MPV",'Data Export'!F2579="客车"),"MPV",IF('Data Export'!F2579="运动型多功能车","SUV","其他"))))</f>
        <v/>
      </c>
      <c r="K2579" s="62"/>
      <c r="L2579" s="62"/>
      <c r="M2579" s="62"/>
      <c r="N2579" s="62"/>
      <c r="O2579" s="62"/>
      <c r="P2579" s="62"/>
      <c r="Q2579" s="62"/>
    </row>
    <row r="2580" spans="1:17">
      <c r="A2580" s="62"/>
      <c r="B2580" s="62"/>
      <c r="C2580" s="62"/>
      <c r="D2580" s="62"/>
      <c r="E2580" s="62"/>
      <c r="F2580" s="62"/>
      <c r="G2580" s="62"/>
      <c r="H2580" s="62" t="str">
        <f>IF(AND('Data Export'!A2580=前十整体车型排名!$B$2,'Data Export'!B2580=前十整体车型排名!$B$3,'Data Export'!D2580&lt;&gt;""),UPPER('Data Export'!C2580)&amp;"♦"&amp;'Data Export'!D2580,"")</f>
        <v/>
      </c>
      <c r="I2580" s="63" t="str">
        <f>IF(H2580="","",IFERROR(INDEX('Data Export'!G2580:CZ2580,1,MATCH(前十整体车型排名!$B$4,'Data Export'!$G$1:$CZ$1,0)),0))</f>
        <v/>
      </c>
      <c r="J2580" s="62" t="str">
        <f>IF(H2580="","",IF(OR('Data Export'!F2580="三厢轿车",'Data Export'!F2580="掀背轿车",'Data Export'!F2580="旅行车",'Data Export'!F2580="微型车",'Data Export'!F2580="硬顶跑车",'Data Export'!F2580="敞蓬车",'Data Export'!F2580="Targa"),"轿车",IF(OR('Data Export'!F2580="小型MPV",'Data Export'!F2580="客车"),"MPV",IF('Data Export'!F2580="运动型多功能车","SUV","其他"))))</f>
        <v/>
      </c>
      <c r="K2580" s="62"/>
      <c r="L2580" s="62"/>
      <c r="M2580" s="62"/>
      <c r="N2580" s="62"/>
      <c r="O2580" s="62"/>
      <c r="P2580" s="62"/>
      <c r="Q2580" s="62"/>
    </row>
    <row r="2581" spans="1:17">
      <c r="A2581" s="62"/>
      <c r="B2581" s="62"/>
      <c r="C2581" s="62"/>
      <c r="D2581" s="62"/>
      <c r="E2581" s="62"/>
      <c r="F2581" s="62"/>
      <c r="G2581" s="62"/>
      <c r="H2581" s="62" t="str">
        <f>IF(AND('Data Export'!A2581=前十整体车型排名!$B$2,'Data Export'!B2581=前十整体车型排名!$B$3,'Data Export'!D2581&lt;&gt;""),UPPER('Data Export'!C2581)&amp;"♦"&amp;'Data Export'!D2581,"")</f>
        <v/>
      </c>
      <c r="I2581" s="63" t="str">
        <f>IF(H2581="","",IFERROR(INDEX('Data Export'!G2581:CZ2581,1,MATCH(前十整体车型排名!$B$4,'Data Export'!$G$1:$CZ$1,0)),0))</f>
        <v/>
      </c>
      <c r="J2581" s="62" t="str">
        <f>IF(H2581="","",IF(OR('Data Export'!F2581="三厢轿车",'Data Export'!F2581="掀背轿车",'Data Export'!F2581="旅行车",'Data Export'!F2581="微型车",'Data Export'!F2581="硬顶跑车",'Data Export'!F2581="敞蓬车",'Data Export'!F2581="Targa"),"轿车",IF(OR('Data Export'!F2581="小型MPV",'Data Export'!F2581="客车"),"MPV",IF('Data Export'!F2581="运动型多功能车","SUV","其他"))))</f>
        <v/>
      </c>
      <c r="K2581" s="62"/>
      <c r="L2581" s="62"/>
      <c r="M2581" s="62"/>
      <c r="N2581" s="62"/>
      <c r="O2581" s="62"/>
      <c r="P2581" s="62"/>
      <c r="Q2581" s="62"/>
    </row>
    <row r="2582" spans="1:17">
      <c r="A2582" s="62"/>
      <c r="B2582" s="62"/>
      <c r="C2582" s="62"/>
      <c r="D2582" s="62"/>
      <c r="E2582" s="62"/>
      <c r="F2582" s="62"/>
      <c r="G2582" s="62"/>
      <c r="H2582" s="62" t="str">
        <f>IF(AND('Data Export'!A2582=前十整体车型排名!$B$2,'Data Export'!B2582=前十整体车型排名!$B$3,'Data Export'!D2582&lt;&gt;""),UPPER('Data Export'!C2582)&amp;"♦"&amp;'Data Export'!D2582,"")</f>
        <v/>
      </c>
      <c r="I2582" s="63" t="str">
        <f>IF(H2582="","",IFERROR(INDEX('Data Export'!G2582:CZ2582,1,MATCH(前十整体车型排名!$B$4,'Data Export'!$G$1:$CZ$1,0)),0))</f>
        <v/>
      </c>
      <c r="J2582" s="62" t="str">
        <f>IF(H2582="","",IF(OR('Data Export'!F2582="三厢轿车",'Data Export'!F2582="掀背轿车",'Data Export'!F2582="旅行车",'Data Export'!F2582="微型车",'Data Export'!F2582="硬顶跑车",'Data Export'!F2582="敞蓬车",'Data Export'!F2582="Targa"),"轿车",IF(OR('Data Export'!F2582="小型MPV",'Data Export'!F2582="客车"),"MPV",IF('Data Export'!F2582="运动型多功能车","SUV","其他"))))</f>
        <v/>
      </c>
      <c r="K2582" s="62"/>
      <c r="L2582" s="62"/>
      <c r="M2582" s="62"/>
      <c r="N2582" s="62"/>
      <c r="O2582" s="62"/>
      <c r="P2582" s="62"/>
      <c r="Q2582" s="62"/>
    </row>
    <row r="2583" spans="1:17">
      <c r="A2583" s="62"/>
      <c r="B2583" s="62"/>
      <c r="C2583" s="62"/>
      <c r="D2583" s="62"/>
      <c r="E2583" s="62"/>
      <c r="F2583" s="62"/>
      <c r="G2583" s="62"/>
      <c r="H2583" s="62" t="str">
        <f>IF(AND('Data Export'!A2583=前十整体车型排名!$B$2,'Data Export'!B2583=前十整体车型排名!$B$3,'Data Export'!D2583&lt;&gt;""),UPPER('Data Export'!C2583)&amp;"♦"&amp;'Data Export'!D2583,"")</f>
        <v/>
      </c>
      <c r="I2583" s="63" t="str">
        <f>IF(H2583="","",IFERROR(INDEX('Data Export'!G2583:CZ2583,1,MATCH(前十整体车型排名!$B$4,'Data Export'!$G$1:$CZ$1,0)),0))</f>
        <v/>
      </c>
      <c r="J2583" s="62" t="str">
        <f>IF(H2583="","",IF(OR('Data Export'!F2583="三厢轿车",'Data Export'!F2583="掀背轿车",'Data Export'!F2583="旅行车",'Data Export'!F2583="微型车",'Data Export'!F2583="硬顶跑车",'Data Export'!F2583="敞蓬车",'Data Export'!F2583="Targa"),"轿车",IF(OR('Data Export'!F2583="小型MPV",'Data Export'!F2583="客车"),"MPV",IF('Data Export'!F2583="运动型多功能车","SUV","其他"))))</f>
        <v/>
      </c>
      <c r="K2583" s="62"/>
      <c r="L2583" s="62"/>
      <c r="M2583" s="62"/>
      <c r="N2583" s="62"/>
      <c r="O2583" s="62"/>
      <c r="P2583" s="62"/>
      <c r="Q2583" s="62"/>
    </row>
    <row r="2584" spans="1:17">
      <c r="A2584" s="62"/>
      <c r="B2584" s="62"/>
      <c r="C2584" s="62"/>
      <c r="D2584" s="62"/>
      <c r="E2584" s="62"/>
      <c r="F2584" s="62"/>
      <c r="G2584" s="62"/>
      <c r="H2584" s="62" t="str">
        <f>IF(AND('Data Export'!A2584=前十整体车型排名!$B$2,'Data Export'!B2584=前十整体车型排名!$B$3,'Data Export'!D2584&lt;&gt;""),UPPER('Data Export'!C2584)&amp;"♦"&amp;'Data Export'!D2584,"")</f>
        <v/>
      </c>
      <c r="I2584" s="63" t="str">
        <f>IF(H2584="","",IFERROR(INDEX('Data Export'!G2584:CZ2584,1,MATCH(前十整体车型排名!$B$4,'Data Export'!$G$1:$CZ$1,0)),0))</f>
        <v/>
      </c>
      <c r="J2584" s="62" t="str">
        <f>IF(H2584="","",IF(OR('Data Export'!F2584="三厢轿车",'Data Export'!F2584="掀背轿车",'Data Export'!F2584="旅行车",'Data Export'!F2584="微型车",'Data Export'!F2584="硬顶跑车",'Data Export'!F2584="敞蓬车",'Data Export'!F2584="Targa"),"轿车",IF(OR('Data Export'!F2584="小型MPV",'Data Export'!F2584="客车"),"MPV",IF('Data Export'!F2584="运动型多功能车","SUV","其他"))))</f>
        <v/>
      </c>
      <c r="K2584" s="62"/>
      <c r="L2584" s="62"/>
      <c r="M2584" s="62"/>
      <c r="N2584" s="62"/>
      <c r="O2584" s="62"/>
      <c r="P2584" s="62"/>
      <c r="Q2584" s="62"/>
    </row>
    <row r="2585" spans="1:17">
      <c r="A2585" s="62"/>
      <c r="B2585" s="62"/>
      <c r="C2585" s="62"/>
      <c r="D2585" s="62"/>
      <c r="E2585" s="62"/>
      <c r="F2585" s="62"/>
      <c r="G2585" s="62"/>
      <c r="H2585" s="62" t="str">
        <f>IF(AND('Data Export'!A2585=前十整体车型排名!$B$2,'Data Export'!B2585=前十整体车型排名!$B$3,'Data Export'!D2585&lt;&gt;""),UPPER('Data Export'!C2585)&amp;"♦"&amp;'Data Export'!D2585,"")</f>
        <v/>
      </c>
      <c r="I2585" s="63" t="str">
        <f>IF(H2585="","",IFERROR(INDEX('Data Export'!G2585:CZ2585,1,MATCH(前十整体车型排名!$B$4,'Data Export'!$G$1:$CZ$1,0)),0))</f>
        <v/>
      </c>
      <c r="J2585" s="62" t="str">
        <f>IF(H2585="","",IF(OR('Data Export'!F2585="三厢轿车",'Data Export'!F2585="掀背轿车",'Data Export'!F2585="旅行车",'Data Export'!F2585="微型车",'Data Export'!F2585="硬顶跑车",'Data Export'!F2585="敞蓬车",'Data Export'!F2585="Targa"),"轿车",IF(OR('Data Export'!F2585="小型MPV",'Data Export'!F2585="客车"),"MPV",IF('Data Export'!F2585="运动型多功能车","SUV","其他"))))</f>
        <v/>
      </c>
      <c r="K2585" s="62"/>
      <c r="L2585" s="62"/>
      <c r="M2585" s="62"/>
      <c r="N2585" s="62"/>
      <c r="O2585" s="62"/>
      <c r="P2585" s="62"/>
      <c r="Q2585" s="62"/>
    </row>
    <row r="2586" spans="1:17">
      <c r="A2586" s="62"/>
      <c r="B2586" s="62"/>
      <c r="C2586" s="62"/>
      <c r="D2586" s="62"/>
      <c r="E2586" s="62"/>
      <c r="F2586" s="62"/>
      <c r="G2586" s="62"/>
      <c r="H2586" s="62" t="str">
        <f>IF(AND('Data Export'!A2586=前十整体车型排名!$B$2,'Data Export'!B2586=前十整体车型排名!$B$3,'Data Export'!D2586&lt;&gt;""),UPPER('Data Export'!C2586)&amp;"♦"&amp;'Data Export'!D2586,"")</f>
        <v/>
      </c>
      <c r="I2586" s="63" t="str">
        <f>IF(H2586="","",IFERROR(INDEX('Data Export'!G2586:CZ2586,1,MATCH(前十整体车型排名!$B$4,'Data Export'!$G$1:$CZ$1,0)),0))</f>
        <v/>
      </c>
      <c r="J2586" s="62" t="str">
        <f>IF(H2586="","",IF(OR('Data Export'!F2586="三厢轿车",'Data Export'!F2586="掀背轿车",'Data Export'!F2586="旅行车",'Data Export'!F2586="微型车",'Data Export'!F2586="硬顶跑车",'Data Export'!F2586="敞蓬车",'Data Export'!F2586="Targa"),"轿车",IF(OR('Data Export'!F2586="小型MPV",'Data Export'!F2586="客车"),"MPV",IF('Data Export'!F2586="运动型多功能车","SUV","其他"))))</f>
        <v/>
      </c>
      <c r="K2586" s="62"/>
      <c r="L2586" s="62"/>
      <c r="M2586" s="62"/>
      <c r="N2586" s="62"/>
      <c r="O2586" s="62"/>
      <c r="P2586" s="62"/>
      <c r="Q2586" s="62"/>
    </row>
    <row r="2587" spans="1:17">
      <c r="A2587" s="62"/>
      <c r="B2587" s="62"/>
      <c r="C2587" s="62"/>
      <c r="D2587" s="62"/>
      <c r="E2587" s="62"/>
      <c r="F2587" s="62"/>
      <c r="G2587" s="62"/>
      <c r="H2587" s="62" t="str">
        <f>IF(AND('Data Export'!A2587=前十整体车型排名!$B$2,'Data Export'!B2587=前十整体车型排名!$B$3,'Data Export'!D2587&lt;&gt;""),UPPER('Data Export'!C2587)&amp;"♦"&amp;'Data Export'!D2587,"")</f>
        <v/>
      </c>
      <c r="I2587" s="63" t="str">
        <f>IF(H2587="","",IFERROR(INDEX('Data Export'!G2587:CZ2587,1,MATCH(前十整体车型排名!$B$4,'Data Export'!$G$1:$CZ$1,0)),0))</f>
        <v/>
      </c>
      <c r="J2587" s="62" t="str">
        <f>IF(H2587="","",IF(OR('Data Export'!F2587="三厢轿车",'Data Export'!F2587="掀背轿车",'Data Export'!F2587="旅行车",'Data Export'!F2587="微型车",'Data Export'!F2587="硬顶跑车",'Data Export'!F2587="敞蓬车",'Data Export'!F2587="Targa"),"轿车",IF(OR('Data Export'!F2587="小型MPV",'Data Export'!F2587="客车"),"MPV",IF('Data Export'!F2587="运动型多功能车","SUV","其他"))))</f>
        <v/>
      </c>
      <c r="K2587" s="62"/>
      <c r="L2587" s="62"/>
      <c r="M2587" s="62"/>
      <c r="N2587" s="62"/>
      <c r="O2587" s="62"/>
      <c r="P2587" s="62"/>
      <c r="Q2587" s="62"/>
    </row>
    <row r="2588" spans="1:17">
      <c r="A2588" s="62"/>
      <c r="B2588" s="62"/>
      <c r="C2588" s="62"/>
      <c r="D2588" s="62"/>
      <c r="E2588" s="62"/>
      <c r="F2588" s="62"/>
      <c r="G2588" s="62"/>
      <c r="H2588" s="62" t="str">
        <f>IF(AND('Data Export'!A2588=前十整体车型排名!$B$2,'Data Export'!B2588=前十整体车型排名!$B$3,'Data Export'!D2588&lt;&gt;""),UPPER('Data Export'!C2588)&amp;"♦"&amp;'Data Export'!D2588,"")</f>
        <v/>
      </c>
      <c r="I2588" s="63" t="str">
        <f>IF(H2588="","",IFERROR(INDEX('Data Export'!G2588:CZ2588,1,MATCH(前十整体车型排名!$B$4,'Data Export'!$G$1:$CZ$1,0)),0))</f>
        <v/>
      </c>
      <c r="J2588" s="62" t="str">
        <f>IF(H2588="","",IF(OR('Data Export'!F2588="三厢轿车",'Data Export'!F2588="掀背轿车",'Data Export'!F2588="旅行车",'Data Export'!F2588="微型车",'Data Export'!F2588="硬顶跑车",'Data Export'!F2588="敞蓬车",'Data Export'!F2588="Targa"),"轿车",IF(OR('Data Export'!F2588="小型MPV",'Data Export'!F2588="客车"),"MPV",IF('Data Export'!F2588="运动型多功能车","SUV","其他"))))</f>
        <v/>
      </c>
      <c r="K2588" s="62"/>
      <c r="L2588" s="62"/>
      <c r="M2588" s="62"/>
      <c r="N2588" s="62"/>
      <c r="O2588" s="62"/>
      <c r="P2588" s="62"/>
      <c r="Q2588" s="62"/>
    </row>
    <row r="2589" spans="1:17">
      <c r="A2589" s="62"/>
      <c r="B2589" s="62"/>
      <c r="C2589" s="62"/>
      <c r="D2589" s="62"/>
      <c r="E2589" s="62"/>
      <c r="F2589" s="62"/>
      <c r="G2589" s="62"/>
      <c r="H2589" s="62" t="str">
        <f>IF(AND('Data Export'!A2589=前十整体车型排名!$B$2,'Data Export'!B2589=前十整体车型排名!$B$3,'Data Export'!D2589&lt;&gt;""),UPPER('Data Export'!C2589)&amp;"♦"&amp;'Data Export'!D2589,"")</f>
        <v/>
      </c>
      <c r="I2589" s="63" t="str">
        <f>IF(H2589="","",IFERROR(INDEX('Data Export'!G2589:CZ2589,1,MATCH(前十整体车型排名!$B$4,'Data Export'!$G$1:$CZ$1,0)),0))</f>
        <v/>
      </c>
      <c r="J2589" s="62" t="str">
        <f>IF(H2589="","",IF(OR('Data Export'!F2589="三厢轿车",'Data Export'!F2589="掀背轿车",'Data Export'!F2589="旅行车",'Data Export'!F2589="微型车",'Data Export'!F2589="硬顶跑车",'Data Export'!F2589="敞蓬车",'Data Export'!F2589="Targa"),"轿车",IF(OR('Data Export'!F2589="小型MPV",'Data Export'!F2589="客车"),"MPV",IF('Data Export'!F2589="运动型多功能车","SUV","其他"))))</f>
        <v/>
      </c>
      <c r="K2589" s="62"/>
      <c r="L2589" s="62"/>
      <c r="M2589" s="62"/>
      <c r="N2589" s="62"/>
      <c r="O2589" s="62"/>
      <c r="P2589" s="62"/>
      <c r="Q2589" s="62"/>
    </row>
    <row r="2590" spans="1:17">
      <c r="A2590" s="62"/>
      <c r="B2590" s="62"/>
      <c r="C2590" s="62"/>
      <c r="D2590" s="62"/>
      <c r="E2590" s="62"/>
      <c r="F2590" s="62"/>
      <c r="G2590" s="62"/>
      <c r="H2590" s="62" t="str">
        <f>IF(AND('Data Export'!A2590=前十整体车型排名!$B$2,'Data Export'!B2590=前十整体车型排名!$B$3,'Data Export'!D2590&lt;&gt;""),UPPER('Data Export'!C2590)&amp;"♦"&amp;'Data Export'!D2590,"")</f>
        <v/>
      </c>
      <c r="I2590" s="63" t="str">
        <f>IF(H2590="","",IFERROR(INDEX('Data Export'!G2590:CZ2590,1,MATCH(前十整体车型排名!$B$4,'Data Export'!$G$1:$CZ$1,0)),0))</f>
        <v/>
      </c>
      <c r="J2590" s="62" t="str">
        <f>IF(H2590="","",IF(OR('Data Export'!F2590="三厢轿车",'Data Export'!F2590="掀背轿车",'Data Export'!F2590="旅行车",'Data Export'!F2590="微型车",'Data Export'!F2590="硬顶跑车",'Data Export'!F2590="敞蓬车",'Data Export'!F2590="Targa"),"轿车",IF(OR('Data Export'!F2590="小型MPV",'Data Export'!F2590="客车"),"MPV",IF('Data Export'!F2590="运动型多功能车","SUV","其他"))))</f>
        <v/>
      </c>
      <c r="K2590" s="62"/>
      <c r="L2590" s="62"/>
      <c r="M2590" s="62"/>
      <c r="N2590" s="62"/>
      <c r="O2590" s="62"/>
      <c r="P2590" s="62"/>
      <c r="Q2590" s="62"/>
    </row>
    <row r="2591" spans="1:17">
      <c r="A2591" s="62"/>
      <c r="B2591" s="62"/>
      <c r="C2591" s="62"/>
      <c r="D2591" s="62"/>
      <c r="E2591" s="62"/>
      <c r="F2591" s="62"/>
      <c r="G2591" s="62"/>
      <c r="H2591" s="62" t="str">
        <f>IF(AND('Data Export'!A2591=前十整体车型排名!$B$2,'Data Export'!B2591=前十整体车型排名!$B$3,'Data Export'!D2591&lt;&gt;""),UPPER('Data Export'!C2591)&amp;"♦"&amp;'Data Export'!D2591,"")</f>
        <v/>
      </c>
      <c r="I2591" s="63" t="str">
        <f>IF(H2591="","",IFERROR(INDEX('Data Export'!G2591:CZ2591,1,MATCH(前十整体车型排名!$B$4,'Data Export'!$G$1:$CZ$1,0)),0))</f>
        <v/>
      </c>
      <c r="J2591" s="62" t="str">
        <f>IF(H2591="","",IF(OR('Data Export'!F2591="三厢轿车",'Data Export'!F2591="掀背轿车",'Data Export'!F2591="旅行车",'Data Export'!F2591="微型车",'Data Export'!F2591="硬顶跑车",'Data Export'!F2591="敞蓬车",'Data Export'!F2591="Targa"),"轿车",IF(OR('Data Export'!F2591="小型MPV",'Data Export'!F2591="客车"),"MPV",IF('Data Export'!F2591="运动型多功能车","SUV","其他"))))</f>
        <v/>
      </c>
      <c r="K2591" s="62"/>
      <c r="L2591" s="62"/>
      <c r="M2591" s="62"/>
      <c r="N2591" s="62"/>
      <c r="O2591" s="62"/>
      <c r="P2591" s="62"/>
      <c r="Q2591" s="62"/>
    </row>
    <row r="2592" spans="1:17">
      <c r="A2592" s="62"/>
      <c r="B2592" s="62"/>
      <c r="C2592" s="62"/>
      <c r="D2592" s="62"/>
      <c r="E2592" s="62"/>
      <c r="F2592" s="62"/>
      <c r="G2592" s="62"/>
      <c r="H2592" s="62" t="str">
        <f>IF(AND('Data Export'!A2592=前十整体车型排名!$B$2,'Data Export'!B2592=前十整体车型排名!$B$3,'Data Export'!D2592&lt;&gt;""),UPPER('Data Export'!C2592)&amp;"♦"&amp;'Data Export'!D2592,"")</f>
        <v/>
      </c>
      <c r="I2592" s="63" t="str">
        <f>IF(H2592="","",IFERROR(INDEX('Data Export'!G2592:CZ2592,1,MATCH(前十整体车型排名!$B$4,'Data Export'!$G$1:$CZ$1,0)),0))</f>
        <v/>
      </c>
      <c r="J2592" s="62" t="str">
        <f>IF(H2592="","",IF(OR('Data Export'!F2592="三厢轿车",'Data Export'!F2592="掀背轿车",'Data Export'!F2592="旅行车",'Data Export'!F2592="微型车",'Data Export'!F2592="硬顶跑车",'Data Export'!F2592="敞蓬车",'Data Export'!F2592="Targa"),"轿车",IF(OR('Data Export'!F2592="小型MPV",'Data Export'!F2592="客车"),"MPV",IF('Data Export'!F2592="运动型多功能车","SUV","其他"))))</f>
        <v/>
      </c>
      <c r="K2592" s="62"/>
      <c r="L2592" s="62"/>
      <c r="M2592" s="62"/>
      <c r="N2592" s="62"/>
      <c r="O2592" s="62"/>
      <c r="P2592" s="62"/>
      <c r="Q2592" s="62"/>
    </row>
    <row r="2593" spans="1:17">
      <c r="A2593" s="62"/>
      <c r="B2593" s="62"/>
      <c r="C2593" s="62"/>
      <c r="D2593" s="62"/>
      <c r="E2593" s="62"/>
      <c r="F2593" s="62"/>
      <c r="G2593" s="62"/>
      <c r="H2593" s="62" t="str">
        <f>IF(AND('Data Export'!A2593=前十整体车型排名!$B$2,'Data Export'!B2593=前十整体车型排名!$B$3,'Data Export'!D2593&lt;&gt;""),UPPER('Data Export'!C2593)&amp;"♦"&amp;'Data Export'!D2593,"")</f>
        <v/>
      </c>
      <c r="I2593" s="63" t="str">
        <f>IF(H2593="","",IFERROR(INDEX('Data Export'!G2593:CZ2593,1,MATCH(前十整体车型排名!$B$4,'Data Export'!$G$1:$CZ$1,0)),0))</f>
        <v/>
      </c>
      <c r="J2593" s="62" t="str">
        <f>IF(H2593="","",IF(OR('Data Export'!F2593="三厢轿车",'Data Export'!F2593="掀背轿车",'Data Export'!F2593="旅行车",'Data Export'!F2593="微型车",'Data Export'!F2593="硬顶跑车",'Data Export'!F2593="敞蓬车",'Data Export'!F2593="Targa"),"轿车",IF(OR('Data Export'!F2593="小型MPV",'Data Export'!F2593="客车"),"MPV",IF('Data Export'!F2593="运动型多功能车","SUV","其他"))))</f>
        <v/>
      </c>
      <c r="K2593" s="62"/>
      <c r="L2593" s="62"/>
      <c r="M2593" s="62"/>
      <c r="N2593" s="62"/>
      <c r="O2593" s="62"/>
      <c r="P2593" s="62"/>
      <c r="Q2593" s="62"/>
    </row>
    <row r="2594" spans="1:17">
      <c r="A2594" s="62"/>
      <c r="B2594" s="62"/>
      <c r="C2594" s="62"/>
      <c r="D2594" s="62"/>
      <c r="E2594" s="62"/>
      <c r="F2594" s="62"/>
      <c r="G2594" s="62"/>
      <c r="H2594" s="62" t="str">
        <f>IF(AND('Data Export'!A2594=前十整体车型排名!$B$2,'Data Export'!B2594=前十整体车型排名!$B$3,'Data Export'!D2594&lt;&gt;""),UPPER('Data Export'!C2594)&amp;"♦"&amp;'Data Export'!D2594,"")</f>
        <v/>
      </c>
      <c r="I2594" s="63" t="str">
        <f>IF(H2594="","",IFERROR(INDEX('Data Export'!G2594:CZ2594,1,MATCH(前十整体车型排名!$B$4,'Data Export'!$G$1:$CZ$1,0)),0))</f>
        <v/>
      </c>
      <c r="J2594" s="62" t="str">
        <f>IF(H2594="","",IF(OR('Data Export'!F2594="三厢轿车",'Data Export'!F2594="掀背轿车",'Data Export'!F2594="旅行车",'Data Export'!F2594="微型车",'Data Export'!F2594="硬顶跑车",'Data Export'!F2594="敞蓬车",'Data Export'!F2594="Targa"),"轿车",IF(OR('Data Export'!F2594="小型MPV",'Data Export'!F2594="客车"),"MPV",IF('Data Export'!F2594="运动型多功能车","SUV","其他"))))</f>
        <v/>
      </c>
      <c r="K2594" s="62"/>
      <c r="L2594" s="62"/>
      <c r="M2594" s="62"/>
      <c r="N2594" s="62"/>
      <c r="O2594" s="62"/>
      <c r="P2594" s="62"/>
      <c r="Q2594" s="62"/>
    </row>
    <row r="2595" spans="1:17">
      <c r="A2595" s="62"/>
      <c r="B2595" s="62"/>
      <c r="C2595" s="62"/>
      <c r="D2595" s="62"/>
      <c r="E2595" s="62"/>
      <c r="F2595" s="62"/>
      <c r="G2595" s="62"/>
      <c r="H2595" s="62" t="str">
        <f>IF(AND('Data Export'!A2595=前十整体车型排名!$B$2,'Data Export'!B2595=前十整体车型排名!$B$3,'Data Export'!D2595&lt;&gt;""),UPPER('Data Export'!C2595)&amp;"♦"&amp;'Data Export'!D2595,"")</f>
        <v/>
      </c>
      <c r="I2595" s="63" t="str">
        <f>IF(H2595="","",IFERROR(INDEX('Data Export'!G2595:CZ2595,1,MATCH(前十整体车型排名!$B$4,'Data Export'!$G$1:$CZ$1,0)),0))</f>
        <v/>
      </c>
      <c r="J2595" s="62" t="str">
        <f>IF(H2595="","",IF(OR('Data Export'!F2595="三厢轿车",'Data Export'!F2595="掀背轿车",'Data Export'!F2595="旅行车",'Data Export'!F2595="微型车",'Data Export'!F2595="硬顶跑车",'Data Export'!F2595="敞蓬车",'Data Export'!F2595="Targa"),"轿车",IF(OR('Data Export'!F2595="小型MPV",'Data Export'!F2595="客车"),"MPV",IF('Data Export'!F2595="运动型多功能车","SUV","其他"))))</f>
        <v/>
      </c>
      <c r="K2595" s="62"/>
      <c r="L2595" s="62"/>
      <c r="M2595" s="62"/>
      <c r="N2595" s="62"/>
      <c r="O2595" s="62"/>
      <c r="P2595" s="62"/>
      <c r="Q2595" s="62"/>
    </row>
    <row r="2596" spans="1:17">
      <c r="A2596" s="62"/>
      <c r="B2596" s="62"/>
      <c r="C2596" s="62"/>
      <c r="D2596" s="62"/>
      <c r="E2596" s="62"/>
      <c r="F2596" s="62"/>
      <c r="G2596" s="62"/>
      <c r="H2596" s="62" t="str">
        <f>IF(AND('Data Export'!A2596=前十整体车型排名!$B$2,'Data Export'!B2596=前十整体车型排名!$B$3,'Data Export'!D2596&lt;&gt;""),UPPER('Data Export'!C2596)&amp;"♦"&amp;'Data Export'!D2596,"")</f>
        <v/>
      </c>
      <c r="I2596" s="63" t="str">
        <f>IF(H2596="","",IFERROR(INDEX('Data Export'!G2596:CZ2596,1,MATCH(前十整体车型排名!$B$4,'Data Export'!$G$1:$CZ$1,0)),0))</f>
        <v/>
      </c>
      <c r="J2596" s="62" t="str">
        <f>IF(H2596="","",IF(OR('Data Export'!F2596="三厢轿车",'Data Export'!F2596="掀背轿车",'Data Export'!F2596="旅行车",'Data Export'!F2596="微型车",'Data Export'!F2596="硬顶跑车",'Data Export'!F2596="敞蓬车",'Data Export'!F2596="Targa"),"轿车",IF(OR('Data Export'!F2596="小型MPV",'Data Export'!F2596="客车"),"MPV",IF('Data Export'!F2596="运动型多功能车","SUV","其他"))))</f>
        <v/>
      </c>
      <c r="K2596" s="62"/>
      <c r="L2596" s="62"/>
      <c r="M2596" s="62"/>
      <c r="N2596" s="62"/>
      <c r="O2596" s="62"/>
      <c r="P2596" s="62"/>
      <c r="Q2596" s="62"/>
    </row>
    <row r="2597" spans="1:17">
      <c r="A2597" s="62"/>
      <c r="B2597" s="62"/>
      <c r="C2597" s="62"/>
      <c r="D2597" s="62"/>
      <c r="E2597" s="62"/>
      <c r="F2597" s="62"/>
      <c r="G2597" s="62"/>
      <c r="H2597" s="62" t="str">
        <f>IF(AND('Data Export'!A2597=前十整体车型排名!$B$2,'Data Export'!B2597=前十整体车型排名!$B$3,'Data Export'!D2597&lt;&gt;""),UPPER('Data Export'!C2597)&amp;"♦"&amp;'Data Export'!D2597,"")</f>
        <v/>
      </c>
      <c r="I2597" s="63" t="str">
        <f>IF(H2597="","",IFERROR(INDEX('Data Export'!G2597:CZ2597,1,MATCH(前十整体车型排名!$B$4,'Data Export'!$G$1:$CZ$1,0)),0))</f>
        <v/>
      </c>
      <c r="J2597" s="62" t="str">
        <f>IF(H2597="","",IF(OR('Data Export'!F2597="三厢轿车",'Data Export'!F2597="掀背轿车",'Data Export'!F2597="旅行车",'Data Export'!F2597="微型车",'Data Export'!F2597="硬顶跑车",'Data Export'!F2597="敞蓬车",'Data Export'!F2597="Targa"),"轿车",IF(OR('Data Export'!F2597="小型MPV",'Data Export'!F2597="客车"),"MPV",IF('Data Export'!F2597="运动型多功能车","SUV","其他"))))</f>
        <v/>
      </c>
      <c r="K2597" s="62"/>
      <c r="L2597" s="62"/>
      <c r="M2597" s="62"/>
      <c r="N2597" s="62"/>
      <c r="O2597" s="62"/>
      <c r="P2597" s="62"/>
      <c r="Q2597" s="62"/>
    </row>
    <row r="2598" spans="1:17">
      <c r="A2598" s="62"/>
      <c r="B2598" s="62"/>
      <c r="C2598" s="62"/>
      <c r="D2598" s="62"/>
      <c r="E2598" s="62"/>
      <c r="F2598" s="62"/>
      <c r="G2598" s="62"/>
      <c r="H2598" s="62" t="str">
        <f>IF(AND('Data Export'!A2598=前十整体车型排名!$B$2,'Data Export'!B2598=前十整体车型排名!$B$3,'Data Export'!D2598&lt;&gt;""),UPPER('Data Export'!C2598)&amp;"♦"&amp;'Data Export'!D2598,"")</f>
        <v/>
      </c>
      <c r="I2598" s="63" t="str">
        <f>IF(H2598="","",IFERROR(INDEX('Data Export'!G2598:CZ2598,1,MATCH(前十整体车型排名!$B$4,'Data Export'!$G$1:$CZ$1,0)),0))</f>
        <v/>
      </c>
      <c r="J2598" s="62" t="str">
        <f>IF(H2598="","",IF(OR('Data Export'!F2598="三厢轿车",'Data Export'!F2598="掀背轿车",'Data Export'!F2598="旅行车",'Data Export'!F2598="微型车",'Data Export'!F2598="硬顶跑车",'Data Export'!F2598="敞蓬车",'Data Export'!F2598="Targa"),"轿车",IF(OR('Data Export'!F2598="小型MPV",'Data Export'!F2598="客车"),"MPV",IF('Data Export'!F2598="运动型多功能车","SUV","其他"))))</f>
        <v/>
      </c>
      <c r="K2598" s="62"/>
      <c r="L2598" s="62"/>
      <c r="M2598" s="62"/>
      <c r="N2598" s="62"/>
      <c r="O2598" s="62"/>
      <c r="P2598" s="62"/>
      <c r="Q2598" s="62"/>
    </row>
    <row r="2599" spans="1:17">
      <c r="A2599" s="62"/>
      <c r="B2599" s="62"/>
      <c r="C2599" s="62"/>
      <c r="D2599" s="62"/>
      <c r="E2599" s="62"/>
      <c r="F2599" s="62"/>
      <c r="G2599" s="62"/>
      <c r="H2599" s="62" t="str">
        <f>IF(AND('Data Export'!A2599=前十整体车型排名!$B$2,'Data Export'!B2599=前十整体车型排名!$B$3,'Data Export'!D2599&lt;&gt;""),UPPER('Data Export'!C2599)&amp;"♦"&amp;'Data Export'!D2599,"")</f>
        <v/>
      </c>
      <c r="I2599" s="63" t="str">
        <f>IF(H2599="","",IFERROR(INDEX('Data Export'!G2599:CZ2599,1,MATCH(前十整体车型排名!$B$4,'Data Export'!$G$1:$CZ$1,0)),0))</f>
        <v/>
      </c>
      <c r="J2599" s="62" t="str">
        <f>IF(H2599="","",IF(OR('Data Export'!F2599="三厢轿车",'Data Export'!F2599="掀背轿车",'Data Export'!F2599="旅行车",'Data Export'!F2599="微型车",'Data Export'!F2599="硬顶跑车",'Data Export'!F2599="敞蓬车",'Data Export'!F2599="Targa"),"轿车",IF(OR('Data Export'!F2599="小型MPV",'Data Export'!F2599="客车"),"MPV",IF('Data Export'!F2599="运动型多功能车","SUV","其他"))))</f>
        <v/>
      </c>
      <c r="K2599" s="62"/>
      <c r="L2599" s="62"/>
      <c r="M2599" s="62"/>
      <c r="N2599" s="62"/>
      <c r="O2599" s="62"/>
      <c r="P2599" s="62"/>
      <c r="Q2599" s="62"/>
    </row>
    <row r="2600" spans="1:17">
      <c r="A2600" s="62"/>
      <c r="B2600" s="62"/>
      <c r="C2600" s="62"/>
      <c r="D2600" s="62"/>
      <c r="E2600" s="62"/>
      <c r="F2600" s="62"/>
      <c r="G2600" s="62"/>
      <c r="H2600" s="62" t="str">
        <f>IF(AND('Data Export'!A2600=前十整体车型排名!$B$2,'Data Export'!B2600=前十整体车型排名!$B$3,'Data Export'!D2600&lt;&gt;""),UPPER('Data Export'!C2600)&amp;"♦"&amp;'Data Export'!D2600,"")</f>
        <v/>
      </c>
      <c r="I2600" s="63" t="str">
        <f>IF(H2600="","",IFERROR(INDEX('Data Export'!G2600:CZ2600,1,MATCH(前十整体车型排名!$B$4,'Data Export'!$G$1:$CZ$1,0)),0))</f>
        <v/>
      </c>
      <c r="J2600" s="62" t="str">
        <f>IF(H2600="","",IF(OR('Data Export'!F2600="三厢轿车",'Data Export'!F2600="掀背轿车",'Data Export'!F2600="旅行车",'Data Export'!F2600="微型车",'Data Export'!F2600="硬顶跑车",'Data Export'!F2600="敞蓬车",'Data Export'!F2600="Targa"),"轿车",IF(OR('Data Export'!F2600="小型MPV",'Data Export'!F2600="客车"),"MPV",IF('Data Export'!F2600="运动型多功能车","SUV","其他"))))</f>
        <v/>
      </c>
      <c r="K2600" s="62"/>
      <c r="L2600" s="62"/>
      <c r="M2600" s="62"/>
      <c r="N2600" s="62"/>
      <c r="O2600" s="62"/>
      <c r="P2600" s="62"/>
      <c r="Q2600" s="62"/>
    </row>
    <row r="2601" spans="1:17">
      <c r="A2601" s="62"/>
      <c r="B2601" s="62"/>
      <c r="C2601" s="62"/>
      <c r="D2601" s="62"/>
      <c r="E2601" s="62"/>
      <c r="F2601" s="62"/>
      <c r="G2601" s="62"/>
      <c r="H2601" s="62" t="str">
        <f>IF(AND('Data Export'!A2601=前十整体车型排名!$B$2,'Data Export'!B2601=前十整体车型排名!$B$3,'Data Export'!D2601&lt;&gt;""),UPPER('Data Export'!C2601)&amp;"♦"&amp;'Data Export'!D2601,"")</f>
        <v/>
      </c>
      <c r="I2601" s="63" t="str">
        <f>IF(H2601="","",IFERROR(INDEX('Data Export'!G2601:CZ2601,1,MATCH(前十整体车型排名!$B$4,'Data Export'!$G$1:$CZ$1,0)),0))</f>
        <v/>
      </c>
      <c r="J2601" s="62" t="str">
        <f>IF(H2601="","",IF(OR('Data Export'!F2601="三厢轿车",'Data Export'!F2601="掀背轿车",'Data Export'!F2601="旅行车",'Data Export'!F2601="微型车",'Data Export'!F2601="硬顶跑车",'Data Export'!F2601="敞蓬车",'Data Export'!F2601="Targa"),"轿车",IF(OR('Data Export'!F2601="小型MPV",'Data Export'!F2601="客车"),"MPV",IF('Data Export'!F2601="运动型多功能车","SUV","其他"))))</f>
        <v/>
      </c>
      <c r="K2601" s="62"/>
      <c r="L2601" s="62"/>
      <c r="M2601" s="62"/>
      <c r="N2601" s="62"/>
      <c r="O2601" s="62"/>
      <c r="P2601" s="62"/>
      <c r="Q2601" s="62"/>
    </row>
    <row r="2602" spans="1:17">
      <c r="A2602" s="62"/>
      <c r="B2602" s="62"/>
      <c r="C2602" s="62"/>
      <c r="D2602" s="62"/>
      <c r="E2602" s="62"/>
      <c r="F2602" s="62"/>
      <c r="G2602" s="62"/>
      <c r="H2602" s="62" t="str">
        <f>IF(AND('Data Export'!A2602=前十整体车型排名!$B$2,'Data Export'!B2602=前十整体车型排名!$B$3,'Data Export'!D2602&lt;&gt;""),UPPER('Data Export'!C2602)&amp;"♦"&amp;'Data Export'!D2602,"")</f>
        <v/>
      </c>
      <c r="I2602" s="63" t="str">
        <f>IF(H2602="","",IFERROR(INDEX('Data Export'!G2602:CZ2602,1,MATCH(前十整体车型排名!$B$4,'Data Export'!$G$1:$CZ$1,0)),0))</f>
        <v/>
      </c>
      <c r="J2602" s="62" t="str">
        <f>IF(H2602="","",IF(OR('Data Export'!F2602="三厢轿车",'Data Export'!F2602="掀背轿车",'Data Export'!F2602="旅行车",'Data Export'!F2602="微型车",'Data Export'!F2602="硬顶跑车",'Data Export'!F2602="敞蓬车",'Data Export'!F2602="Targa"),"轿车",IF(OR('Data Export'!F2602="小型MPV",'Data Export'!F2602="客车"),"MPV",IF('Data Export'!F2602="运动型多功能车","SUV","其他"))))</f>
        <v/>
      </c>
      <c r="K2602" s="62"/>
      <c r="L2602" s="62"/>
      <c r="M2602" s="62"/>
      <c r="N2602" s="62"/>
      <c r="O2602" s="62"/>
      <c r="P2602" s="62"/>
      <c r="Q2602" s="62"/>
    </row>
    <row r="2603" spans="1:17">
      <c r="A2603" s="62"/>
      <c r="B2603" s="62"/>
      <c r="C2603" s="62"/>
      <c r="D2603" s="62"/>
      <c r="E2603" s="62"/>
      <c r="F2603" s="62"/>
      <c r="G2603" s="62"/>
      <c r="H2603" s="62" t="str">
        <f>IF(AND('Data Export'!A2603=前十整体车型排名!$B$2,'Data Export'!B2603=前十整体车型排名!$B$3,'Data Export'!D2603&lt;&gt;""),UPPER('Data Export'!C2603)&amp;"♦"&amp;'Data Export'!D2603,"")</f>
        <v/>
      </c>
      <c r="I2603" s="63" t="str">
        <f>IF(H2603="","",IFERROR(INDEX('Data Export'!G2603:CZ2603,1,MATCH(前十整体车型排名!$B$4,'Data Export'!$G$1:$CZ$1,0)),0))</f>
        <v/>
      </c>
      <c r="J2603" s="62" t="str">
        <f>IF(H2603="","",IF(OR('Data Export'!F2603="三厢轿车",'Data Export'!F2603="掀背轿车",'Data Export'!F2603="旅行车",'Data Export'!F2603="微型车",'Data Export'!F2603="硬顶跑车",'Data Export'!F2603="敞蓬车",'Data Export'!F2603="Targa"),"轿车",IF(OR('Data Export'!F2603="小型MPV",'Data Export'!F2603="客车"),"MPV",IF('Data Export'!F2603="运动型多功能车","SUV","其他"))))</f>
        <v/>
      </c>
      <c r="K2603" s="62"/>
      <c r="L2603" s="62"/>
      <c r="M2603" s="62"/>
      <c r="N2603" s="62"/>
      <c r="O2603" s="62"/>
      <c r="P2603" s="62"/>
      <c r="Q2603" s="62"/>
    </row>
    <row r="2604" spans="1:17">
      <c r="A2604" s="62"/>
      <c r="B2604" s="62"/>
      <c r="C2604" s="62"/>
      <c r="D2604" s="62"/>
      <c r="E2604" s="62"/>
      <c r="F2604" s="62"/>
      <c r="G2604" s="62"/>
      <c r="H2604" s="62" t="str">
        <f>IF(AND('Data Export'!A2604=前十整体车型排名!$B$2,'Data Export'!B2604=前十整体车型排名!$B$3,'Data Export'!D2604&lt;&gt;""),UPPER('Data Export'!C2604)&amp;"♦"&amp;'Data Export'!D2604,"")</f>
        <v/>
      </c>
      <c r="I2604" s="63" t="str">
        <f>IF(H2604="","",IFERROR(INDEX('Data Export'!G2604:CZ2604,1,MATCH(前十整体车型排名!$B$4,'Data Export'!$G$1:$CZ$1,0)),0))</f>
        <v/>
      </c>
      <c r="J2604" s="62" t="str">
        <f>IF(H2604="","",IF(OR('Data Export'!F2604="三厢轿车",'Data Export'!F2604="掀背轿车",'Data Export'!F2604="旅行车",'Data Export'!F2604="微型车",'Data Export'!F2604="硬顶跑车",'Data Export'!F2604="敞蓬车",'Data Export'!F2604="Targa"),"轿车",IF(OR('Data Export'!F2604="小型MPV",'Data Export'!F2604="客车"),"MPV",IF('Data Export'!F2604="运动型多功能车","SUV","其他"))))</f>
        <v/>
      </c>
      <c r="K2604" s="62"/>
      <c r="L2604" s="62"/>
      <c r="M2604" s="62"/>
      <c r="N2604" s="62"/>
      <c r="O2604" s="62"/>
      <c r="P2604" s="62"/>
      <c r="Q2604" s="62"/>
    </row>
    <row r="2605" spans="1:17">
      <c r="A2605" s="62"/>
      <c r="B2605" s="62"/>
      <c r="C2605" s="62"/>
      <c r="D2605" s="62"/>
      <c r="E2605" s="62"/>
      <c r="F2605" s="62"/>
      <c r="G2605" s="62"/>
      <c r="H2605" s="62" t="str">
        <f>IF(AND('Data Export'!A2605=前十整体车型排名!$B$2,'Data Export'!B2605=前十整体车型排名!$B$3,'Data Export'!D2605&lt;&gt;""),UPPER('Data Export'!C2605)&amp;"♦"&amp;'Data Export'!D2605,"")</f>
        <v/>
      </c>
      <c r="I2605" s="63" t="str">
        <f>IF(H2605="","",IFERROR(INDEX('Data Export'!G2605:CZ2605,1,MATCH(前十整体车型排名!$B$4,'Data Export'!$G$1:$CZ$1,0)),0))</f>
        <v/>
      </c>
      <c r="J2605" s="62" t="str">
        <f>IF(H2605="","",IF(OR('Data Export'!F2605="三厢轿车",'Data Export'!F2605="掀背轿车",'Data Export'!F2605="旅行车",'Data Export'!F2605="微型车",'Data Export'!F2605="硬顶跑车",'Data Export'!F2605="敞蓬车",'Data Export'!F2605="Targa"),"轿车",IF(OR('Data Export'!F2605="小型MPV",'Data Export'!F2605="客车"),"MPV",IF('Data Export'!F2605="运动型多功能车","SUV","其他"))))</f>
        <v/>
      </c>
      <c r="K2605" s="62"/>
      <c r="L2605" s="62"/>
      <c r="M2605" s="62"/>
      <c r="N2605" s="62"/>
      <c r="O2605" s="62"/>
      <c r="P2605" s="62"/>
      <c r="Q2605" s="62"/>
    </row>
    <row r="2606" spans="1:17">
      <c r="A2606" s="62"/>
      <c r="B2606" s="62"/>
      <c r="C2606" s="62"/>
      <c r="D2606" s="62"/>
      <c r="E2606" s="62"/>
      <c r="F2606" s="62"/>
      <c r="G2606" s="62"/>
      <c r="H2606" s="62" t="str">
        <f>IF(AND('Data Export'!A2606=前十整体车型排名!$B$2,'Data Export'!B2606=前十整体车型排名!$B$3,'Data Export'!D2606&lt;&gt;""),UPPER('Data Export'!C2606)&amp;"♦"&amp;'Data Export'!D2606,"")</f>
        <v/>
      </c>
      <c r="I2606" s="63" t="str">
        <f>IF(H2606="","",IFERROR(INDEX('Data Export'!G2606:CZ2606,1,MATCH(前十整体车型排名!$B$4,'Data Export'!$G$1:$CZ$1,0)),0))</f>
        <v/>
      </c>
      <c r="J2606" s="62" t="str">
        <f>IF(H2606="","",IF(OR('Data Export'!F2606="三厢轿车",'Data Export'!F2606="掀背轿车",'Data Export'!F2606="旅行车",'Data Export'!F2606="微型车",'Data Export'!F2606="硬顶跑车",'Data Export'!F2606="敞蓬车",'Data Export'!F2606="Targa"),"轿车",IF(OR('Data Export'!F2606="小型MPV",'Data Export'!F2606="客车"),"MPV",IF('Data Export'!F2606="运动型多功能车","SUV","其他"))))</f>
        <v/>
      </c>
      <c r="K2606" s="62"/>
      <c r="L2606" s="62"/>
      <c r="M2606" s="62"/>
      <c r="N2606" s="62"/>
      <c r="O2606" s="62"/>
      <c r="P2606" s="62"/>
      <c r="Q2606" s="62"/>
    </row>
    <row r="2607" spans="1:17">
      <c r="A2607" s="62"/>
      <c r="B2607" s="62"/>
      <c r="C2607" s="62"/>
      <c r="D2607" s="62"/>
      <c r="E2607" s="62"/>
      <c r="F2607" s="62"/>
      <c r="G2607" s="62"/>
      <c r="H2607" s="62" t="str">
        <f>IF(AND('Data Export'!A2607=前十整体车型排名!$B$2,'Data Export'!B2607=前十整体车型排名!$B$3,'Data Export'!D2607&lt;&gt;""),UPPER('Data Export'!C2607)&amp;"♦"&amp;'Data Export'!D2607,"")</f>
        <v/>
      </c>
      <c r="I2607" s="63" t="str">
        <f>IF(H2607="","",IFERROR(INDEX('Data Export'!G2607:CZ2607,1,MATCH(前十整体车型排名!$B$4,'Data Export'!$G$1:$CZ$1,0)),0))</f>
        <v/>
      </c>
      <c r="J2607" s="62" t="str">
        <f>IF(H2607="","",IF(OR('Data Export'!F2607="三厢轿车",'Data Export'!F2607="掀背轿车",'Data Export'!F2607="旅行车",'Data Export'!F2607="微型车",'Data Export'!F2607="硬顶跑车",'Data Export'!F2607="敞蓬车",'Data Export'!F2607="Targa"),"轿车",IF(OR('Data Export'!F2607="小型MPV",'Data Export'!F2607="客车"),"MPV",IF('Data Export'!F2607="运动型多功能车","SUV","其他"))))</f>
        <v/>
      </c>
      <c r="K2607" s="62"/>
      <c r="L2607" s="62"/>
      <c r="M2607" s="62"/>
      <c r="N2607" s="62"/>
      <c r="O2607" s="62"/>
      <c r="P2607" s="62"/>
      <c r="Q2607" s="62"/>
    </row>
    <row r="2608" spans="1:17">
      <c r="A2608" s="62"/>
      <c r="B2608" s="62"/>
      <c r="C2608" s="62"/>
      <c r="D2608" s="62"/>
      <c r="E2608" s="62"/>
      <c r="F2608" s="62"/>
      <c r="G2608" s="62"/>
      <c r="H2608" s="62" t="str">
        <f>IF(AND('Data Export'!A2608=前十整体车型排名!$B$2,'Data Export'!B2608=前十整体车型排名!$B$3,'Data Export'!D2608&lt;&gt;""),UPPER('Data Export'!C2608)&amp;"♦"&amp;'Data Export'!D2608,"")</f>
        <v/>
      </c>
      <c r="I2608" s="63" t="str">
        <f>IF(H2608="","",IFERROR(INDEX('Data Export'!G2608:CZ2608,1,MATCH(前十整体车型排名!$B$4,'Data Export'!$G$1:$CZ$1,0)),0))</f>
        <v/>
      </c>
      <c r="J2608" s="62" t="str">
        <f>IF(H2608="","",IF(OR('Data Export'!F2608="三厢轿车",'Data Export'!F2608="掀背轿车",'Data Export'!F2608="旅行车",'Data Export'!F2608="微型车",'Data Export'!F2608="硬顶跑车",'Data Export'!F2608="敞蓬车",'Data Export'!F2608="Targa"),"轿车",IF(OR('Data Export'!F2608="小型MPV",'Data Export'!F2608="客车"),"MPV",IF('Data Export'!F2608="运动型多功能车","SUV","其他"))))</f>
        <v/>
      </c>
      <c r="K2608" s="62"/>
      <c r="L2608" s="62"/>
      <c r="M2608" s="62"/>
      <c r="N2608" s="62"/>
      <c r="O2608" s="62"/>
      <c r="P2608" s="62"/>
      <c r="Q2608" s="62"/>
    </row>
    <row r="2609" spans="1:17">
      <c r="A2609" s="62"/>
      <c r="B2609" s="62"/>
      <c r="C2609" s="62"/>
      <c r="D2609" s="62"/>
      <c r="E2609" s="62"/>
      <c r="F2609" s="62"/>
      <c r="G2609" s="62"/>
      <c r="H2609" s="62" t="str">
        <f>IF(AND('Data Export'!A2609=前十整体车型排名!$B$2,'Data Export'!B2609=前十整体车型排名!$B$3,'Data Export'!D2609&lt;&gt;""),UPPER('Data Export'!C2609)&amp;"♦"&amp;'Data Export'!D2609,"")</f>
        <v/>
      </c>
      <c r="I2609" s="63" t="str">
        <f>IF(H2609="","",IFERROR(INDEX('Data Export'!G2609:CZ2609,1,MATCH(前十整体车型排名!$B$4,'Data Export'!$G$1:$CZ$1,0)),0))</f>
        <v/>
      </c>
      <c r="J2609" s="62" t="str">
        <f>IF(H2609="","",IF(OR('Data Export'!F2609="三厢轿车",'Data Export'!F2609="掀背轿车",'Data Export'!F2609="旅行车",'Data Export'!F2609="微型车",'Data Export'!F2609="硬顶跑车",'Data Export'!F2609="敞蓬车",'Data Export'!F2609="Targa"),"轿车",IF(OR('Data Export'!F2609="小型MPV",'Data Export'!F2609="客车"),"MPV",IF('Data Export'!F2609="运动型多功能车","SUV","其他"))))</f>
        <v/>
      </c>
      <c r="K2609" s="62"/>
      <c r="L2609" s="62"/>
      <c r="M2609" s="62"/>
      <c r="N2609" s="62"/>
      <c r="O2609" s="62"/>
      <c r="P2609" s="62"/>
      <c r="Q2609" s="62"/>
    </row>
    <row r="2610" spans="1:17">
      <c r="A2610" s="62"/>
      <c r="B2610" s="62"/>
      <c r="C2610" s="62"/>
      <c r="D2610" s="62"/>
      <c r="E2610" s="62"/>
      <c r="F2610" s="62"/>
      <c r="G2610" s="62"/>
      <c r="H2610" s="62" t="str">
        <f>IF(AND('Data Export'!A2610=前十整体车型排名!$B$2,'Data Export'!B2610=前十整体车型排名!$B$3,'Data Export'!D2610&lt;&gt;""),UPPER('Data Export'!C2610)&amp;"♦"&amp;'Data Export'!D2610,"")</f>
        <v/>
      </c>
      <c r="I2610" s="63" t="str">
        <f>IF(H2610="","",IFERROR(INDEX('Data Export'!G2610:CZ2610,1,MATCH(前十整体车型排名!$B$4,'Data Export'!$G$1:$CZ$1,0)),0))</f>
        <v/>
      </c>
      <c r="J2610" s="62" t="str">
        <f>IF(H2610="","",IF(OR('Data Export'!F2610="三厢轿车",'Data Export'!F2610="掀背轿车",'Data Export'!F2610="旅行车",'Data Export'!F2610="微型车",'Data Export'!F2610="硬顶跑车",'Data Export'!F2610="敞蓬车",'Data Export'!F2610="Targa"),"轿车",IF(OR('Data Export'!F2610="小型MPV",'Data Export'!F2610="客车"),"MPV",IF('Data Export'!F2610="运动型多功能车","SUV","其他"))))</f>
        <v/>
      </c>
      <c r="K2610" s="62"/>
      <c r="L2610" s="62"/>
      <c r="M2610" s="62"/>
      <c r="N2610" s="62"/>
      <c r="O2610" s="62"/>
      <c r="P2610" s="62"/>
      <c r="Q2610" s="62"/>
    </row>
    <row r="2611" spans="1:17">
      <c r="A2611" s="62"/>
      <c r="B2611" s="62"/>
      <c r="C2611" s="62"/>
      <c r="D2611" s="62"/>
      <c r="E2611" s="62"/>
      <c r="F2611" s="62"/>
      <c r="G2611" s="62"/>
      <c r="H2611" s="62" t="str">
        <f>IF(AND('Data Export'!A2611=前十整体车型排名!$B$2,'Data Export'!B2611=前十整体车型排名!$B$3,'Data Export'!D2611&lt;&gt;""),UPPER('Data Export'!C2611)&amp;"♦"&amp;'Data Export'!D2611,"")</f>
        <v/>
      </c>
      <c r="I2611" s="63" t="str">
        <f>IF(H2611="","",IFERROR(INDEX('Data Export'!G2611:CZ2611,1,MATCH(前十整体车型排名!$B$4,'Data Export'!$G$1:$CZ$1,0)),0))</f>
        <v/>
      </c>
      <c r="J2611" s="62" t="str">
        <f>IF(H2611="","",IF(OR('Data Export'!F2611="三厢轿车",'Data Export'!F2611="掀背轿车",'Data Export'!F2611="旅行车",'Data Export'!F2611="微型车",'Data Export'!F2611="硬顶跑车",'Data Export'!F2611="敞蓬车",'Data Export'!F2611="Targa"),"轿车",IF(OR('Data Export'!F2611="小型MPV",'Data Export'!F2611="客车"),"MPV",IF('Data Export'!F2611="运动型多功能车","SUV","其他"))))</f>
        <v/>
      </c>
      <c r="K2611" s="62"/>
      <c r="L2611" s="62"/>
      <c r="M2611" s="62"/>
      <c r="N2611" s="62"/>
      <c r="O2611" s="62"/>
      <c r="P2611" s="62"/>
      <c r="Q2611" s="62"/>
    </row>
    <row r="2612" spans="1:17">
      <c r="A2612" s="62"/>
      <c r="B2612" s="62"/>
      <c r="C2612" s="62"/>
      <c r="D2612" s="62"/>
      <c r="E2612" s="62"/>
      <c r="F2612" s="62"/>
      <c r="G2612" s="62"/>
      <c r="H2612" s="62" t="str">
        <f>IF(AND('Data Export'!A2612=前十整体车型排名!$B$2,'Data Export'!B2612=前十整体车型排名!$B$3,'Data Export'!D2612&lt;&gt;""),UPPER('Data Export'!C2612)&amp;"♦"&amp;'Data Export'!D2612,"")</f>
        <v/>
      </c>
      <c r="I2612" s="63" t="str">
        <f>IF(H2612="","",IFERROR(INDEX('Data Export'!G2612:CZ2612,1,MATCH(前十整体车型排名!$B$4,'Data Export'!$G$1:$CZ$1,0)),0))</f>
        <v/>
      </c>
      <c r="J2612" s="62" t="str">
        <f>IF(H2612="","",IF(OR('Data Export'!F2612="三厢轿车",'Data Export'!F2612="掀背轿车",'Data Export'!F2612="旅行车",'Data Export'!F2612="微型车",'Data Export'!F2612="硬顶跑车",'Data Export'!F2612="敞蓬车",'Data Export'!F2612="Targa"),"轿车",IF(OR('Data Export'!F2612="小型MPV",'Data Export'!F2612="客车"),"MPV",IF('Data Export'!F2612="运动型多功能车","SUV","其他"))))</f>
        <v/>
      </c>
      <c r="K2612" s="62"/>
      <c r="L2612" s="62"/>
      <c r="M2612" s="62"/>
      <c r="N2612" s="62"/>
      <c r="O2612" s="62"/>
      <c r="P2612" s="62"/>
      <c r="Q2612" s="62"/>
    </row>
    <row r="2613" spans="1:17">
      <c r="A2613" s="62"/>
      <c r="B2613" s="62"/>
      <c r="C2613" s="62"/>
      <c r="D2613" s="62"/>
      <c r="E2613" s="62"/>
      <c r="F2613" s="62"/>
      <c r="G2613" s="62"/>
      <c r="H2613" s="62" t="str">
        <f>IF(AND('Data Export'!A2613=前十整体车型排名!$B$2,'Data Export'!B2613=前十整体车型排名!$B$3,'Data Export'!D2613&lt;&gt;""),UPPER('Data Export'!C2613)&amp;"♦"&amp;'Data Export'!D2613,"")</f>
        <v/>
      </c>
      <c r="I2613" s="63" t="str">
        <f>IF(H2613="","",IFERROR(INDEX('Data Export'!G2613:CZ2613,1,MATCH(前十整体车型排名!$B$4,'Data Export'!$G$1:$CZ$1,0)),0))</f>
        <v/>
      </c>
      <c r="J2613" s="62" t="str">
        <f>IF(H2613="","",IF(OR('Data Export'!F2613="三厢轿车",'Data Export'!F2613="掀背轿车",'Data Export'!F2613="旅行车",'Data Export'!F2613="微型车",'Data Export'!F2613="硬顶跑车",'Data Export'!F2613="敞蓬车",'Data Export'!F2613="Targa"),"轿车",IF(OR('Data Export'!F2613="小型MPV",'Data Export'!F2613="客车"),"MPV",IF('Data Export'!F2613="运动型多功能车","SUV","其他"))))</f>
        <v/>
      </c>
      <c r="K2613" s="62"/>
      <c r="L2613" s="62"/>
      <c r="M2613" s="62"/>
      <c r="N2613" s="62"/>
      <c r="O2613" s="62"/>
      <c r="P2613" s="62"/>
      <c r="Q2613" s="62"/>
    </row>
    <row r="2614" spans="1:17">
      <c r="A2614" s="62"/>
      <c r="B2614" s="62"/>
      <c r="C2614" s="62"/>
      <c r="D2614" s="62"/>
      <c r="E2614" s="62"/>
      <c r="F2614" s="62"/>
      <c r="G2614" s="62"/>
      <c r="H2614" s="62" t="str">
        <f>IF(AND('Data Export'!A2614=前十整体车型排名!$B$2,'Data Export'!B2614=前十整体车型排名!$B$3,'Data Export'!D2614&lt;&gt;""),UPPER('Data Export'!C2614)&amp;"♦"&amp;'Data Export'!D2614,"")</f>
        <v/>
      </c>
      <c r="I2614" s="63" t="str">
        <f>IF(H2614="","",IFERROR(INDEX('Data Export'!G2614:CZ2614,1,MATCH(前十整体车型排名!$B$4,'Data Export'!$G$1:$CZ$1,0)),0))</f>
        <v/>
      </c>
      <c r="J2614" s="62" t="str">
        <f>IF(H2614="","",IF(OR('Data Export'!F2614="三厢轿车",'Data Export'!F2614="掀背轿车",'Data Export'!F2614="旅行车",'Data Export'!F2614="微型车",'Data Export'!F2614="硬顶跑车",'Data Export'!F2614="敞蓬车",'Data Export'!F2614="Targa"),"轿车",IF(OR('Data Export'!F2614="小型MPV",'Data Export'!F2614="客车"),"MPV",IF('Data Export'!F2614="运动型多功能车","SUV","其他"))))</f>
        <v/>
      </c>
      <c r="K2614" s="62"/>
      <c r="L2614" s="62"/>
      <c r="M2614" s="62"/>
      <c r="N2614" s="62"/>
      <c r="O2614" s="62"/>
      <c r="P2614" s="62"/>
      <c r="Q2614" s="62"/>
    </row>
    <row r="2615" spans="1:17">
      <c r="A2615" s="62"/>
      <c r="B2615" s="62"/>
      <c r="C2615" s="62"/>
      <c r="D2615" s="62"/>
      <c r="E2615" s="62"/>
      <c r="F2615" s="62"/>
      <c r="G2615" s="62"/>
      <c r="H2615" s="62" t="str">
        <f>IF(AND('Data Export'!A2615=前十整体车型排名!$B$2,'Data Export'!B2615=前十整体车型排名!$B$3,'Data Export'!D2615&lt;&gt;""),UPPER('Data Export'!C2615)&amp;"♦"&amp;'Data Export'!D2615,"")</f>
        <v/>
      </c>
      <c r="I2615" s="63" t="str">
        <f>IF(H2615="","",IFERROR(INDEX('Data Export'!G2615:CZ2615,1,MATCH(前十整体车型排名!$B$4,'Data Export'!$G$1:$CZ$1,0)),0))</f>
        <v/>
      </c>
      <c r="J2615" s="62" t="str">
        <f>IF(H2615="","",IF(OR('Data Export'!F2615="三厢轿车",'Data Export'!F2615="掀背轿车",'Data Export'!F2615="旅行车",'Data Export'!F2615="微型车",'Data Export'!F2615="硬顶跑车",'Data Export'!F2615="敞蓬车",'Data Export'!F2615="Targa"),"轿车",IF(OR('Data Export'!F2615="小型MPV",'Data Export'!F2615="客车"),"MPV",IF('Data Export'!F2615="运动型多功能车","SUV","其他"))))</f>
        <v/>
      </c>
      <c r="K2615" s="62"/>
      <c r="L2615" s="62"/>
      <c r="M2615" s="62"/>
      <c r="N2615" s="62"/>
      <c r="O2615" s="62"/>
      <c r="P2615" s="62"/>
      <c r="Q2615" s="62"/>
    </row>
    <row r="2616" spans="1:17">
      <c r="A2616" s="62"/>
      <c r="B2616" s="62"/>
      <c r="C2616" s="62"/>
      <c r="D2616" s="62"/>
      <c r="E2616" s="62"/>
      <c r="F2616" s="62"/>
      <c r="G2616" s="62"/>
      <c r="H2616" s="62" t="str">
        <f>IF(AND('Data Export'!A2616=前十整体车型排名!$B$2,'Data Export'!B2616=前十整体车型排名!$B$3,'Data Export'!D2616&lt;&gt;""),UPPER('Data Export'!C2616)&amp;"♦"&amp;'Data Export'!D2616,"")</f>
        <v/>
      </c>
      <c r="I2616" s="63" t="str">
        <f>IF(H2616="","",IFERROR(INDEX('Data Export'!G2616:CZ2616,1,MATCH(前十整体车型排名!$B$4,'Data Export'!$G$1:$CZ$1,0)),0))</f>
        <v/>
      </c>
      <c r="J2616" s="62" t="str">
        <f>IF(H2616="","",IF(OR('Data Export'!F2616="三厢轿车",'Data Export'!F2616="掀背轿车",'Data Export'!F2616="旅行车",'Data Export'!F2616="微型车",'Data Export'!F2616="硬顶跑车",'Data Export'!F2616="敞蓬车",'Data Export'!F2616="Targa"),"轿车",IF(OR('Data Export'!F2616="小型MPV",'Data Export'!F2616="客车"),"MPV",IF('Data Export'!F2616="运动型多功能车","SUV","其他"))))</f>
        <v/>
      </c>
      <c r="K2616" s="62"/>
      <c r="L2616" s="62"/>
      <c r="M2616" s="62"/>
      <c r="N2616" s="62"/>
      <c r="O2616" s="62"/>
      <c r="P2616" s="62"/>
      <c r="Q2616" s="62"/>
    </row>
    <row r="2617" spans="1:17">
      <c r="A2617" s="62"/>
      <c r="B2617" s="62"/>
      <c r="C2617" s="62"/>
      <c r="D2617" s="62"/>
      <c r="E2617" s="62"/>
      <c r="F2617" s="62"/>
      <c r="G2617" s="62"/>
      <c r="H2617" s="62" t="str">
        <f>IF(AND('Data Export'!A2617=前十整体车型排名!$B$2,'Data Export'!B2617=前十整体车型排名!$B$3,'Data Export'!D2617&lt;&gt;""),UPPER('Data Export'!C2617)&amp;"♦"&amp;'Data Export'!D2617,"")</f>
        <v/>
      </c>
      <c r="I2617" s="63" t="str">
        <f>IF(H2617="","",IFERROR(INDEX('Data Export'!G2617:CZ2617,1,MATCH(前十整体车型排名!$B$4,'Data Export'!$G$1:$CZ$1,0)),0))</f>
        <v/>
      </c>
      <c r="J2617" s="62" t="str">
        <f>IF(H2617="","",IF(OR('Data Export'!F2617="三厢轿车",'Data Export'!F2617="掀背轿车",'Data Export'!F2617="旅行车",'Data Export'!F2617="微型车",'Data Export'!F2617="硬顶跑车",'Data Export'!F2617="敞蓬车",'Data Export'!F2617="Targa"),"轿车",IF(OR('Data Export'!F2617="小型MPV",'Data Export'!F2617="客车"),"MPV",IF('Data Export'!F2617="运动型多功能车","SUV","其他"))))</f>
        <v/>
      </c>
      <c r="K2617" s="62"/>
      <c r="L2617" s="62"/>
      <c r="M2617" s="62"/>
      <c r="N2617" s="62"/>
      <c r="O2617" s="62"/>
      <c r="P2617" s="62"/>
      <c r="Q2617" s="62"/>
    </row>
    <row r="2618" spans="1:17">
      <c r="A2618" s="62"/>
      <c r="B2618" s="62"/>
      <c r="C2618" s="62"/>
      <c r="D2618" s="62"/>
      <c r="E2618" s="62"/>
      <c r="F2618" s="62"/>
      <c r="G2618" s="62"/>
      <c r="H2618" s="62" t="str">
        <f>IF(AND('Data Export'!A2618=前十整体车型排名!$B$2,'Data Export'!B2618=前十整体车型排名!$B$3,'Data Export'!D2618&lt;&gt;""),UPPER('Data Export'!C2618)&amp;"♦"&amp;'Data Export'!D2618,"")</f>
        <v/>
      </c>
      <c r="I2618" s="63" t="str">
        <f>IF(H2618="","",IFERROR(INDEX('Data Export'!G2618:CZ2618,1,MATCH(前十整体车型排名!$B$4,'Data Export'!$G$1:$CZ$1,0)),0))</f>
        <v/>
      </c>
      <c r="J2618" s="62" t="str">
        <f>IF(H2618="","",IF(OR('Data Export'!F2618="三厢轿车",'Data Export'!F2618="掀背轿车",'Data Export'!F2618="旅行车",'Data Export'!F2618="微型车",'Data Export'!F2618="硬顶跑车",'Data Export'!F2618="敞蓬车",'Data Export'!F2618="Targa"),"轿车",IF(OR('Data Export'!F2618="小型MPV",'Data Export'!F2618="客车"),"MPV",IF('Data Export'!F2618="运动型多功能车","SUV","其他"))))</f>
        <v/>
      </c>
      <c r="K2618" s="62"/>
      <c r="L2618" s="62"/>
      <c r="M2618" s="62"/>
      <c r="N2618" s="62"/>
      <c r="O2618" s="62"/>
      <c r="P2618" s="62"/>
      <c r="Q2618" s="62"/>
    </row>
    <row r="2619" spans="1:17">
      <c r="A2619" s="62"/>
      <c r="B2619" s="62"/>
      <c r="C2619" s="62"/>
      <c r="D2619" s="62"/>
      <c r="E2619" s="62"/>
      <c r="F2619" s="62"/>
      <c r="G2619" s="62"/>
      <c r="H2619" s="62" t="str">
        <f>IF(AND('Data Export'!A2619=前十整体车型排名!$B$2,'Data Export'!B2619=前十整体车型排名!$B$3,'Data Export'!D2619&lt;&gt;""),UPPER('Data Export'!C2619)&amp;"♦"&amp;'Data Export'!D2619,"")</f>
        <v/>
      </c>
      <c r="I2619" s="63" t="str">
        <f>IF(H2619="","",IFERROR(INDEX('Data Export'!G2619:CZ2619,1,MATCH(前十整体车型排名!$B$4,'Data Export'!$G$1:$CZ$1,0)),0))</f>
        <v/>
      </c>
      <c r="J2619" s="62" t="str">
        <f>IF(H2619="","",IF(OR('Data Export'!F2619="三厢轿车",'Data Export'!F2619="掀背轿车",'Data Export'!F2619="旅行车",'Data Export'!F2619="微型车",'Data Export'!F2619="硬顶跑车",'Data Export'!F2619="敞蓬车",'Data Export'!F2619="Targa"),"轿车",IF(OR('Data Export'!F2619="小型MPV",'Data Export'!F2619="客车"),"MPV",IF('Data Export'!F2619="运动型多功能车","SUV","其他"))))</f>
        <v/>
      </c>
      <c r="K2619" s="62"/>
      <c r="L2619" s="62"/>
      <c r="M2619" s="62"/>
      <c r="N2619" s="62"/>
      <c r="O2619" s="62"/>
      <c r="P2619" s="62"/>
      <c r="Q2619" s="62"/>
    </row>
    <row r="2620" spans="1:17">
      <c r="A2620" s="62"/>
      <c r="B2620" s="62"/>
      <c r="C2620" s="62"/>
      <c r="D2620" s="62"/>
      <c r="E2620" s="62"/>
      <c r="F2620" s="62"/>
      <c r="G2620" s="62"/>
      <c r="H2620" s="62" t="str">
        <f>IF(AND('Data Export'!A2620=前十整体车型排名!$B$2,'Data Export'!B2620=前十整体车型排名!$B$3,'Data Export'!D2620&lt;&gt;""),UPPER('Data Export'!C2620)&amp;"♦"&amp;'Data Export'!D2620,"")</f>
        <v/>
      </c>
      <c r="I2620" s="63" t="str">
        <f>IF(H2620="","",IFERROR(INDEX('Data Export'!G2620:CZ2620,1,MATCH(前十整体车型排名!$B$4,'Data Export'!$G$1:$CZ$1,0)),0))</f>
        <v/>
      </c>
      <c r="J2620" s="62" t="str">
        <f>IF(H2620="","",IF(OR('Data Export'!F2620="三厢轿车",'Data Export'!F2620="掀背轿车",'Data Export'!F2620="旅行车",'Data Export'!F2620="微型车",'Data Export'!F2620="硬顶跑车",'Data Export'!F2620="敞蓬车",'Data Export'!F2620="Targa"),"轿车",IF(OR('Data Export'!F2620="小型MPV",'Data Export'!F2620="客车"),"MPV",IF('Data Export'!F2620="运动型多功能车","SUV","其他"))))</f>
        <v/>
      </c>
      <c r="K2620" s="62"/>
      <c r="L2620" s="62"/>
      <c r="M2620" s="62"/>
      <c r="N2620" s="62"/>
      <c r="O2620" s="62"/>
      <c r="P2620" s="62"/>
      <c r="Q2620" s="62"/>
    </row>
    <row r="2621" spans="1:17">
      <c r="A2621" s="62"/>
      <c r="B2621" s="62"/>
      <c r="C2621" s="62"/>
      <c r="D2621" s="62"/>
      <c r="E2621" s="62"/>
      <c r="F2621" s="62"/>
      <c r="G2621" s="62"/>
      <c r="H2621" s="62" t="str">
        <f>IF(AND('Data Export'!A2621=前十整体车型排名!$B$2,'Data Export'!B2621=前十整体车型排名!$B$3,'Data Export'!D2621&lt;&gt;""),UPPER('Data Export'!C2621)&amp;"♦"&amp;'Data Export'!D2621,"")</f>
        <v/>
      </c>
      <c r="I2621" s="63" t="str">
        <f>IF(H2621="","",IFERROR(INDEX('Data Export'!G2621:CZ2621,1,MATCH(前十整体车型排名!$B$4,'Data Export'!$G$1:$CZ$1,0)),0))</f>
        <v/>
      </c>
      <c r="J2621" s="62" t="str">
        <f>IF(H2621="","",IF(OR('Data Export'!F2621="三厢轿车",'Data Export'!F2621="掀背轿车",'Data Export'!F2621="旅行车",'Data Export'!F2621="微型车",'Data Export'!F2621="硬顶跑车",'Data Export'!F2621="敞蓬车",'Data Export'!F2621="Targa"),"轿车",IF(OR('Data Export'!F2621="小型MPV",'Data Export'!F2621="客车"),"MPV",IF('Data Export'!F2621="运动型多功能车","SUV","其他"))))</f>
        <v/>
      </c>
      <c r="K2621" s="62"/>
      <c r="L2621" s="62"/>
      <c r="M2621" s="62"/>
      <c r="N2621" s="62"/>
      <c r="O2621" s="62"/>
      <c r="P2621" s="62"/>
      <c r="Q2621" s="62"/>
    </row>
    <row r="2622" spans="1:17">
      <c r="A2622" s="62"/>
      <c r="B2622" s="62"/>
      <c r="C2622" s="62"/>
      <c r="D2622" s="62"/>
      <c r="E2622" s="62"/>
      <c r="F2622" s="62"/>
      <c r="G2622" s="62"/>
      <c r="H2622" s="62" t="str">
        <f>IF(AND('Data Export'!A2622=前十整体车型排名!$B$2,'Data Export'!B2622=前十整体车型排名!$B$3,'Data Export'!D2622&lt;&gt;""),UPPER('Data Export'!C2622)&amp;"♦"&amp;'Data Export'!D2622,"")</f>
        <v/>
      </c>
      <c r="I2622" s="63" t="str">
        <f>IF(H2622="","",IFERROR(INDEX('Data Export'!G2622:CZ2622,1,MATCH(前十整体车型排名!$B$4,'Data Export'!$G$1:$CZ$1,0)),0))</f>
        <v/>
      </c>
      <c r="J2622" s="62" t="str">
        <f>IF(H2622="","",IF(OR('Data Export'!F2622="三厢轿车",'Data Export'!F2622="掀背轿车",'Data Export'!F2622="旅行车",'Data Export'!F2622="微型车",'Data Export'!F2622="硬顶跑车",'Data Export'!F2622="敞蓬车",'Data Export'!F2622="Targa"),"轿车",IF(OR('Data Export'!F2622="小型MPV",'Data Export'!F2622="客车"),"MPV",IF('Data Export'!F2622="运动型多功能车","SUV","其他"))))</f>
        <v/>
      </c>
      <c r="K2622" s="62"/>
      <c r="L2622" s="62"/>
      <c r="M2622" s="62"/>
      <c r="N2622" s="62"/>
      <c r="O2622" s="62"/>
      <c r="P2622" s="62"/>
      <c r="Q2622" s="62"/>
    </row>
    <row r="2623" spans="1:17">
      <c r="A2623" s="62"/>
      <c r="B2623" s="62"/>
      <c r="C2623" s="62"/>
      <c r="D2623" s="62"/>
      <c r="E2623" s="62"/>
      <c r="F2623" s="62"/>
      <c r="G2623" s="62"/>
      <c r="H2623" s="62" t="str">
        <f>IF(AND('Data Export'!A2623=前十整体车型排名!$B$2,'Data Export'!B2623=前十整体车型排名!$B$3,'Data Export'!D2623&lt;&gt;""),UPPER('Data Export'!C2623)&amp;"♦"&amp;'Data Export'!D2623,"")</f>
        <v/>
      </c>
      <c r="I2623" s="63" t="str">
        <f>IF(H2623="","",IFERROR(INDEX('Data Export'!G2623:CZ2623,1,MATCH(前十整体车型排名!$B$4,'Data Export'!$G$1:$CZ$1,0)),0))</f>
        <v/>
      </c>
      <c r="J2623" s="62" t="str">
        <f>IF(H2623="","",IF(OR('Data Export'!F2623="三厢轿车",'Data Export'!F2623="掀背轿车",'Data Export'!F2623="旅行车",'Data Export'!F2623="微型车",'Data Export'!F2623="硬顶跑车",'Data Export'!F2623="敞蓬车",'Data Export'!F2623="Targa"),"轿车",IF(OR('Data Export'!F2623="小型MPV",'Data Export'!F2623="客车"),"MPV",IF('Data Export'!F2623="运动型多功能车","SUV","其他"))))</f>
        <v/>
      </c>
      <c r="K2623" s="62"/>
      <c r="L2623" s="62"/>
      <c r="M2623" s="62"/>
      <c r="N2623" s="62"/>
      <c r="O2623" s="62"/>
      <c r="P2623" s="62"/>
      <c r="Q2623" s="62"/>
    </row>
    <row r="2624" spans="1:17">
      <c r="A2624" s="62"/>
      <c r="B2624" s="62"/>
      <c r="C2624" s="62"/>
      <c r="D2624" s="62"/>
      <c r="E2624" s="62"/>
      <c r="F2624" s="62"/>
      <c r="G2624" s="62"/>
      <c r="H2624" s="62" t="str">
        <f>IF(AND('Data Export'!A2624=前十整体车型排名!$B$2,'Data Export'!B2624=前十整体车型排名!$B$3,'Data Export'!D2624&lt;&gt;""),UPPER('Data Export'!C2624)&amp;"♦"&amp;'Data Export'!D2624,"")</f>
        <v/>
      </c>
      <c r="I2624" s="63" t="str">
        <f>IF(H2624="","",IFERROR(INDEX('Data Export'!G2624:CZ2624,1,MATCH(前十整体车型排名!$B$4,'Data Export'!$G$1:$CZ$1,0)),0))</f>
        <v/>
      </c>
      <c r="J2624" s="62" t="str">
        <f>IF(H2624="","",IF(OR('Data Export'!F2624="三厢轿车",'Data Export'!F2624="掀背轿车",'Data Export'!F2624="旅行车",'Data Export'!F2624="微型车",'Data Export'!F2624="硬顶跑车",'Data Export'!F2624="敞蓬车",'Data Export'!F2624="Targa"),"轿车",IF(OR('Data Export'!F2624="小型MPV",'Data Export'!F2624="客车"),"MPV",IF('Data Export'!F2624="运动型多功能车","SUV","其他"))))</f>
        <v/>
      </c>
      <c r="K2624" s="62"/>
      <c r="L2624" s="62"/>
      <c r="M2624" s="62"/>
      <c r="N2624" s="62"/>
      <c r="O2624" s="62"/>
      <c r="P2624" s="62"/>
      <c r="Q2624" s="62"/>
    </row>
    <row r="2625" spans="1:17">
      <c r="A2625" s="62"/>
      <c r="B2625" s="62"/>
      <c r="C2625" s="62"/>
      <c r="D2625" s="62"/>
      <c r="E2625" s="62"/>
      <c r="F2625" s="62"/>
      <c r="G2625" s="62"/>
      <c r="H2625" s="62" t="str">
        <f>IF(AND('Data Export'!A2625=前十整体车型排名!$B$2,'Data Export'!B2625=前十整体车型排名!$B$3,'Data Export'!D2625&lt;&gt;""),UPPER('Data Export'!C2625)&amp;"♦"&amp;'Data Export'!D2625,"")</f>
        <v/>
      </c>
      <c r="I2625" s="63" t="str">
        <f>IF(H2625="","",IFERROR(INDEX('Data Export'!G2625:CZ2625,1,MATCH(前十整体车型排名!$B$4,'Data Export'!$G$1:$CZ$1,0)),0))</f>
        <v/>
      </c>
      <c r="J2625" s="62" t="str">
        <f>IF(H2625="","",IF(OR('Data Export'!F2625="三厢轿车",'Data Export'!F2625="掀背轿车",'Data Export'!F2625="旅行车",'Data Export'!F2625="微型车",'Data Export'!F2625="硬顶跑车",'Data Export'!F2625="敞蓬车",'Data Export'!F2625="Targa"),"轿车",IF(OR('Data Export'!F2625="小型MPV",'Data Export'!F2625="客车"),"MPV",IF('Data Export'!F2625="运动型多功能车","SUV","其他"))))</f>
        <v/>
      </c>
      <c r="K2625" s="62"/>
      <c r="L2625" s="62"/>
      <c r="M2625" s="62"/>
      <c r="N2625" s="62"/>
      <c r="O2625" s="62"/>
      <c r="P2625" s="62"/>
      <c r="Q2625" s="62"/>
    </row>
    <row r="2626" spans="1:17">
      <c r="A2626" s="62"/>
      <c r="B2626" s="62"/>
      <c r="C2626" s="62"/>
      <c r="D2626" s="62"/>
      <c r="E2626" s="62"/>
      <c r="F2626" s="62"/>
      <c r="G2626" s="62"/>
      <c r="H2626" s="62" t="str">
        <f>IF(AND('Data Export'!A2626=前十整体车型排名!$B$2,'Data Export'!B2626=前十整体车型排名!$B$3,'Data Export'!D2626&lt;&gt;""),UPPER('Data Export'!C2626)&amp;"♦"&amp;'Data Export'!D2626,"")</f>
        <v/>
      </c>
      <c r="I2626" s="63" t="str">
        <f>IF(H2626="","",IFERROR(INDEX('Data Export'!G2626:CZ2626,1,MATCH(前十整体车型排名!$B$4,'Data Export'!$G$1:$CZ$1,0)),0))</f>
        <v/>
      </c>
      <c r="J2626" s="62" t="str">
        <f>IF(H2626="","",IF(OR('Data Export'!F2626="三厢轿车",'Data Export'!F2626="掀背轿车",'Data Export'!F2626="旅行车",'Data Export'!F2626="微型车",'Data Export'!F2626="硬顶跑车",'Data Export'!F2626="敞蓬车",'Data Export'!F2626="Targa"),"轿车",IF(OR('Data Export'!F2626="小型MPV",'Data Export'!F2626="客车"),"MPV",IF('Data Export'!F2626="运动型多功能车","SUV","其他"))))</f>
        <v/>
      </c>
      <c r="K2626" s="62"/>
      <c r="L2626" s="62"/>
      <c r="M2626" s="62"/>
      <c r="N2626" s="62"/>
      <c r="O2626" s="62"/>
      <c r="P2626" s="62"/>
      <c r="Q2626" s="62"/>
    </row>
    <row r="2627" spans="1:17">
      <c r="A2627" s="62"/>
      <c r="B2627" s="62"/>
      <c r="C2627" s="62"/>
      <c r="D2627" s="62"/>
      <c r="E2627" s="62"/>
      <c r="F2627" s="62"/>
      <c r="G2627" s="62"/>
      <c r="H2627" s="62" t="str">
        <f>IF(AND('Data Export'!A2627=前十整体车型排名!$B$2,'Data Export'!B2627=前十整体车型排名!$B$3,'Data Export'!D2627&lt;&gt;""),UPPER('Data Export'!C2627)&amp;"♦"&amp;'Data Export'!D2627,"")</f>
        <v/>
      </c>
      <c r="I2627" s="63" t="str">
        <f>IF(H2627="","",IFERROR(INDEX('Data Export'!G2627:CZ2627,1,MATCH(前十整体车型排名!$B$4,'Data Export'!$G$1:$CZ$1,0)),0))</f>
        <v/>
      </c>
      <c r="J2627" s="62" t="str">
        <f>IF(H2627="","",IF(OR('Data Export'!F2627="三厢轿车",'Data Export'!F2627="掀背轿车",'Data Export'!F2627="旅行车",'Data Export'!F2627="微型车",'Data Export'!F2627="硬顶跑车",'Data Export'!F2627="敞蓬车",'Data Export'!F2627="Targa"),"轿车",IF(OR('Data Export'!F2627="小型MPV",'Data Export'!F2627="客车"),"MPV",IF('Data Export'!F2627="运动型多功能车","SUV","其他"))))</f>
        <v/>
      </c>
      <c r="K2627" s="62"/>
      <c r="L2627" s="62"/>
      <c r="M2627" s="62"/>
      <c r="N2627" s="62"/>
      <c r="O2627" s="62"/>
      <c r="P2627" s="62"/>
      <c r="Q2627" s="62"/>
    </row>
    <row r="2628" spans="1:17">
      <c r="A2628" s="62"/>
      <c r="B2628" s="62"/>
      <c r="C2628" s="62"/>
      <c r="D2628" s="62"/>
      <c r="E2628" s="62"/>
      <c r="F2628" s="62"/>
      <c r="G2628" s="62"/>
      <c r="H2628" s="62" t="str">
        <f>IF(AND('Data Export'!A2628=前十整体车型排名!$B$2,'Data Export'!B2628=前十整体车型排名!$B$3,'Data Export'!D2628&lt;&gt;""),UPPER('Data Export'!C2628)&amp;"♦"&amp;'Data Export'!D2628,"")</f>
        <v/>
      </c>
      <c r="I2628" s="63" t="str">
        <f>IF(H2628="","",IFERROR(INDEX('Data Export'!G2628:CZ2628,1,MATCH(前十整体车型排名!$B$4,'Data Export'!$G$1:$CZ$1,0)),0))</f>
        <v/>
      </c>
      <c r="J2628" s="62" t="str">
        <f>IF(H2628="","",IF(OR('Data Export'!F2628="三厢轿车",'Data Export'!F2628="掀背轿车",'Data Export'!F2628="旅行车",'Data Export'!F2628="微型车",'Data Export'!F2628="硬顶跑车",'Data Export'!F2628="敞蓬车",'Data Export'!F2628="Targa"),"轿车",IF(OR('Data Export'!F2628="小型MPV",'Data Export'!F2628="客车"),"MPV",IF('Data Export'!F2628="运动型多功能车","SUV","其他"))))</f>
        <v/>
      </c>
      <c r="K2628" s="62"/>
      <c r="L2628" s="62"/>
      <c r="M2628" s="62"/>
      <c r="N2628" s="62"/>
      <c r="O2628" s="62"/>
      <c r="P2628" s="62"/>
      <c r="Q2628" s="62"/>
    </row>
    <row r="2629" spans="1:17">
      <c r="A2629" s="62"/>
      <c r="B2629" s="62"/>
      <c r="C2629" s="62"/>
      <c r="D2629" s="62"/>
      <c r="E2629" s="62"/>
      <c r="F2629" s="62"/>
      <c r="G2629" s="62"/>
      <c r="H2629" s="62" t="str">
        <f>IF(AND('Data Export'!A2629=前十整体车型排名!$B$2,'Data Export'!B2629=前十整体车型排名!$B$3,'Data Export'!D2629&lt;&gt;""),UPPER('Data Export'!C2629)&amp;"♦"&amp;'Data Export'!D2629,"")</f>
        <v/>
      </c>
      <c r="I2629" s="63" t="str">
        <f>IF(H2629="","",IFERROR(INDEX('Data Export'!G2629:CZ2629,1,MATCH(前十整体车型排名!$B$4,'Data Export'!$G$1:$CZ$1,0)),0))</f>
        <v/>
      </c>
      <c r="J2629" s="62" t="str">
        <f>IF(H2629="","",IF(OR('Data Export'!F2629="三厢轿车",'Data Export'!F2629="掀背轿车",'Data Export'!F2629="旅行车",'Data Export'!F2629="微型车",'Data Export'!F2629="硬顶跑车",'Data Export'!F2629="敞蓬车",'Data Export'!F2629="Targa"),"轿车",IF(OR('Data Export'!F2629="小型MPV",'Data Export'!F2629="客车"),"MPV",IF('Data Export'!F2629="运动型多功能车","SUV","其他"))))</f>
        <v/>
      </c>
      <c r="K2629" s="62"/>
      <c r="L2629" s="62"/>
      <c r="M2629" s="62"/>
      <c r="N2629" s="62"/>
      <c r="O2629" s="62"/>
      <c r="P2629" s="62"/>
      <c r="Q2629" s="62"/>
    </row>
    <row r="2630" spans="1:17">
      <c r="A2630" s="62"/>
      <c r="B2630" s="62"/>
      <c r="C2630" s="62"/>
      <c r="D2630" s="62"/>
      <c r="E2630" s="62"/>
      <c r="F2630" s="62"/>
      <c r="G2630" s="62"/>
      <c r="H2630" s="62" t="str">
        <f>IF(AND('Data Export'!A2630=前十整体车型排名!$B$2,'Data Export'!B2630=前十整体车型排名!$B$3,'Data Export'!D2630&lt;&gt;""),UPPER('Data Export'!C2630)&amp;"♦"&amp;'Data Export'!D2630,"")</f>
        <v/>
      </c>
      <c r="I2630" s="63" t="str">
        <f>IF(H2630="","",IFERROR(INDEX('Data Export'!G2630:CZ2630,1,MATCH(前十整体车型排名!$B$4,'Data Export'!$G$1:$CZ$1,0)),0))</f>
        <v/>
      </c>
      <c r="J2630" s="62" t="str">
        <f>IF(H2630="","",IF(OR('Data Export'!F2630="三厢轿车",'Data Export'!F2630="掀背轿车",'Data Export'!F2630="旅行车",'Data Export'!F2630="微型车",'Data Export'!F2630="硬顶跑车",'Data Export'!F2630="敞蓬车",'Data Export'!F2630="Targa"),"轿车",IF(OR('Data Export'!F2630="小型MPV",'Data Export'!F2630="客车"),"MPV",IF('Data Export'!F2630="运动型多功能车","SUV","其他"))))</f>
        <v/>
      </c>
      <c r="K2630" s="62"/>
      <c r="L2630" s="62"/>
      <c r="M2630" s="62"/>
      <c r="N2630" s="62"/>
      <c r="O2630" s="62"/>
      <c r="P2630" s="62"/>
      <c r="Q2630" s="62"/>
    </row>
    <row r="2631" spans="1:17">
      <c r="A2631" s="62"/>
      <c r="B2631" s="62"/>
      <c r="C2631" s="62"/>
      <c r="D2631" s="62"/>
      <c r="E2631" s="62"/>
      <c r="F2631" s="62"/>
      <c r="G2631" s="62"/>
      <c r="H2631" s="62" t="str">
        <f>IF(AND('Data Export'!A2631=前十整体车型排名!$B$2,'Data Export'!B2631=前十整体车型排名!$B$3,'Data Export'!D2631&lt;&gt;""),UPPER('Data Export'!C2631)&amp;"♦"&amp;'Data Export'!D2631,"")</f>
        <v/>
      </c>
      <c r="I2631" s="63" t="str">
        <f>IF(H2631="","",IFERROR(INDEX('Data Export'!G2631:CZ2631,1,MATCH(前十整体车型排名!$B$4,'Data Export'!$G$1:$CZ$1,0)),0))</f>
        <v/>
      </c>
      <c r="J2631" s="62" t="str">
        <f>IF(H2631="","",IF(OR('Data Export'!F2631="三厢轿车",'Data Export'!F2631="掀背轿车",'Data Export'!F2631="旅行车",'Data Export'!F2631="微型车",'Data Export'!F2631="硬顶跑车",'Data Export'!F2631="敞蓬车",'Data Export'!F2631="Targa"),"轿车",IF(OR('Data Export'!F2631="小型MPV",'Data Export'!F2631="客车"),"MPV",IF('Data Export'!F2631="运动型多功能车","SUV","其他"))))</f>
        <v/>
      </c>
      <c r="K2631" s="62"/>
      <c r="L2631" s="62"/>
      <c r="M2631" s="62"/>
      <c r="N2631" s="62"/>
      <c r="O2631" s="62"/>
      <c r="P2631" s="62"/>
      <c r="Q2631" s="62"/>
    </row>
    <row r="2632" spans="1:17">
      <c r="A2632" s="62"/>
      <c r="B2632" s="62"/>
      <c r="C2632" s="62"/>
      <c r="D2632" s="62"/>
      <c r="E2632" s="62"/>
      <c r="F2632" s="62"/>
      <c r="G2632" s="62"/>
      <c r="H2632" s="62" t="str">
        <f>IF(AND('Data Export'!A2632=前十整体车型排名!$B$2,'Data Export'!B2632=前十整体车型排名!$B$3,'Data Export'!D2632&lt;&gt;""),UPPER('Data Export'!C2632)&amp;"♦"&amp;'Data Export'!D2632,"")</f>
        <v/>
      </c>
      <c r="I2632" s="63" t="str">
        <f>IF(H2632="","",IFERROR(INDEX('Data Export'!G2632:CZ2632,1,MATCH(前十整体车型排名!$B$4,'Data Export'!$G$1:$CZ$1,0)),0))</f>
        <v/>
      </c>
      <c r="J2632" s="62" t="str">
        <f>IF(H2632="","",IF(OR('Data Export'!F2632="三厢轿车",'Data Export'!F2632="掀背轿车",'Data Export'!F2632="旅行车",'Data Export'!F2632="微型车",'Data Export'!F2632="硬顶跑车",'Data Export'!F2632="敞蓬车",'Data Export'!F2632="Targa"),"轿车",IF(OR('Data Export'!F2632="小型MPV",'Data Export'!F2632="客车"),"MPV",IF('Data Export'!F2632="运动型多功能车","SUV","其他"))))</f>
        <v/>
      </c>
      <c r="K2632" s="62"/>
      <c r="L2632" s="62"/>
      <c r="M2632" s="62"/>
      <c r="N2632" s="62"/>
      <c r="O2632" s="62"/>
      <c r="P2632" s="62"/>
      <c r="Q2632" s="62"/>
    </row>
    <row r="2633" spans="1:17">
      <c r="A2633" s="62"/>
      <c r="B2633" s="62"/>
      <c r="C2633" s="62"/>
      <c r="D2633" s="62"/>
      <c r="E2633" s="62"/>
      <c r="F2633" s="62"/>
      <c r="G2633" s="62"/>
      <c r="H2633" s="62" t="str">
        <f>IF(AND('Data Export'!A2633=前十整体车型排名!$B$2,'Data Export'!B2633=前十整体车型排名!$B$3,'Data Export'!D2633&lt;&gt;""),UPPER('Data Export'!C2633)&amp;"♦"&amp;'Data Export'!D2633,"")</f>
        <v/>
      </c>
      <c r="I2633" s="63" t="str">
        <f>IF(H2633="","",IFERROR(INDEX('Data Export'!G2633:CZ2633,1,MATCH(前十整体车型排名!$B$4,'Data Export'!$G$1:$CZ$1,0)),0))</f>
        <v/>
      </c>
      <c r="J2633" s="62" t="str">
        <f>IF(H2633="","",IF(OR('Data Export'!F2633="三厢轿车",'Data Export'!F2633="掀背轿车",'Data Export'!F2633="旅行车",'Data Export'!F2633="微型车",'Data Export'!F2633="硬顶跑车",'Data Export'!F2633="敞蓬车",'Data Export'!F2633="Targa"),"轿车",IF(OR('Data Export'!F2633="小型MPV",'Data Export'!F2633="客车"),"MPV",IF('Data Export'!F2633="运动型多功能车","SUV","其他"))))</f>
        <v/>
      </c>
      <c r="K2633" s="62"/>
      <c r="L2633" s="62"/>
      <c r="M2633" s="62"/>
      <c r="N2633" s="62"/>
      <c r="O2633" s="62"/>
      <c r="P2633" s="62"/>
      <c r="Q2633" s="62"/>
    </row>
    <row r="2634" spans="1:17">
      <c r="A2634" s="62"/>
      <c r="B2634" s="62"/>
      <c r="C2634" s="62"/>
      <c r="D2634" s="62"/>
      <c r="E2634" s="62"/>
      <c r="F2634" s="62"/>
      <c r="G2634" s="62"/>
      <c r="H2634" s="62" t="str">
        <f>IF(AND('Data Export'!A2634=前十整体车型排名!$B$2,'Data Export'!B2634=前十整体车型排名!$B$3,'Data Export'!D2634&lt;&gt;""),UPPER('Data Export'!C2634)&amp;"♦"&amp;'Data Export'!D2634,"")</f>
        <v/>
      </c>
      <c r="I2634" s="63" t="str">
        <f>IF(H2634="","",IFERROR(INDEX('Data Export'!G2634:CZ2634,1,MATCH(前十整体车型排名!$B$4,'Data Export'!$G$1:$CZ$1,0)),0))</f>
        <v/>
      </c>
      <c r="J2634" s="62" t="str">
        <f>IF(H2634="","",IF(OR('Data Export'!F2634="三厢轿车",'Data Export'!F2634="掀背轿车",'Data Export'!F2634="旅行车",'Data Export'!F2634="微型车",'Data Export'!F2634="硬顶跑车",'Data Export'!F2634="敞蓬车",'Data Export'!F2634="Targa"),"轿车",IF(OR('Data Export'!F2634="小型MPV",'Data Export'!F2634="客车"),"MPV",IF('Data Export'!F2634="运动型多功能车","SUV","其他"))))</f>
        <v/>
      </c>
      <c r="K2634" s="62"/>
      <c r="L2634" s="62"/>
      <c r="M2634" s="62"/>
      <c r="N2634" s="62"/>
      <c r="O2634" s="62"/>
      <c r="P2634" s="62"/>
      <c r="Q2634" s="62"/>
    </row>
    <row r="2635" spans="1:17">
      <c r="A2635" s="62"/>
      <c r="B2635" s="62"/>
      <c r="C2635" s="62"/>
      <c r="D2635" s="62"/>
      <c r="E2635" s="62"/>
      <c r="F2635" s="62"/>
      <c r="G2635" s="62"/>
      <c r="H2635" s="62" t="str">
        <f>IF(AND('Data Export'!A2635=前十整体车型排名!$B$2,'Data Export'!B2635=前十整体车型排名!$B$3,'Data Export'!D2635&lt;&gt;""),UPPER('Data Export'!C2635)&amp;"♦"&amp;'Data Export'!D2635,"")</f>
        <v/>
      </c>
      <c r="I2635" s="63" t="str">
        <f>IF(H2635="","",IFERROR(INDEX('Data Export'!G2635:CZ2635,1,MATCH(前十整体车型排名!$B$4,'Data Export'!$G$1:$CZ$1,0)),0))</f>
        <v/>
      </c>
      <c r="J2635" s="62" t="str">
        <f>IF(H2635="","",IF(OR('Data Export'!F2635="三厢轿车",'Data Export'!F2635="掀背轿车",'Data Export'!F2635="旅行车",'Data Export'!F2635="微型车",'Data Export'!F2635="硬顶跑车",'Data Export'!F2635="敞蓬车",'Data Export'!F2635="Targa"),"轿车",IF(OR('Data Export'!F2635="小型MPV",'Data Export'!F2635="客车"),"MPV",IF('Data Export'!F2635="运动型多功能车","SUV","其他"))))</f>
        <v/>
      </c>
      <c r="K2635" s="62"/>
      <c r="L2635" s="62"/>
      <c r="M2635" s="62"/>
      <c r="N2635" s="62"/>
      <c r="O2635" s="62"/>
      <c r="P2635" s="62"/>
      <c r="Q2635" s="62"/>
    </row>
    <row r="2636" spans="1:17">
      <c r="A2636" s="62"/>
      <c r="B2636" s="62"/>
      <c r="C2636" s="62"/>
      <c r="D2636" s="62"/>
      <c r="E2636" s="62"/>
      <c r="F2636" s="62"/>
      <c r="G2636" s="62"/>
      <c r="H2636" s="62" t="str">
        <f>IF(AND('Data Export'!A2636=前十整体车型排名!$B$2,'Data Export'!B2636=前十整体车型排名!$B$3,'Data Export'!D2636&lt;&gt;""),UPPER('Data Export'!C2636)&amp;"♦"&amp;'Data Export'!D2636,"")</f>
        <v/>
      </c>
      <c r="I2636" s="63" t="str">
        <f>IF(H2636="","",IFERROR(INDEX('Data Export'!G2636:CZ2636,1,MATCH(前十整体车型排名!$B$4,'Data Export'!$G$1:$CZ$1,0)),0))</f>
        <v/>
      </c>
      <c r="J2636" s="62" t="str">
        <f>IF(H2636="","",IF(OR('Data Export'!F2636="三厢轿车",'Data Export'!F2636="掀背轿车",'Data Export'!F2636="旅行车",'Data Export'!F2636="微型车",'Data Export'!F2636="硬顶跑车",'Data Export'!F2636="敞蓬车",'Data Export'!F2636="Targa"),"轿车",IF(OR('Data Export'!F2636="小型MPV",'Data Export'!F2636="客车"),"MPV",IF('Data Export'!F2636="运动型多功能车","SUV","其他"))))</f>
        <v/>
      </c>
      <c r="K2636" s="62"/>
      <c r="L2636" s="62"/>
      <c r="M2636" s="62"/>
      <c r="N2636" s="62"/>
      <c r="O2636" s="62"/>
      <c r="P2636" s="62"/>
      <c r="Q2636" s="62"/>
    </row>
    <row r="2637" spans="1:17">
      <c r="A2637" s="62"/>
      <c r="B2637" s="62"/>
      <c r="C2637" s="62"/>
      <c r="D2637" s="62"/>
      <c r="E2637" s="62"/>
      <c r="F2637" s="62"/>
      <c r="G2637" s="62"/>
      <c r="H2637" s="62" t="str">
        <f>IF(AND('Data Export'!A2637=前十整体车型排名!$B$2,'Data Export'!B2637=前十整体车型排名!$B$3,'Data Export'!D2637&lt;&gt;""),UPPER('Data Export'!C2637)&amp;"♦"&amp;'Data Export'!D2637,"")</f>
        <v/>
      </c>
      <c r="I2637" s="63" t="str">
        <f>IF(H2637="","",IFERROR(INDEX('Data Export'!G2637:CZ2637,1,MATCH(前十整体车型排名!$B$4,'Data Export'!$G$1:$CZ$1,0)),0))</f>
        <v/>
      </c>
      <c r="J2637" s="62" t="str">
        <f>IF(H2637="","",IF(OR('Data Export'!F2637="三厢轿车",'Data Export'!F2637="掀背轿车",'Data Export'!F2637="旅行车",'Data Export'!F2637="微型车",'Data Export'!F2637="硬顶跑车",'Data Export'!F2637="敞蓬车",'Data Export'!F2637="Targa"),"轿车",IF(OR('Data Export'!F2637="小型MPV",'Data Export'!F2637="客车"),"MPV",IF('Data Export'!F2637="运动型多功能车","SUV","其他"))))</f>
        <v/>
      </c>
      <c r="K2637" s="62"/>
      <c r="L2637" s="62"/>
      <c r="M2637" s="62"/>
      <c r="N2637" s="62"/>
      <c r="O2637" s="62"/>
      <c r="P2637" s="62"/>
      <c r="Q2637" s="62"/>
    </row>
    <row r="2638" spans="1:17">
      <c r="A2638" s="62"/>
      <c r="B2638" s="62"/>
      <c r="C2638" s="62"/>
      <c r="D2638" s="62"/>
      <c r="E2638" s="62"/>
      <c r="F2638" s="62"/>
      <c r="G2638" s="62"/>
      <c r="H2638" s="62" t="str">
        <f>IF(AND('Data Export'!A2638=前十整体车型排名!$B$2,'Data Export'!B2638=前十整体车型排名!$B$3,'Data Export'!D2638&lt;&gt;""),UPPER('Data Export'!C2638)&amp;"♦"&amp;'Data Export'!D2638,"")</f>
        <v/>
      </c>
      <c r="I2638" s="63" t="str">
        <f>IF(H2638="","",IFERROR(INDEX('Data Export'!G2638:CZ2638,1,MATCH(前十整体车型排名!$B$4,'Data Export'!$G$1:$CZ$1,0)),0))</f>
        <v/>
      </c>
      <c r="J2638" s="62" t="str">
        <f>IF(H2638="","",IF(OR('Data Export'!F2638="三厢轿车",'Data Export'!F2638="掀背轿车",'Data Export'!F2638="旅行车",'Data Export'!F2638="微型车",'Data Export'!F2638="硬顶跑车",'Data Export'!F2638="敞蓬车",'Data Export'!F2638="Targa"),"轿车",IF(OR('Data Export'!F2638="小型MPV",'Data Export'!F2638="客车"),"MPV",IF('Data Export'!F2638="运动型多功能车","SUV","其他"))))</f>
        <v/>
      </c>
      <c r="K2638" s="62"/>
      <c r="L2638" s="62"/>
      <c r="M2638" s="62"/>
      <c r="N2638" s="62"/>
      <c r="O2638" s="62"/>
      <c r="P2638" s="62"/>
      <c r="Q2638" s="62"/>
    </row>
    <row r="2639" spans="1:17">
      <c r="A2639" s="62"/>
      <c r="B2639" s="62"/>
      <c r="C2639" s="62"/>
      <c r="D2639" s="62"/>
      <c r="E2639" s="62"/>
      <c r="F2639" s="62"/>
      <c r="G2639" s="62"/>
      <c r="H2639" s="62" t="str">
        <f>IF(AND('Data Export'!A2639=前十整体车型排名!$B$2,'Data Export'!B2639=前十整体车型排名!$B$3,'Data Export'!D2639&lt;&gt;""),UPPER('Data Export'!C2639)&amp;"♦"&amp;'Data Export'!D2639,"")</f>
        <v/>
      </c>
      <c r="I2639" s="63" t="str">
        <f>IF(H2639="","",IFERROR(INDEX('Data Export'!G2639:CZ2639,1,MATCH(前十整体车型排名!$B$4,'Data Export'!$G$1:$CZ$1,0)),0))</f>
        <v/>
      </c>
      <c r="J2639" s="62" t="str">
        <f>IF(H2639="","",IF(OR('Data Export'!F2639="三厢轿车",'Data Export'!F2639="掀背轿车",'Data Export'!F2639="旅行车",'Data Export'!F2639="微型车",'Data Export'!F2639="硬顶跑车",'Data Export'!F2639="敞蓬车",'Data Export'!F2639="Targa"),"轿车",IF(OR('Data Export'!F2639="小型MPV",'Data Export'!F2639="客车"),"MPV",IF('Data Export'!F2639="运动型多功能车","SUV","其他"))))</f>
        <v/>
      </c>
      <c r="K2639" s="62"/>
      <c r="L2639" s="62"/>
      <c r="M2639" s="62"/>
      <c r="N2639" s="62"/>
      <c r="O2639" s="62"/>
      <c r="P2639" s="62"/>
      <c r="Q2639" s="62"/>
    </row>
    <row r="2640" spans="1:17">
      <c r="A2640" s="62"/>
      <c r="B2640" s="62"/>
      <c r="C2640" s="62"/>
      <c r="D2640" s="62"/>
      <c r="E2640" s="62"/>
      <c r="F2640" s="62"/>
      <c r="G2640" s="62"/>
      <c r="H2640" s="62" t="str">
        <f>IF(AND('Data Export'!A2640=前十整体车型排名!$B$2,'Data Export'!B2640=前十整体车型排名!$B$3,'Data Export'!D2640&lt;&gt;""),UPPER('Data Export'!C2640)&amp;"♦"&amp;'Data Export'!D2640,"")</f>
        <v/>
      </c>
      <c r="I2640" s="63" t="str">
        <f>IF(H2640="","",IFERROR(INDEX('Data Export'!G2640:CZ2640,1,MATCH(前十整体车型排名!$B$4,'Data Export'!$G$1:$CZ$1,0)),0))</f>
        <v/>
      </c>
      <c r="J2640" s="62" t="str">
        <f>IF(H2640="","",IF(OR('Data Export'!F2640="三厢轿车",'Data Export'!F2640="掀背轿车",'Data Export'!F2640="旅行车",'Data Export'!F2640="微型车",'Data Export'!F2640="硬顶跑车",'Data Export'!F2640="敞蓬车",'Data Export'!F2640="Targa"),"轿车",IF(OR('Data Export'!F2640="小型MPV",'Data Export'!F2640="客车"),"MPV",IF('Data Export'!F2640="运动型多功能车","SUV","其他"))))</f>
        <v/>
      </c>
      <c r="K2640" s="62"/>
      <c r="L2640" s="62"/>
      <c r="M2640" s="62"/>
      <c r="N2640" s="62"/>
      <c r="O2640" s="62"/>
      <c r="P2640" s="62"/>
      <c r="Q2640" s="62"/>
    </row>
    <row r="2641" spans="1:17">
      <c r="A2641" s="62"/>
      <c r="B2641" s="62"/>
      <c r="C2641" s="62"/>
      <c r="D2641" s="62"/>
      <c r="E2641" s="62"/>
      <c r="F2641" s="62"/>
      <c r="G2641" s="62"/>
      <c r="H2641" s="62" t="str">
        <f>IF(AND('Data Export'!A2641=前十整体车型排名!$B$2,'Data Export'!B2641=前十整体车型排名!$B$3,'Data Export'!D2641&lt;&gt;""),UPPER('Data Export'!C2641)&amp;"♦"&amp;'Data Export'!D2641,"")</f>
        <v/>
      </c>
      <c r="I2641" s="63" t="str">
        <f>IF(H2641="","",IFERROR(INDEX('Data Export'!G2641:CZ2641,1,MATCH(前十整体车型排名!$B$4,'Data Export'!$G$1:$CZ$1,0)),0))</f>
        <v/>
      </c>
      <c r="J2641" s="62" t="str">
        <f>IF(H2641="","",IF(OR('Data Export'!F2641="三厢轿车",'Data Export'!F2641="掀背轿车",'Data Export'!F2641="旅行车",'Data Export'!F2641="微型车",'Data Export'!F2641="硬顶跑车",'Data Export'!F2641="敞蓬车",'Data Export'!F2641="Targa"),"轿车",IF(OR('Data Export'!F2641="小型MPV",'Data Export'!F2641="客车"),"MPV",IF('Data Export'!F2641="运动型多功能车","SUV","其他"))))</f>
        <v/>
      </c>
      <c r="K2641" s="62"/>
      <c r="L2641" s="62"/>
      <c r="M2641" s="62"/>
      <c r="N2641" s="62"/>
      <c r="O2641" s="62"/>
      <c r="P2641" s="62"/>
      <c r="Q2641" s="62"/>
    </row>
    <row r="2642" spans="1:17">
      <c r="A2642" s="62"/>
      <c r="B2642" s="62"/>
      <c r="C2642" s="62"/>
      <c r="D2642" s="62"/>
      <c r="E2642" s="62"/>
      <c r="F2642" s="62"/>
      <c r="G2642" s="62"/>
      <c r="H2642" s="62" t="str">
        <f>IF(AND('Data Export'!A2642=前十整体车型排名!$B$2,'Data Export'!B2642=前十整体车型排名!$B$3,'Data Export'!D2642&lt;&gt;""),UPPER('Data Export'!C2642)&amp;"♦"&amp;'Data Export'!D2642,"")</f>
        <v/>
      </c>
      <c r="I2642" s="63" t="str">
        <f>IF(H2642="","",IFERROR(INDEX('Data Export'!G2642:CZ2642,1,MATCH(前十整体车型排名!$B$4,'Data Export'!$G$1:$CZ$1,0)),0))</f>
        <v/>
      </c>
      <c r="J2642" s="62" t="str">
        <f>IF(H2642="","",IF(OR('Data Export'!F2642="三厢轿车",'Data Export'!F2642="掀背轿车",'Data Export'!F2642="旅行车",'Data Export'!F2642="微型车",'Data Export'!F2642="硬顶跑车",'Data Export'!F2642="敞蓬车",'Data Export'!F2642="Targa"),"轿车",IF(OR('Data Export'!F2642="小型MPV",'Data Export'!F2642="客车"),"MPV",IF('Data Export'!F2642="运动型多功能车","SUV","其他"))))</f>
        <v/>
      </c>
      <c r="K2642" s="62"/>
      <c r="L2642" s="62"/>
      <c r="M2642" s="62"/>
      <c r="N2642" s="62"/>
      <c r="O2642" s="62"/>
      <c r="P2642" s="62"/>
      <c r="Q2642" s="62"/>
    </row>
    <row r="2643" spans="1:17">
      <c r="A2643" s="62"/>
      <c r="B2643" s="62"/>
      <c r="C2643" s="62"/>
      <c r="D2643" s="62"/>
      <c r="E2643" s="62"/>
      <c r="F2643" s="62"/>
      <c r="G2643" s="62"/>
      <c r="H2643" s="62" t="str">
        <f>IF(AND('Data Export'!A2643=前十整体车型排名!$B$2,'Data Export'!B2643=前十整体车型排名!$B$3,'Data Export'!D2643&lt;&gt;""),UPPER('Data Export'!C2643)&amp;"♦"&amp;'Data Export'!D2643,"")</f>
        <v/>
      </c>
      <c r="I2643" s="63" t="str">
        <f>IF(H2643="","",IFERROR(INDEX('Data Export'!G2643:CZ2643,1,MATCH(前十整体车型排名!$B$4,'Data Export'!$G$1:$CZ$1,0)),0))</f>
        <v/>
      </c>
      <c r="J2643" s="62" t="str">
        <f>IF(H2643="","",IF(OR('Data Export'!F2643="三厢轿车",'Data Export'!F2643="掀背轿车",'Data Export'!F2643="旅行车",'Data Export'!F2643="微型车",'Data Export'!F2643="硬顶跑车",'Data Export'!F2643="敞蓬车",'Data Export'!F2643="Targa"),"轿车",IF(OR('Data Export'!F2643="小型MPV",'Data Export'!F2643="客车"),"MPV",IF('Data Export'!F2643="运动型多功能车","SUV","其他"))))</f>
        <v/>
      </c>
      <c r="K2643" s="62"/>
      <c r="L2643" s="62"/>
      <c r="M2643" s="62"/>
      <c r="N2643" s="62"/>
      <c r="O2643" s="62"/>
      <c r="P2643" s="62"/>
      <c r="Q2643" s="62"/>
    </row>
    <row r="2644" spans="1:17">
      <c r="A2644" s="62"/>
      <c r="B2644" s="62"/>
      <c r="C2644" s="62"/>
      <c r="D2644" s="62"/>
      <c r="E2644" s="62"/>
      <c r="F2644" s="62"/>
      <c r="G2644" s="62"/>
      <c r="H2644" s="62" t="str">
        <f>IF(AND('Data Export'!A2644=前十整体车型排名!$B$2,'Data Export'!B2644=前十整体车型排名!$B$3,'Data Export'!D2644&lt;&gt;""),UPPER('Data Export'!C2644)&amp;"♦"&amp;'Data Export'!D2644,"")</f>
        <v/>
      </c>
      <c r="I2644" s="63" t="str">
        <f>IF(H2644="","",IFERROR(INDEX('Data Export'!G2644:CZ2644,1,MATCH(前十整体车型排名!$B$4,'Data Export'!$G$1:$CZ$1,0)),0))</f>
        <v/>
      </c>
      <c r="J2644" s="62" t="str">
        <f>IF(H2644="","",IF(OR('Data Export'!F2644="三厢轿车",'Data Export'!F2644="掀背轿车",'Data Export'!F2644="旅行车",'Data Export'!F2644="微型车",'Data Export'!F2644="硬顶跑车",'Data Export'!F2644="敞蓬车",'Data Export'!F2644="Targa"),"轿车",IF(OR('Data Export'!F2644="小型MPV",'Data Export'!F2644="客车"),"MPV",IF('Data Export'!F2644="运动型多功能车","SUV","其他"))))</f>
        <v/>
      </c>
      <c r="K2644" s="62"/>
      <c r="L2644" s="62"/>
      <c r="M2644" s="62"/>
      <c r="N2644" s="62"/>
      <c r="O2644" s="62"/>
      <c r="P2644" s="62"/>
      <c r="Q2644" s="62"/>
    </row>
    <row r="2645" spans="1:17">
      <c r="A2645" s="62"/>
      <c r="B2645" s="62"/>
      <c r="C2645" s="62"/>
      <c r="D2645" s="62"/>
      <c r="E2645" s="62"/>
      <c r="F2645" s="62"/>
      <c r="G2645" s="62"/>
      <c r="H2645" s="62" t="str">
        <f>IF(AND('Data Export'!A2645=前十整体车型排名!$B$2,'Data Export'!B2645=前十整体车型排名!$B$3,'Data Export'!D2645&lt;&gt;""),UPPER('Data Export'!C2645)&amp;"♦"&amp;'Data Export'!D2645,"")</f>
        <v/>
      </c>
      <c r="I2645" s="63" t="str">
        <f>IF(H2645="","",IFERROR(INDEX('Data Export'!G2645:CZ2645,1,MATCH(前十整体车型排名!$B$4,'Data Export'!$G$1:$CZ$1,0)),0))</f>
        <v/>
      </c>
      <c r="J2645" s="62" t="str">
        <f>IF(H2645="","",IF(OR('Data Export'!F2645="三厢轿车",'Data Export'!F2645="掀背轿车",'Data Export'!F2645="旅行车",'Data Export'!F2645="微型车",'Data Export'!F2645="硬顶跑车",'Data Export'!F2645="敞蓬车",'Data Export'!F2645="Targa"),"轿车",IF(OR('Data Export'!F2645="小型MPV",'Data Export'!F2645="客车"),"MPV",IF('Data Export'!F2645="运动型多功能车","SUV","其他"))))</f>
        <v/>
      </c>
      <c r="K2645" s="62"/>
      <c r="L2645" s="62"/>
      <c r="M2645" s="62"/>
      <c r="N2645" s="62"/>
      <c r="O2645" s="62"/>
      <c r="P2645" s="62"/>
      <c r="Q2645" s="62"/>
    </row>
    <row r="2646" spans="1:17">
      <c r="A2646" s="62"/>
      <c r="B2646" s="62"/>
      <c r="C2646" s="62"/>
      <c r="D2646" s="62"/>
      <c r="E2646" s="62"/>
      <c r="F2646" s="62"/>
      <c r="G2646" s="62"/>
      <c r="H2646" s="62" t="str">
        <f>IF(AND('Data Export'!A2646=前十整体车型排名!$B$2,'Data Export'!B2646=前十整体车型排名!$B$3,'Data Export'!D2646&lt;&gt;""),UPPER('Data Export'!C2646)&amp;"♦"&amp;'Data Export'!D2646,"")</f>
        <v/>
      </c>
      <c r="I2646" s="63" t="str">
        <f>IF(H2646="","",IFERROR(INDEX('Data Export'!G2646:CZ2646,1,MATCH(前十整体车型排名!$B$4,'Data Export'!$G$1:$CZ$1,0)),0))</f>
        <v/>
      </c>
      <c r="J2646" s="62" t="str">
        <f>IF(H2646="","",IF(OR('Data Export'!F2646="三厢轿车",'Data Export'!F2646="掀背轿车",'Data Export'!F2646="旅行车",'Data Export'!F2646="微型车",'Data Export'!F2646="硬顶跑车",'Data Export'!F2646="敞蓬车",'Data Export'!F2646="Targa"),"轿车",IF(OR('Data Export'!F2646="小型MPV",'Data Export'!F2646="客车"),"MPV",IF('Data Export'!F2646="运动型多功能车","SUV","其他"))))</f>
        <v/>
      </c>
      <c r="K2646" s="62"/>
      <c r="L2646" s="62"/>
      <c r="M2646" s="62"/>
      <c r="N2646" s="62"/>
      <c r="O2646" s="62"/>
      <c r="P2646" s="62"/>
      <c r="Q2646" s="62"/>
    </row>
    <row r="2647" spans="1:17">
      <c r="A2647" s="62"/>
      <c r="B2647" s="62"/>
      <c r="C2647" s="62"/>
      <c r="D2647" s="62"/>
      <c r="E2647" s="62"/>
      <c r="F2647" s="62"/>
      <c r="G2647" s="62"/>
      <c r="H2647" s="62" t="str">
        <f>IF(AND('Data Export'!A2647=前十整体车型排名!$B$2,'Data Export'!B2647=前十整体车型排名!$B$3,'Data Export'!D2647&lt;&gt;""),UPPER('Data Export'!C2647)&amp;"♦"&amp;'Data Export'!D2647,"")</f>
        <v/>
      </c>
      <c r="I2647" s="63" t="str">
        <f>IF(H2647="","",IFERROR(INDEX('Data Export'!G2647:CZ2647,1,MATCH(前十整体车型排名!$B$4,'Data Export'!$G$1:$CZ$1,0)),0))</f>
        <v/>
      </c>
      <c r="J2647" s="62" t="str">
        <f>IF(H2647="","",IF(OR('Data Export'!F2647="三厢轿车",'Data Export'!F2647="掀背轿车",'Data Export'!F2647="旅行车",'Data Export'!F2647="微型车",'Data Export'!F2647="硬顶跑车",'Data Export'!F2647="敞蓬车",'Data Export'!F2647="Targa"),"轿车",IF(OR('Data Export'!F2647="小型MPV",'Data Export'!F2647="客车"),"MPV",IF('Data Export'!F2647="运动型多功能车","SUV","其他"))))</f>
        <v/>
      </c>
      <c r="K2647" s="62"/>
      <c r="L2647" s="62"/>
      <c r="M2647" s="62"/>
      <c r="N2647" s="62"/>
      <c r="O2647" s="62"/>
      <c r="P2647" s="62"/>
      <c r="Q2647" s="62"/>
    </row>
    <row r="2648" spans="1:17">
      <c r="A2648" s="62"/>
      <c r="B2648" s="62"/>
      <c r="C2648" s="62"/>
      <c r="D2648" s="62"/>
      <c r="E2648" s="62"/>
      <c r="F2648" s="62"/>
      <c r="G2648" s="62"/>
      <c r="H2648" s="62" t="str">
        <f>IF(AND('Data Export'!A2648=前十整体车型排名!$B$2,'Data Export'!B2648=前十整体车型排名!$B$3,'Data Export'!D2648&lt;&gt;""),UPPER('Data Export'!C2648)&amp;"♦"&amp;'Data Export'!D2648,"")</f>
        <v/>
      </c>
      <c r="I2648" s="63" t="str">
        <f>IF(H2648="","",IFERROR(INDEX('Data Export'!G2648:CZ2648,1,MATCH(前十整体车型排名!$B$4,'Data Export'!$G$1:$CZ$1,0)),0))</f>
        <v/>
      </c>
      <c r="J2648" s="62" t="str">
        <f>IF(H2648="","",IF(OR('Data Export'!F2648="三厢轿车",'Data Export'!F2648="掀背轿车",'Data Export'!F2648="旅行车",'Data Export'!F2648="微型车",'Data Export'!F2648="硬顶跑车",'Data Export'!F2648="敞蓬车",'Data Export'!F2648="Targa"),"轿车",IF(OR('Data Export'!F2648="小型MPV",'Data Export'!F2648="客车"),"MPV",IF('Data Export'!F2648="运动型多功能车","SUV","其他"))))</f>
        <v/>
      </c>
      <c r="K2648" s="62"/>
      <c r="L2648" s="62"/>
      <c r="M2648" s="62"/>
      <c r="N2648" s="62"/>
      <c r="O2648" s="62"/>
      <c r="P2648" s="62"/>
      <c r="Q2648" s="62"/>
    </row>
    <row r="2649" spans="1:17">
      <c r="A2649" s="62"/>
      <c r="B2649" s="62"/>
      <c r="C2649" s="62"/>
      <c r="D2649" s="62"/>
      <c r="E2649" s="62"/>
      <c r="F2649" s="62"/>
      <c r="G2649" s="62"/>
      <c r="H2649" s="62" t="str">
        <f>IF(AND('Data Export'!A2649=前十整体车型排名!$B$2,'Data Export'!B2649=前十整体车型排名!$B$3,'Data Export'!D2649&lt;&gt;""),UPPER('Data Export'!C2649)&amp;"♦"&amp;'Data Export'!D2649,"")</f>
        <v/>
      </c>
      <c r="I2649" s="63" t="str">
        <f>IF(H2649="","",IFERROR(INDEX('Data Export'!G2649:CZ2649,1,MATCH(前十整体车型排名!$B$4,'Data Export'!$G$1:$CZ$1,0)),0))</f>
        <v/>
      </c>
      <c r="J2649" s="62" t="str">
        <f>IF(H2649="","",IF(OR('Data Export'!F2649="三厢轿车",'Data Export'!F2649="掀背轿车",'Data Export'!F2649="旅行车",'Data Export'!F2649="微型车",'Data Export'!F2649="硬顶跑车",'Data Export'!F2649="敞蓬车",'Data Export'!F2649="Targa"),"轿车",IF(OR('Data Export'!F2649="小型MPV",'Data Export'!F2649="客车"),"MPV",IF('Data Export'!F2649="运动型多功能车","SUV","其他"))))</f>
        <v/>
      </c>
      <c r="K2649" s="62"/>
      <c r="L2649" s="62"/>
      <c r="M2649" s="62"/>
      <c r="N2649" s="62"/>
      <c r="O2649" s="62"/>
      <c r="P2649" s="62"/>
      <c r="Q2649" s="62"/>
    </row>
    <row r="2650" spans="1:17">
      <c r="A2650" s="62"/>
      <c r="B2650" s="62"/>
      <c r="C2650" s="62"/>
      <c r="D2650" s="62"/>
      <c r="E2650" s="62"/>
      <c r="F2650" s="62"/>
      <c r="G2650" s="62"/>
      <c r="H2650" s="62" t="str">
        <f>IF(AND('Data Export'!A2650=前十整体车型排名!$B$2,'Data Export'!B2650=前十整体车型排名!$B$3,'Data Export'!D2650&lt;&gt;""),UPPER('Data Export'!C2650)&amp;"♦"&amp;'Data Export'!D2650,"")</f>
        <v/>
      </c>
      <c r="I2650" s="63" t="str">
        <f>IF(H2650="","",IFERROR(INDEX('Data Export'!G2650:CZ2650,1,MATCH(前十整体车型排名!$B$4,'Data Export'!$G$1:$CZ$1,0)),0))</f>
        <v/>
      </c>
      <c r="J2650" s="62" t="str">
        <f>IF(H2650="","",IF(OR('Data Export'!F2650="三厢轿车",'Data Export'!F2650="掀背轿车",'Data Export'!F2650="旅行车",'Data Export'!F2650="微型车",'Data Export'!F2650="硬顶跑车",'Data Export'!F2650="敞蓬车",'Data Export'!F2650="Targa"),"轿车",IF(OR('Data Export'!F2650="小型MPV",'Data Export'!F2650="客车"),"MPV",IF('Data Export'!F2650="运动型多功能车","SUV","其他"))))</f>
        <v/>
      </c>
      <c r="K2650" s="62"/>
      <c r="L2650" s="62"/>
      <c r="M2650" s="62"/>
      <c r="N2650" s="62"/>
      <c r="O2650" s="62"/>
      <c r="P2650" s="62"/>
      <c r="Q2650" s="62"/>
    </row>
    <row r="2651" spans="1:17">
      <c r="A2651" s="62"/>
      <c r="B2651" s="62"/>
      <c r="C2651" s="62"/>
      <c r="D2651" s="62"/>
      <c r="E2651" s="62"/>
      <c r="F2651" s="62"/>
      <c r="G2651" s="62"/>
      <c r="H2651" s="62" t="str">
        <f>IF(AND('Data Export'!A2651=前十整体车型排名!$B$2,'Data Export'!B2651=前十整体车型排名!$B$3,'Data Export'!D2651&lt;&gt;""),UPPER('Data Export'!C2651)&amp;"♦"&amp;'Data Export'!D2651,"")</f>
        <v/>
      </c>
      <c r="I2651" s="63" t="str">
        <f>IF(H2651="","",IFERROR(INDEX('Data Export'!G2651:CZ2651,1,MATCH(前十整体车型排名!$B$4,'Data Export'!$G$1:$CZ$1,0)),0))</f>
        <v/>
      </c>
      <c r="J2651" s="62" t="str">
        <f>IF(H2651="","",IF(OR('Data Export'!F2651="三厢轿车",'Data Export'!F2651="掀背轿车",'Data Export'!F2651="旅行车",'Data Export'!F2651="微型车",'Data Export'!F2651="硬顶跑车",'Data Export'!F2651="敞蓬车",'Data Export'!F2651="Targa"),"轿车",IF(OR('Data Export'!F2651="小型MPV",'Data Export'!F2651="客车"),"MPV",IF('Data Export'!F2651="运动型多功能车","SUV","其他"))))</f>
        <v/>
      </c>
      <c r="K2651" s="62"/>
      <c r="L2651" s="62"/>
      <c r="M2651" s="62"/>
      <c r="N2651" s="62"/>
      <c r="O2651" s="62"/>
      <c r="P2651" s="62"/>
      <c r="Q2651" s="62"/>
    </row>
    <row r="2652" spans="1:17">
      <c r="A2652" s="62"/>
      <c r="B2652" s="62"/>
      <c r="C2652" s="62"/>
      <c r="D2652" s="62"/>
      <c r="E2652" s="62"/>
      <c r="F2652" s="62"/>
      <c r="G2652" s="62"/>
      <c r="H2652" s="62" t="str">
        <f>IF(AND('Data Export'!A2652=前十整体车型排名!$B$2,'Data Export'!B2652=前十整体车型排名!$B$3,'Data Export'!D2652&lt;&gt;""),UPPER('Data Export'!C2652)&amp;"♦"&amp;'Data Export'!D2652,"")</f>
        <v/>
      </c>
      <c r="I2652" s="63" t="str">
        <f>IF(H2652="","",IFERROR(INDEX('Data Export'!G2652:CZ2652,1,MATCH(前十整体车型排名!$B$4,'Data Export'!$G$1:$CZ$1,0)),0))</f>
        <v/>
      </c>
      <c r="J2652" s="62" t="str">
        <f>IF(H2652="","",IF(OR('Data Export'!F2652="三厢轿车",'Data Export'!F2652="掀背轿车",'Data Export'!F2652="旅行车",'Data Export'!F2652="微型车",'Data Export'!F2652="硬顶跑车",'Data Export'!F2652="敞蓬车",'Data Export'!F2652="Targa"),"轿车",IF(OR('Data Export'!F2652="小型MPV",'Data Export'!F2652="客车"),"MPV",IF('Data Export'!F2652="运动型多功能车","SUV","其他"))))</f>
        <v/>
      </c>
      <c r="K2652" s="62"/>
      <c r="L2652" s="62"/>
      <c r="M2652" s="62"/>
      <c r="N2652" s="62"/>
      <c r="O2652" s="62"/>
      <c r="P2652" s="62"/>
      <c r="Q2652" s="62"/>
    </row>
    <row r="2653" spans="1:17">
      <c r="A2653" s="62"/>
      <c r="B2653" s="62"/>
      <c r="C2653" s="62"/>
      <c r="D2653" s="62"/>
      <c r="E2653" s="62"/>
      <c r="F2653" s="62"/>
      <c r="G2653" s="62"/>
      <c r="H2653" s="62" t="str">
        <f>IF(AND('Data Export'!A2653=前十整体车型排名!$B$2,'Data Export'!B2653=前十整体车型排名!$B$3,'Data Export'!D2653&lt;&gt;""),UPPER('Data Export'!C2653)&amp;"♦"&amp;'Data Export'!D2653,"")</f>
        <v/>
      </c>
      <c r="I2653" s="63" t="str">
        <f>IF(H2653="","",IFERROR(INDEX('Data Export'!G2653:CZ2653,1,MATCH(前十整体车型排名!$B$4,'Data Export'!$G$1:$CZ$1,0)),0))</f>
        <v/>
      </c>
      <c r="J2653" s="62" t="str">
        <f>IF(H2653="","",IF(OR('Data Export'!F2653="三厢轿车",'Data Export'!F2653="掀背轿车",'Data Export'!F2653="旅行车",'Data Export'!F2653="微型车",'Data Export'!F2653="硬顶跑车",'Data Export'!F2653="敞蓬车",'Data Export'!F2653="Targa"),"轿车",IF(OR('Data Export'!F2653="小型MPV",'Data Export'!F2653="客车"),"MPV",IF('Data Export'!F2653="运动型多功能车","SUV","其他"))))</f>
        <v/>
      </c>
      <c r="K2653" s="62"/>
      <c r="L2653" s="62"/>
      <c r="M2653" s="62"/>
      <c r="N2653" s="62"/>
      <c r="O2653" s="62"/>
      <c r="P2653" s="62"/>
      <c r="Q2653" s="62"/>
    </row>
    <row r="2654" spans="1:17">
      <c r="A2654" s="62"/>
      <c r="B2654" s="62"/>
      <c r="C2654" s="62"/>
      <c r="D2654" s="62"/>
      <c r="E2654" s="62"/>
      <c r="F2654" s="62"/>
      <c r="G2654" s="62"/>
      <c r="H2654" s="62" t="str">
        <f>IF(AND('Data Export'!A2654=前十整体车型排名!$B$2,'Data Export'!B2654=前十整体车型排名!$B$3,'Data Export'!D2654&lt;&gt;""),UPPER('Data Export'!C2654)&amp;"♦"&amp;'Data Export'!D2654,"")</f>
        <v/>
      </c>
      <c r="I2654" s="63" t="str">
        <f>IF(H2654="","",IFERROR(INDEX('Data Export'!G2654:CZ2654,1,MATCH(前十整体车型排名!$B$4,'Data Export'!$G$1:$CZ$1,0)),0))</f>
        <v/>
      </c>
      <c r="J2654" s="62" t="str">
        <f>IF(H2654="","",IF(OR('Data Export'!F2654="三厢轿车",'Data Export'!F2654="掀背轿车",'Data Export'!F2654="旅行车",'Data Export'!F2654="微型车",'Data Export'!F2654="硬顶跑车",'Data Export'!F2654="敞蓬车",'Data Export'!F2654="Targa"),"轿车",IF(OR('Data Export'!F2654="小型MPV",'Data Export'!F2654="客车"),"MPV",IF('Data Export'!F2654="运动型多功能车","SUV","其他"))))</f>
        <v/>
      </c>
      <c r="K2654" s="62"/>
      <c r="L2654" s="62"/>
      <c r="M2654" s="62"/>
      <c r="N2654" s="62"/>
      <c r="O2654" s="62"/>
      <c r="P2654" s="62"/>
      <c r="Q2654" s="62"/>
    </row>
    <row r="2655" spans="1:17">
      <c r="A2655" s="62"/>
      <c r="B2655" s="62"/>
      <c r="C2655" s="62"/>
      <c r="D2655" s="62"/>
      <c r="E2655" s="62"/>
      <c r="F2655" s="62"/>
      <c r="G2655" s="62"/>
      <c r="H2655" s="62" t="str">
        <f>IF(AND('Data Export'!A2655=前十整体车型排名!$B$2,'Data Export'!B2655=前十整体车型排名!$B$3,'Data Export'!D2655&lt;&gt;""),UPPER('Data Export'!C2655)&amp;"♦"&amp;'Data Export'!D2655,"")</f>
        <v/>
      </c>
      <c r="I2655" s="63" t="str">
        <f>IF(H2655="","",IFERROR(INDEX('Data Export'!G2655:CZ2655,1,MATCH(前十整体车型排名!$B$4,'Data Export'!$G$1:$CZ$1,0)),0))</f>
        <v/>
      </c>
      <c r="J2655" s="62" t="str">
        <f>IF(H2655="","",IF(OR('Data Export'!F2655="三厢轿车",'Data Export'!F2655="掀背轿车",'Data Export'!F2655="旅行车",'Data Export'!F2655="微型车",'Data Export'!F2655="硬顶跑车",'Data Export'!F2655="敞蓬车",'Data Export'!F2655="Targa"),"轿车",IF(OR('Data Export'!F2655="小型MPV",'Data Export'!F2655="客车"),"MPV",IF('Data Export'!F2655="运动型多功能车","SUV","其他"))))</f>
        <v/>
      </c>
      <c r="K2655" s="62"/>
      <c r="L2655" s="62"/>
      <c r="M2655" s="62"/>
      <c r="N2655" s="62"/>
      <c r="O2655" s="62"/>
      <c r="P2655" s="62"/>
      <c r="Q2655" s="62"/>
    </row>
    <row r="2656" spans="1:17">
      <c r="A2656" s="62"/>
      <c r="B2656" s="62"/>
      <c r="C2656" s="62"/>
      <c r="D2656" s="62"/>
      <c r="E2656" s="62"/>
      <c r="F2656" s="62"/>
      <c r="G2656" s="62"/>
      <c r="H2656" s="62" t="str">
        <f>IF(AND('Data Export'!A2656=前十整体车型排名!$B$2,'Data Export'!B2656=前十整体车型排名!$B$3,'Data Export'!D2656&lt;&gt;""),UPPER('Data Export'!C2656)&amp;"♦"&amp;'Data Export'!D2656,"")</f>
        <v/>
      </c>
      <c r="I2656" s="63" t="str">
        <f>IF(H2656="","",IFERROR(INDEX('Data Export'!G2656:CZ2656,1,MATCH(前十整体车型排名!$B$4,'Data Export'!$G$1:$CZ$1,0)),0))</f>
        <v/>
      </c>
      <c r="J2656" s="62" t="str">
        <f>IF(H2656="","",IF(OR('Data Export'!F2656="三厢轿车",'Data Export'!F2656="掀背轿车",'Data Export'!F2656="旅行车",'Data Export'!F2656="微型车",'Data Export'!F2656="硬顶跑车",'Data Export'!F2656="敞蓬车",'Data Export'!F2656="Targa"),"轿车",IF(OR('Data Export'!F2656="小型MPV",'Data Export'!F2656="客车"),"MPV",IF('Data Export'!F2656="运动型多功能车","SUV","其他"))))</f>
        <v/>
      </c>
      <c r="K2656" s="62"/>
      <c r="L2656" s="62"/>
      <c r="M2656" s="62"/>
      <c r="N2656" s="62"/>
      <c r="O2656" s="62"/>
      <c r="P2656" s="62"/>
      <c r="Q2656" s="62"/>
    </row>
    <row r="2657" spans="1:17">
      <c r="A2657" s="62"/>
      <c r="B2657" s="62"/>
      <c r="C2657" s="62"/>
      <c r="D2657" s="62"/>
      <c r="E2657" s="62"/>
      <c r="F2657" s="62"/>
      <c r="G2657" s="62"/>
      <c r="H2657" s="62" t="str">
        <f>IF(AND('Data Export'!A2657=前十整体车型排名!$B$2,'Data Export'!B2657=前十整体车型排名!$B$3,'Data Export'!D2657&lt;&gt;""),UPPER('Data Export'!C2657)&amp;"♦"&amp;'Data Export'!D2657,"")</f>
        <v/>
      </c>
      <c r="I2657" s="63" t="str">
        <f>IF(H2657="","",IFERROR(INDEX('Data Export'!G2657:CZ2657,1,MATCH(前十整体车型排名!$B$4,'Data Export'!$G$1:$CZ$1,0)),0))</f>
        <v/>
      </c>
      <c r="J2657" s="62" t="str">
        <f>IF(H2657="","",IF(OR('Data Export'!F2657="三厢轿车",'Data Export'!F2657="掀背轿车",'Data Export'!F2657="旅行车",'Data Export'!F2657="微型车",'Data Export'!F2657="硬顶跑车",'Data Export'!F2657="敞蓬车",'Data Export'!F2657="Targa"),"轿车",IF(OR('Data Export'!F2657="小型MPV",'Data Export'!F2657="客车"),"MPV",IF('Data Export'!F2657="运动型多功能车","SUV","其他"))))</f>
        <v/>
      </c>
      <c r="K2657" s="62"/>
      <c r="L2657" s="62"/>
      <c r="M2657" s="62"/>
      <c r="N2657" s="62"/>
      <c r="O2657" s="62"/>
      <c r="P2657" s="62"/>
      <c r="Q2657" s="62"/>
    </row>
    <row r="2658" spans="1:17">
      <c r="A2658" s="62"/>
      <c r="B2658" s="62"/>
      <c r="C2658" s="62"/>
      <c r="D2658" s="62"/>
      <c r="E2658" s="62"/>
      <c r="F2658" s="62"/>
      <c r="G2658" s="62"/>
      <c r="H2658" s="62" t="str">
        <f>IF(AND('Data Export'!A2658=前十整体车型排名!$B$2,'Data Export'!B2658=前十整体车型排名!$B$3,'Data Export'!D2658&lt;&gt;""),UPPER('Data Export'!C2658)&amp;"♦"&amp;'Data Export'!D2658,"")</f>
        <v/>
      </c>
      <c r="I2658" s="63" t="str">
        <f>IF(H2658="","",IFERROR(INDEX('Data Export'!G2658:CZ2658,1,MATCH(前十整体车型排名!$B$4,'Data Export'!$G$1:$CZ$1,0)),0))</f>
        <v/>
      </c>
      <c r="J2658" s="62" t="str">
        <f>IF(H2658="","",IF(OR('Data Export'!F2658="三厢轿车",'Data Export'!F2658="掀背轿车",'Data Export'!F2658="旅行车",'Data Export'!F2658="微型车",'Data Export'!F2658="硬顶跑车",'Data Export'!F2658="敞蓬车",'Data Export'!F2658="Targa"),"轿车",IF(OR('Data Export'!F2658="小型MPV",'Data Export'!F2658="客车"),"MPV",IF('Data Export'!F2658="运动型多功能车","SUV","其他"))))</f>
        <v/>
      </c>
      <c r="K2658" s="62"/>
      <c r="L2658" s="62"/>
      <c r="M2658" s="62"/>
      <c r="N2658" s="62"/>
      <c r="O2658" s="62"/>
      <c r="P2658" s="62"/>
      <c r="Q2658" s="62"/>
    </row>
    <row r="2659" spans="1:17">
      <c r="A2659" s="62"/>
      <c r="B2659" s="62"/>
      <c r="C2659" s="62"/>
      <c r="D2659" s="62"/>
      <c r="E2659" s="62"/>
      <c r="F2659" s="62"/>
      <c r="G2659" s="62"/>
      <c r="H2659" s="62" t="str">
        <f>IF(AND('Data Export'!A2659=前十整体车型排名!$B$2,'Data Export'!B2659=前十整体车型排名!$B$3,'Data Export'!D2659&lt;&gt;""),UPPER('Data Export'!C2659)&amp;"♦"&amp;'Data Export'!D2659,"")</f>
        <v/>
      </c>
      <c r="I2659" s="63" t="str">
        <f>IF(H2659="","",IFERROR(INDEX('Data Export'!G2659:CZ2659,1,MATCH(前十整体车型排名!$B$4,'Data Export'!$G$1:$CZ$1,0)),0))</f>
        <v/>
      </c>
      <c r="J2659" s="62" t="str">
        <f>IF(H2659="","",IF(OR('Data Export'!F2659="三厢轿车",'Data Export'!F2659="掀背轿车",'Data Export'!F2659="旅行车",'Data Export'!F2659="微型车",'Data Export'!F2659="硬顶跑车",'Data Export'!F2659="敞蓬车",'Data Export'!F2659="Targa"),"轿车",IF(OR('Data Export'!F2659="小型MPV",'Data Export'!F2659="客车"),"MPV",IF('Data Export'!F2659="运动型多功能车","SUV","其他"))))</f>
        <v/>
      </c>
      <c r="K2659" s="62"/>
      <c r="L2659" s="62"/>
      <c r="M2659" s="62"/>
      <c r="N2659" s="62"/>
      <c r="O2659" s="62"/>
      <c r="P2659" s="62"/>
      <c r="Q2659" s="62"/>
    </row>
    <row r="2660" spans="1:17">
      <c r="A2660" s="62"/>
      <c r="B2660" s="62"/>
      <c r="C2660" s="62"/>
      <c r="D2660" s="62"/>
      <c r="E2660" s="62"/>
      <c r="F2660" s="62"/>
      <c r="G2660" s="62"/>
      <c r="H2660" s="62" t="str">
        <f>IF(AND('Data Export'!A2660=前十整体车型排名!$B$2,'Data Export'!B2660=前十整体车型排名!$B$3,'Data Export'!D2660&lt;&gt;""),UPPER('Data Export'!C2660)&amp;"♦"&amp;'Data Export'!D2660,"")</f>
        <v/>
      </c>
      <c r="I2660" s="63" t="str">
        <f>IF(H2660="","",IFERROR(INDEX('Data Export'!G2660:CZ2660,1,MATCH(前十整体车型排名!$B$4,'Data Export'!$G$1:$CZ$1,0)),0))</f>
        <v/>
      </c>
      <c r="J2660" s="62" t="str">
        <f>IF(H2660="","",IF(OR('Data Export'!F2660="三厢轿车",'Data Export'!F2660="掀背轿车",'Data Export'!F2660="旅行车",'Data Export'!F2660="微型车",'Data Export'!F2660="硬顶跑车",'Data Export'!F2660="敞蓬车",'Data Export'!F2660="Targa"),"轿车",IF(OR('Data Export'!F2660="小型MPV",'Data Export'!F2660="客车"),"MPV",IF('Data Export'!F2660="运动型多功能车","SUV","其他"))))</f>
        <v/>
      </c>
      <c r="K2660" s="62"/>
      <c r="L2660" s="62"/>
      <c r="M2660" s="62"/>
      <c r="N2660" s="62"/>
      <c r="O2660" s="62"/>
      <c r="P2660" s="62"/>
      <c r="Q2660" s="62"/>
    </row>
    <row r="2661" spans="1:17">
      <c r="A2661" s="62"/>
      <c r="B2661" s="62"/>
      <c r="C2661" s="62"/>
      <c r="D2661" s="62"/>
      <c r="E2661" s="62"/>
      <c r="F2661" s="62"/>
      <c r="G2661" s="62"/>
      <c r="H2661" s="62" t="str">
        <f>IF(AND('Data Export'!A2661=前十整体车型排名!$B$2,'Data Export'!B2661=前十整体车型排名!$B$3,'Data Export'!D2661&lt;&gt;""),UPPER('Data Export'!C2661)&amp;"♦"&amp;'Data Export'!D2661,"")</f>
        <v/>
      </c>
      <c r="I2661" s="63" t="str">
        <f>IF(H2661="","",IFERROR(INDEX('Data Export'!G2661:CZ2661,1,MATCH(前十整体车型排名!$B$4,'Data Export'!$G$1:$CZ$1,0)),0))</f>
        <v/>
      </c>
      <c r="J2661" s="62" t="str">
        <f>IF(H2661="","",IF(OR('Data Export'!F2661="三厢轿车",'Data Export'!F2661="掀背轿车",'Data Export'!F2661="旅行车",'Data Export'!F2661="微型车",'Data Export'!F2661="硬顶跑车",'Data Export'!F2661="敞蓬车",'Data Export'!F2661="Targa"),"轿车",IF(OR('Data Export'!F2661="小型MPV",'Data Export'!F2661="客车"),"MPV",IF('Data Export'!F2661="运动型多功能车","SUV","其他"))))</f>
        <v/>
      </c>
      <c r="K2661" s="62"/>
      <c r="L2661" s="62"/>
      <c r="M2661" s="62"/>
      <c r="N2661" s="62"/>
      <c r="O2661" s="62"/>
      <c r="P2661" s="62"/>
      <c r="Q2661" s="62"/>
    </row>
    <row r="2662" spans="1:17">
      <c r="A2662" s="62"/>
      <c r="B2662" s="62"/>
      <c r="C2662" s="62"/>
      <c r="D2662" s="62"/>
      <c r="E2662" s="62"/>
      <c r="F2662" s="62"/>
      <c r="G2662" s="62"/>
      <c r="H2662" s="62" t="str">
        <f>IF(AND('Data Export'!A2662=前十整体车型排名!$B$2,'Data Export'!B2662=前十整体车型排名!$B$3,'Data Export'!D2662&lt;&gt;""),UPPER('Data Export'!C2662)&amp;"♦"&amp;'Data Export'!D2662,"")</f>
        <v/>
      </c>
      <c r="I2662" s="63" t="str">
        <f>IF(H2662="","",IFERROR(INDEX('Data Export'!G2662:CZ2662,1,MATCH(前十整体车型排名!$B$4,'Data Export'!$G$1:$CZ$1,0)),0))</f>
        <v/>
      </c>
      <c r="J2662" s="62" t="str">
        <f>IF(H2662="","",IF(OR('Data Export'!F2662="三厢轿车",'Data Export'!F2662="掀背轿车",'Data Export'!F2662="旅行车",'Data Export'!F2662="微型车",'Data Export'!F2662="硬顶跑车",'Data Export'!F2662="敞蓬车",'Data Export'!F2662="Targa"),"轿车",IF(OR('Data Export'!F2662="小型MPV",'Data Export'!F2662="客车"),"MPV",IF('Data Export'!F2662="运动型多功能车","SUV","其他"))))</f>
        <v/>
      </c>
      <c r="K2662" s="62"/>
      <c r="L2662" s="62"/>
      <c r="M2662" s="62"/>
      <c r="N2662" s="62"/>
      <c r="O2662" s="62"/>
      <c r="P2662" s="62"/>
      <c r="Q2662" s="62"/>
    </row>
    <row r="2663" spans="1:17">
      <c r="A2663" s="62"/>
      <c r="B2663" s="62"/>
      <c r="C2663" s="62"/>
      <c r="D2663" s="62"/>
      <c r="E2663" s="62"/>
      <c r="F2663" s="62"/>
      <c r="G2663" s="62"/>
      <c r="H2663" s="62" t="str">
        <f>IF(AND('Data Export'!A2663=前十整体车型排名!$B$2,'Data Export'!B2663=前十整体车型排名!$B$3,'Data Export'!D2663&lt;&gt;""),UPPER('Data Export'!C2663)&amp;"♦"&amp;'Data Export'!D2663,"")</f>
        <v/>
      </c>
      <c r="I2663" s="63" t="str">
        <f>IF(H2663="","",IFERROR(INDEX('Data Export'!G2663:CZ2663,1,MATCH(前十整体车型排名!$B$4,'Data Export'!$G$1:$CZ$1,0)),0))</f>
        <v/>
      </c>
      <c r="J2663" s="62" t="str">
        <f>IF(H2663="","",IF(OR('Data Export'!F2663="三厢轿车",'Data Export'!F2663="掀背轿车",'Data Export'!F2663="旅行车",'Data Export'!F2663="微型车",'Data Export'!F2663="硬顶跑车",'Data Export'!F2663="敞蓬车",'Data Export'!F2663="Targa"),"轿车",IF(OR('Data Export'!F2663="小型MPV",'Data Export'!F2663="客车"),"MPV",IF('Data Export'!F2663="运动型多功能车","SUV","其他"))))</f>
        <v/>
      </c>
      <c r="K2663" s="62"/>
      <c r="L2663" s="62"/>
      <c r="M2663" s="62"/>
      <c r="N2663" s="62"/>
      <c r="O2663" s="62"/>
      <c r="P2663" s="62"/>
      <c r="Q2663" s="62"/>
    </row>
    <row r="2664" spans="1:17">
      <c r="A2664" s="62"/>
      <c r="B2664" s="62"/>
      <c r="C2664" s="62"/>
      <c r="D2664" s="62"/>
      <c r="E2664" s="62"/>
      <c r="F2664" s="62"/>
      <c r="G2664" s="62"/>
      <c r="H2664" s="62" t="str">
        <f>IF(AND('Data Export'!A2664=前十整体车型排名!$B$2,'Data Export'!B2664=前十整体车型排名!$B$3,'Data Export'!D2664&lt;&gt;""),UPPER('Data Export'!C2664)&amp;"♦"&amp;'Data Export'!D2664,"")</f>
        <v/>
      </c>
      <c r="I2664" s="63" t="str">
        <f>IF(H2664="","",IFERROR(INDEX('Data Export'!G2664:CZ2664,1,MATCH(前十整体车型排名!$B$4,'Data Export'!$G$1:$CZ$1,0)),0))</f>
        <v/>
      </c>
      <c r="J2664" s="62" t="str">
        <f>IF(H2664="","",IF(OR('Data Export'!F2664="三厢轿车",'Data Export'!F2664="掀背轿车",'Data Export'!F2664="旅行车",'Data Export'!F2664="微型车",'Data Export'!F2664="硬顶跑车",'Data Export'!F2664="敞蓬车",'Data Export'!F2664="Targa"),"轿车",IF(OR('Data Export'!F2664="小型MPV",'Data Export'!F2664="客车"),"MPV",IF('Data Export'!F2664="运动型多功能车","SUV","其他"))))</f>
        <v/>
      </c>
      <c r="K2664" s="62"/>
      <c r="L2664" s="62"/>
      <c r="M2664" s="62"/>
      <c r="N2664" s="62"/>
      <c r="O2664" s="62"/>
      <c r="P2664" s="62"/>
      <c r="Q2664" s="62"/>
    </row>
    <row r="2665" spans="1:17">
      <c r="A2665" s="62"/>
      <c r="B2665" s="62"/>
      <c r="C2665" s="62"/>
      <c r="D2665" s="62"/>
      <c r="E2665" s="62"/>
      <c r="F2665" s="62"/>
      <c r="G2665" s="62"/>
      <c r="H2665" s="62" t="str">
        <f>IF(AND('Data Export'!A2665=前十整体车型排名!$B$2,'Data Export'!B2665=前十整体车型排名!$B$3,'Data Export'!D2665&lt;&gt;""),UPPER('Data Export'!C2665)&amp;"♦"&amp;'Data Export'!D2665,"")</f>
        <v/>
      </c>
      <c r="I2665" s="63" t="str">
        <f>IF(H2665="","",IFERROR(INDEX('Data Export'!G2665:CZ2665,1,MATCH(前十整体车型排名!$B$4,'Data Export'!$G$1:$CZ$1,0)),0))</f>
        <v/>
      </c>
      <c r="J2665" s="62" t="str">
        <f>IF(H2665="","",IF(OR('Data Export'!F2665="三厢轿车",'Data Export'!F2665="掀背轿车",'Data Export'!F2665="旅行车",'Data Export'!F2665="微型车",'Data Export'!F2665="硬顶跑车",'Data Export'!F2665="敞蓬车",'Data Export'!F2665="Targa"),"轿车",IF(OR('Data Export'!F2665="小型MPV",'Data Export'!F2665="客车"),"MPV",IF('Data Export'!F2665="运动型多功能车","SUV","其他"))))</f>
        <v/>
      </c>
      <c r="K2665" s="62"/>
      <c r="L2665" s="62"/>
      <c r="M2665" s="62"/>
      <c r="N2665" s="62"/>
      <c r="O2665" s="62"/>
      <c r="P2665" s="62"/>
      <c r="Q2665" s="62"/>
    </row>
    <row r="2666" spans="1:17">
      <c r="A2666" s="62"/>
      <c r="B2666" s="62"/>
      <c r="C2666" s="62"/>
      <c r="D2666" s="62"/>
      <c r="E2666" s="62"/>
      <c r="F2666" s="62"/>
      <c r="G2666" s="62"/>
      <c r="H2666" s="62" t="str">
        <f>IF(AND('Data Export'!A2666=前十整体车型排名!$B$2,'Data Export'!B2666=前十整体车型排名!$B$3,'Data Export'!D2666&lt;&gt;""),UPPER('Data Export'!C2666)&amp;"♦"&amp;'Data Export'!D2666,"")</f>
        <v/>
      </c>
      <c r="I2666" s="63" t="str">
        <f>IF(H2666="","",IFERROR(INDEX('Data Export'!G2666:CZ2666,1,MATCH(前十整体车型排名!$B$4,'Data Export'!$G$1:$CZ$1,0)),0))</f>
        <v/>
      </c>
      <c r="J2666" s="62" t="str">
        <f>IF(H2666="","",IF(OR('Data Export'!F2666="三厢轿车",'Data Export'!F2666="掀背轿车",'Data Export'!F2666="旅行车",'Data Export'!F2666="微型车",'Data Export'!F2666="硬顶跑车",'Data Export'!F2666="敞蓬车",'Data Export'!F2666="Targa"),"轿车",IF(OR('Data Export'!F2666="小型MPV",'Data Export'!F2666="客车"),"MPV",IF('Data Export'!F2666="运动型多功能车","SUV","其他"))))</f>
        <v/>
      </c>
      <c r="K2666" s="62"/>
      <c r="L2666" s="62"/>
      <c r="M2666" s="62"/>
      <c r="N2666" s="62"/>
      <c r="O2666" s="62"/>
      <c r="P2666" s="62"/>
      <c r="Q2666" s="62"/>
    </row>
    <row r="2667" spans="1:17">
      <c r="A2667" s="62"/>
      <c r="B2667" s="62"/>
      <c r="C2667" s="62"/>
      <c r="D2667" s="62"/>
      <c r="E2667" s="62"/>
      <c r="F2667" s="62"/>
      <c r="G2667" s="62"/>
      <c r="H2667" s="62" t="str">
        <f>IF(AND('Data Export'!A2667=前十整体车型排名!$B$2,'Data Export'!B2667=前十整体车型排名!$B$3,'Data Export'!D2667&lt;&gt;""),UPPER('Data Export'!C2667)&amp;"♦"&amp;'Data Export'!D2667,"")</f>
        <v/>
      </c>
      <c r="I2667" s="63" t="str">
        <f>IF(H2667="","",IFERROR(INDEX('Data Export'!G2667:CZ2667,1,MATCH(前十整体车型排名!$B$4,'Data Export'!$G$1:$CZ$1,0)),0))</f>
        <v/>
      </c>
      <c r="J2667" s="62" t="str">
        <f>IF(H2667="","",IF(OR('Data Export'!F2667="三厢轿车",'Data Export'!F2667="掀背轿车",'Data Export'!F2667="旅行车",'Data Export'!F2667="微型车",'Data Export'!F2667="硬顶跑车",'Data Export'!F2667="敞蓬车",'Data Export'!F2667="Targa"),"轿车",IF(OR('Data Export'!F2667="小型MPV",'Data Export'!F2667="客车"),"MPV",IF('Data Export'!F2667="运动型多功能车","SUV","其他"))))</f>
        <v/>
      </c>
      <c r="K2667" s="62"/>
      <c r="L2667" s="62"/>
      <c r="M2667" s="62"/>
      <c r="N2667" s="62"/>
      <c r="O2667" s="62"/>
      <c r="P2667" s="62"/>
      <c r="Q2667" s="62"/>
    </row>
    <row r="2668" spans="1:17">
      <c r="A2668" s="62"/>
      <c r="B2668" s="62"/>
      <c r="C2668" s="62"/>
      <c r="D2668" s="62"/>
      <c r="E2668" s="62"/>
      <c r="F2668" s="62"/>
      <c r="G2668" s="62"/>
      <c r="H2668" s="62" t="str">
        <f>IF(AND('Data Export'!A2668=前十整体车型排名!$B$2,'Data Export'!B2668=前十整体车型排名!$B$3,'Data Export'!D2668&lt;&gt;""),UPPER('Data Export'!C2668)&amp;"♦"&amp;'Data Export'!D2668,"")</f>
        <v/>
      </c>
      <c r="I2668" s="63" t="str">
        <f>IF(H2668="","",IFERROR(INDEX('Data Export'!G2668:CZ2668,1,MATCH(前十整体车型排名!$B$4,'Data Export'!$G$1:$CZ$1,0)),0))</f>
        <v/>
      </c>
      <c r="J2668" s="62" t="str">
        <f>IF(H2668="","",IF(OR('Data Export'!F2668="三厢轿车",'Data Export'!F2668="掀背轿车",'Data Export'!F2668="旅行车",'Data Export'!F2668="微型车",'Data Export'!F2668="硬顶跑车",'Data Export'!F2668="敞蓬车",'Data Export'!F2668="Targa"),"轿车",IF(OR('Data Export'!F2668="小型MPV",'Data Export'!F2668="客车"),"MPV",IF('Data Export'!F2668="运动型多功能车","SUV","其他"))))</f>
        <v/>
      </c>
      <c r="K2668" s="62"/>
      <c r="L2668" s="62"/>
      <c r="M2668" s="62"/>
      <c r="N2668" s="62"/>
      <c r="O2668" s="62"/>
      <c r="P2668" s="62"/>
      <c r="Q2668" s="62"/>
    </row>
    <row r="2669" spans="1:17">
      <c r="A2669" s="62"/>
      <c r="B2669" s="62"/>
      <c r="C2669" s="62"/>
      <c r="D2669" s="62"/>
      <c r="E2669" s="62"/>
      <c r="F2669" s="62"/>
      <c r="G2669" s="62"/>
      <c r="H2669" s="62" t="str">
        <f>IF(AND('Data Export'!A2669=前十整体车型排名!$B$2,'Data Export'!B2669=前十整体车型排名!$B$3,'Data Export'!D2669&lt;&gt;""),UPPER('Data Export'!C2669)&amp;"♦"&amp;'Data Export'!D2669,"")</f>
        <v/>
      </c>
      <c r="I2669" s="63" t="str">
        <f>IF(H2669="","",IFERROR(INDEX('Data Export'!G2669:CZ2669,1,MATCH(前十整体车型排名!$B$4,'Data Export'!$G$1:$CZ$1,0)),0))</f>
        <v/>
      </c>
      <c r="J2669" s="62" t="str">
        <f>IF(H2669="","",IF(OR('Data Export'!F2669="三厢轿车",'Data Export'!F2669="掀背轿车",'Data Export'!F2669="旅行车",'Data Export'!F2669="微型车",'Data Export'!F2669="硬顶跑车",'Data Export'!F2669="敞蓬车",'Data Export'!F2669="Targa"),"轿车",IF(OR('Data Export'!F2669="小型MPV",'Data Export'!F2669="客车"),"MPV",IF('Data Export'!F2669="运动型多功能车","SUV","其他"))))</f>
        <v/>
      </c>
      <c r="K2669" s="62"/>
      <c r="L2669" s="62"/>
      <c r="M2669" s="62"/>
      <c r="N2669" s="62"/>
      <c r="O2669" s="62"/>
      <c r="P2669" s="62"/>
      <c r="Q2669" s="62"/>
    </row>
    <row r="2670" spans="1:17">
      <c r="A2670" s="62"/>
      <c r="B2670" s="62"/>
      <c r="C2670" s="62"/>
      <c r="D2670" s="62"/>
      <c r="E2670" s="62"/>
      <c r="F2670" s="62"/>
      <c r="G2670" s="62"/>
      <c r="H2670" s="62" t="str">
        <f>IF(AND('Data Export'!A2670=前十整体车型排名!$B$2,'Data Export'!B2670=前十整体车型排名!$B$3,'Data Export'!D2670&lt;&gt;""),UPPER('Data Export'!C2670)&amp;"♦"&amp;'Data Export'!D2670,"")</f>
        <v/>
      </c>
      <c r="I2670" s="63" t="str">
        <f>IF(H2670="","",IFERROR(INDEX('Data Export'!G2670:CZ2670,1,MATCH(前十整体车型排名!$B$4,'Data Export'!$G$1:$CZ$1,0)),0))</f>
        <v/>
      </c>
      <c r="J2670" s="62" t="str">
        <f>IF(H2670="","",IF(OR('Data Export'!F2670="三厢轿车",'Data Export'!F2670="掀背轿车",'Data Export'!F2670="旅行车",'Data Export'!F2670="微型车",'Data Export'!F2670="硬顶跑车",'Data Export'!F2670="敞蓬车",'Data Export'!F2670="Targa"),"轿车",IF(OR('Data Export'!F2670="小型MPV",'Data Export'!F2670="客车"),"MPV",IF('Data Export'!F2670="运动型多功能车","SUV","其他"))))</f>
        <v/>
      </c>
      <c r="K2670" s="62"/>
      <c r="L2670" s="62"/>
      <c r="M2670" s="62"/>
      <c r="N2670" s="62"/>
      <c r="O2670" s="62"/>
      <c r="P2670" s="62"/>
      <c r="Q2670" s="62"/>
    </row>
    <row r="2671" spans="1:17">
      <c r="A2671" s="62"/>
      <c r="B2671" s="62"/>
      <c r="C2671" s="62"/>
      <c r="D2671" s="62"/>
      <c r="E2671" s="62"/>
      <c r="F2671" s="62"/>
      <c r="G2671" s="62"/>
      <c r="H2671" s="62" t="str">
        <f>IF(AND('Data Export'!A2671=前十整体车型排名!$B$2,'Data Export'!B2671=前十整体车型排名!$B$3,'Data Export'!D2671&lt;&gt;""),UPPER('Data Export'!C2671)&amp;"♦"&amp;'Data Export'!D2671,"")</f>
        <v/>
      </c>
      <c r="I2671" s="63" t="str">
        <f>IF(H2671="","",IFERROR(INDEX('Data Export'!G2671:CZ2671,1,MATCH(前十整体车型排名!$B$4,'Data Export'!$G$1:$CZ$1,0)),0))</f>
        <v/>
      </c>
      <c r="J2671" s="62" t="str">
        <f>IF(H2671="","",IF(OR('Data Export'!F2671="三厢轿车",'Data Export'!F2671="掀背轿车",'Data Export'!F2671="旅行车",'Data Export'!F2671="微型车",'Data Export'!F2671="硬顶跑车",'Data Export'!F2671="敞蓬车",'Data Export'!F2671="Targa"),"轿车",IF(OR('Data Export'!F2671="小型MPV",'Data Export'!F2671="客车"),"MPV",IF('Data Export'!F2671="运动型多功能车","SUV","其他"))))</f>
        <v/>
      </c>
      <c r="K2671" s="62"/>
      <c r="L2671" s="62"/>
      <c r="M2671" s="62"/>
      <c r="N2671" s="62"/>
      <c r="O2671" s="62"/>
      <c r="P2671" s="62"/>
      <c r="Q2671" s="62"/>
    </row>
    <row r="2672" spans="1:17">
      <c r="A2672" s="62"/>
      <c r="B2672" s="62"/>
      <c r="C2672" s="62"/>
      <c r="D2672" s="62"/>
      <c r="E2672" s="62"/>
      <c r="F2672" s="62"/>
      <c r="G2672" s="62"/>
      <c r="H2672" s="62" t="str">
        <f>IF(AND('Data Export'!A2672=前十整体车型排名!$B$2,'Data Export'!B2672=前十整体车型排名!$B$3,'Data Export'!D2672&lt;&gt;""),UPPER('Data Export'!C2672)&amp;"♦"&amp;'Data Export'!D2672,"")</f>
        <v/>
      </c>
      <c r="I2672" s="63" t="str">
        <f>IF(H2672="","",IFERROR(INDEX('Data Export'!G2672:CZ2672,1,MATCH(前十整体车型排名!$B$4,'Data Export'!$G$1:$CZ$1,0)),0))</f>
        <v/>
      </c>
      <c r="J2672" s="62" t="str">
        <f>IF(H2672="","",IF(OR('Data Export'!F2672="三厢轿车",'Data Export'!F2672="掀背轿车",'Data Export'!F2672="旅行车",'Data Export'!F2672="微型车",'Data Export'!F2672="硬顶跑车",'Data Export'!F2672="敞蓬车",'Data Export'!F2672="Targa"),"轿车",IF(OR('Data Export'!F2672="小型MPV",'Data Export'!F2672="客车"),"MPV",IF('Data Export'!F2672="运动型多功能车","SUV","其他"))))</f>
        <v/>
      </c>
      <c r="K2672" s="62"/>
      <c r="L2672" s="62"/>
      <c r="M2672" s="62"/>
      <c r="N2672" s="62"/>
      <c r="O2672" s="62"/>
      <c r="P2672" s="62"/>
      <c r="Q2672" s="62"/>
    </row>
    <row r="2673" spans="1:17">
      <c r="A2673" s="62"/>
      <c r="B2673" s="62"/>
      <c r="C2673" s="62"/>
      <c r="D2673" s="62"/>
      <c r="E2673" s="62"/>
      <c r="F2673" s="62"/>
      <c r="G2673" s="62"/>
      <c r="H2673" s="62" t="str">
        <f>IF(AND('Data Export'!A2673=前十整体车型排名!$B$2,'Data Export'!B2673=前十整体车型排名!$B$3,'Data Export'!D2673&lt;&gt;""),UPPER('Data Export'!C2673)&amp;"♦"&amp;'Data Export'!D2673,"")</f>
        <v/>
      </c>
      <c r="I2673" s="63" t="str">
        <f>IF(H2673="","",IFERROR(INDEX('Data Export'!G2673:CZ2673,1,MATCH(前十整体车型排名!$B$4,'Data Export'!$G$1:$CZ$1,0)),0))</f>
        <v/>
      </c>
      <c r="J2673" s="62" t="str">
        <f>IF(H2673="","",IF(OR('Data Export'!F2673="三厢轿车",'Data Export'!F2673="掀背轿车",'Data Export'!F2673="旅行车",'Data Export'!F2673="微型车",'Data Export'!F2673="硬顶跑车",'Data Export'!F2673="敞蓬车",'Data Export'!F2673="Targa"),"轿车",IF(OR('Data Export'!F2673="小型MPV",'Data Export'!F2673="客车"),"MPV",IF('Data Export'!F2673="运动型多功能车","SUV","其他"))))</f>
        <v/>
      </c>
      <c r="K2673" s="62"/>
      <c r="L2673" s="62"/>
      <c r="M2673" s="62"/>
      <c r="N2673" s="62"/>
      <c r="O2673" s="62"/>
      <c r="P2673" s="62"/>
      <c r="Q2673" s="62"/>
    </row>
    <row r="2674" spans="1:17">
      <c r="A2674" s="62"/>
      <c r="B2674" s="62"/>
      <c r="C2674" s="62"/>
      <c r="D2674" s="62"/>
      <c r="E2674" s="62"/>
      <c r="F2674" s="62"/>
      <c r="G2674" s="62"/>
      <c r="H2674" s="62" t="str">
        <f>IF(AND('Data Export'!A2674=前十整体车型排名!$B$2,'Data Export'!B2674=前十整体车型排名!$B$3,'Data Export'!D2674&lt;&gt;""),UPPER('Data Export'!C2674)&amp;"♦"&amp;'Data Export'!D2674,"")</f>
        <v/>
      </c>
      <c r="I2674" s="63" t="str">
        <f>IF(H2674="","",IFERROR(INDEX('Data Export'!G2674:CZ2674,1,MATCH(前十整体车型排名!$B$4,'Data Export'!$G$1:$CZ$1,0)),0))</f>
        <v/>
      </c>
      <c r="J2674" s="62" t="str">
        <f>IF(H2674="","",IF(OR('Data Export'!F2674="三厢轿车",'Data Export'!F2674="掀背轿车",'Data Export'!F2674="旅行车",'Data Export'!F2674="微型车",'Data Export'!F2674="硬顶跑车",'Data Export'!F2674="敞蓬车",'Data Export'!F2674="Targa"),"轿车",IF(OR('Data Export'!F2674="小型MPV",'Data Export'!F2674="客车"),"MPV",IF('Data Export'!F2674="运动型多功能车","SUV","其他"))))</f>
        <v/>
      </c>
      <c r="K2674" s="62"/>
      <c r="L2674" s="62"/>
      <c r="M2674" s="62"/>
      <c r="N2674" s="62"/>
      <c r="O2674" s="62"/>
      <c r="P2674" s="62"/>
      <c r="Q2674" s="62"/>
    </row>
    <row r="2675" spans="1:17">
      <c r="A2675" s="62"/>
      <c r="B2675" s="62"/>
      <c r="C2675" s="62"/>
      <c r="D2675" s="62"/>
      <c r="E2675" s="62"/>
      <c r="F2675" s="62"/>
      <c r="G2675" s="62"/>
      <c r="H2675" s="62" t="str">
        <f>IF(AND('Data Export'!A2675=前十整体车型排名!$B$2,'Data Export'!B2675=前十整体车型排名!$B$3,'Data Export'!D2675&lt;&gt;""),UPPER('Data Export'!C2675)&amp;"♦"&amp;'Data Export'!D2675,"")</f>
        <v/>
      </c>
      <c r="I2675" s="63" t="str">
        <f>IF(H2675="","",IFERROR(INDEX('Data Export'!G2675:CZ2675,1,MATCH(前十整体车型排名!$B$4,'Data Export'!$G$1:$CZ$1,0)),0))</f>
        <v/>
      </c>
      <c r="J2675" s="62" t="str">
        <f>IF(H2675="","",IF(OR('Data Export'!F2675="三厢轿车",'Data Export'!F2675="掀背轿车",'Data Export'!F2675="旅行车",'Data Export'!F2675="微型车",'Data Export'!F2675="硬顶跑车",'Data Export'!F2675="敞蓬车",'Data Export'!F2675="Targa"),"轿车",IF(OR('Data Export'!F2675="小型MPV",'Data Export'!F2675="客车"),"MPV",IF('Data Export'!F2675="运动型多功能车","SUV","其他"))))</f>
        <v/>
      </c>
      <c r="K2675" s="62"/>
      <c r="L2675" s="62"/>
      <c r="M2675" s="62"/>
      <c r="N2675" s="62"/>
      <c r="O2675" s="62"/>
      <c r="P2675" s="62"/>
      <c r="Q2675" s="62"/>
    </row>
    <row r="2676" spans="1:17">
      <c r="A2676" s="62"/>
      <c r="B2676" s="62"/>
      <c r="C2676" s="62"/>
      <c r="D2676" s="62"/>
      <c r="E2676" s="62"/>
      <c r="F2676" s="62"/>
      <c r="G2676" s="62"/>
      <c r="H2676" s="62" t="str">
        <f>IF(AND('Data Export'!A2676=前十整体车型排名!$B$2,'Data Export'!B2676=前十整体车型排名!$B$3,'Data Export'!D2676&lt;&gt;""),UPPER('Data Export'!C2676)&amp;"♦"&amp;'Data Export'!D2676,"")</f>
        <v/>
      </c>
      <c r="I2676" s="63" t="str">
        <f>IF(H2676="","",IFERROR(INDEX('Data Export'!G2676:CZ2676,1,MATCH(前十整体车型排名!$B$4,'Data Export'!$G$1:$CZ$1,0)),0))</f>
        <v/>
      </c>
      <c r="J2676" s="62" t="str">
        <f>IF(H2676="","",IF(OR('Data Export'!F2676="三厢轿车",'Data Export'!F2676="掀背轿车",'Data Export'!F2676="旅行车",'Data Export'!F2676="微型车",'Data Export'!F2676="硬顶跑车",'Data Export'!F2676="敞蓬车",'Data Export'!F2676="Targa"),"轿车",IF(OR('Data Export'!F2676="小型MPV",'Data Export'!F2676="客车"),"MPV",IF('Data Export'!F2676="运动型多功能车","SUV","其他"))))</f>
        <v/>
      </c>
      <c r="K2676" s="62"/>
      <c r="L2676" s="62"/>
      <c r="M2676" s="62"/>
      <c r="N2676" s="62"/>
      <c r="O2676" s="62"/>
      <c r="P2676" s="62"/>
      <c r="Q2676" s="62"/>
    </row>
    <row r="2677" spans="1:17">
      <c r="A2677" s="62"/>
      <c r="B2677" s="62"/>
      <c r="C2677" s="62"/>
      <c r="D2677" s="62"/>
      <c r="E2677" s="62"/>
      <c r="F2677" s="62"/>
      <c r="G2677" s="62"/>
      <c r="H2677" s="62" t="str">
        <f>IF(AND('Data Export'!A2677=前十整体车型排名!$B$2,'Data Export'!B2677=前十整体车型排名!$B$3,'Data Export'!D2677&lt;&gt;""),UPPER('Data Export'!C2677)&amp;"♦"&amp;'Data Export'!D2677,"")</f>
        <v/>
      </c>
      <c r="I2677" s="63" t="str">
        <f>IF(H2677="","",IFERROR(INDEX('Data Export'!G2677:CZ2677,1,MATCH(前十整体车型排名!$B$4,'Data Export'!$G$1:$CZ$1,0)),0))</f>
        <v/>
      </c>
      <c r="J2677" s="62" t="str">
        <f>IF(H2677="","",IF(OR('Data Export'!F2677="三厢轿车",'Data Export'!F2677="掀背轿车",'Data Export'!F2677="旅行车",'Data Export'!F2677="微型车",'Data Export'!F2677="硬顶跑车",'Data Export'!F2677="敞蓬车",'Data Export'!F2677="Targa"),"轿车",IF(OR('Data Export'!F2677="小型MPV",'Data Export'!F2677="客车"),"MPV",IF('Data Export'!F2677="运动型多功能车","SUV","其他"))))</f>
        <v/>
      </c>
      <c r="K2677" s="62"/>
      <c r="L2677" s="62"/>
      <c r="M2677" s="62"/>
      <c r="N2677" s="62"/>
      <c r="O2677" s="62"/>
      <c r="P2677" s="62"/>
      <c r="Q2677" s="62"/>
    </row>
    <row r="2678" spans="1:17">
      <c r="A2678" s="62"/>
      <c r="B2678" s="62"/>
      <c r="C2678" s="62"/>
      <c r="D2678" s="62"/>
      <c r="E2678" s="62"/>
      <c r="F2678" s="62"/>
      <c r="G2678" s="62"/>
      <c r="H2678" s="62" t="str">
        <f>IF(AND('Data Export'!A2678=前十整体车型排名!$B$2,'Data Export'!B2678=前十整体车型排名!$B$3,'Data Export'!D2678&lt;&gt;""),UPPER('Data Export'!C2678)&amp;"♦"&amp;'Data Export'!D2678,"")</f>
        <v/>
      </c>
      <c r="I2678" s="63" t="str">
        <f>IF(H2678="","",IFERROR(INDEX('Data Export'!G2678:CZ2678,1,MATCH(前十整体车型排名!$B$4,'Data Export'!$G$1:$CZ$1,0)),0))</f>
        <v/>
      </c>
      <c r="J2678" s="62" t="str">
        <f>IF(H2678="","",IF(OR('Data Export'!F2678="三厢轿车",'Data Export'!F2678="掀背轿车",'Data Export'!F2678="旅行车",'Data Export'!F2678="微型车",'Data Export'!F2678="硬顶跑车",'Data Export'!F2678="敞蓬车",'Data Export'!F2678="Targa"),"轿车",IF(OR('Data Export'!F2678="小型MPV",'Data Export'!F2678="客车"),"MPV",IF('Data Export'!F2678="运动型多功能车","SUV","其他"))))</f>
        <v/>
      </c>
      <c r="K2678" s="62"/>
      <c r="L2678" s="62"/>
      <c r="M2678" s="62"/>
      <c r="N2678" s="62"/>
      <c r="O2678" s="62"/>
      <c r="P2678" s="62"/>
      <c r="Q2678" s="62"/>
    </row>
    <row r="2679" spans="1:17">
      <c r="A2679" s="62"/>
      <c r="B2679" s="62"/>
      <c r="C2679" s="62"/>
      <c r="D2679" s="62"/>
      <c r="E2679" s="62"/>
      <c r="F2679" s="62"/>
      <c r="G2679" s="62"/>
      <c r="H2679" s="62" t="str">
        <f>IF(AND('Data Export'!A2679=前十整体车型排名!$B$2,'Data Export'!B2679=前十整体车型排名!$B$3,'Data Export'!D2679&lt;&gt;""),UPPER('Data Export'!C2679)&amp;"♦"&amp;'Data Export'!D2679,"")</f>
        <v/>
      </c>
      <c r="I2679" s="63" t="str">
        <f>IF(H2679="","",IFERROR(INDEX('Data Export'!G2679:CZ2679,1,MATCH(前十整体车型排名!$B$4,'Data Export'!$G$1:$CZ$1,0)),0))</f>
        <v/>
      </c>
      <c r="J2679" s="62" t="str">
        <f>IF(H2679="","",IF(OR('Data Export'!F2679="三厢轿车",'Data Export'!F2679="掀背轿车",'Data Export'!F2679="旅行车",'Data Export'!F2679="微型车",'Data Export'!F2679="硬顶跑车",'Data Export'!F2679="敞蓬车",'Data Export'!F2679="Targa"),"轿车",IF(OR('Data Export'!F2679="小型MPV",'Data Export'!F2679="客车"),"MPV",IF('Data Export'!F2679="运动型多功能车","SUV","其他"))))</f>
        <v/>
      </c>
      <c r="K2679" s="62"/>
      <c r="L2679" s="62"/>
      <c r="M2679" s="62"/>
      <c r="N2679" s="62"/>
      <c r="O2679" s="62"/>
      <c r="P2679" s="62"/>
      <c r="Q2679" s="62"/>
    </row>
    <row r="2680" spans="1:17">
      <c r="A2680" s="62"/>
      <c r="B2680" s="62"/>
      <c r="C2680" s="62"/>
      <c r="D2680" s="62"/>
      <c r="E2680" s="62"/>
      <c r="F2680" s="62"/>
      <c r="G2680" s="62"/>
      <c r="H2680" s="62" t="str">
        <f>IF(AND('Data Export'!A2680=前十整体车型排名!$B$2,'Data Export'!B2680=前十整体车型排名!$B$3,'Data Export'!D2680&lt;&gt;""),UPPER('Data Export'!C2680)&amp;"♦"&amp;'Data Export'!D2680,"")</f>
        <v/>
      </c>
      <c r="I2680" s="63" t="str">
        <f>IF(H2680="","",IFERROR(INDEX('Data Export'!G2680:CZ2680,1,MATCH(前十整体车型排名!$B$4,'Data Export'!$G$1:$CZ$1,0)),0))</f>
        <v/>
      </c>
      <c r="J2680" s="62" t="str">
        <f>IF(H2680="","",IF(OR('Data Export'!F2680="三厢轿车",'Data Export'!F2680="掀背轿车",'Data Export'!F2680="旅行车",'Data Export'!F2680="微型车",'Data Export'!F2680="硬顶跑车",'Data Export'!F2680="敞蓬车",'Data Export'!F2680="Targa"),"轿车",IF(OR('Data Export'!F2680="小型MPV",'Data Export'!F2680="客车"),"MPV",IF('Data Export'!F2680="运动型多功能车","SUV","其他"))))</f>
        <v/>
      </c>
      <c r="K2680" s="62"/>
      <c r="L2680" s="62"/>
      <c r="M2680" s="62"/>
      <c r="N2680" s="62"/>
      <c r="O2680" s="62"/>
      <c r="P2680" s="62"/>
      <c r="Q2680" s="62"/>
    </row>
    <row r="2681" spans="1:17">
      <c r="A2681" s="62"/>
      <c r="B2681" s="62"/>
      <c r="C2681" s="62"/>
      <c r="D2681" s="62"/>
      <c r="E2681" s="62"/>
      <c r="F2681" s="62"/>
      <c r="G2681" s="62"/>
      <c r="H2681" s="62" t="str">
        <f>IF(AND('Data Export'!A2681=前十整体车型排名!$B$2,'Data Export'!B2681=前十整体车型排名!$B$3,'Data Export'!D2681&lt;&gt;""),UPPER('Data Export'!C2681)&amp;"♦"&amp;'Data Export'!D2681,"")</f>
        <v/>
      </c>
      <c r="I2681" s="63" t="str">
        <f>IF(H2681="","",IFERROR(INDEX('Data Export'!G2681:CZ2681,1,MATCH(前十整体车型排名!$B$4,'Data Export'!$G$1:$CZ$1,0)),0))</f>
        <v/>
      </c>
      <c r="J2681" s="62" t="str">
        <f>IF(H2681="","",IF(OR('Data Export'!F2681="三厢轿车",'Data Export'!F2681="掀背轿车",'Data Export'!F2681="旅行车",'Data Export'!F2681="微型车",'Data Export'!F2681="硬顶跑车",'Data Export'!F2681="敞蓬车",'Data Export'!F2681="Targa"),"轿车",IF(OR('Data Export'!F2681="小型MPV",'Data Export'!F2681="客车"),"MPV",IF('Data Export'!F2681="运动型多功能车","SUV","其他"))))</f>
        <v/>
      </c>
      <c r="K2681" s="62"/>
      <c r="L2681" s="62"/>
      <c r="M2681" s="62"/>
      <c r="N2681" s="62"/>
      <c r="O2681" s="62"/>
      <c r="P2681" s="62"/>
      <c r="Q2681" s="62"/>
    </row>
    <row r="2682" spans="1:17">
      <c r="A2682" s="62"/>
      <c r="B2682" s="62"/>
      <c r="C2682" s="62"/>
      <c r="D2682" s="62"/>
      <c r="E2682" s="62"/>
      <c r="F2682" s="62"/>
      <c r="G2682" s="62"/>
      <c r="H2682" s="62" t="str">
        <f>IF(AND('Data Export'!A2682=前十整体车型排名!$B$2,'Data Export'!B2682=前十整体车型排名!$B$3,'Data Export'!D2682&lt;&gt;""),UPPER('Data Export'!C2682)&amp;"♦"&amp;'Data Export'!D2682,"")</f>
        <v/>
      </c>
      <c r="I2682" s="63" t="str">
        <f>IF(H2682="","",IFERROR(INDEX('Data Export'!G2682:CZ2682,1,MATCH(前十整体车型排名!$B$4,'Data Export'!$G$1:$CZ$1,0)),0))</f>
        <v/>
      </c>
      <c r="J2682" s="62" t="str">
        <f>IF(H2682="","",IF(OR('Data Export'!F2682="三厢轿车",'Data Export'!F2682="掀背轿车",'Data Export'!F2682="旅行车",'Data Export'!F2682="微型车",'Data Export'!F2682="硬顶跑车",'Data Export'!F2682="敞蓬车",'Data Export'!F2682="Targa"),"轿车",IF(OR('Data Export'!F2682="小型MPV",'Data Export'!F2682="客车"),"MPV",IF('Data Export'!F2682="运动型多功能车","SUV","其他"))))</f>
        <v/>
      </c>
      <c r="K2682" s="62"/>
      <c r="L2682" s="62"/>
      <c r="M2682" s="62"/>
      <c r="N2682" s="62"/>
      <c r="O2682" s="62"/>
      <c r="P2682" s="62"/>
      <c r="Q2682" s="62"/>
    </row>
    <row r="2683" spans="1:17">
      <c r="A2683" s="62"/>
      <c r="B2683" s="62"/>
      <c r="C2683" s="62"/>
      <c r="D2683" s="62"/>
      <c r="E2683" s="62"/>
      <c r="F2683" s="62"/>
      <c r="G2683" s="62"/>
      <c r="H2683" s="62" t="str">
        <f>IF(AND('Data Export'!A2683=前十整体车型排名!$B$2,'Data Export'!B2683=前十整体车型排名!$B$3,'Data Export'!D2683&lt;&gt;""),UPPER('Data Export'!C2683)&amp;"♦"&amp;'Data Export'!D2683,"")</f>
        <v/>
      </c>
      <c r="I2683" s="63" t="str">
        <f>IF(H2683="","",IFERROR(INDEX('Data Export'!G2683:CZ2683,1,MATCH(前十整体车型排名!$B$4,'Data Export'!$G$1:$CZ$1,0)),0))</f>
        <v/>
      </c>
      <c r="J2683" s="62" t="str">
        <f>IF(H2683="","",IF(OR('Data Export'!F2683="三厢轿车",'Data Export'!F2683="掀背轿车",'Data Export'!F2683="旅行车",'Data Export'!F2683="微型车",'Data Export'!F2683="硬顶跑车",'Data Export'!F2683="敞蓬车",'Data Export'!F2683="Targa"),"轿车",IF(OR('Data Export'!F2683="小型MPV",'Data Export'!F2683="客车"),"MPV",IF('Data Export'!F2683="运动型多功能车","SUV","其他"))))</f>
        <v/>
      </c>
      <c r="K2683" s="62"/>
      <c r="L2683" s="62"/>
      <c r="M2683" s="62"/>
      <c r="N2683" s="62"/>
      <c r="O2683" s="62"/>
      <c r="P2683" s="62"/>
      <c r="Q2683" s="62"/>
    </row>
    <row r="2684" spans="1:17">
      <c r="A2684" s="62"/>
      <c r="B2684" s="62"/>
      <c r="C2684" s="62"/>
      <c r="D2684" s="62"/>
      <c r="E2684" s="62"/>
      <c r="F2684" s="62"/>
      <c r="G2684" s="62"/>
      <c r="H2684" s="62" t="str">
        <f>IF(AND('Data Export'!A2684=前十整体车型排名!$B$2,'Data Export'!B2684=前十整体车型排名!$B$3,'Data Export'!D2684&lt;&gt;""),UPPER('Data Export'!C2684)&amp;"♦"&amp;'Data Export'!D2684,"")</f>
        <v/>
      </c>
      <c r="I2684" s="63" t="str">
        <f>IF(H2684="","",IFERROR(INDEX('Data Export'!G2684:CZ2684,1,MATCH(前十整体车型排名!$B$4,'Data Export'!$G$1:$CZ$1,0)),0))</f>
        <v/>
      </c>
      <c r="J2684" s="62" t="str">
        <f>IF(H2684="","",IF(OR('Data Export'!F2684="三厢轿车",'Data Export'!F2684="掀背轿车",'Data Export'!F2684="旅行车",'Data Export'!F2684="微型车",'Data Export'!F2684="硬顶跑车",'Data Export'!F2684="敞蓬车",'Data Export'!F2684="Targa"),"轿车",IF(OR('Data Export'!F2684="小型MPV",'Data Export'!F2684="客车"),"MPV",IF('Data Export'!F2684="运动型多功能车","SUV","其他"))))</f>
        <v/>
      </c>
      <c r="K2684" s="62"/>
      <c r="L2684" s="62"/>
      <c r="M2684" s="62"/>
      <c r="N2684" s="62"/>
      <c r="O2684" s="62"/>
      <c r="P2684" s="62"/>
      <c r="Q2684" s="62"/>
    </row>
    <row r="2685" spans="1:17">
      <c r="A2685" s="62"/>
      <c r="B2685" s="62"/>
      <c r="C2685" s="62"/>
      <c r="D2685" s="62"/>
      <c r="E2685" s="62"/>
      <c r="F2685" s="62"/>
      <c r="G2685" s="62"/>
      <c r="H2685" s="62" t="str">
        <f>IF(AND('Data Export'!A2685=前十整体车型排名!$B$2,'Data Export'!B2685=前十整体车型排名!$B$3,'Data Export'!D2685&lt;&gt;""),UPPER('Data Export'!C2685)&amp;"♦"&amp;'Data Export'!D2685,"")</f>
        <v/>
      </c>
      <c r="I2685" s="63" t="str">
        <f>IF(H2685="","",IFERROR(INDEX('Data Export'!G2685:CZ2685,1,MATCH(前十整体车型排名!$B$4,'Data Export'!$G$1:$CZ$1,0)),0))</f>
        <v/>
      </c>
      <c r="J2685" s="62" t="str">
        <f>IF(H2685="","",IF(OR('Data Export'!F2685="三厢轿车",'Data Export'!F2685="掀背轿车",'Data Export'!F2685="旅行车",'Data Export'!F2685="微型车",'Data Export'!F2685="硬顶跑车",'Data Export'!F2685="敞蓬车",'Data Export'!F2685="Targa"),"轿车",IF(OR('Data Export'!F2685="小型MPV",'Data Export'!F2685="客车"),"MPV",IF('Data Export'!F2685="运动型多功能车","SUV","其他"))))</f>
        <v/>
      </c>
      <c r="K2685" s="62"/>
      <c r="L2685" s="62"/>
      <c r="M2685" s="62"/>
      <c r="N2685" s="62"/>
      <c r="O2685" s="62"/>
      <c r="P2685" s="62"/>
      <c r="Q2685" s="62"/>
    </row>
    <row r="2686" spans="1:17">
      <c r="A2686" s="62"/>
      <c r="B2686" s="62"/>
      <c r="C2686" s="62"/>
      <c r="D2686" s="62"/>
      <c r="E2686" s="62"/>
      <c r="F2686" s="62"/>
      <c r="G2686" s="62"/>
      <c r="H2686" s="62" t="str">
        <f>IF(AND('Data Export'!A2686=前十整体车型排名!$B$2,'Data Export'!B2686=前十整体车型排名!$B$3,'Data Export'!D2686&lt;&gt;""),UPPER('Data Export'!C2686)&amp;"♦"&amp;'Data Export'!D2686,"")</f>
        <v/>
      </c>
      <c r="I2686" s="63" t="str">
        <f>IF(H2686="","",IFERROR(INDEX('Data Export'!G2686:CZ2686,1,MATCH(前十整体车型排名!$B$4,'Data Export'!$G$1:$CZ$1,0)),0))</f>
        <v/>
      </c>
      <c r="J2686" s="62" t="str">
        <f>IF(H2686="","",IF(OR('Data Export'!F2686="三厢轿车",'Data Export'!F2686="掀背轿车",'Data Export'!F2686="旅行车",'Data Export'!F2686="微型车",'Data Export'!F2686="硬顶跑车",'Data Export'!F2686="敞蓬车",'Data Export'!F2686="Targa"),"轿车",IF(OR('Data Export'!F2686="小型MPV",'Data Export'!F2686="客车"),"MPV",IF('Data Export'!F2686="运动型多功能车","SUV","其他"))))</f>
        <v/>
      </c>
      <c r="K2686" s="62"/>
      <c r="L2686" s="62"/>
      <c r="M2686" s="62"/>
      <c r="N2686" s="62"/>
      <c r="O2686" s="62"/>
      <c r="P2686" s="62"/>
      <c r="Q2686" s="62"/>
    </row>
    <row r="2687" spans="1:17">
      <c r="A2687" s="62"/>
      <c r="B2687" s="62"/>
      <c r="C2687" s="62"/>
      <c r="D2687" s="62"/>
      <c r="E2687" s="62"/>
      <c r="F2687" s="62"/>
      <c r="G2687" s="62"/>
      <c r="H2687" s="62" t="str">
        <f>IF(AND('Data Export'!A2687=前十整体车型排名!$B$2,'Data Export'!B2687=前十整体车型排名!$B$3,'Data Export'!D2687&lt;&gt;""),UPPER('Data Export'!C2687)&amp;"♦"&amp;'Data Export'!D2687,"")</f>
        <v/>
      </c>
      <c r="I2687" s="63" t="str">
        <f>IF(H2687="","",IFERROR(INDEX('Data Export'!G2687:CZ2687,1,MATCH(前十整体车型排名!$B$4,'Data Export'!$G$1:$CZ$1,0)),0))</f>
        <v/>
      </c>
      <c r="J2687" s="62" t="str">
        <f>IF(H2687="","",IF(OR('Data Export'!F2687="三厢轿车",'Data Export'!F2687="掀背轿车",'Data Export'!F2687="旅行车",'Data Export'!F2687="微型车",'Data Export'!F2687="硬顶跑车",'Data Export'!F2687="敞蓬车",'Data Export'!F2687="Targa"),"轿车",IF(OR('Data Export'!F2687="小型MPV",'Data Export'!F2687="客车"),"MPV",IF('Data Export'!F2687="运动型多功能车","SUV","其他"))))</f>
        <v/>
      </c>
      <c r="K2687" s="62"/>
      <c r="L2687" s="62"/>
      <c r="M2687" s="62"/>
      <c r="N2687" s="62"/>
      <c r="O2687" s="62"/>
      <c r="P2687" s="62"/>
      <c r="Q2687" s="62"/>
    </row>
    <row r="2688" spans="1:17">
      <c r="A2688" s="62"/>
      <c r="B2688" s="62"/>
      <c r="C2688" s="62"/>
      <c r="D2688" s="62"/>
      <c r="E2688" s="62"/>
      <c r="F2688" s="62"/>
      <c r="G2688" s="62"/>
      <c r="H2688" s="62" t="str">
        <f>IF(AND('Data Export'!A2688=前十整体车型排名!$B$2,'Data Export'!B2688=前十整体车型排名!$B$3,'Data Export'!D2688&lt;&gt;""),UPPER('Data Export'!C2688)&amp;"♦"&amp;'Data Export'!D2688,"")</f>
        <v/>
      </c>
      <c r="I2688" s="63" t="str">
        <f>IF(H2688="","",IFERROR(INDEX('Data Export'!G2688:CZ2688,1,MATCH(前十整体车型排名!$B$4,'Data Export'!$G$1:$CZ$1,0)),0))</f>
        <v/>
      </c>
      <c r="J2688" s="62" t="str">
        <f>IF(H2688="","",IF(OR('Data Export'!F2688="三厢轿车",'Data Export'!F2688="掀背轿车",'Data Export'!F2688="旅行车",'Data Export'!F2688="微型车",'Data Export'!F2688="硬顶跑车",'Data Export'!F2688="敞蓬车",'Data Export'!F2688="Targa"),"轿车",IF(OR('Data Export'!F2688="小型MPV",'Data Export'!F2688="客车"),"MPV",IF('Data Export'!F2688="运动型多功能车","SUV","其他"))))</f>
        <v/>
      </c>
      <c r="K2688" s="62"/>
      <c r="L2688" s="62"/>
      <c r="M2688" s="62"/>
      <c r="N2688" s="62"/>
      <c r="O2688" s="62"/>
      <c r="P2688" s="62"/>
      <c r="Q2688" s="62"/>
    </row>
    <row r="2689" spans="1:17">
      <c r="A2689" s="62"/>
      <c r="B2689" s="62"/>
      <c r="C2689" s="62"/>
      <c r="D2689" s="62"/>
      <c r="E2689" s="62"/>
      <c r="F2689" s="62"/>
      <c r="G2689" s="62"/>
      <c r="H2689" s="62" t="str">
        <f>IF(AND('Data Export'!A2689=前十整体车型排名!$B$2,'Data Export'!B2689=前十整体车型排名!$B$3,'Data Export'!D2689&lt;&gt;""),UPPER('Data Export'!C2689)&amp;"♦"&amp;'Data Export'!D2689,"")</f>
        <v/>
      </c>
      <c r="I2689" s="63" t="str">
        <f>IF(H2689="","",IFERROR(INDEX('Data Export'!G2689:CZ2689,1,MATCH(前十整体车型排名!$B$4,'Data Export'!$G$1:$CZ$1,0)),0))</f>
        <v/>
      </c>
      <c r="J2689" s="62" t="str">
        <f>IF(H2689="","",IF(OR('Data Export'!F2689="三厢轿车",'Data Export'!F2689="掀背轿车",'Data Export'!F2689="旅行车",'Data Export'!F2689="微型车",'Data Export'!F2689="硬顶跑车",'Data Export'!F2689="敞蓬车",'Data Export'!F2689="Targa"),"轿车",IF(OR('Data Export'!F2689="小型MPV",'Data Export'!F2689="客车"),"MPV",IF('Data Export'!F2689="运动型多功能车","SUV","其他"))))</f>
        <v/>
      </c>
      <c r="K2689" s="62"/>
      <c r="L2689" s="62"/>
      <c r="M2689" s="62"/>
      <c r="N2689" s="62"/>
      <c r="O2689" s="62"/>
      <c r="P2689" s="62"/>
      <c r="Q2689" s="62"/>
    </row>
    <row r="2690" spans="1:17">
      <c r="A2690" s="62"/>
      <c r="B2690" s="62"/>
      <c r="C2690" s="62"/>
      <c r="D2690" s="62"/>
      <c r="E2690" s="62"/>
      <c r="F2690" s="62"/>
      <c r="G2690" s="62"/>
      <c r="H2690" s="62" t="str">
        <f>IF(AND('Data Export'!A2690=前十整体车型排名!$B$2,'Data Export'!B2690=前十整体车型排名!$B$3,'Data Export'!D2690&lt;&gt;""),UPPER('Data Export'!C2690)&amp;"♦"&amp;'Data Export'!D2690,"")</f>
        <v/>
      </c>
      <c r="I2690" s="63" t="str">
        <f>IF(H2690="","",IFERROR(INDEX('Data Export'!G2690:CZ2690,1,MATCH(前十整体车型排名!$B$4,'Data Export'!$G$1:$CZ$1,0)),0))</f>
        <v/>
      </c>
      <c r="J2690" s="62" t="str">
        <f>IF(H2690="","",IF(OR('Data Export'!F2690="三厢轿车",'Data Export'!F2690="掀背轿车",'Data Export'!F2690="旅行车",'Data Export'!F2690="微型车",'Data Export'!F2690="硬顶跑车",'Data Export'!F2690="敞蓬车",'Data Export'!F2690="Targa"),"轿车",IF(OR('Data Export'!F2690="小型MPV",'Data Export'!F2690="客车"),"MPV",IF('Data Export'!F2690="运动型多功能车","SUV","其他"))))</f>
        <v/>
      </c>
      <c r="K2690" s="62"/>
      <c r="L2690" s="62"/>
      <c r="M2690" s="62"/>
      <c r="N2690" s="62"/>
      <c r="O2690" s="62"/>
      <c r="P2690" s="62"/>
      <c r="Q2690" s="62"/>
    </row>
    <row r="2691" spans="1:17">
      <c r="A2691" s="62"/>
      <c r="B2691" s="62"/>
      <c r="C2691" s="62"/>
      <c r="D2691" s="62"/>
      <c r="E2691" s="62"/>
      <c r="F2691" s="62"/>
      <c r="G2691" s="62"/>
      <c r="H2691" s="62" t="str">
        <f>IF(AND('Data Export'!A2691=前十整体车型排名!$B$2,'Data Export'!B2691=前十整体车型排名!$B$3,'Data Export'!D2691&lt;&gt;""),UPPER('Data Export'!C2691)&amp;"♦"&amp;'Data Export'!D2691,"")</f>
        <v/>
      </c>
      <c r="I2691" s="63" t="str">
        <f>IF(H2691="","",IFERROR(INDEX('Data Export'!G2691:CZ2691,1,MATCH(前十整体车型排名!$B$4,'Data Export'!$G$1:$CZ$1,0)),0))</f>
        <v/>
      </c>
      <c r="J2691" s="62" t="str">
        <f>IF(H2691="","",IF(OR('Data Export'!F2691="三厢轿车",'Data Export'!F2691="掀背轿车",'Data Export'!F2691="旅行车",'Data Export'!F2691="微型车",'Data Export'!F2691="硬顶跑车",'Data Export'!F2691="敞蓬车",'Data Export'!F2691="Targa"),"轿车",IF(OR('Data Export'!F2691="小型MPV",'Data Export'!F2691="客车"),"MPV",IF('Data Export'!F2691="运动型多功能车","SUV","其他"))))</f>
        <v/>
      </c>
      <c r="K2691" s="62"/>
      <c r="L2691" s="62"/>
      <c r="M2691" s="62"/>
      <c r="N2691" s="62"/>
      <c r="O2691" s="62"/>
      <c r="P2691" s="62"/>
      <c r="Q2691" s="62"/>
    </row>
    <row r="2692" spans="1:17">
      <c r="A2692" s="62"/>
      <c r="B2692" s="62"/>
      <c r="C2692" s="62"/>
      <c r="D2692" s="62"/>
      <c r="E2692" s="62"/>
      <c r="F2692" s="62"/>
      <c r="G2692" s="62"/>
      <c r="H2692" s="62" t="str">
        <f>IF(AND('Data Export'!A2692=前十整体车型排名!$B$2,'Data Export'!B2692=前十整体车型排名!$B$3,'Data Export'!D2692&lt;&gt;""),UPPER('Data Export'!C2692)&amp;"♦"&amp;'Data Export'!D2692,"")</f>
        <v/>
      </c>
      <c r="I2692" s="63" t="str">
        <f>IF(H2692="","",IFERROR(INDEX('Data Export'!G2692:CZ2692,1,MATCH(前十整体车型排名!$B$4,'Data Export'!$G$1:$CZ$1,0)),0))</f>
        <v/>
      </c>
      <c r="J2692" s="62" t="str">
        <f>IF(H2692="","",IF(OR('Data Export'!F2692="三厢轿车",'Data Export'!F2692="掀背轿车",'Data Export'!F2692="旅行车",'Data Export'!F2692="微型车",'Data Export'!F2692="硬顶跑车",'Data Export'!F2692="敞蓬车",'Data Export'!F2692="Targa"),"轿车",IF(OR('Data Export'!F2692="小型MPV",'Data Export'!F2692="客车"),"MPV",IF('Data Export'!F2692="运动型多功能车","SUV","其他"))))</f>
        <v/>
      </c>
      <c r="K2692" s="62"/>
      <c r="L2692" s="62"/>
      <c r="M2692" s="62"/>
      <c r="N2692" s="62"/>
      <c r="O2692" s="62"/>
      <c r="P2692" s="62"/>
      <c r="Q2692" s="62"/>
    </row>
    <row r="2693" spans="1:17">
      <c r="A2693" s="62"/>
      <c r="B2693" s="62"/>
      <c r="C2693" s="62"/>
      <c r="D2693" s="62"/>
      <c r="E2693" s="62"/>
      <c r="F2693" s="62"/>
      <c r="G2693" s="62"/>
      <c r="H2693" s="62" t="str">
        <f>IF(AND('Data Export'!A2693=前十整体车型排名!$B$2,'Data Export'!B2693=前十整体车型排名!$B$3,'Data Export'!D2693&lt;&gt;""),UPPER('Data Export'!C2693)&amp;"♦"&amp;'Data Export'!D2693,"")</f>
        <v/>
      </c>
      <c r="I2693" s="63" t="str">
        <f>IF(H2693="","",IFERROR(INDEX('Data Export'!G2693:CZ2693,1,MATCH(前十整体车型排名!$B$4,'Data Export'!$G$1:$CZ$1,0)),0))</f>
        <v/>
      </c>
      <c r="J2693" s="62" t="str">
        <f>IF(H2693="","",IF(OR('Data Export'!F2693="三厢轿车",'Data Export'!F2693="掀背轿车",'Data Export'!F2693="旅行车",'Data Export'!F2693="微型车",'Data Export'!F2693="硬顶跑车",'Data Export'!F2693="敞蓬车",'Data Export'!F2693="Targa"),"轿车",IF(OR('Data Export'!F2693="小型MPV",'Data Export'!F2693="客车"),"MPV",IF('Data Export'!F2693="运动型多功能车","SUV","其他"))))</f>
        <v/>
      </c>
      <c r="K2693" s="62"/>
      <c r="L2693" s="62"/>
      <c r="M2693" s="62"/>
      <c r="N2693" s="62"/>
      <c r="O2693" s="62"/>
      <c r="P2693" s="62"/>
      <c r="Q2693" s="62"/>
    </row>
    <row r="2694" spans="1:17">
      <c r="A2694" s="62"/>
      <c r="B2694" s="62"/>
      <c r="C2694" s="62"/>
      <c r="D2694" s="62"/>
      <c r="E2694" s="62"/>
      <c r="F2694" s="62"/>
      <c r="G2694" s="62"/>
      <c r="H2694" s="62" t="str">
        <f>IF(AND('Data Export'!A2694=前十整体车型排名!$B$2,'Data Export'!B2694=前十整体车型排名!$B$3,'Data Export'!D2694&lt;&gt;""),UPPER('Data Export'!C2694)&amp;"♦"&amp;'Data Export'!D2694,"")</f>
        <v/>
      </c>
      <c r="I2694" s="63" t="str">
        <f>IF(H2694="","",IFERROR(INDEX('Data Export'!G2694:CZ2694,1,MATCH(前十整体车型排名!$B$4,'Data Export'!$G$1:$CZ$1,0)),0))</f>
        <v/>
      </c>
      <c r="J2694" s="62" t="str">
        <f>IF(H2694="","",IF(OR('Data Export'!F2694="三厢轿车",'Data Export'!F2694="掀背轿车",'Data Export'!F2694="旅行车",'Data Export'!F2694="微型车",'Data Export'!F2694="硬顶跑车",'Data Export'!F2694="敞蓬车",'Data Export'!F2694="Targa"),"轿车",IF(OR('Data Export'!F2694="小型MPV",'Data Export'!F2694="客车"),"MPV",IF('Data Export'!F2694="运动型多功能车","SUV","其他"))))</f>
        <v/>
      </c>
      <c r="K2694" s="62"/>
      <c r="L2694" s="62"/>
      <c r="M2694" s="62"/>
      <c r="N2694" s="62"/>
      <c r="O2694" s="62"/>
      <c r="P2694" s="62"/>
      <c r="Q2694" s="62"/>
    </row>
    <row r="2695" spans="1:17">
      <c r="A2695" s="62"/>
      <c r="B2695" s="62"/>
      <c r="C2695" s="62"/>
      <c r="D2695" s="62"/>
      <c r="E2695" s="62"/>
      <c r="F2695" s="62"/>
      <c r="G2695" s="62"/>
      <c r="H2695" s="62" t="str">
        <f>IF(AND('Data Export'!A2695=前十整体车型排名!$B$2,'Data Export'!B2695=前十整体车型排名!$B$3,'Data Export'!D2695&lt;&gt;""),UPPER('Data Export'!C2695)&amp;"♦"&amp;'Data Export'!D2695,"")</f>
        <v/>
      </c>
      <c r="I2695" s="63" t="str">
        <f>IF(H2695="","",IFERROR(INDEX('Data Export'!G2695:CZ2695,1,MATCH(前十整体车型排名!$B$4,'Data Export'!$G$1:$CZ$1,0)),0))</f>
        <v/>
      </c>
      <c r="J2695" s="62" t="str">
        <f>IF(H2695="","",IF(OR('Data Export'!F2695="三厢轿车",'Data Export'!F2695="掀背轿车",'Data Export'!F2695="旅行车",'Data Export'!F2695="微型车",'Data Export'!F2695="硬顶跑车",'Data Export'!F2695="敞蓬车",'Data Export'!F2695="Targa"),"轿车",IF(OR('Data Export'!F2695="小型MPV",'Data Export'!F2695="客车"),"MPV",IF('Data Export'!F2695="运动型多功能车","SUV","其他"))))</f>
        <v/>
      </c>
      <c r="K2695" s="62"/>
      <c r="L2695" s="62"/>
      <c r="M2695" s="62"/>
      <c r="N2695" s="62"/>
      <c r="O2695" s="62"/>
      <c r="P2695" s="62"/>
      <c r="Q2695" s="62"/>
    </row>
    <row r="2696" spans="1:17">
      <c r="A2696" s="62"/>
      <c r="B2696" s="62"/>
      <c r="C2696" s="62"/>
      <c r="D2696" s="62"/>
      <c r="E2696" s="62"/>
      <c r="F2696" s="62"/>
      <c r="G2696" s="62"/>
      <c r="H2696" s="62" t="str">
        <f>IF(AND('Data Export'!A2696=前十整体车型排名!$B$2,'Data Export'!B2696=前十整体车型排名!$B$3,'Data Export'!D2696&lt;&gt;""),UPPER('Data Export'!C2696)&amp;"♦"&amp;'Data Export'!D2696,"")</f>
        <v/>
      </c>
      <c r="I2696" s="63" t="str">
        <f>IF(H2696="","",IFERROR(INDEX('Data Export'!G2696:CZ2696,1,MATCH(前十整体车型排名!$B$4,'Data Export'!$G$1:$CZ$1,0)),0))</f>
        <v/>
      </c>
      <c r="J2696" s="62" t="str">
        <f>IF(H2696="","",IF(OR('Data Export'!F2696="三厢轿车",'Data Export'!F2696="掀背轿车",'Data Export'!F2696="旅行车",'Data Export'!F2696="微型车",'Data Export'!F2696="硬顶跑车",'Data Export'!F2696="敞蓬车",'Data Export'!F2696="Targa"),"轿车",IF(OR('Data Export'!F2696="小型MPV",'Data Export'!F2696="客车"),"MPV",IF('Data Export'!F2696="运动型多功能车","SUV","其他"))))</f>
        <v/>
      </c>
      <c r="K2696" s="62"/>
      <c r="L2696" s="62"/>
      <c r="M2696" s="62"/>
      <c r="N2696" s="62"/>
      <c r="O2696" s="62"/>
      <c r="P2696" s="62"/>
      <c r="Q2696" s="62"/>
    </row>
    <row r="2697" spans="1:17">
      <c r="A2697" s="62"/>
      <c r="B2697" s="62"/>
      <c r="C2697" s="62"/>
      <c r="D2697" s="62"/>
      <c r="E2697" s="62"/>
      <c r="F2697" s="62"/>
      <c r="G2697" s="62"/>
      <c r="H2697" s="62" t="str">
        <f>IF(AND('Data Export'!A2697=前十整体车型排名!$B$2,'Data Export'!B2697=前十整体车型排名!$B$3,'Data Export'!D2697&lt;&gt;""),UPPER('Data Export'!C2697)&amp;"♦"&amp;'Data Export'!D2697,"")</f>
        <v/>
      </c>
      <c r="I2697" s="63" t="str">
        <f>IF(H2697="","",IFERROR(INDEX('Data Export'!G2697:CZ2697,1,MATCH(前十整体车型排名!$B$4,'Data Export'!$G$1:$CZ$1,0)),0))</f>
        <v/>
      </c>
      <c r="J2697" s="62" t="str">
        <f>IF(H2697="","",IF(OR('Data Export'!F2697="三厢轿车",'Data Export'!F2697="掀背轿车",'Data Export'!F2697="旅行车",'Data Export'!F2697="微型车",'Data Export'!F2697="硬顶跑车",'Data Export'!F2697="敞蓬车",'Data Export'!F2697="Targa"),"轿车",IF(OR('Data Export'!F2697="小型MPV",'Data Export'!F2697="客车"),"MPV",IF('Data Export'!F2697="运动型多功能车","SUV","其他"))))</f>
        <v/>
      </c>
      <c r="K2697" s="62"/>
      <c r="L2697" s="62"/>
      <c r="M2697" s="62"/>
      <c r="N2697" s="62"/>
      <c r="O2697" s="62"/>
      <c r="P2697" s="62"/>
      <c r="Q2697" s="62"/>
    </row>
    <row r="2698" spans="1:17">
      <c r="A2698" s="62"/>
      <c r="B2698" s="62"/>
      <c r="C2698" s="62"/>
      <c r="D2698" s="62"/>
      <c r="E2698" s="62"/>
      <c r="F2698" s="62"/>
      <c r="G2698" s="62"/>
      <c r="H2698" s="62" t="str">
        <f>IF(AND('Data Export'!A2698=前十整体车型排名!$B$2,'Data Export'!B2698=前十整体车型排名!$B$3,'Data Export'!D2698&lt;&gt;""),UPPER('Data Export'!C2698)&amp;"♦"&amp;'Data Export'!D2698,"")</f>
        <v/>
      </c>
      <c r="I2698" s="63" t="str">
        <f>IF(H2698="","",IFERROR(INDEX('Data Export'!G2698:CZ2698,1,MATCH(前十整体车型排名!$B$4,'Data Export'!$G$1:$CZ$1,0)),0))</f>
        <v/>
      </c>
      <c r="J2698" s="62" t="str">
        <f>IF(H2698="","",IF(OR('Data Export'!F2698="三厢轿车",'Data Export'!F2698="掀背轿车",'Data Export'!F2698="旅行车",'Data Export'!F2698="微型车",'Data Export'!F2698="硬顶跑车",'Data Export'!F2698="敞蓬车",'Data Export'!F2698="Targa"),"轿车",IF(OR('Data Export'!F2698="小型MPV",'Data Export'!F2698="客车"),"MPV",IF('Data Export'!F2698="运动型多功能车","SUV","其他"))))</f>
        <v/>
      </c>
      <c r="K2698" s="62"/>
      <c r="L2698" s="62"/>
      <c r="M2698" s="62"/>
      <c r="N2698" s="62"/>
      <c r="O2698" s="62"/>
      <c r="P2698" s="62"/>
      <c r="Q2698" s="62"/>
    </row>
    <row r="2699" spans="1:17">
      <c r="A2699" s="62"/>
      <c r="B2699" s="62"/>
      <c r="C2699" s="62"/>
      <c r="D2699" s="62"/>
      <c r="E2699" s="62"/>
      <c r="F2699" s="62"/>
      <c r="G2699" s="62"/>
      <c r="H2699" s="62" t="str">
        <f>IF(AND('Data Export'!A2699=前十整体车型排名!$B$2,'Data Export'!B2699=前十整体车型排名!$B$3,'Data Export'!D2699&lt;&gt;""),UPPER('Data Export'!C2699)&amp;"♦"&amp;'Data Export'!D2699,"")</f>
        <v/>
      </c>
      <c r="I2699" s="63" t="str">
        <f>IF(H2699="","",IFERROR(INDEX('Data Export'!G2699:CZ2699,1,MATCH(前十整体车型排名!$B$4,'Data Export'!$G$1:$CZ$1,0)),0))</f>
        <v/>
      </c>
      <c r="J2699" s="62" t="str">
        <f>IF(H2699="","",IF(OR('Data Export'!F2699="三厢轿车",'Data Export'!F2699="掀背轿车",'Data Export'!F2699="旅行车",'Data Export'!F2699="微型车",'Data Export'!F2699="硬顶跑车",'Data Export'!F2699="敞蓬车",'Data Export'!F2699="Targa"),"轿车",IF(OR('Data Export'!F2699="小型MPV",'Data Export'!F2699="客车"),"MPV",IF('Data Export'!F2699="运动型多功能车","SUV","其他"))))</f>
        <v/>
      </c>
      <c r="K2699" s="62"/>
      <c r="L2699" s="62"/>
      <c r="M2699" s="62"/>
      <c r="N2699" s="62"/>
      <c r="O2699" s="62"/>
      <c r="P2699" s="62"/>
      <c r="Q2699" s="62"/>
    </row>
    <row r="2700" spans="1:17">
      <c r="A2700" s="62"/>
      <c r="B2700" s="62"/>
      <c r="C2700" s="62"/>
      <c r="D2700" s="62"/>
      <c r="E2700" s="62"/>
      <c r="F2700" s="62"/>
      <c r="G2700" s="62"/>
      <c r="H2700" s="62" t="str">
        <f>IF(AND('Data Export'!A2700=前十整体车型排名!$B$2,'Data Export'!B2700=前十整体车型排名!$B$3,'Data Export'!D2700&lt;&gt;""),UPPER('Data Export'!C2700)&amp;"♦"&amp;'Data Export'!D2700,"")</f>
        <v/>
      </c>
      <c r="I2700" s="63" t="str">
        <f>IF(H2700="","",IFERROR(INDEX('Data Export'!G2700:CZ2700,1,MATCH(前十整体车型排名!$B$4,'Data Export'!$G$1:$CZ$1,0)),0))</f>
        <v/>
      </c>
      <c r="J2700" s="62" t="str">
        <f>IF(H2700="","",IF(OR('Data Export'!F2700="三厢轿车",'Data Export'!F2700="掀背轿车",'Data Export'!F2700="旅行车",'Data Export'!F2700="微型车",'Data Export'!F2700="硬顶跑车",'Data Export'!F2700="敞蓬车",'Data Export'!F2700="Targa"),"轿车",IF(OR('Data Export'!F2700="小型MPV",'Data Export'!F2700="客车"),"MPV",IF('Data Export'!F2700="运动型多功能车","SUV","其他"))))</f>
        <v/>
      </c>
      <c r="K2700" s="62"/>
      <c r="L2700" s="62"/>
      <c r="M2700" s="62"/>
      <c r="N2700" s="62"/>
      <c r="O2700" s="62"/>
      <c r="P2700" s="62"/>
      <c r="Q2700" s="62"/>
    </row>
    <row r="2701" spans="1:17">
      <c r="A2701" s="62"/>
      <c r="B2701" s="62"/>
      <c r="C2701" s="62"/>
      <c r="D2701" s="62"/>
      <c r="E2701" s="62"/>
      <c r="F2701" s="62"/>
      <c r="G2701" s="62"/>
      <c r="H2701" s="62" t="str">
        <f>IF(AND('Data Export'!A2701=前十整体车型排名!$B$2,'Data Export'!B2701=前十整体车型排名!$B$3,'Data Export'!D2701&lt;&gt;""),UPPER('Data Export'!C2701)&amp;"♦"&amp;'Data Export'!D2701,"")</f>
        <v/>
      </c>
      <c r="I2701" s="63" t="str">
        <f>IF(H2701="","",IFERROR(INDEX('Data Export'!G2701:CZ2701,1,MATCH(前十整体车型排名!$B$4,'Data Export'!$G$1:$CZ$1,0)),0))</f>
        <v/>
      </c>
      <c r="J2701" s="62" t="str">
        <f>IF(H2701="","",IF(OR('Data Export'!F2701="三厢轿车",'Data Export'!F2701="掀背轿车",'Data Export'!F2701="旅行车",'Data Export'!F2701="微型车",'Data Export'!F2701="硬顶跑车",'Data Export'!F2701="敞蓬车",'Data Export'!F2701="Targa"),"轿车",IF(OR('Data Export'!F2701="小型MPV",'Data Export'!F2701="客车"),"MPV",IF('Data Export'!F2701="运动型多功能车","SUV","其他"))))</f>
        <v/>
      </c>
      <c r="K2701" s="62"/>
      <c r="L2701" s="62"/>
      <c r="M2701" s="62"/>
      <c r="N2701" s="62"/>
      <c r="O2701" s="62"/>
      <c r="P2701" s="62"/>
      <c r="Q2701" s="62"/>
    </row>
    <row r="2702" spans="1:17">
      <c r="A2702" s="62"/>
      <c r="B2702" s="62"/>
      <c r="C2702" s="62"/>
      <c r="D2702" s="62"/>
      <c r="E2702" s="62"/>
      <c r="F2702" s="62"/>
      <c r="G2702" s="62"/>
      <c r="H2702" s="62" t="str">
        <f>IF(AND('Data Export'!A2702=前十整体车型排名!$B$2,'Data Export'!B2702=前十整体车型排名!$B$3,'Data Export'!D2702&lt;&gt;""),UPPER('Data Export'!C2702)&amp;"♦"&amp;'Data Export'!D2702,"")</f>
        <v/>
      </c>
      <c r="I2702" s="63" t="str">
        <f>IF(H2702="","",IFERROR(INDEX('Data Export'!G2702:CZ2702,1,MATCH(前十整体车型排名!$B$4,'Data Export'!$G$1:$CZ$1,0)),0))</f>
        <v/>
      </c>
      <c r="J2702" s="62" t="str">
        <f>IF(H2702="","",IF(OR('Data Export'!F2702="三厢轿车",'Data Export'!F2702="掀背轿车",'Data Export'!F2702="旅行车",'Data Export'!F2702="微型车",'Data Export'!F2702="硬顶跑车",'Data Export'!F2702="敞蓬车",'Data Export'!F2702="Targa"),"轿车",IF(OR('Data Export'!F2702="小型MPV",'Data Export'!F2702="客车"),"MPV",IF('Data Export'!F2702="运动型多功能车","SUV","其他"))))</f>
        <v/>
      </c>
      <c r="K2702" s="62"/>
      <c r="L2702" s="62"/>
      <c r="M2702" s="62"/>
      <c r="N2702" s="62"/>
      <c r="O2702" s="62"/>
      <c r="P2702" s="62"/>
      <c r="Q2702" s="62"/>
    </row>
    <row r="2703" spans="1:17">
      <c r="A2703" s="62"/>
      <c r="B2703" s="62"/>
      <c r="C2703" s="62"/>
      <c r="D2703" s="62"/>
      <c r="E2703" s="62"/>
      <c r="F2703" s="62"/>
      <c r="G2703" s="62"/>
      <c r="H2703" s="62" t="str">
        <f>IF(AND('Data Export'!A2703=前十整体车型排名!$B$2,'Data Export'!B2703=前十整体车型排名!$B$3,'Data Export'!D2703&lt;&gt;""),UPPER('Data Export'!C2703)&amp;"♦"&amp;'Data Export'!D2703,"")</f>
        <v/>
      </c>
      <c r="I2703" s="63" t="str">
        <f>IF(H2703="","",IFERROR(INDEX('Data Export'!G2703:CZ2703,1,MATCH(前十整体车型排名!$B$4,'Data Export'!$G$1:$CZ$1,0)),0))</f>
        <v/>
      </c>
      <c r="J2703" s="62" t="str">
        <f>IF(H2703="","",IF(OR('Data Export'!F2703="三厢轿车",'Data Export'!F2703="掀背轿车",'Data Export'!F2703="旅行车",'Data Export'!F2703="微型车",'Data Export'!F2703="硬顶跑车",'Data Export'!F2703="敞蓬车",'Data Export'!F2703="Targa"),"轿车",IF(OR('Data Export'!F2703="小型MPV",'Data Export'!F2703="客车"),"MPV",IF('Data Export'!F2703="运动型多功能车","SUV","其他"))))</f>
        <v/>
      </c>
      <c r="K2703" s="62"/>
      <c r="L2703" s="62"/>
      <c r="M2703" s="62"/>
      <c r="N2703" s="62"/>
      <c r="O2703" s="62"/>
      <c r="P2703" s="62"/>
      <c r="Q2703" s="62"/>
    </row>
    <row r="2704" spans="1:17">
      <c r="A2704" s="62"/>
      <c r="B2704" s="62"/>
      <c r="C2704" s="62"/>
      <c r="D2704" s="62"/>
      <c r="E2704" s="62"/>
      <c r="F2704" s="62"/>
      <c r="G2704" s="62"/>
      <c r="H2704" s="62" t="str">
        <f>IF(AND('Data Export'!A2704=前十整体车型排名!$B$2,'Data Export'!B2704=前十整体车型排名!$B$3,'Data Export'!D2704&lt;&gt;""),UPPER('Data Export'!C2704)&amp;"♦"&amp;'Data Export'!D2704,"")</f>
        <v/>
      </c>
      <c r="I2704" s="63" t="str">
        <f>IF(H2704="","",IFERROR(INDEX('Data Export'!G2704:CZ2704,1,MATCH(前十整体车型排名!$B$4,'Data Export'!$G$1:$CZ$1,0)),0))</f>
        <v/>
      </c>
      <c r="J2704" s="62" t="str">
        <f>IF(H2704="","",IF(OR('Data Export'!F2704="三厢轿车",'Data Export'!F2704="掀背轿车",'Data Export'!F2704="旅行车",'Data Export'!F2704="微型车",'Data Export'!F2704="硬顶跑车",'Data Export'!F2704="敞蓬车",'Data Export'!F2704="Targa"),"轿车",IF(OR('Data Export'!F2704="小型MPV",'Data Export'!F2704="客车"),"MPV",IF('Data Export'!F2704="运动型多功能车","SUV","其他"))))</f>
        <v/>
      </c>
      <c r="K2704" s="62"/>
      <c r="L2704" s="62"/>
      <c r="M2704" s="62"/>
      <c r="N2704" s="62"/>
      <c r="O2704" s="62"/>
      <c r="P2704" s="62"/>
      <c r="Q2704" s="62"/>
    </row>
    <row r="2705" spans="1:17">
      <c r="A2705" s="62"/>
      <c r="B2705" s="62"/>
      <c r="C2705" s="62"/>
      <c r="D2705" s="62"/>
      <c r="E2705" s="62"/>
      <c r="F2705" s="62"/>
      <c r="G2705" s="62"/>
      <c r="H2705" s="62" t="str">
        <f>IF(AND('Data Export'!A2705=前十整体车型排名!$B$2,'Data Export'!B2705=前十整体车型排名!$B$3,'Data Export'!D2705&lt;&gt;""),UPPER('Data Export'!C2705)&amp;"♦"&amp;'Data Export'!D2705,"")</f>
        <v/>
      </c>
      <c r="I2705" s="63" t="str">
        <f>IF(H2705="","",IFERROR(INDEX('Data Export'!G2705:CZ2705,1,MATCH(前十整体车型排名!$B$4,'Data Export'!$G$1:$CZ$1,0)),0))</f>
        <v/>
      </c>
      <c r="J2705" s="62" t="str">
        <f>IF(H2705="","",IF(OR('Data Export'!F2705="三厢轿车",'Data Export'!F2705="掀背轿车",'Data Export'!F2705="旅行车",'Data Export'!F2705="微型车",'Data Export'!F2705="硬顶跑车",'Data Export'!F2705="敞蓬车",'Data Export'!F2705="Targa"),"轿车",IF(OR('Data Export'!F2705="小型MPV",'Data Export'!F2705="客车"),"MPV",IF('Data Export'!F2705="运动型多功能车","SUV","其他"))))</f>
        <v/>
      </c>
      <c r="K2705" s="62"/>
      <c r="L2705" s="62"/>
      <c r="M2705" s="62"/>
      <c r="N2705" s="62"/>
      <c r="O2705" s="62"/>
      <c r="P2705" s="62"/>
      <c r="Q2705" s="62"/>
    </row>
    <row r="2706" spans="1:17">
      <c r="A2706" s="62"/>
      <c r="B2706" s="62"/>
      <c r="C2706" s="62"/>
      <c r="D2706" s="62"/>
      <c r="E2706" s="62"/>
      <c r="F2706" s="62"/>
      <c r="G2706" s="62"/>
      <c r="H2706" s="62" t="str">
        <f>IF(AND('Data Export'!A2706=前十整体车型排名!$B$2,'Data Export'!B2706=前十整体车型排名!$B$3,'Data Export'!D2706&lt;&gt;""),UPPER('Data Export'!C2706)&amp;"♦"&amp;'Data Export'!D2706,"")</f>
        <v/>
      </c>
      <c r="I2706" s="63" t="str">
        <f>IF(H2706="","",IFERROR(INDEX('Data Export'!G2706:CZ2706,1,MATCH(前十整体车型排名!$B$4,'Data Export'!$G$1:$CZ$1,0)),0))</f>
        <v/>
      </c>
      <c r="J2706" s="62" t="str">
        <f>IF(H2706="","",IF(OR('Data Export'!F2706="三厢轿车",'Data Export'!F2706="掀背轿车",'Data Export'!F2706="旅行车",'Data Export'!F2706="微型车",'Data Export'!F2706="硬顶跑车",'Data Export'!F2706="敞蓬车",'Data Export'!F2706="Targa"),"轿车",IF(OR('Data Export'!F2706="小型MPV",'Data Export'!F2706="客车"),"MPV",IF('Data Export'!F2706="运动型多功能车","SUV","其他"))))</f>
        <v/>
      </c>
      <c r="K2706" s="62"/>
      <c r="L2706" s="62"/>
      <c r="M2706" s="62"/>
      <c r="N2706" s="62"/>
      <c r="O2706" s="62"/>
      <c r="P2706" s="62"/>
      <c r="Q2706" s="62"/>
    </row>
    <row r="2707" spans="1:17">
      <c r="A2707" s="62"/>
      <c r="B2707" s="62"/>
      <c r="C2707" s="62"/>
      <c r="D2707" s="62"/>
      <c r="E2707" s="62"/>
      <c r="F2707" s="62"/>
      <c r="G2707" s="62"/>
      <c r="H2707" s="62" t="str">
        <f>IF(AND('Data Export'!A2707=前十整体车型排名!$B$2,'Data Export'!B2707=前十整体车型排名!$B$3,'Data Export'!D2707&lt;&gt;""),UPPER('Data Export'!C2707)&amp;"♦"&amp;'Data Export'!D2707,"")</f>
        <v/>
      </c>
      <c r="I2707" s="63" t="str">
        <f>IF(H2707="","",IFERROR(INDEX('Data Export'!G2707:CZ2707,1,MATCH(前十整体车型排名!$B$4,'Data Export'!$G$1:$CZ$1,0)),0))</f>
        <v/>
      </c>
      <c r="J2707" s="62" t="str">
        <f>IF(H2707="","",IF(OR('Data Export'!F2707="三厢轿车",'Data Export'!F2707="掀背轿车",'Data Export'!F2707="旅行车",'Data Export'!F2707="微型车",'Data Export'!F2707="硬顶跑车",'Data Export'!F2707="敞蓬车",'Data Export'!F2707="Targa"),"轿车",IF(OR('Data Export'!F2707="小型MPV",'Data Export'!F2707="客车"),"MPV",IF('Data Export'!F2707="运动型多功能车","SUV","其他"))))</f>
        <v/>
      </c>
      <c r="K2707" s="62"/>
      <c r="L2707" s="62"/>
      <c r="M2707" s="62"/>
      <c r="N2707" s="62"/>
      <c r="O2707" s="62"/>
      <c r="P2707" s="62"/>
      <c r="Q2707" s="62"/>
    </row>
    <row r="2708" spans="1:17">
      <c r="A2708" s="62"/>
      <c r="B2708" s="62"/>
      <c r="C2708" s="62"/>
      <c r="D2708" s="62"/>
      <c r="E2708" s="62"/>
      <c r="F2708" s="62"/>
      <c r="G2708" s="62"/>
      <c r="H2708" s="62" t="str">
        <f>IF(AND('Data Export'!A2708=前十整体车型排名!$B$2,'Data Export'!B2708=前十整体车型排名!$B$3,'Data Export'!D2708&lt;&gt;""),UPPER('Data Export'!C2708)&amp;"♦"&amp;'Data Export'!D2708,"")</f>
        <v/>
      </c>
      <c r="I2708" s="63" t="str">
        <f>IF(H2708="","",IFERROR(INDEX('Data Export'!G2708:CZ2708,1,MATCH(前十整体车型排名!$B$4,'Data Export'!$G$1:$CZ$1,0)),0))</f>
        <v/>
      </c>
      <c r="J2708" s="62" t="str">
        <f>IF(H2708="","",IF(OR('Data Export'!F2708="三厢轿车",'Data Export'!F2708="掀背轿车",'Data Export'!F2708="旅行车",'Data Export'!F2708="微型车",'Data Export'!F2708="硬顶跑车",'Data Export'!F2708="敞蓬车",'Data Export'!F2708="Targa"),"轿车",IF(OR('Data Export'!F2708="小型MPV",'Data Export'!F2708="客车"),"MPV",IF('Data Export'!F2708="运动型多功能车","SUV","其他"))))</f>
        <v/>
      </c>
      <c r="K2708" s="62"/>
      <c r="L2708" s="62"/>
      <c r="M2708" s="62"/>
      <c r="N2708" s="62"/>
      <c r="O2708" s="62"/>
      <c r="P2708" s="62"/>
      <c r="Q2708" s="62"/>
    </row>
    <row r="2709" spans="1:17">
      <c r="A2709" s="62"/>
      <c r="B2709" s="62"/>
      <c r="C2709" s="62"/>
      <c r="D2709" s="62"/>
      <c r="E2709" s="62"/>
      <c r="F2709" s="62"/>
      <c r="G2709" s="62"/>
      <c r="H2709" s="62" t="str">
        <f>IF(AND('Data Export'!A2709=前十整体车型排名!$B$2,'Data Export'!B2709=前十整体车型排名!$B$3,'Data Export'!D2709&lt;&gt;""),UPPER('Data Export'!C2709)&amp;"♦"&amp;'Data Export'!D2709,"")</f>
        <v/>
      </c>
      <c r="I2709" s="63" t="str">
        <f>IF(H2709="","",IFERROR(INDEX('Data Export'!G2709:CZ2709,1,MATCH(前十整体车型排名!$B$4,'Data Export'!$G$1:$CZ$1,0)),0))</f>
        <v/>
      </c>
      <c r="J2709" s="62" t="str">
        <f>IF(H2709="","",IF(OR('Data Export'!F2709="三厢轿车",'Data Export'!F2709="掀背轿车",'Data Export'!F2709="旅行车",'Data Export'!F2709="微型车",'Data Export'!F2709="硬顶跑车",'Data Export'!F2709="敞蓬车",'Data Export'!F2709="Targa"),"轿车",IF(OR('Data Export'!F2709="小型MPV",'Data Export'!F2709="客车"),"MPV",IF('Data Export'!F2709="运动型多功能车","SUV","其他"))))</f>
        <v/>
      </c>
      <c r="K2709" s="62"/>
      <c r="L2709" s="62"/>
      <c r="M2709" s="62"/>
      <c r="N2709" s="62"/>
      <c r="O2709" s="62"/>
      <c r="P2709" s="62"/>
      <c r="Q2709" s="62"/>
    </row>
    <row r="2710" spans="1:17">
      <c r="A2710" s="62"/>
      <c r="B2710" s="62"/>
      <c r="C2710" s="62"/>
      <c r="D2710" s="62"/>
      <c r="E2710" s="62"/>
      <c r="F2710" s="62"/>
      <c r="G2710" s="62"/>
      <c r="H2710" s="62" t="str">
        <f>IF(AND('Data Export'!A2710=前十整体车型排名!$B$2,'Data Export'!B2710=前十整体车型排名!$B$3,'Data Export'!D2710&lt;&gt;""),UPPER('Data Export'!C2710)&amp;"♦"&amp;'Data Export'!D2710,"")</f>
        <v/>
      </c>
      <c r="I2710" s="63" t="str">
        <f>IF(H2710="","",IFERROR(INDEX('Data Export'!G2710:CZ2710,1,MATCH(前十整体车型排名!$B$4,'Data Export'!$G$1:$CZ$1,0)),0))</f>
        <v/>
      </c>
      <c r="J2710" s="62" t="str">
        <f>IF(H2710="","",IF(OR('Data Export'!F2710="三厢轿车",'Data Export'!F2710="掀背轿车",'Data Export'!F2710="旅行车",'Data Export'!F2710="微型车",'Data Export'!F2710="硬顶跑车",'Data Export'!F2710="敞蓬车",'Data Export'!F2710="Targa"),"轿车",IF(OR('Data Export'!F2710="小型MPV",'Data Export'!F2710="客车"),"MPV",IF('Data Export'!F2710="运动型多功能车","SUV","其他"))))</f>
        <v/>
      </c>
      <c r="K2710" s="62"/>
      <c r="L2710" s="62"/>
      <c r="M2710" s="62"/>
      <c r="N2710" s="62"/>
      <c r="O2710" s="62"/>
      <c r="P2710" s="62"/>
      <c r="Q2710" s="62"/>
    </row>
    <row r="2711" spans="1:17">
      <c r="A2711" s="62"/>
      <c r="B2711" s="62"/>
      <c r="C2711" s="62"/>
      <c r="D2711" s="62"/>
      <c r="E2711" s="62"/>
      <c r="F2711" s="62"/>
      <c r="G2711" s="62"/>
      <c r="H2711" s="62" t="str">
        <f>IF(AND('Data Export'!A2711=前十整体车型排名!$B$2,'Data Export'!B2711=前十整体车型排名!$B$3,'Data Export'!D2711&lt;&gt;""),UPPER('Data Export'!C2711)&amp;"♦"&amp;'Data Export'!D2711,"")</f>
        <v/>
      </c>
      <c r="I2711" s="63" t="str">
        <f>IF(H2711="","",IFERROR(INDEX('Data Export'!G2711:CZ2711,1,MATCH(前十整体车型排名!$B$4,'Data Export'!$G$1:$CZ$1,0)),0))</f>
        <v/>
      </c>
      <c r="J2711" s="62" t="str">
        <f>IF(H2711="","",IF(OR('Data Export'!F2711="三厢轿车",'Data Export'!F2711="掀背轿车",'Data Export'!F2711="旅行车",'Data Export'!F2711="微型车",'Data Export'!F2711="硬顶跑车",'Data Export'!F2711="敞蓬车",'Data Export'!F2711="Targa"),"轿车",IF(OR('Data Export'!F2711="小型MPV",'Data Export'!F2711="客车"),"MPV",IF('Data Export'!F2711="运动型多功能车","SUV","其他"))))</f>
        <v/>
      </c>
      <c r="K2711" s="62"/>
      <c r="L2711" s="62"/>
      <c r="M2711" s="62"/>
      <c r="N2711" s="62"/>
      <c r="O2711" s="62"/>
      <c r="P2711" s="62"/>
      <c r="Q2711" s="62"/>
    </row>
    <row r="2712" spans="1:17">
      <c r="A2712" s="62"/>
      <c r="B2712" s="62"/>
      <c r="C2712" s="62"/>
      <c r="D2712" s="62"/>
      <c r="E2712" s="62"/>
      <c r="F2712" s="62"/>
      <c r="G2712" s="62"/>
      <c r="H2712" s="62" t="str">
        <f>IF(AND('Data Export'!A2712=前十整体车型排名!$B$2,'Data Export'!B2712=前十整体车型排名!$B$3,'Data Export'!D2712&lt;&gt;""),UPPER('Data Export'!C2712)&amp;"♦"&amp;'Data Export'!D2712,"")</f>
        <v/>
      </c>
      <c r="I2712" s="63" t="str">
        <f>IF(H2712="","",IFERROR(INDEX('Data Export'!G2712:CZ2712,1,MATCH(前十整体车型排名!$B$4,'Data Export'!$G$1:$CZ$1,0)),0))</f>
        <v/>
      </c>
      <c r="J2712" s="62" t="str">
        <f>IF(H2712="","",IF(OR('Data Export'!F2712="三厢轿车",'Data Export'!F2712="掀背轿车",'Data Export'!F2712="旅行车",'Data Export'!F2712="微型车",'Data Export'!F2712="硬顶跑车",'Data Export'!F2712="敞蓬车",'Data Export'!F2712="Targa"),"轿车",IF(OR('Data Export'!F2712="小型MPV",'Data Export'!F2712="客车"),"MPV",IF('Data Export'!F2712="运动型多功能车","SUV","其他"))))</f>
        <v/>
      </c>
      <c r="K2712" s="62"/>
      <c r="L2712" s="62"/>
      <c r="M2712" s="62"/>
      <c r="N2712" s="62"/>
      <c r="O2712" s="62"/>
      <c r="P2712" s="62"/>
      <c r="Q2712" s="62"/>
    </row>
    <row r="2713" spans="1:17">
      <c r="A2713" s="62"/>
      <c r="B2713" s="62"/>
      <c r="C2713" s="62"/>
      <c r="D2713" s="62"/>
      <c r="E2713" s="62"/>
      <c r="F2713" s="62"/>
      <c r="G2713" s="62"/>
      <c r="H2713" s="62" t="str">
        <f>IF(AND('Data Export'!A2713=前十整体车型排名!$B$2,'Data Export'!B2713=前十整体车型排名!$B$3,'Data Export'!D2713&lt;&gt;""),UPPER('Data Export'!C2713)&amp;"♦"&amp;'Data Export'!D2713,"")</f>
        <v/>
      </c>
      <c r="I2713" s="63" t="str">
        <f>IF(H2713="","",IFERROR(INDEX('Data Export'!G2713:CZ2713,1,MATCH(前十整体车型排名!$B$4,'Data Export'!$G$1:$CZ$1,0)),0))</f>
        <v/>
      </c>
      <c r="J2713" s="62" t="str">
        <f>IF(H2713="","",IF(OR('Data Export'!F2713="三厢轿车",'Data Export'!F2713="掀背轿车",'Data Export'!F2713="旅行车",'Data Export'!F2713="微型车",'Data Export'!F2713="硬顶跑车",'Data Export'!F2713="敞蓬车",'Data Export'!F2713="Targa"),"轿车",IF(OR('Data Export'!F2713="小型MPV",'Data Export'!F2713="客车"),"MPV",IF('Data Export'!F2713="运动型多功能车","SUV","其他"))))</f>
        <v/>
      </c>
      <c r="K2713" s="62"/>
      <c r="L2713" s="62"/>
      <c r="M2713" s="62"/>
      <c r="N2713" s="62"/>
      <c r="O2713" s="62"/>
      <c r="P2713" s="62"/>
      <c r="Q2713" s="62"/>
    </row>
    <row r="2714" spans="1:17">
      <c r="A2714" s="62"/>
      <c r="B2714" s="62"/>
      <c r="C2714" s="62"/>
      <c r="D2714" s="62"/>
      <c r="E2714" s="62"/>
      <c r="F2714" s="62"/>
      <c r="G2714" s="62"/>
      <c r="H2714" s="62" t="str">
        <f>IF(AND('Data Export'!A2714=前十整体车型排名!$B$2,'Data Export'!B2714=前十整体车型排名!$B$3,'Data Export'!D2714&lt;&gt;""),UPPER('Data Export'!C2714)&amp;"♦"&amp;'Data Export'!D2714,"")</f>
        <v/>
      </c>
      <c r="I2714" s="63" t="str">
        <f>IF(H2714="","",IFERROR(INDEX('Data Export'!G2714:CZ2714,1,MATCH(前十整体车型排名!$B$4,'Data Export'!$G$1:$CZ$1,0)),0))</f>
        <v/>
      </c>
      <c r="J2714" s="62" t="str">
        <f>IF(H2714="","",IF(OR('Data Export'!F2714="三厢轿车",'Data Export'!F2714="掀背轿车",'Data Export'!F2714="旅行车",'Data Export'!F2714="微型车",'Data Export'!F2714="硬顶跑车",'Data Export'!F2714="敞蓬车",'Data Export'!F2714="Targa"),"轿车",IF(OR('Data Export'!F2714="小型MPV",'Data Export'!F2714="客车"),"MPV",IF('Data Export'!F2714="运动型多功能车","SUV","其他"))))</f>
        <v/>
      </c>
      <c r="K2714" s="62"/>
      <c r="L2714" s="62"/>
      <c r="M2714" s="62"/>
      <c r="N2714" s="62"/>
      <c r="O2714" s="62"/>
      <c r="P2714" s="62"/>
      <c r="Q2714" s="62"/>
    </row>
    <row r="2715" spans="1:17">
      <c r="A2715" s="62"/>
      <c r="B2715" s="62"/>
      <c r="C2715" s="62"/>
      <c r="D2715" s="62"/>
      <c r="E2715" s="62"/>
      <c r="F2715" s="62"/>
      <c r="G2715" s="62"/>
      <c r="H2715" s="62" t="str">
        <f>IF(AND('Data Export'!A2715=前十整体车型排名!$B$2,'Data Export'!B2715=前十整体车型排名!$B$3,'Data Export'!D2715&lt;&gt;""),UPPER('Data Export'!C2715)&amp;"♦"&amp;'Data Export'!D2715,"")</f>
        <v/>
      </c>
      <c r="I2715" s="63" t="str">
        <f>IF(H2715="","",IFERROR(INDEX('Data Export'!G2715:CZ2715,1,MATCH(前十整体车型排名!$B$4,'Data Export'!$G$1:$CZ$1,0)),0))</f>
        <v/>
      </c>
      <c r="J2715" s="62" t="str">
        <f>IF(H2715="","",IF(OR('Data Export'!F2715="三厢轿车",'Data Export'!F2715="掀背轿车",'Data Export'!F2715="旅行车",'Data Export'!F2715="微型车",'Data Export'!F2715="硬顶跑车",'Data Export'!F2715="敞蓬车",'Data Export'!F2715="Targa"),"轿车",IF(OR('Data Export'!F2715="小型MPV",'Data Export'!F2715="客车"),"MPV",IF('Data Export'!F2715="运动型多功能车","SUV","其他"))))</f>
        <v/>
      </c>
      <c r="K2715" s="62"/>
      <c r="L2715" s="62"/>
      <c r="M2715" s="62"/>
      <c r="N2715" s="62"/>
      <c r="O2715" s="62"/>
      <c r="P2715" s="62"/>
      <c r="Q2715" s="62"/>
    </row>
    <row r="2716" spans="1:17">
      <c r="A2716" s="62"/>
      <c r="B2716" s="62"/>
      <c r="C2716" s="62"/>
      <c r="D2716" s="62"/>
      <c r="E2716" s="62"/>
      <c r="F2716" s="62"/>
      <c r="G2716" s="62"/>
      <c r="H2716" s="62" t="str">
        <f>IF(AND('Data Export'!A2716=前十整体车型排名!$B$2,'Data Export'!B2716=前十整体车型排名!$B$3,'Data Export'!D2716&lt;&gt;""),UPPER('Data Export'!C2716)&amp;"♦"&amp;'Data Export'!D2716,"")</f>
        <v/>
      </c>
      <c r="I2716" s="63" t="str">
        <f>IF(H2716="","",IFERROR(INDEX('Data Export'!G2716:CZ2716,1,MATCH(前十整体车型排名!$B$4,'Data Export'!$G$1:$CZ$1,0)),0))</f>
        <v/>
      </c>
      <c r="J2716" s="62" t="str">
        <f>IF(H2716="","",IF(OR('Data Export'!F2716="三厢轿车",'Data Export'!F2716="掀背轿车",'Data Export'!F2716="旅行车",'Data Export'!F2716="微型车",'Data Export'!F2716="硬顶跑车",'Data Export'!F2716="敞蓬车",'Data Export'!F2716="Targa"),"轿车",IF(OR('Data Export'!F2716="小型MPV",'Data Export'!F2716="客车"),"MPV",IF('Data Export'!F2716="运动型多功能车","SUV","其他"))))</f>
        <v/>
      </c>
      <c r="K2716" s="62"/>
      <c r="L2716" s="62"/>
      <c r="M2716" s="62"/>
      <c r="N2716" s="62"/>
      <c r="O2716" s="62"/>
      <c r="P2716" s="62"/>
      <c r="Q2716" s="62"/>
    </row>
    <row r="2717" spans="1:17">
      <c r="A2717" s="62"/>
      <c r="B2717" s="62"/>
      <c r="C2717" s="62"/>
      <c r="D2717" s="62"/>
      <c r="E2717" s="62"/>
      <c r="F2717" s="62"/>
      <c r="G2717" s="62"/>
      <c r="H2717" s="62" t="str">
        <f>IF(AND('Data Export'!A2717=前十整体车型排名!$B$2,'Data Export'!B2717=前十整体车型排名!$B$3,'Data Export'!D2717&lt;&gt;""),UPPER('Data Export'!C2717)&amp;"♦"&amp;'Data Export'!D2717,"")</f>
        <v/>
      </c>
      <c r="I2717" s="63" t="str">
        <f>IF(H2717="","",IFERROR(INDEX('Data Export'!G2717:CZ2717,1,MATCH(前十整体车型排名!$B$4,'Data Export'!$G$1:$CZ$1,0)),0))</f>
        <v/>
      </c>
      <c r="J2717" s="62" t="str">
        <f>IF(H2717="","",IF(OR('Data Export'!F2717="三厢轿车",'Data Export'!F2717="掀背轿车",'Data Export'!F2717="旅行车",'Data Export'!F2717="微型车",'Data Export'!F2717="硬顶跑车",'Data Export'!F2717="敞蓬车",'Data Export'!F2717="Targa"),"轿车",IF(OR('Data Export'!F2717="小型MPV",'Data Export'!F2717="客车"),"MPV",IF('Data Export'!F2717="运动型多功能车","SUV","其他"))))</f>
        <v/>
      </c>
      <c r="K2717" s="62"/>
      <c r="L2717" s="62"/>
      <c r="M2717" s="62"/>
      <c r="N2717" s="62"/>
      <c r="O2717" s="62"/>
      <c r="P2717" s="62"/>
      <c r="Q2717" s="62"/>
    </row>
    <row r="2718" spans="1:17">
      <c r="A2718" s="62"/>
      <c r="B2718" s="62"/>
      <c r="C2718" s="62"/>
      <c r="D2718" s="62"/>
      <c r="E2718" s="62"/>
      <c r="F2718" s="62"/>
      <c r="G2718" s="62"/>
      <c r="H2718" s="62" t="str">
        <f>IF(AND('Data Export'!A2718=前十整体车型排名!$B$2,'Data Export'!B2718=前十整体车型排名!$B$3,'Data Export'!D2718&lt;&gt;""),UPPER('Data Export'!C2718)&amp;"♦"&amp;'Data Export'!D2718,"")</f>
        <v/>
      </c>
      <c r="I2718" s="63" t="str">
        <f>IF(H2718="","",IFERROR(INDEX('Data Export'!G2718:CZ2718,1,MATCH(前十整体车型排名!$B$4,'Data Export'!$G$1:$CZ$1,0)),0))</f>
        <v/>
      </c>
      <c r="J2718" s="62" t="str">
        <f>IF(H2718="","",IF(OR('Data Export'!F2718="三厢轿车",'Data Export'!F2718="掀背轿车",'Data Export'!F2718="旅行车",'Data Export'!F2718="微型车",'Data Export'!F2718="硬顶跑车",'Data Export'!F2718="敞蓬车",'Data Export'!F2718="Targa"),"轿车",IF(OR('Data Export'!F2718="小型MPV",'Data Export'!F2718="客车"),"MPV",IF('Data Export'!F2718="运动型多功能车","SUV","其他"))))</f>
        <v/>
      </c>
      <c r="K2718" s="62"/>
      <c r="L2718" s="62"/>
      <c r="M2718" s="62"/>
      <c r="N2718" s="62"/>
      <c r="O2718" s="62"/>
      <c r="P2718" s="62"/>
      <c r="Q2718" s="62"/>
    </row>
    <row r="2719" spans="1:17">
      <c r="A2719" s="62"/>
      <c r="B2719" s="62"/>
      <c r="C2719" s="62"/>
      <c r="D2719" s="62"/>
      <c r="E2719" s="62"/>
      <c r="F2719" s="62"/>
      <c r="G2719" s="62"/>
      <c r="H2719" s="62" t="str">
        <f>IF(AND('Data Export'!A2719=前十整体车型排名!$B$2,'Data Export'!B2719=前十整体车型排名!$B$3,'Data Export'!D2719&lt;&gt;""),UPPER('Data Export'!C2719)&amp;"♦"&amp;'Data Export'!D2719,"")</f>
        <v/>
      </c>
      <c r="I2719" s="63" t="str">
        <f>IF(H2719="","",IFERROR(INDEX('Data Export'!G2719:CZ2719,1,MATCH(前十整体车型排名!$B$4,'Data Export'!$G$1:$CZ$1,0)),0))</f>
        <v/>
      </c>
      <c r="J2719" s="62" t="str">
        <f>IF(H2719="","",IF(OR('Data Export'!F2719="三厢轿车",'Data Export'!F2719="掀背轿车",'Data Export'!F2719="旅行车",'Data Export'!F2719="微型车",'Data Export'!F2719="硬顶跑车",'Data Export'!F2719="敞蓬车",'Data Export'!F2719="Targa"),"轿车",IF(OR('Data Export'!F2719="小型MPV",'Data Export'!F2719="客车"),"MPV",IF('Data Export'!F2719="运动型多功能车","SUV","其他"))))</f>
        <v/>
      </c>
      <c r="K2719" s="62"/>
      <c r="L2719" s="62"/>
      <c r="M2719" s="62"/>
      <c r="N2719" s="62"/>
      <c r="O2719" s="62"/>
      <c r="P2719" s="62"/>
      <c r="Q2719" s="62"/>
    </row>
    <row r="2720" spans="1:17">
      <c r="A2720" s="62"/>
      <c r="B2720" s="62"/>
      <c r="C2720" s="62"/>
      <c r="D2720" s="62"/>
      <c r="E2720" s="62"/>
      <c r="F2720" s="62"/>
      <c r="G2720" s="62"/>
      <c r="H2720" s="62" t="str">
        <f>IF(AND('Data Export'!A2720=前十整体车型排名!$B$2,'Data Export'!B2720=前十整体车型排名!$B$3,'Data Export'!D2720&lt;&gt;""),UPPER('Data Export'!C2720)&amp;"♦"&amp;'Data Export'!D2720,"")</f>
        <v/>
      </c>
      <c r="I2720" s="63" t="str">
        <f>IF(H2720="","",IFERROR(INDEX('Data Export'!G2720:CZ2720,1,MATCH(前十整体车型排名!$B$4,'Data Export'!$G$1:$CZ$1,0)),0))</f>
        <v/>
      </c>
      <c r="J2720" s="62" t="str">
        <f>IF(H2720="","",IF(OR('Data Export'!F2720="三厢轿车",'Data Export'!F2720="掀背轿车",'Data Export'!F2720="旅行车",'Data Export'!F2720="微型车",'Data Export'!F2720="硬顶跑车",'Data Export'!F2720="敞蓬车",'Data Export'!F2720="Targa"),"轿车",IF(OR('Data Export'!F2720="小型MPV",'Data Export'!F2720="客车"),"MPV",IF('Data Export'!F2720="运动型多功能车","SUV","其他"))))</f>
        <v/>
      </c>
      <c r="K2720" s="62"/>
      <c r="L2720" s="62"/>
      <c r="M2720" s="62"/>
      <c r="N2720" s="62"/>
      <c r="O2720" s="62"/>
      <c r="P2720" s="62"/>
      <c r="Q2720" s="62"/>
    </row>
    <row r="2721" spans="1:17">
      <c r="A2721" s="62"/>
      <c r="B2721" s="62"/>
      <c r="C2721" s="62"/>
      <c r="D2721" s="62"/>
      <c r="E2721" s="62"/>
      <c r="F2721" s="62"/>
      <c r="G2721" s="62"/>
      <c r="H2721" s="62" t="str">
        <f>IF(AND('Data Export'!A2721=前十整体车型排名!$B$2,'Data Export'!B2721=前十整体车型排名!$B$3,'Data Export'!D2721&lt;&gt;""),UPPER('Data Export'!C2721)&amp;"♦"&amp;'Data Export'!D2721,"")</f>
        <v/>
      </c>
      <c r="I2721" s="63" t="str">
        <f>IF(H2721="","",IFERROR(INDEX('Data Export'!G2721:CZ2721,1,MATCH(前十整体车型排名!$B$4,'Data Export'!$G$1:$CZ$1,0)),0))</f>
        <v/>
      </c>
      <c r="J2721" s="62" t="str">
        <f>IF(H2721="","",IF(OR('Data Export'!F2721="三厢轿车",'Data Export'!F2721="掀背轿车",'Data Export'!F2721="旅行车",'Data Export'!F2721="微型车",'Data Export'!F2721="硬顶跑车",'Data Export'!F2721="敞蓬车",'Data Export'!F2721="Targa"),"轿车",IF(OR('Data Export'!F2721="小型MPV",'Data Export'!F2721="客车"),"MPV",IF('Data Export'!F2721="运动型多功能车","SUV","其他"))))</f>
        <v/>
      </c>
      <c r="K2721" s="62"/>
      <c r="L2721" s="62"/>
      <c r="M2721" s="62"/>
      <c r="N2721" s="62"/>
      <c r="O2721" s="62"/>
      <c r="P2721" s="62"/>
      <c r="Q2721" s="62"/>
    </row>
    <row r="2722" spans="1:17">
      <c r="A2722" s="62"/>
      <c r="B2722" s="62"/>
      <c r="C2722" s="62"/>
      <c r="D2722" s="62"/>
      <c r="E2722" s="62"/>
      <c r="F2722" s="62"/>
      <c r="G2722" s="62"/>
      <c r="H2722" s="62" t="str">
        <f>IF(AND('Data Export'!A2722=前十整体车型排名!$B$2,'Data Export'!B2722=前十整体车型排名!$B$3,'Data Export'!D2722&lt;&gt;""),UPPER('Data Export'!C2722)&amp;"♦"&amp;'Data Export'!D2722,"")</f>
        <v/>
      </c>
      <c r="I2722" s="63" t="str">
        <f>IF(H2722="","",IFERROR(INDEX('Data Export'!G2722:CZ2722,1,MATCH(前十整体车型排名!$B$4,'Data Export'!$G$1:$CZ$1,0)),0))</f>
        <v/>
      </c>
      <c r="J2722" s="62" t="str">
        <f>IF(H2722="","",IF(OR('Data Export'!F2722="三厢轿车",'Data Export'!F2722="掀背轿车",'Data Export'!F2722="旅行车",'Data Export'!F2722="微型车",'Data Export'!F2722="硬顶跑车",'Data Export'!F2722="敞蓬车",'Data Export'!F2722="Targa"),"轿车",IF(OR('Data Export'!F2722="小型MPV",'Data Export'!F2722="客车"),"MPV",IF('Data Export'!F2722="运动型多功能车","SUV","其他"))))</f>
        <v/>
      </c>
      <c r="K2722" s="62"/>
      <c r="L2722" s="62"/>
      <c r="M2722" s="62"/>
      <c r="N2722" s="62"/>
      <c r="O2722" s="62"/>
      <c r="P2722" s="62"/>
      <c r="Q2722" s="62"/>
    </row>
    <row r="2723" spans="1:17">
      <c r="A2723" s="62"/>
      <c r="B2723" s="62"/>
      <c r="C2723" s="62"/>
      <c r="D2723" s="62"/>
      <c r="E2723" s="62"/>
      <c r="F2723" s="62"/>
      <c r="G2723" s="62"/>
      <c r="H2723" s="62" t="str">
        <f>IF(AND('Data Export'!A2723=前十整体车型排名!$B$2,'Data Export'!B2723=前十整体车型排名!$B$3,'Data Export'!D2723&lt;&gt;""),UPPER('Data Export'!C2723)&amp;"♦"&amp;'Data Export'!D2723,"")</f>
        <v/>
      </c>
      <c r="I2723" s="63" t="str">
        <f>IF(H2723="","",IFERROR(INDEX('Data Export'!G2723:CZ2723,1,MATCH(前十整体车型排名!$B$4,'Data Export'!$G$1:$CZ$1,0)),0))</f>
        <v/>
      </c>
      <c r="J2723" s="62" t="str">
        <f>IF(H2723="","",IF(OR('Data Export'!F2723="三厢轿车",'Data Export'!F2723="掀背轿车",'Data Export'!F2723="旅行车",'Data Export'!F2723="微型车",'Data Export'!F2723="硬顶跑车",'Data Export'!F2723="敞蓬车",'Data Export'!F2723="Targa"),"轿车",IF(OR('Data Export'!F2723="小型MPV",'Data Export'!F2723="客车"),"MPV",IF('Data Export'!F2723="运动型多功能车","SUV","其他"))))</f>
        <v/>
      </c>
      <c r="K2723" s="62"/>
      <c r="L2723" s="62"/>
      <c r="M2723" s="62"/>
      <c r="N2723" s="62"/>
      <c r="O2723" s="62"/>
      <c r="P2723" s="62"/>
      <c r="Q2723" s="62"/>
    </row>
    <row r="2724" spans="1:17">
      <c r="A2724" s="62"/>
      <c r="B2724" s="62"/>
      <c r="C2724" s="62"/>
      <c r="D2724" s="62"/>
      <c r="E2724" s="62"/>
      <c r="F2724" s="62"/>
      <c r="G2724" s="62"/>
      <c r="H2724" s="62" t="str">
        <f>IF(AND('Data Export'!A2724=前十整体车型排名!$B$2,'Data Export'!B2724=前十整体车型排名!$B$3,'Data Export'!D2724&lt;&gt;""),UPPER('Data Export'!C2724)&amp;"♦"&amp;'Data Export'!D2724,"")</f>
        <v/>
      </c>
      <c r="I2724" s="63" t="str">
        <f>IF(H2724="","",IFERROR(INDEX('Data Export'!G2724:CZ2724,1,MATCH(前十整体车型排名!$B$4,'Data Export'!$G$1:$CZ$1,0)),0))</f>
        <v/>
      </c>
      <c r="J2724" s="62" t="str">
        <f>IF(H2724="","",IF(OR('Data Export'!F2724="三厢轿车",'Data Export'!F2724="掀背轿车",'Data Export'!F2724="旅行车",'Data Export'!F2724="微型车",'Data Export'!F2724="硬顶跑车",'Data Export'!F2724="敞蓬车",'Data Export'!F2724="Targa"),"轿车",IF(OR('Data Export'!F2724="小型MPV",'Data Export'!F2724="客车"),"MPV",IF('Data Export'!F2724="运动型多功能车","SUV","其他"))))</f>
        <v/>
      </c>
      <c r="K2724" s="62"/>
      <c r="L2724" s="62"/>
      <c r="M2724" s="62"/>
      <c r="N2724" s="62"/>
      <c r="O2724" s="62"/>
      <c r="P2724" s="62"/>
      <c r="Q2724" s="62"/>
    </row>
    <row r="2725" spans="1:17">
      <c r="A2725" s="62"/>
      <c r="B2725" s="62"/>
      <c r="C2725" s="62"/>
      <c r="D2725" s="62"/>
      <c r="E2725" s="62"/>
      <c r="F2725" s="62"/>
      <c r="G2725" s="62"/>
      <c r="H2725" s="62" t="str">
        <f>IF(AND('Data Export'!A2725=前十整体车型排名!$B$2,'Data Export'!B2725=前十整体车型排名!$B$3,'Data Export'!D2725&lt;&gt;""),UPPER('Data Export'!C2725)&amp;"♦"&amp;'Data Export'!D2725,"")</f>
        <v/>
      </c>
      <c r="I2725" s="63" t="str">
        <f>IF(H2725="","",IFERROR(INDEX('Data Export'!G2725:CZ2725,1,MATCH(前十整体车型排名!$B$4,'Data Export'!$G$1:$CZ$1,0)),0))</f>
        <v/>
      </c>
      <c r="J2725" s="62" t="str">
        <f>IF(H2725="","",IF(OR('Data Export'!F2725="三厢轿车",'Data Export'!F2725="掀背轿车",'Data Export'!F2725="旅行车",'Data Export'!F2725="微型车",'Data Export'!F2725="硬顶跑车",'Data Export'!F2725="敞蓬车",'Data Export'!F2725="Targa"),"轿车",IF(OR('Data Export'!F2725="小型MPV",'Data Export'!F2725="客车"),"MPV",IF('Data Export'!F2725="运动型多功能车","SUV","其他"))))</f>
        <v/>
      </c>
      <c r="K2725" s="62"/>
      <c r="L2725" s="62"/>
      <c r="M2725" s="62"/>
      <c r="N2725" s="62"/>
      <c r="O2725" s="62"/>
      <c r="P2725" s="62"/>
      <c r="Q2725" s="62"/>
    </row>
    <row r="2726" spans="1:17">
      <c r="A2726" s="62"/>
      <c r="B2726" s="62"/>
      <c r="C2726" s="62"/>
      <c r="D2726" s="62"/>
      <c r="E2726" s="62"/>
      <c r="F2726" s="62"/>
      <c r="G2726" s="62"/>
      <c r="H2726" s="62" t="str">
        <f>IF(AND('Data Export'!A2726=前十整体车型排名!$B$2,'Data Export'!B2726=前十整体车型排名!$B$3,'Data Export'!D2726&lt;&gt;""),UPPER('Data Export'!C2726)&amp;"♦"&amp;'Data Export'!D2726,"")</f>
        <v/>
      </c>
      <c r="I2726" s="63" t="str">
        <f>IF(H2726="","",IFERROR(INDEX('Data Export'!G2726:CZ2726,1,MATCH(前十整体车型排名!$B$4,'Data Export'!$G$1:$CZ$1,0)),0))</f>
        <v/>
      </c>
      <c r="J2726" s="62" t="str">
        <f>IF(H2726="","",IF(OR('Data Export'!F2726="三厢轿车",'Data Export'!F2726="掀背轿车",'Data Export'!F2726="旅行车",'Data Export'!F2726="微型车",'Data Export'!F2726="硬顶跑车",'Data Export'!F2726="敞蓬车",'Data Export'!F2726="Targa"),"轿车",IF(OR('Data Export'!F2726="小型MPV",'Data Export'!F2726="客车"),"MPV",IF('Data Export'!F2726="运动型多功能车","SUV","其他"))))</f>
        <v/>
      </c>
      <c r="K2726" s="62"/>
      <c r="L2726" s="62"/>
      <c r="M2726" s="62"/>
      <c r="N2726" s="62"/>
      <c r="O2726" s="62"/>
      <c r="P2726" s="62"/>
      <c r="Q2726" s="62"/>
    </row>
    <row r="2727" spans="1:17">
      <c r="A2727" s="62"/>
      <c r="B2727" s="62"/>
      <c r="C2727" s="62"/>
      <c r="D2727" s="62"/>
      <c r="E2727" s="62"/>
      <c r="F2727" s="62"/>
      <c r="G2727" s="62"/>
      <c r="H2727" s="62" t="str">
        <f>IF(AND('Data Export'!A2727=前十整体车型排名!$B$2,'Data Export'!B2727=前十整体车型排名!$B$3,'Data Export'!D2727&lt;&gt;""),UPPER('Data Export'!C2727)&amp;"♦"&amp;'Data Export'!D2727,"")</f>
        <v/>
      </c>
      <c r="I2727" s="63" t="str">
        <f>IF(H2727="","",IFERROR(INDEX('Data Export'!G2727:CZ2727,1,MATCH(前十整体车型排名!$B$4,'Data Export'!$G$1:$CZ$1,0)),0))</f>
        <v/>
      </c>
      <c r="J2727" s="62" t="str">
        <f>IF(H2727="","",IF(OR('Data Export'!F2727="三厢轿车",'Data Export'!F2727="掀背轿车",'Data Export'!F2727="旅行车",'Data Export'!F2727="微型车",'Data Export'!F2727="硬顶跑车",'Data Export'!F2727="敞蓬车",'Data Export'!F2727="Targa"),"轿车",IF(OR('Data Export'!F2727="小型MPV",'Data Export'!F2727="客车"),"MPV",IF('Data Export'!F2727="运动型多功能车","SUV","其他"))))</f>
        <v/>
      </c>
      <c r="K2727" s="62"/>
      <c r="L2727" s="62"/>
      <c r="M2727" s="62"/>
      <c r="N2727" s="62"/>
      <c r="O2727" s="62"/>
      <c r="P2727" s="62"/>
      <c r="Q2727" s="62"/>
    </row>
    <row r="2728" spans="1:17">
      <c r="A2728" s="62"/>
      <c r="B2728" s="62"/>
      <c r="C2728" s="62"/>
      <c r="D2728" s="62"/>
      <c r="E2728" s="62"/>
      <c r="F2728" s="62"/>
      <c r="G2728" s="62"/>
      <c r="H2728" s="62" t="str">
        <f>IF(AND('Data Export'!A2728=前十整体车型排名!$B$2,'Data Export'!B2728=前十整体车型排名!$B$3,'Data Export'!D2728&lt;&gt;""),UPPER('Data Export'!C2728)&amp;"♦"&amp;'Data Export'!D2728,"")</f>
        <v/>
      </c>
      <c r="I2728" s="63" t="str">
        <f>IF(H2728="","",IFERROR(INDEX('Data Export'!G2728:CZ2728,1,MATCH(前十整体车型排名!$B$4,'Data Export'!$G$1:$CZ$1,0)),0))</f>
        <v/>
      </c>
      <c r="J2728" s="62" t="str">
        <f>IF(H2728="","",IF(OR('Data Export'!F2728="三厢轿车",'Data Export'!F2728="掀背轿车",'Data Export'!F2728="旅行车",'Data Export'!F2728="微型车",'Data Export'!F2728="硬顶跑车",'Data Export'!F2728="敞蓬车",'Data Export'!F2728="Targa"),"轿车",IF(OR('Data Export'!F2728="小型MPV",'Data Export'!F2728="客车"),"MPV",IF('Data Export'!F2728="运动型多功能车","SUV","其他"))))</f>
        <v/>
      </c>
      <c r="K2728" s="62"/>
      <c r="L2728" s="62"/>
      <c r="M2728" s="62"/>
      <c r="N2728" s="62"/>
      <c r="O2728" s="62"/>
      <c r="P2728" s="62"/>
      <c r="Q2728" s="62"/>
    </row>
    <row r="2729" spans="1:17">
      <c r="A2729" s="62"/>
      <c r="B2729" s="62"/>
      <c r="C2729" s="62"/>
      <c r="D2729" s="62"/>
      <c r="E2729" s="62"/>
      <c r="F2729" s="62"/>
      <c r="G2729" s="62"/>
      <c r="H2729" s="62" t="str">
        <f>IF(AND('Data Export'!A2729=前十整体车型排名!$B$2,'Data Export'!B2729=前十整体车型排名!$B$3,'Data Export'!D2729&lt;&gt;""),UPPER('Data Export'!C2729)&amp;"♦"&amp;'Data Export'!D2729,"")</f>
        <v/>
      </c>
      <c r="I2729" s="63" t="str">
        <f>IF(H2729="","",IFERROR(INDEX('Data Export'!G2729:CZ2729,1,MATCH(前十整体车型排名!$B$4,'Data Export'!$G$1:$CZ$1,0)),0))</f>
        <v/>
      </c>
      <c r="J2729" s="62" t="str">
        <f>IF(H2729="","",IF(OR('Data Export'!F2729="三厢轿车",'Data Export'!F2729="掀背轿车",'Data Export'!F2729="旅行车",'Data Export'!F2729="微型车",'Data Export'!F2729="硬顶跑车",'Data Export'!F2729="敞蓬车",'Data Export'!F2729="Targa"),"轿车",IF(OR('Data Export'!F2729="小型MPV",'Data Export'!F2729="客车"),"MPV",IF('Data Export'!F2729="运动型多功能车","SUV","其他"))))</f>
        <v/>
      </c>
      <c r="K2729" s="62"/>
      <c r="L2729" s="62"/>
      <c r="M2729" s="62"/>
      <c r="N2729" s="62"/>
      <c r="O2729" s="62"/>
      <c r="P2729" s="62"/>
      <c r="Q2729" s="62"/>
    </row>
    <row r="2730" spans="1:17">
      <c r="A2730" s="62"/>
      <c r="B2730" s="62"/>
      <c r="C2730" s="62"/>
      <c r="D2730" s="62"/>
      <c r="E2730" s="62"/>
      <c r="F2730" s="62"/>
      <c r="G2730" s="62"/>
      <c r="H2730" s="62" t="str">
        <f>IF(AND('Data Export'!A2730=前十整体车型排名!$B$2,'Data Export'!B2730=前十整体车型排名!$B$3,'Data Export'!D2730&lt;&gt;""),UPPER('Data Export'!C2730)&amp;"♦"&amp;'Data Export'!D2730,"")</f>
        <v/>
      </c>
      <c r="I2730" s="63" t="str">
        <f>IF(H2730="","",IFERROR(INDEX('Data Export'!G2730:CZ2730,1,MATCH(前十整体车型排名!$B$4,'Data Export'!$G$1:$CZ$1,0)),0))</f>
        <v/>
      </c>
      <c r="J2730" s="62" t="str">
        <f>IF(H2730="","",IF(OR('Data Export'!F2730="三厢轿车",'Data Export'!F2730="掀背轿车",'Data Export'!F2730="旅行车",'Data Export'!F2730="微型车",'Data Export'!F2730="硬顶跑车",'Data Export'!F2730="敞蓬车",'Data Export'!F2730="Targa"),"轿车",IF(OR('Data Export'!F2730="小型MPV",'Data Export'!F2730="客车"),"MPV",IF('Data Export'!F2730="运动型多功能车","SUV","其他"))))</f>
        <v/>
      </c>
      <c r="K2730" s="62"/>
      <c r="L2730" s="62"/>
      <c r="M2730" s="62"/>
      <c r="N2730" s="62"/>
      <c r="O2730" s="62"/>
      <c r="P2730" s="62"/>
      <c r="Q2730" s="62"/>
    </row>
    <row r="2731" spans="1:17">
      <c r="A2731" s="62"/>
      <c r="B2731" s="62"/>
      <c r="C2731" s="62"/>
      <c r="D2731" s="62"/>
      <c r="E2731" s="62"/>
      <c r="F2731" s="62"/>
      <c r="G2731" s="62"/>
      <c r="H2731" s="62" t="str">
        <f>IF(AND('Data Export'!A2731=前十整体车型排名!$B$2,'Data Export'!B2731=前十整体车型排名!$B$3,'Data Export'!D2731&lt;&gt;""),UPPER('Data Export'!C2731)&amp;"♦"&amp;'Data Export'!D2731,"")</f>
        <v/>
      </c>
      <c r="I2731" s="63" t="str">
        <f>IF(H2731="","",IFERROR(INDEX('Data Export'!G2731:CZ2731,1,MATCH(前十整体车型排名!$B$4,'Data Export'!$G$1:$CZ$1,0)),0))</f>
        <v/>
      </c>
      <c r="J2731" s="62" t="str">
        <f>IF(H2731="","",IF(OR('Data Export'!F2731="三厢轿车",'Data Export'!F2731="掀背轿车",'Data Export'!F2731="旅行车",'Data Export'!F2731="微型车",'Data Export'!F2731="硬顶跑车",'Data Export'!F2731="敞蓬车",'Data Export'!F2731="Targa"),"轿车",IF(OR('Data Export'!F2731="小型MPV",'Data Export'!F2731="客车"),"MPV",IF('Data Export'!F2731="运动型多功能车","SUV","其他"))))</f>
        <v/>
      </c>
      <c r="K2731" s="62"/>
      <c r="L2731" s="62"/>
      <c r="M2731" s="62"/>
      <c r="N2731" s="62"/>
      <c r="O2731" s="62"/>
      <c r="P2731" s="62"/>
      <c r="Q2731" s="62"/>
    </row>
    <row r="2732" spans="1:17">
      <c r="A2732" s="62"/>
      <c r="B2732" s="62"/>
      <c r="C2732" s="62"/>
      <c r="D2732" s="62"/>
      <c r="E2732" s="62"/>
      <c r="F2732" s="62"/>
      <c r="G2732" s="62"/>
      <c r="H2732" s="62" t="str">
        <f>IF(AND('Data Export'!A2732=前十整体车型排名!$B$2,'Data Export'!B2732=前十整体车型排名!$B$3,'Data Export'!D2732&lt;&gt;""),UPPER('Data Export'!C2732)&amp;"♦"&amp;'Data Export'!D2732,"")</f>
        <v/>
      </c>
      <c r="I2732" s="63" t="str">
        <f>IF(H2732="","",IFERROR(INDEX('Data Export'!G2732:CZ2732,1,MATCH(前十整体车型排名!$B$4,'Data Export'!$G$1:$CZ$1,0)),0))</f>
        <v/>
      </c>
      <c r="J2732" s="62" t="str">
        <f>IF(H2732="","",IF(OR('Data Export'!F2732="三厢轿车",'Data Export'!F2732="掀背轿车",'Data Export'!F2732="旅行车",'Data Export'!F2732="微型车",'Data Export'!F2732="硬顶跑车",'Data Export'!F2732="敞蓬车",'Data Export'!F2732="Targa"),"轿车",IF(OR('Data Export'!F2732="小型MPV",'Data Export'!F2732="客车"),"MPV",IF('Data Export'!F2732="运动型多功能车","SUV","其他"))))</f>
        <v/>
      </c>
      <c r="K2732" s="62"/>
      <c r="L2732" s="62"/>
      <c r="M2732" s="62"/>
      <c r="N2732" s="62"/>
      <c r="O2732" s="62"/>
      <c r="P2732" s="62"/>
      <c r="Q2732" s="62"/>
    </row>
    <row r="2733" spans="1:17">
      <c r="A2733" s="62"/>
      <c r="B2733" s="62"/>
      <c r="C2733" s="62"/>
      <c r="D2733" s="62"/>
      <c r="E2733" s="62"/>
      <c r="F2733" s="62"/>
      <c r="G2733" s="62"/>
      <c r="H2733" s="62" t="str">
        <f>IF(AND('Data Export'!A2733=前十整体车型排名!$B$2,'Data Export'!B2733=前十整体车型排名!$B$3,'Data Export'!D2733&lt;&gt;""),UPPER('Data Export'!C2733)&amp;"♦"&amp;'Data Export'!D2733,"")</f>
        <v/>
      </c>
      <c r="I2733" s="63" t="str">
        <f>IF(H2733="","",IFERROR(INDEX('Data Export'!G2733:CZ2733,1,MATCH(前十整体车型排名!$B$4,'Data Export'!$G$1:$CZ$1,0)),0))</f>
        <v/>
      </c>
      <c r="J2733" s="62" t="str">
        <f>IF(H2733="","",IF(OR('Data Export'!F2733="三厢轿车",'Data Export'!F2733="掀背轿车",'Data Export'!F2733="旅行车",'Data Export'!F2733="微型车",'Data Export'!F2733="硬顶跑车",'Data Export'!F2733="敞蓬车",'Data Export'!F2733="Targa"),"轿车",IF(OR('Data Export'!F2733="小型MPV",'Data Export'!F2733="客车"),"MPV",IF('Data Export'!F2733="运动型多功能车","SUV","其他"))))</f>
        <v/>
      </c>
      <c r="K2733" s="62"/>
      <c r="L2733" s="62"/>
      <c r="M2733" s="62"/>
      <c r="N2733" s="62"/>
      <c r="O2733" s="62"/>
      <c r="P2733" s="62"/>
      <c r="Q2733" s="62"/>
    </row>
    <row r="2734" spans="1:17">
      <c r="A2734" s="62"/>
      <c r="B2734" s="62"/>
      <c r="C2734" s="62"/>
      <c r="D2734" s="62"/>
      <c r="E2734" s="62"/>
      <c r="F2734" s="62"/>
      <c r="G2734" s="62"/>
      <c r="H2734" s="62" t="str">
        <f>IF(AND('Data Export'!A2734=前十整体车型排名!$B$2,'Data Export'!B2734=前十整体车型排名!$B$3,'Data Export'!D2734&lt;&gt;""),UPPER('Data Export'!C2734)&amp;"♦"&amp;'Data Export'!D2734,"")</f>
        <v/>
      </c>
      <c r="I2734" s="63" t="str">
        <f>IF(H2734="","",IFERROR(INDEX('Data Export'!G2734:CZ2734,1,MATCH(前十整体车型排名!$B$4,'Data Export'!$G$1:$CZ$1,0)),0))</f>
        <v/>
      </c>
      <c r="J2734" s="62" t="str">
        <f>IF(H2734="","",IF(OR('Data Export'!F2734="三厢轿车",'Data Export'!F2734="掀背轿车",'Data Export'!F2734="旅行车",'Data Export'!F2734="微型车",'Data Export'!F2734="硬顶跑车",'Data Export'!F2734="敞蓬车",'Data Export'!F2734="Targa"),"轿车",IF(OR('Data Export'!F2734="小型MPV",'Data Export'!F2734="客车"),"MPV",IF('Data Export'!F2734="运动型多功能车","SUV","其他"))))</f>
        <v/>
      </c>
      <c r="K2734" s="62"/>
      <c r="L2734" s="62"/>
      <c r="M2734" s="62"/>
      <c r="N2734" s="62"/>
      <c r="O2734" s="62"/>
      <c r="P2734" s="62"/>
      <c r="Q2734" s="62"/>
    </row>
    <row r="2735" spans="1:17">
      <c r="A2735" s="62"/>
      <c r="B2735" s="62"/>
      <c r="C2735" s="62"/>
      <c r="D2735" s="62"/>
      <c r="E2735" s="62"/>
      <c r="F2735" s="62"/>
      <c r="G2735" s="62"/>
      <c r="H2735" s="62" t="str">
        <f>IF(AND('Data Export'!A2735=前十整体车型排名!$B$2,'Data Export'!B2735=前十整体车型排名!$B$3,'Data Export'!D2735&lt;&gt;""),UPPER('Data Export'!C2735)&amp;"♦"&amp;'Data Export'!D2735,"")</f>
        <v/>
      </c>
      <c r="I2735" s="63" t="str">
        <f>IF(H2735="","",IFERROR(INDEX('Data Export'!G2735:CZ2735,1,MATCH(前十整体车型排名!$B$4,'Data Export'!$G$1:$CZ$1,0)),0))</f>
        <v/>
      </c>
      <c r="J2735" s="62" t="str">
        <f>IF(H2735="","",IF(OR('Data Export'!F2735="三厢轿车",'Data Export'!F2735="掀背轿车",'Data Export'!F2735="旅行车",'Data Export'!F2735="微型车",'Data Export'!F2735="硬顶跑车",'Data Export'!F2735="敞蓬车",'Data Export'!F2735="Targa"),"轿车",IF(OR('Data Export'!F2735="小型MPV",'Data Export'!F2735="客车"),"MPV",IF('Data Export'!F2735="运动型多功能车","SUV","其他"))))</f>
        <v/>
      </c>
      <c r="K2735" s="62"/>
      <c r="L2735" s="62"/>
      <c r="M2735" s="62"/>
      <c r="N2735" s="62"/>
      <c r="O2735" s="62"/>
      <c r="P2735" s="62"/>
      <c r="Q2735" s="62"/>
    </row>
    <row r="2736" spans="1:17">
      <c r="A2736" s="62"/>
      <c r="B2736" s="62"/>
      <c r="C2736" s="62"/>
      <c r="D2736" s="62"/>
      <c r="E2736" s="62"/>
      <c r="F2736" s="62"/>
      <c r="G2736" s="62"/>
      <c r="H2736" s="62" t="str">
        <f>IF(AND('Data Export'!A2736=前十整体车型排名!$B$2,'Data Export'!B2736=前十整体车型排名!$B$3,'Data Export'!D2736&lt;&gt;""),UPPER('Data Export'!C2736)&amp;"♦"&amp;'Data Export'!D2736,"")</f>
        <v/>
      </c>
      <c r="I2736" s="63" t="str">
        <f>IF(H2736="","",IFERROR(INDEX('Data Export'!G2736:CZ2736,1,MATCH(前十整体车型排名!$B$4,'Data Export'!$G$1:$CZ$1,0)),0))</f>
        <v/>
      </c>
      <c r="J2736" s="62" t="str">
        <f>IF(H2736="","",IF(OR('Data Export'!F2736="三厢轿车",'Data Export'!F2736="掀背轿车",'Data Export'!F2736="旅行车",'Data Export'!F2736="微型车",'Data Export'!F2736="硬顶跑车",'Data Export'!F2736="敞蓬车",'Data Export'!F2736="Targa"),"轿车",IF(OR('Data Export'!F2736="小型MPV",'Data Export'!F2736="客车"),"MPV",IF('Data Export'!F2736="运动型多功能车","SUV","其他"))))</f>
        <v/>
      </c>
      <c r="K2736" s="62"/>
      <c r="L2736" s="62"/>
      <c r="M2736" s="62"/>
      <c r="N2736" s="62"/>
      <c r="O2736" s="62"/>
      <c r="P2736" s="62"/>
      <c r="Q2736" s="62"/>
    </row>
    <row r="2737" spans="1:17">
      <c r="A2737" s="62"/>
      <c r="B2737" s="62"/>
      <c r="C2737" s="62"/>
      <c r="D2737" s="62"/>
      <c r="E2737" s="62"/>
      <c r="F2737" s="62"/>
      <c r="G2737" s="62"/>
      <c r="H2737" s="62" t="str">
        <f>IF(AND('Data Export'!A2737=前十整体车型排名!$B$2,'Data Export'!B2737=前十整体车型排名!$B$3,'Data Export'!D2737&lt;&gt;""),UPPER('Data Export'!C2737)&amp;"♦"&amp;'Data Export'!D2737,"")</f>
        <v/>
      </c>
      <c r="I2737" s="63" t="str">
        <f>IF(H2737="","",IFERROR(INDEX('Data Export'!G2737:CZ2737,1,MATCH(前十整体车型排名!$B$4,'Data Export'!$G$1:$CZ$1,0)),0))</f>
        <v/>
      </c>
      <c r="J2737" s="62" t="str">
        <f>IF(H2737="","",IF(OR('Data Export'!F2737="三厢轿车",'Data Export'!F2737="掀背轿车",'Data Export'!F2737="旅行车",'Data Export'!F2737="微型车",'Data Export'!F2737="硬顶跑车",'Data Export'!F2737="敞蓬车",'Data Export'!F2737="Targa"),"轿车",IF(OR('Data Export'!F2737="小型MPV",'Data Export'!F2737="客车"),"MPV",IF('Data Export'!F2737="运动型多功能车","SUV","其他"))))</f>
        <v/>
      </c>
      <c r="K2737" s="62"/>
      <c r="L2737" s="62"/>
      <c r="M2737" s="62"/>
      <c r="N2737" s="62"/>
      <c r="O2737" s="62"/>
      <c r="P2737" s="62"/>
      <c r="Q2737" s="62"/>
    </row>
    <row r="2738" spans="1:17">
      <c r="A2738" s="62"/>
      <c r="B2738" s="62"/>
      <c r="C2738" s="62"/>
      <c r="D2738" s="62"/>
      <c r="E2738" s="62"/>
      <c r="F2738" s="62"/>
      <c r="G2738" s="62"/>
      <c r="H2738" s="62" t="str">
        <f>IF(AND('Data Export'!A2738=前十整体车型排名!$B$2,'Data Export'!B2738=前十整体车型排名!$B$3,'Data Export'!D2738&lt;&gt;""),UPPER('Data Export'!C2738)&amp;"♦"&amp;'Data Export'!D2738,"")</f>
        <v/>
      </c>
      <c r="I2738" s="63" t="str">
        <f>IF(H2738="","",IFERROR(INDEX('Data Export'!G2738:CZ2738,1,MATCH(前十整体车型排名!$B$4,'Data Export'!$G$1:$CZ$1,0)),0))</f>
        <v/>
      </c>
      <c r="J2738" s="62" t="str">
        <f>IF(H2738="","",IF(OR('Data Export'!F2738="三厢轿车",'Data Export'!F2738="掀背轿车",'Data Export'!F2738="旅行车",'Data Export'!F2738="微型车",'Data Export'!F2738="硬顶跑车",'Data Export'!F2738="敞蓬车",'Data Export'!F2738="Targa"),"轿车",IF(OR('Data Export'!F2738="小型MPV",'Data Export'!F2738="客车"),"MPV",IF('Data Export'!F2738="运动型多功能车","SUV","其他"))))</f>
        <v/>
      </c>
      <c r="K2738" s="62"/>
      <c r="L2738" s="62"/>
      <c r="M2738" s="62"/>
      <c r="N2738" s="62"/>
      <c r="O2738" s="62"/>
      <c r="P2738" s="62"/>
      <c r="Q2738" s="62"/>
    </row>
    <row r="2739" spans="1:17">
      <c r="A2739" s="62"/>
      <c r="B2739" s="62"/>
      <c r="C2739" s="62"/>
      <c r="D2739" s="62"/>
      <c r="E2739" s="62"/>
      <c r="F2739" s="62"/>
      <c r="G2739" s="62"/>
      <c r="H2739" s="62" t="str">
        <f>IF(AND('Data Export'!A2739=前十整体车型排名!$B$2,'Data Export'!B2739=前十整体车型排名!$B$3,'Data Export'!D2739&lt;&gt;""),UPPER('Data Export'!C2739)&amp;"♦"&amp;'Data Export'!D2739,"")</f>
        <v/>
      </c>
      <c r="I2739" s="63" t="str">
        <f>IF(H2739="","",IFERROR(INDEX('Data Export'!G2739:CZ2739,1,MATCH(前十整体车型排名!$B$4,'Data Export'!$G$1:$CZ$1,0)),0))</f>
        <v/>
      </c>
      <c r="J2739" s="62" t="str">
        <f>IF(H2739="","",IF(OR('Data Export'!F2739="三厢轿车",'Data Export'!F2739="掀背轿车",'Data Export'!F2739="旅行车",'Data Export'!F2739="微型车",'Data Export'!F2739="硬顶跑车",'Data Export'!F2739="敞蓬车",'Data Export'!F2739="Targa"),"轿车",IF(OR('Data Export'!F2739="小型MPV",'Data Export'!F2739="客车"),"MPV",IF('Data Export'!F2739="运动型多功能车","SUV","其他"))))</f>
        <v/>
      </c>
      <c r="K2739" s="62"/>
      <c r="L2739" s="62"/>
      <c r="M2739" s="62"/>
      <c r="N2739" s="62"/>
      <c r="O2739" s="62"/>
      <c r="P2739" s="62"/>
      <c r="Q2739" s="62"/>
    </row>
    <row r="2740" spans="1:17">
      <c r="A2740" s="62"/>
      <c r="B2740" s="62"/>
      <c r="C2740" s="62"/>
      <c r="D2740" s="62"/>
      <c r="E2740" s="62"/>
      <c r="F2740" s="62"/>
      <c r="G2740" s="62"/>
      <c r="H2740" s="62" t="str">
        <f>IF(AND('Data Export'!A2740=前十整体车型排名!$B$2,'Data Export'!B2740=前十整体车型排名!$B$3,'Data Export'!D2740&lt;&gt;""),UPPER('Data Export'!C2740)&amp;"♦"&amp;'Data Export'!D2740,"")</f>
        <v/>
      </c>
      <c r="I2740" s="63" t="str">
        <f>IF(H2740="","",IFERROR(INDEX('Data Export'!G2740:CZ2740,1,MATCH(前十整体车型排名!$B$4,'Data Export'!$G$1:$CZ$1,0)),0))</f>
        <v/>
      </c>
      <c r="J2740" s="62" t="str">
        <f>IF(H2740="","",IF(OR('Data Export'!F2740="三厢轿车",'Data Export'!F2740="掀背轿车",'Data Export'!F2740="旅行车",'Data Export'!F2740="微型车",'Data Export'!F2740="硬顶跑车",'Data Export'!F2740="敞蓬车",'Data Export'!F2740="Targa"),"轿车",IF(OR('Data Export'!F2740="小型MPV",'Data Export'!F2740="客车"),"MPV",IF('Data Export'!F2740="运动型多功能车","SUV","其他"))))</f>
        <v/>
      </c>
      <c r="K2740" s="62"/>
      <c r="L2740" s="62"/>
      <c r="M2740" s="62"/>
      <c r="N2740" s="62"/>
      <c r="O2740" s="62"/>
      <c r="P2740" s="62"/>
      <c r="Q2740" s="62"/>
    </row>
    <row r="2741" spans="1:17">
      <c r="A2741" s="62"/>
      <c r="B2741" s="62"/>
      <c r="C2741" s="62"/>
      <c r="D2741" s="62"/>
      <c r="E2741" s="62"/>
      <c r="F2741" s="62"/>
      <c r="G2741" s="62"/>
      <c r="H2741" s="62" t="str">
        <f>IF(AND('Data Export'!A2741=前十整体车型排名!$B$2,'Data Export'!B2741=前十整体车型排名!$B$3,'Data Export'!D2741&lt;&gt;""),UPPER('Data Export'!C2741)&amp;"♦"&amp;'Data Export'!D2741,"")</f>
        <v/>
      </c>
      <c r="I2741" s="63" t="str">
        <f>IF(H2741="","",IFERROR(INDEX('Data Export'!G2741:CZ2741,1,MATCH(前十整体车型排名!$B$4,'Data Export'!$G$1:$CZ$1,0)),0))</f>
        <v/>
      </c>
      <c r="J2741" s="62" t="str">
        <f>IF(H2741="","",IF(OR('Data Export'!F2741="三厢轿车",'Data Export'!F2741="掀背轿车",'Data Export'!F2741="旅行车",'Data Export'!F2741="微型车",'Data Export'!F2741="硬顶跑车",'Data Export'!F2741="敞蓬车",'Data Export'!F2741="Targa"),"轿车",IF(OR('Data Export'!F2741="小型MPV",'Data Export'!F2741="客车"),"MPV",IF('Data Export'!F2741="运动型多功能车","SUV","其他"))))</f>
        <v/>
      </c>
      <c r="K2741" s="62"/>
      <c r="L2741" s="62"/>
      <c r="M2741" s="62"/>
      <c r="N2741" s="62"/>
      <c r="O2741" s="62"/>
      <c r="P2741" s="62"/>
      <c r="Q2741" s="62"/>
    </row>
    <row r="2742" spans="1:17">
      <c r="A2742" s="62"/>
      <c r="B2742" s="62"/>
      <c r="C2742" s="62"/>
      <c r="D2742" s="62"/>
      <c r="E2742" s="62"/>
      <c r="F2742" s="62"/>
      <c r="G2742" s="62"/>
      <c r="H2742" s="62" t="str">
        <f>IF(AND('Data Export'!A2742=前十整体车型排名!$B$2,'Data Export'!B2742=前十整体车型排名!$B$3,'Data Export'!D2742&lt;&gt;""),UPPER('Data Export'!C2742)&amp;"♦"&amp;'Data Export'!D2742,"")</f>
        <v/>
      </c>
      <c r="I2742" s="63" t="str">
        <f>IF(H2742="","",IFERROR(INDEX('Data Export'!G2742:CZ2742,1,MATCH(前十整体车型排名!$B$4,'Data Export'!$G$1:$CZ$1,0)),0))</f>
        <v/>
      </c>
      <c r="J2742" s="62" t="str">
        <f>IF(H2742="","",IF(OR('Data Export'!F2742="三厢轿车",'Data Export'!F2742="掀背轿车",'Data Export'!F2742="旅行车",'Data Export'!F2742="微型车",'Data Export'!F2742="硬顶跑车",'Data Export'!F2742="敞蓬车",'Data Export'!F2742="Targa"),"轿车",IF(OR('Data Export'!F2742="小型MPV",'Data Export'!F2742="客车"),"MPV",IF('Data Export'!F2742="运动型多功能车","SUV","其他"))))</f>
        <v/>
      </c>
      <c r="K2742" s="62"/>
      <c r="L2742" s="62"/>
      <c r="M2742" s="62"/>
      <c r="N2742" s="62"/>
      <c r="O2742" s="62"/>
      <c r="P2742" s="62"/>
      <c r="Q2742" s="62"/>
    </row>
    <row r="2743" spans="1:17">
      <c r="A2743" s="62"/>
      <c r="B2743" s="62"/>
      <c r="C2743" s="62"/>
      <c r="D2743" s="62"/>
      <c r="E2743" s="62"/>
      <c r="F2743" s="62"/>
      <c r="G2743" s="62"/>
      <c r="H2743" s="62" t="str">
        <f>IF(AND('Data Export'!A2743=前十整体车型排名!$B$2,'Data Export'!B2743=前十整体车型排名!$B$3,'Data Export'!D2743&lt;&gt;""),UPPER('Data Export'!C2743)&amp;"♦"&amp;'Data Export'!D2743,"")</f>
        <v/>
      </c>
      <c r="I2743" s="63" t="str">
        <f>IF(H2743="","",IFERROR(INDEX('Data Export'!G2743:CZ2743,1,MATCH(前十整体车型排名!$B$4,'Data Export'!$G$1:$CZ$1,0)),0))</f>
        <v/>
      </c>
      <c r="J2743" s="62" t="str">
        <f>IF(H2743="","",IF(OR('Data Export'!F2743="三厢轿车",'Data Export'!F2743="掀背轿车",'Data Export'!F2743="旅行车",'Data Export'!F2743="微型车",'Data Export'!F2743="硬顶跑车",'Data Export'!F2743="敞蓬车",'Data Export'!F2743="Targa"),"轿车",IF(OR('Data Export'!F2743="小型MPV",'Data Export'!F2743="客车"),"MPV",IF('Data Export'!F2743="运动型多功能车","SUV","其他"))))</f>
        <v/>
      </c>
      <c r="K2743" s="62"/>
      <c r="L2743" s="62"/>
      <c r="M2743" s="62"/>
      <c r="N2743" s="62"/>
      <c r="O2743" s="62"/>
      <c r="P2743" s="62"/>
      <c r="Q2743" s="62"/>
    </row>
    <row r="2744" spans="1:17">
      <c r="A2744" s="62"/>
      <c r="B2744" s="62"/>
      <c r="C2744" s="62"/>
      <c r="D2744" s="62"/>
      <c r="E2744" s="62"/>
      <c r="F2744" s="62"/>
      <c r="G2744" s="62"/>
      <c r="H2744" s="62" t="str">
        <f>IF(AND('Data Export'!A2744=前十整体车型排名!$B$2,'Data Export'!B2744=前十整体车型排名!$B$3,'Data Export'!D2744&lt;&gt;""),UPPER('Data Export'!C2744)&amp;"♦"&amp;'Data Export'!D2744,"")</f>
        <v/>
      </c>
      <c r="I2744" s="63" t="str">
        <f>IF(H2744="","",IFERROR(INDEX('Data Export'!G2744:CZ2744,1,MATCH(前十整体车型排名!$B$4,'Data Export'!$G$1:$CZ$1,0)),0))</f>
        <v/>
      </c>
      <c r="J2744" s="62" t="str">
        <f>IF(H2744="","",IF(OR('Data Export'!F2744="三厢轿车",'Data Export'!F2744="掀背轿车",'Data Export'!F2744="旅行车",'Data Export'!F2744="微型车",'Data Export'!F2744="硬顶跑车",'Data Export'!F2744="敞蓬车",'Data Export'!F2744="Targa"),"轿车",IF(OR('Data Export'!F2744="小型MPV",'Data Export'!F2744="客车"),"MPV",IF('Data Export'!F2744="运动型多功能车","SUV","其他"))))</f>
        <v/>
      </c>
      <c r="K2744" s="62"/>
      <c r="L2744" s="62"/>
      <c r="M2744" s="62"/>
      <c r="N2744" s="62"/>
      <c r="O2744" s="62"/>
      <c r="P2744" s="62"/>
      <c r="Q2744" s="62"/>
    </row>
    <row r="2745" spans="1:17">
      <c r="A2745" s="62"/>
      <c r="B2745" s="62"/>
      <c r="C2745" s="62"/>
      <c r="D2745" s="62"/>
      <c r="E2745" s="62"/>
      <c r="F2745" s="62"/>
      <c r="G2745" s="62"/>
      <c r="H2745" s="62" t="str">
        <f>IF(AND('Data Export'!A2745=前十整体车型排名!$B$2,'Data Export'!B2745=前十整体车型排名!$B$3,'Data Export'!D2745&lt;&gt;""),UPPER('Data Export'!C2745)&amp;"♦"&amp;'Data Export'!D2745,"")</f>
        <v/>
      </c>
      <c r="I2745" s="63" t="str">
        <f>IF(H2745="","",IFERROR(INDEX('Data Export'!G2745:CZ2745,1,MATCH(前十整体车型排名!$B$4,'Data Export'!$G$1:$CZ$1,0)),0))</f>
        <v/>
      </c>
      <c r="J2745" s="62" t="str">
        <f>IF(H2745="","",IF(OR('Data Export'!F2745="三厢轿车",'Data Export'!F2745="掀背轿车",'Data Export'!F2745="旅行车",'Data Export'!F2745="微型车",'Data Export'!F2745="硬顶跑车",'Data Export'!F2745="敞蓬车",'Data Export'!F2745="Targa"),"轿车",IF(OR('Data Export'!F2745="小型MPV",'Data Export'!F2745="客车"),"MPV",IF('Data Export'!F2745="运动型多功能车","SUV","其他"))))</f>
        <v/>
      </c>
      <c r="K2745" s="62"/>
      <c r="L2745" s="62"/>
      <c r="M2745" s="62"/>
      <c r="N2745" s="62"/>
      <c r="O2745" s="62"/>
      <c r="P2745" s="62"/>
      <c r="Q2745" s="62"/>
    </row>
    <row r="2746" spans="1:17">
      <c r="A2746" s="62"/>
      <c r="B2746" s="62"/>
      <c r="C2746" s="62"/>
      <c r="D2746" s="62"/>
      <c r="E2746" s="62"/>
      <c r="F2746" s="62"/>
      <c r="G2746" s="62"/>
      <c r="H2746" s="62" t="str">
        <f>IF(AND('Data Export'!A2746=前十整体车型排名!$B$2,'Data Export'!B2746=前十整体车型排名!$B$3,'Data Export'!D2746&lt;&gt;""),UPPER('Data Export'!C2746)&amp;"♦"&amp;'Data Export'!D2746,"")</f>
        <v/>
      </c>
      <c r="I2746" s="63" t="str">
        <f>IF(H2746="","",IFERROR(INDEX('Data Export'!G2746:CZ2746,1,MATCH(前十整体车型排名!$B$4,'Data Export'!$G$1:$CZ$1,0)),0))</f>
        <v/>
      </c>
      <c r="J2746" s="62" t="str">
        <f>IF(H2746="","",IF(OR('Data Export'!F2746="三厢轿车",'Data Export'!F2746="掀背轿车",'Data Export'!F2746="旅行车",'Data Export'!F2746="微型车",'Data Export'!F2746="硬顶跑车",'Data Export'!F2746="敞蓬车",'Data Export'!F2746="Targa"),"轿车",IF(OR('Data Export'!F2746="小型MPV",'Data Export'!F2746="客车"),"MPV",IF('Data Export'!F2746="运动型多功能车","SUV","其他"))))</f>
        <v/>
      </c>
      <c r="K2746" s="62"/>
      <c r="L2746" s="62"/>
      <c r="M2746" s="62"/>
      <c r="N2746" s="62"/>
      <c r="O2746" s="62"/>
      <c r="P2746" s="62"/>
      <c r="Q2746" s="62"/>
    </row>
    <row r="2747" spans="1:17">
      <c r="A2747" s="62"/>
      <c r="B2747" s="62"/>
      <c r="C2747" s="62"/>
      <c r="D2747" s="62"/>
      <c r="E2747" s="62"/>
      <c r="F2747" s="62"/>
      <c r="G2747" s="62"/>
      <c r="H2747" s="62" t="str">
        <f>IF(AND('Data Export'!A2747=前十整体车型排名!$B$2,'Data Export'!B2747=前十整体车型排名!$B$3,'Data Export'!D2747&lt;&gt;""),UPPER('Data Export'!C2747)&amp;"♦"&amp;'Data Export'!D2747,"")</f>
        <v/>
      </c>
      <c r="I2747" s="63" t="str">
        <f>IF(H2747="","",IFERROR(INDEX('Data Export'!G2747:CZ2747,1,MATCH(前十整体车型排名!$B$4,'Data Export'!$G$1:$CZ$1,0)),0))</f>
        <v/>
      </c>
      <c r="J2747" s="62" t="str">
        <f>IF(H2747="","",IF(OR('Data Export'!F2747="三厢轿车",'Data Export'!F2747="掀背轿车",'Data Export'!F2747="旅行车",'Data Export'!F2747="微型车",'Data Export'!F2747="硬顶跑车",'Data Export'!F2747="敞蓬车",'Data Export'!F2747="Targa"),"轿车",IF(OR('Data Export'!F2747="小型MPV",'Data Export'!F2747="客车"),"MPV",IF('Data Export'!F2747="运动型多功能车","SUV","其他"))))</f>
        <v/>
      </c>
      <c r="K2747" s="62"/>
      <c r="L2747" s="62"/>
      <c r="M2747" s="62"/>
      <c r="N2747" s="62"/>
      <c r="O2747" s="62"/>
      <c r="P2747" s="62"/>
      <c r="Q2747" s="62"/>
    </row>
    <row r="2748" spans="1:17">
      <c r="A2748" s="62"/>
      <c r="B2748" s="62"/>
      <c r="C2748" s="62"/>
      <c r="D2748" s="62"/>
      <c r="E2748" s="62"/>
      <c r="F2748" s="62"/>
      <c r="G2748" s="62"/>
      <c r="H2748" s="62" t="str">
        <f>IF(AND('Data Export'!A2748=前十整体车型排名!$B$2,'Data Export'!B2748=前十整体车型排名!$B$3,'Data Export'!D2748&lt;&gt;""),UPPER('Data Export'!C2748)&amp;"♦"&amp;'Data Export'!D2748,"")</f>
        <v/>
      </c>
      <c r="I2748" s="63" t="str">
        <f>IF(H2748="","",IFERROR(INDEX('Data Export'!G2748:CZ2748,1,MATCH(前十整体车型排名!$B$4,'Data Export'!$G$1:$CZ$1,0)),0))</f>
        <v/>
      </c>
      <c r="J2748" s="62" t="str">
        <f>IF(H2748="","",IF(OR('Data Export'!F2748="三厢轿车",'Data Export'!F2748="掀背轿车",'Data Export'!F2748="旅行车",'Data Export'!F2748="微型车",'Data Export'!F2748="硬顶跑车",'Data Export'!F2748="敞蓬车",'Data Export'!F2748="Targa"),"轿车",IF(OR('Data Export'!F2748="小型MPV",'Data Export'!F2748="客车"),"MPV",IF('Data Export'!F2748="运动型多功能车","SUV","其他"))))</f>
        <v/>
      </c>
      <c r="K2748" s="62"/>
      <c r="L2748" s="62"/>
      <c r="M2748" s="62"/>
      <c r="N2748" s="62"/>
      <c r="O2748" s="62"/>
      <c r="P2748" s="62"/>
      <c r="Q2748" s="62"/>
    </row>
    <row r="2749" spans="1:17">
      <c r="A2749" s="62"/>
      <c r="B2749" s="62"/>
      <c r="C2749" s="62"/>
      <c r="D2749" s="62"/>
      <c r="E2749" s="62"/>
      <c r="F2749" s="62"/>
      <c r="G2749" s="62"/>
      <c r="H2749" s="62" t="str">
        <f>IF(AND('Data Export'!A2749=前十整体车型排名!$B$2,'Data Export'!B2749=前十整体车型排名!$B$3,'Data Export'!D2749&lt;&gt;""),UPPER('Data Export'!C2749)&amp;"♦"&amp;'Data Export'!D2749,"")</f>
        <v/>
      </c>
      <c r="I2749" s="63" t="str">
        <f>IF(H2749="","",IFERROR(INDEX('Data Export'!G2749:CZ2749,1,MATCH(前十整体车型排名!$B$4,'Data Export'!$G$1:$CZ$1,0)),0))</f>
        <v/>
      </c>
      <c r="J2749" s="62" t="str">
        <f>IF(H2749="","",IF(OR('Data Export'!F2749="三厢轿车",'Data Export'!F2749="掀背轿车",'Data Export'!F2749="旅行车",'Data Export'!F2749="微型车",'Data Export'!F2749="硬顶跑车",'Data Export'!F2749="敞蓬车",'Data Export'!F2749="Targa"),"轿车",IF(OR('Data Export'!F2749="小型MPV",'Data Export'!F2749="客车"),"MPV",IF('Data Export'!F2749="运动型多功能车","SUV","其他"))))</f>
        <v/>
      </c>
      <c r="K2749" s="62"/>
      <c r="L2749" s="62"/>
      <c r="M2749" s="62"/>
      <c r="N2749" s="62"/>
      <c r="O2749" s="62"/>
      <c r="P2749" s="62"/>
      <c r="Q2749" s="62"/>
    </row>
    <row r="2750" spans="1:17">
      <c r="A2750" s="62"/>
      <c r="B2750" s="62"/>
      <c r="C2750" s="62"/>
      <c r="D2750" s="62"/>
      <c r="E2750" s="62"/>
      <c r="F2750" s="62"/>
      <c r="G2750" s="62"/>
      <c r="H2750" s="62" t="str">
        <f>IF(AND('Data Export'!A2750=前十整体车型排名!$B$2,'Data Export'!B2750=前十整体车型排名!$B$3,'Data Export'!D2750&lt;&gt;""),UPPER('Data Export'!C2750)&amp;"♦"&amp;'Data Export'!D2750,"")</f>
        <v/>
      </c>
      <c r="I2750" s="63" t="str">
        <f>IF(H2750="","",IFERROR(INDEX('Data Export'!G2750:CZ2750,1,MATCH(前十整体车型排名!$B$4,'Data Export'!$G$1:$CZ$1,0)),0))</f>
        <v/>
      </c>
      <c r="J2750" s="62" t="str">
        <f>IF(H2750="","",IF(OR('Data Export'!F2750="三厢轿车",'Data Export'!F2750="掀背轿车",'Data Export'!F2750="旅行车",'Data Export'!F2750="微型车",'Data Export'!F2750="硬顶跑车",'Data Export'!F2750="敞蓬车",'Data Export'!F2750="Targa"),"轿车",IF(OR('Data Export'!F2750="小型MPV",'Data Export'!F2750="客车"),"MPV",IF('Data Export'!F2750="运动型多功能车","SUV","其他"))))</f>
        <v/>
      </c>
      <c r="K2750" s="62"/>
      <c r="L2750" s="62"/>
      <c r="M2750" s="62"/>
      <c r="N2750" s="62"/>
      <c r="O2750" s="62"/>
      <c r="P2750" s="62"/>
      <c r="Q2750" s="62"/>
    </row>
    <row r="2751" spans="1:17">
      <c r="A2751" s="62"/>
      <c r="B2751" s="62"/>
      <c r="C2751" s="62"/>
      <c r="D2751" s="62"/>
      <c r="E2751" s="62"/>
      <c r="F2751" s="62"/>
      <c r="G2751" s="62"/>
      <c r="H2751" s="62" t="str">
        <f>IF(AND('Data Export'!A2751=前十整体车型排名!$B$2,'Data Export'!B2751=前十整体车型排名!$B$3,'Data Export'!D2751&lt;&gt;""),UPPER('Data Export'!C2751)&amp;"♦"&amp;'Data Export'!D2751,"")</f>
        <v/>
      </c>
      <c r="I2751" s="63" t="str">
        <f>IF(H2751="","",IFERROR(INDEX('Data Export'!G2751:CZ2751,1,MATCH(前十整体车型排名!$B$4,'Data Export'!$G$1:$CZ$1,0)),0))</f>
        <v/>
      </c>
      <c r="J2751" s="62" t="str">
        <f>IF(H2751="","",IF(OR('Data Export'!F2751="三厢轿车",'Data Export'!F2751="掀背轿车",'Data Export'!F2751="旅行车",'Data Export'!F2751="微型车",'Data Export'!F2751="硬顶跑车",'Data Export'!F2751="敞蓬车",'Data Export'!F2751="Targa"),"轿车",IF(OR('Data Export'!F2751="小型MPV",'Data Export'!F2751="客车"),"MPV",IF('Data Export'!F2751="运动型多功能车","SUV","其他"))))</f>
        <v/>
      </c>
      <c r="K2751" s="62"/>
      <c r="L2751" s="62"/>
      <c r="M2751" s="62"/>
      <c r="N2751" s="62"/>
      <c r="O2751" s="62"/>
      <c r="P2751" s="62"/>
      <c r="Q2751" s="62"/>
    </row>
    <row r="2752" spans="1:17">
      <c r="A2752" s="62"/>
      <c r="B2752" s="62"/>
      <c r="C2752" s="62"/>
      <c r="D2752" s="62"/>
      <c r="E2752" s="62"/>
      <c r="F2752" s="62"/>
      <c r="G2752" s="62"/>
      <c r="H2752" s="62" t="str">
        <f>IF(AND('Data Export'!A2752=前十整体车型排名!$B$2,'Data Export'!B2752=前十整体车型排名!$B$3,'Data Export'!D2752&lt;&gt;""),UPPER('Data Export'!C2752)&amp;"♦"&amp;'Data Export'!D2752,"")</f>
        <v/>
      </c>
      <c r="I2752" s="63" t="str">
        <f>IF(H2752="","",IFERROR(INDEX('Data Export'!G2752:CZ2752,1,MATCH(前十整体车型排名!$B$4,'Data Export'!$G$1:$CZ$1,0)),0))</f>
        <v/>
      </c>
      <c r="J2752" s="62" t="str">
        <f>IF(H2752="","",IF(OR('Data Export'!F2752="三厢轿车",'Data Export'!F2752="掀背轿车",'Data Export'!F2752="旅行车",'Data Export'!F2752="微型车",'Data Export'!F2752="硬顶跑车",'Data Export'!F2752="敞蓬车",'Data Export'!F2752="Targa"),"轿车",IF(OR('Data Export'!F2752="小型MPV",'Data Export'!F2752="客车"),"MPV",IF('Data Export'!F2752="运动型多功能车","SUV","其他"))))</f>
        <v/>
      </c>
      <c r="K2752" s="62"/>
      <c r="L2752" s="62"/>
      <c r="M2752" s="62"/>
      <c r="N2752" s="62"/>
      <c r="O2752" s="62"/>
      <c r="P2752" s="62"/>
      <c r="Q2752" s="62"/>
    </row>
    <row r="2753" spans="1:17">
      <c r="A2753" s="62"/>
      <c r="B2753" s="62"/>
      <c r="C2753" s="62"/>
      <c r="D2753" s="62"/>
      <c r="E2753" s="62"/>
      <c r="F2753" s="62"/>
      <c r="G2753" s="62"/>
      <c r="H2753" s="62" t="str">
        <f>IF(AND('Data Export'!A2753=前十整体车型排名!$B$2,'Data Export'!B2753=前十整体车型排名!$B$3,'Data Export'!D2753&lt;&gt;""),UPPER('Data Export'!C2753)&amp;"♦"&amp;'Data Export'!D2753,"")</f>
        <v/>
      </c>
      <c r="I2753" s="63" t="str">
        <f>IF(H2753="","",IFERROR(INDEX('Data Export'!G2753:CZ2753,1,MATCH(前十整体车型排名!$B$4,'Data Export'!$G$1:$CZ$1,0)),0))</f>
        <v/>
      </c>
      <c r="J2753" s="62" t="str">
        <f>IF(H2753="","",IF(OR('Data Export'!F2753="三厢轿车",'Data Export'!F2753="掀背轿车",'Data Export'!F2753="旅行车",'Data Export'!F2753="微型车",'Data Export'!F2753="硬顶跑车",'Data Export'!F2753="敞蓬车",'Data Export'!F2753="Targa"),"轿车",IF(OR('Data Export'!F2753="小型MPV",'Data Export'!F2753="客车"),"MPV",IF('Data Export'!F2753="运动型多功能车","SUV","其他"))))</f>
        <v/>
      </c>
      <c r="K2753" s="62"/>
      <c r="L2753" s="62"/>
      <c r="M2753" s="62"/>
      <c r="N2753" s="62"/>
      <c r="O2753" s="62"/>
      <c r="P2753" s="62"/>
      <c r="Q2753" s="62"/>
    </row>
    <row r="2754" spans="1:17">
      <c r="A2754" s="62"/>
      <c r="B2754" s="62"/>
      <c r="C2754" s="62"/>
      <c r="D2754" s="62"/>
      <c r="E2754" s="62"/>
      <c r="F2754" s="62"/>
      <c r="G2754" s="62"/>
      <c r="H2754" s="62" t="str">
        <f>IF(AND('Data Export'!A2754=前十整体车型排名!$B$2,'Data Export'!B2754=前十整体车型排名!$B$3,'Data Export'!D2754&lt;&gt;""),UPPER('Data Export'!C2754)&amp;"♦"&amp;'Data Export'!D2754,"")</f>
        <v/>
      </c>
      <c r="I2754" s="63" t="str">
        <f>IF(H2754="","",IFERROR(INDEX('Data Export'!G2754:CZ2754,1,MATCH(前十整体车型排名!$B$4,'Data Export'!$G$1:$CZ$1,0)),0))</f>
        <v/>
      </c>
      <c r="J2754" s="62" t="str">
        <f>IF(H2754="","",IF(OR('Data Export'!F2754="三厢轿车",'Data Export'!F2754="掀背轿车",'Data Export'!F2754="旅行车",'Data Export'!F2754="微型车",'Data Export'!F2754="硬顶跑车",'Data Export'!F2754="敞蓬车",'Data Export'!F2754="Targa"),"轿车",IF(OR('Data Export'!F2754="小型MPV",'Data Export'!F2754="客车"),"MPV",IF('Data Export'!F2754="运动型多功能车","SUV","其他"))))</f>
        <v/>
      </c>
      <c r="K2754" s="62"/>
      <c r="L2754" s="62"/>
      <c r="M2754" s="62"/>
      <c r="N2754" s="62"/>
      <c r="O2754" s="62"/>
      <c r="P2754" s="62"/>
      <c r="Q2754" s="62"/>
    </row>
    <row r="2755" spans="1:17">
      <c r="A2755" s="62"/>
      <c r="B2755" s="62"/>
      <c r="C2755" s="62"/>
      <c r="D2755" s="62"/>
      <c r="E2755" s="62"/>
      <c r="F2755" s="62"/>
      <c r="G2755" s="62"/>
      <c r="H2755" s="62" t="str">
        <f>IF(AND('Data Export'!A2755=前十整体车型排名!$B$2,'Data Export'!B2755=前十整体车型排名!$B$3,'Data Export'!D2755&lt;&gt;""),UPPER('Data Export'!C2755)&amp;"♦"&amp;'Data Export'!D2755,"")</f>
        <v/>
      </c>
      <c r="I2755" s="63" t="str">
        <f>IF(H2755="","",IFERROR(INDEX('Data Export'!G2755:CZ2755,1,MATCH(前十整体车型排名!$B$4,'Data Export'!$G$1:$CZ$1,0)),0))</f>
        <v/>
      </c>
      <c r="J2755" s="62" t="str">
        <f>IF(H2755="","",IF(OR('Data Export'!F2755="三厢轿车",'Data Export'!F2755="掀背轿车",'Data Export'!F2755="旅行车",'Data Export'!F2755="微型车",'Data Export'!F2755="硬顶跑车",'Data Export'!F2755="敞蓬车",'Data Export'!F2755="Targa"),"轿车",IF(OR('Data Export'!F2755="小型MPV",'Data Export'!F2755="客车"),"MPV",IF('Data Export'!F2755="运动型多功能车","SUV","其他"))))</f>
        <v/>
      </c>
      <c r="K2755" s="62"/>
      <c r="L2755" s="62"/>
      <c r="M2755" s="62"/>
      <c r="N2755" s="62"/>
      <c r="O2755" s="62"/>
      <c r="P2755" s="62"/>
      <c r="Q2755" s="62"/>
    </row>
    <row r="2756" spans="1:17">
      <c r="A2756" s="62"/>
      <c r="B2756" s="62"/>
      <c r="C2756" s="62"/>
      <c r="D2756" s="62"/>
      <c r="E2756" s="62"/>
      <c r="F2756" s="62"/>
      <c r="G2756" s="62"/>
      <c r="H2756" s="62" t="str">
        <f>IF(AND('Data Export'!A2756=前十整体车型排名!$B$2,'Data Export'!B2756=前十整体车型排名!$B$3,'Data Export'!D2756&lt;&gt;""),UPPER('Data Export'!C2756)&amp;"♦"&amp;'Data Export'!D2756,"")</f>
        <v/>
      </c>
      <c r="I2756" s="63" t="str">
        <f>IF(H2756="","",IFERROR(INDEX('Data Export'!G2756:CZ2756,1,MATCH(前十整体车型排名!$B$4,'Data Export'!$G$1:$CZ$1,0)),0))</f>
        <v/>
      </c>
      <c r="J2756" s="62" t="str">
        <f>IF(H2756="","",IF(OR('Data Export'!F2756="三厢轿车",'Data Export'!F2756="掀背轿车",'Data Export'!F2756="旅行车",'Data Export'!F2756="微型车",'Data Export'!F2756="硬顶跑车",'Data Export'!F2756="敞蓬车",'Data Export'!F2756="Targa"),"轿车",IF(OR('Data Export'!F2756="小型MPV",'Data Export'!F2756="客车"),"MPV",IF('Data Export'!F2756="运动型多功能车","SUV","其他"))))</f>
        <v/>
      </c>
      <c r="K2756" s="62"/>
      <c r="L2756" s="62"/>
      <c r="M2756" s="62"/>
      <c r="N2756" s="62"/>
      <c r="O2756" s="62"/>
      <c r="P2756" s="62"/>
      <c r="Q2756" s="62"/>
    </row>
    <row r="2757" spans="1:17">
      <c r="A2757" s="62"/>
      <c r="B2757" s="62"/>
      <c r="C2757" s="62"/>
      <c r="D2757" s="62"/>
      <c r="E2757" s="62"/>
      <c r="F2757" s="62"/>
      <c r="G2757" s="62"/>
      <c r="H2757" s="62" t="str">
        <f>IF(AND('Data Export'!A2757=前十整体车型排名!$B$2,'Data Export'!B2757=前十整体车型排名!$B$3,'Data Export'!D2757&lt;&gt;""),UPPER('Data Export'!C2757)&amp;"♦"&amp;'Data Export'!D2757,"")</f>
        <v/>
      </c>
      <c r="I2757" s="63" t="str">
        <f>IF(H2757="","",IFERROR(INDEX('Data Export'!G2757:CZ2757,1,MATCH(前十整体车型排名!$B$4,'Data Export'!$G$1:$CZ$1,0)),0))</f>
        <v/>
      </c>
      <c r="J2757" s="62" t="str">
        <f>IF(H2757="","",IF(OR('Data Export'!F2757="三厢轿车",'Data Export'!F2757="掀背轿车",'Data Export'!F2757="旅行车",'Data Export'!F2757="微型车",'Data Export'!F2757="硬顶跑车",'Data Export'!F2757="敞蓬车",'Data Export'!F2757="Targa"),"轿车",IF(OR('Data Export'!F2757="小型MPV",'Data Export'!F2757="客车"),"MPV",IF('Data Export'!F2757="运动型多功能车","SUV","其他"))))</f>
        <v/>
      </c>
      <c r="K2757" s="62"/>
      <c r="L2757" s="62"/>
      <c r="M2757" s="62"/>
      <c r="N2757" s="62"/>
      <c r="O2757" s="62"/>
      <c r="P2757" s="62"/>
      <c r="Q2757" s="62"/>
    </row>
    <row r="2758" spans="1:17">
      <c r="A2758" s="62"/>
      <c r="B2758" s="62"/>
      <c r="C2758" s="62"/>
      <c r="D2758" s="62"/>
      <c r="E2758" s="62"/>
      <c r="F2758" s="62"/>
      <c r="G2758" s="62"/>
      <c r="H2758" s="62" t="str">
        <f>IF(AND('Data Export'!A2758=前十整体车型排名!$B$2,'Data Export'!B2758=前十整体车型排名!$B$3,'Data Export'!D2758&lt;&gt;""),UPPER('Data Export'!C2758)&amp;"♦"&amp;'Data Export'!D2758,"")</f>
        <v/>
      </c>
      <c r="I2758" s="63" t="str">
        <f>IF(H2758="","",IFERROR(INDEX('Data Export'!G2758:CZ2758,1,MATCH(前十整体车型排名!$B$4,'Data Export'!$G$1:$CZ$1,0)),0))</f>
        <v/>
      </c>
      <c r="J2758" s="62" t="str">
        <f>IF(H2758="","",IF(OR('Data Export'!F2758="三厢轿车",'Data Export'!F2758="掀背轿车",'Data Export'!F2758="旅行车",'Data Export'!F2758="微型车",'Data Export'!F2758="硬顶跑车",'Data Export'!F2758="敞蓬车",'Data Export'!F2758="Targa"),"轿车",IF(OR('Data Export'!F2758="小型MPV",'Data Export'!F2758="客车"),"MPV",IF('Data Export'!F2758="运动型多功能车","SUV","其他"))))</f>
        <v/>
      </c>
      <c r="K2758" s="62"/>
      <c r="L2758" s="62"/>
      <c r="M2758" s="62"/>
      <c r="N2758" s="62"/>
      <c r="O2758" s="62"/>
      <c r="P2758" s="62"/>
      <c r="Q2758" s="62"/>
    </row>
    <row r="2759" spans="1:17">
      <c r="A2759" s="62"/>
      <c r="B2759" s="62"/>
      <c r="C2759" s="62"/>
      <c r="D2759" s="62"/>
      <c r="E2759" s="62"/>
      <c r="F2759" s="62"/>
      <c r="G2759" s="62"/>
      <c r="H2759" s="62" t="str">
        <f>IF(AND('Data Export'!A2759=前十整体车型排名!$B$2,'Data Export'!B2759=前十整体车型排名!$B$3,'Data Export'!D2759&lt;&gt;""),UPPER('Data Export'!C2759)&amp;"♦"&amp;'Data Export'!D2759,"")</f>
        <v/>
      </c>
      <c r="I2759" s="63" t="str">
        <f>IF(H2759="","",IFERROR(INDEX('Data Export'!G2759:CZ2759,1,MATCH(前十整体车型排名!$B$4,'Data Export'!$G$1:$CZ$1,0)),0))</f>
        <v/>
      </c>
      <c r="J2759" s="62" t="str">
        <f>IF(H2759="","",IF(OR('Data Export'!F2759="三厢轿车",'Data Export'!F2759="掀背轿车",'Data Export'!F2759="旅行车",'Data Export'!F2759="微型车",'Data Export'!F2759="硬顶跑车",'Data Export'!F2759="敞蓬车",'Data Export'!F2759="Targa"),"轿车",IF(OR('Data Export'!F2759="小型MPV",'Data Export'!F2759="客车"),"MPV",IF('Data Export'!F2759="运动型多功能车","SUV","其他"))))</f>
        <v/>
      </c>
      <c r="K2759" s="62"/>
      <c r="L2759" s="62"/>
      <c r="M2759" s="62"/>
      <c r="N2759" s="62"/>
      <c r="O2759" s="62"/>
      <c r="P2759" s="62"/>
      <c r="Q2759" s="62"/>
    </row>
    <row r="2760" spans="1:17">
      <c r="A2760" s="62"/>
      <c r="B2760" s="62"/>
      <c r="C2760" s="62"/>
      <c r="D2760" s="62"/>
      <c r="E2760" s="62"/>
      <c r="F2760" s="62"/>
      <c r="G2760" s="62"/>
      <c r="H2760" s="62" t="str">
        <f>IF(AND('Data Export'!A2760=前十整体车型排名!$B$2,'Data Export'!B2760=前十整体车型排名!$B$3,'Data Export'!D2760&lt;&gt;""),UPPER('Data Export'!C2760)&amp;"♦"&amp;'Data Export'!D2760,"")</f>
        <v/>
      </c>
      <c r="I2760" s="63" t="str">
        <f>IF(H2760="","",IFERROR(INDEX('Data Export'!G2760:CZ2760,1,MATCH(前十整体车型排名!$B$4,'Data Export'!$G$1:$CZ$1,0)),0))</f>
        <v/>
      </c>
      <c r="J2760" s="62" t="str">
        <f>IF(H2760="","",IF(OR('Data Export'!F2760="三厢轿车",'Data Export'!F2760="掀背轿车",'Data Export'!F2760="旅行车",'Data Export'!F2760="微型车",'Data Export'!F2760="硬顶跑车",'Data Export'!F2760="敞蓬车",'Data Export'!F2760="Targa"),"轿车",IF(OR('Data Export'!F2760="小型MPV",'Data Export'!F2760="客车"),"MPV",IF('Data Export'!F2760="运动型多功能车","SUV","其他"))))</f>
        <v/>
      </c>
      <c r="K2760" s="62"/>
      <c r="L2760" s="62"/>
      <c r="M2760" s="62"/>
      <c r="N2760" s="62"/>
      <c r="O2760" s="62"/>
      <c r="P2760" s="62"/>
      <c r="Q2760" s="62"/>
    </row>
    <row r="2761" spans="1:17">
      <c r="A2761" s="62"/>
      <c r="B2761" s="62"/>
      <c r="C2761" s="62"/>
      <c r="D2761" s="62"/>
      <c r="E2761" s="62"/>
      <c r="F2761" s="62"/>
      <c r="G2761" s="62"/>
      <c r="H2761" s="62" t="str">
        <f>IF(AND('Data Export'!A2761=前十整体车型排名!$B$2,'Data Export'!B2761=前十整体车型排名!$B$3,'Data Export'!D2761&lt;&gt;""),UPPER('Data Export'!C2761)&amp;"♦"&amp;'Data Export'!D2761,"")</f>
        <v/>
      </c>
      <c r="I2761" s="63" t="str">
        <f>IF(H2761="","",IFERROR(INDEX('Data Export'!G2761:CZ2761,1,MATCH(前十整体车型排名!$B$4,'Data Export'!$G$1:$CZ$1,0)),0))</f>
        <v/>
      </c>
      <c r="J2761" s="62" t="str">
        <f>IF(H2761="","",IF(OR('Data Export'!F2761="三厢轿车",'Data Export'!F2761="掀背轿车",'Data Export'!F2761="旅行车",'Data Export'!F2761="微型车",'Data Export'!F2761="硬顶跑车",'Data Export'!F2761="敞蓬车",'Data Export'!F2761="Targa"),"轿车",IF(OR('Data Export'!F2761="小型MPV",'Data Export'!F2761="客车"),"MPV",IF('Data Export'!F2761="运动型多功能车","SUV","其他"))))</f>
        <v/>
      </c>
      <c r="K2761" s="62"/>
      <c r="L2761" s="62"/>
      <c r="M2761" s="62"/>
      <c r="N2761" s="62"/>
      <c r="O2761" s="62"/>
      <c r="P2761" s="62"/>
      <c r="Q2761" s="62"/>
    </row>
    <row r="2762" spans="1:17">
      <c r="A2762" s="62"/>
      <c r="B2762" s="62"/>
      <c r="C2762" s="62"/>
      <c r="D2762" s="62"/>
      <c r="E2762" s="62"/>
      <c r="F2762" s="62"/>
      <c r="G2762" s="62"/>
      <c r="H2762" s="62" t="str">
        <f>IF(AND('Data Export'!A2762=前十整体车型排名!$B$2,'Data Export'!B2762=前十整体车型排名!$B$3,'Data Export'!D2762&lt;&gt;""),UPPER('Data Export'!C2762)&amp;"♦"&amp;'Data Export'!D2762,"")</f>
        <v/>
      </c>
      <c r="I2762" s="63" t="str">
        <f>IF(H2762="","",IFERROR(INDEX('Data Export'!G2762:CZ2762,1,MATCH(前十整体车型排名!$B$4,'Data Export'!$G$1:$CZ$1,0)),0))</f>
        <v/>
      </c>
      <c r="J2762" s="62" t="str">
        <f>IF(H2762="","",IF(OR('Data Export'!F2762="三厢轿车",'Data Export'!F2762="掀背轿车",'Data Export'!F2762="旅行车",'Data Export'!F2762="微型车",'Data Export'!F2762="硬顶跑车",'Data Export'!F2762="敞蓬车",'Data Export'!F2762="Targa"),"轿车",IF(OR('Data Export'!F2762="小型MPV",'Data Export'!F2762="客车"),"MPV",IF('Data Export'!F2762="运动型多功能车","SUV","其他"))))</f>
        <v/>
      </c>
      <c r="K2762" s="62"/>
      <c r="L2762" s="62"/>
      <c r="M2762" s="62"/>
      <c r="N2762" s="62"/>
      <c r="O2762" s="62"/>
      <c r="P2762" s="62"/>
      <c r="Q2762" s="62"/>
    </row>
    <row r="2763" spans="1:17">
      <c r="A2763" s="62"/>
      <c r="B2763" s="62"/>
      <c r="C2763" s="62"/>
      <c r="D2763" s="62"/>
      <c r="E2763" s="62"/>
      <c r="F2763" s="62"/>
      <c r="G2763" s="62"/>
      <c r="H2763" s="62" t="str">
        <f>IF(AND('Data Export'!A2763=前十整体车型排名!$B$2,'Data Export'!B2763=前十整体车型排名!$B$3,'Data Export'!D2763&lt;&gt;""),UPPER('Data Export'!C2763)&amp;"♦"&amp;'Data Export'!D2763,"")</f>
        <v/>
      </c>
      <c r="I2763" s="63" t="str">
        <f>IF(H2763="","",IFERROR(INDEX('Data Export'!G2763:CZ2763,1,MATCH(前十整体车型排名!$B$4,'Data Export'!$G$1:$CZ$1,0)),0))</f>
        <v/>
      </c>
      <c r="J2763" s="62" t="str">
        <f>IF(H2763="","",IF(OR('Data Export'!F2763="三厢轿车",'Data Export'!F2763="掀背轿车",'Data Export'!F2763="旅行车",'Data Export'!F2763="微型车",'Data Export'!F2763="硬顶跑车",'Data Export'!F2763="敞蓬车",'Data Export'!F2763="Targa"),"轿车",IF(OR('Data Export'!F2763="小型MPV",'Data Export'!F2763="客车"),"MPV",IF('Data Export'!F2763="运动型多功能车","SUV","其他"))))</f>
        <v/>
      </c>
      <c r="K2763" s="62"/>
      <c r="L2763" s="62"/>
      <c r="M2763" s="62"/>
      <c r="N2763" s="62"/>
      <c r="O2763" s="62"/>
      <c r="P2763" s="62"/>
      <c r="Q2763" s="62"/>
    </row>
    <row r="2764" spans="1:17">
      <c r="A2764" s="62"/>
      <c r="B2764" s="62"/>
      <c r="C2764" s="62"/>
      <c r="D2764" s="62"/>
      <c r="E2764" s="62"/>
      <c r="F2764" s="62"/>
      <c r="G2764" s="62"/>
      <c r="H2764" s="62" t="str">
        <f>IF(AND('Data Export'!A2764=前十整体车型排名!$B$2,'Data Export'!B2764=前十整体车型排名!$B$3,'Data Export'!D2764&lt;&gt;""),UPPER('Data Export'!C2764)&amp;"♦"&amp;'Data Export'!D2764,"")</f>
        <v/>
      </c>
      <c r="I2764" s="63" t="str">
        <f>IF(H2764="","",IFERROR(INDEX('Data Export'!G2764:CZ2764,1,MATCH(前十整体车型排名!$B$4,'Data Export'!$G$1:$CZ$1,0)),0))</f>
        <v/>
      </c>
      <c r="J2764" s="62" t="str">
        <f>IF(H2764="","",IF(OR('Data Export'!F2764="三厢轿车",'Data Export'!F2764="掀背轿车",'Data Export'!F2764="旅行车",'Data Export'!F2764="微型车",'Data Export'!F2764="硬顶跑车",'Data Export'!F2764="敞蓬车",'Data Export'!F2764="Targa"),"轿车",IF(OR('Data Export'!F2764="小型MPV",'Data Export'!F2764="客车"),"MPV",IF('Data Export'!F2764="运动型多功能车","SUV","其他"))))</f>
        <v/>
      </c>
      <c r="K2764" s="62"/>
      <c r="L2764" s="62"/>
      <c r="M2764" s="62"/>
      <c r="N2764" s="62"/>
      <c r="O2764" s="62"/>
      <c r="P2764" s="62"/>
      <c r="Q2764" s="62"/>
    </row>
    <row r="2765" spans="1:17">
      <c r="A2765" s="62"/>
      <c r="B2765" s="62"/>
      <c r="C2765" s="62"/>
      <c r="D2765" s="62"/>
      <c r="E2765" s="62"/>
      <c r="F2765" s="62"/>
      <c r="G2765" s="62"/>
      <c r="H2765" s="62" t="str">
        <f>IF(AND('Data Export'!A2765=前十整体车型排名!$B$2,'Data Export'!B2765=前十整体车型排名!$B$3,'Data Export'!D2765&lt;&gt;""),UPPER('Data Export'!C2765)&amp;"♦"&amp;'Data Export'!D2765,"")</f>
        <v/>
      </c>
      <c r="I2765" s="63" t="str">
        <f>IF(H2765="","",IFERROR(INDEX('Data Export'!G2765:CZ2765,1,MATCH(前十整体车型排名!$B$4,'Data Export'!$G$1:$CZ$1,0)),0))</f>
        <v/>
      </c>
      <c r="J2765" s="62" t="str">
        <f>IF(H2765="","",IF(OR('Data Export'!F2765="三厢轿车",'Data Export'!F2765="掀背轿车",'Data Export'!F2765="旅行车",'Data Export'!F2765="微型车",'Data Export'!F2765="硬顶跑车",'Data Export'!F2765="敞蓬车",'Data Export'!F2765="Targa"),"轿车",IF(OR('Data Export'!F2765="小型MPV",'Data Export'!F2765="客车"),"MPV",IF('Data Export'!F2765="运动型多功能车","SUV","其他"))))</f>
        <v/>
      </c>
      <c r="K2765" s="62"/>
      <c r="L2765" s="62"/>
      <c r="M2765" s="62"/>
      <c r="N2765" s="62"/>
      <c r="O2765" s="62"/>
      <c r="P2765" s="62"/>
      <c r="Q2765" s="62"/>
    </row>
    <row r="2766" spans="1:17">
      <c r="A2766" s="62"/>
      <c r="B2766" s="62"/>
      <c r="C2766" s="62"/>
      <c r="D2766" s="62"/>
      <c r="E2766" s="62"/>
      <c r="F2766" s="62"/>
      <c r="G2766" s="62"/>
      <c r="H2766" s="62" t="str">
        <f>IF(AND('Data Export'!A2766=前十整体车型排名!$B$2,'Data Export'!B2766=前十整体车型排名!$B$3,'Data Export'!D2766&lt;&gt;""),UPPER('Data Export'!C2766)&amp;"♦"&amp;'Data Export'!D2766,"")</f>
        <v/>
      </c>
      <c r="I2766" s="63" t="str">
        <f>IF(H2766="","",IFERROR(INDEX('Data Export'!G2766:CZ2766,1,MATCH(前十整体车型排名!$B$4,'Data Export'!$G$1:$CZ$1,0)),0))</f>
        <v/>
      </c>
      <c r="J2766" s="62" t="str">
        <f>IF(H2766="","",IF(OR('Data Export'!F2766="三厢轿车",'Data Export'!F2766="掀背轿车",'Data Export'!F2766="旅行车",'Data Export'!F2766="微型车",'Data Export'!F2766="硬顶跑车",'Data Export'!F2766="敞蓬车",'Data Export'!F2766="Targa"),"轿车",IF(OR('Data Export'!F2766="小型MPV",'Data Export'!F2766="客车"),"MPV",IF('Data Export'!F2766="运动型多功能车","SUV","其他"))))</f>
        <v/>
      </c>
      <c r="K2766" s="62"/>
      <c r="L2766" s="62"/>
      <c r="M2766" s="62"/>
      <c r="N2766" s="62"/>
      <c r="O2766" s="62"/>
      <c r="P2766" s="62"/>
      <c r="Q2766" s="62"/>
    </row>
    <row r="2767" spans="1:17">
      <c r="A2767" s="62"/>
      <c r="B2767" s="62"/>
      <c r="C2767" s="62"/>
      <c r="D2767" s="62"/>
      <c r="E2767" s="62"/>
      <c r="F2767" s="62"/>
      <c r="G2767" s="62"/>
      <c r="H2767" s="62" t="str">
        <f>IF(AND('Data Export'!A2767=前十整体车型排名!$B$2,'Data Export'!B2767=前十整体车型排名!$B$3,'Data Export'!D2767&lt;&gt;""),UPPER('Data Export'!C2767)&amp;"♦"&amp;'Data Export'!D2767,"")</f>
        <v/>
      </c>
      <c r="I2767" s="63" t="str">
        <f>IF(H2767="","",IFERROR(INDEX('Data Export'!G2767:CZ2767,1,MATCH(前十整体车型排名!$B$4,'Data Export'!$G$1:$CZ$1,0)),0))</f>
        <v/>
      </c>
      <c r="J2767" s="62" t="str">
        <f>IF(H2767="","",IF(OR('Data Export'!F2767="三厢轿车",'Data Export'!F2767="掀背轿车",'Data Export'!F2767="旅行车",'Data Export'!F2767="微型车",'Data Export'!F2767="硬顶跑车",'Data Export'!F2767="敞蓬车",'Data Export'!F2767="Targa"),"轿车",IF(OR('Data Export'!F2767="小型MPV",'Data Export'!F2767="客车"),"MPV",IF('Data Export'!F2767="运动型多功能车","SUV","其他"))))</f>
        <v/>
      </c>
      <c r="K2767" s="62"/>
      <c r="L2767" s="62"/>
      <c r="M2767" s="62"/>
      <c r="N2767" s="62"/>
      <c r="O2767" s="62"/>
      <c r="P2767" s="62"/>
      <c r="Q2767" s="62"/>
    </row>
    <row r="2768" spans="1:17">
      <c r="A2768" s="62"/>
      <c r="B2768" s="62"/>
      <c r="C2768" s="62"/>
      <c r="D2768" s="62"/>
      <c r="E2768" s="62"/>
      <c r="F2768" s="62"/>
      <c r="G2768" s="62"/>
      <c r="H2768" s="62" t="str">
        <f>IF(AND('Data Export'!A2768=前十整体车型排名!$B$2,'Data Export'!B2768=前十整体车型排名!$B$3,'Data Export'!D2768&lt;&gt;""),UPPER('Data Export'!C2768)&amp;"♦"&amp;'Data Export'!D2768,"")</f>
        <v/>
      </c>
      <c r="I2768" s="63" t="str">
        <f>IF(H2768="","",IFERROR(INDEX('Data Export'!G2768:CZ2768,1,MATCH(前十整体车型排名!$B$4,'Data Export'!$G$1:$CZ$1,0)),0))</f>
        <v/>
      </c>
      <c r="J2768" s="62" t="str">
        <f>IF(H2768="","",IF(OR('Data Export'!F2768="三厢轿车",'Data Export'!F2768="掀背轿车",'Data Export'!F2768="旅行车",'Data Export'!F2768="微型车",'Data Export'!F2768="硬顶跑车",'Data Export'!F2768="敞蓬车",'Data Export'!F2768="Targa"),"轿车",IF(OR('Data Export'!F2768="小型MPV",'Data Export'!F2768="客车"),"MPV",IF('Data Export'!F2768="运动型多功能车","SUV","其他"))))</f>
        <v/>
      </c>
      <c r="K2768" s="62"/>
      <c r="L2768" s="62"/>
      <c r="M2768" s="62"/>
      <c r="N2768" s="62"/>
      <c r="O2768" s="62"/>
      <c r="P2768" s="62"/>
      <c r="Q2768" s="62"/>
    </row>
    <row r="2769" spans="1:17">
      <c r="A2769" s="62"/>
      <c r="B2769" s="62"/>
      <c r="C2769" s="62"/>
      <c r="D2769" s="62"/>
      <c r="E2769" s="62"/>
      <c r="F2769" s="62"/>
      <c r="G2769" s="62"/>
      <c r="H2769" s="62" t="str">
        <f>IF(AND('Data Export'!A2769=前十整体车型排名!$B$2,'Data Export'!B2769=前十整体车型排名!$B$3,'Data Export'!D2769&lt;&gt;""),UPPER('Data Export'!C2769)&amp;"♦"&amp;'Data Export'!D2769,"")</f>
        <v/>
      </c>
      <c r="I2769" s="63" t="str">
        <f>IF(H2769="","",IFERROR(INDEX('Data Export'!G2769:CZ2769,1,MATCH(前十整体车型排名!$B$4,'Data Export'!$G$1:$CZ$1,0)),0))</f>
        <v/>
      </c>
      <c r="J2769" s="62" t="str">
        <f>IF(H2769="","",IF(OR('Data Export'!F2769="三厢轿车",'Data Export'!F2769="掀背轿车",'Data Export'!F2769="旅行车",'Data Export'!F2769="微型车",'Data Export'!F2769="硬顶跑车",'Data Export'!F2769="敞蓬车",'Data Export'!F2769="Targa"),"轿车",IF(OR('Data Export'!F2769="小型MPV",'Data Export'!F2769="客车"),"MPV",IF('Data Export'!F2769="运动型多功能车","SUV","其他"))))</f>
        <v/>
      </c>
      <c r="K2769" s="62"/>
      <c r="L2769" s="62"/>
      <c r="M2769" s="62"/>
      <c r="N2769" s="62"/>
      <c r="O2769" s="62"/>
      <c r="P2769" s="62"/>
      <c r="Q2769" s="62"/>
    </row>
    <row r="2770" spans="1:17">
      <c r="A2770" s="62"/>
      <c r="B2770" s="62"/>
      <c r="C2770" s="62"/>
      <c r="D2770" s="62"/>
      <c r="E2770" s="62"/>
      <c r="F2770" s="62"/>
      <c r="G2770" s="62"/>
      <c r="H2770" s="62" t="str">
        <f>IF(AND('Data Export'!A2770=前十整体车型排名!$B$2,'Data Export'!B2770=前十整体车型排名!$B$3,'Data Export'!D2770&lt;&gt;""),UPPER('Data Export'!C2770)&amp;"♦"&amp;'Data Export'!D2770,"")</f>
        <v/>
      </c>
      <c r="I2770" s="63" t="str">
        <f>IF(H2770="","",IFERROR(INDEX('Data Export'!G2770:CZ2770,1,MATCH(前十整体车型排名!$B$4,'Data Export'!$G$1:$CZ$1,0)),0))</f>
        <v/>
      </c>
      <c r="J2770" s="62" t="str">
        <f>IF(H2770="","",IF(OR('Data Export'!F2770="三厢轿车",'Data Export'!F2770="掀背轿车",'Data Export'!F2770="旅行车",'Data Export'!F2770="微型车",'Data Export'!F2770="硬顶跑车",'Data Export'!F2770="敞蓬车",'Data Export'!F2770="Targa"),"轿车",IF(OR('Data Export'!F2770="小型MPV",'Data Export'!F2770="客车"),"MPV",IF('Data Export'!F2770="运动型多功能车","SUV","其他"))))</f>
        <v/>
      </c>
      <c r="K2770" s="62"/>
      <c r="L2770" s="62"/>
      <c r="M2770" s="62"/>
      <c r="N2770" s="62"/>
      <c r="O2770" s="62"/>
      <c r="P2770" s="62"/>
      <c r="Q2770" s="62"/>
    </row>
    <row r="2771" spans="1:17">
      <c r="A2771" s="62"/>
      <c r="B2771" s="62"/>
      <c r="C2771" s="62"/>
      <c r="D2771" s="62"/>
      <c r="E2771" s="62"/>
      <c r="F2771" s="62"/>
      <c r="G2771" s="62"/>
      <c r="H2771" s="62" t="str">
        <f>IF(AND('Data Export'!A2771=前十整体车型排名!$B$2,'Data Export'!B2771=前十整体车型排名!$B$3,'Data Export'!D2771&lt;&gt;""),UPPER('Data Export'!C2771)&amp;"♦"&amp;'Data Export'!D2771,"")</f>
        <v/>
      </c>
      <c r="I2771" s="63" t="str">
        <f>IF(H2771="","",IFERROR(INDEX('Data Export'!G2771:CZ2771,1,MATCH(前十整体车型排名!$B$4,'Data Export'!$G$1:$CZ$1,0)),0))</f>
        <v/>
      </c>
      <c r="J2771" s="62" t="str">
        <f>IF(H2771="","",IF(OR('Data Export'!F2771="三厢轿车",'Data Export'!F2771="掀背轿车",'Data Export'!F2771="旅行车",'Data Export'!F2771="微型车",'Data Export'!F2771="硬顶跑车",'Data Export'!F2771="敞蓬车",'Data Export'!F2771="Targa"),"轿车",IF(OR('Data Export'!F2771="小型MPV",'Data Export'!F2771="客车"),"MPV",IF('Data Export'!F2771="运动型多功能车","SUV","其他"))))</f>
        <v/>
      </c>
      <c r="K2771" s="62"/>
      <c r="L2771" s="62"/>
      <c r="M2771" s="62"/>
      <c r="N2771" s="62"/>
      <c r="O2771" s="62"/>
      <c r="P2771" s="62"/>
      <c r="Q2771" s="62"/>
    </row>
    <row r="2772" spans="1:17">
      <c r="A2772" s="62"/>
      <c r="B2772" s="62"/>
      <c r="C2772" s="62"/>
      <c r="D2772" s="62"/>
      <c r="E2772" s="62"/>
      <c r="F2772" s="62"/>
      <c r="G2772" s="62"/>
      <c r="H2772" s="62" t="str">
        <f>IF(AND('Data Export'!A2772=前十整体车型排名!$B$2,'Data Export'!B2772=前十整体车型排名!$B$3,'Data Export'!D2772&lt;&gt;""),UPPER('Data Export'!C2772)&amp;"♦"&amp;'Data Export'!D2772,"")</f>
        <v/>
      </c>
      <c r="I2772" s="63" t="str">
        <f>IF(H2772="","",IFERROR(INDEX('Data Export'!G2772:CZ2772,1,MATCH(前十整体车型排名!$B$4,'Data Export'!$G$1:$CZ$1,0)),0))</f>
        <v/>
      </c>
      <c r="J2772" s="62" t="str">
        <f>IF(H2772="","",IF(OR('Data Export'!F2772="三厢轿车",'Data Export'!F2772="掀背轿车",'Data Export'!F2772="旅行车",'Data Export'!F2772="微型车",'Data Export'!F2772="硬顶跑车",'Data Export'!F2772="敞蓬车",'Data Export'!F2772="Targa"),"轿车",IF(OR('Data Export'!F2772="小型MPV",'Data Export'!F2772="客车"),"MPV",IF('Data Export'!F2772="运动型多功能车","SUV","其他"))))</f>
        <v/>
      </c>
      <c r="K2772" s="62"/>
      <c r="L2772" s="62"/>
      <c r="M2772" s="62"/>
      <c r="N2772" s="62"/>
      <c r="O2772" s="62"/>
      <c r="P2772" s="62"/>
      <c r="Q2772" s="62"/>
    </row>
    <row r="2773" spans="1:17">
      <c r="A2773" s="62"/>
      <c r="B2773" s="62"/>
      <c r="C2773" s="62"/>
      <c r="D2773" s="62"/>
      <c r="E2773" s="62"/>
      <c r="F2773" s="62"/>
      <c r="G2773" s="62"/>
      <c r="H2773" s="62" t="str">
        <f>IF(AND('Data Export'!A2773=前十整体车型排名!$B$2,'Data Export'!B2773=前十整体车型排名!$B$3,'Data Export'!D2773&lt;&gt;""),UPPER('Data Export'!C2773)&amp;"♦"&amp;'Data Export'!D2773,"")</f>
        <v/>
      </c>
      <c r="I2773" s="63" t="str">
        <f>IF(H2773="","",IFERROR(INDEX('Data Export'!G2773:CZ2773,1,MATCH(前十整体车型排名!$B$4,'Data Export'!$G$1:$CZ$1,0)),0))</f>
        <v/>
      </c>
      <c r="J2773" s="62" t="str">
        <f>IF(H2773="","",IF(OR('Data Export'!F2773="三厢轿车",'Data Export'!F2773="掀背轿车",'Data Export'!F2773="旅行车",'Data Export'!F2773="微型车",'Data Export'!F2773="硬顶跑车",'Data Export'!F2773="敞蓬车",'Data Export'!F2773="Targa"),"轿车",IF(OR('Data Export'!F2773="小型MPV",'Data Export'!F2773="客车"),"MPV",IF('Data Export'!F2773="运动型多功能车","SUV","其他"))))</f>
        <v/>
      </c>
      <c r="K2773" s="62"/>
      <c r="L2773" s="62"/>
      <c r="M2773" s="62"/>
      <c r="N2773" s="62"/>
      <c r="O2773" s="62"/>
      <c r="P2773" s="62"/>
      <c r="Q2773" s="62"/>
    </row>
    <row r="2774" spans="1:17">
      <c r="A2774" s="62"/>
      <c r="B2774" s="62"/>
      <c r="C2774" s="62"/>
      <c r="D2774" s="62"/>
      <c r="E2774" s="62"/>
      <c r="F2774" s="62"/>
      <c r="G2774" s="62"/>
      <c r="H2774" s="62" t="str">
        <f>IF(AND('Data Export'!A2774=前十整体车型排名!$B$2,'Data Export'!B2774=前十整体车型排名!$B$3,'Data Export'!D2774&lt;&gt;""),UPPER('Data Export'!C2774)&amp;"♦"&amp;'Data Export'!D2774,"")</f>
        <v/>
      </c>
      <c r="I2774" s="63" t="str">
        <f>IF(H2774="","",IFERROR(INDEX('Data Export'!G2774:CZ2774,1,MATCH(前十整体车型排名!$B$4,'Data Export'!$G$1:$CZ$1,0)),0))</f>
        <v/>
      </c>
      <c r="J2774" s="62" t="str">
        <f>IF(H2774="","",IF(OR('Data Export'!F2774="三厢轿车",'Data Export'!F2774="掀背轿车",'Data Export'!F2774="旅行车",'Data Export'!F2774="微型车",'Data Export'!F2774="硬顶跑车",'Data Export'!F2774="敞蓬车",'Data Export'!F2774="Targa"),"轿车",IF(OR('Data Export'!F2774="小型MPV",'Data Export'!F2774="客车"),"MPV",IF('Data Export'!F2774="运动型多功能车","SUV","其他"))))</f>
        <v/>
      </c>
      <c r="K2774" s="62"/>
      <c r="L2774" s="62"/>
      <c r="M2774" s="62"/>
      <c r="N2774" s="62"/>
      <c r="O2774" s="62"/>
      <c r="P2774" s="62"/>
      <c r="Q2774" s="62"/>
    </row>
    <row r="2775" spans="1:17">
      <c r="A2775" s="62"/>
      <c r="B2775" s="62"/>
      <c r="C2775" s="62"/>
      <c r="D2775" s="62"/>
      <c r="E2775" s="62"/>
      <c r="F2775" s="62"/>
      <c r="G2775" s="62"/>
      <c r="H2775" s="62" t="str">
        <f>IF(AND('Data Export'!A2775=前十整体车型排名!$B$2,'Data Export'!B2775=前十整体车型排名!$B$3,'Data Export'!D2775&lt;&gt;""),UPPER('Data Export'!C2775)&amp;"♦"&amp;'Data Export'!D2775,"")</f>
        <v/>
      </c>
      <c r="I2775" s="63" t="str">
        <f>IF(H2775="","",IFERROR(INDEX('Data Export'!G2775:CZ2775,1,MATCH(前十整体车型排名!$B$4,'Data Export'!$G$1:$CZ$1,0)),0))</f>
        <v/>
      </c>
      <c r="J2775" s="62" t="str">
        <f>IF(H2775="","",IF(OR('Data Export'!F2775="三厢轿车",'Data Export'!F2775="掀背轿车",'Data Export'!F2775="旅行车",'Data Export'!F2775="微型车",'Data Export'!F2775="硬顶跑车",'Data Export'!F2775="敞蓬车",'Data Export'!F2775="Targa"),"轿车",IF(OR('Data Export'!F2775="小型MPV",'Data Export'!F2775="客车"),"MPV",IF('Data Export'!F2775="运动型多功能车","SUV","其他"))))</f>
        <v/>
      </c>
      <c r="K2775" s="62"/>
      <c r="L2775" s="62"/>
      <c r="M2775" s="62"/>
      <c r="N2775" s="62"/>
      <c r="O2775" s="62"/>
      <c r="P2775" s="62"/>
      <c r="Q2775" s="62"/>
    </row>
    <row r="2776" spans="1:17">
      <c r="A2776" s="62"/>
      <c r="B2776" s="62"/>
      <c r="C2776" s="62"/>
      <c r="D2776" s="62"/>
      <c r="E2776" s="62"/>
      <c r="F2776" s="62"/>
      <c r="G2776" s="62"/>
      <c r="H2776" s="62" t="str">
        <f>IF(AND('Data Export'!A2776=前十整体车型排名!$B$2,'Data Export'!B2776=前十整体车型排名!$B$3,'Data Export'!D2776&lt;&gt;""),UPPER('Data Export'!C2776)&amp;"♦"&amp;'Data Export'!D2776,"")</f>
        <v/>
      </c>
      <c r="I2776" s="63" t="str">
        <f>IF(H2776="","",IFERROR(INDEX('Data Export'!G2776:CZ2776,1,MATCH(前十整体车型排名!$B$4,'Data Export'!$G$1:$CZ$1,0)),0))</f>
        <v/>
      </c>
      <c r="J2776" s="62" t="str">
        <f>IF(H2776="","",IF(OR('Data Export'!F2776="三厢轿车",'Data Export'!F2776="掀背轿车",'Data Export'!F2776="旅行车",'Data Export'!F2776="微型车",'Data Export'!F2776="硬顶跑车",'Data Export'!F2776="敞蓬车",'Data Export'!F2776="Targa"),"轿车",IF(OR('Data Export'!F2776="小型MPV",'Data Export'!F2776="客车"),"MPV",IF('Data Export'!F2776="运动型多功能车","SUV","其他"))))</f>
        <v/>
      </c>
      <c r="K2776" s="62"/>
      <c r="L2776" s="62"/>
      <c r="M2776" s="62"/>
      <c r="N2776" s="62"/>
      <c r="O2776" s="62"/>
      <c r="P2776" s="62"/>
      <c r="Q2776" s="62"/>
    </row>
    <row r="2777" spans="1:17">
      <c r="A2777" s="62"/>
      <c r="B2777" s="62"/>
      <c r="C2777" s="62"/>
      <c r="D2777" s="62"/>
      <c r="E2777" s="62"/>
      <c r="F2777" s="62"/>
      <c r="G2777" s="62"/>
      <c r="H2777" s="62" t="str">
        <f>IF(AND('Data Export'!A2777=前十整体车型排名!$B$2,'Data Export'!B2777=前十整体车型排名!$B$3,'Data Export'!D2777&lt;&gt;""),UPPER('Data Export'!C2777)&amp;"♦"&amp;'Data Export'!D2777,"")</f>
        <v/>
      </c>
      <c r="I2777" s="63" t="str">
        <f>IF(H2777="","",IFERROR(INDEX('Data Export'!G2777:CZ2777,1,MATCH(前十整体车型排名!$B$4,'Data Export'!$G$1:$CZ$1,0)),0))</f>
        <v/>
      </c>
      <c r="J2777" s="62" t="str">
        <f>IF(H2777="","",IF(OR('Data Export'!F2777="三厢轿车",'Data Export'!F2777="掀背轿车",'Data Export'!F2777="旅行车",'Data Export'!F2777="微型车",'Data Export'!F2777="硬顶跑车",'Data Export'!F2777="敞蓬车",'Data Export'!F2777="Targa"),"轿车",IF(OR('Data Export'!F2777="小型MPV",'Data Export'!F2777="客车"),"MPV",IF('Data Export'!F2777="运动型多功能车","SUV","其他"))))</f>
        <v/>
      </c>
      <c r="K2777" s="62"/>
      <c r="L2777" s="62"/>
      <c r="M2777" s="62"/>
      <c r="N2777" s="62"/>
      <c r="O2777" s="62"/>
      <c r="P2777" s="62"/>
      <c r="Q2777" s="62"/>
    </row>
    <row r="2778" spans="1:17">
      <c r="A2778" s="62"/>
      <c r="B2778" s="62"/>
      <c r="C2778" s="62"/>
      <c r="D2778" s="62"/>
      <c r="E2778" s="62"/>
      <c r="F2778" s="62"/>
      <c r="G2778" s="62"/>
      <c r="H2778" s="62" t="str">
        <f>IF(AND('Data Export'!A2778=前十整体车型排名!$B$2,'Data Export'!B2778=前十整体车型排名!$B$3,'Data Export'!D2778&lt;&gt;""),UPPER('Data Export'!C2778)&amp;"♦"&amp;'Data Export'!D2778,"")</f>
        <v/>
      </c>
      <c r="I2778" s="63" t="str">
        <f>IF(H2778="","",IFERROR(INDEX('Data Export'!G2778:CZ2778,1,MATCH(前十整体车型排名!$B$4,'Data Export'!$G$1:$CZ$1,0)),0))</f>
        <v/>
      </c>
      <c r="J2778" s="62" t="str">
        <f>IF(H2778="","",IF(OR('Data Export'!F2778="三厢轿车",'Data Export'!F2778="掀背轿车",'Data Export'!F2778="旅行车",'Data Export'!F2778="微型车",'Data Export'!F2778="硬顶跑车",'Data Export'!F2778="敞蓬车",'Data Export'!F2778="Targa"),"轿车",IF(OR('Data Export'!F2778="小型MPV",'Data Export'!F2778="客车"),"MPV",IF('Data Export'!F2778="运动型多功能车","SUV","其他"))))</f>
        <v/>
      </c>
      <c r="K2778" s="62"/>
      <c r="L2778" s="62"/>
      <c r="M2778" s="62"/>
      <c r="N2778" s="62"/>
      <c r="O2778" s="62"/>
      <c r="P2778" s="62"/>
      <c r="Q2778" s="62"/>
    </row>
    <row r="2779" spans="1:17">
      <c r="A2779" s="62"/>
      <c r="B2779" s="62"/>
      <c r="C2779" s="62"/>
      <c r="D2779" s="62"/>
      <c r="E2779" s="62"/>
      <c r="F2779" s="62"/>
      <c r="G2779" s="62"/>
      <c r="H2779" s="62" t="str">
        <f>IF(AND('Data Export'!A2779=前十整体车型排名!$B$2,'Data Export'!B2779=前十整体车型排名!$B$3,'Data Export'!D2779&lt;&gt;""),UPPER('Data Export'!C2779)&amp;"♦"&amp;'Data Export'!D2779,"")</f>
        <v/>
      </c>
      <c r="I2779" s="63" t="str">
        <f>IF(H2779="","",IFERROR(INDEX('Data Export'!G2779:CZ2779,1,MATCH(前十整体车型排名!$B$4,'Data Export'!$G$1:$CZ$1,0)),0))</f>
        <v/>
      </c>
      <c r="J2779" s="62" t="str">
        <f>IF(H2779="","",IF(OR('Data Export'!F2779="三厢轿车",'Data Export'!F2779="掀背轿车",'Data Export'!F2779="旅行车",'Data Export'!F2779="微型车",'Data Export'!F2779="硬顶跑车",'Data Export'!F2779="敞蓬车",'Data Export'!F2779="Targa"),"轿车",IF(OR('Data Export'!F2779="小型MPV",'Data Export'!F2779="客车"),"MPV",IF('Data Export'!F2779="运动型多功能车","SUV","其他"))))</f>
        <v/>
      </c>
      <c r="K2779" s="62"/>
      <c r="L2779" s="62"/>
      <c r="M2779" s="62"/>
      <c r="N2779" s="62"/>
      <c r="O2779" s="62"/>
      <c r="P2779" s="62"/>
      <c r="Q2779" s="62"/>
    </row>
    <row r="2780" spans="1:17">
      <c r="A2780" s="62"/>
      <c r="B2780" s="62"/>
      <c r="C2780" s="62"/>
      <c r="D2780" s="62"/>
      <c r="E2780" s="62"/>
      <c r="F2780" s="62"/>
      <c r="G2780" s="62"/>
      <c r="H2780" s="62" t="str">
        <f>IF(AND('Data Export'!A2780=前十整体车型排名!$B$2,'Data Export'!B2780=前十整体车型排名!$B$3,'Data Export'!D2780&lt;&gt;""),UPPER('Data Export'!C2780)&amp;"♦"&amp;'Data Export'!D2780,"")</f>
        <v/>
      </c>
      <c r="I2780" s="63" t="str">
        <f>IF(H2780="","",IFERROR(INDEX('Data Export'!G2780:CZ2780,1,MATCH(前十整体车型排名!$B$4,'Data Export'!$G$1:$CZ$1,0)),0))</f>
        <v/>
      </c>
      <c r="J2780" s="62" t="str">
        <f>IF(H2780="","",IF(OR('Data Export'!F2780="三厢轿车",'Data Export'!F2780="掀背轿车",'Data Export'!F2780="旅行车",'Data Export'!F2780="微型车",'Data Export'!F2780="硬顶跑车",'Data Export'!F2780="敞蓬车",'Data Export'!F2780="Targa"),"轿车",IF(OR('Data Export'!F2780="小型MPV",'Data Export'!F2780="客车"),"MPV",IF('Data Export'!F2780="运动型多功能车","SUV","其他"))))</f>
        <v/>
      </c>
      <c r="K2780" s="62"/>
      <c r="L2780" s="62"/>
      <c r="M2780" s="62"/>
      <c r="N2780" s="62"/>
      <c r="O2780" s="62"/>
      <c r="P2780" s="62"/>
      <c r="Q2780" s="62"/>
    </row>
    <row r="2781" spans="1:17">
      <c r="A2781" s="62"/>
      <c r="B2781" s="62"/>
      <c r="C2781" s="62"/>
      <c r="D2781" s="62"/>
      <c r="E2781" s="62"/>
      <c r="F2781" s="62"/>
      <c r="G2781" s="62"/>
      <c r="H2781" s="62" t="str">
        <f>IF(AND('Data Export'!A2781=前十整体车型排名!$B$2,'Data Export'!B2781=前十整体车型排名!$B$3,'Data Export'!D2781&lt;&gt;""),UPPER('Data Export'!C2781)&amp;"♦"&amp;'Data Export'!D2781,"")</f>
        <v/>
      </c>
      <c r="I2781" s="63" t="str">
        <f>IF(H2781="","",IFERROR(INDEX('Data Export'!G2781:CZ2781,1,MATCH(前十整体车型排名!$B$4,'Data Export'!$G$1:$CZ$1,0)),0))</f>
        <v/>
      </c>
      <c r="J2781" s="62" t="str">
        <f>IF(H2781="","",IF(OR('Data Export'!F2781="三厢轿车",'Data Export'!F2781="掀背轿车",'Data Export'!F2781="旅行车",'Data Export'!F2781="微型车",'Data Export'!F2781="硬顶跑车",'Data Export'!F2781="敞蓬车",'Data Export'!F2781="Targa"),"轿车",IF(OR('Data Export'!F2781="小型MPV",'Data Export'!F2781="客车"),"MPV",IF('Data Export'!F2781="运动型多功能车","SUV","其他"))))</f>
        <v/>
      </c>
      <c r="K2781" s="62"/>
      <c r="L2781" s="62"/>
      <c r="M2781" s="62"/>
      <c r="N2781" s="62"/>
      <c r="O2781" s="62"/>
      <c r="P2781" s="62"/>
      <c r="Q2781" s="62"/>
    </row>
    <row r="2782" spans="1:17">
      <c r="A2782" s="62"/>
      <c r="B2782" s="62"/>
      <c r="C2782" s="62"/>
      <c r="D2782" s="62"/>
      <c r="E2782" s="62"/>
      <c r="F2782" s="62"/>
      <c r="G2782" s="62"/>
      <c r="H2782" s="62" t="str">
        <f>IF(AND('Data Export'!A2782=前十整体车型排名!$B$2,'Data Export'!B2782=前十整体车型排名!$B$3,'Data Export'!D2782&lt;&gt;""),UPPER('Data Export'!C2782)&amp;"♦"&amp;'Data Export'!D2782,"")</f>
        <v/>
      </c>
      <c r="I2782" s="63" t="str">
        <f>IF(H2782="","",IFERROR(INDEX('Data Export'!G2782:CZ2782,1,MATCH(前十整体车型排名!$B$4,'Data Export'!$G$1:$CZ$1,0)),0))</f>
        <v/>
      </c>
      <c r="J2782" s="62" t="str">
        <f>IF(H2782="","",IF(OR('Data Export'!F2782="三厢轿车",'Data Export'!F2782="掀背轿车",'Data Export'!F2782="旅行车",'Data Export'!F2782="微型车",'Data Export'!F2782="硬顶跑车",'Data Export'!F2782="敞蓬车",'Data Export'!F2782="Targa"),"轿车",IF(OR('Data Export'!F2782="小型MPV",'Data Export'!F2782="客车"),"MPV",IF('Data Export'!F2782="运动型多功能车","SUV","其他"))))</f>
        <v/>
      </c>
      <c r="K2782" s="62"/>
      <c r="L2782" s="62"/>
      <c r="M2782" s="62"/>
      <c r="N2782" s="62"/>
      <c r="O2782" s="62"/>
      <c r="P2782" s="62"/>
      <c r="Q2782" s="62"/>
    </row>
    <row r="2783" spans="1:17">
      <c r="A2783" s="62"/>
      <c r="B2783" s="62"/>
      <c r="C2783" s="62"/>
      <c r="D2783" s="62"/>
      <c r="E2783" s="62"/>
      <c r="F2783" s="62"/>
      <c r="G2783" s="62"/>
      <c r="H2783" s="62" t="str">
        <f>IF(AND('Data Export'!A2783=前十整体车型排名!$B$2,'Data Export'!B2783=前十整体车型排名!$B$3,'Data Export'!D2783&lt;&gt;""),UPPER('Data Export'!C2783)&amp;"♦"&amp;'Data Export'!D2783,"")</f>
        <v/>
      </c>
      <c r="I2783" s="63" t="str">
        <f>IF(H2783="","",IFERROR(INDEX('Data Export'!G2783:CZ2783,1,MATCH(前十整体车型排名!$B$4,'Data Export'!$G$1:$CZ$1,0)),0))</f>
        <v/>
      </c>
      <c r="J2783" s="62" t="str">
        <f>IF(H2783="","",IF(OR('Data Export'!F2783="三厢轿车",'Data Export'!F2783="掀背轿车",'Data Export'!F2783="旅行车",'Data Export'!F2783="微型车",'Data Export'!F2783="硬顶跑车",'Data Export'!F2783="敞蓬车",'Data Export'!F2783="Targa"),"轿车",IF(OR('Data Export'!F2783="小型MPV",'Data Export'!F2783="客车"),"MPV",IF('Data Export'!F2783="运动型多功能车","SUV","其他"))))</f>
        <v/>
      </c>
      <c r="K2783" s="62"/>
      <c r="L2783" s="62"/>
      <c r="M2783" s="62"/>
      <c r="N2783" s="62"/>
      <c r="O2783" s="62"/>
      <c r="P2783" s="62"/>
      <c r="Q2783" s="62"/>
    </row>
    <row r="2784" spans="1:17">
      <c r="A2784" s="62"/>
      <c r="B2784" s="62"/>
      <c r="C2784" s="62"/>
      <c r="D2784" s="62"/>
      <c r="E2784" s="62"/>
      <c r="F2784" s="62"/>
      <c r="G2784" s="62"/>
      <c r="H2784" s="62" t="str">
        <f>IF(AND('Data Export'!A2784=前十整体车型排名!$B$2,'Data Export'!B2784=前十整体车型排名!$B$3,'Data Export'!D2784&lt;&gt;""),UPPER('Data Export'!C2784)&amp;"♦"&amp;'Data Export'!D2784,"")</f>
        <v/>
      </c>
      <c r="I2784" s="63" t="str">
        <f>IF(H2784="","",IFERROR(INDEX('Data Export'!G2784:CZ2784,1,MATCH(前十整体车型排名!$B$4,'Data Export'!$G$1:$CZ$1,0)),0))</f>
        <v/>
      </c>
      <c r="J2784" s="62" t="str">
        <f>IF(H2784="","",IF(OR('Data Export'!F2784="三厢轿车",'Data Export'!F2784="掀背轿车",'Data Export'!F2784="旅行车",'Data Export'!F2784="微型车",'Data Export'!F2784="硬顶跑车",'Data Export'!F2784="敞蓬车",'Data Export'!F2784="Targa"),"轿车",IF(OR('Data Export'!F2784="小型MPV",'Data Export'!F2784="客车"),"MPV",IF('Data Export'!F2784="运动型多功能车","SUV","其他"))))</f>
        <v/>
      </c>
      <c r="K2784" s="62"/>
      <c r="L2784" s="62"/>
      <c r="M2784" s="62"/>
      <c r="N2784" s="62"/>
      <c r="O2784" s="62"/>
      <c r="P2784" s="62"/>
      <c r="Q2784" s="62"/>
    </row>
    <row r="2785" spans="1:17">
      <c r="A2785" s="62"/>
      <c r="B2785" s="62"/>
      <c r="C2785" s="62"/>
      <c r="D2785" s="62"/>
      <c r="E2785" s="62"/>
      <c r="F2785" s="62"/>
      <c r="G2785" s="62"/>
      <c r="H2785" s="62" t="str">
        <f>IF(AND('Data Export'!A2785=前十整体车型排名!$B$2,'Data Export'!B2785=前十整体车型排名!$B$3,'Data Export'!D2785&lt;&gt;""),UPPER('Data Export'!C2785)&amp;"♦"&amp;'Data Export'!D2785,"")</f>
        <v/>
      </c>
      <c r="I2785" s="63" t="str">
        <f>IF(H2785="","",IFERROR(INDEX('Data Export'!G2785:CZ2785,1,MATCH(前十整体车型排名!$B$4,'Data Export'!$G$1:$CZ$1,0)),0))</f>
        <v/>
      </c>
      <c r="J2785" s="62" t="str">
        <f>IF(H2785="","",IF(OR('Data Export'!F2785="三厢轿车",'Data Export'!F2785="掀背轿车",'Data Export'!F2785="旅行车",'Data Export'!F2785="微型车",'Data Export'!F2785="硬顶跑车",'Data Export'!F2785="敞蓬车",'Data Export'!F2785="Targa"),"轿车",IF(OR('Data Export'!F2785="小型MPV",'Data Export'!F2785="客车"),"MPV",IF('Data Export'!F2785="运动型多功能车","SUV","其他"))))</f>
        <v/>
      </c>
      <c r="K2785" s="62"/>
      <c r="L2785" s="62"/>
      <c r="M2785" s="62"/>
      <c r="N2785" s="62"/>
      <c r="O2785" s="62"/>
      <c r="P2785" s="62"/>
      <c r="Q2785" s="62"/>
    </row>
    <row r="2786" spans="1:17">
      <c r="A2786" s="62"/>
      <c r="B2786" s="62"/>
      <c r="C2786" s="62"/>
      <c r="D2786" s="62"/>
      <c r="E2786" s="62"/>
      <c r="F2786" s="62"/>
      <c r="G2786" s="62"/>
      <c r="H2786" s="62" t="str">
        <f>IF(AND('Data Export'!A2786=前十整体车型排名!$B$2,'Data Export'!B2786=前十整体车型排名!$B$3,'Data Export'!D2786&lt;&gt;""),UPPER('Data Export'!C2786)&amp;"♦"&amp;'Data Export'!D2786,"")</f>
        <v/>
      </c>
      <c r="I2786" s="63" t="str">
        <f>IF(H2786="","",IFERROR(INDEX('Data Export'!G2786:CZ2786,1,MATCH(前十整体车型排名!$B$4,'Data Export'!$G$1:$CZ$1,0)),0))</f>
        <v/>
      </c>
      <c r="J2786" s="62" t="str">
        <f>IF(H2786="","",IF(OR('Data Export'!F2786="三厢轿车",'Data Export'!F2786="掀背轿车",'Data Export'!F2786="旅行车",'Data Export'!F2786="微型车",'Data Export'!F2786="硬顶跑车",'Data Export'!F2786="敞蓬车",'Data Export'!F2786="Targa"),"轿车",IF(OR('Data Export'!F2786="小型MPV",'Data Export'!F2786="客车"),"MPV",IF('Data Export'!F2786="运动型多功能车","SUV","其他"))))</f>
        <v/>
      </c>
      <c r="K2786" s="62"/>
      <c r="L2786" s="62"/>
      <c r="M2786" s="62"/>
      <c r="N2786" s="62"/>
      <c r="O2786" s="62"/>
      <c r="P2786" s="62"/>
      <c r="Q2786" s="62"/>
    </row>
    <row r="2787" spans="1:17">
      <c r="A2787" s="62"/>
      <c r="B2787" s="62"/>
      <c r="C2787" s="62"/>
      <c r="D2787" s="62"/>
      <c r="E2787" s="62"/>
      <c r="F2787" s="62"/>
      <c r="G2787" s="62"/>
      <c r="H2787" s="62" t="str">
        <f>IF(AND('Data Export'!A2787=前十整体车型排名!$B$2,'Data Export'!B2787=前十整体车型排名!$B$3,'Data Export'!D2787&lt;&gt;""),UPPER('Data Export'!C2787)&amp;"♦"&amp;'Data Export'!D2787,"")</f>
        <v/>
      </c>
      <c r="I2787" s="63" t="str">
        <f>IF(H2787="","",IFERROR(INDEX('Data Export'!G2787:CZ2787,1,MATCH(前十整体车型排名!$B$4,'Data Export'!$G$1:$CZ$1,0)),0))</f>
        <v/>
      </c>
      <c r="J2787" s="62" t="str">
        <f>IF(H2787="","",IF(OR('Data Export'!F2787="三厢轿车",'Data Export'!F2787="掀背轿车",'Data Export'!F2787="旅行车",'Data Export'!F2787="微型车",'Data Export'!F2787="硬顶跑车",'Data Export'!F2787="敞蓬车",'Data Export'!F2787="Targa"),"轿车",IF(OR('Data Export'!F2787="小型MPV",'Data Export'!F2787="客车"),"MPV",IF('Data Export'!F2787="运动型多功能车","SUV","其他"))))</f>
        <v/>
      </c>
      <c r="K2787" s="62"/>
      <c r="L2787" s="62"/>
      <c r="M2787" s="62"/>
      <c r="N2787" s="62"/>
      <c r="O2787" s="62"/>
      <c r="P2787" s="62"/>
      <c r="Q2787" s="62"/>
    </row>
    <row r="2788" spans="1:17">
      <c r="A2788" s="62"/>
      <c r="B2788" s="62"/>
      <c r="C2788" s="62"/>
      <c r="D2788" s="62"/>
      <c r="E2788" s="62"/>
      <c r="F2788" s="62"/>
      <c r="G2788" s="62"/>
      <c r="H2788" s="62" t="str">
        <f>IF(AND('Data Export'!A2788=前十整体车型排名!$B$2,'Data Export'!B2788=前十整体车型排名!$B$3,'Data Export'!D2788&lt;&gt;""),UPPER('Data Export'!C2788)&amp;"♦"&amp;'Data Export'!D2788,"")</f>
        <v/>
      </c>
      <c r="I2788" s="63" t="str">
        <f>IF(H2788="","",IFERROR(INDEX('Data Export'!G2788:CZ2788,1,MATCH(前十整体车型排名!$B$4,'Data Export'!$G$1:$CZ$1,0)),0))</f>
        <v/>
      </c>
      <c r="J2788" s="62" t="str">
        <f>IF(H2788="","",IF(OR('Data Export'!F2788="三厢轿车",'Data Export'!F2788="掀背轿车",'Data Export'!F2788="旅行车",'Data Export'!F2788="微型车",'Data Export'!F2788="硬顶跑车",'Data Export'!F2788="敞蓬车",'Data Export'!F2788="Targa"),"轿车",IF(OR('Data Export'!F2788="小型MPV",'Data Export'!F2788="客车"),"MPV",IF('Data Export'!F2788="运动型多功能车","SUV","其他"))))</f>
        <v/>
      </c>
      <c r="K2788" s="62"/>
      <c r="L2788" s="62"/>
      <c r="M2788" s="62"/>
      <c r="N2788" s="62"/>
      <c r="O2788" s="62"/>
      <c r="P2788" s="62"/>
      <c r="Q2788" s="62"/>
    </row>
    <row r="2789" spans="1:17">
      <c r="A2789" s="62"/>
      <c r="B2789" s="62"/>
      <c r="C2789" s="62"/>
      <c r="D2789" s="62"/>
      <c r="E2789" s="62"/>
      <c r="F2789" s="62"/>
      <c r="G2789" s="62"/>
      <c r="H2789" s="62" t="str">
        <f>IF(AND('Data Export'!A2789=前十整体车型排名!$B$2,'Data Export'!B2789=前十整体车型排名!$B$3,'Data Export'!D2789&lt;&gt;""),UPPER('Data Export'!C2789)&amp;"♦"&amp;'Data Export'!D2789,"")</f>
        <v/>
      </c>
      <c r="I2789" s="63" t="str">
        <f>IF(H2789="","",IFERROR(INDEX('Data Export'!G2789:CZ2789,1,MATCH(前十整体车型排名!$B$4,'Data Export'!$G$1:$CZ$1,0)),0))</f>
        <v/>
      </c>
      <c r="J2789" s="62" t="str">
        <f>IF(H2789="","",IF(OR('Data Export'!F2789="三厢轿车",'Data Export'!F2789="掀背轿车",'Data Export'!F2789="旅行车",'Data Export'!F2789="微型车",'Data Export'!F2789="硬顶跑车",'Data Export'!F2789="敞蓬车",'Data Export'!F2789="Targa"),"轿车",IF(OR('Data Export'!F2789="小型MPV",'Data Export'!F2789="客车"),"MPV",IF('Data Export'!F2789="运动型多功能车","SUV","其他"))))</f>
        <v/>
      </c>
      <c r="K2789" s="62"/>
      <c r="L2789" s="62"/>
      <c r="M2789" s="62"/>
      <c r="N2789" s="62"/>
      <c r="O2789" s="62"/>
      <c r="P2789" s="62"/>
      <c r="Q2789" s="62"/>
    </row>
    <row r="2790" spans="1:17">
      <c r="A2790" s="62"/>
      <c r="B2790" s="62"/>
      <c r="C2790" s="62"/>
      <c r="D2790" s="62"/>
      <c r="E2790" s="62"/>
      <c r="F2790" s="62"/>
      <c r="G2790" s="62"/>
      <c r="H2790" s="62" t="str">
        <f>IF(AND('Data Export'!A2790=前十整体车型排名!$B$2,'Data Export'!B2790=前十整体车型排名!$B$3,'Data Export'!D2790&lt;&gt;""),UPPER('Data Export'!C2790)&amp;"♦"&amp;'Data Export'!D2790,"")</f>
        <v/>
      </c>
      <c r="I2790" s="63" t="str">
        <f>IF(H2790="","",IFERROR(INDEX('Data Export'!G2790:CZ2790,1,MATCH(前十整体车型排名!$B$4,'Data Export'!$G$1:$CZ$1,0)),0))</f>
        <v/>
      </c>
      <c r="J2790" s="62" t="str">
        <f>IF(H2790="","",IF(OR('Data Export'!F2790="三厢轿车",'Data Export'!F2790="掀背轿车",'Data Export'!F2790="旅行车",'Data Export'!F2790="微型车",'Data Export'!F2790="硬顶跑车",'Data Export'!F2790="敞蓬车",'Data Export'!F2790="Targa"),"轿车",IF(OR('Data Export'!F2790="小型MPV",'Data Export'!F2790="客车"),"MPV",IF('Data Export'!F2790="运动型多功能车","SUV","其他"))))</f>
        <v/>
      </c>
      <c r="K2790" s="62"/>
      <c r="L2790" s="62"/>
      <c r="M2790" s="62"/>
      <c r="N2790" s="62"/>
      <c r="O2790" s="62"/>
      <c r="P2790" s="62"/>
      <c r="Q2790" s="62"/>
    </row>
    <row r="2791" spans="1:17">
      <c r="A2791" s="62"/>
      <c r="B2791" s="62"/>
      <c r="C2791" s="62"/>
      <c r="D2791" s="62"/>
      <c r="E2791" s="62"/>
      <c r="F2791" s="62"/>
      <c r="G2791" s="62"/>
      <c r="H2791" s="62" t="str">
        <f>IF(AND('Data Export'!A2791=前十整体车型排名!$B$2,'Data Export'!B2791=前十整体车型排名!$B$3,'Data Export'!D2791&lt;&gt;""),UPPER('Data Export'!C2791)&amp;"♦"&amp;'Data Export'!D2791,"")</f>
        <v/>
      </c>
      <c r="I2791" s="63" t="str">
        <f>IF(H2791="","",IFERROR(INDEX('Data Export'!G2791:CZ2791,1,MATCH(前十整体车型排名!$B$4,'Data Export'!$G$1:$CZ$1,0)),0))</f>
        <v/>
      </c>
      <c r="J2791" s="62" t="str">
        <f>IF(H2791="","",IF(OR('Data Export'!F2791="三厢轿车",'Data Export'!F2791="掀背轿车",'Data Export'!F2791="旅行车",'Data Export'!F2791="微型车",'Data Export'!F2791="硬顶跑车",'Data Export'!F2791="敞蓬车",'Data Export'!F2791="Targa"),"轿车",IF(OR('Data Export'!F2791="小型MPV",'Data Export'!F2791="客车"),"MPV",IF('Data Export'!F2791="运动型多功能车","SUV","其他"))))</f>
        <v/>
      </c>
      <c r="K2791" s="62"/>
      <c r="L2791" s="62"/>
      <c r="M2791" s="62"/>
      <c r="N2791" s="62"/>
      <c r="O2791" s="62"/>
      <c r="P2791" s="62"/>
      <c r="Q2791" s="62"/>
    </row>
    <row r="2792" spans="1:17">
      <c r="A2792" s="62"/>
      <c r="B2792" s="62"/>
      <c r="C2792" s="62"/>
      <c r="D2792" s="62"/>
      <c r="E2792" s="62"/>
      <c r="F2792" s="62"/>
      <c r="G2792" s="62"/>
      <c r="H2792" s="62" t="str">
        <f>IF(AND('Data Export'!A2792=前十整体车型排名!$B$2,'Data Export'!B2792=前十整体车型排名!$B$3,'Data Export'!D2792&lt;&gt;""),UPPER('Data Export'!C2792)&amp;"♦"&amp;'Data Export'!D2792,"")</f>
        <v/>
      </c>
      <c r="I2792" s="63" t="str">
        <f>IF(H2792="","",IFERROR(INDEX('Data Export'!G2792:CZ2792,1,MATCH(前十整体车型排名!$B$4,'Data Export'!$G$1:$CZ$1,0)),0))</f>
        <v/>
      </c>
      <c r="J2792" s="62" t="str">
        <f>IF(H2792="","",IF(OR('Data Export'!F2792="三厢轿车",'Data Export'!F2792="掀背轿车",'Data Export'!F2792="旅行车",'Data Export'!F2792="微型车",'Data Export'!F2792="硬顶跑车",'Data Export'!F2792="敞蓬车",'Data Export'!F2792="Targa"),"轿车",IF(OR('Data Export'!F2792="小型MPV",'Data Export'!F2792="客车"),"MPV",IF('Data Export'!F2792="运动型多功能车","SUV","其他"))))</f>
        <v/>
      </c>
      <c r="K2792" s="62"/>
      <c r="L2792" s="62"/>
      <c r="M2792" s="62"/>
      <c r="N2792" s="62"/>
      <c r="O2792" s="62"/>
      <c r="P2792" s="62"/>
      <c r="Q2792" s="62"/>
    </row>
    <row r="2793" spans="1:17">
      <c r="A2793" s="62"/>
      <c r="B2793" s="62"/>
      <c r="C2793" s="62"/>
      <c r="D2793" s="62"/>
      <c r="E2793" s="62"/>
      <c r="F2793" s="62"/>
      <c r="G2793" s="62"/>
      <c r="H2793" s="62" t="str">
        <f>IF(AND('Data Export'!A2793=前十整体车型排名!$B$2,'Data Export'!B2793=前十整体车型排名!$B$3,'Data Export'!D2793&lt;&gt;""),UPPER('Data Export'!C2793)&amp;"♦"&amp;'Data Export'!D2793,"")</f>
        <v/>
      </c>
      <c r="I2793" s="63" t="str">
        <f>IF(H2793="","",IFERROR(INDEX('Data Export'!G2793:CZ2793,1,MATCH(前十整体车型排名!$B$4,'Data Export'!$G$1:$CZ$1,0)),0))</f>
        <v/>
      </c>
      <c r="J2793" s="62" t="str">
        <f>IF(H2793="","",IF(OR('Data Export'!F2793="三厢轿车",'Data Export'!F2793="掀背轿车",'Data Export'!F2793="旅行车",'Data Export'!F2793="微型车",'Data Export'!F2793="硬顶跑车",'Data Export'!F2793="敞蓬车",'Data Export'!F2793="Targa"),"轿车",IF(OR('Data Export'!F2793="小型MPV",'Data Export'!F2793="客车"),"MPV",IF('Data Export'!F2793="运动型多功能车","SUV","其他"))))</f>
        <v/>
      </c>
      <c r="K2793" s="62"/>
      <c r="L2793" s="62"/>
      <c r="M2793" s="62"/>
      <c r="N2793" s="62"/>
      <c r="O2793" s="62"/>
      <c r="P2793" s="62"/>
      <c r="Q2793" s="62"/>
    </row>
    <row r="2794" spans="1:17">
      <c r="A2794" s="62"/>
      <c r="B2794" s="62"/>
      <c r="C2794" s="62"/>
      <c r="D2794" s="62"/>
      <c r="E2794" s="62"/>
      <c r="F2794" s="62"/>
      <c r="G2794" s="62"/>
      <c r="H2794" s="62" t="str">
        <f>IF(AND('Data Export'!A2794=前十整体车型排名!$B$2,'Data Export'!B2794=前十整体车型排名!$B$3,'Data Export'!D2794&lt;&gt;""),UPPER('Data Export'!C2794)&amp;"♦"&amp;'Data Export'!D2794,"")</f>
        <v/>
      </c>
      <c r="I2794" s="63" t="str">
        <f>IF(H2794="","",IFERROR(INDEX('Data Export'!G2794:CZ2794,1,MATCH(前十整体车型排名!$B$4,'Data Export'!$G$1:$CZ$1,0)),0))</f>
        <v/>
      </c>
      <c r="J2794" s="62" t="str">
        <f>IF(H2794="","",IF(OR('Data Export'!F2794="三厢轿车",'Data Export'!F2794="掀背轿车",'Data Export'!F2794="旅行车",'Data Export'!F2794="微型车",'Data Export'!F2794="硬顶跑车",'Data Export'!F2794="敞蓬车",'Data Export'!F2794="Targa"),"轿车",IF(OR('Data Export'!F2794="小型MPV",'Data Export'!F2794="客车"),"MPV",IF('Data Export'!F2794="运动型多功能车","SUV","其他"))))</f>
        <v/>
      </c>
      <c r="K2794" s="62"/>
      <c r="L2794" s="62"/>
      <c r="M2794" s="62"/>
      <c r="N2794" s="62"/>
      <c r="O2794" s="62"/>
      <c r="P2794" s="62"/>
      <c r="Q2794" s="62"/>
    </row>
    <row r="2795" spans="1:17">
      <c r="A2795" s="62"/>
      <c r="B2795" s="62"/>
      <c r="C2795" s="62"/>
      <c r="D2795" s="62"/>
      <c r="E2795" s="62"/>
      <c r="F2795" s="62"/>
      <c r="G2795" s="62"/>
      <c r="H2795" s="62" t="str">
        <f>IF(AND('Data Export'!A2795=前十整体车型排名!$B$2,'Data Export'!B2795=前十整体车型排名!$B$3,'Data Export'!D2795&lt;&gt;""),UPPER('Data Export'!C2795)&amp;"♦"&amp;'Data Export'!D2795,"")</f>
        <v/>
      </c>
      <c r="I2795" s="63" t="str">
        <f>IF(H2795="","",IFERROR(INDEX('Data Export'!G2795:CZ2795,1,MATCH(前十整体车型排名!$B$4,'Data Export'!$G$1:$CZ$1,0)),0))</f>
        <v/>
      </c>
      <c r="J2795" s="62" t="str">
        <f>IF(H2795="","",IF(OR('Data Export'!F2795="三厢轿车",'Data Export'!F2795="掀背轿车",'Data Export'!F2795="旅行车",'Data Export'!F2795="微型车",'Data Export'!F2795="硬顶跑车",'Data Export'!F2795="敞蓬车",'Data Export'!F2795="Targa"),"轿车",IF(OR('Data Export'!F2795="小型MPV",'Data Export'!F2795="客车"),"MPV",IF('Data Export'!F2795="运动型多功能车","SUV","其他"))))</f>
        <v/>
      </c>
      <c r="K2795" s="62"/>
      <c r="L2795" s="62"/>
      <c r="M2795" s="62"/>
      <c r="N2795" s="62"/>
      <c r="O2795" s="62"/>
      <c r="P2795" s="62"/>
      <c r="Q2795" s="62"/>
    </row>
    <row r="2796" spans="1:17">
      <c r="A2796" s="62"/>
      <c r="B2796" s="62"/>
      <c r="C2796" s="62"/>
      <c r="D2796" s="62"/>
      <c r="E2796" s="62"/>
      <c r="F2796" s="62"/>
      <c r="G2796" s="62"/>
      <c r="H2796" s="62" t="str">
        <f>IF(AND('Data Export'!A2796=前十整体车型排名!$B$2,'Data Export'!B2796=前十整体车型排名!$B$3,'Data Export'!D2796&lt;&gt;""),UPPER('Data Export'!C2796)&amp;"♦"&amp;'Data Export'!D2796,"")</f>
        <v/>
      </c>
      <c r="I2796" s="63" t="str">
        <f>IF(H2796="","",IFERROR(INDEX('Data Export'!G2796:CZ2796,1,MATCH(前十整体车型排名!$B$4,'Data Export'!$G$1:$CZ$1,0)),0))</f>
        <v/>
      </c>
      <c r="J2796" s="62" t="str">
        <f>IF(H2796="","",IF(OR('Data Export'!F2796="三厢轿车",'Data Export'!F2796="掀背轿车",'Data Export'!F2796="旅行车",'Data Export'!F2796="微型车",'Data Export'!F2796="硬顶跑车",'Data Export'!F2796="敞蓬车",'Data Export'!F2796="Targa"),"轿车",IF(OR('Data Export'!F2796="小型MPV",'Data Export'!F2796="客车"),"MPV",IF('Data Export'!F2796="运动型多功能车","SUV","其他"))))</f>
        <v/>
      </c>
      <c r="K2796" s="62"/>
      <c r="L2796" s="62"/>
      <c r="M2796" s="62"/>
      <c r="N2796" s="62"/>
      <c r="O2796" s="62"/>
      <c r="P2796" s="62"/>
      <c r="Q2796" s="62"/>
    </row>
    <row r="2797" spans="1:17">
      <c r="A2797" s="62"/>
      <c r="B2797" s="62"/>
      <c r="C2797" s="62"/>
      <c r="D2797" s="62"/>
      <c r="E2797" s="62"/>
      <c r="F2797" s="62"/>
      <c r="G2797" s="62"/>
      <c r="H2797" s="62" t="str">
        <f>IF(AND('Data Export'!A2797=前十整体车型排名!$B$2,'Data Export'!B2797=前十整体车型排名!$B$3,'Data Export'!D2797&lt;&gt;""),UPPER('Data Export'!C2797)&amp;"♦"&amp;'Data Export'!D2797,"")</f>
        <v/>
      </c>
      <c r="I2797" s="63" t="str">
        <f>IF(H2797="","",IFERROR(INDEX('Data Export'!G2797:CZ2797,1,MATCH(前十整体车型排名!$B$4,'Data Export'!$G$1:$CZ$1,0)),0))</f>
        <v/>
      </c>
      <c r="J2797" s="62" t="str">
        <f>IF(H2797="","",IF(OR('Data Export'!F2797="三厢轿车",'Data Export'!F2797="掀背轿车",'Data Export'!F2797="旅行车",'Data Export'!F2797="微型车",'Data Export'!F2797="硬顶跑车",'Data Export'!F2797="敞蓬车",'Data Export'!F2797="Targa"),"轿车",IF(OR('Data Export'!F2797="小型MPV",'Data Export'!F2797="客车"),"MPV",IF('Data Export'!F2797="运动型多功能车","SUV","其他"))))</f>
        <v/>
      </c>
      <c r="K2797" s="62"/>
      <c r="L2797" s="62"/>
      <c r="M2797" s="62"/>
      <c r="N2797" s="62"/>
      <c r="O2797" s="62"/>
      <c r="P2797" s="62"/>
      <c r="Q2797" s="62"/>
    </row>
    <row r="2798" spans="1:17">
      <c r="A2798" s="62"/>
      <c r="B2798" s="62"/>
      <c r="C2798" s="62"/>
      <c r="D2798" s="62"/>
      <c r="E2798" s="62"/>
      <c r="F2798" s="62"/>
      <c r="G2798" s="62"/>
      <c r="H2798" s="62" t="str">
        <f>IF(AND('Data Export'!A2798=前十整体车型排名!$B$2,'Data Export'!B2798=前十整体车型排名!$B$3,'Data Export'!D2798&lt;&gt;""),UPPER('Data Export'!C2798)&amp;"♦"&amp;'Data Export'!D2798,"")</f>
        <v/>
      </c>
      <c r="I2798" s="63" t="str">
        <f>IF(H2798="","",IFERROR(INDEX('Data Export'!G2798:CZ2798,1,MATCH(前十整体车型排名!$B$4,'Data Export'!$G$1:$CZ$1,0)),0))</f>
        <v/>
      </c>
      <c r="J2798" s="62" t="str">
        <f>IF(H2798="","",IF(OR('Data Export'!F2798="三厢轿车",'Data Export'!F2798="掀背轿车",'Data Export'!F2798="旅行车",'Data Export'!F2798="微型车",'Data Export'!F2798="硬顶跑车",'Data Export'!F2798="敞蓬车",'Data Export'!F2798="Targa"),"轿车",IF(OR('Data Export'!F2798="小型MPV",'Data Export'!F2798="客车"),"MPV",IF('Data Export'!F2798="运动型多功能车","SUV","其他"))))</f>
        <v/>
      </c>
      <c r="K2798" s="62"/>
      <c r="L2798" s="62"/>
      <c r="M2798" s="62"/>
      <c r="N2798" s="62"/>
      <c r="O2798" s="62"/>
      <c r="P2798" s="62"/>
      <c r="Q2798" s="62"/>
    </row>
    <row r="2799" spans="1:17">
      <c r="A2799" s="62"/>
      <c r="B2799" s="62"/>
      <c r="C2799" s="62"/>
      <c r="D2799" s="62"/>
      <c r="E2799" s="62"/>
      <c r="F2799" s="62"/>
      <c r="G2799" s="62"/>
      <c r="H2799" s="62" t="str">
        <f>IF(AND('Data Export'!A2799=前十整体车型排名!$B$2,'Data Export'!B2799=前十整体车型排名!$B$3,'Data Export'!D2799&lt;&gt;""),UPPER('Data Export'!C2799)&amp;"♦"&amp;'Data Export'!D2799,"")</f>
        <v/>
      </c>
      <c r="I2799" s="63" t="str">
        <f>IF(H2799="","",IFERROR(INDEX('Data Export'!G2799:CZ2799,1,MATCH(前十整体车型排名!$B$4,'Data Export'!$G$1:$CZ$1,0)),0))</f>
        <v/>
      </c>
      <c r="J2799" s="62" t="str">
        <f>IF(H2799="","",IF(OR('Data Export'!F2799="三厢轿车",'Data Export'!F2799="掀背轿车",'Data Export'!F2799="旅行车",'Data Export'!F2799="微型车",'Data Export'!F2799="硬顶跑车",'Data Export'!F2799="敞蓬车",'Data Export'!F2799="Targa"),"轿车",IF(OR('Data Export'!F2799="小型MPV",'Data Export'!F2799="客车"),"MPV",IF('Data Export'!F2799="运动型多功能车","SUV","其他"))))</f>
        <v/>
      </c>
      <c r="K2799" s="62"/>
      <c r="L2799" s="62"/>
      <c r="M2799" s="62"/>
      <c r="N2799" s="62"/>
      <c r="O2799" s="62"/>
      <c r="P2799" s="62"/>
      <c r="Q2799" s="62"/>
    </row>
    <row r="2800" spans="1:17">
      <c r="A2800" s="62"/>
      <c r="B2800" s="62"/>
      <c r="C2800" s="62"/>
      <c r="D2800" s="62"/>
      <c r="E2800" s="62"/>
      <c r="F2800" s="62"/>
      <c r="G2800" s="62"/>
      <c r="H2800" s="62" t="str">
        <f>IF(AND('Data Export'!A2800=前十整体车型排名!$B$2,'Data Export'!B2800=前十整体车型排名!$B$3,'Data Export'!D2800&lt;&gt;""),UPPER('Data Export'!C2800)&amp;"♦"&amp;'Data Export'!D2800,"")</f>
        <v/>
      </c>
      <c r="I2800" s="63" t="str">
        <f>IF(H2800="","",IFERROR(INDEX('Data Export'!G2800:CZ2800,1,MATCH(前十整体车型排名!$B$4,'Data Export'!$G$1:$CZ$1,0)),0))</f>
        <v/>
      </c>
      <c r="J2800" s="62" t="str">
        <f>IF(H2800="","",IF(OR('Data Export'!F2800="三厢轿车",'Data Export'!F2800="掀背轿车",'Data Export'!F2800="旅行车",'Data Export'!F2800="微型车",'Data Export'!F2800="硬顶跑车",'Data Export'!F2800="敞蓬车",'Data Export'!F2800="Targa"),"轿车",IF(OR('Data Export'!F2800="小型MPV",'Data Export'!F2800="客车"),"MPV",IF('Data Export'!F2800="运动型多功能车","SUV","其他"))))</f>
        <v/>
      </c>
      <c r="K2800" s="62"/>
      <c r="L2800" s="62"/>
      <c r="M2800" s="62"/>
      <c r="N2800" s="62"/>
      <c r="O2800" s="62"/>
      <c r="P2800" s="62"/>
      <c r="Q2800" s="62"/>
    </row>
    <row r="2801" spans="1:17">
      <c r="A2801" s="62"/>
      <c r="B2801" s="62"/>
      <c r="C2801" s="62"/>
      <c r="D2801" s="62"/>
      <c r="E2801" s="62"/>
      <c r="F2801" s="62"/>
      <c r="G2801" s="62"/>
      <c r="H2801" s="62" t="str">
        <f>IF(AND('Data Export'!A2801=前十整体车型排名!$B$2,'Data Export'!B2801=前十整体车型排名!$B$3,'Data Export'!D2801&lt;&gt;""),UPPER('Data Export'!C2801)&amp;"♦"&amp;'Data Export'!D2801,"")</f>
        <v/>
      </c>
      <c r="I2801" s="63" t="str">
        <f>IF(H2801="","",IFERROR(INDEX('Data Export'!G2801:CZ2801,1,MATCH(前十整体车型排名!$B$4,'Data Export'!$G$1:$CZ$1,0)),0))</f>
        <v/>
      </c>
      <c r="J2801" s="62" t="str">
        <f>IF(H2801="","",IF(OR('Data Export'!F2801="三厢轿车",'Data Export'!F2801="掀背轿车",'Data Export'!F2801="旅行车",'Data Export'!F2801="微型车",'Data Export'!F2801="硬顶跑车",'Data Export'!F2801="敞蓬车",'Data Export'!F2801="Targa"),"轿车",IF(OR('Data Export'!F2801="小型MPV",'Data Export'!F2801="客车"),"MPV",IF('Data Export'!F2801="运动型多功能车","SUV","其他"))))</f>
        <v/>
      </c>
      <c r="K2801" s="62"/>
      <c r="L2801" s="62"/>
      <c r="M2801" s="62"/>
      <c r="N2801" s="62"/>
      <c r="O2801" s="62"/>
      <c r="P2801" s="62"/>
      <c r="Q2801" s="62"/>
    </row>
    <row r="2802" spans="1:17">
      <c r="A2802" s="62"/>
      <c r="B2802" s="62"/>
      <c r="C2802" s="62"/>
      <c r="D2802" s="62"/>
      <c r="E2802" s="62"/>
      <c r="F2802" s="62"/>
      <c r="G2802" s="62"/>
      <c r="H2802" s="62" t="str">
        <f>IF(AND('Data Export'!A2802=前十整体车型排名!$B$2,'Data Export'!B2802=前十整体车型排名!$B$3,'Data Export'!D2802&lt;&gt;""),UPPER('Data Export'!C2802)&amp;"♦"&amp;'Data Export'!D2802,"")</f>
        <v/>
      </c>
      <c r="I2802" s="63" t="str">
        <f>IF(H2802="","",IFERROR(INDEX('Data Export'!G2802:CZ2802,1,MATCH(前十整体车型排名!$B$4,'Data Export'!$G$1:$CZ$1,0)),0))</f>
        <v/>
      </c>
      <c r="J2802" s="62" t="str">
        <f>IF(H2802="","",IF(OR('Data Export'!F2802="三厢轿车",'Data Export'!F2802="掀背轿车",'Data Export'!F2802="旅行车",'Data Export'!F2802="微型车",'Data Export'!F2802="硬顶跑车",'Data Export'!F2802="敞蓬车",'Data Export'!F2802="Targa"),"轿车",IF(OR('Data Export'!F2802="小型MPV",'Data Export'!F2802="客车"),"MPV",IF('Data Export'!F2802="运动型多功能车","SUV","其他"))))</f>
        <v/>
      </c>
      <c r="K2802" s="62"/>
      <c r="L2802" s="62"/>
      <c r="M2802" s="62"/>
      <c r="N2802" s="62"/>
      <c r="O2802" s="62"/>
      <c r="P2802" s="62"/>
      <c r="Q2802" s="62"/>
    </row>
    <row r="2803" spans="1:17">
      <c r="A2803" s="62"/>
      <c r="B2803" s="62"/>
      <c r="C2803" s="62"/>
      <c r="D2803" s="62"/>
      <c r="E2803" s="62"/>
      <c r="F2803" s="62"/>
      <c r="G2803" s="62"/>
      <c r="H2803" s="62" t="str">
        <f>IF(AND('Data Export'!A2803=前十整体车型排名!$B$2,'Data Export'!B2803=前十整体车型排名!$B$3,'Data Export'!D2803&lt;&gt;""),UPPER('Data Export'!C2803)&amp;"♦"&amp;'Data Export'!D2803,"")</f>
        <v/>
      </c>
      <c r="I2803" s="63" t="str">
        <f>IF(H2803="","",IFERROR(INDEX('Data Export'!G2803:CZ2803,1,MATCH(前十整体车型排名!$B$4,'Data Export'!$G$1:$CZ$1,0)),0))</f>
        <v/>
      </c>
      <c r="J2803" s="62" t="str">
        <f>IF(H2803="","",IF(OR('Data Export'!F2803="三厢轿车",'Data Export'!F2803="掀背轿车",'Data Export'!F2803="旅行车",'Data Export'!F2803="微型车",'Data Export'!F2803="硬顶跑车",'Data Export'!F2803="敞蓬车",'Data Export'!F2803="Targa"),"轿车",IF(OR('Data Export'!F2803="小型MPV",'Data Export'!F2803="客车"),"MPV",IF('Data Export'!F2803="运动型多功能车","SUV","其他"))))</f>
        <v/>
      </c>
      <c r="K2803" s="62"/>
      <c r="L2803" s="62"/>
      <c r="M2803" s="62"/>
      <c r="N2803" s="62"/>
      <c r="O2803" s="62"/>
      <c r="P2803" s="62"/>
      <c r="Q2803" s="62"/>
    </row>
    <row r="2804" spans="1:17">
      <c r="A2804" s="62"/>
      <c r="B2804" s="62"/>
      <c r="C2804" s="62"/>
      <c r="D2804" s="62"/>
      <c r="E2804" s="62"/>
      <c r="F2804" s="62"/>
      <c r="G2804" s="62"/>
      <c r="H2804" s="62" t="str">
        <f>IF(AND('Data Export'!A2804=前十整体车型排名!$B$2,'Data Export'!B2804=前十整体车型排名!$B$3,'Data Export'!D2804&lt;&gt;""),UPPER('Data Export'!C2804)&amp;"♦"&amp;'Data Export'!D2804,"")</f>
        <v/>
      </c>
      <c r="I2804" s="63" t="str">
        <f>IF(H2804="","",IFERROR(INDEX('Data Export'!G2804:CZ2804,1,MATCH(前十整体车型排名!$B$4,'Data Export'!$G$1:$CZ$1,0)),0))</f>
        <v/>
      </c>
      <c r="J2804" s="62" t="str">
        <f>IF(H2804="","",IF(OR('Data Export'!F2804="三厢轿车",'Data Export'!F2804="掀背轿车",'Data Export'!F2804="旅行车",'Data Export'!F2804="微型车",'Data Export'!F2804="硬顶跑车",'Data Export'!F2804="敞蓬车",'Data Export'!F2804="Targa"),"轿车",IF(OR('Data Export'!F2804="小型MPV",'Data Export'!F2804="客车"),"MPV",IF('Data Export'!F2804="运动型多功能车","SUV","其他"))))</f>
        <v/>
      </c>
      <c r="K2804" s="62"/>
      <c r="L2804" s="62"/>
      <c r="M2804" s="62"/>
      <c r="N2804" s="62"/>
      <c r="O2804" s="62"/>
      <c r="P2804" s="62"/>
      <c r="Q2804" s="62"/>
    </row>
    <row r="2805" spans="1:17">
      <c r="A2805" s="62"/>
      <c r="B2805" s="62"/>
      <c r="C2805" s="62"/>
      <c r="D2805" s="62"/>
      <c r="E2805" s="62"/>
      <c r="F2805" s="62"/>
      <c r="G2805" s="62"/>
      <c r="H2805" s="62" t="str">
        <f>IF(AND('Data Export'!A2805=前十整体车型排名!$B$2,'Data Export'!B2805=前十整体车型排名!$B$3,'Data Export'!D2805&lt;&gt;""),UPPER('Data Export'!C2805)&amp;"♦"&amp;'Data Export'!D2805,"")</f>
        <v/>
      </c>
      <c r="I2805" s="63" t="str">
        <f>IF(H2805="","",IFERROR(INDEX('Data Export'!G2805:CZ2805,1,MATCH(前十整体车型排名!$B$4,'Data Export'!$G$1:$CZ$1,0)),0))</f>
        <v/>
      </c>
      <c r="J2805" s="62" t="str">
        <f>IF(H2805="","",IF(OR('Data Export'!F2805="三厢轿车",'Data Export'!F2805="掀背轿车",'Data Export'!F2805="旅行车",'Data Export'!F2805="微型车",'Data Export'!F2805="硬顶跑车",'Data Export'!F2805="敞蓬车",'Data Export'!F2805="Targa"),"轿车",IF(OR('Data Export'!F2805="小型MPV",'Data Export'!F2805="客车"),"MPV",IF('Data Export'!F2805="运动型多功能车","SUV","其他"))))</f>
        <v/>
      </c>
      <c r="K2805" s="62"/>
      <c r="L2805" s="62"/>
      <c r="M2805" s="62"/>
      <c r="N2805" s="62"/>
      <c r="O2805" s="62"/>
      <c r="P2805" s="62"/>
      <c r="Q2805" s="62"/>
    </row>
    <row r="2806" spans="1:17">
      <c r="A2806" s="62"/>
      <c r="B2806" s="62"/>
      <c r="C2806" s="62"/>
      <c r="D2806" s="62"/>
      <c r="E2806" s="62"/>
      <c r="F2806" s="62"/>
      <c r="G2806" s="62"/>
      <c r="H2806" s="62" t="str">
        <f>IF(AND('Data Export'!A2806=前十整体车型排名!$B$2,'Data Export'!B2806=前十整体车型排名!$B$3,'Data Export'!D2806&lt;&gt;""),UPPER('Data Export'!C2806)&amp;"♦"&amp;'Data Export'!D2806,"")</f>
        <v/>
      </c>
      <c r="I2806" s="63" t="str">
        <f>IF(H2806="","",IFERROR(INDEX('Data Export'!G2806:CZ2806,1,MATCH(前十整体车型排名!$B$4,'Data Export'!$G$1:$CZ$1,0)),0))</f>
        <v/>
      </c>
      <c r="J2806" s="62" t="str">
        <f>IF(H2806="","",IF(OR('Data Export'!F2806="三厢轿车",'Data Export'!F2806="掀背轿车",'Data Export'!F2806="旅行车",'Data Export'!F2806="微型车",'Data Export'!F2806="硬顶跑车",'Data Export'!F2806="敞蓬车",'Data Export'!F2806="Targa"),"轿车",IF(OR('Data Export'!F2806="小型MPV",'Data Export'!F2806="客车"),"MPV",IF('Data Export'!F2806="运动型多功能车","SUV","其他"))))</f>
        <v/>
      </c>
      <c r="K2806" s="62"/>
      <c r="L2806" s="62"/>
      <c r="M2806" s="62"/>
      <c r="N2806" s="62"/>
      <c r="O2806" s="62"/>
      <c r="P2806" s="62"/>
      <c r="Q2806" s="62"/>
    </row>
    <row r="2807" spans="1:17">
      <c r="A2807" s="62"/>
      <c r="B2807" s="62"/>
      <c r="C2807" s="62"/>
      <c r="D2807" s="62"/>
      <c r="E2807" s="62"/>
      <c r="F2807" s="62"/>
      <c r="G2807" s="62"/>
      <c r="H2807" s="62" t="str">
        <f>IF(AND('Data Export'!A2807=前十整体车型排名!$B$2,'Data Export'!B2807=前十整体车型排名!$B$3,'Data Export'!D2807&lt;&gt;""),UPPER('Data Export'!C2807)&amp;"♦"&amp;'Data Export'!D2807,"")</f>
        <v/>
      </c>
      <c r="I2807" s="63" t="str">
        <f>IF(H2807="","",IFERROR(INDEX('Data Export'!G2807:CZ2807,1,MATCH(前十整体车型排名!$B$4,'Data Export'!$G$1:$CZ$1,0)),0))</f>
        <v/>
      </c>
      <c r="J2807" s="62" t="str">
        <f>IF(H2807="","",IF(OR('Data Export'!F2807="三厢轿车",'Data Export'!F2807="掀背轿车",'Data Export'!F2807="旅行车",'Data Export'!F2807="微型车",'Data Export'!F2807="硬顶跑车",'Data Export'!F2807="敞蓬车",'Data Export'!F2807="Targa"),"轿车",IF(OR('Data Export'!F2807="小型MPV",'Data Export'!F2807="客车"),"MPV",IF('Data Export'!F2807="运动型多功能车","SUV","其他"))))</f>
        <v/>
      </c>
      <c r="K2807" s="62"/>
      <c r="L2807" s="62"/>
      <c r="M2807" s="62"/>
      <c r="N2807" s="62"/>
      <c r="O2807" s="62"/>
      <c r="P2807" s="62"/>
      <c r="Q2807" s="62"/>
    </row>
    <row r="2808" spans="1:17">
      <c r="A2808" s="62"/>
      <c r="B2808" s="62"/>
      <c r="C2808" s="62"/>
      <c r="D2808" s="62"/>
      <c r="E2808" s="62"/>
      <c r="F2808" s="62"/>
      <c r="G2808" s="62"/>
      <c r="H2808" s="62" t="str">
        <f>IF(AND('Data Export'!A2808=前十整体车型排名!$B$2,'Data Export'!B2808=前十整体车型排名!$B$3,'Data Export'!D2808&lt;&gt;""),UPPER('Data Export'!C2808)&amp;"♦"&amp;'Data Export'!D2808,"")</f>
        <v/>
      </c>
      <c r="I2808" s="63" t="str">
        <f>IF(H2808="","",IFERROR(INDEX('Data Export'!G2808:CZ2808,1,MATCH(前十整体车型排名!$B$4,'Data Export'!$G$1:$CZ$1,0)),0))</f>
        <v/>
      </c>
      <c r="J2808" s="62" t="str">
        <f>IF(H2808="","",IF(OR('Data Export'!F2808="三厢轿车",'Data Export'!F2808="掀背轿车",'Data Export'!F2808="旅行车",'Data Export'!F2808="微型车",'Data Export'!F2808="硬顶跑车",'Data Export'!F2808="敞蓬车",'Data Export'!F2808="Targa"),"轿车",IF(OR('Data Export'!F2808="小型MPV",'Data Export'!F2808="客车"),"MPV",IF('Data Export'!F2808="运动型多功能车","SUV","其他"))))</f>
        <v/>
      </c>
      <c r="K2808" s="62"/>
      <c r="L2808" s="62"/>
      <c r="M2808" s="62"/>
      <c r="N2808" s="62"/>
      <c r="O2808" s="62"/>
      <c r="P2808" s="62"/>
      <c r="Q2808" s="62"/>
    </row>
    <row r="2809" spans="1:17">
      <c r="A2809" s="62"/>
      <c r="B2809" s="62"/>
      <c r="C2809" s="62"/>
      <c r="D2809" s="62"/>
      <c r="E2809" s="62"/>
      <c r="F2809" s="62"/>
      <c r="G2809" s="62"/>
      <c r="H2809" s="62" t="str">
        <f>IF(AND('Data Export'!A2809=前十整体车型排名!$B$2,'Data Export'!B2809=前十整体车型排名!$B$3,'Data Export'!D2809&lt;&gt;""),UPPER('Data Export'!C2809)&amp;"♦"&amp;'Data Export'!D2809,"")</f>
        <v/>
      </c>
      <c r="I2809" s="63" t="str">
        <f>IF(H2809="","",IFERROR(INDEX('Data Export'!G2809:CZ2809,1,MATCH(前十整体车型排名!$B$4,'Data Export'!$G$1:$CZ$1,0)),0))</f>
        <v/>
      </c>
      <c r="J2809" s="62" t="str">
        <f>IF(H2809="","",IF(OR('Data Export'!F2809="三厢轿车",'Data Export'!F2809="掀背轿车",'Data Export'!F2809="旅行车",'Data Export'!F2809="微型车",'Data Export'!F2809="硬顶跑车",'Data Export'!F2809="敞蓬车",'Data Export'!F2809="Targa"),"轿车",IF(OR('Data Export'!F2809="小型MPV",'Data Export'!F2809="客车"),"MPV",IF('Data Export'!F2809="运动型多功能车","SUV","其他"))))</f>
        <v/>
      </c>
      <c r="K2809" s="62"/>
      <c r="L2809" s="62"/>
      <c r="M2809" s="62"/>
      <c r="N2809" s="62"/>
      <c r="O2809" s="62"/>
      <c r="P2809" s="62"/>
      <c r="Q2809" s="62"/>
    </row>
    <row r="2810" spans="1:17">
      <c r="A2810" s="62"/>
      <c r="B2810" s="62"/>
      <c r="C2810" s="62"/>
      <c r="D2810" s="62"/>
      <c r="E2810" s="62"/>
      <c r="F2810" s="62"/>
      <c r="G2810" s="62"/>
      <c r="H2810" s="62" t="str">
        <f>IF(AND('Data Export'!A2810=前十整体车型排名!$B$2,'Data Export'!B2810=前十整体车型排名!$B$3,'Data Export'!D2810&lt;&gt;""),UPPER('Data Export'!C2810)&amp;"♦"&amp;'Data Export'!D2810,"")</f>
        <v/>
      </c>
      <c r="I2810" s="63" t="str">
        <f>IF(H2810="","",IFERROR(INDEX('Data Export'!G2810:CZ2810,1,MATCH(前十整体车型排名!$B$4,'Data Export'!$G$1:$CZ$1,0)),0))</f>
        <v/>
      </c>
      <c r="J2810" s="62" t="str">
        <f>IF(H2810="","",IF(OR('Data Export'!F2810="三厢轿车",'Data Export'!F2810="掀背轿车",'Data Export'!F2810="旅行车",'Data Export'!F2810="微型车",'Data Export'!F2810="硬顶跑车",'Data Export'!F2810="敞蓬车",'Data Export'!F2810="Targa"),"轿车",IF(OR('Data Export'!F2810="小型MPV",'Data Export'!F2810="客车"),"MPV",IF('Data Export'!F2810="运动型多功能车","SUV","其他"))))</f>
        <v/>
      </c>
      <c r="K2810" s="62"/>
      <c r="L2810" s="62"/>
      <c r="M2810" s="62"/>
      <c r="N2810" s="62"/>
      <c r="O2810" s="62"/>
      <c r="P2810" s="62"/>
      <c r="Q2810" s="62"/>
    </row>
    <row r="2811" spans="1:17">
      <c r="A2811" s="62"/>
      <c r="B2811" s="62"/>
      <c r="C2811" s="62"/>
      <c r="D2811" s="62"/>
      <c r="E2811" s="62"/>
      <c r="F2811" s="62"/>
      <c r="G2811" s="62"/>
      <c r="H2811" s="62" t="str">
        <f>IF(AND('Data Export'!A2811=前十整体车型排名!$B$2,'Data Export'!B2811=前十整体车型排名!$B$3,'Data Export'!D2811&lt;&gt;""),UPPER('Data Export'!C2811)&amp;"♦"&amp;'Data Export'!D2811,"")</f>
        <v/>
      </c>
      <c r="I2811" s="63" t="str">
        <f>IF(H2811="","",IFERROR(INDEX('Data Export'!G2811:CZ2811,1,MATCH(前十整体车型排名!$B$4,'Data Export'!$G$1:$CZ$1,0)),0))</f>
        <v/>
      </c>
      <c r="J2811" s="62" t="str">
        <f>IF(H2811="","",IF(OR('Data Export'!F2811="三厢轿车",'Data Export'!F2811="掀背轿车",'Data Export'!F2811="旅行车",'Data Export'!F2811="微型车",'Data Export'!F2811="硬顶跑车",'Data Export'!F2811="敞蓬车",'Data Export'!F2811="Targa"),"轿车",IF(OR('Data Export'!F2811="小型MPV",'Data Export'!F2811="客车"),"MPV",IF('Data Export'!F2811="运动型多功能车","SUV","其他"))))</f>
        <v/>
      </c>
      <c r="K2811" s="62"/>
      <c r="L2811" s="62"/>
      <c r="M2811" s="62"/>
      <c r="N2811" s="62"/>
      <c r="O2811" s="62"/>
      <c r="P2811" s="62"/>
      <c r="Q2811" s="62"/>
    </row>
    <row r="2812" spans="1:17">
      <c r="A2812" s="62"/>
      <c r="B2812" s="62"/>
      <c r="C2812" s="62"/>
      <c r="D2812" s="62"/>
      <c r="E2812" s="62"/>
      <c r="F2812" s="62"/>
      <c r="G2812" s="62"/>
      <c r="H2812" s="62" t="str">
        <f>IF(AND('Data Export'!A2812=前十整体车型排名!$B$2,'Data Export'!B2812=前十整体车型排名!$B$3,'Data Export'!D2812&lt;&gt;""),UPPER('Data Export'!C2812)&amp;"♦"&amp;'Data Export'!D2812,"")</f>
        <v/>
      </c>
      <c r="I2812" s="63" t="str">
        <f>IF(H2812="","",IFERROR(INDEX('Data Export'!G2812:CZ2812,1,MATCH(前十整体车型排名!$B$4,'Data Export'!$G$1:$CZ$1,0)),0))</f>
        <v/>
      </c>
      <c r="J2812" s="62" t="str">
        <f>IF(H2812="","",IF(OR('Data Export'!F2812="三厢轿车",'Data Export'!F2812="掀背轿车",'Data Export'!F2812="旅行车",'Data Export'!F2812="微型车",'Data Export'!F2812="硬顶跑车",'Data Export'!F2812="敞蓬车",'Data Export'!F2812="Targa"),"轿车",IF(OR('Data Export'!F2812="小型MPV",'Data Export'!F2812="客车"),"MPV",IF('Data Export'!F2812="运动型多功能车","SUV","其他"))))</f>
        <v/>
      </c>
      <c r="K2812" s="62"/>
      <c r="L2812" s="62"/>
      <c r="M2812" s="62"/>
      <c r="N2812" s="62"/>
      <c r="O2812" s="62"/>
      <c r="P2812" s="62"/>
      <c r="Q2812" s="62"/>
    </row>
    <row r="2813" spans="1:17">
      <c r="A2813" s="62"/>
      <c r="B2813" s="62"/>
      <c r="C2813" s="62"/>
      <c r="D2813" s="62"/>
      <c r="E2813" s="62"/>
      <c r="F2813" s="62"/>
      <c r="G2813" s="62"/>
      <c r="H2813" s="62" t="str">
        <f>IF(AND('Data Export'!A2813=前十整体车型排名!$B$2,'Data Export'!B2813=前十整体车型排名!$B$3,'Data Export'!D2813&lt;&gt;""),UPPER('Data Export'!C2813)&amp;"♦"&amp;'Data Export'!D2813,"")</f>
        <v/>
      </c>
      <c r="I2813" s="63" t="str">
        <f>IF(H2813="","",IFERROR(INDEX('Data Export'!G2813:CZ2813,1,MATCH(前十整体车型排名!$B$4,'Data Export'!$G$1:$CZ$1,0)),0))</f>
        <v/>
      </c>
      <c r="J2813" s="62" t="str">
        <f>IF(H2813="","",IF(OR('Data Export'!F2813="三厢轿车",'Data Export'!F2813="掀背轿车",'Data Export'!F2813="旅行车",'Data Export'!F2813="微型车",'Data Export'!F2813="硬顶跑车",'Data Export'!F2813="敞蓬车",'Data Export'!F2813="Targa"),"轿车",IF(OR('Data Export'!F2813="小型MPV",'Data Export'!F2813="客车"),"MPV",IF('Data Export'!F2813="运动型多功能车","SUV","其他"))))</f>
        <v/>
      </c>
      <c r="K2813" s="62"/>
      <c r="L2813" s="62"/>
      <c r="M2813" s="62"/>
      <c r="N2813" s="62"/>
      <c r="O2813" s="62"/>
      <c r="P2813" s="62"/>
      <c r="Q2813" s="62"/>
    </row>
    <row r="2814" spans="1:17">
      <c r="A2814" s="62"/>
      <c r="B2814" s="62"/>
      <c r="C2814" s="62"/>
      <c r="D2814" s="62"/>
      <c r="E2814" s="62"/>
      <c r="F2814" s="62"/>
      <c r="G2814" s="62"/>
      <c r="H2814" s="62" t="str">
        <f>IF(AND('Data Export'!A2814=前十整体车型排名!$B$2,'Data Export'!B2814=前十整体车型排名!$B$3,'Data Export'!D2814&lt;&gt;""),UPPER('Data Export'!C2814)&amp;"♦"&amp;'Data Export'!D2814,"")</f>
        <v/>
      </c>
      <c r="I2814" s="63" t="str">
        <f>IF(H2814="","",IFERROR(INDEX('Data Export'!G2814:CZ2814,1,MATCH(前十整体车型排名!$B$4,'Data Export'!$G$1:$CZ$1,0)),0))</f>
        <v/>
      </c>
      <c r="J2814" s="62" t="str">
        <f>IF(H2814="","",IF(OR('Data Export'!F2814="三厢轿车",'Data Export'!F2814="掀背轿车",'Data Export'!F2814="旅行车",'Data Export'!F2814="微型车",'Data Export'!F2814="硬顶跑车",'Data Export'!F2814="敞蓬车",'Data Export'!F2814="Targa"),"轿车",IF(OR('Data Export'!F2814="小型MPV",'Data Export'!F2814="客车"),"MPV",IF('Data Export'!F2814="运动型多功能车","SUV","其他"))))</f>
        <v/>
      </c>
      <c r="K2814" s="62"/>
      <c r="L2814" s="62"/>
      <c r="M2814" s="62"/>
      <c r="N2814" s="62"/>
      <c r="O2814" s="62"/>
      <c r="P2814" s="62"/>
      <c r="Q2814" s="62"/>
    </row>
    <row r="2815" spans="1:17">
      <c r="A2815" s="62"/>
      <c r="B2815" s="62"/>
      <c r="C2815" s="62"/>
      <c r="D2815" s="62"/>
      <c r="E2815" s="62"/>
      <c r="F2815" s="62"/>
      <c r="G2815" s="62"/>
      <c r="H2815" s="62" t="str">
        <f>IF(AND('Data Export'!A2815=前十整体车型排名!$B$2,'Data Export'!B2815=前十整体车型排名!$B$3,'Data Export'!D2815&lt;&gt;""),UPPER('Data Export'!C2815)&amp;"♦"&amp;'Data Export'!D2815,"")</f>
        <v/>
      </c>
      <c r="I2815" s="63" t="str">
        <f>IF(H2815="","",IFERROR(INDEX('Data Export'!G2815:CZ2815,1,MATCH(前十整体车型排名!$B$4,'Data Export'!$G$1:$CZ$1,0)),0))</f>
        <v/>
      </c>
      <c r="J2815" s="62" t="str">
        <f>IF(H2815="","",IF(OR('Data Export'!F2815="三厢轿车",'Data Export'!F2815="掀背轿车",'Data Export'!F2815="旅行车",'Data Export'!F2815="微型车",'Data Export'!F2815="硬顶跑车",'Data Export'!F2815="敞蓬车",'Data Export'!F2815="Targa"),"轿车",IF(OR('Data Export'!F2815="小型MPV",'Data Export'!F2815="客车"),"MPV",IF('Data Export'!F2815="运动型多功能车","SUV","其他"))))</f>
        <v/>
      </c>
      <c r="K2815" s="62"/>
      <c r="L2815" s="62"/>
      <c r="M2815" s="62"/>
      <c r="N2815" s="62"/>
      <c r="O2815" s="62"/>
      <c r="P2815" s="62"/>
      <c r="Q2815" s="62"/>
    </row>
    <row r="2816" spans="1:17">
      <c r="A2816" s="62"/>
      <c r="B2816" s="62"/>
      <c r="C2816" s="62"/>
      <c r="D2816" s="62"/>
      <c r="E2816" s="62"/>
      <c r="F2816" s="62"/>
      <c r="G2816" s="62"/>
      <c r="H2816" s="62" t="str">
        <f>IF(AND('Data Export'!A2816=前十整体车型排名!$B$2,'Data Export'!B2816=前十整体车型排名!$B$3,'Data Export'!D2816&lt;&gt;""),UPPER('Data Export'!C2816)&amp;"♦"&amp;'Data Export'!D2816,"")</f>
        <v/>
      </c>
      <c r="I2816" s="63" t="str">
        <f>IF(H2816="","",IFERROR(INDEX('Data Export'!G2816:CZ2816,1,MATCH(前十整体车型排名!$B$4,'Data Export'!$G$1:$CZ$1,0)),0))</f>
        <v/>
      </c>
      <c r="J2816" s="62" t="str">
        <f>IF(H2816="","",IF(OR('Data Export'!F2816="三厢轿车",'Data Export'!F2816="掀背轿车",'Data Export'!F2816="旅行车",'Data Export'!F2816="微型车",'Data Export'!F2816="硬顶跑车",'Data Export'!F2816="敞蓬车",'Data Export'!F2816="Targa"),"轿车",IF(OR('Data Export'!F2816="小型MPV",'Data Export'!F2816="客车"),"MPV",IF('Data Export'!F2816="运动型多功能车","SUV","其他"))))</f>
        <v/>
      </c>
      <c r="K2816" s="62"/>
      <c r="L2816" s="62"/>
      <c r="M2816" s="62"/>
      <c r="N2816" s="62"/>
      <c r="O2816" s="62"/>
      <c r="P2816" s="62"/>
      <c r="Q2816" s="62"/>
    </row>
    <row r="2817" spans="1:17">
      <c r="A2817" s="62"/>
      <c r="B2817" s="62"/>
      <c r="C2817" s="62"/>
      <c r="D2817" s="62"/>
      <c r="E2817" s="62"/>
      <c r="F2817" s="62"/>
      <c r="G2817" s="62"/>
      <c r="H2817" s="62" t="str">
        <f>IF(AND('Data Export'!A2817=前十整体车型排名!$B$2,'Data Export'!B2817=前十整体车型排名!$B$3,'Data Export'!D2817&lt;&gt;""),UPPER('Data Export'!C2817)&amp;"♦"&amp;'Data Export'!D2817,"")</f>
        <v/>
      </c>
      <c r="I2817" s="63" t="str">
        <f>IF(H2817="","",IFERROR(INDEX('Data Export'!G2817:CZ2817,1,MATCH(前十整体车型排名!$B$4,'Data Export'!$G$1:$CZ$1,0)),0))</f>
        <v/>
      </c>
      <c r="J2817" s="62" t="str">
        <f>IF(H2817="","",IF(OR('Data Export'!F2817="三厢轿车",'Data Export'!F2817="掀背轿车",'Data Export'!F2817="旅行车",'Data Export'!F2817="微型车",'Data Export'!F2817="硬顶跑车",'Data Export'!F2817="敞蓬车",'Data Export'!F2817="Targa"),"轿车",IF(OR('Data Export'!F2817="小型MPV",'Data Export'!F2817="客车"),"MPV",IF('Data Export'!F2817="运动型多功能车","SUV","其他"))))</f>
        <v/>
      </c>
      <c r="K2817" s="62"/>
      <c r="L2817" s="62"/>
      <c r="M2817" s="62"/>
      <c r="N2817" s="62"/>
      <c r="O2817" s="62"/>
      <c r="P2817" s="62"/>
      <c r="Q2817" s="62"/>
    </row>
    <row r="2818" spans="1:17">
      <c r="A2818" s="62"/>
      <c r="B2818" s="62"/>
      <c r="C2818" s="62"/>
      <c r="D2818" s="62"/>
      <c r="E2818" s="62"/>
      <c r="F2818" s="62"/>
      <c r="G2818" s="62"/>
      <c r="H2818" s="62" t="str">
        <f>IF(AND('Data Export'!A2818=前十整体车型排名!$B$2,'Data Export'!B2818=前十整体车型排名!$B$3,'Data Export'!D2818&lt;&gt;""),UPPER('Data Export'!C2818)&amp;"♦"&amp;'Data Export'!D2818,"")</f>
        <v/>
      </c>
      <c r="I2818" s="63" t="str">
        <f>IF(H2818="","",IFERROR(INDEX('Data Export'!G2818:CZ2818,1,MATCH(前十整体车型排名!$B$4,'Data Export'!$G$1:$CZ$1,0)),0))</f>
        <v/>
      </c>
      <c r="J2818" s="62" t="str">
        <f>IF(H2818="","",IF(OR('Data Export'!F2818="三厢轿车",'Data Export'!F2818="掀背轿车",'Data Export'!F2818="旅行车",'Data Export'!F2818="微型车",'Data Export'!F2818="硬顶跑车",'Data Export'!F2818="敞蓬车",'Data Export'!F2818="Targa"),"轿车",IF(OR('Data Export'!F2818="小型MPV",'Data Export'!F2818="客车"),"MPV",IF('Data Export'!F2818="运动型多功能车","SUV","其他"))))</f>
        <v/>
      </c>
      <c r="K2818" s="62"/>
      <c r="L2818" s="62"/>
      <c r="M2818" s="62"/>
      <c r="N2818" s="62"/>
      <c r="O2818" s="62"/>
      <c r="P2818" s="62"/>
      <c r="Q2818" s="62"/>
    </row>
    <row r="2819" spans="1:17">
      <c r="A2819" s="62"/>
      <c r="B2819" s="62"/>
      <c r="C2819" s="62"/>
      <c r="D2819" s="62"/>
      <c r="E2819" s="62"/>
      <c r="F2819" s="62"/>
      <c r="G2819" s="62"/>
      <c r="H2819" s="62" t="str">
        <f>IF(AND('Data Export'!A2819=前十整体车型排名!$B$2,'Data Export'!B2819=前十整体车型排名!$B$3,'Data Export'!D2819&lt;&gt;""),UPPER('Data Export'!C2819)&amp;"♦"&amp;'Data Export'!D2819,"")</f>
        <v/>
      </c>
      <c r="I2819" s="63" t="str">
        <f>IF(H2819="","",IFERROR(INDEX('Data Export'!G2819:CZ2819,1,MATCH(前十整体车型排名!$B$4,'Data Export'!$G$1:$CZ$1,0)),0))</f>
        <v/>
      </c>
      <c r="J2819" s="62" t="str">
        <f>IF(H2819="","",IF(OR('Data Export'!F2819="三厢轿车",'Data Export'!F2819="掀背轿车",'Data Export'!F2819="旅行车",'Data Export'!F2819="微型车",'Data Export'!F2819="硬顶跑车",'Data Export'!F2819="敞蓬车",'Data Export'!F2819="Targa"),"轿车",IF(OR('Data Export'!F2819="小型MPV",'Data Export'!F2819="客车"),"MPV",IF('Data Export'!F2819="运动型多功能车","SUV","其他"))))</f>
        <v/>
      </c>
      <c r="K2819" s="62"/>
      <c r="L2819" s="62"/>
      <c r="M2819" s="62"/>
      <c r="N2819" s="62"/>
      <c r="O2819" s="62"/>
      <c r="P2819" s="62"/>
      <c r="Q2819" s="62"/>
    </row>
    <row r="2820" spans="1:17">
      <c r="A2820" s="62"/>
      <c r="B2820" s="62"/>
      <c r="C2820" s="62"/>
      <c r="D2820" s="62"/>
      <c r="E2820" s="62"/>
      <c r="F2820" s="62"/>
      <c r="G2820" s="62"/>
      <c r="H2820" s="62" t="str">
        <f>IF(AND('Data Export'!A2820=前十整体车型排名!$B$2,'Data Export'!B2820=前十整体车型排名!$B$3,'Data Export'!D2820&lt;&gt;""),UPPER('Data Export'!C2820)&amp;"♦"&amp;'Data Export'!D2820,"")</f>
        <v/>
      </c>
      <c r="I2820" s="63" t="str">
        <f>IF(H2820="","",IFERROR(INDEX('Data Export'!G2820:CZ2820,1,MATCH(前十整体车型排名!$B$4,'Data Export'!$G$1:$CZ$1,0)),0))</f>
        <v/>
      </c>
      <c r="J2820" s="62" t="str">
        <f>IF(H2820="","",IF(OR('Data Export'!F2820="三厢轿车",'Data Export'!F2820="掀背轿车",'Data Export'!F2820="旅行车",'Data Export'!F2820="微型车",'Data Export'!F2820="硬顶跑车",'Data Export'!F2820="敞蓬车",'Data Export'!F2820="Targa"),"轿车",IF(OR('Data Export'!F2820="小型MPV",'Data Export'!F2820="客车"),"MPV",IF('Data Export'!F2820="运动型多功能车","SUV","其他"))))</f>
        <v/>
      </c>
      <c r="K2820" s="62"/>
      <c r="L2820" s="62"/>
      <c r="M2820" s="62"/>
      <c r="N2820" s="62"/>
      <c r="O2820" s="62"/>
      <c r="P2820" s="62"/>
      <c r="Q2820" s="62"/>
    </row>
    <row r="2821" spans="1:17">
      <c r="A2821" s="62"/>
      <c r="B2821" s="62"/>
      <c r="C2821" s="62"/>
      <c r="D2821" s="62"/>
      <c r="E2821" s="62"/>
      <c r="F2821" s="62"/>
      <c r="G2821" s="62"/>
      <c r="H2821" s="62" t="str">
        <f>IF(AND('Data Export'!A2821=前十整体车型排名!$B$2,'Data Export'!B2821=前十整体车型排名!$B$3,'Data Export'!D2821&lt;&gt;""),UPPER('Data Export'!C2821)&amp;"♦"&amp;'Data Export'!D2821,"")</f>
        <v/>
      </c>
      <c r="I2821" s="63" t="str">
        <f>IF(H2821="","",IFERROR(INDEX('Data Export'!G2821:CZ2821,1,MATCH(前十整体车型排名!$B$4,'Data Export'!$G$1:$CZ$1,0)),0))</f>
        <v/>
      </c>
      <c r="J2821" s="62" t="str">
        <f>IF(H2821="","",IF(OR('Data Export'!F2821="三厢轿车",'Data Export'!F2821="掀背轿车",'Data Export'!F2821="旅行车",'Data Export'!F2821="微型车",'Data Export'!F2821="硬顶跑车",'Data Export'!F2821="敞蓬车",'Data Export'!F2821="Targa"),"轿车",IF(OR('Data Export'!F2821="小型MPV",'Data Export'!F2821="客车"),"MPV",IF('Data Export'!F2821="运动型多功能车","SUV","其他"))))</f>
        <v/>
      </c>
      <c r="K2821" s="62"/>
      <c r="L2821" s="62"/>
      <c r="M2821" s="62"/>
      <c r="N2821" s="62"/>
      <c r="O2821" s="62"/>
      <c r="P2821" s="62"/>
      <c r="Q2821" s="62"/>
    </row>
    <row r="2822" spans="1:17">
      <c r="A2822" s="62"/>
      <c r="B2822" s="62"/>
      <c r="C2822" s="62"/>
      <c r="D2822" s="62"/>
      <c r="E2822" s="62"/>
      <c r="F2822" s="62"/>
      <c r="G2822" s="62"/>
      <c r="H2822" s="62" t="str">
        <f>IF(AND('Data Export'!A2822=前十整体车型排名!$B$2,'Data Export'!B2822=前十整体车型排名!$B$3,'Data Export'!D2822&lt;&gt;""),UPPER('Data Export'!C2822)&amp;"♦"&amp;'Data Export'!D2822,"")</f>
        <v/>
      </c>
      <c r="I2822" s="63" t="str">
        <f>IF(H2822="","",IFERROR(INDEX('Data Export'!G2822:CZ2822,1,MATCH(前十整体车型排名!$B$4,'Data Export'!$G$1:$CZ$1,0)),0))</f>
        <v/>
      </c>
      <c r="J2822" s="62" t="str">
        <f>IF(H2822="","",IF(OR('Data Export'!F2822="三厢轿车",'Data Export'!F2822="掀背轿车",'Data Export'!F2822="旅行车",'Data Export'!F2822="微型车",'Data Export'!F2822="硬顶跑车",'Data Export'!F2822="敞蓬车",'Data Export'!F2822="Targa"),"轿车",IF(OR('Data Export'!F2822="小型MPV",'Data Export'!F2822="客车"),"MPV",IF('Data Export'!F2822="运动型多功能车","SUV","其他"))))</f>
        <v/>
      </c>
      <c r="K2822" s="62"/>
      <c r="L2822" s="62"/>
      <c r="M2822" s="62"/>
      <c r="N2822" s="62"/>
      <c r="O2822" s="62"/>
      <c r="P2822" s="62"/>
      <c r="Q2822" s="62"/>
    </row>
    <row r="2823" spans="1:17">
      <c r="A2823" s="62"/>
      <c r="B2823" s="62"/>
      <c r="C2823" s="62"/>
      <c r="D2823" s="62"/>
      <c r="E2823" s="62"/>
      <c r="F2823" s="62"/>
      <c r="G2823" s="62"/>
      <c r="H2823" s="62" t="str">
        <f>IF(AND('Data Export'!A2823=前十整体车型排名!$B$2,'Data Export'!B2823=前十整体车型排名!$B$3,'Data Export'!D2823&lt;&gt;""),UPPER('Data Export'!C2823)&amp;"♦"&amp;'Data Export'!D2823,"")</f>
        <v/>
      </c>
      <c r="I2823" s="63" t="str">
        <f>IF(H2823="","",IFERROR(INDEX('Data Export'!G2823:CZ2823,1,MATCH(前十整体车型排名!$B$4,'Data Export'!$G$1:$CZ$1,0)),0))</f>
        <v/>
      </c>
      <c r="J2823" s="62" t="str">
        <f>IF(H2823="","",IF(OR('Data Export'!F2823="三厢轿车",'Data Export'!F2823="掀背轿车",'Data Export'!F2823="旅行车",'Data Export'!F2823="微型车",'Data Export'!F2823="硬顶跑车",'Data Export'!F2823="敞蓬车",'Data Export'!F2823="Targa"),"轿车",IF(OR('Data Export'!F2823="小型MPV",'Data Export'!F2823="客车"),"MPV",IF('Data Export'!F2823="运动型多功能车","SUV","其他"))))</f>
        <v/>
      </c>
      <c r="K2823" s="62"/>
      <c r="L2823" s="62"/>
      <c r="M2823" s="62"/>
      <c r="N2823" s="62"/>
      <c r="O2823" s="62"/>
      <c r="P2823" s="62"/>
      <c r="Q2823" s="62"/>
    </row>
    <row r="2824" spans="1:17">
      <c r="A2824" s="62"/>
      <c r="B2824" s="62"/>
      <c r="C2824" s="62"/>
      <c r="D2824" s="62"/>
      <c r="E2824" s="62"/>
      <c r="F2824" s="62"/>
      <c r="G2824" s="62"/>
      <c r="H2824" s="62" t="str">
        <f>IF(AND('Data Export'!A2824=前十整体车型排名!$B$2,'Data Export'!B2824=前十整体车型排名!$B$3,'Data Export'!D2824&lt;&gt;""),UPPER('Data Export'!C2824)&amp;"♦"&amp;'Data Export'!D2824,"")</f>
        <v/>
      </c>
      <c r="I2824" s="63" t="str">
        <f>IF(H2824="","",IFERROR(INDEX('Data Export'!G2824:CZ2824,1,MATCH(前十整体车型排名!$B$4,'Data Export'!$G$1:$CZ$1,0)),0))</f>
        <v/>
      </c>
      <c r="J2824" s="62" t="str">
        <f>IF(H2824="","",IF(OR('Data Export'!F2824="三厢轿车",'Data Export'!F2824="掀背轿车",'Data Export'!F2824="旅行车",'Data Export'!F2824="微型车",'Data Export'!F2824="硬顶跑车",'Data Export'!F2824="敞蓬车",'Data Export'!F2824="Targa"),"轿车",IF(OR('Data Export'!F2824="小型MPV",'Data Export'!F2824="客车"),"MPV",IF('Data Export'!F2824="运动型多功能车","SUV","其他"))))</f>
        <v/>
      </c>
      <c r="K2824" s="62"/>
      <c r="L2824" s="62"/>
      <c r="M2824" s="62"/>
      <c r="N2824" s="62"/>
      <c r="O2824" s="62"/>
      <c r="P2824" s="62"/>
      <c r="Q2824" s="62"/>
    </row>
    <row r="2825" spans="1:17">
      <c r="A2825" s="62"/>
      <c r="B2825" s="62"/>
      <c r="C2825" s="62"/>
      <c r="D2825" s="62"/>
      <c r="E2825" s="62"/>
      <c r="F2825" s="62"/>
      <c r="G2825" s="62"/>
      <c r="H2825" s="62" t="str">
        <f>IF(AND('Data Export'!A2825=前十整体车型排名!$B$2,'Data Export'!B2825=前十整体车型排名!$B$3,'Data Export'!D2825&lt;&gt;""),UPPER('Data Export'!C2825)&amp;"♦"&amp;'Data Export'!D2825,"")</f>
        <v/>
      </c>
      <c r="I2825" s="63" t="str">
        <f>IF(H2825="","",IFERROR(INDEX('Data Export'!G2825:CZ2825,1,MATCH(前十整体车型排名!$B$4,'Data Export'!$G$1:$CZ$1,0)),0))</f>
        <v/>
      </c>
      <c r="J2825" s="62" t="str">
        <f>IF(H2825="","",IF(OR('Data Export'!F2825="三厢轿车",'Data Export'!F2825="掀背轿车",'Data Export'!F2825="旅行车",'Data Export'!F2825="微型车",'Data Export'!F2825="硬顶跑车",'Data Export'!F2825="敞蓬车",'Data Export'!F2825="Targa"),"轿车",IF(OR('Data Export'!F2825="小型MPV",'Data Export'!F2825="客车"),"MPV",IF('Data Export'!F2825="运动型多功能车","SUV","其他"))))</f>
        <v/>
      </c>
      <c r="K2825" s="62"/>
      <c r="L2825" s="62"/>
      <c r="M2825" s="62"/>
      <c r="N2825" s="62"/>
      <c r="O2825" s="62"/>
      <c r="P2825" s="62"/>
      <c r="Q2825" s="62"/>
    </row>
    <row r="2826" spans="1:17">
      <c r="A2826" s="62"/>
      <c r="B2826" s="62"/>
      <c r="C2826" s="62"/>
      <c r="D2826" s="62"/>
      <c r="E2826" s="62"/>
      <c r="F2826" s="62"/>
      <c r="G2826" s="62"/>
      <c r="H2826" s="62" t="str">
        <f>IF(AND('Data Export'!A2826=前十整体车型排名!$B$2,'Data Export'!B2826=前十整体车型排名!$B$3,'Data Export'!D2826&lt;&gt;""),UPPER('Data Export'!C2826)&amp;"♦"&amp;'Data Export'!D2826,"")</f>
        <v/>
      </c>
      <c r="I2826" s="63" t="str">
        <f>IF(H2826="","",IFERROR(INDEX('Data Export'!G2826:CZ2826,1,MATCH(前十整体车型排名!$B$4,'Data Export'!$G$1:$CZ$1,0)),0))</f>
        <v/>
      </c>
      <c r="J2826" s="62" t="str">
        <f>IF(H2826="","",IF(OR('Data Export'!F2826="三厢轿车",'Data Export'!F2826="掀背轿车",'Data Export'!F2826="旅行车",'Data Export'!F2826="微型车",'Data Export'!F2826="硬顶跑车",'Data Export'!F2826="敞蓬车",'Data Export'!F2826="Targa"),"轿车",IF(OR('Data Export'!F2826="小型MPV",'Data Export'!F2826="客车"),"MPV",IF('Data Export'!F2826="运动型多功能车","SUV","其他"))))</f>
        <v/>
      </c>
      <c r="K2826" s="62"/>
      <c r="L2826" s="62"/>
      <c r="M2826" s="62"/>
      <c r="N2826" s="62"/>
      <c r="O2826" s="62"/>
      <c r="P2826" s="62"/>
      <c r="Q2826" s="62"/>
    </row>
    <row r="2827" spans="1:17">
      <c r="A2827" s="62"/>
      <c r="B2827" s="62"/>
      <c r="C2827" s="62"/>
      <c r="D2827" s="62"/>
      <c r="E2827" s="62"/>
      <c r="F2827" s="62"/>
      <c r="G2827" s="62"/>
      <c r="H2827" s="62" t="str">
        <f>IF(AND('Data Export'!A2827=前十整体车型排名!$B$2,'Data Export'!B2827=前十整体车型排名!$B$3,'Data Export'!D2827&lt;&gt;""),UPPER('Data Export'!C2827)&amp;"♦"&amp;'Data Export'!D2827,"")</f>
        <v/>
      </c>
      <c r="I2827" s="63" t="str">
        <f>IF(H2827="","",IFERROR(INDEX('Data Export'!G2827:CZ2827,1,MATCH(前十整体车型排名!$B$4,'Data Export'!$G$1:$CZ$1,0)),0))</f>
        <v/>
      </c>
      <c r="J2827" s="62" t="str">
        <f>IF(H2827="","",IF(OR('Data Export'!F2827="三厢轿车",'Data Export'!F2827="掀背轿车",'Data Export'!F2827="旅行车",'Data Export'!F2827="微型车",'Data Export'!F2827="硬顶跑车",'Data Export'!F2827="敞蓬车",'Data Export'!F2827="Targa"),"轿车",IF(OR('Data Export'!F2827="小型MPV",'Data Export'!F2827="客车"),"MPV",IF('Data Export'!F2827="运动型多功能车","SUV","其他"))))</f>
        <v/>
      </c>
      <c r="K2827" s="62"/>
      <c r="L2827" s="62"/>
      <c r="M2827" s="62"/>
      <c r="N2827" s="62"/>
      <c r="O2827" s="62"/>
      <c r="P2827" s="62"/>
      <c r="Q2827" s="62"/>
    </row>
    <row r="2828" spans="1:17">
      <c r="A2828" s="62"/>
      <c r="B2828" s="62"/>
      <c r="C2828" s="62"/>
      <c r="D2828" s="62"/>
      <c r="E2828" s="62"/>
      <c r="F2828" s="62"/>
      <c r="G2828" s="62"/>
      <c r="H2828" s="62" t="str">
        <f>IF(AND('Data Export'!A2828=前十整体车型排名!$B$2,'Data Export'!B2828=前十整体车型排名!$B$3,'Data Export'!D2828&lt;&gt;""),UPPER('Data Export'!C2828)&amp;"♦"&amp;'Data Export'!D2828,"")</f>
        <v/>
      </c>
      <c r="I2828" s="63" t="str">
        <f>IF(H2828="","",IFERROR(INDEX('Data Export'!G2828:CZ2828,1,MATCH(前十整体车型排名!$B$4,'Data Export'!$G$1:$CZ$1,0)),0))</f>
        <v/>
      </c>
      <c r="J2828" s="62" t="str">
        <f>IF(H2828="","",IF(OR('Data Export'!F2828="三厢轿车",'Data Export'!F2828="掀背轿车",'Data Export'!F2828="旅行车",'Data Export'!F2828="微型车",'Data Export'!F2828="硬顶跑车",'Data Export'!F2828="敞蓬车",'Data Export'!F2828="Targa"),"轿车",IF(OR('Data Export'!F2828="小型MPV",'Data Export'!F2828="客车"),"MPV",IF('Data Export'!F2828="运动型多功能车","SUV","其他"))))</f>
        <v/>
      </c>
      <c r="K2828" s="62"/>
      <c r="L2828" s="62"/>
      <c r="M2828" s="62"/>
      <c r="N2828" s="62"/>
      <c r="O2828" s="62"/>
      <c r="P2828" s="62"/>
      <c r="Q2828" s="62"/>
    </row>
    <row r="2829" spans="1:17">
      <c r="A2829" s="62"/>
      <c r="B2829" s="62"/>
      <c r="C2829" s="62"/>
      <c r="D2829" s="62"/>
      <c r="E2829" s="62"/>
      <c r="F2829" s="62"/>
      <c r="G2829" s="62"/>
      <c r="H2829" s="62" t="str">
        <f>IF(AND('Data Export'!A2829=前十整体车型排名!$B$2,'Data Export'!B2829=前十整体车型排名!$B$3,'Data Export'!D2829&lt;&gt;""),UPPER('Data Export'!C2829)&amp;"♦"&amp;'Data Export'!D2829,"")</f>
        <v/>
      </c>
      <c r="I2829" s="63" t="str">
        <f>IF(H2829="","",IFERROR(INDEX('Data Export'!G2829:CZ2829,1,MATCH(前十整体车型排名!$B$4,'Data Export'!$G$1:$CZ$1,0)),0))</f>
        <v/>
      </c>
      <c r="J2829" s="62" t="str">
        <f>IF(H2829="","",IF(OR('Data Export'!F2829="三厢轿车",'Data Export'!F2829="掀背轿车",'Data Export'!F2829="旅行车",'Data Export'!F2829="微型车",'Data Export'!F2829="硬顶跑车",'Data Export'!F2829="敞蓬车",'Data Export'!F2829="Targa"),"轿车",IF(OR('Data Export'!F2829="小型MPV",'Data Export'!F2829="客车"),"MPV",IF('Data Export'!F2829="运动型多功能车","SUV","其他"))))</f>
        <v/>
      </c>
      <c r="K2829" s="62"/>
      <c r="L2829" s="62"/>
      <c r="M2829" s="62"/>
      <c r="N2829" s="62"/>
      <c r="O2829" s="62"/>
      <c r="P2829" s="62"/>
      <c r="Q2829" s="62"/>
    </row>
    <row r="2830" spans="1:17">
      <c r="A2830" s="62"/>
      <c r="B2830" s="62"/>
      <c r="C2830" s="62"/>
      <c r="D2830" s="62"/>
      <c r="E2830" s="62"/>
      <c r="F2830" s="62"/>
      <c r="G2830" s="62"/>
      <c r="H2830" s="62" t="str">
        <f>IF(AND('Data Export'!A2830=前十整体车型排名!$B$2,'Data Export'!B2830=前十整体车型排名!$B$3,'Data Export'!D2830&lt;&gt;""),UPPER('Data Export'!C2830)&amp;"♦"&amp;'Data Export'!D2830,"")</f>
        <v/>
      </c>
      <c r="I2830" s="63" t="str">
        <f>IF(H2830="","",IFERROR(INDEX('Data Export'!G2830:CZ2830,1,MATCH(前十整体车型排名!$B$4,'Data Export'!$G$1:$CZ$1,0)),0))</f>
        <v/>
      </c>
      <c r="J2830" s="62" t="str">
        <f>IF(H2830="","",IF(OR('Data Export'!F2830="三厢轿车",'Data Export'!F2830="掀背轿车",'Data Export'!F2830="旅行车",'Data Export'!F2830="微型车",'Data Export'!F2830="硬顶跑车",'Data Export'!F2830="敞蓬车",'Data Export'!F2830="Targa"),"轿车",IF(OR('Data Export'!F2830="小型MPV",'Data Export'!F2830="客车"),"MPV",IF('Data Export'!F2830="运动型多功能车","SUV","其他"))))</f>
        <v/>
      </c>
      <c r="K2830" s="62"/>
      <c r="L2830" s="62"/>
      <c r="M2830" s="62"/>
      <c r="N2830" s="62"/>
      <c r="O2830" s="62"/>
      <c r="P2830" s="62"/>
      <c r="Q2830" s="62"/>
    </row>
    <row r="2831" spans="1:17">
      <c r="A2831" s="62"/>
      <c r="B2831" s="62"/>
      <c r="C2831" s="62"/>
      <c r="D2831" s="62"/>
      <c r="E2831" s="62"/>
      <c r="F2831" s="62"/>
      <c r="G2831" s="62"/>
      <c r="H2831" s="62" t="str">
        <f>IF(AND('Data Export'!A2831=前十整体车型排名!$B$2,'Data Export'!B2831=前十整体车型排名!$B$3,'Data Export'!D2831&lt;&gt;""),UPPER('Data Export'!C2831)&amp;"♦"&amp;'Data Export'!D2831,"")</f>
        <v/>
      </c>
      <c r="I2831" s="63" t="str">
        <f>IF(H2831="","",IFERROR(INDEX('Data Export'!G2831:CZ2831,1,MATCH(前十整体车型排名!$B$4,'Data Export'!$G$1:$CZ$1,0)),0))</f>
        <v/>
      </c>
      <c r="J2831" s="62" t="str">
        <f>IF(H2831="","",IF(OR('Data Export'!F2831="三厢轿车",'Data Export'!F2831="掀背轿车",'Data Export'!F2831="旅行车",'Data Export'!F2831="微型车",'Data Export'!F2831="硬顶跑车",'Data Export'!F2831="敞蓬车",'Data Export'!F2831="Targa"),"轿车",IF(OR('Data Export'!F2831="小型MPV",'Data Export'!F2831="客车"),"MPV",IF('Data Export'!F2831="运动型多功能车","SUV","其他"))))</f>
        <v/>
      </c>
      <c r="K2831" s="62"/>
      <c r="L2831" s="62"/>
      <c r="M2831" s="62"/>
      <c r="N2831" s="62"/>
      <c r="O2831" s="62"/>
      <c r="P2831" s="62"/>
      <c r="Q2831" s="62"/>
    </row>
    <row r="2832" spans="1:17">
      <c r="A2832" s="62"/>
      <c r="B2832" s="62"/>
      <c r="C2832" s="62"/>
      <c r="D2832" s="62"/>
      <c r="E2832" s="62"/>
      <c r="F2832" s="62"/>
      <c r="G2832" s="62"/>
      <c r="H2832" s="62" t="str">
        <f>IF(AND('Data Export'!A2832=前十整体车型排名!$B$2,'Data Export'!B2832=前十整体车型排名!$B$3,'Data Export'!D2832&lt;&gt;""),UPPER('Data Export'!C2832)&amp;"♦"&amp;'Data Export'!D2832,"")</f>
        <v/>
      </c>
      <c r="I2832" s="63" t="str">
        <f>IF(H2832="","",IFERROR(INDEX('Data Export'!G2832:CZ2832,1,MATCH(前十整体车型排名!$B$4,'Data Export'!$G$1:$CZ$1,0)),0))</f>
        <v/>
      </c>
      <c r="J2832" s="62" t="str">
        <f>IF(H2832="","",IF(OR('Data Export'!F2832="三厢轿车",'Data Export'!F2832="掀背轿车",'Data Export'!F2832="旅行车",'Data Export'!F2832="微型车",'Data Export'!F2832="硬顶跑车",'Data Export'!F2832="敞蓬车",'Data Export'!F2832="Targa"),"轿车",IF(OR('Data Export'!F2832="小型MPV",'Data Export'!F2832="客车"),"MPV",IF('Data Export'!F2832="运动型多功能车","SUV","其他"))))</f>
        <v/>
      </c>
      <c r="K2832" s="62"/>
      <c r="L2832" s="62"/>
      <c r="M2832" s="62"/>
      <c r="N2832" s="62"/>
      <c r="O2832" s="62"/>
      <c r="P2832" s="62"/>
      <c r="Q2832" s="62"/>
    </row>
    <row r="2833" spans="1:17">
      <c r="A2833" s="62"/>
      <c r="B2833" s="62"/>
      <c r="C2833" s="62"/>
      <c r="D2833" s="62"/>
      <c r="E2833" s="62"/>
      <c r="F2833" s="62"/>
      <c r="G2833" s="62"/>
      <c r="H2833" s="62" t="str">
        <f>IF(AND('Data Export'!A2833=前十整体车型排名!$B$2,'Data Export'!B2833=前十整体车型排名!$B$3,'Data Export'!D2833&lt;&gt;""),UPPER('Data Export'!C2833)&amp;"♦"&amp;'Data Export'!D2833,"")</f>
        <v/>
      </c>
      <c r="I2833" s="63" t="str">
        <f>IF(H2833="","",IFERROR(INDEX('Data Export'!G2833:CZ2833,1,MATCH(前十整体车型排名!$B$4,'Data Export'!$G$1:$CZ$1,0)),0))</f>
        <v/>
      </c>
      <c r="J2833" s="62" t="str">
        <f>IF(H2833="","",IF(OR('Data Export'!F2833="三厢轿车",'Data Export'!F2833="掀背轿车",'Data Export'!F2833="旅行车",'Data Export'!F2833="微型车",'Data Export'!F2833="硬顶跑车",'Data Export'!F2833="敞蓬车",'Data Export'!F2833="Targa"),"轿车",IF(OR('Data Export'!F2833="小型MPV",'Data Export'!F2833="客车"),"MPV",IF('Data Export'!F2833="运动型多功能车","SUV","其他"))))</f>
        <v/>
      </c>
      <c r="K2833" s="62"/>
      <c r="L2833" s="62"/>
      <c r="M2833" s="62"/>
      <c r="N2833" s="62"/>
      <c r="O2833" s="62"/>
      <c r="P2833" s="62"/>
      <c r="Q2833" s="62"/>
    </row>
    <row r="2834" spans="1:17">
      <c r="A2834" s="62"/>
      <c r="B2834" s="62"/>
      <c r="C2834" s="62"/>
      <c r="D2834" s="62"/>
      <c r="E2834" s="62"/>
      <c r="F2834" s="62"/>
      <c r="G2834" s="62"/>
      <c r="H2834" s="62" t="str">
        <f>IF(AND('Data Export'!A2834=前十整体车型排名!$B$2,'Data Export'!B2834=前十整体车型排名!$B$3,'Data Export'!D2834&lt;&gt;""),UPPER('Data Export'!C2834)&amp;"♦"&amp;'Data Export'!D2834,"")</f>
        <v/>
      </c>
      <c r="I2834" s="63" t="str">
        <f>IF(H2834="","",IFERROR(INDEX('Data Export'!G2834:CZ2834,1,MATCH(前十整体车型排名!$B$4,'Data Export'!$G$1:$CZ$1,0)),0))</f>
        <v/>
      </c>
      <c r="J2834" s="62" t="str">
        <f>IF(H2834="","",IF(OR('Data Export'!F2834="三厢轿车",'Data Export'!F2834="掀背轿车",'Data Export'!F2834="旅行车",'Data Export'!F2834="微型车",'Data Export'!F2834="硬顶跑车",'Data Export'!F2834="敞蓬车",'Data Export'!F2834="Targa"),"轿车",IF(OR('Data Export'!F2834="小型MPV",'Data Export'!F2834="客车"),"MPV",IF('Data Export'!F2834="运动型多功能车","SUV","其他"))))</f>
        <v/>
      </c>
      <c r="K2834" s="62"/>
      <c r="L2834" s="62"/>
      <c r="M2834" s="62"/>
      <c r="N2834" s="62"/>
      <c r="O2834" s="62"/>
      <c r="P2834" s="62"/>
      <c r="Q2834" s="62"/>
    </row>
    <row r="2835" spans="1:17">
      <c r="A2835" s="62"/>
      <c r="B2835" s="62"/>
      <c r="C2835" s="62"/>
      <c r="D2835" s="62"/>
      <c r="E2835" s="62"/>
      <c r="F2835" s="62"/>
      <c r="G2835" s="62"/>
      <c r="H2835" s="62" t="str">
        <f>IF(AND('Data Export'!A2835=前十整体车型排名!$B$2,'Data Export'!B2835=前十整体车型排名!$B$3,'Data Export'!D2835&lt;&gt;""),UPPER('Data Export'!C2835)&amp;"♦"&amp;'Data Export'!D2835,"")</f>
        <v/>
      </c>
      <c r="I2835" s="63" t="str">
        <f>IF(H2835="","",IFERROR(INDEX('Data Export'!G2835:CZ2835,1,MATCH(前十整体车型排名!$B$4,'Data Export'!$G$1:$CZ$1,0)),0))</f>
        <v/>
      </c>
      <c r="J2835" s="62" t="str">
        <f>IF(H2835="","",IF(OR('Data Export'!F2835="三厢轿车",'Data Export'!F2835="掀背轿车",'Data Export'!F2835="旅行车",'Data Export'!F2835="微型车",'Data Export'!F2835="硬顶跑车",'Data Export'!F2835="敞蓬车",'Data Export'!F2835="Targa"),"轿车",IF(OR('Data Export'!F2835="小型MPV",'Data Export'!F2835="客车"),"MPV",IF('Data Export'!F2835="运动型多功能车","SUV","其他"))))</f>
        <v/>
      </c>
      <c r="K2835" s="62"/>
      <c r="L2835" s="62"/>
      <c r="M2835" s="62"/>
      <c r="N2835" s="62"/>
      <c r="O2835" s="62"/>
      <c r="P2835" s="62"/>
      <c r="Q2835" s="62"/>
    </row>
    <row r="2836" spans="1:17">
      <c r="A2836" s="62"/>
      <c r="B2836" s="62"/>
      <c r="C2836" s="62"/>
      <c r="D2836" s="62"/>
      <c r="E2836" s="62"/>
      <c r="F2836" s="62"/>
      <c r="G2836" s="62"/>
      <c r="H2836" s="62" t="str">
        <f>IF(AND('Data Export'!A2836=前十整体车型排名!$B$2,'Data Export'!B2836=前十整体车型排名!$B$3,'Data Export'!D2836&lt;&gt;""),UPPER('Data Export'!C2836)&amp;"♦"&amp;'Data Export'!D2836,"")</f>
        <v/>
      </c>
      <c r="I2836" s="63" t="str">
        <f>IF(H2836="","",IFERROR(INDEX('Data Export'!G2836:CZ2836,1,MATCH(前十整体车型排名!$B$4,'Data Export'!$G$1:$CZ$1,0)),0))</f>
        <v/>
      </c>
      <c r="J2836" s="62" t="str">
        <f>IF(H2836="","",IF(OR('Data Export'!F2836="三厢轿车",'Data Export'!F2836="掀背轿车",'Data Export'!F2836="旅行车",'Data Export'!F2836="微型车",'Data Export'!F2836="硬顶跑车",'Data Export'!F2836="敞蓬车",'Data Export'!F2836="Targa"),"轿车",IF(OR('Data Export'!F2836="小型MPV",'Data Export'!F2836="客车"),"MPV",IF('Data Export'!F2836="运动型多功能车","SUV","其他"))))</f>
        <v/>
      </c>
      <c r="K2836" s="62"/>
      <c r="L2836" s="62"/>
      <c r="M2836" s="62"/>
      <c r="N2836" s="62"/>
      <c r="O2836" s="62"/>
      <c r="P2836" s="62"/>
      <c r="Q2836" s="62"/>
    </row>
    <row r="2837" spans="1:17">
      <c r="A2837" s="62"/>
      <c r="B2837" s="62"/>
      <c r="C2837" s="62"/>
      <c r="D2837" s="62"/>
      <c r="E2837" s="62"/>
      <c r="F2837" s="62"/>
      <c r="G2837" s="62"/>
      <c r="H2837" s="62" t="str">
        <f>IF(AND('Data Export'!A2837=前十整体车型排名!$B$2,'Data Export'!B2837=前十整体车型排名!$B$3,'Data Export'!D2837&lt;&gt;""),UPPER('Data Export'!C2837)&amp;"♦"&amp;'Data Export'!D2837,"")</f>
        <v/>
      </c>
      <c r="I2837" s="63" t="str">
        <f>IF(H2837="","",IFERROR(INDEX('Data Export'!G2837:CZ2837,1,MATCH(前十整体车型排名!$B$4,'Data Export'!$G$1:$CZ$1,0)),0))</f>
        <v/>
      </c>
      <c r="J2837" s="62" t="str">
        <f>IF(H2837="","",IF(OR('Data Export'!F2837="三厢轿车",'Data Export'!F2837="掀背轿车",'Data Export'!F2837="旅行车",'Data Export'!F2837="微型车",'Data Export'!F2837="硬顶跑车",'Data Export'!F2837="敞蓬车",'Data Export'!F2837="Targa"),"轿车",IF(OR('Data Export'!F2837="小型MPV",'Data Export'!F2837="客车"),"MPV",IF('Data Export'!F2837="运动型多功能车","SUV","其他"))))</f>
        <v/>
      </c>
      <c r="K2837" s="62"/>
      <c r="L2837" s="62"/>
      <c r="M2837" s="62"/>
      <c r="N2837" s="62"/>
      <c r="O2837" s="62"/>
      <c r="P2837" s="62"/>
      <c r="Q2837" s="62"/>
    </row>
    <row r="2838" spans="1:17">
      <c r="A2838" s="62"/>
      <c r="B2838" s="62"/>
      <c r="C2838" s="62"/>
      <c r="D2838" s="62"/>
      <c r="E2838" s="62"/>
      <c r="F2838" s="62"/>
      <c r="G2838" s="62"/>
      <c r="H2838" s="62" t="str">
        <f>IF(AND('Data Export'!A2838=前十整体车型排名!$B$2,'Data Export'!B2838=前十整体车型排名!$B$3,'Data Export'!D2838&lt;&gt;""),UPPER('Data Export'!C2838)&amp;"♦"&amp;'Data Export'!D2838,"")</f>
        <v/>
      </c>
      <c r="I2838" s="63" t="str">
        <f>IF(H2838="","",IFERROR(INDEX('Data Export'!G2838:CZ2838,1,MATCH(前十整体车型排名!$B$4,'Data Export'!$G$1:$CZ$1,0)),0))</f>
        <v/>
      </c>
      <c r="J2838" s="62" t="str">
        <f>IF(H2838="","",IF(OR('Data Export'!F2838="三厢轿车",'Data Export'!F2838="掀背轿车",'Data Export'!F2838="旅行车",'Data Export'!F2838="微型车",'Data Export'!F2838="硬顶跑车",'Data Export'!F2838="敞蓬车",'Data Export'!F2838="Targa"),"轿车",IF(OR('Data Export'!F2838="小型MPV",'Data Export'!F2838="客车"),"MPV",IF('Data Export'!F2838="运动型多功能车","SUV","其他"))))</f>
        <v/>
      </c>
      <c r="K2838" s="62"/>
      <c r="L2838" s="62"/>
      <c r="M2838" s="62"/>
      <c r="N2838" s="62"/>
      <c r="O2838" s="62"/>
      <c r="P2838" s="62"/>
      <c r="Q2838" s="62"/>
    </row>
    <row r="2839" spans="1:17">
      <c r="A2839" s="62"/>
      <c r="B2839" s="62"/>
      <c r="C2839" s="62"/>
      <c r="D2839" s="62"/>
      <c r="E2839" s="62"/>
      <c r="F2839" s="62"/>
      <c r="G2839" s="62"/>
      <c r="H2839" s="62" t="str">
        <f>IF(AND('Data Export'!A2839=前十整体车型排名!$B$2,'Data Export'!B2839=前十整体车型排名!$B$3,'Data Export'!D2839&lt;&gt;""),UPPER('Data Export'!C2839)&amp;"♦"&amp;'Data Export'!D2839,"")</f>
        <v/>
      </c>
      <c r="I2839" s="63" t="str">
        <f>IF(H2839="","",IFERROR(INDEX('Data Export'!G2839:CZ2839,1,MATCH(前十整体车型排名!$B$4,'Data Export'!$G$1:$CZ$1,0)),0))</f>
        <v/>
      </c>
      <c r="J2839" s="62" t="str">
        <f>IF(H2839="","",IF(OR('Data Export'!F2839="三厢轿车",'Data Export'!F2839="掀背轿车",'Data Export'!F2839="旅行车",'Data Export'!F2839="微型车",'Data Export'!F2839="硬顶跑车",'Data Export'!F2839="敞蓬车",'Data Export'!F2839="Targa"),"轿车",IF(OR('Data Export'!F2839="小型MPV",'Data Export'!F2839="客车"),"MPV",IF('Data Export'!F2839="运动型多功能车","SUV","其他"))))</f>
        <v/>
      </c>
      <c r="K2839" s="62"/>
      <c r="L2839" s="62"/>
      <c r="M2839" s="62"/>
      <c r="N2839" s="62"/>
      <c r="O2839" s="62"/>
      <c r="P2839" s="62"/>
      <c r="Q2839" s="62"/>
    </row>
    <row r="2840" spans="1:17">
      <c r="A2840" s="62"/>
      <c r="B2840" s="62"/>
      <c r="C2840" s="62"/>
      <c r="D2840" s="62"/>
      <c r="E2840" s="62"/>
      <c r="F2840" s="62"/>
      <c r="G2840" s="62"/>
      <c r="H2840" s="62" t="str">
        <f>IF(AND('Data Export'!A2840=前十整体车型排名!$B$2,'Data Export'!B2840=前十整体车型排名!$B$3,'Data Export'!D2840&lt;&gt;""),UPPER('Data Export'!C2840)&amp;"♦"&amp;'Data Export'!D2840,"")</f>
        <v/>
      </c>
      <c r="I2840" s="63" t="str">
        <f>IF(H2840="","",IFERROR(INDEX('Data Export'!G2840:CZ2840,1,MATCH(前十整体车型排名!$B$4,'Data Export'!$G$1:$CZ$1,0)),0))</f>
        <v/>
      </c>
      <c r="J2840" s="62" t="str">
        <f>IF(H2840="","",IF(OR('Data Export'!F2840="三厢轿车",'Data Export'!F2840="掀背轿车",'Data Export'!F2840="旅行车",'Data Export'!F2840="微型车",'Data Export'!F2840="硬顶跑车",'Data Export'!F2840="敞蓬车",'Data Export'!F2840="Targa"),"轿车",IF(OR('Data Export'!F2840="小型MPV",'Data Export'!F2840="客车"),"MPV",IF('Data Export'!F2840="运动型多功能车","SUV","其他"))))</f>
        <v/>
      </c>
      <c r="K2840" s="62"/>
      <c r="L2840" s="62"/>
      <c r="M2840" s="62"/>
      <c r="N2840" s="62"/>
      <c r="O2840" s="62"/>
      <c r="P2840" s="62"/>
      <c r="Q2840" s="62"/>
    </row>
    <row r="2841" spans="1:17">
      <c r="A2841" s="62"/>
      <c r="B2841" s="62"/>
      <c r="C2841" s="62"/>
      <c r="D2841" s="62"/>
      <c r="E2841" s="62"/>
      <c r="F2841" s="62"/>
      <c r="G2841" s="62"/>
      <c r="H2841" s="62" t="str">
        <f>IF(AND('Data Export'!A2841=前十整体车型排名!$B$2,'Data Export'!B2841=前十整体车型排名!$B$3,'Data Export'!D2841&lt;&gt;""),UPPER('Data Export'!C2841)&amp;"♦"&amp;'Data Export'!D2841,"")</f>
        <v/>
      </c>
      <c r="I2841" s="63" t="str">
        <f>IF(H2841="","",IFERROR(INDEX('Data Export'!G2841:CZ2841,1,MATCH(前十整体车型排名!$B$4,'Data Export'!$G$1:$CZ$1,0)),0))</f>
        <v/>
      </c>
      <c r="J2841" s="62" t="str">
        <f>IF(H2841="","",IF(OR('Data Export'!F2841="三厢轿车",'Data Export'!F2841="掀背轿车",'Data Export'!F2841="旅行车",'Data Export'!F2841="微型车",'Data Export'!F2841="硬顶跑车",'Data Export'!F2841="敞蓬车",'Data Export'!F2841="Targa"),"轿车",IF(OR('Data Export'!F2841="小型MPV",'Data Export'!F2841="客车"),"MPV",IF('Data Export'!F2841="运动型多功能车","SUV","其他"))))</f>
        <v/>
      </c>
      <c r="K2841" s="62"/>
      <c r="L2841" s="62"/>
      <c r="M2841" s="62"/>
      <c r="N2841" s="62"/>
      <c r="O2841" s="62"/>
      <c r="P2841" s="62"/>
      <c r="Q2841" s="62"/>
    </row>
    <row r="2842" spans="1:17">
      <c r="A2842" s="62"/>
      <c r="B2842" s="62"/>
      <c r="C2842" s="62"/>
      <c r="D2842" s="62"/>
      <c r="E2842" s="62"/>
      <c r="F2842" s="62"/>
      <c r="G2842" s="62"/>
      <c r="H2842" s="62" t="str">
        <f>IF(AND('Data Export'!A2842=前十整体车型排名!$B$2,'Data Export'!B2842=前十整体车型排名!$B$3,'Data Export'!D2842&lt;&gt;""),UPPER('Data Export'!C2842)&amp;"♦"&amp;'Data Export'!D2842,"")</f>
        <v/>
      </c>
      <c r="I2842" s="63" t="str">
        <f>IF(H2842="","",IFERROR(INDEX('Data Export'!G2842:CZ2842,1,MATCH(前十整体车型排名!$B$4,'Data Export'!$G$1:$CZ$1,0)),0))</f>
        <v/>
      </c>
      <c r="J2842" s="62" t="str">
        <f>IF(H2842="","",IF(OR('Data Export'!F2842="三厢轿车",'Data Export'!F2842="掀背轿车",'Data Export'!F2842="旅行车",'Data Export'!F2842="微型车",'Data Export'!F2842="硬顶跑车",'Data Export'!F2842="敞蓬车",'Data Export'!F2842="Targa"),"轿车",IF(OR('Data Export'!F2842="小型MPV",'Data Export'!F2842="客车"),"MPV",IF('Data Export'!F2842="运动型多功能车","SUV","其他"))))</f>
        <v/>
      </c>
      <c r="K2842" s="62"/>
      <c r="L2842" s="62"/>
      <c r="M2842" s="62"/>
      <c r="N2842" s="62"/>
      <c r="O2842" s="62"/>
      <c r="P2842" s="62"/>
      <c r="Q2842" s="62"/>
    </row>
    <row r="2843" spans="1:17">
      <c r="A2843" s="62"/>
      <c r="B2843" s="62"/>
      <c r="C2843" s="62"/>
      <c r="D2843" s="62"/>
      <c r="E2843" s="62"/>
      <c r="F2843" s="62"/>
      <c r="G2843" s="62"/>
      <c r="H2843" s="62" t="str">
        <f>IF(AND('Data Export'!A2843=前十整体车型排名!$B$2,'Data Export'!B2843=前十整体车型排名!$B$3,'Data Export'!D2843&lt;&gt;""),UPPER('Data Export'!C2843)&amp;"♦"&amp;'Data Export'!D2843,"")</f>
        <v/>
      </c>
      <c r="I2843" s="63" t="str">
        <f>IF(H2843="","",IFERROR(INDEX('Data Export'!G2843:CZ2843,1,MATCH(前十整体车型排名!$B$4,'Data Export'!$G$1:$CZ$1,0)),0))</f>
        <v/>
      </c>
      <c r="J2843" s="62" t="str">
        <f>IF(H2843="","",IF(OR('Data Export'!F2843="三厢轿车",'Data Export'!F2843="掀背轿车",'Data Export'!F2843="旅行车",'Data Export'!F2843="微型车",'Data Export'!F2843="硬顶跑车",'Data Export'!F2843="敞蓬车",'Data Export'!F2843="Targa"),"轿车",IF(OR('Data Export'!F2843="小型MPV",'Data Export'!F2843="客车"),"MPV",IF('Data Export'!F2843="运动型多功能车","SUV","其他"))))</f>
        <v/>
      </c>
      <c r="K2843" s="62"/>
      <c r="L2843" s="62"/>
      <c r="M2843" s="62"/>
      <c r="N2843" s="62"/>
      <c r="O2843" s="62"/>
      <c r="P2843" s="62"/>
      <c r="Q2843" s="62"/>
    </row>
    <row r="2844" spans="1:17">
      <c r="A2844" s="62"/>
      <c r="B2844" s="62"/>
      <c r="C2844" s="62"/>
      <c r="D2844" s="62"/>
      <c r="E2844" s="62"/>
      <c r="F2844" s="62"/>
      <c r="G2844" s="62"/>
      <c r="H2844" s="62" t="str">
        <f>IF(AND('Data Export'!A2844=前十整体车型排名!$B$2,'Data Export'!B2844=前十整体车型排名!$B$3,'Data Export'!D2844&lt;&gt;""),UPPER('Data Export'!C2844)&amp;"♦"&amp;'Data Export'!D2844,"")</f>
        <v/>
      </c>
      <c r="I2844" s="63" t="str">
        <f>IF(H2844="","",IFERROR(INDEX('Data Export'!G2844:CZ2844,1,MATCH(前十整体车型排名!$B$4,'Data Export'!$G$1:$CZ$1,0)),0))</f>
        <v/>
      </c>
      <c r="J2844" s="62" t="str">
        <f>IF(H2844="","",IF(OR('Data Export'!F2844="三厢轿车",'Data Export'!F2844="掀背轿车",'Data Export'!F2844="旅行车",'Data Export'!F2844="微型车",'Data Export'!F2844="硬顶跑车",'Data Export'!F2844="敞蓬车",'Data Export'!F2844="Targa"),"轿车",IF(OR('Data Export'!F2844="小型MPV",'Data Export'!F2844="客车"),"MPV",IF('Data Export'!F2844="运动型多功能车","SUV","其他"))))</f>
        <v/>
      </c>
      <c r="K2844" s="62"/>
      <c r="L2844" s="62"/>
      <c r="M2844" s="62"/>
      <c r="N2844" s="62"/>
      <c r="O2844" s="62"/>
      <c r="P2844" s="62"/>
      <c r="Q2844" s="62"/>
    </row>
    <row r="2845" spans="1:17">
      <c r="A2845" s="62"/>
      <c r="B2845" s="62"/>
      <c r="C2845" s="62"/>
      <c r="D2845" s="62"/>
      <c r="E2845" s="62"/>
      <c r="F2845" s="62"/>
      <c r="G2845" s="62"/>
      <c r="H2845" s="62" t="str">
        <f>IF(AND('Data Export'!A2845=前十整体车型排名!$B$2,'Data Export'!B2845=前十整体车型排名!$B$3,'Data Export'!D2845&lt;&gt;""),UPPER('Data Export'!C2845)&amp;"♦"&amp;'Data Export'!D2845,"")</f>
        <v/>
      </c>
      <c r="I2845" s="63" t="str">
        <f>IF(H2845="","",IFERROR(INDEX('Data Export'!G2845:CZ2845,1,MATCH(前十整体车型排名!$B$4,'Data Export'!$G$1:$CZ$1,0)),0))</f>
        <v/>
      </c>
      <c r="J2845" s="62" t="str">
        <f>IF(H2845="","",IF(OR('Data Export'!F2845="三厢轿车",'Data Export'!F2845="掀背轿车",'Data Export'!F2845="旅行车",'Data Export'!F2845="微型车",'Data Export'!F2845="硬顶跑车",'Data Export'!F2845="敞蓬车",'Data Export'!F2845="Targa"),"轿车",IF(OR('Data Export'!F2845="小型MPV",'Data Export'!F2845="客车"),"MPV",IF('Data Export'!F2845="运动型多功能车","SUV","其他"))))</f>
        <v/>
      </c>
      <c r="K2845" s="62"/>
      <c r="L2845" s="62"/>
      <c r="M2845" s="62"/>
      <c r="N2845" s="62"/>
      <c r="O2845" s="62"/>
      <c r="P2845" s="62"/>
      <c r="Q2845" s="62"/>
    </row>
    <row r="2846" spans="1:17">
      <c r="A2846" s="62"/>
      <c r="B2846" s="62"/>
      <c r="C2846" s="62"/>
      <c r="D2846" s="62"/>
      <c r="E2846" s="62"/>
      <c r="F2846" s="62"/>
      <c r="G2846" s="62"/>
      <c r="H2846" s="62" t="str">
        <f>IF(AND('Data Export'!A2846=前十整体车型排名!$B$2,'Data Export'!B2846=前十整体车型排名!$B$3,'Data Export'!D2846&lt;&gt;""),UPPER('Data Export'!C2846)&amp;"♦"&amp;'Data Export'!D2846,"")</f>
        <v/>
      </c>
      <c r="I2846" s="63" t="str">
        <f>IF(H2846="","",IFERROR(INDEX('Data Export'!G2846:CZ2846,1,MATCH(前十整体车型排名!$B$4,'Data Export'!$G$1:$CZ$1,0)),0))</f>
        <v/>
      </c>
      <c r="J2846" s="62" t="str">
        <f>IF(H2846="","",IF(OR('Data Export'!F2846="三厢轿车",'Data Export'!F2846="掀背轿车",'Data Export'!F2846="旅行车",'Data Export'!F2846="微型车",'Data Export'!F2846="硬顶跑车",'Data Export'!F2846="敞蓬车",'Data Export'!F2846="Targa"),"轿车",IF(OR('Data Export'!F2846="小型MPV",'Data Export'!F2846="客车"),"MPV",IF('Data Export'!F2846="运动型多功能车","SUV","其他"))))</f>
        <v/>
      </c>
      <c r="K2846" s="62"/>
      <c r="L2846" s="62"/>
      <c r="M2846" s="62"/>
      <c r="N2846" s="62"/>
      <c r="O2846" s="62"/>
      <c r="P2846" s="62"/>
      <c r="Q2846" s="62"/>
    </row>
    <row r="2847" spans="1:17">
      <c r="A2847" s="62"/>
      <c r="B2847" s="62"/>
      <c r="C2847" s="62"/>
      <c r="D2847" s="62"/>
      <c r="E2847" s="62"/>
      <c r="F2847" s="62"/>
      <c r="G2847" s="62"/>
      <c r="H2847" s="62" t="str">
        <f>IF(AND('Data Export'!A2847=前十整体车型排名!$B$2,'Data Export'!B2847=前十整体车型排名!$B$3,'Data Export'!D2847&lt;&gt;""),UPPER('Data Export'!C2847)&amp;"♦"&amp;'Data Export'!D2847,"")</f>
        <v/>
      </c>
      <c r="I2847" s="63" t="str">
        <f>IF(H2847="","",IFERROR(INDEX('Data Export'!G2847:CZ2847,1,MATCH(前十整体车型排名!$B$4,'Data Export'!$G$1:$CZ$1,0)),0))</f>
        <v/>
      </c>
      <c r="J2847" s="62" t="str">
        <f>IF(H2847="","",IF(OR('Data Export'!F2847="三厢轿车",'Data Export'!F2847="掀背轿车",'Data Export'!F2847="旅行车",'Data Export'!F2847="微型车",'Data Export'!F2847="硬顶跑车",'Data Export'!F2847="敞蓬车",'Data Export'!F2847="Targa"),"轿车",IF(OR('Data Export'!F2847="小型MPV",'Data Export'!F2847="客车"),"MPV",IF('Data Export'!F2847="运动型多功能车","SUV","其他"))))</f>
        <v/>
      </c>
      <c r="K2847" s="62"/>
      <c r="L2847" s="62"/>
      <c r="M2847" s="62"/>
      <c r="N2847" s="62"/>
      <c r="O2847" s="62"/>
      <c r="P2847" s="62"/>
      <c r="Q2847" s="62"/>
    </row>
    <row r="2848" spans="1:17">
      <c r="A2848" s="62"/>
      <c r="B2848" s="62"/>
      <c r="C2848" s="62"/>
      <c r="D2848" s="62"/>
      <c r="E2848" s="62"/>
      <c r="F2848" s="62"/>
      <c r="G2848" s="62"/>
      <c r="H2848" s="62" t="str">
        <f>IF(AND('Data Export'!A2848=前十整体车型排名!$B$2,'Data Export'!B2848=前十整体车型排名!$B$3,'Data Export'!D2848&lt;&gt;""),UPPER('Data Export'!C2848)&amp;"♦"&amp;'Data Export'!D2848,"")</f>
        <v/>
      </c>
      <c r="I2848" s="63" t="str">
        <f>IF(H2848="","",IFERROR(INDEX('Data Export'!G2848:CZ2848,1,MATCH(前十整体车型排名!$B$4,'Data Export'!$G$1:$CZ$1,0)),0))</f>
        <v/>
      </c>
      <c r="J2848" s="62" t="str">
        <f>IF(H2848="","",IF(OR('Data Export'!F2848="三厢轿车",'Data Export'!F2848="掀背轿车",'Data Export'!F2848="旅行车",'Data Export'!F2848="微型车",'Data Export'!F2848="硬顶跑车",'Data Export'!F2848="敞蓬车",'Data Export'!F2848="Targa"),"轿车",IF(OR('Data Export'!F2848="小型MPV",'Data Export'!F2848="客车"),"MPV",IF('Data Export'!F2848="运动型多功能车","SUV","其他"))))</f>
        <v/>
      </c>
      <c r="K2848" s="62"/>
      <c r="L2848" s="62"/>
      <c r="M2848" s="62"/>
      <c r="N2848" s="62"/>
      <c r="O2848" s="62"/>
      <c r="P2848" s="62"/>
      <c r="Q2848" s="62"/>
    </row>
    <row r="2849" spans="1:17">
      <c r="A2849" s="62"/>
      <c r="B2849" s="62"/>
      <c r="C2849" s="62"/>
      <c r="D2849" s="62"/>
      <c r="E2849" s="62"/>
      <c r="F2849" s="62"/>
      <c r="G2849" s="62"/>
      <c r="H2849" s="62" t="str">
        <f>IF(AND('Data Export'!A2849=前十整体车型排名!$B$2,'Data Export'!B2849=前十整体车型排名!$B$3,'Data Export'!D2849&lt;&gt;""),UPPER('Data Export'!C2849)&amp;"♦"&amp;'Data Export'!D2849,"")</f>
        <v/>
      </c>
      <c r="I2849" s="63" t="str">
        <f>IF(H2849="","",IFERROR(INDEX('Data Export'!G2849:CZ2849,1,MATCH(前十整体车型排名!$B$4,'Data Export'!$G$1:$CZ$1,0)),0))</f>
        <v/>
      </c>
      <c r="J2849" s="62" t="str">
        <f>IF(H2849="","",IF(OR('Data Export'!F2849="三厢轿车",'Data Export'!F2849="掀背轿车",'Data Export'!F2849="旅行车",'Data Export'!F2849="微型车",'Data Export'!F2849="硬顶跑车",'Data Export'!F2849="敞蓬车",'Data Export'!F2849="Targa"),"轿车",IF(OR('Data Export'!F2849="小型MPV",'Data Export'!F2849="客车"),"MPV",IF('Data Export'!F2849="运动型多功能车","SUV","其他"))))</f>
        <v/>
      </c>
      <c r="K2849" s="62"/>
      <c r="L2849" s="62"/>
      <c r="M2849" s="62"/>
      <c r="N2849" s="62"/>
      <c r="O2849" s="62"/>
      <c r="P2849" s="62"/>
      <c r="Q2849" s="62"/>
    </row>
    <row r="2850" spans="1:17">
      <c r="A2850" s="62"/>
      <c r="B2850" s="62"/>
      <c r="C2850" s="62"/>
      <c r="D2850" s="62"/>
      <c r="E2850" s="62"/>
      <c r="F2850" s="62"/>
      <c r="G2850" s="62"/>
      <c r="H2850" s="62" t="str">
        <f>IF(AND('Data Export'!A2850=前十整体车型排名!$B$2,'Data Export'!B2850=前十整体车型排名!$B$3,'Data Export'!D2850&lt;&gt;""),UPPER('Data Export'!C2850)&amp;"♦"&amp;'Data Export'!D2850,"")</f>
        <v/>
      </c>
      <c r="I2850" s="63" t="str">
        <f>IF(H2850="","",IFERROR(INDEX('Data Export'!G2850:CZ2850,1,MATCH(前十整体车型排名!$B$4,'Data Export'!$G$1:$CZ$1,0)),0))</f>
        <v/>
      </c>
      <c r="J2850" s="62" t="str">
        <f>IF(H2850="","",IF(OR('Data Export'!F2850="三厢轿车",'Data Export'!F2850="掀背轿车",'Data Export'!F2850="旅行车",'Data Export'!F2850="微型车",'Data Export'!F2850="硬顶跑车",'Data Export'!F2850="敞蓬车",'Data Export'!F2850="Targa"),"轿车",IF(OR('Data Export'!F2850="小型MPV",'Data Export'!F2850="客车"),"MPV",IF('Data Export'!F2850="运动型多功能车","SUV","其他"))))</f>
        <v/>
      </c>
      <c r="K2850" s="62"/>
      <c r="L2850" s="62"/>
      <c r="M2850" s="62"/>
      <c r="N2850" s="62"/>
      <c r="O2850" s="62"/>
      <c r="P2850" s="62"/>
      <c r="Q2850" s="62"/>
    </row>
    <row r="2851" spans="1:17">
      <c r="A2851" s="62"/>
      <c r="B2851" s="62"/>
      <c r="C2851" s="62"/>
      <c r="D2851" s="62"/>
      <c r="E2851" s="62"/>
      <c r="F2851" s="62"/>
      <c r="G2851" s="62"/>
      <c r="H2851" s="62" t="str">
        <f>IF(AND('Data Export'!A2851=前十整体车型排名!$B$2,'Data Export'!B2851=前十整体车型排名!$B$3,'Data Export'!D2851&lt;&gt;""),UPPER('Data Export'!C2851)&amp;"♦"&amp;'Data Export'!D2851,"")</f>
        <v/>
      </c>
      <c r="I2851" s="63" t="str">
        <f>IF(H2851="","",IFERROR(INDEX('Data Export'!G2851:CZ2851,1,MATCH(前十整体车型排名!$B$4,'Data Export'!$G$1:$CZ$1,0)),0))</f>
        <v/>
      </c>
      <c r="J2851" s="62" t="str">
        <f>IF(H2851="","",IF(OR('Data Export'!F2851="三厢轿车",'Data Export'!F2851="掀背轿车",'Data Export'!F2851="旅行车",'Data Export'!F2851="微型车",'Data Export'!F2851="硬顶跑车",'Data Export'!F2851="敞蓬车",'Data Export'!F2851="Targa"),"轿车",IF(OR('Data Export'!F2851="小型MPV",'Data Export'!F2851="客车"),"MPV",IF('Data Export'!F2851="运动型多功能车","SUV","其他"))))</f>
        <v/>
      </c>
      <c r="K2851" s="62"/>
      <c r="L2851" s="62"/>
      <c r="M2851" s="62"/>
      <c r="N2851" s="62"/>
      <c r="O2851" s="62"/>
      <c r="P2851" s="62"/>
      <c r="Q2851" s="62"/>
    </row>
    <row r="2852" spans="1:17">
      <c r="A2852" s="62"/>
      <c r="B2852" s="62"/>
      <c r="C2852" s="62"/>
      <c r="D2852" s="62"/>
      <c r="E2852" s="62"/>
      <c r="F2852" s="62"/>
      <c r="G2852" s="62"/>
      <c r="H2852" s="62" t="str">
        <f>IF(AND('Data Export'!A2852=前十整体车型排名!$B$2,'Data Export'!B2852=前十整体车型排名!$B$3,'Data Export'!D2852&lt;&gt;""),UPPER('Data Export'!C2852)&amp;"♦"&amp;'Data Export'!D2852,"")</f>
        <v/>
      </c>
      <c r="I2852" s="63" t="str">
        <f>IF(H2852="","",IFERROR(INDEX('Data Export'!G2852:CZ2852,1,MATCH(前十整体车型排名!$B$4,'Data Export'!$G$1:$CZ$1,0)),0))</f>
        <v/>
      </c>
      <c r="J2852" s="62" t="str">
        <f>IF(H2852="","",IF(OR('Data Export'!F2852="三厢轿车",'Data Export'!F2852="掀背轿车",'Data Export'!F2852="旅行车",'Data Export'!F2852="微型车",'Data Export'!F2852="硬顶跑车",'Data Export'!F2852="敞蓬车",'Data Export'!F2852="Targa"),"轿车",IF(OR('Data Export'!F2852="小型MPV",'Data Export'!F2852="客车"),"MPV",IF('Data Export'!F2852="运动型多功能车","SUV","其他"))))</f>
        <v/>
      </c>
      <c r="K2852" s="62"/>
      <c r="L2852" s="62"/>
      <c r="M2852" s="62"/>
      <c r="N2852" s="62"/>
      <c r="O2852" s="62"/>
      <c r="P2852" s="62"/>
      <c r="Q2852" s="62"/>
    </row>
    <row r="2853" spans="1:17">
      <c r="A2853" s="62"/>
      <c r="B2853" s="62"/>
      <c r="C2853" s="62"/>
      <c r="D2853" s="62"/>
      <c r="E2853" s="62"/>
      <c r="F2853" s="62"/>
      <c r="G2853" s="62"/>
      <c r="H2853" s="62" t="str">
        <f>IF(AND('Data Export'!A2853=前十整体车型排名!$B$2,'Data Export'!B2853=前十整体车型排名!$B$3,'Data Export'!D2853&lt;&gt;""),UPPER('Data Export'!C2853)&amp;"♦"&amp;'Data Export'!D2853,"")</f>
        <v/>
      </c>
      <c r="I2853" s="63" t="str">
        <f>IF(H2853="","",IFERROR(INDEX('Data Export'!G2853:CZ2853,1,MATCH(前十整体车型排名!$B$4,'Data Export'!$G$1:$CZ$1,0)),0))</f>
        <v/>
      </c>
      <c r="J2853" s="62" t="str">
        <f>IF(H2853="","",IF(OR('Data Export'!F2853="三厢轿车",'Data Export'!F2853="掀背轿车",'Data Export'!F2853="旅行车",'Data Export'!F2853="微型车",'Data Export'!F2853="硬顶跑车",'Data Export'!F2853="敞蓬车",'Data Export'!F2853="Targa"),"轿车",IF(OR('Data Export'!F2853="小型MPV",'Data Export'!F2853="客车"),"MPV",IF('Data Export'!F2853="运动型多功能车","SUV","其他"))))</f>
        <v/>
      </c>
      <c r="K2853" s="62"/>
      <c r="L2853" s="62"/>
      <c r="M2853" s="62"/>
      <c r="N2853" s="62"/>
      <c r="O2853" s="62"/>
      <c r="P2853" s="62"/>
      <c r="Q2853" s="62"/>
    </row>
    <row r="2854" spans="1:17">
      <c r="A2854" s="62"/>
      <c r="B2854" s="62"/>
      <c r="C2854" s="62"/>
      <c r="D2854" s="62"/>
      <c r="E2854" s="62"/>
      <c r="F2854" s="62"/>
      <c r="G2854" s="62"/>
      <c r="H2854" s="62" t="str">
        <f>IF(AND('Data Export'!A2854=前十整体车型排名!$B$2,'Data Export'!B2854=前十整体车型排名!$B$3,'Data Export'!D2854&lt;&gt;""),UPPER('Data Export'!C2854)&amp;"♦"&amp;'Data Export'!D2854,"")</f>
        <v/>
      </c>
      <c r="I2854" s="63" t="str">
        <f>IF(H2854="","",IFERROR(INDEX('Data Export'!G2854:CZ2854,1,MATCH(前十整体车型排名!$B$4,'Data Export'!$G$1:$CZ$1,0)),0))</f>
        <v/>
      </c>
      <c r="J2854" s="62" t="str">
        <f>IF(H2854="","",IF(OR('Data Export'!F2854="三厢轿车",'Data Export'!F2854="掀背轿车",'Data Export'!F2854="旅行车",'Data Export'!F2854="微型车",'Data Export'!F2854="硬顶跑车",'Data Export'!F2854="敞蓬车",'Data Export'!F2854="Targa"),"轿车",IF(OR('Data Export'!F2854="小型MPV",'Data Export'!F2854="客车"),"MPV",IF('Data Export'!F2854="运动型多功能车","SUV","其他"))))</f>
        <v/>
      </c>
      <c r="K2854" s="62"/>
      <c r="L2854" s="62"/>
      <c r="M2854" s="62"/>
      <c r="N2854" s="62"/>
      <c r="O2854" s="62"/>
      <c r="P2854" s="62"/>
      <c r="Q2854" s="62"/>
    </row>
    <row r="2855" spans="1:17">
      <c r="A2855" s="62"/>
      <c r="B2855" s="62"/>
      <c r="C2855" s="62"/>
      <c r="D2855" s="62"/>
      <c r="E2855" s="62"/>
      <c r="F2855" s="62"/>
      <c r="G2855" s="62"/>
      <c r="H2855" s="62" t="str">
        <f>IF(AND('Data Export'!A2855=前十整体车型排名!$B$2,'Data Export'!B2855=前十整体车型排名!$B$3,'Data Export'!D2855&lt;&gt;""),UPPER('Data Export'!C2855)&amp;"♦"&amp;'Data Export'!D2855,"")</f>
        <v/>
      </c>
      <c r="I2855" s="63" t="str">
        <f>IF(H2855="","",IFERROR(INDEX('Data Export'!G2855:CZ2855,1,MATCH(前十整体车型排名!$B$4,'Data Export'!$G$1:$CZ$1,0)),0))</f>
        <v/>
      </c>
      <c r="J2855" s="62" t="str">
        <f>IF(H2855="","",IF(OR('Data Export'!F2855="三厢轿车",'Data Export'!F2855="掀背轿车",'Data Export'!F2855="旅行车",'Data Export'!F2855="微型车",'Data Export'!F2855="硬顶跑车",'Data Export'!F2855="敞蓬车",'Data Export'!F2855="Targa"),"轿车",IF(OR('Data Export'!F2855="小型MPV",'Data Export'!F2855="客车"),"MPV",IF('Data Export'!F2855="运动型多功能车","SUV","其他"))))</f>
        <v/>
      </c>
      <c r="K2855" s="62"/>
      <c r="L2855" s="62"/>
      <c r="M2855" s="62"/>
      <c r="N2855" s="62"/>
      <c r="O2855" s="62"/>
      <c r="P2855" s="62"/>
      <c r="Q2855" s="62"/>
    </row>
    <row r="2856" spans="1:17">
      <c r="A2856" s="62"/>
      <c r="B2856" s="62"/>
      <c r="C2856" s="62"/>
      <c r="D2856" s="62"/>
      <c r="E2856" s="62"/>
      <c r="F2856" s="62"/>
      <c r="G2856" s="62"/>
      <c r="H2856" s="62" t="str">
        <f>IF(AND('Data Export'!A2856=前十整体车型排名!$B$2,'Data Export'!B2856=前十整体车型排名!$B$3,'Data Export'!D2856&lt;&gt;""),UPPER('Data Export'!C2856)&amp;"♦"&amp;'Data Export'!D2856,"")</f>
        <v/>
      </c>
      <c r="I2856" s="63" t="str">
        <f>IF(H2856="","",IFERROR(INDEX('Data Export'!G2856:CZ2856,1,MATCH(前十整体车型排名!$B$4,'Data Export'!$G$1:$CZ$1,0)),0))</f>
        <v/>
      </c>
      <c r="J2856" s="62" t="str">
        <f>IF(H2856="","",IF(OR('Data Export'!F2856="三厢轿车",'Data Export'!F2856="掀背轿车",'Data Export'!F2856="旅行车",'Data Export'!F2856="微型车",'Data Export'!F2856="硬顶跑车",'Data Export'!F2856="敞蓬车",'Data Export'!F2856="Targa"),"轿车",IF(OR('Data Export'!F2856="小型MPV",'Data Export'!F2856="客车"),"MPV",IF('Data Export'!F2856="运动型多功能车","SUV","其他"))))</f>
        <v/>
      </c>
      <c r="K2856" s="62"/>
      <c r="L2856" s="62"/>
      <c r="M2856" s="62"/>
      <c r="N2856" s="62"/>
      <c r="O2856" s="62"/>
      <c r="P2856" s="62"/>
      <c r="Q2856" s="62"/>
    </row>
    <row r="2857" spans="1:17">
      <c r="A2857" s="62"/>
      <c r="B2857" s="62"/>
      <c r="C2857" s="62"/>
      <c r="D2857" s="62"/>
      <c r="E2857" s="62"/>
      <c r="F2857" s="62"/>
      <c r="G2857" s="62"/>
      <c r="H2857" s="62" t="str">
        <f>IF(AND('Data Export'!A2857=前十整体车型排名!$B$2,'Data Export'!B2857=前十整体车型排名!$B$3,'Data Export'!D2857&lt;&gt;""),UPPER('Data Export'!C2857)&amp;"♦"&amp;'Data Export'!D2857,"")</f>
        <v/>
      </c>
      <c r="I2857" s="63" t="str">
        <f>IF(H2857="","",IFERROR(INDEX('Data Export'!G2857:CZ2857,1,MATCH(前十整体车型排名!$B$4,'Data Export'!$G$1:$CZ$1,0)),0))</f>
        <v/>
      </c>
      <c r="J2857" s="62" t="str">
        <f>IF(H2857="","",IF(OR('Data Export'!F2857="三厢轿车",'Data Export'!F2857="掀背轿车",'Data Export'!F2857="旅行车",'Data Export'!F2857="微型车",'Data Export'!F2857="硬顶跑车",'Data Export'!F2857="敞蓬车",'Data Export'!F2857="Targa"),"轿车",IF(OR('Data Export'!F2857="小型MPV",'Data Export'!F2857="客车"),"MPV",IF('Data Export'!F2857="运动型多功能车","SUV","其他"))))</f>
        <v/>
      </c>
      <c r="K2857" s="62"/>
      <c r="L2857" s="62"/>
      <c r="M2857" s="62"/>
      <c r="N2857" s="62"/>
      <c r="O2857" s="62"/>
      <c r="P2857" s="62"/>
      <c r="Q2857" s="62"/>
    </row>
    <row r="2858" spans="1:17">
      <c r="A2858" s="62"/>
      <c r="B2858" s="62"/>
      <c r="C2858" s="62"/>
      <c r="D2858" s="62"/>
      <c r="E2858" s="62"/>
      <c r="F2858" s="62"/>
      <c r="G2858" s="62"/>
      <c r="H2858" s="62" t="str">
        <f>IF(AND('Data Export'!A2858=前十整体车型排名!$B$2,'Data Export'!B2858=前十整体车型排名!$B$3,'Data Export'!D2858&lt;&gt;""),UPPER('Data Export'!C2858)&amp;"♦"&amp;'Data Export'!D2858,"")</f>
        <v/>
      </c>
      <c r="I2858" s="63" t="str">
        <f>IF(H2858="","",IFERROR(INDEX('Data Export'!G2858:CZ2858,1,MATCH(前十整体车型排名!$B$4,'Data Export'!$G$1:$CZ$1,0)),0))</f>
        <v/>
      </c>
      <c r="J2858" s="62" t="str">
        <f>IF(H2858="","",IF(OR('Data Export'!F2858="三厢轿车",'Data Export'!F2858="掀背轿车",'Data Export'!F2858="旅行车",'Data Export'!F2858="微型车",'Data Export'!F2858="硬顶跑车",'Data Export'!F2858="敞蓬车",'Data Export'!F2858="Targa"),"轿车",IF(OR('Data Export'!F2858="小型MPV",'Data Export'!F2858="客车"),"MPV",IF('Data Export'!F2858="运动型多功能车","SUV","其他"))))</f>
        <v/>
      </c>
      <c r="K2858" s="62"/>
      <c r="L2858" s="62"/>
      <c r="M2858" s="62"/>
      <c r="N2858" s="62"/>
      <c r="O2858" s="62"/>
      <c r="P2858" s="62"/>
      <c r="Q2858" s="62"/>
    </row>
    <row r="2859" spans="1:17">
      <c r="A2859" s="62"/>
      <c r="B2859" s="62"/>
      <c r="C2859" s="62"/>
      <c r="D2859" s="62"/>
      <c r="E2859" s="62"/>
      <c r="F2859" s="62"/>
      <c r="G2859" s="62"/>
      <c r="H2859" s="62" t="str">
        <f>IF(AND('Data Export'!A2859=前十整体车型排名!$B$2,'Data Export'!B2859=前十整体车型排名!$B$3,'Data Export'!D2859&lt;&gt;""),UPPER('Data Export'!C2859)&amp;"♦"&amp;'Data Export'!D2859,"")</f>
        <v/>
      </c>
      <c r="I2859" s="63" t="str">
        <f>IF(H2859="","",IFERROR(INDEX('Data Export'!G2859:CZ2859,1,MATCH(前十整体车型排名!$B$4,'Data Export'!$G$1:$CZ$1,0)),0))</f>
        <v/>
      </c>
      <c r="J2859" s="62" t="str">
        <f>IF(H2859="","",IF(OR('Data Export'!F2859="三厢轿车",'Data Export'!F2859="掀背轿车",'Data Export'!F2859="旅行车",'Data Export'!F2859="微型车",'Data Export'!F2859="硬顶跑车",'Data Export'!F2859="敞蓬车",'Data Export'!F2859="Targa"),"轿车",IF(OR('Data Export'!F2859="小型MPV",'Data Export'!F2859="客车"),"MPV",IF('Data Export'!F2859="运动型多功能车","SUV","其他"))))</f>
        <v/>
      </c>
      <c r="K2859" s="62"/>
      <c r="L2859" s="62"/>
      <c r="M2859" s="62"/>
      <c r="N2859" s="62"/>
      <c r="O2859" s="62"/>
      <c r="P2859" s="62"/>
      <c r="Q2859" s="62"/>
    </row>
    <row r="2860" spans="1:17">
      <c r="A2860" s="62"/>
      <c r="B2860" s="62"/>
      <c r="C2860" s="62"/>
      <c r="D2860" s="62"/>
      <c r="E2860" s="62"/>
      <c r="F2860" s="62"/>
      <c r="G2860" s="62"/>
      <c r="H2860" s="62" t="str">
        <f>IF(AND('Data Export'!A2860=前十整体车型排名!$B$2,'Data Export'!B2860=前十整体车型排名!$B$3,'Data Export'!D2860&lt;&gt;""),UPPER('Data Export'!C2860)&amp;"♦"&amp;'Data Export'!D2860,"")</f>
        <v/>
      </c>
      <c r="I2860" s="63" t="str">
        <f>IF(H2860="","",IFERROR(INDEX('Data Export'!G2860:CZ2860,1,MATCH(前十整体车型排名!$B$4,'Data Export'!$G$1:$CZ$1,0)),0))</f>
        <v/>
      </c>
      <c r="J2860" s="62" t="str">
        <f>IF(H2860="","",IF(OR('Data Export'!F2860="三厢轿车",'Data Export'!F2860="掀背轿车",'Data Export'!F2860="旅行车",'Data Export'!F2860="微型车",'Data Export'!F2860="硬顶跑车",'Data Export'!F2860="敞蓬车",'Data Export'!F2860="Targa"),"轿车",IF(OR('Data Export'!F2860="小型MPV",'Data Export'!F2860="客车"),"MPV",IF('Data Export'!F2860="运动型多功能车","SUV","其他"))))</f>
        <v/>
      </c>
      <c r="K2860" s="62"/>
      <c r="L2860" s="62"/>
      <c r="M2860" s="62"/>
      <c r="N2860" s="62"/>
      <c r="O2860" s="62"/>
      <c r="P2860" s="62"/>
      <c r="Q2860" s="62"/>
    </row>
    <row r="2861" spans="1:17">
      <c r="A2861" s="62"/>
      <c r="B2861" s="62"/>
      <c r="C2861" s="62"/>
      <c r="D2861" s="62"/>
      <c r="E2861" s="62"/>
      <c r="F2861" s="62"/>
      <c r="G2861" s="62"/>
      <c r="H2861" s="62" t="str">
        <f>IF(AND('Data Export'!A2861=前十整体车型排名!$B$2,'Data Export'!B2861=前十整体车型排名!$B$3,'Data Export'!D2861&lt;&gt;""),UPPER('Data Export'!C2861)&amp;"♦"&amp;'Data Export'!D2861,"")</f>
        <v/>
      </c>
      <c r="I2861" s="63" t="str">
        <f>IF(H2861="","",IFERROR(INDEX('Data Export'!G2861:CZ2861,1,MATCH(前十整体车型排名!$B$4,'Data Export'!$G$1:$CZ$1,0)),0))</f>
        <v/>
      </c>
      <c r="J2861" s="62" t="str">
        <f>IF(H2861="","",IF(OR('Data Export'!F2861="三厢轿车",'Data Export'!F2861="掀背轿车",'Data Export'!F2861="旅行车",'Data Export'!F2861="微型车",'Data Export'!F2861="硬顶跑车",'Data Export'!F2861="敞蓬车",'Data Export'!F2861="Targa"),"轿车",IF(OR('Data Export'!F2861="小型MPV",'Data Export'!F2861="客车"),"MPV",IF('Data Export'!F2861="运动型多功能车","SUV","其他"))))</f>
        <v/>
      </c>
      <c r="K2861" s="62"/>
      <c r="L2861" s="62"/>
      <c r="M2861" s="62"/>
      <c r="N2861" s="62"/>
      <c r="O2861" s="62"/>
      <c r="P2861" s="62"/>
      <c r="Q2861" s="62"/>
    </row>
    <row r="2862" spans="1:17">
      <c r="A2862" s="62"/>
      <c r="B2862" s="62"/>
      <c r="C2862" s="62"/>
      <c r="D2862" s="62"/>
      <c r="E2862" s="62"/>
      <c r="F2862" s="62"/>
      <c r="G2862" s="62"/>
      <c r="H2862" s="62" t="str">
        <f>IF(AND('Data Export'!A2862=前十整体车型排名!$B$2,'Data Export'!B2862=前十整体车型排名!$B$3,'Data Export'!D2862&lt;&gt;""),UPPER('Data Export'!C2862)&amp;"♦"&amp;'Data Export'!D2862,"")</f>
        <v/>
      </c>
      <c r="I2862" s="63" t="str">
        <f>IF(H2862="","",IFERROR(INDEX('Data Export'!G2862:CZ2862,1,MATCH(前十整体车型排名!$B$4,'Data Export'!$G$1:$CZ$1,0)),0))</f>
        <v/>
      </c>
      <c r="J2862" s="62" t="str">
        <f>IF(H2862="","",IF(OR('Data Export'!F2862="三厢轿车",'Data Export'!F2862="掀背轿车",'Data Export'!F2862="旅行车",'Data Export'!F2862="微型车",'Data Export'!F2862="硬顶跑车",'Data Export'!F2862="敞蓬车",'Data Export'!F2862="Targa"),"轿车",IF(OR('Data Export'!F2862="小型MPV",'Data Export'!F2862="客车"),"MPV",IF('Data Export'!F2862="运动型多功能车","SUV","其他"))))</f>
        <v/>
      </c>
      <c r="K2862" s="62"/>
      <c r="L2862" s="62"/>
      <c r="M2862" s="62"/>
      <c r="N2862" s="62"/>
      <c r="O2862" s="62"/>
      <c r="P2862" s="62"/>
      <c r="Q2862" s="62"/>
    </row>
    <row r="2863" spans="1:17">
      <c r="A2863" s="62"/>
      <c r="B2863" s="62"/>
      <c r="C2863" s="62"/>
      <c r="D2863" s="62"/>
      <c r="E2863" s="62"/>
      <c r="F2863" s="62"/>
      <c r="G2863" s="62"/>
      <c r="H2863" s="62" t="str">
        <f>IF(AND('Data Export'!A2863=前十整体车型排名!$B$2,'Data Export'!B2863=前十整体车型排名!$B$3,'Data Export'!D2863&lt;&gt;""),UPPER('Data Export'!C2863)&amp;"♦"&amp;'Data Export'!D2863,"")</f>
        <v/>
      </c>
      <c r="I2863" s="63" t="str">
        <f>IF(H2863="","",IFERROR(INDEX('Data Export'!G2863:CZ2863,1,MATCH(前十整体车型排名!$B$4,'Data Export'!$G$1:$CZ$1,0)),0))</f>
        <v/>
      </c>
      <c r="J2863" s="62" t="str">
        <f>IF(H2863="","",IF(OR('Data Export'!F2863="三厢轿车",'Data Export'!F2863="掀背轿车",'Data Export'!F2863="旅行车",'Data Export'!F2863="微型车",'Data Export'!F2863="硬顶跑车",'Data Export'!F2863="敞蓬车",'Data Export'!F2863="Targa"),"轿车",IF(OR('Data Export'!F2863="小型MPV",'Data Export'!F2863="客车"),"MPV",IF('Data Export'!F2863="运动型多功能车","SUV","其他"))))</f>
        <v/>
      </c>
      <c r="K2863" s="62"/>
      <c r="L2863" s="62"/>
      <c r="M2863" s="62"/>
      <c r="N2863" s="62"/>
      <c r="O2863" s="62"/>
      <c r="P2863" s="62"/>
      <c r="Q2863" s="62"/>
    </row>
    <row r="2864" spans="1:17">
      <c r="A2864" s="62"/>
      <c r="B2864" s="62"/>
      <c r="C2864" s="62"/>
      <c r="D2864" s="62"/>
      <c r="E2864" s="62"/>
      <c r="F2864" s="62"/>
      <c r="G2864" s="62"/>
      <c r="H2864" s="62" t="str">
        <f>IF(AND('Data Export'!A2864=前十整体车型排名!$B$2,'Data Export'!B2864=前十整体车型排名!$B$3,'Data Export'!D2864&lt;&gt;""),UPPER('Data Export'!C2864)&amp;"♦"&amp;'Data Export'!D2864,"")</f>
        <v/>
      </c>
      <c r="I2864" s="63" t="str">
        <f>IF(H2864="","",IFERROR(INDEX('Data Export'!G2864:CZ2864,1,MATCH(前十整体车型排名!$B$4,'Data Export'!$G$1:$CZ$1,0)),0))</f>
        <v/>
      </c>
      <c r="J2864" s="62" t="str">
        <f>IF(H2864="","",IF(OR('Data Export'!F2864="三厢轿车",'Data Export'!F2864="掀背轿车",'Data Export'!F2864="旅行车",'Data Export'!F2864="微型车",'Data Export'!F2864="硬顶跑车",'Data Export'!F2864="敞蓬车",'Data Export'!F2864="Targa"),"轿车",IF(OR('Data Export'!F2864="小型MPV",'Data Export'!F2864="客车"),"MPV",IF('Data Export'!F2864="运动型多功能车","SUV","其他"))))</f>
        <v/>
      </c>
      <c r="K2864" s="62"/>
      <c r="L2864" s="62"/>
      <c r="M2864" s="62"/>
      <c r="N2864" s="62"/>
      <c r="O2864" s="62"/>
      <c r="P2864" s="62"/>
      <c r="Q2864" s="62"/>
    </row>
    <row r="2865" spans="1:17">
      <c r="A2865" s="62"/>
      <c r="B2865" s="62"/>
      <c r="C2865" s="62"/>
      <c r="D2865" s="62"/>
      <c r="E2865" s="62"/>
      <c r="F2865" s="62"/>
      <c r="G2865" s="62"/>
      <c r="H2865" s="62" t="str">
        <f>IF(AND('Data Export'!A2865=前十整体车型排名!$B$2,'Data Export'!B2865=前十整体车型排名!$B$3,'Data Export'!D2865&lt;&gt;""),UPPER('Data Export'!C2865)&amp;"♦"&amp;'Data Export'!D2865,"")</f>
        <v/>
      </c>
      <c r="I2865" s="63" t="str">
        <f>IF(H2865="","",IFERROR(INDEX('Data Export'!G2865:CZ2865,1,MATCH(前十整体车型排名!$B$4,'Data Export'!$G$1:$CZ$1,0)),0))</f>
        <v/>
      </c>
      <c r="J2865" s="62" t="str">
        <f>IF(H2865="","",IF(OR('Data Export'!F2865="三厢轿车",'Data Export'!F2865="掀背轿车",'Data Export'!F2865="旅行车",'Data Export'!F2865="微型车",'Data Export'!F2865="硬顶跑车",'Data Export'!F2865="敞蓬车",'Data Export'!F2865="Targa"),"轿车",IF(OR('Data Export'!F2865="小型MPV",'Data Export'!F2865="客车"),"MPV",IF('Data Export'!F2865="运动型多功能车","SUV","其他"))))</f>
        <v/>
      </c>
      <c r="K2865" s="62"/>
      <c r="L2865" s="62"/>
      <c r="M2865" s="62"/>
      <c r="N2865" s="62"/>
      <c r="O2865" s="62"/>
      <c r="P2865" s="62"/>
      <c r="Q2865" s="62"/>
    </row>
    <row r="2866" spans="1:17">
      <c r="A2866" s="62"/>
      <c r="B2866" s="62"/>
      <c r="C2866" s="62"/>
      <c r="D2866" s="62"/>
      <c r="E2866" s="62"/>
      <c r="F2866" s="62"/>
      <c r="G2866" s="62"/>
      <c r="H2866" s="62" t="str">
        <f>IF(AND('Data Export'!A2866=前十整体车型排名!$B$2,'Data Export'!B2866=前十整体车型排名!$B$3,'Data Export'!D2866&lt;&gt;""),UPPER('Data Export'!C2866)&amp;"♦"&amp;'Data Export'!D2866,"")</f>
        <v/>
      </c>
      <c r="I2866" s="63" t="str">
        <f>IF(H2866="","",IFERROR(INDEX('Data Export'!G2866:CZ2866,1,MATCH(前十整体车型排名!$B$4,'Data Export'!$G$1:$CZ$1,0)),0))</f>
        <v/>
      </c>
      <c r="J2866" s="62" t="str">
        <f>IF(H2866="","",IF(OR('Data Export'!F2866="三厢轿车",'Data Export'!F2866="掀背轿车",'Data Export'!F2866="旅行车",'Data Export'!F2866="微型车",'Data Export'!F2866="硬顶跑车",'Data Export'!F2866="敞蓬车",'Data Export'!F2866="Targa"),"轿车",IF(OR('Data Export'!F2866="小型MPV",'Data Export'!F2866="客车"),"MPV",IF('Data Export'!F2866="运动型多功能车","SUV","其他"))))</f>
        <v/>
      </c>
      <c r="K2866" s="62"/>
      <c r="L2866" s="62"/>
      <c r="M2866" s="62"/>
      <c r="N2866" s="62"/>
      <c r="O2866" s="62"/>
      <c r="P2866" s="62"/>
      <c r="Q2866" s="62"/>
    </row>
    <row r="2867" spans="1:17">
      <c r="A2867" s="62"/>
      <c r="B2867" s="62"/>
      <c r="C2867" s="62"/>
      <c r="D2867" s="62"/>
      <c r="E2867" s="62"/>
      <c r="F2867" s="62"/>
      <c r="G2867" s="62"/>
      <c r="H2867" s="62" t="str">
        <f>IF(AND('Data Export'!A2867=前十整体车型排名!$B$2,'Data Export'!B2867=前十整体车型排名!$B$3,'Data Export'!D2867&lt;&gt;""),UPPER('Data Export'!C2867)&amp;"♦"&amp;'Data Export'!D2867,"")</f>
        <v/>
      </c>
      <c r="I2867" s="63" t="str">
        <f>IF(H2867="","",IFERROR(INDEX('Data Export'!G2867:CZ2867,1,MATCH(前十整体车型排名!$B$4,'Data Export'!$G$1:$CZ$1,0)),0))</f>
        <v/>
      </c>
      <c r="J2867" s="62" t="str">
        <f>IF(H2867="","",IF(OR('Data Export'!F2867="三厢轿车",'Data Export'!F2867="掀背轿车",'Data Export'!F2867="旅行车",'Data Export'!F2867="微型车",'Data Export'!F2867="硬顶跑车",'Data Export'!F2867="敞蓬车",'Data Export'!F2867="Targa"),"轿车",IF(OR('Data Export'!F2867="小型MPV",'Data Export'!F2867="客车"),"MPV",IF('Data Export'!F2867="运动型多功能车","SUV","其他"))))</f>
        <v/>
      </c>
      <c r="K2867" s="62"/>
      <c r="L2867" s="62"/>
      <c r="M2867" s="62"/>
      <c r="N2867" s="62"/>
      <c r="O2867" s="62"/>
      <c r="P2867" s="62"/>
      <c r="Q2867" s="62"/>
    </row>
    <row r="2868" spans="1:17">
      <c r="A2868" s="62"/>
      <c r="B2868" s="62"/>
      <c r="C2868" s="62"/>
      <c r="D2868" s="62"/>
      <c r="E2868" s="62"/>
      <c r="F2868" s="62"/>
      <c r="G2868" s="62"/>
      <c r="H2868" s="62" t="str">
        <f>IF(AND('Data Export'!A2868=前十整体车型排名!$B$2,'Data Export'!B2868=前十整体车型排名!$B$3,'Data Export'!D2868&lt;&gt;""),UPPER('Data Export'!C2868)&amp;"♦"&amp;'Data Export'!D2868,"")</f>
        <v/>
      </c>
      <c r="I2868" s="63" t="str">
        <f>IF(H2868="","",IFERROR(INDEX('Data Export'!G2868:CZ2868,1,MATCH(前十整体车型排名!$B$4,'Data Export'!$G$1:$CZ$1,0)),0))</f>
        <v/>
      </c>
      <c r="J2868" s="62" t="str">
        <f>IF(H2868="","",IF(OR('Data Export'!F2868="三厢轿车",'Data Export'!F2868="掀背轿车",'Data Export'!F2868="旅行车",'Data Export'!F2868="微型车",'Data Export'!F2868="硬顶跑车",'Data Export'!F2868="敞蓬车",'Data Export'!F2868="Targa"),"轿车",IF(OR('Data Export'!F2868="小型MPV",'Data Export'!F2868="客车"),"MPV",IF('Data Export'!F2868="运动型多功能车","SUV","其他"))))</f>
        <v/>
      </c>
      <c r="K2868" s="62"/>
      <c r="L2868" s="62"/>
      <c r="M2868" s="62"/>
      <c r="N2868" s="62"/>
      <c r="O2868" s="62"/>
      <c r="P2868" s="62"/>
      <c r="Q2868" s="62"/>
    </row>
    <row r="2869" spans="1:17">
      <c r="A2869" s="62"/>
      <c r="B2869" s="62"/>
      <c r="C2869" s="62"/>
      <c r="D2869" s="62"/>
      <c r="E2869" s="62"/>
      <c r="F2869" s="62"/>
      <c r="G2869" s="62"/>
      <c r="H2869" s="62" t="str">
        <f>IF(AND('Data Export'!A2869=前十整体车型排名!$B$2,'Data Export'!B2869=前十整体车型排名!$B$3,'Data Export'!D2869&lt;&gt;""),UPPER('Data Export'!C2869)&amp;"♦"&amp;'Data Export'!D2869,"")</f>
        <v/>
      </c>
      <c r="I2869" s="63" t="str">
        <f>IF(H2869="","",IFERROR(INDEX('Data Export'!G2869:CZ2869,1,MATCH(前十整体车型排名!$B$4,'Data Export'!$G$1:$CZ$1,0)),0))</f>
        <v/>
      </c>
      <c r="J2869" s="62" t="str">
        <f>IF(H2869="","",IF(OR('Data Export'!F2869="三厢轿车",'Data Export'!F2869="掀背轿车",'Data Export'!F2869="旅行车",'Data Export'!F2869="微型车",'Data Export'!F2869="硬顶跑车",'Data Export'!F2869="敞蓬车",'Data Export'!F2869="Targa"),"轿车",IF(OR('Data Export'!F2869="小型MPV",'Data Export'!F2869="客车"),"MPV",IF('Data Export'!F2869="运动型多功能车","SUV","其他"))))</f>
        <v/>
      </c>
      <c r="K2869" s="62"/>
      <c r="L2869" s="62"/>
      <c r="M2869" s="62"/>
      <c r="N2869" s="62"/>
      <c r="O2869" s="62"/>
      <c r="P2869" s="62"/>
      <c r="Q2869" s="62"/>
    </row>
    <row r="2870" spans="1:17">
      <c r="A2870" s="62"/>
      <c r="B2870" s="62"/>
      <c r="C2870" s="62"/>
      <c r="D2870" s="62"/>
      <c r="E2870" s="62"/>
      <c r="F2870" s="62"/>
      <c r="G2870" s="62"/>
      <c r="H2870" s="62" t="str">
        <f>IF(AND('Data Export'!A2870=前十整体车型排名!$B$2,'Data Export'!B2870=前十整体车型排名!$B$3,'Data Export'!D2870&lt;&gt;""),UPPER('Data Export'!C2870)&amp;"♦"&amp;'Data Export'!D2870,"")</f>
        <v/>
      </c>
      <c r="I2870" s="63" t="str">
        <f>IF(H2870="","",IFERROR(INDEX('Data Export'!G2870:CZ2870,1,MATCH(前十整体车型排名!$B$4,'Data Export'!$G$1:$CZ$1,0)),0))</f>
        <v/>
      </c>
      <c r="J2870" s="62" t="str">
        <f>IF(H2870="","",IF(OR('Data Export'!F2870="三厢轿车",'Data Export'!F2870="掀背轿车",'Data Export'!F2870="旅行车",'Data Export'!F2870="微型车",'Data Export'!F2870="硬顶跑车",'Data Export'!F2870="敞蓬车",'Data Export'!F2870="Targa"),"轿车",IF(OR('Data Export'!F2870="小型MPV",'Data Export'!F2870="客车"),"MPV",IF('Data Export'!F2870="运动型多功能车","SUV","其他"))))</f>
        <v/>
      </c>
      <c r="K2870" s="62"/>
      <c r="L2870" s="62"/>
      <c r="M2870" s="62"/>
      <c r="N2870" s="62"/>
      <c r="O2870" s="62"/>
      <c r="P2870" s="62"/>
      <c r="Q2870" s="62"/>
    </row>
    <row r="2871" spans="1:17">
      <c r="A2871" s="62"/>
      <c r="B2871" s="62"/>
      <c r="C2871" s="62"/>
      <c r="D2871" s="62"/>
      <c r="E2871" s="62"/>
      <c r="F2871" s="62"/>
      <c r="G2871" s="62"/>
      <c r="H2871" s="62" t="str">
        <f>IF(AND('Data Export'!A2871=前十整体车型排名!$B$2,'Data Export'!B2871=前十整体车型排名!$B$3,'Data Export'!D2871&lt;&gt;""),UPPER('Data Export'!C2871)&amp;"♦"&amp;'Data Export'!D2871,"")</f>
        <v/>
      </c>
      <c r="I2871" s="63" t="str">
        <f>IF(H2871="","",IFERROR(INDEX('Data Export'!G2871:CZ2871,1,MATCH(前十整体车型排名!$B$4,'Data Export'!$G$1:$CZ$1,0)),0))</f>
        <v/>
      </c>
      <c r="J2871" s="62" t="str">
        <f>IF(H2871="","",IF(OR('Data Export'!F2871="三厢轿车",'Data Export'!F2871="掀背轿车",'Data Export'!F2871="旅行车",'Data Export'!F2871="微型车",'Data Export'!F2871="硬顶跑车",'Data Export'!F2871="敞蓬车",'Data Export'!F2871="Targa"),"轿车",IF(OR('Data Export'!F2871="小型MPV",'Data Export'!F2871="客车"),"MPV",IF('Data Export'!F2871="运动型多功能车","SUV","其他"))))</f>
        <v/>
      </c>
      <c r="K2871" s="62"/>
      <c r="L2871" s="62"/>
      <c r="M2871" s="62"/>
      <c r="N2871" s="62"/>
      <c r="O2871" s="62"/>
      <c r="P2871" s="62"/>
      <c r="Q2871" s="62"/>
    </row>
    <row r="2872" spans="1:17">
      <c r="A2872" s="62"/>
      <c r="B2872" s="62"/>
      <c r="C2872" s="62"/>
      <c r="D2872" s="62"/>
      <c r="E2872" s="62"/>
      <c r="F2872" s="62"/>
      <c r="G2872" s="62"/>
      <c r="H2872" s="62" t="str">
        <f>IF(AND('Data Export'!A2872=前十整体车型排名!$B$2,'Data Export'!B2872=前十整体车型排名!$B$3,'Data Export'!D2872&lt;&gt;""),UPPER('Data Export'!C2872)&amp;"♦"&amp;'Data Export'!D2872,"")</f>
        <v/>
      </c>
      <c r="I2872" s="63" t="str">
        <f>IF(H2872="","",IFERROR(INDEX('Data Export'!G2872:CZ2872,1,MATCH(前十整体车型排名!$B$4,'Data Export'!$G$1:$CZ$1,0)),0))</f>
        <v/>
      </c>
      <c r="J2872" s="62" t="str">
        <f>IF(H2872="","",IF(OR('Data Export'!F2872="三厢轿车",'Data Export'!F2872="掀背轿车",'Data Export'!F2872="旅行车",'Data Export'!F2872="微型车",'Data Export'!F2872="硬顶跑车",'Data Export'!F2872="敞蓬车",'Data Export'!F2872="Targa"),"轿车",IF(OR('Data Export'!F2872="小型MPV",'Data Export'!F2872="客车"),"MPV",IF('Data Export'!F2872="运动型多功能车","SUV","其他"))))</f>
        <v/>
      </c>
      <c r="K2872" s="62"/>
      <c r="L2872" s="62"/>
      <c r="M2872" s="62"/>
      <c r="N2872" s="62"/>
      <c r="O2872" s="62"/>
      <c r="P2872" s="62"/>
      <c r="Q2872" s="62"/>
    </row>
    <row r="2873" spans="1:17">
      <c r="A2873" s="62"/>
      <c r="B2873" s="62"/>
      <c r="C2873" s="62"/>
      <c r="D2873" s="62"/>
      <c r="E2873" s="62"/>
      <c r="F2873" s="62"/>
      <c r="G2873" s="62"/>
      <c r="H2873" s="62" t="str">
        <f>IF(AND('Data Export'!A2873=前十整体车型排名!$B$2,'Data Export'!B2873=前十整体车型排名!$B$3,'Data Export'!D2873&lt;&gt;""),UPPER('Data Export'!C2873)&amp;"♦"&amp;'Data Export'!D2873,"")</f>
        <v/>
      </c>
      <c r="I2873" s="63" t="str">
        <f>IF(H2873="","",IFERROR(INDEX('Data Export'!G2873:CZ2873,1,MATCH(前十整体车型排名!$B$4,'Data Export'!$G$1:$CZ$1,0)),0))</f>
        <v/>
      </c>
      <c r="J2873" s="62" t="str">
        <f>IF(H2873="","",IF(OR('Data Export'!F2873="三厢轿车",'Data Export'!F2873="掀背轿车",'Data Export'!F2873="旅行车",'Data Export'!F2873="微型车",'Data Export'!F2873="硬顶跑车",'Data Export'!F2873="敞蓬车",'Data Export'!F2873="Targa"),"轿车",IF(OR('Data Export'!F2873="小型MPV",'Data Export'!F2873="客车"),"MPV",IF('Data Export'!F2873="运动型多功能车","SUV","其他"))))</f>
        <v/>
      </c>
      <c r="K2873" s="62"/>
      <c r="L2873" s="62"/>
      <c r="M2873" s="62"/>
      <c r="N2873" s="62"/>
      <c r="O2873" s="62"/>
      <c r="P2873" s="62"/>
      <c r="Q2873" s="62"/>
    </row>
    <row r="2874" spans="1:17">
      <c r="A2874" s="62"/>
      <c r="B2874" s="62"/>
      <c r="C2874" s="62"/>
      <c r="D2874" s="62"/>
      <c r="E2874" s="62"/>
      <c r="F2874" s="62"/>
      <c r="G2874" s="62"/>
      <c r="H2874" s="62" t="str">
        <f>IF(AND('Data Export'!A2874=前十整体车型排名!$B$2,'Data Export'!B2874=前十整体车型排名!$B$3,'Data Export'!D2874&lt;&gt;""),UPPER('Data Export'!C2874)&amp;"♦"&amp;'Data Export'!D2874,"")</f>
        <v/>
      </c>
      <c r="I2874" s="63" t="str">
        <f>IF(H2874="","",IFERROR(INDEX('Data Export'!G2874:CZ2874,1,MATCH(前十整体车型排名!$B$4,'Data Export'!$G$1:$CZ$1,0)),0))</f>
        <v/>
      </c>
      <c r="J2874" s="62" t="str">
        <f>IF(H2874="","",IF(OR('Data Export'!F2874="三厢轿车",'Data Export'!F2874="掀背轿车",'Data Export'!F2874="旅行车",'Data Export'!F2874="微型车",'Data Export'!F2874="硬顶跑车",'Data Export'!F2874="敞蓬车",'Data Export'!F2874="Targa"),"轿车",IF(OR('Data Export'!F2874="小型MPV",'Data Export'!F2874="客车"),"MPV",IF('Data Export'!F2874="运动型多功能车","SUV","其他"))))</f>
        <v/>
      </c>
      <c r="K2874" s="62"/>
      <c r="L2874" s="62"/>
      <c r="M2874" s="62"/>
      <c r="N2874" s="62"/>
      <c r="O2874" s="62"/>
      <c r="P2874" s="62"/>
      <c r="Q2874" s="62"/>
    </row>
    <row r="2875" spans="1:17">
      <c r="A2875" s="62"/>
      <c r="B2875" s="62"/>
      <c r="C2875" s="62"/>
      <c r="D2875" s="62"/>
      <c r="E2875" s="62"/>
      <c r="F2875" s="62"/>
      <c r="G2875" s="62"/>
      <c r="H2875" s="62" t="str">
        <f>IF(AND('Data Export'!A2875=前十整体车型排名!$B$2,'Data Export'!B2875=前十整体车型排名!$B$3,'Data Export'!D2875&lt;&gt;""),UPPER('Data Export'!C2875)&amp;"♦"&amp;'Data Export'!D2875,"")</f>
        <v/>
      </c>
      <c r="I2875" s="63" t="str">
        <f>IF(H2875="","",IFERROR(INDEX('Data Export'!G2875:CZ2875,1,MATCH(前十整体车型排名!$B$4,'Data Export'!$G$1:$CZ$1,0)),0))</f>
        <v/>
      </c>
      <c r="J2875" s="62" t="str">
        <f>IF(H2875="","",IF(OR('Data Export'!F2875="三厢轿车",'Data Export'!F2875="掀背轿车",'Data Export'!F2875="旅行车",'Data Export'!F2875="微型车",'Data Export'!F2875="硬顶跑车",'Data Export'!F2875="敞蓬车",'Data Export'!F2875="Targa"),"轿车",IF(OR('Data Export'!F2875="小型MPV",'Data Export'!F2875="客车"),"MPV",IF('Data Export'!F2875="运动型多功能车","SUV","其他"))))</f>
        <v/>
      </c>
      <c r="K2875" s="62"/>
      <c r="L2875" s="62"/>
      <c r="M2875" s="62"/>
      <c r="N2875" s="62"/>
      <c r="O2875" s="62"/>
      <c r="P2875" s="62"/>
      <c r="Q2875" s="62"/>
    </row>
    <row r="2876" spans="1:17">
      <c r="A2876" s="62"/>
      <c r="B2876" s="62"/>
      <c r="C2876" s="62"/>
      <c r="D2876" s="62"/>
      <c r="E2876" s="62"/>
      <c r="F2876" s="62"/>
      <c r="G2876" s="62"/>
      <c r="H2876" s="62" t="str">
        <f>IF(AND('Data Export'!A2876=前十整体车型排名!$B$2,'Data Export'!B2876=前十整体车型排名!$B$3,'Data Export'!D2876&lt;&gt;""),UPPER('Data Export'!C2876)&amp;"♦"&amp;'Data Export'!D2876,"")</f>
        <v/>
      </c>
      <c r="I2876" s="63" t="str">
        <f>IF(H2876="","",IFERROR(INDEX('Data Export'!G2876:CZ2876,1,MATCH(前十整体车型排名!$B$4,'Data Export'!$G$1:$CZ$1,0)),0))</f>
        <v/>
      </c>
      <c r="J2876" s="62" t="str">
        <f>IF(H2876="","",IF(OR('Data Export'!F2876="三厢轿车",'Data Export'!F2876="掀背轿车",'Data Export'!F2876="旅行车",'Data Export'!F2876="微型车",'Data Export'!F2876="硬顶跑车",'Data Export'!F2876="敞蓬车",'Data Export'!F2876="Targa"),"轿车",IF(OR('Data Export'!F2876="小型MPV",'Data Export'!F2876="客车"),"MPV",IF('Data Export'!F2876="运动型多功能车","SUV","其他"))))</f>
        <v/>
      </c>
      <c r="K2876" s="62"/>
      <c r="L2876" s="62"/>
      <c r="M2876" s="62"/>
      <c r="N2876" s="62"/>
      <c r="O2876" s="62"/>
      <c r="P2876" s="62"/>
      <c r="Q2876" s="62"/>
    </row>
    <row r="2877" spans="1:17">
      <c r="A2877" s="62"/>
      <c r="B2877" s="62"/>
      <c r="C2877" s="62"/>
      <c r="D2877" s="62"/>
      <c r="E2877" s="62"/>
      <c r="F2877" s="62"/>
      <c r="G2877" s="62"/>
      <c r="H2877" s="62" t="str">
        <f>IF(AND('Data Export'!A2877=前十整体车型排名!$B$2,'Data Export'!B2877=前十整体车型排名!$B$3,'Data Export'!D2877&lt;&gt;""),UPPER('Data Export'!C2877)&amp;"♦"&amp;'Data Export'!D2877,"")</f>
        <v/>
      </c>
      <c r="I2877" s="63" t="str">
        <f>IF(H2877="","",IFERROR(INDEX('Data Export'!G2877:CZ2877,1,MATCH(前十整体车型排名!$B$4,'Data Export'!$G$1:$CZ$1,0)),0))</f>
        <v/>
      </c>
      <c r="J2877" s="62" t="str">
        <f>IF(H2877="","",IF(OR('Data Export'!F2877="三厢轿车",'Data Export'!F2877="掀背轿车",'Data Export'!F2877="旅行车",'Data Export'!F2877="微型车",'Data Export'!F2877="硬顶跑车",'Data Export'!F2877="敞蓬车",'Data Export'!F2877="Targa"),"轿车",IF(OR('Data Export'!F2877="小型MPV",'Data Export'!F2877="客车"),"MPV",IF('Data Export'!F2877="运动型多功能车","SUV","其他"))))</f>
        <v/>
      </c>
      <c r="K2877" s="62"/>
      <c r="L2877" s="62"/>
      <c r="M2877" s="62"/>
      <c r="N2877" s="62"/>
      <c r="O2877" s="62"/>
      <c r="P2877" s="62"/>
      <c r="Q2877" s="62"/>
    </row>
    <row r="2878" spans="1:17">
      <c r="A2878" s="62"/>
      <c r="B2878" s="62"/>
      <c r="C2878" s="62"/>
      <c r="D2878" s="62"/>
      <c r="E2878" s="62"/>
      <c r="F2878" s="62"/>
      <c r="G2878" s="62"/>
      <c r="H2878" s="62" t="str">
        <f>IF(AND('Data Export'!A2878=前十整体车型排名!$B$2,'Data Export'!B2878=前十整体车型排名!$B$3,'Data Export'!D2878&lt;&gt;""),UPPER('Data Export'!C2878)&amp;"♦"&amp;'Data Export'!D2878,"")</f>
        <v/>
      </c>
      <c r="I2878" s="63" t="str">
        <f>IF(H2878="","",IFERROR(INDEX('Data Export'!G2878:CZ2878,1,MATCH(前十整体车型排名!$B$4,'Data Export'!$G$1:$CZ$1,0)),0))</f>
        <v/>
      </c>
      <c r="J2878" s="62" t="str">
        <f>IF(H2878="","",IF(OR('Data Export'!F2878="三厢轿车",'Data Export'!F2878="掀背轿车",'Data Export'!F2878="旅行车",'Data Export'!F2878="微型车",'Data Export'!F2878="硬顶跑车",'Data Export'!F2878="敞蓬车",'Data Export'!F2878="Targa"),"轿车",IF(OR('Data Export'!F2878="小型MPV",'Data Export'!F2878="客车"),"MPV",IF('Data Export'!F2878="运动型多功能车","SUV","其他"))))</f>
        <v/>
      </c>
      <c r="K2878" s="62"/>
      <c r="L2878" s="62"/>
      <c r="M2878" s="62"/>
      <c r="N2878" s="62"/>
      <c r="O2878" s="62"/>
      <c r="P2878" s="62"/>
      <c r="Q2878" s="62"/>
    </row>
    <row r="2879" spans="1:17">
      <c r="A2879" s="62"/>
      <c r="B2879" s="62"/>
      <c r="C2879" s="62"/>
      <c r="D2879" s="62"/>
      <c r="E2879" s="62"/>
      <c r="F2879" s="62"/>
      <c r="G2879" s="62"/>
      <c r="H2879" s="62" t="str">
        <f>IF(AND('Data Export'!A2879=前十整体车型排名!$B$2,'Data Export'!B2879=前十整体车型排名!$B$3,'Data Export'!D2879&lt;&gt;""),UPPER('Data Export'!C2879)&amp;"♦"&amp;'Data Export'!D2879,"")</f>
        <v/>
      </c>
      <c r="I2879" s="63" t="str">
        <f>IF(H2879="","",IFERROR(INDEX('Data Export'!G2879:CZ2879,1,MATCH(前十整体车型排名!$B$4,'Data Export'!$G$1:$CZ$1,0)),0))</f>
        <v/>
      </c>
      <c r="J2879" s="62" t="str">
        <f>IF(H2879="","",IF(OR('Data Export'!F2879="三厢轿车",'Data Export'!F2879="掀背轿车",'Data Export'!F2879="旅行车",'Data Export'!F2879="微型车",'Data Export'!F2879="硬顶跑车",'Data Export'!F2879="敞蓬车",'Data Export'!F2879="Targa"),"轿车",IF(OR('Data Export'!F2879="小型MPV",'Data Export'!F2879="客车"),"MPV",IF('Data Export'!F2879="运动型多功能车","SUV","其他"))))</f>
        <v/>
      </c>
      <c r="K2879" s="62"/>
      <c r="L2879" s="62"/>
      <c r="M2879" s="62"/>
      <c r="N2879" s="62"/>
      <c r="O2879" s="62"/>
      <c r="P2879" s="62"/>
      <c r="Q2879" s="62"/>
    </row>
    <row r="2880" spans="1:17">
      <c r="A2880" s="62"/>
      <c r="B2880" s="62"/>
      <c r="C2880" s="62"/>
      <c r="D2880" s="62"/>
      <c r="E2880" s="62"/>
      <c r="F2880" s="62"/>
      <c r="G2880" s="62"/>
      <c r="H2880" s="62" t="str">
        <f>IF(AND('Data Export'!A2880=前十整体车型排名!$B$2,'Data Export'!B2880=前十整体车型排名!$B$3,'Data Export'!D2880&lt;&gt;""),UPPER('Data Export'!C2880)&amp;"♦"&amp;'Data Export'!D2880,"")</f>
        <v/>
      </c>
      <c r="I2880" s="63" t="str">
        <f>IF(H2880="","",IFERROR(INDEX('Data Export'!G2880:CZ2880,1,MATCH(前十整体车型排名!$B$4,'Data Export'!$G$1:$CZ$1,0)),0))</f>
        <v/>
      </c>
      <c r="J2880" s="62" t="str">
        <f>IF(H2880="","",IF(OR('Data Export'!F2880="三厢轿车",'Data Export'!F2880="掀背轿车",'Data Export'!F2880="旅行车",'Data Export'!F2880="微型车",'Data Export'!F2880="硬顶跑车",'Data Export'!F2880="敞蓬车",'Data Export'!F2880="Targa"),"轿车",IF(OR('Data Export'!F2880="小型MPV",'Data Export'!F2880="客车"),"MPV",IF('Data Export'!F2880="运动型多功能车","SUV","其他"))))</f>
        <v/>
      </c>
      <c r="K2880" s="62"/>
      <c r="L2880" s="62"/>
      <c r="M2880" s="62"/>
      <c r="N2880" s="62"/>
      <c r="O2880" s="62"/>
      <c r="P2880" s="62"/>
      <c r="Q2880" s="62"/>
    </row>
    <row r="2881" spans="1:17">
      <c r="A2881" s="62"/>
      <c r="B2881" s="62"/>
      <c r="C2881" s="62"/>
      <c r="D2881" s="62"/>
      <c r="E2881" s="62"/>
      <c r="F2881" s="62"/>
      <c r="G2881" s="62"/>
      <c r="H2881" s="62" t="str">
        <f>IF(AND('Data Export'!A2881=前十整体车型排名!$B$2,'Data Export'!B2881=前十整体车型排名!$B$3,'Data Export'!D2881&lt;&gt;""),UPPER('Data Export'!C2881)&amp;"♦"&amp;'Data Export'!D2881,"")</f>
        <v/>
      </c>
      <c r="I2881" s="63" t="str">
        <f>IF(H2881="","",IFERROR(INDEX('Data Export'!G2881:CZ2881,1,MATCH(前十整体车型排名!$B$4,'Data Export'!$G$1:$CZ$1,0)),0))</f>
        <v/>
      </c>
      <c r="J2881" s="62" t="str">
        <f>IF(H2881="","",IF(OR('Data Export'!F2881="三厢轿车",'Data Export'!F2881="掀背轿车",'Data Export'!F2881="旅行车",'Data Export'!F2881="微型车",'Data Export'!F2881="硬顶跑车",'Data Export'!F2881="敞蓬车",'Data Export'!F2881="Targa"),"轿车",IF(OR('Data Export'!F2881="小型MPV",'Data Export'!F2881="客车"),"MPV",IF('Data Export'!F2881="运动型多功能车","SUV","其他"))))</f>
        <v/>
      </c>
      <c r="K2881" s="62"/>
      <c r="L2881" s="62"/>
      <c r="M2881" s="62"/>
      <c r="N2881" s="62"/>
      <c r="O2881" s="62"/>
      <c r="P2881" s="62"/>
      <c r="Q2881" s="62"/>
    </row>
    <row r="2882" spans="1:17">
      <c r="A2882" s="62"/>
      <c r="B2882" s="62"/>
      <c r="C2882" s="62"/>
      <c r="D2882" s="62"/>
      <c r="E2882" s="62"/>
      <c r="F2882" s="62"/>
      <c r="G2882" s="62"/>
      <c r="H2882" s="62" t="str">
        <f>IF(AND('Data Export'!A2882=前十整体车型排名!$B$2,'Data Export'!B2882=前十整体车型排名!$B$3,'Data Export'!D2882&lt;&gt;""),UPPER('Data Export'!C2882)&amp;"♦"&amp;'Data Export'!D2882,"")</f>
        <v/>
      </c>
      <c r="I2882" s="63" t="str">
        <f>IF(H2882="","",IFERROR(INDEX('Data Export'!G2882:CZ2882,1,MATCH(前十整体车型排名!$B$4,'Data Export'!$G$1:$CZ$1,0)),0))</f>
        <v/>
      </c>
      <c r="J2882" s="62" t="str">
        <f>IF(H2882="","",IF(OR('Data Export'!F2882="三厢轿车",'Data Export'!F2882="掀背轿车",'Data Export'!F2882="旅行车",'Data Export'!F2882="微型车",'Data Export'!F2882="硬顶跑车",'Data Export'!F2882="敞蓬车",'Data Export'!F2882="Targa"),"轿车",IF(OR('Data Export'!F2882="小型MPV",'Data Export'!F2882="客车"),"MPV",IF('Data Export'!F2882="运动型多功能车","SUV","其他"))))</f>
        <v/>
      </c>
      <c r="K2882" s="62"/>
      <c r="L2882" s="62"/>
      <c r="M2882" s="62"/>
      <c r="N2882" s="62"/>
      <c r="O2882" s="62"/>
      <c r="P2882" s="62"/>
      <c r="Q2882" s="62"/>
    </row>
    <row r="2883" spans="1:17">
      <c r="A2883" s="62"/>
      <c r="B2883" s="62"/>
      <c r="C2883" s="62"/>
      <c r="D2883" s="62"/>
      <c r="E2883" s="62"/>
      <c r="F2883" s="62"/>
      <c r="G2883" s="62"/>
      <c r="H2883" s="62" t="str">
        <f>IF(AND('Data Export'!A2883=前十整体车型排名!$B$2,'Data Export'!B2883=前十整体车型排名!$B$3,'Data Export'!D2883&lt;&gt;""),UPPER('Data Export'!C2883)&amp;"♦"&amp;'Data Export'!D2883,"")</f>
        <v/>
      </c>
      <c r="I2883" s="63" t="str">
        <f>IF(H2883="","",IFERROR(INDEX('Data Export'!G2883:CZ2883,1,MATCH(前十整体车型排名!$B$4,'Data Export'!$G$1:$CZ$1,0)),0))</f>
        <v/>
      </c>
      <c r="J2883" s="62" t="str">
        <f>IF(H2883="","",IF(OR('Data Export'!F2883="三厢轿车",'Data Export'!F2883="掀背轿车",'Data Export'!F2883="旅行车",'Data Export'!F2883="微型车",'Data Export'!F2883="硬顶跑车",'Data Export'!F2883="敞蓬车",'Data Export'!F2883="Targa"),"轿车",IF(OR('Data Export'!F2883="小型MPV",'Data Export'!F2883="客车"),"MPV",IF('Data Export'!F2883="运动型多功能车","SUV","其他"))))</f>
        <v/>
      </c>
      <c r="K2883" s="62"/>
      <c r="L2883" s="62"/>
      <c r="M2883" s="62"/>
      <c r="N2883" s="62"/>
      <c r="O2883" s="62"/>
      <c r="P2883" s="62"/>
      <c r="Q2883" s="62"/>
    </row>
    <row r="2884" spans="1:17">
      <c r="A2884" s="62"/>
      <c r="B2884" s="62"/>
      <c r="C2884" s="62"/>
      <c r="D2884" s="62"/>
      <c r="E2884" s="62"/>
      <c r="F2884" s="62"/>
      <c r="G2884" s="62"/>
      <c r="H2884" s="62" t="str">
        <f>IF(AND('Data Export'!A2884=前十整体车型排名!$B$2,'Data Export'!B2884=前十整体车型排名!$B$3,'Data Export'!D2884&lt;&gt;""),UPPER('Data Export'!C2884)&amp;"♦"&amp;'Data Export'!D2884,"")</f>
        <v/>
      </c>
      <c r="I2884" s="63" t="str">
        <f>IF(H2884="","",IFERROR(INDEX('Data Export'!G2884:CZ2884,1,MATCH(前十整体车型排名!$B$4,'Data Export'!$G$1:$CZ$1,0)),0))</f>
        <v/>
      </c>
      <c r="J2884" s="62" t="str">
        <f>IF(H2884="","",IF(OR('Data Export'!F2884="三厢轿车",'Data Export'!F2884="掀背轿车",'Data Export'!F2884="旅行车",'Data Export'!F2884="微型车",'Data Export'!F2884="硬顶跑车",'Data Export'!F2884="敞蓬车",'Data Export'!F2884="Targa"),"轿车",IF(OR('Data Export'!F2884="小型MPV",'Data Export'!F2884="客车"),"MPV",IF('Data Export'!F2884="运动型多功能车","SUV","其他"))))</f>
        <v/>
      </c>
      <c r="K2884" s="62"/>
      <c r="L2884" s="62"/>
      <c r="M2884" s="62"/>
      <c r="N2884" s="62"/>
      <c r="O2884" s="62"/>
      <c r="P2884" s="62"/>
      <c r="Q2884" s="62"/>
    </row>
    <row r="2885" spans="1:17">
      <c r="A2885" s="62"/>
      <c r="B2885" s="62"/>
      <c r="C2885" s="62"/>
      <c r="D2885" s="62"/>
      <c r="E2885" s="62"/>
      <c r="F2885" s="62"/>
      <c r="G2885" s="62"/>
      <c r="H2885" s="62" t="str">
        <f>IF(AND('Data Export'!A2885=前十整体车型排名!$B$2,'Data Export'!B2885=前十整体车型排名!$B$3,'Data Export'!D2885&lt;&gt;""),UPPER('Data Export'!C2885)&amp;"♦"&amp;'Data Export'!D2885,"")</f>
        <v/>
      </c>
      <c r="I2885" s="63" t="str">
        <f>IF(H2885="","",IFERROR(INDEX('Data Export'!G2885:CZ2885,1,MATCH(前十整体车型排名!$B$4,'Data Export'!$G$1:$CZ$1,0)),0))</f>
        <v/>
      </c>
      <c r="J2885" s="62" t="str">
        <f>IF(H2885="","",IF(OR('Data Export'!F2885="三厢轿车",'Data Export'!F2885="掀背轿车",'Data Export'!F2885="旅行车",'Data Export'!F2885="微型车",'Data Export'!F2885="硬顶跑车",'Data Export'!F2885="敞蓬车",'Data Export'!F2885="Targa"),"轿车",IF(OR('Data Export'!F2885="小型MPV",'Data Export'!F2885="客车"),"MPV",IF('Data Export'!F2885="运动型多功能车","SUV","其他"))))</f>
        <v/>
      </c>
      <c r="K2885" s="62"/>
      <c r="L2885" s="62"/>
      <c r="M2885" s="62"/>
      <c r="N2885" s="62"/>
      <c r="O2885" s="62"/>
      <c r="P2885" s="62"/>
      <c r="Q2885" s="62"/>
    </row>
    <row r="2886" spans="1:17">
      <c r="A2886" s="62"/>
      <c r="B2886" s="62"/>
      <c r="C2886" s="62"/>
      <c r="D2886" s="62"/>
      <c r="E2886" s="62"/>
      <c r="F2886" s="62"/>
      <c r="G2886" s="62"/>
      <c r="H2886" s="62" t="str">
        <f>IF(AND('Data Export'!A2886=前十整体车型排名!$B$2,'Data Export'!B2886=前十整体车型排名!$B$3,'Data Export'!D2886&lt;&gt;""),UPPER('Data Export'!C2886)&amp;"♦"&amp;'Data Export'!D2886,"")</f>
        <v/>
      </c>
      <c r="I2886" s="63" t="str">
        <f>IF(H2886="","",IFERROR(INDEX('Data Export'!G2886:CZ2886,1,MATCH(前十整体车型排名!$B$4,'Data Export'!$G$1:$CZ$1,0)),0))</f>
        <v/>
      </c>
      <c r="J2886" s="62" t="str">
        <f>IF(H2886="","",IF(OR('Data Export'!F2886="三厢轿车",'Data Export'!F2886="掀背轿车",'Data Export'!F2886="旅行车",'Data Export'!F2886="微型车",'Data Export'!F2886="硬顶跑车",'Data Export'!F2886="敞蓬车",'Data Export'!F2886="Targa"),"轿车",IF(OR('Data Export'!F2886="小型MPV",'Data Export'!F2886="客车"),"MPV",IF('Data Export'!F2886="运动型多功能车","SUV","其他"))))</f>
        <v/>
      </c>
      <c r="K2886" s="62"/>
      <c r="L2886" s="62"/>
      <c r="M2886" s="62"/>
      <c r="N2886" s="62"/>
      <c r="O2886" s="62"/>
      <c r="P2886" s="62"/>
      <c r="Q2886" s="62"/>
    </row>
    <row r="2887" spans="1:17">
      <c r="A2887" s="62"/>
      <c r="B2887" s="62"/>
      <c r="C2887" s="62"/>
      <c r="D2887" s="62"/>
      <c r="E2887" s="62"/>
      <c r="F2887" s="62"/>
      <c r="G2887" s="62"/>
      <c r="H2887" s="62" t="str">
        <f>IF(AND('Data Export'!A2887=前十整体车型排名!$B$2,'Data Export'!B2887=前十整体车型排名!$B$3,'Data Export'!D2887&lt;&gt;""),UPPER('Data Export'!C2887)&amp;"♦"&amp;'Data Export'!D2887,"")</f>
        <v/>
      </c>
      <c r="I2887" s="63" t="str">
        <f>IF(H2887="","",IFERROR(INDEX('Data Export'!G2887:CZ2887,1,MATCH(前十整体车型排名!$B$4,'Data Export'!$G$1:$CZ$1,0)),0))</f>
        <v/>
      </c>
      <c r="J2887" s="62" t="str">
        <f>IF(H2887="","",IF(OR('Data Export'!F2887="三厢轿车",'Data Export'!F2887="掀背轿车",'Data Export'!F2887="旅行车",'Data Export'!F2887="微型车",'Data Export'!F2887="硬顶跑车",'Data Export'!F2887="敞蓬车",'Data Export'!F2887="Targa"),"轿车",IF(OR('Data Export'!F2887="小型MPV",'Data Export'!F2887="客车"),"MPV",IF('Data Export'!F2887="运动型多功能车","SUV","其他"))))</f>
        <v/>
      </c>
      <c r="K2887" s="62"/>
      <c r="L2887" s="62"/>
      <c r="M2887" s="62"/>
      <c r="N2887" s="62"/>
      <c r="O2887" s="62"/>
      <c r="P2887" s="62"/>
      <c r="Q2887" s="62"/>
    </row>
    <row r="2888" spans="1:17">
      <c r="A2888" s="62"/>
      <c r="B2888" s="62"/>
      <c r="C2888" s="62"/>
      <c r="D2888" s="62"/>
      <c r="E2888" s="62"/>
      <c r="F2888" s="62"/>
      <c r="G2888" s="62"/>
      <c r="H2888" s="62" t="str">
        <f>IF(AND('Data Export'!A2888=前十整体车型排名!$B$2,'Data Export'!B2888=前十整体车型排名!$B$3,'Data Export'!D2888&lt;&gt;""),UPPER('Data Export'!C2888)&amp;"♦"&amp;'Data Export'!D2888,"")</f>
        <v/>
      </c>
      <c r="I2888" s="63" t="str">
        <f>IF(H2888="","",IFERROR(INDEX('Data Export'!G2888:CZ2888,1,MATCH(前十整体车型排名!$B$4,'Data Export'!$G$1:$CZ$1,0)),0))</f>
        <v/>
      </c>
      <c r="J2888" s="62" t="str">
        <f>IF(H2888="","",IF(OR('Data Export'!F2888="三厢轿车",'Data Export'!F2888="掀背轿车",'Data Export'!F2888="旅行车",'Data Export'!F2888="微型车",'Data Export'!F2888="硬顶跑车",'Data Export'!F2888="敞蓬车",'Data Export'!F2888="Targa"),"轿车",IF(OR('Data Export'!F2888="小型MPV",'Data Export'!F2888="客车"),"MPV",IF('Data Export'!F2888="运动型多功能车","SUV","其他"))))</f>
        <v/>
      </c>
      <c r="K2888" s="62"/>
      <c r="L2888" s="62"/>
      <c r="M2888" s="62"/>
      <c r="N2888" s="62"/>
      <c r="O2888" s="62"/>
      <c r="P2888" s="62"/>
      <c r="Q2888" s="62"/>
    </row>
    <row r="2889" spans="1:17">
      <c r="A2889" s="62"/>
      <c r="B2889" s="62"/>
      <c r="C2889" s="62"/>
      <c r="D2889" s="62"/>
      <c r="E2889" s="62"/>
      <c r="F2889" s="62"/>
      <c r="G2889" s="62"/>
      <c r="H2889" s="62" t="str">
        <f>IF(AND('Data Export'!A2889=前十整体车型排名!$B$2,'Data Export'!B2889=前十整体车型排名!$B$3,'Data Export'!D2889&lt;&gt;""),UPPER('Data Export'!C2889)&amp;"♦"&amp;'Data Export'!D2889,"")</f>
        <v/>
      </c>
      <c r="I2889" s="63" t="str">
        <f>IF(H2889="","",IFERROR(INDEX('Data Export'!G2889:CZ2889,1,MATCH(前十整体车型排名!$B$4,'Data Export'!$G$1:$CZ$1,0)),0))</f>
        <v/>
      </c>
      <c r="J2889" s="62" t="str">
        <f>IF(H2889="","",IF(OR('Data Export'!F2889="三厢轿车",'Data Export'!F2889="掀背轿车",'Data Export'!F2889="旅行车",'Data Export'!F2889="微型车",'Data Export'!F2889="硬顶跑车",'Data Export'!F2889="敞蓬车",'Data Export'!F2889="Targa"),"轿车",IF(OR('Data Export'!F2889="小型MPV",'Data Export'!F2889="客车"),"MPV",IF('Data Export'!F2889="运动型多功能车","SUV","其他"))))</f>
        <v/>
      </c>
      <c r="K2889" s="62"/>
      <c r="L2889" s="62"/>
      <c r="M2889" s="62"/>
      <c r="N2889" s="62"/>
      <c r="O2889" s="62"/>
      <c r="P2889" s="62"/>
      <c r="Q2889" s="62"/>
    </row>
    <row r="2890" spans="1:17">
      <c r="A2890" s="62"/>
      <c r="B2890" s="62"/>
      <c r="C2890" s="62"/>
      <c r="D2890" s="62"/>
      <c r="E2890" s="62"/>
      <c r="F2890" s="62"/>
      <c r="G2890" s="62"/>
      <c r="H2890" s="62" t="str">
        <f>IF(AND('Data Export'!A2890=前十整体车型排名!$B$2,'Data Export'!B2890=前十整体车型排名!$B$3,'Data Export'!D2890&lt;&gt;""),UPPER('Data Export'!C2890)&amp;"♦"&amp;'Data Export'!D2890,"")</f>
        <v/>
      </c>
      <c r="I2890" s="63" t="str">
        <f>IF(H2890="","",IFERROR(INDEX('Data Export'!G2890:CZ2890,1,MATCH(前十整体车型排名!$B$4,'Data Export'!$G$1:$CZ$1,0)),0))</f>
        <v/>
      </c>
      <c r="J2890" s="62" t="str">
        <f>IF(H2890="","",IF(OR('Data Export'!F2890="三厢轿车",'Data Export'!F2890="掀背轿车",'Data Export'!F2890="旅行车",'Data Export'!F2890="微型车",'Data Export'!F2890="硬顶跑车",'Data Export'!F2890="敞蓬车",'Data Export'!F2890="Targa"),"轿车",IF(OR('Data Export'!F2890="小型MPV",'Data Export'!F2890="客车"),"MPV",IF('Data Export'!F2890="运动型多功能车","SUV","其他"))))</f>
        <v/>
      </c>
      <c r="K2890" s="62"/>
      <c r="L2890" s="62"/>
      <c r="M2890" s="62"/>
      <c r="N2890" s="62"/>
      <c r="O2890" s="62"/>
      <c r="P2890" s="62"/>
      <c r="Q2890" s="62"/>
    </row>
    <row r="2891" spans="1:17">
      <c r="A2891" s="62"/>
      <c r="B2891" s="62"/>
      <c r="C2891" s="62"/>
      <c r="D2891" s="62"/>
      <c r="E2891" s="62"/>
      <c r="F2891" s="62"/>
      <c r="G2891" s="62"/>
      <c r="H2891" s="62" t="str">
        <f>IF(AND('Data Export'!A2891=前十整体车型排名!$B$2,'Data Export'!B2891=前十整体车型排名!$B$3,'Data Export'!D2891&lt;&gt;""),UPPER('Data Export'!C2891)&amp;"♦"&amp;'Data Export'!D2891,"")</f>
        <v/>
      </c>
      <c r="I2891" s="63" t="str">
        <f>IF(H2891="","",IFERROR(INDEX('Data Export'!G2891:CZ2891,1,MATCH(前十整体车型排名!$B$4,'Data Export'!$G$1:$CZ$1,0)),0))</f>
        <v/>
      </c>
      <c r="J2891" s="62" t="str">
        <f>IF(H2891="","",IF(OR('Data Export'!F2891="三厢轿车",'Data Export'!F2891="掀背轿车",'Data Export'!F2891="旅行车",'Data Export'!F2891="微型车",'Data Export'!F2891="硬顶跑车",'Data Export'!F2891="敞蓬车",'Data Export'!F2891="Targa"),"轿车",IF(OR('Data Export'!F2891="小型MPV",'Data Export'!F2891="客车"),"MPV",IF('Data Export'!F2891="运动型多功能车","SUV","其他"))))</f>
        <v/>
      </c>
      <c r="K2891" s="62"/>
      <c r="L2891" s="62"/>
      <c r="M2891" s="62"/>
      <c r="N2891" s="62"/>
      <c r="O2891" s="62"/>
      <c r="P2891" s="62"/>
      <c r="Q2891" s="62"/>
    </row>
    <row r="2892" spans="1:17">
      <c r="A2892" s="62"/>
      <c r="B2892" s="62"/>
      <c r="C2892" s="62"/>
      <c r="D2892" s="62"/>
      <c r="E2892" s="62"/>
      <c r="F2892" s="62"/>
      <c r="G2892" s="62"/>
      <c r="H2892" s="62" t="str">
        <f>IF(AND('Data Export'!A2892=前十整体车型排名!$B$2,'Data Export'!B2892=前十整体车型排名!$B$3,'Data Export'!D2892&lt;&gt;""),UPPER('Data Export'!C2892)&amp;"♦"&amp;'Data Export'!D2892,"")</f>
        <v/>
      </c>
      <c r="I2892" s="63" t="str">
        <f>IF(H2892="","",IFERROR(INDEX('Data Export'!G2892:CZ2892,1,MATCH(前十整体车型排名!$B$4,'Data Export'!$G$1:$CZ$1,0)),0))</f>
        <v/>
      </c>
      <c r="J2892" s="62" t="str">
        <f>IF(H2892="","",IF(OR('Data Export'!F2892="三厢轿车",'Data Export'!F2892="掀背轿车",'Data Export'!F2892="旅行车",'Data Export'!F2892="微型车",'Data Export'!F2892="硬顶跑车",'Data Export'!F2892="敞蓬车",'Data Export'!F2892="Targa"),"轿车",IF(OR('Data Export'!F2892="小型MPV",'Data Export'!F2892="客车"),"MPV",IF('Data Export'!F2892="运动型多功能车","SUV","其他"))))</f>
        <v/>
      </c>
      <c r="K2892" s="62"/>
      <c r="L2892" s="62"/>
      <c r="M2892" s="62"/>
      <c r="N2892" s="62"/>
      <c r="O2892" s="62"/>
      <c r="P2892" s="62"/>
      <c r="Q2892" s="62"/>
    </row>
    <row r="2893" spans="1:17">
      <c r="A2893" s="62"/>
      <c r="B2893" s="62"/>
      <c r="C2893" s="62"/>
      <c r="D2893" s="62"/>
      <c r="E2893" s="62"/>
      <c r="F2893" s="62"/>
      <c r="G2893" s="62"/>
      <c r="H2893" s="62" t="str">
        <f>IF(AND('Data Export'!A2893=前十整体车型排名!$B$2,'Data Export'!B2893=前十整体车型排名!$B$3,'Data Export'!D2893&lt;&gt;""),UPPER('Data Export'!C2893)&amp;"♦"&amp;'Data Export'!D2893,"")</f>
        <v/>
      </c>
      <c r="I2893" s="63" t="str">
        <f>IF(H2893="","",IFERROR(INDEX('Data Export'!G2893:CZ2893,1,MATCH(前十整体车型排名!$B$4,'Data Export'!$G$1:$CZ$1,0)),0))</f>
        <v/>
      </c>
      <c r="J2893" s="62" t="str">
        <f>IF(H2893="","",IF(OR('Data Export'!F2893="三厢轿车",'Data Export'!F2893="掀背轿车",'Data Export'!F2893="旅行车",'Data Export'!F2893="微型车",'Data Export'!F2893="硬顶跑车",'Data Export'!F2893="敞蓬车",'Data Export'!F2893="Targa"),"轿车",IF(OR('Data Export'!F2893="小型MPV",'Data Export'!F2893="客车"),"MPV",IF('Data Export'!F2893="运动型多功能车","SUV","其他"))))</f>
        <v/>
      </c>
      <c r="K2893" s="62"/>
      <c r="L2893" s="62"/>
      <c r="M2893" s="62"/>
      <c r="N2893" s="62"/>
      <c r="O2893" s="62"/>
      <c r="P2893" s="62"/>
      <c r="Q2893" s="62"/>
    </row>
    <row r="2894" spans="1:17">
      <c r="A2894" s="62"/>
      <c r="B2894" s="62"/>
      <c r="C2894" s="62"/>
      <c r="D2894" s="62"/>
      <c r="E2894" s="62"/>
      <c r="F2894" s="62"/>
      <c r="G2894" s="62"/>
      <c r="H2894" s="62" t="str">
        <f>IF(AND('Data Export'!A2894=前十整体车型排名!$B$2,'Data Export'!B2894=前十整体车型排名!$B$3,'Data Export'!D2894&lt;&gt;""),UPPER('Data Export'!C2894)&amp;"♦"&amp;'Data Export'!D2894,"")</f>
        <v/>
      </c>
      <c r="I2894" s="63" t="str">
        <f>IF(H2894="","",IFERROR(INDEX('Data Export'!G2894:CZ2894,1,MATCH(前十整体车型排名!$B$4,'Data Export'!$G$1:$CZ$1,0)),0))</f>
        <v/>
      </c>
      <c r="J2894" s="62" t="str">
        <f>IF(H2894="","",IF(OR('Data Export'!F2894="三厢轿车",'Data Export'!F2894="掀背轿车",'Data Export'!F2894="旅行车",'Data Export'!F2894="微型车",'Data Export'!F2894="硬顶跑车",'Data Export'!F2894="敞蓬车",'Data Export'!F2894="Targa"),"轿车",IF(OR('Data Export'!F2894="小型MPV",'Data Export'!F2894="客车"),"MPV",IF('Data Export'!F2894="运动型多功能车","SUV","其他"))))</f>
        <v/>
      </c>
      <c r="K2894" s="62"/>
      <c r="L2894" s="62"/>
      <c r="M2894" s="62"/>
      <c r="N2894" s="62"/>
      <c r="O2894" s="62"/>
      <c r="P2894" s="62"/>
      <c r="Q2894" s="62"/>
    </row>
    <row r="2895" spans="1:17">
      <c r="A2895" s="62"/>
      <c r="B2895" s="62"/>
      <c r="C2895" s="62"/>
      <c r="D2895" s="62"/>
      <c r="E2895" s="62"/>
      <c r="F2895" s="62"/>
      <c r="G2895" s="62"/>
      <c r="H2895" s="62" t="str">
        <f>IF(AND('Data Export'!A2895=前十整体车型排名!$B$2,'Data Export'!B2895=前十整体车型排名!$B$3,'Data Export'!D2895&lt;&gt;""),UPPER('Data Export'!C2895)&amp;"♦"&amp;'Data Export'!D2895,"")</f>
        <v/>
      </c>
      <c r="I2895" s="63" t="str">
        <f>IF(H2895="","",IFERROR(INDEX('Data Export'!G2895:CZ2895,1,MATCH(前十整体车型排名!$B$4,'Data Export'!$G$1:$CZ$1,0)),0))</f>
        <v/>
      </c>
      <c r="J2895" s="62" t="str">
        <f>IF(H2895="","",IF(OR('Data Export'!F2895="三厢轿车",'Data Export'!F2895="掀背轿车",'Data Export'!F2895="旅行车",'Data Export'!F2895="微型车",'Data Export'!F2895="硬顶跑车",'Data Export'!F2895="敞蓬车",'Data Export'!F2895="Targa"),"轿车",IF(OR('Data Export'!F2895="小型MPV",'Data Export'!F2895="客车"),"MPV",IF('Data Export'!F2895="运动型多功能车","SUV","其他"))))</f>
        <v/>
      </c>
      <c r="K2895" s="62"/>
      <c r="L2895" s="62"/>
      <c r="M2895" s="62"/>
      <c r="N2895" s="62"/>
      <c r="O2895" s="62"/>
      <c r="P2895" s="62"/>
      <c r="Q2895" s="62"/>
    </row>
    <row r="2896" spans="1:17">
      <c r="A2896" s="62"/>
      <c r="B2896" s="62"/>
      <c r="C2896" s="62"/>
      <c r="D2896" s="62"/>
      <c r="E2896" s="62"/>
      <c r="F2896" s="62"/>
      <c r="G2896" s="62"/>
      <c r="H2896" s="62" t="str">
        <f>IF(AND('Data Export'!A2896=前十整体车型排名!$B$2,'Data Export'!B2896=前十整体车型排名!$B$3,'Data Export'!D2896&lt;&gt;""),UPPER('Data Export'!C2896)&amp;"♦"&amp;'Data Export'!D2896,"")</f>
        <v/>
      </c>
      <c r="I2896" s="63" t="str">
        <f>IF(H2896="","",IFERROR(INDEX('Data Export'!G2896:CZ2896,1,MATCH(前十整体车型排名!$B$4,'Data Export'!$G$1:$CZ$1,0)),0))</f>
        <v/>
      </c>
      <c r="J2896" s="62" t="str">
        <f>IF(H2896="","",IF(OR('Data Export'!F2896="三厢轿车",'Data Export'!F2896="掀背轿车",'Data Export'!F2896="旅行车",'Data Export'!F2896="微型车",'Data Export'!F2896="硬顶跑车",'Data Export'!F2896="敞蓬车",'Data Export'!F2896="Targa"),"轿车",IF(OR('Data Export'!F2896="小型MPV",'Data Export'!F2896="客车"),"MPV",IF('Data Export'!F2896="运动型多功能车","SUV","其他"))))</f>
        <v/>
      </c>
      <c r="K2896" s="62"/>
      <c r="L2896" s="62"/>
      <c r="M2896" s="62"/>
      <c r="N2896" s="62"/>
      <c r="O2896" s="62"/>
      <c r="P2896" s="62"/>
      <c r="Q2896" s="62"/>
    </row>
    <row r="2897" spans="1:17">
      <c r="A2897" s="62"/>
      <c r="B2897" s="62"/>
      <c r="C2897" s="62"/>
      <c r="D2897" s="62"/>
      <c r="E2897" s="62"/>
      <c r="F2897" s="62"/>
      <c r="G2897" s="62"/>
      <c r="H2897" s="62" t="str">
        <f>IF(AND('Data Export'!A2897=前十整体车型排名!$B$2,'Data Export'!B2897=前十整体车型排名!$B$3,'Data Export'!D2897&lt;&gt;""),UPPER('Data Export'!C2897)&amp;"♦"&amp;'Data Export'!D2897,"")</f>
        <v/>
      </c>
      <c r="I2897" s="63" t="str">
        <f>IF(H2897="","",IFERROR(INDEX('Data Export'!G2897:CZ2897,1,MATCH(前十整体车型排名!$B$4,'Data Export'!$G$1:$CZ$1,0)),0))</f>
        <v/>
      </c>
      <c r="J2897" s="62" t="str">
        <f>IF(H2897="","",IF(OR('Data Export'!F2897="三厢轿车",'Data Export'!F2897="掀背轿车",'Data Export'!F2897="旅行车",'Data Export'!F2897="微型车",'Data Export'!F2897="硬顶跑车",'Data Export'!F2897="敞蓬车",'Data Export'!F2897="Targa"),"轿车",IF(OR('Data Export'!F2897="小型MPV",'Data Export'!F2897="客车"),"MPV",IF('Data Export'!F2897="运动型多功能车","SUV","其他"))))</f>
        <v/>
      </c>
      <c r="K2897" s="62"/>
      <c r="L2897" s="62"/>
      <c r="M2897" s="62"/>
      <c r="N2897" s="62"/>
      <c r="O2897" s="62"/>
      <c r="P2897" s="62"/>
      <c r="Q2897" s="62"/>
    </row>
    <row r="2898" spans="1:17">
      <c r="A2898" s="62"/>
      <c r="B2898" s="62"/>
      <c r="C2898" s="62"/>
      <c r="D2898" s="62"/>
      <c r="E2898" s="62"/>
      <c r="F2898" s="62"/>
      <c r="G2898" s="62"/>
      <c r="H2898" s="62" t="str">
        <f>IF(AND('Data Export'!A2898=前十整体车型排名!$B$2,'Data Export'!B2898=前十整体车型排名!$B$3,'Data Export'!D2898&lt;&gt;""),UPPER('Data Export'!C2898)&amp;"♦"&amp;'Data Export'!D2898,"")</f>
        <v/>
      </c>
      <c r="I2898" s="63" t="str">
        <f>IF(H2898="","",IFERROR(INDEX('Data Export'!G2898:CZ2898,1,MATCH(前十整体车型排名!$B$4,'Data Export'!$G$1:$CZ$1,0)),0))</f>
        <v/>
      </c>
      <c r="J2898" s="62" t="str">
        <f>IF(H2898="","",IF(OR('Data Export'!F2898="三厢轿车",'Data Export'!F2898="掀背轿车",'Data Export'!F2898="旅行车",'Data Export'!F2898="微型车",'Data Export'!F2898="硬顶跑车",'Data Export'!F2898="敞蓬车",'Data Export'!F2898="Targa"),"轿车",IF(OR('Data Export'!F2898="小型MPV",'Data Export'!F2898="客车"),"MPV",IF('Data Export'!F2898="运动型多功能车","SUV","其他"))))</f>
        <v/>
      </c>
      <c r="K2898" s="62"/>
      <c r="L2898" s="62"/>
      <c r="M2898" s="62"/>
      <c r="N2898" s="62"/>
      <c r="O2898" s="62"/>
      <c r="P2898" s="62"/>
      <c r="Q2898" s="62"/>
    </row>
    <row r="2899" spans="1:17">
      <c r="A2899" s="62"/>
      <c r="B2899" s="62"/>
      <c r="C2899" s="62"/>
      <c r="D2899" s="62"/>
      <c r="E2899" s="62"/>
      <c r="F2899" s="62"/>
      <c r="G2899" s="62"/>
      <c r="H2899" s="62" t="str">
        <f>IF(AND('Data Export'!A2899=前十整体车型排名!$B$2,'Data Export'!B2899=前十整体车型排名!$B$3,'Data Export'!D2899&lt;&gt;""),UPPER('Data Export'!C2899)&amp;"♦"&amp;'Data Export'!D2899,"")</f>
        <v/>
      </c>
      <c r="I2899" s="63" t="str">
        <f>IF(H2899="","",IFERROR(INDEX('Data Export'!G2899:CZ2899,1,MATCH(前十整体车型排名!$B$4,'Data Export'!$G$1:$CZ$1,0)),0))</f>
        <v/>
      </c>
      <c r="J2899" s="62" t="str">
        <f>IF(H2899="","",IF(OR('Data Export'!F2899="三厢轿车",'Data Export'!F2899="掀背轿车",'Data Export'!F2899="旅行车",'Data Export'!F2899="微型车",'Data Export'!F2899="硬顶跑车",'Data Export'!F2899="敞蓬车",'Data Export'!F2899="Targa"),"轿车",IF(OR('Data Export'!F2899="小型MPV",'Data Export'!F2899="客车"),"MPV",IF('Data Export'!F2899="运动型多功能车","SUV","其他"))))</f>
        <v/>
      </c>
      <c r="K2899" s="62"/>
      <c r="L2899" s="62"/>
      <c r="M2899" s="62"/>
      <c r="N2899" s="62"/>
      <c r="O2899" s="62"/>
      <c r="P2899" s="62"/>
      <c r="Q2899" s="62"/>
    </row>
    <row r="2900" spans="1:17">
      <c r="A2900" s="62"/>
      <c r="B2900" s="62"/>
      <c r="C2900" s="62"/>
      <c r="D2900" s="62"/>
      <c r="E2900" s="62"/>
      <c r="F2900" s="62"/>
      <c r="G2900" s="62"/>
      <c r="H2900" s="62" t="str">
        <f>IF(AND('Data Export'!A2900=前十整体车型排名!$B$2,'Data Export'!B2900=前十整体车型排名!$B$3,'Data Export'!D2900&lt;&gt;""),UPPER('Data Export'!C2900)&amp;"♦"&amp;'Data Export'!D2900,"")</f>
        <v/>
      </c>
      <c r="I2900" s="63" t="str">
        <f>IF(H2900="","",IFERROR(INDEX('Data Export'!G2900:CZ2900,1,MATCH(前十整体车型排名!$B$4,'Data Export'!$G$1:$CZ$1,0)),0))</f>
        <v/>
      </c>
      <c r="J2900" s="62" t="str">
        <f>IF(H2900="","",IF(OR('Data Export'!F2900="三厢轿车",'Data Export'!F2900="掀背轿车",'Data Export'!F2900="旅行车",'Data Export'!F2900="微型车",'Data Export'!F2900="硬顶跑车",'Data Export'!F2900="敞蓬车",'Data Export'!F2900="Targa"),"轿车",IF(OR('Data Export'!F2900="小型MPV",'Data Export'!F2900="客车"),"MPV",IF('Data Export'!F2900="运动型多功能车","SUV","其他"))))</f>
        <v/>
      </c>
      <c r="K2900" s="62"/>
      <c r="L2900" s="62"/>
      <c r="M2900" s="62"/>
      <c r="N2900" s="62"/>
      <c r="O2900" s="62"/>
      <c r="P2900" s="62"/>
      <c r="Q2900" s="62"/>
    </row>
    <row r="2901" spans="1:17">
      <c r="A2901" s="62"/>
      <c r="B2901" s="62"/>
      <c r="C2901" s="62"/>
      <c r="D2901" s="62"/>
      <c r="E2901" s="62"/>
      <c r="F2901" s="62"/>
      <c r="G2901" s="62"/>
      <c r="H2901" s="62" t="str">
        <f>IF(AND('Data Export'!A2901=前十整体车型排名!$B$2,'Data Export'!B2901=前十整体车型排名!$B$3,'Data Export'!D2901&lt;&gt;""),UPPER('Data Export'!C2901)&amp;"♦"&amp;'Data Export'!D2901,"")</f>
        <v/>
      </c>
      <c r="I2901" s="63" t="str">
        <f>IF(H2901="","",IFERROR(INDEX('Data Export'!G2901:CZ2901,1,MATCH(前十整体车型排名!$B$4,'Data Export'!$G$1:$CZ$1,0)),0))</f>
        <v/>
      </c>
      <c r="J2901" s="62" t="str">
        <f>IF(H2901="","",IF(OR('Data Export'!F2901="三厢轿车",'Data Export'!F2901="掀背轿车",'Data Export'!F2901="旅行车",'Data Export'!F2901="微型车",'Data Export'!F2901="硬顶跑车",'Data Export'!F2901="敞蓬车",'Data Export'!F2901="Targa"),"轿车",IF(OR('Data Export'!F2901="小型MPV",'Data Export'!F2901="客车"),"MPV",IF('Data Export'!F2901="运动型多功能车","SUV","其他"))))</f>
        <v/>
      </c>
      <c r="K2901" s="62"/>
      <c r="L2901" s="62"/>
      <c r="M2901" s="62"/>
      <c r="N2901" s="62"/>
      <c r="O2901" s="62"/>
      <c r="P2901" s="62"/>
      <c r="Q2901" s="62"/>
    </row>
    <row r="2902" spans="1:17">
      <c r="A2902" s="62"/>
      <c r="B2902" s="62"/>
      <c r="C2902" s="62"/>
      <c r="D2902" s="62"/>
      <c r="E2902" s="62"/>
      <c r="F2902" s="62"/>
      <c r="G2902" s="62"/>
      <c r="H2902" s="62" t="str">
        <f>IF(AND('Data Export'!A2902=前十整体车型排名!$B$2,'Data Export'!B2902=前十整体车型排名!$B$3,'Data Export'!D2902&lt;&gt;""),UPPER('Data Export'!C2902)&amp;"♦"&amp;'Data Export'!D2902,"")</f>
        <v/>
      </c>
      <c r="I2902" s="63" t="str">
        <f>IF(H2902="","",IFERROR(INDEX('Data Export'!G2902:CZ2902,1,MATCH(前十整体车型排名!$B$4,'Data Export'!$G$1:$CZ$1,0)),0))</f>
        <v/>
      </c>
      <c r="J2902" s="62" t="str">
        <f>IF(H2902="","",IF(OR('Data Export'!F2902="三厢轿车",'Data Export'!F2902="掀背轿车",'Data Export'!F2902="旅行车",'Data Export'!F2902="微型车",'Data Export'!F2902="硬顶跑车",'Data Export'!F2902="敞蓬车",'Data Export'!F2902="Targa"),"轿车",IF(OR('Data Export'!F2902="小型MPV",'Data Export'!F2902="客车"),"MPV",IF('Data Export'!F2902="运动型多功能车","SUV","其他"))))</f>
        <v/>
      </c>
      <c r="K2902" s="62"/>
      <c r="L2902" s="62"/>
      <c r="M2902" s="62"/>
      <c r="N2902" s="62"/>
      <c r="O2902" s="62"/>
      <c r="P2902" s="62"/>
      <c r="Q2902" s="62"/>
    </row>
    <row r="2903" spans="1:17">
      <c r="A2903" s="62"/>
      <c r="B2903" s="62"/>
      <c r="C2903" s="62"/>
      <c r="D2903" s="62"/>
      <c r="E2903" s="62"/>
      <c r="F2903" s="62"/>
      <c r="G2903" s="62"/>
      <c r="H2903" s="62" t="str">
        <f>IF(AND('Data Export'!A2903=前十整体车型排名!$B$2,'Data Export'!B2903=前十整体车型排名!$B$3,'Data Export'!D2903&lt;&gt;""),UPPER('Data Export'!C2903)&amp;"♦"&amp;'Data Export'!D2903,"")</f>
        <v/>
      </c>
      <c r="I2903" s="63" t="str">
        <f>IF(H2903="","",IFERROR(INDEX('Data Export'!G2903:CZ2903,1,MATCH(前十整体车型排名!$B$4,'Data Export'!$G$1:$CZ$1,0)),0))</f>
        <v/>
      </c>
      <c r="J2903" s="62" t="str">
        <f>IF(H2903="","",IF(OR('Data Export'!F2903="三厢轿车",'Data Export'!F2903="掀背轿车",'Data Export'!F2903="旅行车",'Data Export'!F2903="微型车",'Data Export'!F2903="硬顶跑车",'Data Export'!F2903="敞蓬车",'Data Export'!F2903="Targa"),"轿车",IF(OR('Data Export'!F2903="小型MPV",'Data Export'!F2903="客车"),"MPV",IF('Data Export'!F2903="运动型多功能车","SUV","其他"))))</f>
        <v/>
      </c>
      <c r="K2903" s="62"/>
      <c r="L2903" s="62"/>
      <c r="M2903" s="62"/>
      <c r="N2903" s="62"/>
      <c r="O2903" s="62"/>
      <c r="P2903" s="62"/>
      <c r="Q2903" s="62"/>
    </row>
    <row r="2904" spans="1:17">
      <c r="A2904" s="62"/>
      <c r="B2904" s="62"/>
      <c r="C2904" s="62"/>
      <c r="D2904" s="62"/>
      <c r="E2904" s="62"/>
      <c r="F2904" s="62"/>
      <c r="G2904" s="62"/>
      <c r="H2904" s="62" t="str">
        <f>IF(AND('Data Export'!A2904=前十整体车型排名!$B$2,'Data Export'!B2904=前十整体车型排名!$B$3,'Data Export'!D2904&lt;&gt;""),UPPER('Data Export'!C2904)&amp;"♦"&amp;'Data Export'!D2904,"")</f>
        <v/>
      </c>
      <c r="I2904" s="63" t="str">
        <f>IF(H2904="","",IFERROR(INDEX('Data Export'!G2904:CZ2904,1,MATCH(前十整体车型排名!$B$4,'Data Export'!$G$1:$CZ$1,0)),0))</f>
        <v/>
      </c>
      <c r="J2904" s="62" t="str">
        <f>IF(H2904="","",IF(OR('Data Export'!F2904="三厢轿车",'Data Export'!F2904="掀背轿车",'Data Export'!F2904="旅行车",'Data Export'!F2904="微型车",'Data Export'!F2904="硬顶跑车",'Data Export'!F2904="敞蓬车",'Data Export'!F2904="Targa"),"轿车",IF(OR('Data Export'!F2904="小型MPV",'Data Export'!F2904="客车"),"MPV",IF('Data Export'!F2904="运动型多功能车","SUV","其他"))))</f>
        <v/>
      </c>
      <c r="K2904" s="62"/>
      <c r="L2904" s="62"/>
      <c r="M2904" s="62"/>
      <c r="N2904" s="62"/>
      <c r="O2904" s="62"/>
      <c r="P2904" s="62"/>
      <c r="Q2904" s="62"/>
    </row>
    <row r="2905" spans="1:17">
      <c r="A2905" s="62"/>
      <c r="B2905" s="62"/>
      <c r="C2905" s="62"/>
      <c r="D2905" s="62"/>
      <c r="E2905" s="62"/>
      <c r="F2905" s="62"/>
      <c r="G2905" s="62"/>
      <c r="H2905" s="62" t="str">
        <f>IF(AND('Data Export'!A2905=前十整体车型排名!$B$2,'Data Export'!B2905=前十整体车型排名!$B$3,'Data Export'!D2905&lt;&gt;""),UPPER('Data Export'!C2905)&amp;"♦"&amp;'Data Export'!D2905,"")</f>
        <v/>
      </c>
      <c r="I2905" s="63" t="str">
        <f>IF(H2905="","",IFERROR(INDEX('Data Export'!G2905:CZ2905,1,MATCH(前十整体车型排名!$B$4,'Data Export'!$G$1:$CZ$1,0)),0))</f>
        <v/>
      </c>
      <c r="J2905" s="62" t="str">
        <f>IF(H2905="","",IF(OR('Data Export'!F2905="三厢轿车",'Data Export'!F2905="掀背轿车",'Data Export'!F2905="旅行车",'Data Export'!F2905="微型车",'Data Export'!F2905="硬顶跑车",'Data Export'!F2905="敞蓬车",'Data Export'!F2905="Targa"),"轿车",IF(OR('Data Export'!F2905="小型MPV",'Data Export'!F2905="客车"),"MPV",IF('Data Export'!F2905="运动型多功能车","SUV","其他"))))</f>
        <v/>
      </c>
      <c r="K2905" s="62"/>
      <c r="L2905" s="62"/>
      <c r="M2905" s="62"/>
      <c r="N2905" s="62"/>
      <c r="O2905" s="62"/>
      <c r="P2905" s="62"/>
      <c r="Q2905" s="62"/>
    </row>
    <row r="2906" spans="1:17">
      <c r="A2906" s="62"/>
      <c r="B2906" s="62"/>
      <c r="C2906" s="62"/>
      <c r="D2906" s="62"/>
      <c r="E2906" s="62"/>
      <c r="F2906" s="62"/>
      <c r="G2906" s="62"/>
      <c r="H2906" s="62" t="str">
        <f>IF(AND('Data Export'!A2906=前十整体车型排名!$B$2,'Data Export'!B2906=前十整体车型排名!$B$3,'Data Export'!D2906&lt;&gt;""),UPPER('Data Export'!C2906)&amp;"♦"&amp;'Data Export'!D2906,"")</f>
        <v/>
      </c>
      <c r="I2906" s="63" t="str">
        <f>IF(H2906="","",IFERROR(INDEX('Data Export'!G2906:CZ2906,1,MATCH(前十整体车型排名!$B$4,'Data Export'!$G$1:$CZ$1,0)),0))</f>
        <v/>
      </c>
      <c r="J2906" s="62" t="str">
        <f>IF(H2906="","",IF(OR('Data Export'!F2906="三厢轿车",'Data Export'!F2906="掀背轿车",'Data Export'!F2906="旅行车",'Data Export'!F2906="微型车",'Data Export'!F2906="硬顶跑车",'Data Export'!F2906="敞蓬车",'Data Export'!F2906="Targa"),"轿车",IF(OR('Data Export'!F2906="小型MPV",'Data Export'!F2906="客车"),"MPV",IF('Data Export'!F2906="运动型多功能车","SUV","其他"))))</f>
        <v/>
      </c>
      <c r="K2906" s="62"/>
      <c r="L2906" s="62"/>
      <c r="M2906" s="62"/>
      <c r="N2906" s="62"/>
      <c r="O2906" s="62"/>
      <c r="P2906" s="62"/>
      <c r="Q2906" s="62"/>
    </row>
    <row r="2907" spans="1:17">
      <c r="A2907" s="62"/>
      <c r="B2907" s="62"/>
      <c r="C2907" s="62"/>
      <c r="D2907" s="62"/>
      <c r="E2907" s="62"/>
      <c r="F2907" s="62"/>
      <c r="G2907" s="62"/>
      <c r="H2907" s="62" t="str">
        <f>IF(AND('Data Export'!A2907=前十整体车型排名!$B$2,'Data Export'!B2907=前十整体车型排名!$B$3,'Data Export'!D2907&lt;&gt;""),UPPER('Data Export'!C2907)&amp;"♦"&amp;'Data Export'!D2907,"")</f>
        <v/>
      </c>
      <c r="I2907" s="63" t="str">
        <f>IF(H2907="","",IFERROR(INDEX('Data Export'!G2907:CZ2907,1,MATCH(前十整体车型排名!$B$4,'Data Export'!$G$1:$CZ$1,0)),0))</f>
        <v/>
      </c>
      <c r="J2907" s="62" t="str">
        <f>IF(H2907="","",IF(OR('Data Export'!F2907="三厢轿车",'Data Export'!F2907="掀背轿车",'Data Export'!F2907="旅行车",'Data Export'!F2907="微型车",'Data Export'!F2907="硬顶跑车",'Data Export'!F2907="敞蓬车",'Data Export'!F2907="Targa"),"轿车",IF(OR('Data Export'!F2907="小型MPV",'Data Export'!F2907="客车"),"MPV",IF('Data Export'!F2907="运动型多功能车","SUV","其他"))))</f>
        <v/>
      </c>
      <c r="K2907" s="62"/>
      <c r="L2907" s="62"/>
      <c r="M2907" s="62"/>
      <c r="N2907" s="62"/>
      <c r="O2907" s="62"/>
      <c r="P2907" s="62"/>
      <c r="Q2907" s="62"/>
    </row>
    <row r="2908" spans="1:17">
      <c r="A2908" s="62"/>
      <c r="B2908" s="62"/>
      <c r="C2908" s="62"/>
      <c r="D2908" s="62"/>
      <c r="E2908" s="62"/>
      <c r="F2908" s="62"/>
      <c r="G2908" s="62"/>
      <c r="H2908" s="62" t="str">
        <f>IF(AND('Data Export'!A2908=前十整体车型排名!$B$2,'Data Export'!B2908=前十整体车型排名!$B$3,'Data Export'!D2908&lt;&gt;""),UPPER('Data Export'!C2908)&amp;"♦"&amp;'Data Export'!D2908,"")</f>
        <v/>
      </c>
      <c r="I2908" s="63" t="str">
        <f>IF(H2908="","",IFERROR(INDEX('Data Export'!G2908:CZ2908,1,MATCH(前十整体车型排名!$B$4,'Data Export'!$G$1:$CZ$1,0)),0))</f>
        <v/>
      </c>
      <c r="J2908" s="62" t="str">
        <f>IF(H2908="","",IF(OR('Data Export'!F2908="三厢轿车",'Data Export'!F2908="掀背轿车",'Data Export'!F2908="旅行车",'Data Export'!F2908="微型车",'Data Export'!F2908="硬顶跑车",'Data Export'!F2908="敞蓬车",'Data Export'!F2908="Targa"),"轿车",IF(OR('Data Export'!F2908="小型MPV",'Data Export'!F2908="客车"),"MPV",IF('Data Export'!F2908="运动型多功能车","SUV","其他"))))</f>
        <v/>
      </c>
      <c r="K2908" s="62"/>
      <c r="L2908" s="62"/>
      <c r="M2908" s="62"/>
      <c r="N2908" s="62"/>
      <c r="O2908" s="62"/>
      <c r="P2908" s="62"/>
      <c r="Q2908" s="62"/>
    </row>
    <row r="2909" spans="1:17">
      <c r="A2909" s="62"/>
      <c r="B2909" s="62"/>
      <c r="C2909" s="62"/>
      <c r="D2909" s="62"/>
      <c r="E2909" s="62"/>
      <c r="F2909" s="62"/>
      <c r="G2909" s="62"/>
      <c r="H2909" s="62" t="str">
        <f>IF(AND('Data Export'!A2909=前十整体车型排名!$B$2,'Data Export'!B2909=前十整体车型排名!$B$3,'Data Export'!D2909&lt;&gt;""),UPPER('Data Export'!C2909)&amp;"♦"&amp;'Data Export'!D2909,"")</f>
        <v/>
      </c>
      <c r="I2909" s="63" t="str">
        <f>IF(H2909="","",IFERROR(INDEX('Data Export'!G2909:CZ2909,1,MATCH(前十整体车型排名!$B$4,'Data Export'!$G$1:$CZ$1,0)),0))</f>
        <v/>
      </c>
      <c r="J2909" s="62" t="str">
        <f>IF(H2909="","",IF(OR('Data Export'!F2909="三厢轿车",'Data Export'!F2909="掀背轿车",'Data Export'!F2909="旅行车",'Data Export'!F2909="微型车",'Data Export'!F2909="硬顶跑车",'Data Export'!F2909="敞蓬车",'Data Export'!F2909="Targa"),"轿车",IF(OR('Data Export'!F2909="小型MPV",'Data Export'!F2909="客车"),"MPV",IF('Data Export'!F2909="运动型多功能车","SUV","其他"))))</f>
        <v/>
      </c>
      <c r="K2909" s="62"/>
      <c r="L2909" s="62"/>
      <c r="M2909" s="62"/>
      <c r="N2909" s="62"/>
      <c r="O2909" s="62"/>
      <c r="P2909" s="62"/>
      <c r="Q2909" s="62"/>
    </row>
    <row r="2910" spans="1:17">
      <c r="A2910" s="62"/>
      <c r="B2910" s="62"/>
      <c r="C2910" s="62"/>
      <c r="D2910" s="62"/>
      <c r="E2910" s="62"/>
      <c r="F2910" s="62"/>
      <c r="G2910" s="62"/>
      <c r="H2910" s="62" t="str">
        <f>IF(AND('Data Export'!A2910=前十整体车型排名!$B$2,'Data Export'!B2910=前十整体车型排名!$B$3,'Data Export'!D2910&lt;&gt;""),UPPER('Data Export'!C2910)&amp;"♦"&amp;'Data Export'!D2910,"")</f>
        <v/>
      </c>
      <c r="I2910" s="63" t="str">
        <f>IF(H2910="","",IFERROR(INDEX('Data Export'!G2910:CZ2910,1,MATCH(前十整体车型排名!$B$4,'Data Export'!$G$1:$CZ$1,0)),0))</f>
        <v/>
      </c>
      <c r="J2910" s="62" t="str">
        <f>IF(H2910="","",IF(OR('Data Export'!F2910="三厢轿车",'Data Export'!F2910="掀背轿车",'Data Export'!F2910="旅行车",'Data Export'!F2910="微型车",'Data Export'!F2910="硬顶跑车",'Data Export'!F2910="敞蓬车",'Data Export'!F2910="Targa"),"轿车",IF(OR('Data Export'!F2910="小型MPV",'Data Export'!F2910="客车"),"MPV",IF('Data Export'!F2910="运动型多功能车","SUV","其他"))))</f>
        <v/>
      </c>
      <c r="K2910" s="62"/>
      <c r="L2910" s="62"/>
      <c r="M2910" s="62"/>
      <c r="N2910" s="62"/>
      <c r="O2910" s="62"/>
      <c r="P2910" s="62"/>
      <c r="Q2910" s="62"/>
    </row>
    <row r="2911" spans="1:17">
      <c r="A2911" s="62"/>
      <c r="B2911" s="62"/>
      <c r="C2911" s="62"/>
      <c r="D2911" s="62"/>
      <c r="E2911" s="62"/>
      <c r="F2911" s="62"/>
      <c r="G2911" s="62"/>
      <c r="H2911" s="62" t="str">
        <f>IF(AND('Data Export'!A2911=前十整体车型排名!$B$2,'Data Export'!B2911=前十整体车型排名!$B$3,'Data Export'!D2911&lt;&gt;""),UPPER('Data Export'!C2911)&amp;"♦"&amp;'Data Export'!D2911,"")</f>
        <v/>
      </c>
      <c r="I2911" s="63" t="str">
        <f>IF(H2911="","",IFERROR(INDEX('Data Export'!G2911:CZ2911,1,MATCH(前十整体车型排名!$B$4,'Data Export'!$G$1:$CZ$1,0)),0))</f>
        <v/>
      </c>
      <c r="J2911" s="62" t="str">
        <f>IF(H2911="","",IF(OR('Data Export'!F2911="三厢轿车",'Data Export'!F2911="掀背轿车",'Data Export'!F2911="旅行车",'Data Export'!F2911="微型车",'Data Export'!F2911="硬顶跑车",'Data Export'!F2911="敞蓬车",'Data Export'!F2911="Targa"),"轿车",IF(OR('Data Export'!F2911="小型MPV",'Data Export'!F2911="客车"),"MPV",IF('Data Export'!F2911="运动型多功能车","SUV","其他"))))</f>
        <v/>
      </c>
      <c r="K2911" s="62"/>
      <c r="L2911" s="62"/>
      <c r="M2911" s="62"/>
      <c r="N2911" s="62"/>
      <c r="O2911" s="62"/>
      <c r="P2911" s="62"/>
      <c r="Q2911" s="62"/>
    </row>
    <row r="2912" spans="1:17">
      <c r="A2912" s="62"/>
      <c r="B2912" s="62"/>
      <c r="C2912" s="62"/>
      <c r="D2912" s="62"/>
      <c r="E2912" s="62"/>
      <c r="F2912" s="62"/>
      <c r="G2912" s="62"/>
      <c r="H2912" s="62" t="str">
        <f>IF(AND('Data Export'!A2912=前十整体车型排名!$B$2,'Data Export'!B2912=前十整体车型排名!$B$3,'Data Export'!D2912&lt;&gt;""),UPPER('Data Export'!C2912)&amp;"♦"&amp;'Data Export'!D2912,"")</f>
        <v/>
      </c>
      <c r="I2912" s="63" t="str">
        <f>IF(H2912="","",IFERROR(INDEX('Data Export'!G2912:CZ2912,1,MATCH(前十整体车型排名!$B$4,'Data Export'!$G$1:$CZ$1,0)),0))</f>
        <v/>
      </c>
      <c r="J2912" s="62" t="str">
        <f>IF(H2912="","",IF(OR('Data Export'!F2912="三厢轿车",'Data Export'!F2912="掀背轿车",'Data Export'!F2912="旅行车",'Data Export'!F2912="微型车",'Data Export'!F2912="硬顶跑车",'Data Export'!F2912="敞蓬车",'Data Export'!F2912="Targa"),"轿车",IF(OR('Data Export'!F2912="小型MPV",'Data Export'!F2912="客车"),"MPV",IF('Data Export'!F2912="运动型多功能车","SUV","其他"))))</f>
        <v/>
      </c>
      <c r="K2912" s="62"/>
      <c r="L2912" s="62"/>
      <c r="M2912" s="62"/>
      <c r="N2912" s="62"/>
      <c r="O2912" s="62"/>
      <c r="P2912" s="62"/>
      <c r="Q2912" s="62"/>
    </row>
    <row r="2913" spans="1:17">
      <c r="A2913" s="62"/>
      <c r="B2913" s="62"/>
      <c r="C2913" s="62"/>
      <c r="D2913" s="62"/>
      <c r="E2913" s="62"/>
      <c r="F2913" s="62"/>
      <c r="G2913" s="62"/>
      <c r="H2913" s="62" t="str">
        <f>IF(AND('Data Export'!A2913=前十整体车型排名!$B$2,'Data Export'!B2913=前十整体车型排名!$B$3,'Data Export'!D2913&lt;&gt;""),UPPER('Data Export'!C2913)&amp;"♦"&amp;'Data Export'!D2913,"")</f>
        <v/>
      </c>
      <c r="I2913" s="63" t="str">
        <f>IF(H2913="","",IFERROR(INDEX('Data Export'!G2913:CZ2913,1,MATCH(前十整体车型排名!$B$4,'Data Export'!$G$1:$CZ$1,0)),0))</f>
        <v/>
      </c>
      <c r="J2913" s="62" t="str">
        <f>IF(H2913="","",IF(OR('Data Export'!F2913="三厢轿车",'Data Export'!F2913="掀背轿车",'Data Export'!F2913="旅行车",'Data Export'!F2913="微型车",'Data Export'!F2913="硬顶跑车",'Data Export'!F2913="敞蓬车",'Data Export'!F2913="Targa"),"轿车",IF(OR('Data Export'!F2913="小型MPV",'Data Export'!F2913="客车"),"MPV",IF('Data Export'!F2913="运动型多功能车","SUV","其他"))))</f>
        <v/>
      </c>
      <c r="K2913" s="62"/>
      <c r="L2913" s="62"/>
      <c r="M2913" s="62"/>
      <c r="N2913" s="62"/>
      <c r="O2913" s="62"/>
      <c r="P2913" s="62"/>
      <c r="Q2913" s="62"/>
    </row>
    <row r="2914" spans="1:17">
      <c r="A2914" s="62"/>
      <c r="B2914" s="62"/>
      <c r="C2914" s="62"/>
      <c r="D2914" s="62"/>
      <c r="E2914" s="62"/>
      <c r="F2914" s="62"/>
      <c r="G2914" s="62"/>
      <c r="H2914" s="62" t="str">
        <f>IF(AND('Data Export'!A2914=前十整体车型排名!$B$2,'Data Export'!B2914=前十整体车型排名!$B$3,'Data Export'!D2914&lt;&gt;""),UPPER('Data Export'!C2914)&amp;"♦"&amp;'Data Export'!D2914,"")</f>
        <v/>
      </c>
      <c r="I2914" s="63" t="str">
        <f>IF(H2914="","",IFERROR(INDEX('Data Export'!G2914:CZ2914,1,MATCH(前十整体车型排名!$B$4,'Data Export'!$G$1:$CZ$1,0)),0))</f>
        <v/>
      </c>
      <c r="J2914" s="62" t="str">
        <f>IF(H2914="","",IF(OR('Data Export'!F2914="三厢轿车",'Data Export'!F2914="掀背轿车",'Data Export'!F2914="旅行车",'Data Export'!F2914="微型车",'Data Export'!F2914="硬顶跑车",'Data Export'!F2914="敞蓬车",'Data Export'!F2914="Targa"),"轿车",IF(OR('Data Export'!F2914="小型MPV",'Data Export'!F2914="客车"),"MPV",IF('Data Export'!F2914="运动型多功能车","SUV","其他"))))</f>
        <v/>
      </c>
      <c r="K2914" s="62"/>
      <c r="L2914" s="62"/>
      <c r="M2914" s="62"/>
      <c r="N2914" s="62"/>
      <c r="O2914" s="62"/>
      <c r="P2914" s="62"/>
      <c r="Q2914" s="62"/>
    </row>
    <row r="2915" spans="1:17">
      <c r="A2915" s="62"/>
      <c r="B2915" s="62"/>
      <c r="C2915" s="62"/>
      <c r="D2915" s="62"/>
      <c r="E2915" s="62"/>
      <c r="F2915" s="62"/>
      <c r="G2915" s="62"/>
      <c r="H2915" s="62" t="str">
        <f>IF(AND('Data Export'!A2915=前十整体车型排名!$B$2,'Data Export'!B2915=前十整体车型排名!$B$3,'Data Export'!D2915&lt;&gt;""),UPPER('Data Export'!C2915)&amp;"♦"&amp;'Data Export'!D2915,"")</f>
        <v/>
      </c>
      <c r="I2915" s="63" t="str">
        <f>IF(H2915="","",IFERROR(INDEX('Data Export'!G2915:CZ2915,1,MATCH(前十整体车型排名!$B$4,'Data Export'!$G$1:$CZ$1,0)),0))</f>
        <v/>
      </c>
      <c r="J2915" s="62" t="str">
        <f>IF(H2915="","",IF(OR('Data Export'!F2915="三厢轿车",'Data Export'!F2915="掀背轿车",'Data Export'!F2915="旅行车",'Data Export'!F2915="微型车",'Data Export'!F2915="硬顶跑车",'Data Export'!F2915="敞蓬车",'Data Export'!F2915="Targa"),"轿车",IF(OR('Data Export'!F2915="小型MPV",'Data Export'!F2915="客车"),"MPV",IF('Data Export'!F2915="运动型多功能车","SUV","其他"))))</f>
        <v/>
      </c>
      <c r="K2915" s="62"/>
      <c r="L2915" s="62"/>
      <c r="M2915" s="62"/>
      <c r="N2915" s="62"/>
      <c r="O2915" s="62"/>
      <c r="P2915" s="62"/>
      <c r="Q2915" s="62"/>
    </row>
    <row r="2916" spans="1:17">
      <c r="A2916" s="62"/>
      <c r="B2916" s="62"/>
      <c r="C2916" s="62"/>
      <c r="D2916" s="62"/>
      <c r="E2916" s="62"/>
      <c r="F2916" s="62"/>
      <c r="G2916" s="62"/>
      <c r="H2916" s="62" t="str">
        <f>IF(AND('Data Export'!A2916=前十整体车型排名!$B$2,'Data Export'!B2916=前十整体车型排名!$B$3,'Data Export'!D2916&lt;&gt;""),UPPER('Data Export'!C2916)&amp;"♦"&amp;'Data Export'!D2916,"")</f>
        <v/>
      </c>
      <c r="I2916" s="63" t="str">
        <f>IF(H2916="","",IFERROR(INDEX('Data Export'!G2916:CZ2916,1,MATCH(前十整体车型排名!$B$4,'Data Export'!$G$1:$CZ$1,0)),0))</f>
        <v/>
      </c>
      <c r="J2916" s="62" t="str">
        <f>IF(H2916="","",IF(OR('Data Export'!F2916="三厢轿车",'Data Export'!F2916="掀背轿车",'Data Export'!F2916="旅行车",'Data Export'!F2916="微型车",'Data Export'!F2916="硬顶跑车",'Data Export'!F2916="敞蓬车",'Data Export'!F2916="Targa"),"轿车",IF(OR('Data Export'!F2916="小型MPV",'Data Export'!F2916="客车"),"MPV",IF('Data Export'!F2916="运动型多功能车","SUV","其他"))))</f>
        <v/>
      </c>
      <c r="K2916" s="62"/>
      <c r="L2916" s="62"/>
      <c r="M2916" s="62"/>
      <c r="N2916" s="62"/>
      <c r="O2916" s="62"/>
      <c r="P2916" s="62"/>
      <c r="Q2916" s="62"/>
    </row>
    <row r="2917" spans="1:17">
      <c r="A2917" s="62"/>
      <c r="B2917" s="62"/>
      <c r="C2917" s="62"/>
      <c r="D2917" s="62"/>
      <c r="E2917" s="62"/>
      <c r="F2917" s="62"/>
      <c r="G2917" s="62"/>
      <c r="H2917" s="62" t="str">
        <f>IF(AND('Data Export'!A2917=前十整体车型排名!$B$2,'Data Export'!B2917=前十整体车型排名!$B$3,'Data Export'!D2917&lt;&gt;""),UPPER('Data Export'!C2917)&amp;"♦"&amp;'Data Export'!D2917,"")</f>
        <v/>
      </c>
      <c r="I2917" s="63" t="str">
        <f>IF(H2917="","",IFERROR(INDEX('Data Export'!G2917:CZ2917,1,MATCH(前十整体车型排名!$B$4,'Data Export'!$G$1:$CZ$1,0)),0))</f>
        <v/>
      </c>
      <c r="J2917" s="62" t="str">
        <f>IF(H2917="","",IF(OR('Data Export'!F2917="三厢轿车",'Data Export'!F2917="掀背轿车",'Data Export'!F2917="旅行车",'Data Export'!F2917="微型车",'Data Export'!F2917="硬顶跑车",'Data Export'!F2917="敞蓬车",'Data Export'!F2917="Targa"),"轿车",IF(OR('Data Export'!F2917="小型MPV",'Data Export'!F2917="客车"),"MPV",IF('Data Export'!F2917="运动型多功能车","SUV","其他"))))</f>
        <v/>
      </c>
      <c r="K2917" s="62"/>
      <c r="L2917" s="62"/>
      <c r="M2917" s="62"/>
      <c r="N2917" s="62"/>
      <c r="O2917" s="62"/>
      <c r="P2917" s="62"/>
      <c r="Q2917" s="62"/>
    </row>
    <row r="2918" spans="1:17">
      <c r="A2918" s="62"/>
      <c r="B2918" s="62"/>
      <c r="C2918" s="62"/>
      <c r="D2918" s="62"/>
      <c r="E2918" s="62"/>
      <c r="F2918" s="62"/>
      <c r="G2918" s="62"/>
      <c r="H2918" s="62" t="str">
        <f>IF(AND('Data Export'!A2918=前十整体车型排名!$B$2,'Data Export'!B2918=前十整体车型排名!$B$3,'Data Export'!D2918&lt;&gt;""),UPPER('Data Export'!C2918)&amp;"♦"&amp;'Data Export'!D2918,"")</f>
        <v/>
      </c>
      <c r="I2918" s="63" t="str">
        <f>IF(H2918="","",IFERROR(INDEX('Data Export'!G2918:CZ2918,1,MATCH(前十整体车型排名!$B$4,'Data Export'!$G$1:$CZ$1,0)),0))</f>
        <v/>
      </c>
      <c r="J2918" s="62" t="str">
        <f>IF(H2918="","",IF(OR('Data Export'!F2918="三厢轿车",'Data Export'!F2918="掀背轿车",'Data Export'!F2918="旅行车",'Data Export'!F2918="微型车",'Data Export'!F2918="硬顶跑车",'Data Export'!F2918="敞蓬车",'Data Export'!F2918="Targa"),"轿车",IF(OR('Data Export'!F2918="小型MPV",'Data Export'!F2918="客车"),"MPV",IF('Data Export'!F2918="运动型多功能车","SUV","其他"))))</f>
        <v/>
      </c>
      <c r="K2918" s="62"/>
      <c r="L2918" s="62"/>
      <c r="M2918" s="62"/>
      <c r="N2918" s="62"/>
      <c r="O2918" s="62"/>
      <c r="P2918" s="62"/>
      <c r="Q2918" s="62"/>
    </row>
    <row r="2919" spans="1:17">
      <c r="A2919" s="62"/>
      <c r="B2919" s="62"/>
      <c r="C2919" s="62"/>
      <c r="D2919" s="62"/>
      <c r="E2919" s="62"/>
      <c r="F2919" s="62"/>
      <c r="G2919" s="62"/>
      <c r="H2919" s="62" t="str">
        <f>IF(AND('Data Export'!A2919=前十整体车型排名!$B$2,'Data Export'!B2919=前十整体车型排名!$B$3,'Data Export'!D2919&lt;&gt;""),UPPER('Data Export'!C2919)&amp;"♦"&amp;'Data Export'!D2919,"")</f>
        <v/>
      </c>
      <c r="I2919" s="63" t="str">
        <f>IF(H2919="","",IFERROR(INDEX('Data Export'!G2919:CZ2919,1,MATCH(前十整体车型排名!$B$4,'Data Export'!$G$1:$CZ$1,0)),0))</f>
        <v/>
      </c>
      <c r="J2919" s="62" t="str">
        <f>IF(H2919="","",IF(OR('Data Export'!F2919="三厢轿车",'Data Export'!F2919="掀背轿车",'Data Export'!F2919="旅行车",'Data Export'!F2919="微型车",'Data Export'!F2919="硬顶跑车",'Data Export'!F2919="敞蓬车",'Data Export'!F2919="Targa"),"轿车",IF(OR('Data Export'!F2919="小型MPV",'Data Export'!F2919="客车"),"MPV",IF('Data Export'!F2919="运动型多功能车","SUV","其他"))))</f>
        <v/>
      </c>
      <c r="K2919" s="62"/>
      <c r="L2919" s="62"/>
      <c r="M2919" s="62"/>
      <c r="N2919" s="62"/>
      <c r="O2919" s="62"/>
      <c r="P2919" s="62"/>
      <c r="Q2919" s="62"/>
    </row>
    <row r="2920" spans="1:17">
      <c r="A2920" s="62"/>
      <c r="B2920" s="62"/>
      <c r="C2920" s="62"/>
      <c r="D2920" s="62"/>
      <c r="E2920" s="62"/>
      <c r="F2920" s="62"/>
      <c r="G2920" s="62"/>
      <c r="H2920" s="62" t="str">
        <f>IF(AND('Data Export'!A2920=前十整体车型排名!$B$2,'Data Export'!B2920=前十整体车型排名!$B$3,'Data Export'!D2920&lt;&gt;""),UPPER('Data Export'!C2920)&amp;"♦"&amp;'Data Export'!D2920,"")</f>
        <v/>
      </c>
      <c r="I2920" s="63" t="str">
        <f>IF(H2920="","",IFERROR(INDEX('Data Export'!G2920:CZ2920,1,MATCH(前十整体车型排名!$B$4,'Data Export'!$G$1:$CZ$1,0)),0))</f>
        <v/>
      </c>
      <c r="J2920" s="62" t="str">
        <f>IF(H2920="","",IF(OR('Data Export'!F2920="三厢轿车",'Data Export'!F2920="掀背轿车",'Data Export'!F2920="旅行车",'Data Export'!F2920="微型车",'Data Export'!F2920="硬顶跑车",'Data Export'!F2920="敞蓬车",'Data Export'!F2920="Targa"),"轿车",IF(OR('Data Export'!F2920="小型MPV",'Data Export'!F2920="客车"),"MPV",IF('Data Export'!F2920="运动型多功能车","SUV","其他"))))</f>
        <v/>
      </c>
      <c r="K2920" s="62"/>
      <c r="L2920" s="62"/>
      <c r="M2920" s="62"/>
      <c r="N2920" s="62"/>
      <c r="O2920" s="62"/>
      <c r="P2920" s="62"/>
      <c r="Q2920" s="62"/>
    </row>
    <row r="2921" spans="1:17">
      <c r="A2921" s="62"/>
      <c r="B2921" s="62"/>
      <c r="C2921" s="62"/>
      <c r="D2921" s="62"/>
      <c r="E2921" s="62"/>
      <c r="F2921" s="62"/>
      <c r="G2921" s="62"/>
      <c r="H2921" s="62" t="str">
        <f>IF(AND('Data Export'!A2921=前十整体车型排名!$B$2,'Data Export'!B2921=前十整体车型排名!$B$3,'Data Export'!D2921&lt;&gt;""),UPPER('Data Export'!C2921)&amp;"♦"&amp;'Data Export'!D2921,"")</f>
        <v/>
      </c>
      <c r="I2921" s="63" t="str">
        <f>IF(H2921="","",IFERROR(INDEX('Data Export'!G2921:CZ2921,1,MATCH(前十整体车型排名!$B$4,'Data Export'!$G$1:$CZ$1,0)),0))</f>
        <v/>
      </c>
      <c r="J2921" s="62" t="str">
        <f>IF(H2921="","",IF(OR('Data Export'!F2921="三厢轿车",'Data Export'!F2921="掀背轿车",'Data Export'!F2921="旅行车",'Data Export'!F2921="微型车",'Data Export'!F2921="硬顶跑车",'Data Export'!F2921="敞蓬车",'Data Export'!F2921="Targa"),"轿车",IF(OR('Data Export'!F2921="小型MPV",'Data Export'!F2921="客车"),"MPV",IF('Data Export'!F2921="运动型多功能车","SUV","其他"))))</f>
        <v/>
      </c>
      <c r="K2921" s="62"/>
      <c r="L2921" s="62"/>
      <c r="M2921" s="62"/>
      <c r="N2921" s="62"/>
      <c r="O2921" s="62"/>
      <c r="P2921" s="62"/>
      <c r="Q2921" s="62"/>
    </row>
    <row r="2922" spans="1:17">
      <c r="A2922" s="62"/>
      <c r="B2922" s="62"/>
      <c r="C2922" s="62"/>
      <c r="D2922" s="62"/>
      <c r="E2922" s="62"/>
      <c r="F2922" s="62"/>
      <c r="G2922" s="62"/>
      <c r="H2922" s="62" t="str">
        <f>IF(AND('Data Export'!A2922=前十整体车型排名!$B$2,'Data Export'!B2922=前十整体车型排名!$B$3,'Data Export'!D2922&lt;&gt;""),UPPER('Data Export'!C2922)&amp;"♦"&amp;'Data Export'!D2922,"")</f>
        <v/>
      </c>
      <c r="I2922" s="63" t="str">
        <f>IF(H2922="","",IFERROR(INDEX('Data Export'!G2922:CZ2922,1,MATCH(前十整体车型排名!$B$4,'Data Export'!$G$1:$CZ$1,0)),0))</f>
        <v/>
      </c>
      <c r="J2922" s="62" t="str">
        <f>IF(H2922="","",IF(OR('Data Export'!F2922="三厢轿车",'Data Export'!F2922="掀背轿车",'Data Export'!F2922="旅行车",'Data Export'!F2922="微型车",'Data Export'!F2922="硬顶跑车",'Data Export'!F2922="敞蓬车",'Data Export'!F2922="Targa"),"轿车",IF(OR('Data Export'!F2922="小型MPV",'Data Export'!F2922="客车"),"MPV",IF('Data Export'!F2922="运动型多功能车","SUV","其他"))))</f>
        <v/>
      </c>
      <c r="K2922" s="62"/>
      <c r="L2922" s="62"/>
      <c r="M2922" s="62"/>
      <c r="N2922" s="62"/>
      <c r="O2922" s="62"/>
      <c r="P2922" s="62"/>
      <c r="Q2922" s="62"/>
    </row>
    <row r="2923" spans="1:17">
      <c r="A2923" s="62"/>
      <c r="B2923" s="62"/>
      <c r="C2923" s="62"/>
      <c r="D2923" s="62"/>
      <c r="E2923" s="62"/>
      <c r="F2923" s="62"/>
      <c r="G2923" s="62"/>
      <c r="H2923" s="62" t="str">
        <f>IF(AND('Data Export'!A2923=前十整体车型排名!$B$2,'Data Export'!B2923=前十整体车型排名!$B$3,'Data Export'!D2923&lt;&gt;""),UPPER('Data Export'!C2923)&amp;"♦"&amp;'Data Export'!D2923,"")</f>
        <v/>
      </c>
      <c r="I2923" s="63" t="str">
        <f>IF(H2923="","",IFERROR(INDEX('Data Export'!G2923:CZ2923,1,MATCH(前十整体车型排名!$B$4,'Data Export'!$G$1:$CZ$1,0)),0))</f>
        <v/>
      </c>
      <c r="J2923" s="62" t="str">
        <f>IF(H2923="","",IF(OR('Data Export'!F2923="三厢轿车",'Data Export'!F2923="掀背轿车",'Data Export'!F2923="旅行车",'Data Export'!F2923="微型车",'Data Export'!F2923="硬顶跑车",'Data Export'!F2923="敞蓬车",'Data Export'!F2923="Targa"),"轿车",IF(OR('Data Export'!F2923="小型MPV",'Data Export'!F2923="客车"),"MPV",IF('Data Export'!F2923="运动型多功能车","SUV","其他"))))</f>
        <v/>
      </c>
      <c r="K2923" s="62"/>
      <c r="L2923" s="62"/>
      <c r="M2923" s="62"/>
      <c r="N2923" s="62"/>
      <c r="O2923" s="62"/>
      <c r="P2923" s="62"/>
      <c r="Q2923" s="62"/>
    </row>
    <row r="2924" spans="1:17">
      <c r="A2924" s="62"/>
      <c r="B2924" s="62"/>
      <c r="C2924" s="62"/>
      <c r="D2924" s="62"/>
      <c r="E2924" s="62"/>
      <c r="F2924" s="62"/>
      <c r="G2924" s="62"/>
      <c r="H2924" s="62" t="str">
        <f>IF(AND('Data Export'!A2924=前十整体车型排名!$B$2,'Data Export'!B2924=前十整体车型排名!$B$3,'Data Export'!D2924&lt;&gt;""),UPPER('Data Export'!C2924)&amp;"♦"&amp;'Data Export'!D2924,"")</f>
        <v/>
      </c>
      <c r="I2924" s="63" t="str">
        <f>IF(H2924="","",IFERROR(INDEX('Data Export'!G2924:CZ2924,1,MATCH(前十整体车型排名!$B$4,'Data Export'!$G$1:$CZ$1,0)),0))</f>
        <v/>
      </c>
      <c r="J2924" s="62" t="str">
        <f>IF(H2924="","",IF(OR('Data Export'!F2924="三厢轿车",'Data Export'!F2924="掀背轿车",'Data Export'!F2924="旅行车",'Data Export'!F2924="微型车",'Data Export'!F2924="硬顶跑车",'Data Export'!F2924="敞蓬车",'Data Export'!F2924="Targa"),"轿车",IF(OR('Data Export'!F2924="小型MPV",'Data Export'!F2924="客车"),"MPV",IF('Data Export'!F2924="运动型多功能车","SUV","其他"))))</f>
        <v/>
      </c>
      <c r="K2924" s="62"/>
      <c r="L2924" s="62"/>
      <c r="M2924" s="62"/>
      <c r="N2924" s="62"/>
      <c r="O2924" s="62"/>
      <c r="P2924" s="62"/>
      <c r="Q2924" s="62"/>
    </row>
    <row r="2925" spans="1:17">
      <c r="A2925" s="62"/>
      <c r="B2925" s="62"/>
      <c r="C2925" s="62"/>
      <c r="D2925" s="62"/>
      <c r="E2925" s="62"/>
      <c r="F2925" s="62"/>
      <c r="G2925" s="62"/>
      <c r="H2925" s="62" t="str">
        <f>IF(AND('Data Export'!A2925=前十整体车型排名!$B$2,'Data Export'!B2925=前十整体车型排名!$B$3,'Data Export'!D2925&lt;&gt;""),UPPER('Data Export'!C2925)&amp;"♦"&amp;'Data Export'!D2925,"")</f>
        <v/>
      </c>
      <c r="I2925" s="63" t="str">
        <f>IF(H2925="","",IFERROR(INDEX('Data Export'!G2925:CZ2925,1,MATCH(前十整体车型排名!$B$4,'Data Export'!$G$1:$CZ$1,0)),0))</f>
        <v/>
      </c>
      <c r="J2925" s="62" t="str">
        <f>IF(H2925="","",IF(OR('Data Export'!F2925="三厢轿车",'Data Export'!F2925="掀背轿车",'Data Export'!F2925="旅行车",'Data Export'!F2925="微型车",'Data Export'!F2925="硬顶跑车",'Data Export'!F2925="敞蓬车",'Data Export'!F2925="Targa"),"轿车",IF(OR('Data Export'!F2925="小型MPV",'Data Export'!F2925="客车"),"MPV",IF('Data Export'!F2925="运动型多功能车","SUV","其他"))))</f>
        <v/>
      </c>
      <c r="K2925" s="62"/>
      <c r="L2925" s="62"/>
      <c r="M2925" s="62"/>
      <c r="N2925" s="62"/>
      <c r="O2925" s="62"/>
      <c r="P2925" s="62"/>
      <c r="Q2925" s="62"/>
    </row>
    <row r="2926" spans="1:17">
      <c r="A2926" s="62"/>
      <c r="B2926" s="62"/>
      <c r="C2926" s="62"/>
      <c r="D2926" s="62"/>
      <c r="E2926" s="62"/>
      <c r="F2926" s="62"/>
      <c r="G2926" s="62"/>
      <c r="H2926" s="62" t="str">
        <f>IF(AND('Data Export'!A2926=前十整体车型排名!$B$2,'Data Export'!B2926=前十整体车型排名!$B$3,'Data Export'!D2926&lt;&gt;""),UPPER('Data Export'!C2926)&amp;"♦"&amp;'Data Export'!D2926,"")</f>
        <v/>
      </c>
      <c r="I2926" s="63" t="str">
        <f>IF(H2926="","",IFERROR(INDEX('Data Export'!G2926:CZ2926,1,MATCH(前十整体车型排名!$B$4,'Data Export'!$G$1:$CZ$1,0)),0))</f>
        <v/>
      </c>
      <c r="J2926" s="62" t="str">
        <f>IF(H2926="","",IF(OR('Data Export'!F2926="三厢轿车",'Data Export'!F2926="掀背轿车",'Data Export'!F2926="旅行车",'Data Export'!F2926="微型车",'Data Export'!F2926="硬顶跑车",'Data Export'!F2926="敞蓬车",'Data Export'!F2926="Targa"),"轿车",IF(OR('Data Export'!F2926="小型MPV",'Data Export'!F2926="客车"),"MPV",IF('Data Export'!F2926="运动型多功能车","SUV","其他"))))</f>
        <v/>
      </c>
      <c r="K2926" s="62"/>
      <c r="L2926" s="62"/>
      <c r="M2926" s="62"/>
      <c r="N2926" s="62"/>
      <c r="O2926" s="62"/>
      <c r="P2926" s="62"/>
      <c r="Q2926" s="62"/>
    </row>
    <row r="2927" spans="1:17">
      <c r="A2927" s="62"/>
      <c r="B2927" s="62"/>
      <c r="C2927" s="62"/>
      <c r="D2927" s="62"/>
      <c r="E2927" s="62"/>
      <c r="F2927" s="62"/>
      <c r="G2927" s="62"/>
      <c r="H2927" s="62" t="str">
        <f>IF(AND('Data Export'!A2927=前十整体车型排名!$B$2,'Data Export'!B2927=前十整体车型排名!$B$3,'Data Export'!D2927&lt;&gt;""),UPPER('Data Export'!C2927)&amp;"♦"&amp;'Data Export'!D2927,"")</f>
        <v/>
      </c>
      <c r="I2927" s="63" t="str">
        <f>IF(H2927="","",IFERROR(INDEX('Data Export'!G2927:CZ2927,1,MATCH(前十整体车型排名!$B$4,'Data Export'!$G$1:$CZ$1,0)),0))</f>
        <v/>
      </c>
      <c r="J2927" s="62" t="str">
        <f>IF(H2927="","",IF(OR('Data Export'!F2927="三厢轿车",'Data Export'!F2927="掀背轿车",'Data Export'!F2927="旅行车",'Data Export'!F2927="微型车",'Data Export'!F2927="硬顶跑车",'Data Export'!F2927="敞蓬车",'Data Export'!F2927="Targa"),"轿车",IF(OR('Data Export'!F2927="小型MPV",'Data Export'!F2927="客车"),"MPV",IF('Data Export'!F2927="运动型多功能车","SUV","其他"))))</f>
        <v/>
      </c>
      <c r="K2927" s="62"/>
      <c r="L2927" s="62"/>
      <c r="M2927" s="62"/>
      <c r="N2927" s="62"/>
      <c r="O2927" s="62"/>
      <c r="P2927" s="62"/>
      <c r="Q2927" s="62"/>
    </row>
    <row r="2928" spans="1:17">
      <c r="A2928" s="62"/>
      <c r="B2928" s="62"/>
      <c r="C2928" s="62"/>
      <c r="D2928" s="62"/>
      <c r="E2928" s="62"/>
      <c r="F2928" s="62"/>
      <c r="G2928" s="62"/>
      <c r="H2928" s="62" t="str">
        <f>IF(AND('Data Export'!A2928=前十整体车型排名!$B$2,'Data Export'!B2928=前十整体车型排名!$B$3,'Data Export'!D2928&lt;&gt;""),UPPER('Data Export'!C2928)&amp;"♦"&amp;'Data Export'!D2928,"")</f>
        <v/>
      </c>
      <c r="I2928" s="63" t="str">
        <f>IF(H2928="","",IFERROR(INDEX('Data Export'!G2928:CZ2928,1,MATCH(前十整体车型排名!$B$4,'Data Export'!$G$1:$CZ$1,0)),0))</f>
        <v/>
      </c>
      <c r="J2928" s="62" t="str">
        <f>IF(H2928="","",IF(OR('Data Export'!F2928="三厢轿车",'Data Export'!F2928="掀背轿车",'Data Export'!F2928="旅行车",'Data Export'!F2928="微型车",'Data Export'!F2928="硬顶跑车",'Data Export'!F2928="敞蓬车",'Data Export'!F2928="Targa"),"轿车",IF(OR('Data Export'!F2928="小型MPV",'Data Export'!F2928="客车"),"MPV",IF('Data Export'!F2928="运动型多功能车","SUV","其他"))))</f>
        <v/>
      </c>
      <c r="K2928" s="62"/>
      <c r="L2928" s="62"/>
      <c r="M2928" s="62"/>
      <c r="N2928" s="62"/>
      <c r="O2928" s="62"/>
      <c r="P2928" s="62"/>
      <c r="Q2928" s="62"/>
    </row>
    <row r="2929" spans="1:17">
      <c r="A2929" s="62"/>
      <c r="B2929" s="62"/>
      <c r="C2929" s="62"/>
      <c r="D2929" s="62"/>
      <c r="E2929" s="62"/>
      <c r="F2929" s="62"/>
      <c r="G2929" s="62"/>
      <c r="H2929" s="62" t="str">
        <f>IF(AND('Data Export'!A2929=前十整体车型排名!$B$2,'Data Export'!B2929=前十整体车型排名!$B$3,'Data Export'!D2929&lt;&gt;""),UPPER('Data Export'!C2929)&amp;"♦"&amp;'Data Export'!D2929,"")</f>
        <v/>
      </c>
      <c r="I2929" s="63" t="str">
        <f>IF(H2929="","",IFERROR(INDEX('Data Export'!G2929:CZ2929,1,MATCH(前十整体车型排名!$B$4,'Data Export'!$G$1:$CZ$1,0)),0))</f>
        <v/>
      </c>
      <c r="J2929" s="62" t="str">
        <f>IF(H2929="","",IF(OR('Data Export'!F2929="三厢轿车",'Data Export'!F2929="掀背轿车",'Data Export'!F2929="旅行车",'Data Export'!F2929="微型车",'Data Export'!F2929="硬顶跑车",'Data Export'!F2929="敞蓬车",'Data Export'!F2929="Targa"),"轿车",IF(OR('Data Export'!F2929="小型MPV",'Data Export'!F2929="客车"),"MPV",IF('Data Export'!F2929="运动型多功能车","SUV","其他"))))</f>
        <v/>
      </c>
      <c r="K2929" s="62"/>
      <c r="L2929" s="62"/>
      <c r="M2929" s="62"/>
      <c r="N2929" s="62"/>
      <c r="O2929" s="62"/>
      <c r="P2929" s="62"/>
      <c r="Q2929" s="62"/>
    </row>
    <row r="2930" spans="1:17">
      <c r="A2930" s="62"/>
      <c r="B2930" s="62"/>
      <c r="C2930" s="62"/>
      <c r="D2930" s="62"/>
      <c r="E2930" s="62"/>
      <c r="F2930" s="62"/>
      <c r="G2930" s="62"/>
      <c r="H2930" s="62" t="str">
        <f>IF(AND('Data Export'!A2930=前十整体车型排名!$B$2,'Data Export'!B2930=前十整体车型排名!$B$3,'Data Export'!D2930&lt;&gt;""),UPPER('Data Export'!C2930)&amp;"♦"&amp;'Data Export'!D2930,"")</f>
        <v/>
      </c>
      <c r="I2930" s="63" t="str">
        <f>IF(H2930="","",IFERROR(INDEX('Data Export'!G2930:CZ2930,1,MATCH(前十整体车型排名!$B$4,'Data Export'!$G$1:$CZ$1,0)),0))</f>
        <v/>
      </c>
      <c r="J2930" s="62" t="str">
        <f>IF(H2930="","",IF(OR('Data Export'!F2930="三厢轿车",'Data Export'!F2930="掀背轿车",'Data Export'!F2930="旅行车",'Data Export'!F2930="微型车",'Data Export'!F2930="硬顶跑车",'Data Export'!F2930="敞蓬车",'Data Export'!F2930="Targa"),"轿车",IF(OR('Data Export'!F2930="小型MPV",'Data Export'!F2930="客车"),"MPV",IF('Data Export'!F2930="运动型多功能车","SUV","其他"))))</f>
        <v/>
      </c>
      <c r="K2930" s="62"/>
      <c r="L2930" s="62"/>
      <c r="M2930" s="62"/>
      <c r="N2930" s="62"/>
      <c r="O2930" s="62"/>
      <c r="P2930" s="62"/>
      <c r="Q2930" s="62"/>
    </row>
    <row r="2931" spans="1:17">
      <c r="A2931" s="62"/>
      <c r="B2931" s="62"/>
      <c r="C2931" s="62"/>
      <c r="D2931" s="62"/>
      <c r="E2931" s="62"/>
      <c r="F2931" s="62"/>
      <c r="G2931" s="62"/>
      <c r="H2931" s="62" t="str">
        <f>IF(AND('Data Export'!A2931=前十整体车型排名!$B$2,'Data Export'!B2931=前十整体车型排名!$B$3,'Data Export'!D2931&lt;&gt;""),UPPER('Data Export'!C2931)&amp;"♦"&amp;'Data Export'!D2931,"")</f>
        <v/>
      </c>
      <c r="I2931" s="63" t="str">
        <f>IF(H2931="","",IFERROR(INDEX('Data Export'!G2931:CZ2931,1,MATCH(前十整体车型排名!$B$4,'Data Export'!$G$1:$CZ$1,0)),0))</f>
        <v/>
      </c>
      <c r="J2931" s="62" t="str">
        <f>IF(H2931="","",IF(OR('Data Export'!F2931="三厢轿车",'Data Export'!F2931="掀背轿车",'Data Export'!F2931="旅行车",'Data Export'!F2931="微型车",'Data Export'!F2931="硬顶跑车",'Data Export'!F2931="敞蓬车",'Data Export'!F2931="Targa"),"轿车",IF(OR('Data Export'!F2931="小型MPV",'Data Export'!F2931="客车"),"MPV",IF('Data Export'!F2931="运动型多功能车","SUV","其他"))))</f>
        <v/>
      </c>
      <c r="K2931" s="62"/>
      <c r="L2931" s="62"/>
      <c r="M2931" s="62"/>
      <c r="N2931" s="62"/>
      <c r="O2931" s="62"/>
      <c r="P2931" s="62"/>
      <c r="Q2931" s="62"/>
    </row>
    <row r="2932" spans="1:17">
      <c r="A2932" s="62"/>
      <c r="B2932" s="62"/>
      <c r="C2932" s="62"/>
      <c r="D2932" s="62"/>
      <c r="E2932" s="62"/>
      <c r="F2932" s="62"/>
      <c r="G2932" s="62"/>
      <c r="H2932" s="62" t="str">
        <f>IF(AND('Data Export'!A2932=前十整体车型排名!$B$2,'Data Export'!B2932=前十整体车型排名!$B$3,'Data Export'!D2932&lt;&gt;""),UPPER('Data Export'!C2932)&amp;"♦"&amp;'Data Export'!D2932,"")</f>
        <v/>
      </c>
      <c r="I2932" s="63" t="str">
        <f>IF(H2932="","",IFERROR(INDEX('Data Export'!G2932:CZ2932,1,MATCH(前十整体车型排名!$B$4,'Data Export'!$G$1:$CZ$1,0)),0))</f>
        <v/>
      </c>
      <c r="J2932" s="62" t="str">
        <f>IF(H2932="","",IF(OR('Data Export'!F2932="三厢轿车",'Data Export'!F2932="掀背轿车",'Data Export'!F2932="旅行车",'Data Export'!F2932="微型车",'Data Export'!F2932="硬顶跑车",'Data Export'!F2932="敞蓬车",'Data Export'!F2932="Targa"),"轿车",IF(OR('Data Export'!F2932="小型MPV",'Data Export'!F2932="客车"),"MPV",IF('Data Export'!F2932="运动型多功能车","SUV","其他"))))</f>
        <v/>
      </c>
      <c r="K2932" s="62"/>
      <c r="L2932" s="62"/>
      <c r="M2932" s="62"/>
      <c r="N2932" s="62"/>
      <c r="O2932" s="62"/>
      <c r="P2932" s="62"/>
      <c r="Q2932" s="62"/>
    </row>
    <row r="2933" spans="1:17">
      <c r="A2933" s="62"/>
      <c r="B2933" s="62"/>
      <c r="C2933" s="62"/>
      <c r="D2933" s="62"/>
      <c r="E2933" s="62"/>
      <c r="F2933" s="62"/>
      <c r="G2933" s="62"/>
      <c r="H2933" s="62" t="str">
        <f>IF(AND('Data Export'!A2933=前十整体车型排名!$B$2,'Data Export'!B2933=前十整体车型排名!$B$3,'Data Export'!D2933&lt;&gt;""),UPPER('Data Export'!C2933)&amp;"♦"&amp;'Data Export'!D2933,"")</f>
        <v/>
      </c>
      <c r="I2933" s="63" t="str">
        <f>IF(H2933="","",IFERROR(INDEX('Data Export'!G2933:CZ2933,1,MATCH(前十整体车型排名!$B$4,'Data Export'!$G$1:$CZ$1,0)),0))</f>
        <v/>
      </c>
      <c r="J2933" s="62" t="str">
        <f>IF(H2933="","",IF(OR('Data Export'!F2933="三厢轿车",'Data Export'!F2933="掀背轿车",'Data Export'!F2933="旅行车",'Data Export'!F2933="微型车",'Data Export'!F2933="硬顶跑车",'Data Export'!F2933="敞蓬车",'Data Export'!F2933="Targa"),"轿车",IF(OR('Data Export'!F2933="小型MPV",'Data Export'!F2933="客车"),"MPV",IF('Data Export'!F2933="运动型多功能车","SUV","其他"))))</f>
        <v/>
      </c>
      <c r="K2933" s="62"/>
      <c r="L2933" s="62"/>
      <c r="M2933" s="62"/>
      <c r="N2933" s="62"/>
      <c r="O2933" s="62"/>
      <c r="P2933" s="62"/>
      <c r="Q2933" s="62"/>
    </row>
    <row r="2934" spans="1:17">
      <c r="A2934" s="62"/>
      <c r="B2934" s="62"/>
      <c r="C2934" s="62"/>
      <c r="D2934" s="62"/>
      <c r="E2934" s="62"/>
      <c r="F2934" s="62"/>
      <c r="G2934" s="62"/>
      <c r="H2934" s="62" t="str">
        <f>IF(AND('Data Export'!A2934=前十整体车型排名!$B$2,'Data Export'!B2934=前十整体车型排名!$B$3,'Data Export'!D2934&lt;&gt;""),UPPER('Data Export'!C2934)&amp;"♦"&amp;'Data Export'!D2934,"")</f>
        <v/>
      </c>
      <c r="I2934" s="63" t="str">
        <f>IF(H2934="","",IFERROR(INDEX('Data Export'!G2934:CZ2934,1,MATCH(前十整体车型排名!$B$4,'Data Export'!$G$1:$CZ$1,0)),0))</f>
        <v/>
      </c>
      <c r="J2934" s="62" t="str">
        <f>IF(H2934="","",IF(OR('Data Export'!F2934="三厢轿车",'Data Export'!F2934="掀背轿车",'Data Export'!F2934="旅行车",'Data Export'!F2934="微型车",'Data Export'!F2934="硬顶跑车",'Data Export'!F2934="敞蓬车",'Data Export'!F2934="Targa"),"轿车",IF(OR('Data Export'!F2934="小型MPV",'Data Export'!F2934="客车"),"MPV",IF('Data Export'!F2934="运动型多功能车","SUV","其他"))))</f>
        <v/>
      </c>
      <c r="K2934" s="62"/>
      <c r="L2934" s="62"/>
      <c r="M2934" s="62"/>
      <c r="N2934" s="62"/>
      <c r="O2934" s="62"/>
      <c r="P2934" s="62"/>
      <c r="Q2934" s="62"/>
    </row>
    <row r="2935" spans="1:17">
      <c r="A2935" s="62"/>
      <c r="B2935" s="62"/>
      <c r="C2935" s="62"/>
      <c r="D2935" s="62"/>
      <c r="E2935" s="62"/>
      <c r="F2935" s="62"/>
      <c r="G2935" s="62"/>
      <c r="H2935" s="62" t="str">
        <f>IF(AND('Data Export'!A2935=前十整体车型排名!$B$2,'Data Export'!B2935=前十整体车型排名!$B$3,'Data Export'!D2935&lt;&gt;""),UPPER('Data Export'!C2935)&amp;"♦"&amp;'Data Export'!D2935,"")</f>
        <v/>
      </c>
      <c r="I2935" s="63" t="str">
        <f>IF(H2935="","",IFERROR(INDEX('Data Export'!G2935:CZ2935,1,MATCH(前十整体车型排名!$B$4,'Data Export'!$G$1:$CZ$1,0)),0))</f>
        <v/>
      </c>
      <c r="J2935" s="62" t="str">
        <f>IF(H2935="","",IF(OR('Data Export'!F2935="三厢轿车",'Data Export'!F2935="掀背轿车",'Data Export'!F2935="旅行车",'Data Export'!F2935="微型车",'Data Export'!F2935="硬顶跑车",'Data Export'!F2935="敞蓬车",'Data Export'!F2935="Targa"),"轿车",IF(OR('Data Export'!F2935="小型MPV",'Data Export'!F2935="客车"),"MPV",IF('Data Export'!F2935="运动型多功能车","SUV","其他"))))</f>
        <v/>
      </c>
      <c r="K2935" s="62"/>
      <c r="L2935" s="62"/>
      <c r="M2935" s="62"/>
      <c r="N2935" s="62"/>
      <c r="O2935" s="62"/>
      <c r="P2935" s="62"/>
      <c r="Q2935" s="62"/>
    </row>
    <row r="2936" spans="1:17">
      <c r="A2936" s="62"/>
      <c r="B2936" s="62"/>
      <c r="C2936" s="62"/>
      <c r="D2936" s="62"/>
      <c r="E2936" s="62"/>
      <c r="F2936" s="62"/>
      <c r="G2936" s="62"/>
      <c r="H2936" s="62" t="str">
        <f>IF(AND('Data Export'!A2936=前十整体车型排名!$B$2,'Data Export'!B2936=前十整体车型排名!$B$3,'Data Export'!D2936&lt;&gt;""),UPPER('Data Export'!C2936)&amp;"♦"&amp;'Data Export'!D2936,"")</f>
        <v/>
      </c>
      <c r="I2936" s="63" t="str">
        <f>IF(H2936="","",IFERROR(INDEX('Data Export'!G2936:CZ2936,1,MATCH(前十整体车型排名!$B$4,'Data Export'!$G$1:$CZ$1,0)),0))</f>
        <v/>
      </c>
      <c r="J2936" s="62" t="str">
        <f>IF(H2936="","",IF(OR('Data Export'!F2936="三厢轿车",'Data Export'!F2936="掀背轿车",'Data Export'!F2936="旅行车",'Data Export'!F2936="微型车",'Data Export'!F2936="硬顶跑车",'Data Export'!F2936="敞蓬车",'Data Export'!F2936="Targa"),"轿车",IF(OR('Data Export'!F2936="小型MPV",'Data Export'!F2936="客车"),"MPV",IF('Data Export'!F2936="运动型多功能车","SUV","其他"))))</f>
        <v/>
      </c>
      <c r="K2936" s="62"/>
      <c r="L2936" s="62"/>
      <c r="M2936" s="62"/>
      <c r="N2936" s="62"/>
      <c r="O2936" s="62"/>
      <c r="P2936" s="62"/>
      <c r="Q2936" s="62"/>
    </row>
    <row r="2937" spans="1:17">
      <c r="A2937" s="62"/>
      <c r="B2937" s="62"/>
      <c r="C2937" s="62"/>
      <c r="D2937" s="62"/>
      <c r="E2937" s="62"/>
      <c r="F2937" s="62"/>
      <c r="G2937" s="62"/>
      <c r="H2937" s="62" t="str">
        <f>IF(AND('Data Export'!A2937=前十整体车型排名!$B$2,'Data Export'!B2937=前十整体车型排名!$B$3,'Data Export'!D2937&lt;&gt;""),UPPER('Data Export'!C2937)&amp;"♦"&amp;'Data Export'!D2937,"")</f>
        <v/>
      </c>
      <c r="I2937" s="63" t="str">
        <f>IF(H2937="","",IFERROR(INDEX('Data Export'!G2937:CZ2937,1,MATCH(前十整体车型排名!$B$4,'Data Export'!$G$1:$CZ$1,0)),0))</f>
        <v/>
      </c>
      <c r="J2937" s="62" t="str">
        <f>IF(H2937="","",IF(OR('Data Export'!F2937="三厢轿车",'Data Export'!F2937="掀背轿车",'Data Export'!F2937="旅行车",'Data Export'!F2937="微型车",'Data Export'!F2937="硬顶跑车",'Data Export'!F2937="敞蓬车",'Data Export'!F2937="Targa"),"轿车",IF(OR('Data Export'!F2937="小型MPV",'Data Export'!F2937="客车"),"MPV",IF('Data Export'!F2937="运动型多功能车","SUV","其他"))))</f>
        <v/>
      </c>
      <c r="K2937" s="62"/>
      <c r="L2937" s="62"/>
      <c r="M2937" s="62"/>
      <c r="N2937" s="62"/>
      <c r="O2937" s="62"/>
      <c r="P2937" s="62"/>
      <c r="Q2937" s="62"/>
    </row>
    <row r="2938" spans="1:17">
      <c r="A2938" s="62"/>
      <c r="B2938" s="62"/>
      <c r="C2938" s="62"/>
      <c r="D2938" s="62"/>
      <c r="E2938" s="62"/>
      <c r="F2938" s="62"/>
      <c r="G2938" s="62"/>
      <c r="H2938" s="62" t="str">
        <f>IF(AND('Data Export'!A2938=前十整体车型排名!$B$2,'Data Export'!B2938=前十整体车型排名!$B$3,'Data Export'!D2938&lt;&gt;""),UPPER('Data Export'!C2938)&amp;"♦"&amp;'Data Export'!D2938,"")</f>
        <v/>
      </c>
      <c r="I2938" s="63" t="str">
        <f>IF(H2938="","",IFERROR(INDEX('Data Export'!G2938:CZ2938,1,MATCH(前十整体车型排名!$B$4,'Data Export'!$G$1:$CZ$1,0)),0))</f>
        <v/>
      </c>
      <c r="J2938" s="62" t="str">
        <f>IF(H2938="","",IF(OR('Data Export'!F2938="三厢轿车",'Data Export'!F2938="掀背轿车",'Data Export'!F2938="旅行车",'Data Export'!F2938="微型车",'Data Export'!F2938="硬顶跑车",'Data Export'!F2938="敞蓬车",'Data Export'!F2938="Targa"),"轿车",IF(OR('Data Export'!F2938="小型MPV",'Data Export'!F2938="客车"),"MPV",IF('Data Export'!F2938="运动型多功能车","SUV","其他"))))</f>
        <v/>
      </c>
      <c r="K2938" s="62"/>
      <c r="L2938" s="62"/>
      <c r="M2938" s="62"/>
      <c r="N2938" s="62"/>
      <c r="O2938" s="62"/>
      <c r="P2938" s="62"/>
      <c r="Q2938" s="62"/>
    </row>
    <row r="2939" spans="1:17">
      <c r="A2939" s="62"/>
      <c r="B2939" s="62"/>
      <c r="C2939" s="62"/>
      <c r="D2939" s="62"/>
      <c r="E2939" s="62"/>
      <c r="F2939" s="62"/>
      <c r="G2939" s="62"/>
      <c r="H2939" s="62" t="str">
        <f>IF(AND('Data Export'!A2939=前十整体车型排名!$B$2,'Data Export'!B2939=前十整体车型排名!$B$3,'Data Export'!D2939&lt;&gt;""),UPPER('Data Export'!C2939)&amp;"♦"&amp;'Data Export'!D2939,"")</f>
        <v/>
      </c>
      <c r="I2939" s="63" t="str">
        <f>IF(H2939="","",IFERROR(INDEX('Data Export'!G2939:CZ2939,1,MATCH(前十整体车型排名!$B$4,'Data Export'!$G$1:$CZ$1,0)),0))</f>
        <v/>
      </c>
      <c r="J2939" s="62" t="str">
        <f>IF(H2939="","",IF(OR('Data Export'!F2939="三厢轿车",'Data Export'!F2939="掀背轿车",'Data Export'!F2939="旅行车",'Data Export'!F2939="微型车",'Data Export'!F2939="硬顶跑车",'Data Export'!F2939="敞蓬车",'Data Export'!F2939="Targa"),"轿车",IF(OR('Data Export'!F2939="小型MPV",'Data Export'!F2939="客车"),"MPV",IF('Data Export'!F2939="运动型多功能车","SUV","其他"))))</f>
        <v/>
      </c>
      <c r="K2939" s="62"/>
      <c r="L2939" s="62"/>
      <c r="M2939" s="62"/>
      <c r="N2939" s="62"/>
      <c r="O2939" s="62"/>
      <c r="P2939" s="62"/>
      <c r="Q2939" s="62"/>
    </row>
    <row r="2940" spans="1:17">
      <c r="A2940" s="62"/>
      <c r="B2940" s="62"/>
      <c r="C2940" s="62"/>
      <c r="D2940" s="62"/>
      <c r="E2940" s="62"/>
      <c r="F2940" s="62"/>
      <c r="G2940" s="62"/>
      <c r="H2940" s="62" t="str">
        <f>IF(AND('Data Export'!A2940=前十整体车型排名!$B$2,'Data Export'!B2940=前十整体车型排名!$B$3,'Data Export'!D2940&lt;&gt;""),UPPER('Data Export'!C2940)&amp;"♦"&amp;'Data Export'!D2940,"")</f>
        <v/>
      </c>
      <c r="I2940" s="63" t="str">
        <f>IF(H2940="","",IFERROR(INDEX('Data Export'!G2940:CZ2940,1,MATCH(前十整体车型排名!$B$4,'Data Export'!$G$1:$CZ$1,0)),0))</f>
        <v/>
      </c>
      <c r="J2940" s="62" t="str">
        <f>IF(H2940="","",IF(OR('Data Export'!F2940="三厢轿车",'Data Export'!F2940="掀背轿车",'Data Export'!F2940="旅行车",'Data Export'!F2940="微型车",'Data Export'!F2940="硬顶跑车",'Data Export'!F2940="敞蓬车",'Data Export'!F2940="Targa"),"轿车",IF(OR('Data Export'!F2940="小型MPV",'Data Export'!F2940="客车"),"MPV",IF('Data Export'!F2940="运动型多功能车","SUV","其他"))))</f>
        <v/>
      </c>
      <c r="K2940" s="62"/>
      <c r="L2940" s="62"/>
      <c r="M2940" s="62"/>
      <c r="N2940" s="62"/>
      <c r="O2940" s="62"/>
      <c r="P2940" s="62"/>
      <c r="Q2940" s="62"/>
    </row>
    <row r="2941" spans="1:17">
      <c r="A2941" s="62"/>
      <c r="B2941" s="62"/>
      <c r="C2941" s="62"/>
      <c r="D2941" s="62"/>
      <c r="E2941" s="62"/>
      <c r="F2941" s="62"/>
      <c r="G2941" s="62"/>
      <c r="H2941" s="62" t="str">
        <f>IF(AND('Data Export'!A2941=前十整体车型排名!$B$2,'Data Export'!B2941=前十整体车型排名!$B$3,'Data Export'!D2941&lt;&gt;""),UPPER('Data Export'!C2941)&amp;"♦"&amp;'Data Export'!D2941,"")</f>
        <v/>
      </c>
      <c r="I2941" s="63" t="str">
        <f>IF(H2941="","",IFERROR(INDEX('Data Export'!G2941:CZ2941,1,MATCH(前十整体车型排名!$B$4,'Data Export'!$G$1:$CZ$1,0)),0))</f>
        <v/>
      </c>
      <c r="J2941" s="62" t="str">
        <f>IF(H2941="","",IF(OR('Data Export'!F2941="三厢轿车",'Data Export'!F2941="掀背轿车",'Data Export'!F2941="旅行车",'Data Export'!F2941="微型车",'Data Export'!F2941="硬顶跑车",'Data Export'!F2941="敞蓬车",'Data Export'!F2941="Targa"),"轿车",IF(OR('Data Export'!F2941="小型MPV",'Data Export'!F2941="客车"),"MPV",IF('Data Export'!F2941="运动型多功能车","SUV","其他"))))</f>
        <v/>
      </c>
      <c r="K2941" s="62"/>
      <c r="L2941" s="62"/>
      <c r="M2941" s="62"/>
      <c r="N2941" s="62"/>
      <c r="O2941" s="62"/>
      <c r="P2941" s="62"/>
      <c r="Q2941" s="62"/>
    </row>
    <row r="2942" spans="1:17">
      <c r="A2942" s="62"/>
      <c r="B2942" s="62"/>
      <c r="C2942" s="62"/>
      <c r="D2942" s="62"/>
      <c r="E2942" s="62"/>
      <c r="F2942" s="62"/>
      <c r="G2942" s="62"/>
      <c r="H2942" s="62" t="str">
        <f>IF(AND('Data Export'!A2942=前十整体车型排名!$B$2,'Data Export'!B2942=前十整体车型排名!$B$3,'Data Export'!D2942&lt;&gt;""),UPPER('Data Export'!C2942)&amp;"♦"&amp;'Data Export'!D2942,"")</f>
        <v/>
      </c>
      <c r="I2942" s="63" t="str">
        <f>IF(H2942="","",IFERROR(INDEX('Data Export'!G2942:CZ2942,1,MATCH(前十整体车型排名!$B$4,'Data Export'!$G$1:$CZ$1,0)),0))</f>
        <v/>
      </c>
      <c r="J2942" s="62" t="str">
        <f>IF(H2942="","",IF(OR('Data Export'!F2942="三厢轿车",'Data Export'!F2942="掀背轿车",'Data Export'!F2942="旅行车",'Data Export'!F2942="微型车",'Data Export'!F2942="硬顶跑车",'Data Export'!F2942="敞蓬车",'Data Export'!F2942="Targa"),"轿车",IF(OR('Data Export'!F2942="小型MPV",'Data Export'!F2942="客车"),"MPV",IF('Data Export'!F2942="运动型多功能车","SUV","其他"))))</f>
        <v/>
      </c>
      <c r="K2942" s="62"/>
      <c r="L2942" s="62"/>
      <c r="M2942" s="62"/>
      <c r="N2942" s="62"/>
      <c r="O2942" s="62"/>
      <c r="P2942" s="62"/>
      <c r="Q2942" s="62"/>
    </row>
    <row r="2943" spans="1:17">
      <c r="A2943" s="62"/>
      <c r="B2943" s="62"/>
      <c r="C2943" s="62"/>
      <c r="D2943" s="62"/>
      <c r="E2943" s="62"/>
      <c r="F2943" s="62"/>
      <c r="G2943" s="62"/>
      <c r="H2943" s="62" t="str">
        <f>IF(AND('Data Export'!A2943=前十整体车型排名!$B$2,'Data Export'!B2943=前十整体车型排名!$B$3,'Data Export'!D2943&lt;&gt;""),UPPER('Data Export'!C2943)&amp;"♦"&amp;'Data Export'!D2943,"")</f>
        <v/>
      </c>
      <c r="I2943" s="63" t="str">
        <f>IF(H2943="","",IFERROR(INDEX('Data Export'!G2943:CZ2943,1,MATCH(前十整体车型排名!$B$4,'Data Export'!$G$1:$CZ$1,0)),0))</f>
        <v/>
      </c>
      <c r="J2943" s="62" t="str">
        <f>IF(H2943="","",IF(OR('Data Export'!F2943="三厢轿车",'Data Export'!F2943="掀背轿车",'Data Export'!F2943="旅行车",'Data Export'!F2943="微型车",'Data Export'!F2943="硬顶跑车",'Data Export'!F2943="敞蓬车",'Data Export'!F2943="Targa"),"轿车",IF(OR('Data Export'!F2943="小型MPV",'Data Export'!F2943="客车"),"MPV",IF('Data Export'!F2943="运动型多功能车","SUV","其他"))))</f>
        <v/>
      </c>
      <c r="K2943" s="62"/>
      <c r="L2943" s="62"/>
      <c r="M2943" s="62"/>
      <c r="N2943" s="62"/>
      <c r="O2943" s="62"/>
      <c r="P2943" s="62"/>
      <c r="Q2943" s="62"/>
    </row>
    <row r="2944" spans="1:17">
      <c r="A2944" s="62"/>
      <c r="B2944" s="62"/>
      <c r="C2944" s="62"/>
      <c r="D2944" s="62"/>
      <c r="E2944" s="62"/>
      <c r="F2944" s="62"/>
      <c r="G2944" s="62"/>
      <c r="H2944" s="62" t="str">
        <f>IF(AND('Data Export'!A2944=前十整体车型排名!$B$2,'Data Export'!B2944=前十整体车型排名!$B$3,'Data Export'!D2944&lt;&gt;""),UPPER('Data Export'!C2944)&amp;"♦"&amp;'Data Export'!D2944,"")</f>
        <v/>
      </c>
      <c r="I2944" s="63" t="str">
        <f>IF(H2944="","",IFERROR(INDEX('Data Export'!G2944:CZ2944,1,MATCH(前十整体车型排名!$B$4,'Data Export'!$G$1:$CZ$1,0)),0))</f>
        <v/>
      </c>
      <c r="J2944" s="62" t="str">
        <f>IF(H2944="","",IF(OR('Data Export'!F2944="三厢轿车",'Data Export'!F2944="掀背轿车",'Data Export'!F2944="旅行车",'Data Export'!F2944="微型车",'Data Export'!F2944="硬顶跑车",'Data Export'!F2944="敞蓬车",'Data Export'!F2944="Targa"),"轿车",IF(OR('Data Export'!F2944="小型MPV",'Data Export'!F2944="客车"),"MPV",IF('Data Export'!F2944="运动型多功能车","SUV","其他"))))</f>
        <v/>
      </c>
      <c r="K2944" s="62"/>
      <c r="L2944" s="62"/>
      <c r="M2944" s="62"/>
      <c r="N2944" s="62"/>
      <c r="O2944" s="62"/>
      <c r="P2944" s="62"/>
      <c r="Q2944" s="62"/>
    </row>
    <row r="2945" spans="1:17">
      <c r="A2945" s="62"/>
      <c r="B2945" s="62"/>
      <c r="C2945" s="62"/>
      <c r="D2945" s="62"/>
      <c r="E2945" s="62"/>
      <c r="F2945" s="62"/>
      <c r="G2945" s="62"/>
      <c r="H2945" s="62" t="str">
        <f>IF(AND('Data Export'!A2945=前十整体车型排名!$B$2,'Data Export'!B2945=前十整体车型排名!$B$3,'Data Export'!D2945&lt;&gt;""),UPPER('Data Export'!C2945)&amp;"♦"&amp;'Data Export'!D2945,"")</f>
        <v/>
      </c>
      <c r="I2945" s="63" t="str">
        <f>IF(H2945="","",IFERROR(INDEX('Data Export'!G2945:CZ2945,1,MATCH(前十整体车型排名!$B$4,'Data Export'!$G$1:$CZ$1,0)),0))</f>
        <v/>
      </c>
      <c r="J2945" s="62" t="str">
        <f>IF(H2945="","",IF(OR('Data Export'!F2945="三厢轿车",'Data Export'!F2945="掀背轿车",'Data Export'!F2945="旅行车",'Data Export'!F2945="微型车",'Data Export'!F2945="硬顶跑车",'Data Export'!F2945="敞蓬车",'Data Export'!F2945="Targa"),"轿车",IF(OR('Data Export'!F2945="小型MPV",'Data Export'!F2945="客车"),"MPV",IF('Data Export'!F2945="运动型多功能车","SUV","其他"))))</f>
        <v/>
      </c>
      <c r="K2945" s="62"/>
      <c r="L2945" s="62"/>
      <c r="M2945" s="62"/>
      <c r="N2945" s="62"/>
      <c r="O2945" s="62"/>
      <c r="P2945" s="62"/>
      <c r="Q2945" s="62"/>
    </row>
    <row r="2946" spans="1:17">
      <c r="A2946" s="62"/>
      <c r="B2946" s="62"/>
      <c r="C2946" s="62"/>
      <c r="D2946" s="62"/>
      <c r="E2946" s="62"/>
      <c r="F2946" s="62"/>
      <c r="G2946" s="62"/>
      <c r="H2946" s="62" t="str">
        <f>IF(AND('Data Export'!A2946=前十整体车型排名!$B$2,'Data Export'!B2946=前十整体车型排名!$B$3,'Data Export'!D2946&lt;&gt;""),UPPER('Data Export'!C2946)&amp;"♦"&amp;'Data Export'!D2946,"")</f>
        <v/>
      </c>
      <c r="I2946" s="63" t="str">
        <f>IF(H2946="","",IFERROR(INDEX('Data Export'!G2946:CZ2946,1,MATCH(前十整体车型排名!$B$4,'Data Export'!$G$1:$CZ$1,0)),0))</f>
        <v/>
      </c>
      <c r="J2946" s="62" t="str">
        <f>IF(H2946="","",IF(OR('Data Export'!F2946="三厢轿车",'Data Export'!F2946="掀背轿车",'Data Export'!F2946="旅行车",'Data Export'!F2946="微型车",'Data Export'!F2946="硬顶跑车",'Data Export'!F2946="敞蓬车",'Data Export'!F2946="Targa"),"轿车",IF(OR('Data Export'!F2946="小型MPV",'Data Export'!F2946="客车"),"MPV",IF('Data Export'!F2946="运动型多功能车","SUV","其他"))))</f>
        <v/>
      </c>
      <c r="K2946" s="62"/>
      <c r="L2946" s="62"/>
      <c r="M2946" s="62"/>
      <c r="N2946" s="62"/>
      <c r="O2946" s="62"/>
      <c r="P2946" s="62"/>
      <c r="Q2946" s="62"/>
    </row>
    <row r="2947" spans="1:17">
      <c r="A2947" s="62"/>
      <c r="B2947" s="62"/>
      <c r="C2947" s="62"/>
      <c r="D2947" s="62"/>
      <c r="E2947" s="62"/>
      <c r="F2947" s="62"/>
      <c r="G2947" s="62"/>
      <c r="H2947" s="62" t="str">
        <f>IF(AND('Data Export'!A2947=前十整体车型排名!$B$2,'Data Export'!B2947=前十整体车型排名!$B$3,'Data Export'!D2947&lt;&gt;""),UPPER('Data Export'!C2947)&amp;"♦"&amp;'Data Export'!D2947,"")</f>
        <v/>
      </c>
      <c r="I2947" s="63" t="str">
        <f>IF(H2947="","",IFERROR(INDEX('Data Export'!G2947:CZ2947,1,MATCH(前十整体车型排名!$B$4,'Data Export'!$G$1:$CZ$1,0)),0))</f>
        <v/>
      </c>
      <c r="J2947" s="62" t="str">
        <f>IF(H2947="","",IF(OR('Data Export'!F2947="三厢轿车",'Data Export'!F2947="掀背轿车",'Data Export'!F2947="旅行车",'Data Export'!F2947="微型车",'Data Export'!F2947="硬顶跑车",'Data Export'!F2947="敞蓬车",'Data Export'!F2947="Targa"),"轿车",IF(OR('Data Export'!F2947="小型MPV",'Data Export'!F2947="客车"),"MPV",IF('Data Export'!F2947="运动型多功能车","SUV","其他"))))</f>
        <v/>
      </c>
      <c r="K2947" s="62"/>
      <c r="L2947" s="62"/>
      <c r="M2947" s="62"/>
      <c r="N2947" s="62"/>
      <c r="O2947" s="62"/>
      <c r="P2947" s="62"/>
      <c r="Q2947" s="62"/>
    </row>
    <row r="2948" spans="1:17">
      <c r="A2948" s="62"/>
      <c r="B2948" s="62"/>
      <c r="C2948" s="62"/>
      <c r="D2948" s="62"/>
      <c r="E2948" s="62"/>
      <c r="F2948" s="62"/>
      <c r="G2948" s="62"/>
      <c r="H2948" s="62" t="str">
        <f>IF(AND('Data Export'!A2948=前十整体车型排名!$B$2,'Data Export'!B2948=前十整体车型排名!$B$3,'Data Export'!D2948&lt;&gt;""),UPPER('Data Export'!C2948)&amp;"♦"&amp;'Data Export'!D2948,"")</f>
        <v/>
      </c>
      <c r="I2948" s="63" t="str">
        <f>IF(H2948="","",IFERROR(INDEX('Data Export'!G2948:CZ2948,1,MATCH(前十整体车型排名!$B$4,'Data Export'!$G$1:$CZ$1,0)),0))</f>
        <v/>
      </c>
      <c r="J2948" s="62" t="str">
        <f>IF(H2948="","",IF(OR('Data Export'!F2948="三厢轿车",'Data Export'!F2948="掀背轿车",'Data Export'!F2948="旅行车",'Data Export'!F2948="微型车",'Data Export'!F2948="硬顶跑车",'Data Export'!F2948="敞蓬车",'Data Export'!F2948="Targa"),"轿车",IF(OR('Data Export'!F2948="小型MPV",'Data Export'!F2948="客车"),"MPV",IF('Data Export'!F2948="运动型多功能车","SUV","其他"))))</f>
        <v/>
      </c>
      <c r="K2948" s="62"/>
      <c r="L2948" s="62"/>
      <c r="M2948" s="62"/>
      <c r="N2948" s="62"/>
      <c r="O2948" s="62"/>
      <c r="P2948" s="62"/>
      <c r="Q2948" s="62"/>
    </row>
    <row r="2949" spans="1:17">
      <c r="A2949" s="62"/>
      <c r="B2949" s="62"/>
      <c r="C2949" s="62"/>
      <c r="D2949" s="62"/>
      <c r="E2949" s="62"/>
      <c r="F2949" s="62"/>
      <c r="G2949" s="62"/>
      <c r="H2949" s="62" t="str">
        <f>IF(AND('Data Export'!A2949=前十整体车型排名!$B$2,'Data Export'!B2949=前十整体车型排名!$B$3,'Data Export'!D2949&lt;&gt;""),UPPER('Data Export'!C2949)&amp;"♦"&amp;'Data Export'!D2949,"")</f>
        <v/>
      </c>
      <c r="I2949" s="63" t="str">
        <f>IF(H2949="","",IFERROR(INDEX('Data Export'!G2949:CZ2949,1,MATCH(前十整体车型排名!$B$4,'Data Export'!$G$1:$CZ$1,0)),0))</f>
        <v/>
      </c>
      <c r="J2949" s="62" t="str">
        <f>IF(H2949="","",IF(OR('Data Export'!F2949="三厢轿车",'Data Export'!F2949="掀背轿车",'Data Export'!F2949="旅行车",'Data Export'!F2949="微型车",'Data Export'!F2949="硬顶跑车",'Data Export'!F2949="敞蓬车",'Data Export'!F2949="Targa"),"轿车",IF(OR('Data Export'!F2949="小型MPV",'Data Export'!F2949="客车"),"MPV",IF('Data Export'!F2949="运动型多功能车","SUV","其他"))))</f>
        <v/>
      </c>
      <c r="K2949" s="62"/>
      <c r="L2949" s="62"/>
      <c r="M2949" s="62"/>
      <c r="N2949" s="62"/>
      <c r="O2949" s="62"/>
      <c r="P2949" s="62"/>
      <c r="Q2949" s="62"/>
    </row>
    <row r="2950" spans="1:17">
      <c r="A2950" s="62"/>
      <c r="B2950" s="62"/>
      <c r="C2950" s="62"/>
      <c r="D2950" s="62"/>
      <c r="E2950" s="62"/>
      <c r="F2950" s="62"/>
      <c r="G2950" s="62"/>
      <c r="H2950" s="62" t="str">
        <f>IF(AND('Data Export'!A2950=前十整体车型排名!$B$2,'Data Export'!B2950=前十整体车型排名!$B$3,'Data Export'!D2950&lt;&gt;""),UPPER('Data Export'!C2950)&amp;"♦"&amp;'Data Export'!D2950,"")</f>
        <v/>
      </c>
      <c r="I2950" s="63" t="str">
        <f>IF(H2950="","",IFERROR(INDEX('Data Export'!G2950:CZ2950,1,MATCH(前十整体车型排名!$B$4,'Data Export'!$G$1:$CZ$1,0)),0))</f>
        <v/>
      </c>
      <c r="J2950" s="62" t="str">
        <f>IF(H2950="","",IF(OR('Data Export'!F2950="三厢轿车",'Data Export'!F2950="掀背轿车",'Data Export'!F2950="旅行车",'Data Export'!F2950="微型车",'Data Export'!F2950="硬顶跑车",'Data Export'!F2950="敞蓬车",'Data Export'!F2950="Targa"),"轿车",IF(OR('Data Export'!F2950="小型MPV",'Data Export'!F2950="客车"),"MPV",IF('Data Export'!F2950="运动型多功能车","SUV","其他"))))</f>
        <v/>
      </c>
      <c r="K2950" s="62"/>
      <c r="L2950" s="62"/>
      <c r="M2950" s="62"/>
      <c r="N2950" s="62"/>
      <c r="O2950" s="62"/>
      <c r="P2950" s="62"/>
      <c r="Q2950" s="62"/>
    </row>
    <row r="2951" spans="1:17">
      <c r="A2951" s="62"/>
      <c r="B2951" s="62"/>
      <c r="C2951" s="62"/>
      <c r="D2951" s="62"/>
      <c r="E2951" s="62"/>
      <c r="F2951" s="62"/>
      <c r="G2951" s="62"/>
      <c r="H2951" s="62" t="str">
        <f>IF(AND('Data Export'!A2951=前十整体车型排名!$B$2,'Data Export'!B2951=前十整体车型排名!$B$3,'Data Export'!D2951&lt;&gt;""),UPPER('Data Export'!C2951)&amp;"♦"&amp;'Data Export'!D2951,"")</f>
        <v/>
      </c>
      <c r="I2951" s="63" t="str">
        <f>IF(H2951="","",IFERROR(INDEX('Data Export'!G2951:CZ2951,1,MATCH(前十整体车型排名!$B$4,'Data Export'!$G$1:$CZ$1,0)),0))</f>
        <v/>
      </c>
      <c r="J2951" s="62" t="str">
        <f>IF(H2951="","",IF(OR('Data Export'!F2951="三厢轿车",'Data Export'!F2951="掀背轿车",'Data Export'!F2951="旅行车",'Data Export'!F2951="微型车",'Data Export'!F2951="硬顶跑车",'Data Export'!F2951="敞蓬车",'Data Export'!F2951="Targa"),"轿车",IF(OR('Data Export'!F2951="小型MPV",'Data Export'!F2951="客车"),"MPV",IF('Data Export'!F2951="运动型多功能车","SUV","其他"))))</f>
        <v/>
      </c>
      <c r="K2951" s="62"/>
      <c r="L2951" s="62"/>
      <c r="M2951" s="62"/>
      <c r="N2951" s="62"/>
      <c r="O2951" s="62"/>
      <c r="P2951" s="62"/>
      <c r="Q2951" s="62"/>
    </row>
    <row r="2952" spans="1:17">
      <c r="A2952" s="62"/>
      <c r="B2952" s="62"/>
      <c r="C2952" s="62"/>
      <c r="D2952" s="62"/>
      <c r="E2952" s="62"/>
      <c r="F2952" s="62"/>
      <c r="G2952" s="62"/>
      <c r="H2952" s="62" t="str">
        <f>IF(AND('Data Export'!A2952=前十整体车型排名!$B$2,'Data Export'!B2952=前十整体车型排名!$B$3,'Data Export'!D2952&lt;&gt;""),UPPER('Data Export'!C2952)&amp;"♦"&amp;'Data Export'!D2952,"")</f>
        <v/>
      </c>
      <c r="I2952" s="63" t="str">
        <f>IF(H2952="","",IFERROR(INDEX('Data Export'!G2952:CZ2952,1,MATCH(前十整体车型排名!$B$4,'Data Export'!$G$1:$CZ$1,0)),0))</f>
        <v/>
      </c>
      <c r="J2952" s="62" t="str">
        <f>IF(H2952="","",IF(OR('Data Export'!F2952="三厢轿车",'Data Export'!F2952="掀背轿车",'Data Export'!F2952="旅行车",'Data Export'!F2952="微型车",'Data Export'!F2952="硬顶跑车",'Data Export'!F2952="敞蓬车",'Data Export'!F2952="Targa"),"轿车",IF(OR('Data Export'!F2952="小型MPV",'Data Export'!F2952="客车"),"MPV",IF('Data Export'!F2952="运动型多功能车","SUV","其他"))))</f>
        <v/>
      </c>
      <c r="K2952" s="62"/>
      <c r="L2952" s="62"/>
      <c r="M2952" s="62"/>
      <c r="N2952" s="62"/>
      <c r="O2952" s="62"/>
      <c r="P2952" s="62"/>
      <c r="Q2952" s="62"/>
    </row>
    <row r="2953" spans="1:17">
      <c r="A2953" s="62"/>
      <c r="B2953" s="62"/>
      <c r="C2953" s="62"/>
      <c r="D2953" s="62"/>
      <c r="E2953" s="62"/>
      <c r="F2953" s="62"/>
      <c r="G2953" s="62"/>
      <c r="H2953" s="62" t="str">
        <f>IF(AND('Data Export'!A2953=前十整体车型排名!$B$2,'Data Export'!B2953=前十整体车型排名!$B$3,'Data Export'!D2953&lt;&gt;""),UPPER('Data Export'!C2953)&amp;"♦"&amp;'Data Export'!D2953,"")</f>
        <v/>
      </c>
      <c r="I2953" s="63" t="str">
        <f>IF(H2953="","",IFERROR(INDEX('Data Export'!G2953:CZ2953,1,MATCH(前十整体车型排名!$B$4,'Data Export'!$G$1:$CZ$1,0)),0))</f>
        <v/>
      </c>
      <c r="J2953" s="62" t="str">
        <f>IF(H2953="","",IF(OR('Data Export'!F2953="三厢轿车",'Data Export'!F2953="掀背轿车",'Data Export'!F2953="旅行车",'Data Export'!F2953="微型车",'Data Export'!F2953="硬顶跑车",'Data Export'!F2953="敞蓬车",'Data Export'!F2953="Targa"),"轿车",IF(OR('Data Export'!F2953="小型MPV",'Data Export'!F2953="客车"),"MPV",IF('Data Export'!F2953="运动型多功能车","SUV","其他"))))</f>
        <v/>
      </c>
      <c r="K2953" s="62"/>
      <c r="L2953" s="62"/>
      <c r="M2953" s="62"/>
      <c r="N2953" s="62"/>
      <c r="O2953" s="62"/>
      <c r="P2953" s="62"/>
      <c r="Q2953" s="62"/>
    </row>
    <row r="2954" spans="1:17">
      <c r="A2954" s="62"/>
      <c r="B2954" s="62"/>
      <c r="C2954" s="62"/>
      <c r="D2954" s="62"/>
      <c r="E2954" s="62"/>
      <c r="F2954" s="62"/>
      <c r="G2954" s="62"/>
      <c r="H2954" s="62" t="str">
        <f>IF(AND('Data Export'!A2954=前十整体车型排名!$B$2,'Data Export'!B2954=前十整体车型排名!$B$3,'Data Export'!D2954&lt;&gt;""),UPPER('Data Export'!C2954)&amp;"♦"&amp;'Data Export'!D2954,"")</f>
        <v/>
      </c>
      <c r="I2954" s="63" t="str">
        <f>IF(H2954="","",IFERROR(INDEX('Data Export'!G2954:CZ2954,1,MATCH(前十整体车型排名!$B$4,'Data Export'!$G$1:$CZ$1,0)),0))</f>
        <v/>
      </c>
      <c r="J2954" s="62" t="str">
        <f>IF(H2954="","",IF(OR('Data Export'!F2954="三厢轿车",'Data Export'!F2954="掀背轿车",'Data Export'!F2954="旅行车",'Data Export'!F2954="微型车",'Data Export'!F2954="硬顶跑车",'Data Export'!F2954="敞蓬车",'Data Export'!F2954="Targa"),"轿车",IF(OR('Data Export'!F2954="小型MPV",'Data Export'!F2954="客车"),"MPV",IF('Data Export'!F2954="运动型多功能车","SUV","其他"))))</f>
        <v/>
      </c>
      <c r="K2954" s="62"/>
      <c r="L2954" s="62"/>
      <c r="M2954" s="62"/>
      <c r="N2954" s="62"/>
      <c r="O2954" s="62"/>
      <c r="P2954" s="62"/>
      <c r="Q2954" s="62"/>
    </row>
    <row r="2955" spans="1:17">
      <c r="A2955" s="62"/>
      <c r="B2955" s="62"/>
      <c r="C2955" s="62"/>
      <c r="D2955" s="62"/>
      <c r="E2955" s="62"/>
      <c r="F2955" s="62"/>
      <c r="G2955" s="62"/>
      <c r="H2955" s="62" t="str">
        <f>IF(AND('Data Export'!A2955=前十整体车型排名!$B$2,'Data Export'!B2955=前十整体车型排名!$B$3,'Data Export'!D2955&lt;&gt;""),UPPER('Data Export'!C2955)&amp;"♦"&amp;'Data Export'!D2955,"")</f>
        <v/>
      </c>
      <c r="I2955" s="63" t="str">
        <f>IF(H2955="","",IFERROR(INDEX('Data Export'!G2955:CZ2955,1,MATCH(前十整体车型排名!$B$4,'Data Export'!$G$1:$CZ$1,0)),0))</f>
        <v/>
      </c>
      <c r="J2955" s="62" t="str">
        <f>IF(H2955="","",IF(OR('Data Export'!F2955="三厢轿车",'Data Export'!F2955="掀背轿车",'Data Export'!F2955="旅行车",'Data Export'!F2955="微型车",'Data Export'!F2955="硬顶跑车",'Data Export'!F2955="敞蓬车",'Data Export'!F2955="Targa"),"轿车",IF(OR('Data Export'!F2955="小型MPV",'Data Export'!F2955="客车"),"MPV",IF('Data Export'!F2955="运动型多功能车","SUV","其他"))))</f>
        <v/>
      </c>
      <c r="K2955" s="62"/>
      <c r="L2955" s="62"/>
      <c r="M2955" s="62"/>
      <c r="N2955" s="62"/>
      <c r="O2955" s="62"/>
      <c r="P2955" s="62"/>
      <c r="Q2955" s="62"/>
    </row>
    <row r="2956" spans="1:17">
      <c r="A2956" s="62"/>
      <c r="B2956" s="62"/>
      <c r="C2956" s="62"/>
      <c r="D2956" s="62"/>
      <c r="E2956" s="62"/>
      <c r="F2956" s="62"/>
      <c r="G2956" s="62"/>
      <c r="H2956" s="62" t="str">
        <f>IF(AND('Data Export'!A2956=前十整体车型排名!$B$2,'Data Export'!B2956=前十整体车型排名!$B$3,'Data Export'!D2956&lt;&gt;""),UPPER('Data Export'!C2956)&amp;"♦"&amp;'Data Export'!D2956,"")</f>
        <v/>
      </c>
      <c r="I2956" s="63" t="str">
        <f>IF(H2956="","",IFERROR(INDEX('Data Export'!G2956:CZ2956,1,MATCH(前十整体车型排名!$B$4,'Data Export'!$G$1:$CZ$1,0)),0))</f>
        <v/>
      </c>
      <c r="J2956" s="62" t="str">
        <f>IF(H2956="","",IF(OR('Data Export'!F2956="三厢轿车",'Data Export'!F2956="掀背轿车",'Data Export'!F2956="旅行车",'Data Export'!F2956="微型车",'Data Export'!F2956="硬顶跑车",'Data Export'!F2956="敞蓬车",'Data Export'!F2956="Targa"),"轿车",IF(OR('Data Export'!F2956="小型MPV",'Data Export'!F2956="客车"),"MPV",IF('Data Export'!F2956="运动型多功能车","SUV","其他"))))</f>
        <v/>
      </c>
      <c r="K2956" s="62"/>
      <c r="L2956" s="62"/>
      <c r="M2956" s="62"/>
      <c r="N2956" s="62"/>
      <c r="O2956" s="62"/>
      <c r="P2956" s="62"/>
      <c r="Q2956" s="62"/>
    </row>
    <row r="2957" spans="1:17">
      <c r="A2957" s="62"/>
      <c r="B2957" s="62"/>
      <c r="C2957" s="62"/>
      <c r="D2957" s="62"/>
      <c r="E2957" s="62"/>
      <c r="F2957" s="62"/>
      <c r="G2957" s="62"/>
      <c r="H2957" s="62" t="str">
        <f>IF(AND('Data Export'!A2957=前十整体车型排名!$B$2,'Data Export'!B2957=前十整体车型排名!$B$3,'Data Export'!D2957&lt;&gt;""),UPPER('Data Export'!C2957)&amp;"♦"&amp;'Data Export'!D2957,"")</f>
        <v/>
      </c>
      <c r="I2957" s="63" t="str">
        <f>IF(H2957="","",IFERROR(INDEX('Data Export'!G2957:CZ2957,1,MATCH(前十整体车型排名!$B$4,'Data Export'!$G$1:$CZ$1,0)),0))</f>
        <v/>
      </c>
      <c r="J2957" s="62" t="str">
        <f>IF(H2957="","",IF(OR('Data Export'!F2957="三厢轿车",'Data Export'!F2957="掀背轿车",'Data Export'!F2957="旅行车",'Data Export'!F2957="微型车",'Data Export'!F2957="硬顶跑车",'Data Export'!F2957="敞蓬车",'Data Export'!F2957="Targa"),"轿车",IF(OR('Data Export'!F2957="小型MPV",'Data Export'!F2957="客车"),"MPV",IF('Data Export'!F2957="运动型多功能车","SUV","其他"))))</f>
        <v/>
      </c>
      <c r="K2957" s="62"/>
      <c r="L2957" s="62"/>
      <c r="M2957" s="62"/>
      <c r="N2957" s="62"/>
      <c r="O2957" s="62"/>
      <c r="P2957" s="62"/>
      <c r="Q2957" s="62"/>
    </row>
    <row r="2958" spans="1:17">
      <c r="A2958" s="62"/>
      <c r="B2958" s="62"/>
      <c r="C2958" s="62"/>
      <c r="D2958" s="62"/>
      <c r="E2958" s="62"/>
      <c r="F2958" s="62"/>
      <c r="G2958" s="62"/>
      <c r="H2958" s="62" t="str">
        <f>IF(AND('Data Export'!A2958=前十整体车型排名!$B$2,'Data Export'!B2958=前十整体车型排名!$B$3,'Data Export'!D2958&lt;&gt;""),UPPER('Data Export'!C2958)&amp;"♦"&amp;'Data Export'!D2958,"")</f>
        <v/>
      </c>
      <c r="I2958" s="63" t="str">
        <f>IF(H2958="","",IFERROR(INDEX('Data Export'!G2958:CZ2958,1,MATCH(前十整体车型排名!$B$4,'Data Export'!$G$1:$CZ$1,0)),0))</f>
        <v/>
      </c>
      <c r="J2958" s="62" t="str">
        <f>IF(H2958="","",IF(OR('Data Export'!F2958="三厢轿车",'Data Export'!F2958="掀背轿车",'Data Export'!F2958="旅行车",'Data Export'!F2958="微型车",'Data Export'!F2958="硬顶跑车",'Data Export'!F2958="敞蓬车",'Data Export'!F2958="Targa"),"轿车",IF(OR('Data Export'!F2958="小型MPV",'Data Export'!F2958="客车"),"MPV",IF('Data Export'!F2958="运动型多功能车","SUV","其他"))))</f>
        <v/>
      </c>
      <c r="K2958" s="62"/>
      <c r="L2958" s="62"/>
      <c r="M2958" s="62"/>
      <c r="N2958" s="62"/>
      <c r="O2958" s="62"/>
      <c r="P2958" s="62"/>
      <c r="Q2958" s="62"/>
    </row>
    <row r="2959" spans="1:17">
      <c r="A2959" s="62"/>
      <c r="B2959" s="62"/>
      <c r="C2959" s="62"/>
      <c r="D2959" s="62"/>
      <c r="E2959" s="62"/>
      <c r="F2959" s="62"/>
      <c r="G2959" s="62"/>
      <c r="H2959" s="62" t="str">
        <f>IF(AND('Data Export'!A2959=前十整体车型排名!$B$2,'Data Export'!B2959=前十整体车型排名!$B$3,'Data Export'!D2959&lt;&gt;""),UPPER('Data Export'!C2959)&amp;"♦"&amp;'Data Export'!D2959,"")</f>
        <v/>
      </c>
      <c r="I2959" s="63" t="str">
        <f>IF(H2959="","",IFERROR(INDEX('Data Export'!G2959:CZ2959,1,MATCH(前十整体车型排名!$B$4,'Data Export'!$G$1:$CZ$1,0)),0))</f>
        <v/>
      </c>
      <c r="J2959" s="62" t="str">
        <f>IF(H2959="","",IF(OR('Data Export'!F2959="三厢轿车",'Data Export'!F2959="掀背轿车",'Data Export'!F2959="旅行车",'Data Export'!F2959="微型车",'Data Export'!F2959="硬顶跑车",'Data Export'!F2959="敞蓬车",'Data Export'!F2959="Targa"),"轿车",IF(OR('Data Export'!F2959="小型MPV",'Data Export'!F2959="客车"),"MPV",IF('Data Export'!F2959="运动型多功能车","SUV","其他"))))</f>
        <v/>
      </c>
      <c r="K2959" s="62"/>
      <c r="L2959" s="62"/>
      <c r="M2959" s="62"/>
      <c r="N2959" s="62"/>
      <c r="O2959" s="62"/>
      <c r="P2959" s="62"/>
      <c r="Q2959" s="62"/>
    </row>
    <row r="2960" spans="1:17">
      <c r="A2960" s="62"/>
      <c r="B2960" s="62"/>
      <c r="C2960" s="62"/>
      <c r="D2960" s="62"/>
      <c r="E2960" s="62"/>
      <c r="F2960" s="62"/>
      <c r="G2960" s="62"/>
      <c r="H2960" s="62" t="str">
        <f>IF(AND('Data Export'!A2960=前十整体车型排名!$B$2,'Data Export'!B2960=前十整体车型排名!$B$3,'Data Export'!D2960&lt;&gt;""),UPPER('Data Export'!C2960)&amp;"♦"&amp;'Data Export'!D2960,"")</f>
        <v/>
      </c>
      <c r="I2960" s="63" t="str">
        <f>IF(H2960="","",IFERROR(INDEX('Data Export'!G2960:CZ2960,1,MATCH(前十整体车型排名!$B$4,'Data Export'!$G$1:$CZ$1,0)),0))</f>
        <v/>
      </c>
      <c r="J2960" s="62" t="str">
        <f>IF(H2960="","",IF(OR('Data Export'!F2960="三厢轿车",'Data Export'!F2960="掀背轿车",'Data Export'!F2960="旅行车",'Data Export'!F2960="微型车",'Data Export'!F2960="硬顶跑车",'Data Export'!F2960="敞蓬车",'Data Export'!F2960="Targa"),"轿车",IF(OR('Data Export'!F2960="小型MPV",'Data Export'!F2960="客车"),"MPV",IF('Data Export'!F2960="运动型多功能车","SUV","其他"))))</f>
        <v/>
      </c>
      <c r="K2960" s="62"/>
      <c r="L2960" s="62"/>
      <c r="M2960" s="62"/>
      <c r="N2960" s="62"/>
      <c r="O2960" s="62"/>
      <c r="P2960" s="62"/>
      <c r="Q2960" s="62"/>
    </row>
    <row r="2961" spans="1:17">
      <c r="A2961" s="62"/>
      <c r="B2961" s="62"/>
      <c r="C2961" s="62"/>
      <c r="D2961" s="62"/>
      <c r="E2961" s="62"/>
      <c r="F2961" s="62"/>
      <c r="G2961" s="62"/>
      <c r="H2961" s="62" t="str">
        <f>IF(AND('Data Export'!A2961=前十整体车型排名!$B$2,'Data Export'!B2961=前十整体车型排名!$B$3,'Data Export'!D2961&lt;&gt;""),UPPER('Data Export'!C2961)&amp;"♦"&amp;'Data Export'!D2961,"")</f>
        <v/>
      </c>
      <c r="I2961" s="63" t="str">
        <f>IF(H2961="","",IFERROR(INDEX('Data Export'!G2961:CZ2961,1,MATCH(前十整体车型排名!$B$4,'Data Export'!$G$1:$CZ$1,0)),0))</f>
        <v/>
      </c>
      <c r="J2961" s="62" t="str">
        <f>IF(H2961="","",IF(OR('Data Export'!F2961="三厢轿车",'Data Export'!F2961="掀背轿车",'Data Export'!F2961="旅行车",'Data Export'!F2961="微型车",'Data Export'!F2961="硬顶跑车",'Data Export'!F2961="敞蓬车",'Data Export'!F2961="Targa"),"轿车",IF(OR('Data Export'!F2961="小型MPV",'Data Export'!F2961="客车"),"MPV",IF('Data Export'!F2961="运动型多功能车","SUV","其他"))))</f>
        <v/>
      </c>
      <c r="K2961" s="62"/>
      <c r="L2961" s="62"/>
      <c r="M2961" s="62"/>
      <c r="N2961" s="62"/>
      <c r="O2961" s="62"/>
      <c r="P2961" s="62"/>
      <c r="Q2961" s="62"/>
    </row>
    <row r="2962" spans="1:17">
      <c r="A2962" s="62"/>
      <c r="B2962" s="62"/>
      <c r="C2962" s="62"/>
      <c r="D2962" s="62"/>
      <c r="E2962" s="62"/>
      <c r="F2962" s="62"/>
      <c r="G2962" s="62"/>
      <c r="H2962" s="62" t="str">
        <f>IF(AND('Data Export'!A2962=前十整体车型排名!$B$2,'Data Export'!B2962=前十整体车型排名!$B$3,'Data Export'!D2962&lt;&gt;""),UPPER('Data Export'!C2962)&amp;"♦"&amp;'Data Export'!D2962,"")</f>
        <v/>
      </c>
      <c r="I2962" s="63" t="str">
        <f>IF(H2962="","",IFERROR(INDEX('Data Export'!G2962:CZ2962,1,MATCH(前十整体车型排名!$B$4,'Data Export'!$G$1:$CZ$1,0)),0))</f>
        <v/>
      </c>
      <c r="J2962" s="62" t="str">
        <f>IF(H2962="","",IF(OR('Data Export'!F2962="三厢轿车",'Data Export'!F2962="掀背轿车",'Data Export'!F2962="旅行车",'Data Export'!F2962="微型车",'Data Export'!F2962="硬顶跑车",'Data Export'!F2962="敞蓬车",'Data Export'!F2962="Targa"),"轿车",IF(OR('Data Export'!F2962="小型MPV",'Data Export'!F2962="客车"),"MPV",IF('Data Export'!F2962="运动型多功能车","SUV","其他"))))</f>
        <v/>
      </c>
      <c r="K2962" s="62"/>
      <c r="L2962" s="62"/>
      <c r="M2962" s="62"/>
      <c r="N2962" s="62"/>
      <c r="O2962" s="62"/>
      <c r="P2962" s="62"/>
      <c r="Q2962" s="62"/>
    </row>
    <row r="2963" spans="1:17">
      <c r="A2963" s="62"/>
      <c r="B2963" s="62"/>
      <c r="C2963" s="62"/>
      <c r="D2963" s="62"/>
      <c r="E2963" s="62"/>
      <c r="F2963" s="62"/>
      <c r="G2963" s="62"/>
      <c r="H2963" s="62" t="str">
        <f>IF(AND('Data Export'!A2963=前十整体车型排名!$B$2,'Data Export'!B2963=前十整体车型排名!$B$3,'Data Export'!D2963&lt;&gt;""),UPPER('Data Export'!C2963)&amp;"♦"&amp;'Data Export'!D2963,"")</f>
        <v/>
      </c>
      <c r="I2963" s="63" t="str">
        <f>IF(H2963="","",IFERROR(INDEX('Data Export'!G2963:CZ2963,1,MATCH(前十整体车型排名!$B$4,'Data Export'!$G$1:$CZ$1,0)),0))</f>
        <v/>
      </c>
      <c r="J2963" s="62" t="str">
        <f>IF(H2963="","",IF(OR('Data Export'!F2963="三厢轿车",'Data Export'!F2963="掀背轿车",'Data Export'!F2963="旅行车",'Data Export'!F2963="微型车",'Data Export'!F2963="硬顶跑车",'Data Export'!F2963="敞蓬车",'Data Export'!F2963="Targa"),"轿车",IF(OR('Data Export'!F2963="小型MPV",'Data Export'!F2963="客车"),"MPV",IF('Data Export'!F2963="运动型多功能车","SUV","其他"))))</f>
        <v/>
      </c>
      <c r="K2963" s="62"/>
      <c r="L2963" s="62"/>
      <c r="M2963" s="62"/>
      <c r="N2963" s="62"/>
      <c r="O2963" s="62"/>
      <c r="P2963" s="62"/>
      <c r="Q2963" s="62"/>
    </row>
    <row r="2964" spans="1:17">
      <c r="A2964" s="62"/>
      <c r="B2964" s="62"/>
      <c r="C2964" s="62"/>
      <c r="D2964" s="62"/>
      <c r="E2964" s="62"/>
      <c r="F2964" s="62"/>
      <c r="G2964" s="62"/>
      <c r="H2964" s="62" t="str">
        <f>IF(AND('Data Export'!A2964=前十整体车型排名!$B$2,'Data Export'!B2964=前十整体车型排名!$B$3,'Data Export'!D2964&lt;&gt;""),UPPER('Data Export'!C2964)&amp;"♦"&amp;'Data Export'!D2964,"")</f>
        <v/>
      </c>
      <c r="I2964" s="63" t="str">
        <f>IF(H2964="","",IFERROR(INDEX('Data Export'!G2964:CZ2964,1,MATCH(前十整体车型排名!$B$4,'Data Export'!$G$1:$CZ$1,0)),0))</f>
        <v/>
      </c>
      <c r="J2964" s="62" t="str">
        <f>IF(H2964="","",IF(OR('Data Export'!F2964="三厢轿车",'Data Export'!F2964="掀背轿车",'Data Export'!F2964="旅行车",'Data Export'!F2964="微型车",'Data Export'!F2964="硬顶跑车",'Data Export'!F2964="敞蓬车",'Data Export'!F2964="Targa"),"轿车",IF(OR('Data Export'!F2964="小型MPV",'Data Export'!F2964="客车"),"MPV",IF('Data Export'!F2964="运动型多功能车","SUV","其他"))))</f>
        <v/>
      </c>
      <c r="K2964" s="62"/>
      <c r="L2964" s="62"/>
      <c r="M2964" s="62"/>
      <c r="N2964" s="62"/>
      <c r="O2964" s="62"/>
      <c r="P2964" s="62"/>
      <c r="Q2964" s="62"/>
    </row>
    <row r="2965" spans="1:17">
      <c r="A2965" s="62"/>
      <c r="B2965" s="62"/>
      <c r="C2965" s="62"/>
      <c r="D2965" s="62"/>
      <c r="E2965" s="62"/>
      <c r="F2965" s="62"/>
      <c r="G2965" s="62"/>
      <c r="H2965" s="62" t="str">
        <f>IF(AND('Data Export'!A2965=前十整体车型排名!$B$2,'Data Export'!B2965=前十整体车型排名!$B$3,'Data Export'!D2965&lt;&gt;""),UPPER('Data Export'!C2965)&amp;"♦"&amp;'Data Export'!D2965,"")</f>
        <v/>
      </c>
      <c r="I2965" s="63" t="str">
        <f>IF(H2965="","",IFERROR(INDEX('Data Export'!G2965:CZ2965,1,MATCH(前十整体车型排名!$B$4,'Data Export'!$G$1:$CZ$1,0)),0))</f>
        <v/>
      </c>
      <c r="J2965" s="62" t="str">
        <f>IF(H2965="","",IF(OR('Data Export'!F2965="三厢轿车",'Data Export'!F2965="掀背轿车",'Data Export'!F2965="旅行车",'Data Export'!F2965="微型车",'Data Export'!F2965="硬顶跑车",'Data Export'!F2965="敞蓬车",'Data Export'!F2965="Targa"),"轿车",IF(OR('Data Export'!F2965="小型MPV",'Data Export'!F2965="客车"),"MPV",IF('Data Export'!F2965="运动型多功能车","SUV","其他"))))</f>
        <v/>
      </c>
      <c r="K2965" s="62"/>
      <c r="L2965" s="62"/>
      <c r="M2965" s="62"/>
      <c r="N2965" s="62"/>
      <c r="O2965" s="62"/>
      <c r="P2965" s="62"/>
      <c r="Q2965" s="62"/>
    </row>
    <row r="2966" spans="1:17">
      <c r="A2966" s="62"/>
      <c r="B2966" s="62"/>
      <c r="C2966" s="62"/>
      <c r="D2966" s="62"/>
      <c r="E2966" s="62"/>
      <c r="F2966" s="62"/>
      <c r="G2966" s="62"/>
      <c r="H2966" s="62" t="str">
        <f>IF(AND('Data Export'!A2966=前十整体车型排名!$B$2,'Data Export'!B2966=前十整体车型排名!$B$3,'Data Export'!D2966&lt;&gt;""),UPPER('Data Export'!C2966)&amp;"♦"&amp;'Data Export'!D2966,"")</f>
        <v/>
      </c>
      <c r="I2966" s="63" t="str">
        <f>IF(H2966="","",IFERROR(INDEX('Data Export'!G2966:CZ2966,1,MATCH(前十整体车型排名!$B$4,'Data Export'!$G$1:$CZ$1,0)),0))</f>
        <v/>
      </c>
      <c r="J2966" s="62" t="str">
        <f>IF(H2966="","",IF(OR('Data Export'!F2966="三厢轿车",'Data Export'!F2966="掀背轿车",'Data Export'!F2966="旅行车",'Data Export'!F2966="微型车",'Data Export'!F2966="硬顶跑车",'Data Export'!F2966="敞蓬车",'Data Export'!F2966="Targa"),"轿车",IF(OR('Data Export'!F2966="小型MPV",'Data Export'!F2966="客车"),"MPV",IF('Data Export'!F2966="运动型多功能车","SUV","其他"))))</f>
        <v/>
      </c>
      <c r="K2966" s="62"/>
      <c r="L2966" s="62"/>
      <c r="M2966" s="62"/>
      <c r="N2966" s="62"/>
      <c r="O2966" s="62"/>
      <c r="P2966" s="62"/>
      <c r="Q2966" s="62"/>
    </row>
    <row r="2967" spans="1:17">
      <c r="A2967" s="62"/>
      <c r="B2967" s="62"/>
      <c r="C2967" s="62"/>
      <c r="D2967" s="62"/>
      <c r="E2967" s="62"/>
      <c r="F2967" s="62"/>
      <c r="G2967" s="62"/>
      <c r="H2967" s="62" t="str">
        <f>IF(AND('Data Export'!A2967=前十整体车型排名!$B$2,'Data Export'!B2967=前十整体车型排名!$B$3,'Data Export'!D2967&lt;&gt;""),UPPER('Data Export'!C2967)&amp;"♦"&amp;'Data Export'!D2967,"")</f>
        <v/>
      </c>
      <c r="I2967" s="63" t="str">
        <f>IF(H2967="","",IFERROR(INDEX('Data Export'!G2967:CZ2967,1,MATCH(前十整体车型排名!$B$4,'Data Export'!$G$1:$CZ$1,0)),0))</f>
        <v/>
      </c>
      <c r="J2967" s="62" t="str">
        <f>IF(H2967="","",IF(OR('Data Export'!F2967="三厢轿车",'Data Export'!F2967="掀背轿车",'Data Export'!F2967="旅行车",'Data Export'!F2967="微型车",'Data Export'!F2967="硬顶跑车",'Data Export'!F2967="敞蓬车",'Data Export'!F2967="Targa"),"轿车",IF(OR('Data Export'!F2967="小型MPV",'Data Export'!F2967="客车"),"MPV",IF('Data Export'!F2967="运动型多功能车","SUV","其他"))))</f>
        <v/>
      </c>
      <c r="K2967" s="62"/>
      <c r="L2967" s="62"/>
      <c r="M2967" s="62"/>
      <c r="N2967" s="62"/>
      <c r="O2967" s="62"/>
      <c r="P2967" s="62"/>
      <c r="Q2967" s="62"/>
    </row>
    <row r="2968" spans="1:17">
      <c r="A2968" s="62"/>
      <c r="B2968" s="62"/>
      <c r="C2968" s="62"/>
      <c r="D2968" s="62"/>
      <c r="E2968" s="62"/>
      <c r="F2968" s="62"/>
      <c r="G2968" s="62"/>
      <c r="H2968" s="62" t="str">
        <f>IF(AND('Data Export'!A2968=前十整体车型排名!$B$2,'Data Export'!B2968=前十整体车型排名!$B$3,'Data Export'!D2968&lt;&gt;""),UPPER('Data Export'!C2968)&amp;"♦"&amp;'Data Export'!D2968,"")</f>
        <v/>
      </c>
      <c r="I2968" s="63" t="str">
        <f>IF(H2968="","",IFERROR(INDEX('Data Export'!G2968:CZ2968,1,MATCH(前十整体车型排名!$B$4,'Data Export'!$G$1:$CZ$1,0)),0))</f>
        <v/>
      </c>
      <c r="J2968" s="62" t="str">
        <f>IF(H2968="","",IF(OR('Data Export'!F2968="三厢轿车",'Data Export'!F2968="掀背轿车",'Data Export'!F2968="旅行车",'Data Export'!F2968="微型车",'Data Export'!F2968="硬顶跑车",'Data Export'!F2968="敞蓬车",'Data Export'!F2968="Targa"),"轿车",IF(OR('Data Export'!F2968="小型MPV",'Data Export'!F2968="客车"),"MPV",IF('Data Export'!F2968="运动型多功能车","SUV","其他"))))</f>
        <v/>
      </c>
      <c r="K2968" s="62"/>
      <c r="L2968" s="62"/>
      <c r="M2968" s="62"/>
      <c r="N2968" s="62"/>
      <c r="O2968" s="62"/>
      <c r="P2968" s="62"/>
      <c r="Q2968" s="62"/>
    </row>
    <row r="2969" spans="1:17">
      <c r="A2969" s="62"/>
      <c r="B2969" s="62"/>
      <c r="C2969" s="62"/>
      <c r="D2969" s="62"/>
      <c r="E2969" s="62"/>
      <c r="F2969" s="62"/>
      <c r="G2969" s="62"/>
      <c r="H2969" s="62" t="str">
        <f>IF(AND('Data Export'!A2969=前十整体车型排名!$B$2,'Data Export'!B2969=前十整体车型排名!$B$3,'Data Export'!D2969&lt;&gt;""),UPPER('Data Export'!C2969)&amp;"♦"&amp;'Data Export'!D2969,"")</f>
        <v/>
      </c>
      <c r="I2969" s="63" t="str">
        <f>IF(H2969="","",IFERROR(INDEX('Data Export'!G2969:CZ2969,1,MATCH(前十整体车型排名!$B$4,'Data Export'!$G$1:$CZ$1,0)),0))</f>
        <v/>
      </c>
      <c r="J2969" s="62" t="str">
        <f>IF(H2969="","",IF(OR('Data Export'!F2969="三厢轿车",'Data Export'!F2969="掀背轿车",'Data Export'!F2969="旅行车",'Data Export'!F2969="微型车",'Data Export'!F2969="硬顶跑车",'Data Export'!F2969="敞蓬车",'Data Export'!F2969="Targa"),"轿车",IF(OR('Data Export'!F2969="小型MPV",'Data Export'!F2969="客车"),"MPV",IF('Data Export'!F2969="运动型多功能车","SUV","其他"))))</f>
        <v/>
      </c>
      <c r="K2969" s="62"/>
      <c r="L2969" s="62"/>
      <c r="M2969" s="62"/>
      <c r="N2969" s="62"/>
      <c r="O2969" s="62"/>
      <c r="P2969" s="62"/>
      <c r="Q2969" s="62"/>
    </row>
    <row r="2970" spans="1:17">
      <c r="A2970" s="62"/>
      <c r="B2970" s="62"/>
      <c r="C2970" s="62"/>
      <c r="D2970" s="62"/>
      <c r="E2970" s="62"/>
      <c r="F2970" s="62"/>
      <c r="G2970" s="62"/>
      <c r="H2970" s="62" t="str">
        <f>IF(AND('Data Export'!A2970=前十整体车型排名!$B$2,'Data Export'!B2970=前十整体车型排名!$B$3,'Data Export'!D2970&lt;&gt;""),UPPER('Data Export'!C2970)&amp;"♦"&amp;'Data Export'!D2970,"")</f>
        <v/>
      </c>
      <c r="I2970" s="63" t="str">
        <f>IF(H2970="","",IFERROR(INDEX('Data Export'!G2970:CZ2970,1,MATCH(前十整体车型排名!$B$4,'Data Export'!$G$1:$CZ$1,0)),0))</f>
        <v/>
      </c>
      <c r="J2970" s="62" t="str">
        <f>IF(H2970="","",IF(OR('Data Export'!F2970="三厢轿车",'Data Export'!F2970="掀背轿车",'Data Export'!F2970="旅行车",'Data Export'!F2970="微型车",'Data Export'!F2970="硬顶跑车",'Data Export'!F2970="敞蓬车",'Data Export'!F2970="Targa"),"轿车",IF(OR('Data Export'!F2970="小型MPV",'Data Export'!F2970="客车"),"MPV",IF('Data Export'!F2970="运动型多功能车","SUV","其他"))))</f>
        <v/>
      </c>
      <c r="K2970" s="62"/>
      <c r="L2970" s="62"/>
      <c r="M2970" s="62"/>
      <c r="N2970" s="62"/>
      <c r="O2970" s="62"/>
      <c r="P2970" s="62"/>
      <c r="Q2970" s="62"/>
    </row>
    <row r="2971" spans="1:17">
      <c r="A2971" s="62"/>
      <c r="B2971" s="62"/>
      <c r="C2971" s="62"/>
      <c r="D2971" s="62"/>
      <c r="E2971" s="62"/>
      <c r="F2971" s="62"/>
      <c r="G2971" s="62"/>
      <c r="H2971" s="62" t="str">
        <f>IF(AND('Data Export'!A2971=前十整体车型排名!$B$2,'Data Export'!B2971=前十整体车型排名!$B$3,'Data Export'!D2971&lt;&gt;""),UPPER('Data Export'!C2971)&amp;"♦"&amp;'Data Export'!D2971,"")</f>
        <v/>
      </c>
      <c r="I2971" s="63" t="str">
        <f>IF(H2971="","",IFERROR(INDEX('Data Export'!G2971:CZ2971,1,MATCH(前十整体车型排名!$B$4,'Data Export'!$G$1:$CZ$1,0)),0))</f>
        <v/>
      </c>
      <c r="J2971" s="62" t="str">
        <f>IF(H2971="","",IF(OR('Data Export'!F2971="三厢轿车",'Data Export'!F2971="掀背轿车",'Data Export'!F2971="旅行车",'Data Export'!F2971="微型车",'Data Export'!F2971="硬顶跑车",'Data Export'!F2971="敞蓬车",'Data Export'!F2971="Targa"),"轿车",IF(OR('Data Export'!F2971="小型MPV",'Data Export'!F2971="客车"),"MPV",IF('Data Export'!F2971="运动型多功能车","SUV","其他"))))</f>
        <v/>
      </c>
      <c r="K2971" s="62"/>
      <c r="L2971" s="62"/>
      <c r="M2971" s="62"/>
      <c r="N2971" s="62"/>
      <c r="O2971" s="62"/>
      <c r="P2971" s="62"/>
      <c r="Q2971" s="62"/>
    </row>
    <row r="2972" spans="1:17">
      <c r="A2972" s="62"/>
      <c r="B2972" s="62"/>
      <c r="C2972" s="62"/>
      <c r="D2972" s="62"/>
      <c r="E2972" s="62"/>
      <c r="F2972" s="62"/>
      <c r="G2972" s="62"/>
      <c r="H2972" s="62" t="str">
        <f>IF(AND('Data Export'!A2972=前十整体车型排名!$B$2,'Data Export'!B2972=前十整体车型排名!$B$3,'Data Export'!D2972&lt;&gt;""),UPPER('Data Export'!C2972)&amp;"♦"&amp;'Data Export'!D2972,"")</f>
        <v/>
      </c>
      <c r="I2972" s="63" t="str">
        <f>IF(H2972="","",IFERROR(INDEX('Data Export'!G2972:CZ2972,1,MATCH(前十整体车型排名!$B$4,'Data Export'!$G$1:$CZ$1,0)),0))</f>
        <v/>
      </c>
      <c r="J2972" s="62" t="str">
        <f>IF(H2972="","",IF(OR('Data Export'!F2972="三厢轿车",'Data Export'!F2972="掀背轿车",'Data Export'!F2972="旅行车",'Data Export'!F2972="微型车",'Data Export'!F2972="硬顶跑车",'Data Export'!F2972="敞蓬车",'Data Export'!F2972="Targa"),"轿车",IF(OR('Data Export'!F2972="小型MPV",'Data Export'!F2972="客车"),"MPV",IF('Data Export'!F2972="运动型多功能车","SUV","其他"))))</f>
        <v/>
      </c>
      <c r="K2972" s="62"/>
      <c r="L2972" s="62"/>
      <c r="M2972" s="62"/>
      <c r="N2972" s="62"/>
      <c r="O2972" s="62"/>
      <c r="P2972" s="62"/>
      <c r="Q2972" s="62"/>
    </row>
    <row r="2973" spans="1:17">
      <c r="A2973" s="62"/>
      <c r="B2973" s="62"/>
      <c r="C2973" s="62"/>
      <c r="D2973" s="62"/>
      <c r="E2973" s="62"/>
      <c r="F2973" s="62"/>
      <c r="G2973" s="62"/>
      <c r="H2973" s="62" t="str">
        <f>IF(AND('Data Export'!A2973=前十整体车型排名!$B$2,'Data Export'!B2973=前十整体车型排名!$B$3,'Data Export'!D2973&lt;&gt;""),UPPER('Data Export'!C2973)&amp;"♦"&amp;'Data Export'!D2973,"")</f>
        <v/>
      </c>
      <c r="I2973" s="63" t="str">
        <f>IF(H2973="","",IFERROR(INDEX('Data Export'!G2973:CZ2973,1,MATCH(前十整体车型排名!$B$4,'Data Export'!$G$1:$CZ$1,0)),0))</f>
        <v/>
      </c>
      <c r="J2973" s="62" t="str">
        <f>IF(H2973="","",IF(OR('Data Export'!F2973="三厢轿车",'Data Export'!F2973="掀背轿车",'Data Export'!F2973="旅行车",'Data Export'!F2973="微型车",'Data Export'!F2973="硬顶跑车",'Data Export'!F2973="敞蓬车",'Data Export'!F2973="Targa"),"轿车",IF(OR('Data Export'!F2973="小型MPV",'Data Export'!F2973="客车"),"MPV",IF('Data Export'!F2973="运动型多功能车","SUV","其他"))))</f>
        <v/>
      </c>
      <c r="K2973" s="62"/>
      <c r="L2973" s="62"/>
      <c r="M2973" s="62"/>
      <c r="N2973" s="62"/>
      <c r="O2973" s="62"/>
      <c r="P2973" s="62"/>
      <c r="Q2973" s="62"/>
    </row>
    <row r="2974" spans="1:17">
      <c r="A2974" s="62"/>
      <c r="B2974" s="62"/>
      <c r="C2974" s="62"/>
      <c r="D2974" s="62"/>
      <c r="E2974" s="62"/>
      <c r="F2974" s="62"/>
      <c r="G2974" s="62"/>
      <c r="H2974" s="62" t="str">
        <f>IF(AND('Data Export'!A2974=前十整体车型排名!$B$2,'Data Export'!B2974=前十整体车型排名!$B$3,'Data Export'!D2974&lt;&gt;""),UPPER('Data Export'!C2974)&amp;"♦"&amp;'Data Export'!D2974,"")</f>
        <v/>
      </c>
      <c r="I2974" s="63" t="str">
        <f>IF(H2974="","",IFERROR(INDEX('Data Export'!G2974:CZ2974,1,MATCH(前十整体车型排名!$B$4,'Data Export'!$G$1:$CZ$1,0)),0))</f>
        <v/>
      </c>
      <c r="J2974" s="62" t="str">
        <f>IF(H2974="","",IF(OR('Data Export'!F2974="三厢轿车",'Data Export'!F2974="掀背轿车",'Data Export'!F2974="旅行车",'Data Export'!F2974="微型车",'Data Export'!F2974="硬顶跑车",'Data Export'!F2974="敞蓬车",'Data Export'!F2974="Targa"),"轿车",IF(OR('Data Export'!F2974="小型MPV",'Data Export'!F2974="客车"),"MPV",IF('Data Export'!F2974="运动型多功能车","SUV","其他"))))</f>
        <v/>
      </c>
      <c r="K2974" s="62"/>
      <c r="L2974" s="62"/>
      <c r="M2974" s="62"/>
      <c r="N2974" s="62"/>
      <c r="O2974" s="62"/>
      <c r="P2974" s="62"/>
      <c r="Q2974" s="62"/>
    </row>
    <row r="2975" spans="1:17">
      <c r="A2975" s="62"/>
      <c r="B2975" s="62"/>
      <c r="C2975" s="62"/>
      <c r="D2975" s="62"/>
      <c r="E2975" s="62"/>
      <c r="F2975" s="62"/>
      <c r="G2975" s="62"/>
      <c r="H2975" s="62" t="str">
        <f>IF(AND('Data Export'!A2975=前十整体车型排名!$B$2,'Data Export'!B2975=前十整体车型排名!$B$3,'Data Export'!D2975&lt;&gt;""),UPPER('Data Export'!C2975)&amp;"♦"&amp;'Data Export'!D2975,"")</f>
        <v/>
      </c>
      <c r="I2975" s="63" t="str">
        <f>IF(H2975="","",IFERROR(INDEX('Data Export'!G2975:CZ2975,1,MATCH(前十整体车型排名!$B$4,'Data Export'!$G$1:$CZ$1,0)),0))</f>
        <v/>
      </c>
      <c r="J2975" s="62" t="str">
        <f>IF(H2975="","",IF(OR('Data Export'!F2975="三厢轿车",'Data Export'!F2975="掀背轿车",'Data Export'!F2975="旅行车",'Data Export'!F2975="微型车",'Data Export'!F2975="硬顶跑车",'Data Export'!F2975="敞蓬车",'Data Export'!F2975="Targa"),"轿车",IF(OR('Data Export'!F2975="小型MPV",'Data Export'!F2975="客车"),"MPV",IF('Data Export'!F2975="运动型多功能车","SUV","其他"))))</f>
        <v/>
      </c>
      <c r="K2975" s="62"/>
      <c r="L2975" s="62"/>
      <c r="M2975" s="62"/>
      <c r="N2975" s="62"/>
      <c r="O2975" s="62"/>
      <c r="P2975" s="62"/>
      <c r="Q2975" s="62"/>
    </row>
    <row r="2976" spans="1:17">
      <c r="A2976" s="62"/>
      <c r="B2976" s="62"/>
      <c r="C2976" s="62"/>
      <c r="D2976" s="62"/>
      <c r="E2976" s="62"/>
      <c r="F2976" s="62"/>
      <c r="G2976" s="62"/>
      <c r="H2976" s="62" t="str">
        <f>IF(AND('Data Export'!A2976=前十整体车型排名!$B$2,'Data Export'!B2976=前十整体车型排名!$B$3,'Data Export'!D2976&lt;&gt;""),UPPER('Data Export'!C2976)&amp;"♦"&amp;'Data Export'!D2976,"")</f>
        <v/>
      </c>
      <c r="I2976" s="63" t="str">
        <f>IF(H2976="","",IFERROR(INDEX('Data Export'!G2976:CZ2976,1,MATCH(前十整体车型排名!$B$4,'Data Export'!$G$1:$CZ$1,0)),0))</f>
        <v/>
      </c>
      <c r="J2976" s="62" t="str">
        <f>IF(H2976="","",IF(OR('Data Export'!F2976="三厢轿车",'Data Export'!F2976="掀背轿车",'Data Export'!F2976="旅行车",'Data Export'!F2976="微型车",'Data Export'!F2976="硬顶跑车",'Data Export'!F2976="敞蓬车",'Data Export'!F2976="Targa"),"轿车",IF(OR('Data Export'!F2976="小型MPV",'Data Export'!F2976="客车"),"MPV",IF('Data Export'!F2976="运动型多功能车","SUV","其他"))))</f>
        <v/>
      </c>
      <c r="K2976" s="62"/>
      <c r="L2976" s="62"/>
      <c r="M2976" s="62"/>
      <c r="N2976" s="62"/>
      <c r="O2976" s="62"/>
      <c r="P2976" s="62"/>
      <c r="Q2976" s="62"/>
    </row>
    <row r="2977" spans="1:17">
      <c r="A2977" s="62"/>
      <c r="B2977" s="62"/>
      <c r="C2977" s="62"/>
      <c r="D2977" s="62"/>
      <c r="E2977" s="62"/>
      <c r="F2977" s="62"/>
      <c r="G2977" s="62"/>
      <c r="H2977" s="62" t="str">
        <f>IF(AND('Data Export'!A2977=前十整体车型排名!$B$2,'Data Export'!B2977=前十整体车型排名!$B$3,'Data Export'!D2977&lt;&gt;""),UPPER('Data Export'!C2977)&amp;"♦"&amp;'Data Export'!D2977,"")</f>
        <v/>
      </c>
      <c r="I2977" s="63" t="str">
        <f>IF(H2977="","",IFERROR(INDEX('Data Export'!G2977:CZ2977,1,MATCH(前十整体车型排名!$B$4,'Data Export'!$G$1:$CZ$1,0)),0))</f>
        <v/>
      </c>
      <c r="J2977" s="62" t="str">
        <f>IF(H2977="","",IF(OR('Data Export'!F2977="三厢轿车",'Data Export'!F2977="掀背轿车",'Data Export'!F2977="旅行车",'Data Export'!F2977="微型车",'Data Export'!F2977="硬顶跑车",'Data Export'!F2977="敞蓬车",'Data Export'!F2977="Targa"),"轿车",IF(OR('Data Export'!F2977="小型MPV",'Data Export'!F2977="客车"),"MPV",IF('Data Export'!F2977="运动型多功能车","SUV","其他"))))</f>
        <v/>
      </c>
      <c r="K2977" s="62"/>
      <c r="L2977" s="62"/>
      <c r="M2977" s="62"/>
      <c r="N2977" s="62"/>
      <c r="O2977" s="62"/>
      <c r="P2977" s="62"/>
      <c r="Q2977" s="62"/>
    </row>
    <row r="2978" spans="1:17">
      <c r="A2978" s="62"/>
      <c r="B2978" s="62"/>
      <c r="C2978" s="62"/>
      <c r="D2978" s="62"/>
      <c r="E2978" s="62"/>
      <c r="F2978" s="62"/>
      <c r="G2978" s="62"/>
      <c r="H2978" s="62" t="str">
        <f>IF(AND('Data Export'!A2978=前十整体车型排名!$B$2,'Data Export'!B2978=前十整体车型排名!$B$3,'Data Export'!D2978&lt;&gt;""),UPPER('Data Export'!C2978)&amp;"♦"&amp;'Data Export'!D2978,"")</f>
        <v/>
      </c>
      <c r="I2978" s="63" t="str">
        <f>IF(H2978="","",IFERROR(INDEX('Data Export'!G2978:CZ2978,1,MATCH(前十整体车型排名!$B$4,'Data Export'!$G$1:$CZ$1,0)),0))</f>
        <v/>
      </c>
      <c r="J2978" s="62" t="str">
        <f>IF(H2978="","",IF(OR('Data Export'!F2978="三厢轿车",'Data Export'!F2978="掀背轿车",'Data Export'!F2978="旅行车",'Data Export'!F2978="微型车",'Data Export'!F2978="硬顶跑车",'Data Export'!F2978="敞蓬车",'Data Export'!F2978="Targa"),"轿车",IF(OR('Data Export'!F2978="小型MPV",'Data Export'!F2978="客车"),"MPV",IF('Data Export'!F2978="运动型多功能车","SUV","其他"))))</f>
        <v/>
      </c>
      <c r="K2978" s="62"/>
      <c r="L2978" s="62"/>
      <c r="M2978" s="62"/>
      <c r="N2978" s="62"/>
      <c r="O2978" s="62"/>
      <c r="P2978" s="62"/>
      <c r="Q2978" s="62"/>
    </row>
    <row r="2979" spans="1:17">
      <c r="A2979" s="62"/>
      <c r="B2979" s="62"/>
      <c r="C2979" s="62"/>
      <c r="D2979" s="62"/>
      <c r="E2979" s="62"/>
      <c r="F2979" s="62"/>
      <c r="G2979" s="62"/>
      <c r="H2979" s="62" t="str">
        <f>IF(AND('Data Export'!A2979=前十整体车型排名!$B$2,'Data Export'!B2979=前十整体车型排名!$B$3,'Data Export'!D2979&lt;&gt;""),UPPER('Data Export'!C2979)&amp;"♦"&amp;'Data Export'!D2979,"")</f>
        <v/>
      </c>
      <c r="I2979" s="63" t="str">
        <f>IF(H2979="","",IFERROR(INDEX('Data Export'!G2979:CZ2979,1,MATCH(前十整体车型排名!$B$4,'Data Export'!$G$1:$CZ$1,0)),0))</f>
        <v/>
      </c>
      <c r="J2979" s="62" t="str">
        <f>IF(H2979="","",IF(OR('Data Export'!F2979="三厢轿车",'Data Export'!F2979="掀背轿车",'Data Export'!F2979="旅行车",'Data Export'!F2979="微型车",'Data Export'!F2979="硬顶跑车",'Data Export'!F2979="敞蓬车",'Data Export'!F2979="Targa"),"轿车",IF(OR('Data Export'!F2979="小型MPV",'Data Export'!F2979="客车"),"MPV",IF('Data Export'!F2979="运动型多功能车","SUV","其他"))))</f>
        <v/>
      </c>
      <c r="K2979" s="62"/>
      <c r="L2979" s="62"/>
      <c r="M2979" s="62"/>
      <c r="N2979" s="62"/>
      <c r="O2979" s="62"/>
      <c r="P2979" s="62"/>
      <c r="Q2979" s="62"/>
    </row>
    <row r="2980" spans="1:17">
      <c r="A2980" s="62"/>
      <c r="B2980" s="62"/>
      <c r="C2980" s="62"/>
      <c r="D2980" s="62"/>
      <c r="E2980" s="62"/>
      <c r="F2980" s="62"/>
      <c r="G2980" s="62"/>
      <c r="H2980" s="62" t="str">
        <f>IF(AND('Data Export'!A2980=前十整体车型排名!$B$2,'Data Export'!B2980=前十整体车型排名!$B$3,'Data Export'!D2980&lt;&gt;""),UPPER('Data Export'!C2980)&amp;"♦"&amp;'Data Export'!D2980,"")</f>
        <v/>
      </c>
      <c r="I2980" s="63" t="str">
        <f>IF(H2980="","",IFERROR(INDEX('Data Export'!G2980:CZ2980,1,MATCH(前十整体车型排名!$B$4,'Data Export'!$G$1:$CZ$1,0)),0))</f>
        <v/>
      </c>
      <c r="J2980" s="62" t="str">
        <f>IF(H2980="","",IF(OR('Data Export'!F2980="三厢轿车",'Data Export'!F2980="掀背轿车",'Data Export'!F2980="旅行车",'Data Export'!F2980="微型车",'Data Export'!F2980="硬顶跑车",'Data Export'!F2980="敞蓬车",'Data Export'!F2980="Targa"),"轿车",IF(OR('Data Export'!F2980="小型MPV",'Data Export'!F2980="客车"),"MPV",IF('Data Export'!F2980="运动型多功能车","SUV","其他"))))</f>
        <v/>
      </c>
      <c r="K2980" s="62"/>
      <c r="L2980" s="62"/>
      <c r="M2980" s="62"/>
      <c r="N2980" s="62"/>
      <c r="O2980" s="62"/>
      <c r="P2980" s="62"/>
      <c r="Q2980" s="62"/>
    </row>
    <row r="2981" spans="1:17">
      <c r="A2981" s="62"/>
      <c r="B2981" s="62"/>
      <c r="C2981" s="62"/>
      <c r="D2981" s="62"/>
      <c r="E2981" s="62"/>
      <c r="F2981" s="62"/>
      <c r="G2981" s="62"/>
      <c r="H2981" s="62" t="str">
        <f>IF(AND('Data Export'!A2981=前十整体车型排名!$B$2,'Data Export'!B2981=前十整体车型排名!$B$3,'Data Export'!D2981&lt;&gt;""),UPPER('Data Export'!C2981)&amp;"♦"&amp;'Data Export'!D2981,"")</f>
        <v/>
      </c>
      <c r="I2981" s="63" t="str">
        <f>IF(H2981="","",IFERROR(INDEX('Data Export'!G2981:CZ2981,1,MATCH(前十整体车型排名!$B$4,'Data Export'!$G$1:$CZ$1,0)),0))</f>
        <v/>
      </c>
      <c r="J2981" s="62" t="str">
        <f>IF(H2981="","",IF(OR('Data Export'!F2981="三厢轿车",'Data Export'!F2981="掀背轿车",'Data Export'!F2981="旅行车",'Data Export'!F2981="微型车",'Data Export'!F2981="硬顶跑车",'Data Export'!F2981="敞蓬车",'Data Export'!F2981="Targa"),"轿车",IF(OR('Data Export'!F2981="小型MPV",'Data Export'!F2981="客车"),"MPV",IF('Data Export'!F2981="运动型多功能车","SUV","其他"))))</f>
        <v/>
      </c>
      <c r="K2981" s="62"/>
      <c r="L2981" s="62"/>
      <c r="M2981" s="62"/>
      <c r="N2981" s="62"/>
      <c r="O2981" s="62"/>
      <c r="P2981" s="62"/>
      <c r="Q2981" s="62"/>
    </row>
    <row r="2982" spans="1:17">
      <c r="A2982" s="62"/>
      <c r="B2982" s="62"/>
      <c r="C2982" s="62"/>
      <c r="D2982" s="62"/>
      <c r="E2982" s="62"/>
      <c r="F2982" s="62"/>
      <c r="G2982" s="62"/>
      <c r="H2982" s="62" t="str">
        <f>IF(AND('Data Export'!A2982=前十整体车型排名!$B$2,'Data Export'!B2982=前十整体车型排名!$B$3,'Data Export'!D2982&lt;&gt;""),UPPER('Data Export'!C2982)&amp;"♦"&amp;'Data Export'!D2982,"")</f>
        <v/>
      </c>
      <c r="I2982" s="63" t="str">
        <f>IF(H2982="","",IFERROR(INDEX('Data Export'!G2982:CZ2982,1,MATCH(前十整体车型排名!$B$4,'Data Export'!$G$1:$CZ$1,0)),0))</f>
        <v/>
      </c>
      <c r="J2982" s="62" t="str">
        <f>IF(H2982="","",IF(OR('Data Export'!F2982="三厢轿车",'Data Export'!F2982="掀背轿车",'Data Export'!F2982="旅行车",'Data Export'!F2982="微型车",'Data Export'!F2982="硬顶跑车",'Data Export'!F2982="敞蓬车",'Data Export'!F2982="Targa"),"轿车",IF(OR('Data Export'!F2982="小型MPV",'Data Export'!F2982="客车"),"MPV",IF('Data Export'!F2982="运动型多功能车","SUV","其他"))))</f>
        <v/>
      </c>
      <c r="K2982" s="62"/>
      <c r="L2982" s="62"/>
      <c r="M2982" s="62"/>
      <c r="N2982" s="62"/>
      <c r="O2982" s="62"/>
      <c r="P2982" s="62"/>
      <c r="Q2982" s="62"/>
    </row>
    <row r="2983" spans="1:17">
      <c r="A2983" s="62"/>
      <c r="B2983" s="62"/>
      <c r="C2983" s="62"/>
      <c r="D2983" s="62"/>
      <c r="E2983" s="62"/>
      <c r="F2983" s="62"/>
      <c r="G2983" s="62"/>
      <c r="H2983" s="62" t="str">
        <f>IF(AND('Data Export'!A2983=前十整体车型排名!$B$2,'Data Export'!B2983=前十整体车型排名!$B$3,'Data Export'!D2983&lt;&gt;""),UPPER('Data Export'!C2983)&amp;"♦"&amp;'Data Export'!D2983,"")</f>
        <v/>
      </c>
      <c r="I2983" s="63" t="str">
        <f>IF(H2983="","",IFERROR(INDEX('Data Export'!G2983:CZ2983,1,MATCH(前十整体车型排名!$B$4,'Data Export'!$G$1:$CZ$1,0)),0))</f>
        <v/>
      </c>
      <c r="J2983" s="62" t="str">
        <f>IF(H2983="","",IF(OR('Data Export'!F2983="三厢轿车",'Data Export'!F2983="掀背轿车",'Data Export'!F2983="旅行车",'Data Export'!F2983="微型车",'Data Export'!F2983="硬顶跑车",'Data Export'!F2983="敞蓬车",'Data Export'!F2983="Targa"),"轿车",IF(OR('Data Export'!F2983="小型MPV",'Data Export'!F2983="客车"),"MPV",IF('Data Export'!F2983="运动型多功能车","SUV","其他"))))</f>
        <v/>
      </c>
      <c r="K2983" s="62"/>
      <c r="L2983" s="62"/>
      <c r="M2983" s="62"/>
      <c r="N2983" s="62"/>
      <c r="O2983" s="62"/>
      <c r="P2983" s="62"/>
      <c r="Q2983" s="62"/>
    </row>
    <row r="2984" spans="1:17">
      <c r="A2984" s="62"/>
      <c r="B2984" s="62"/>
      <c r="C2984" s="62"/>
      <c r="D2984" s="62"/>
      <c r="E2984" s="62"/>
      <c r="F2984" s="62"/>
      <c r="G2984" s="62"/>
      <c r="H2984" s="62" t="str">
        <f>IF(AND('Data Export'!A2984=前十整体车型排名!$B$2,'Data Export'!B2984=前十整体车型排名!$B$3,'Data Export'!D2984&lt;&gt;""),UPPER('Data Export'!C2984)&amp;"♦"&amp;'Data Export'!D2984,"")</f>
        <v/>
      </c>
      <c r="I2984" s="63" t="str">
        <f>IF(H2984="","",IFERROR(INDEX('Data Export'!G2984:CZ2984,1,MATCH(前十整体车型排名!$B$4,'Data Export'!$G$1:$CZ$1,0)),0))</f>
        <v/>
      </c>
      <c r="J2984" s="62" t="str">
        <f>IF(H2984="","",IF(OR('Data Export'!F2984="三厢轿车",'Data Export'!F2984="掀背轿车",'Data Export'!F2984="旅行车",'Data Export'!F2984="微型车",'Data Export'!F2984="硬顶跑车",'Data Export'!F2984="敞蓬车",'Data Export'!F2984="Targa"),"轿车",IF(OR('Data Export'!F2984="小型MPV",'Data Export'!F2984="客车"),"MPV",IF('Data Export'!F2984="运动型多功能车","SUV","其他"))))</f>
        <v/>
      </c>
      <c r="K2984" s="62"/>
      <c r="L2984" s="62"/>
      <c r="M2984" s="62"/>
      <c r="N2984" s="62"/>
      <c r="O2984" s="62"/>
      <c r="P2984" s="62"/>
      <c r="Q2984" s="62"/>
    </row>
    <row r="2985" spans="1:17">
      <c r="A2985" s="62"/>
      <c r="B2985" s="62"/>
      <c r="C2985" s="62"/>
      <c r="D2985" s="62"/>
      <c r="E2985" s="62"/>
      <c r="F2985" s="62"/>
      <c r="G2985" s="62"/>
      <c r="H2985" s="62" t="str">
        <f>IF(AND('Data Export'!A2985=前十整体车型排名!$B$2,'Data Export'!B2985=前十整体车型排名!$B$3,'Data Export'!D2985&lt;&gt;""),UPPER('Data Export'!C2985)&amp;"♦"&amp;'Data Export'!D2985,"")</f>
        <v/>
      </c>
      <c r="I2985" s="63" t="str">
        <f>IF(H2985="","",IFERROR(INDEX('Data Export'!G2985:CZ2985,1,MATCH(前十整体车型排名!$B$4,'Data Export'!$G$1:$CZ$1,0)),0))</f>
        <v/>
      </c>
      <c r="J2985" s="62" t="str">
        <f>IF(H2985="","",IF(OR('Data Export'!F2985="三厢轿车",'Data Export'!F2985="掀背轿车",'Data Export'!F2985="旅行车",'Data Export'!F2985="微型车",'Data Export'!F2985="硬顶跑车",'Data Export'!F2985="敞蓬车",'Data Export'!F2985="Targa"),"轿车",IF(OR('Data Export'!F2985="小型MPV",'Data Export'!F2985="客车"),"MPV",IF('Data Export'!F2985="运动型多功能车","SUV","其他"))))</f>
        <v/>
      </c>
      <c r="K2985" s="62"/>
      <c r="L2985" s="62"/>
      <c r="M2985" s="62"/>
      <c r="N2985" s="62"/>
      <c r="O2985" s="62"/>
      <c r="P2985" s="62"/>
      <c r="Q2985" s="62"/>
    </row>
    <row r="2986" spans="1:17">
      <c r="A2986" s="62"/>
      <c r="B2986" s="62"/>
      <c r="C2986" s="62"/>
      <c r="D2986" s="62"/>
      <c r="E2986" s="62"/>
      <c r="F2986" s="62"/>
      <c r="G2986" s="62"/>
      <c r="H2986" s="62" t="str">
        <f>IF(AND('Data Export'!A2986=前十整体车型排名!$B$2,'Data Export'!B2986=前十整体车型排名!$B$3,'Data Export'!D2986&lt;&gt;""),UPPER('Data Export'!C2986)&amp;"♦"&amp;'Data Export'!D2986,"")</f>
        <v/>
      </c>
      <c r="I2986" s="63" t="str">
        <f>IF(H2986="","",IFERROR(INDEX('Data Export'!G2986:CZ2986,1,MATCH(前十整体车型排名!$B$4,'Data Export'!$G$1:$CZ$1,0)),0))</f>
        <v/>
      </c>
      <c r="J2986" s="62" t="str">
        <f>IF(H2986="","",IF(OR('Data Export'!F2986="三厢轿车",'Data Export'!F2986="掀背轿车",'Data Export'!F2986="旅行车",'Data Export'!F2986="微型车",'Data Export'!F2986="硬顶跑车",'Data Export'!F2986="敞蓬车",'Data Export'!F2986="Targa"),"轿车",IF(OR('Data Export'!F2986="小型MPV",'Data Export'!F2986="客车"),"MPV",IF('Data Export'!F2986="运动型多功能车","SUV","其他"))))</f>
        <v/>
      </c>
      <c r="K2986" s="62"/>
      <c r="L2986" s="62"/>
      <c r="M2986" s="62"/>
      <c r="N2986" s="62"/>
      <c r="O2986" s="62"/>
      <c r="P2986" s="62"/>
      <c r="Q2986" s="62"/>
    </row>
    <row r="2987" spans="1:17">
      <c r="A2987" s="62"/>
      <c r="B2987" s="62"/>
      <c r="C2987" s="62"/>
      <c r="D2987" s="62"/>
      <c r="E2987" s="62"/>
      <c r="F2987" s="62"/>
      <c r="G2987" s="62"/>
      <c r="H2987" s="62" t="str">
        <f>IF(AND('Data Export'!A2987=前十整体车型排名!$B$2,'Data Export'!B2987=前十整体车型排名!$B$3,'Data Export'!D2987&lt;&gt;""),UPPER('Data Export'!C2987)&amp;"♦"&amp;'Data Export'!D2987,"")</f>
        <v/>
      </c>
      <c r="I2987" s="63" t="str">
        <f>IF(H2987="","",IFERROR(INDEX('Data Export'!G2987:CZ2987,1,MATCH(前十整体车型排名!$B$4,'Data Export'!$G$1:$CZ$1,0)),0))</f>
        <v/>
      </c>
      <c r="J2987" s="62" t="str">
        <f>IF(H2987="","",IF(OR('Data Export'!F2987="三厢轿车",'Data Export'!F2987="掀背轿车",'Data Export'!F2987="旅行车",'Data Export'!F2987="微型车",'Data Export'!F2987="硬顶跑车",'Data Export'!F2987="敞蓬车",'Data Export'!F2987="Targa"),"轿车",IF(OR('Data Export'!F2987="小型MPV",'Data Export'!F2987="客车"),"MPV",IF('Data Export'!F2987="运动型多功能车","SUV","其他"))))</f>
        <v/>
      </c>
      <c r="K2987" s="62"/>
      <c r="L2987" s="62"/>
      <c r="M2987" s="62"/>
      <c r="N2987" s="62"/>
      <c r="O2987" s="62"/>
      <c r="P2987" s="62"/>
      <c r="Q2987" s="62"/>
    </row>
    <row r="2988" spans="1:17">
      <c r="A2988" s="62"/>
      <c r="B2988" s="62"/>
      <c r="C2988" s="62"/>
      <c r="D2988" s="62"/>
      <c r="E2988" s="62"/>
      <c r="F2988" s="62"/>
      <c r="G2988" s="62"/>
      <c r="H2988" s="62" t="str">
        <f>IF(AND('Data Export'!A2988=前十整体车型排名!$B$2,'Data Export'!B2988=前十整体车型排名!$B$3,'Data Export'!D2988&lt;&gt;""),UPPER('Data Export'!C2988)&amp;"♦"&amp;'Data Export'!D2988,"")</f>
        <v/>
      </c>
      <c r="I2988" s="63" t="str">
        <f>IF(H2988="","",IFERROR(INDEX('Data Export'!G2988:CZ2988,1,MATCH(前十整体车型排名!$B$4,'Data Export'!$G$1:$CZ$1,0)),0))</f>
        <v/>
      </c>
      <c r="J2988" s="62" t="str">
        <f>IF(H2988="","",IF(OR('Data Export'!F2988="三厢轿车",'Data Export'!F2988="掀背轿车",'Data Export'!F2988="旅行车",'Data Export'!F2988="微型车",'Data Export'!F2988="硬顶跑车",'Data Export'!F2988="敞蓬车",'Data Export'!F2988="Targa"),"轿车",IF(OR('Data Export'!F2988="小型MPV",'Data Export'!F2988="客车"),"MPV",IF('Data Export'!F2988="运动型多功能车","SUV","其他"))))</f>
        <v/>
      </c>
      <c r="K2988" s="62"/>
      <c r="L2988" s="62"/>
      <c r="M2988" s="62"/>
      <c r="N2988" s="62"/>
      <c r="O2988" s="62"/>
      <c r="P2988" s="62"/>
      <c r="Q2988" s="62"/>
    </row>
    <row r="2989" spans="1:17">
      <c r="A2989" s="62"/>
      <c r="B2989" s="62"/>
      <c r="C2989" s="62"/>
      <c r="D2989" s="62"/>
      <c r="E2989" s="62"/>
      <c r="F2989" s="62"/>
      <c r="G2989" s="62"/>
      <c r="H2989" s="62" t="str">
        <f>IF(AND('Data Export'!A2989=前十整体车型排名!$B$2,'Data Export'!B2989=前十整体车型排名!$B$3,'Data Export'!D2989&lt;&gt;""),UPPER('Data Export'!C2989)&amp;"♦"&amp;'Data Export'!D2989,"")</f>
        <v/>
      </c>
      <c r="I2989" s="63" t="str">
        <f>IF(H2989="","",IFERROR(INDEX('Data Export'!G2989:CZ2989,1,MATCH(前十整体车型排名!$B$4,'Data Export'!$G$1:$CZ$1,0)),0))</f>
        <v/>
      </c>
      <c r="J2989" s="62" t="str">
        <f>IF(H2989="","",IF(OR('Data Export'!F2989="三厢轿车",'Data Export'!F2989="掀背轿车",'Data Export'!F2989="旅行车",'Data Export'!F2989="微型车",'Data Export'!F2989="硬顶跑车",'Data Export'!F2989="敞蓬车",'Data Export'!F2989="Targa"),"轿车",IF(OR('Data Export'!F2989="小型MPV",'Data Export'!F2989="客车"),"MPV",IF('Data Export'!F2989="运动型多功能车","SUV","其他"))))</f>
        <v/>
      </c>
      <c r="K2989" s="62"/>
      <c r="L2989" s="62"/>
      <c r="M2989" s="62"/>
      <c r="N2989" s="62"/>
      <c r="O2989" s="62"/>
      <c r="P2989" s="62"/>
      <c r="Q2989" s="62"/>
    </row>
    <row r="2990" spans="1:17">
      <c r="A2990" s="62"/>
      <c r="B2990" s="62"/>
      <c r="C2990" s="62"/>
      <c r="D2990" s="62"/>
      <c r="E2990" s="62"/>
      <c r="F2990" s="62"/>
      <c r="G2990" s="62"/>
      <c r="H2990" s="62" t="str">
        <f>IF(AND('Data Export'!A2990=前十整体车型排名!$B$2,'Data Export'!B2990=前十整体车型排名!$B$3,'Data Export'!D2990&lt;&gt;""),UPPER('Data Export'!C2990)&amp;"♦"&amp;'Data Export'!D2990,"")</f>
        <v/>
      </c>
      <c r="I2990" s="63" t="str">
        <f>IF(H2990="","",IFERROR(INDEX('Data Export'!G2990:CZ2990,1,MATCH(前十整体车型排名!$B$4,'Data Export'!$G$1:$CZ$1,0)),0))</f>
        <v/>
      </c>
      <c r="J2990" s="62" t="str">
        <f>IF(H2990="","",IF(OR('Data Export'!F2990="三厢轿车",'Data Export'!F2990="掀背轿车",'Data Export'!F2990="旅行车",'Data Export'!F2990="微型车",'Data Export'!F2990="硬顶跑车",'Data Export'!F2990="敞蓬车",'Data Export'!F2990="Targa"),"轿车",IF(OR('Data Export'!F2990="小型MPV",'Data Export'!F2990="客车"),"MPV",IF('Data Export'!F2990="运动型多功能车","SUV","其他"))))</f>
        <v/>
      </c>
      <c r="K2990" s="62"/>
      <c r="L2990" s="62"/>
      <c r="M2990" s="62"/>
      <c r="N2990" s="62"/>
      <c r="O2990" s="62"/>
      <c r="P2990" s="62"/>
      <c r="Q2990" s="62"/>
    </row>
    <row r="2991" spans="1:17">
      <c r="A2991" s="62"/>
      <c r="B2991" s="62"/>
      <c r="C2991" s="62"/>
      <c r="D2991" s="62"/>
      <c r="E2991" s="62"/>
      <c r="F2991" s="62"/>
      <c r="G2991" s="62"/>
      <c r="H2991" s="62" t="str">
        <f>IF(AND('Data Export'!A2991=前十整体车型排名!$B$2,'Data Export'!B2991=前十整体车型排名!$B$3,'Data Export'!D2991&lt;&gt;""),UPPER('Data Export'!C2991)&amp;"♦"&amp;'Data Export'!D2991,"")</f>
        <v/>
      </c>
      <c r="I2991" s="63" t="str">
        <f>IF(H2991="","",IFERROR(INDEX('Data Export'!G2991:CZ2991,1,MATCH(前十整体车型排名!$B$4,'Data Export'!$G$1:$CZ$1,0)),0))</f>
        <v/>
      </c>
      <c r="J2991" s="62" t="str">
        <f>IF(H2991="","",IF(OR('Data Export'!F2991="三厢轿车",'Data Export'!F2991="掀背轿车",'Data Export'!F2991="旅行车",'Data Export'!F2991="微型车",'Data Export'!F2991="硬顶跑车",'Data Export'!F2991="敞蓬车",'Data Export'!F2991="Targa"),"轿车",IF(OR('Data Export'!F2991="小型MPV",'Data Export'!F2991="客车"),"MPV",IF('Data Export'!F2991="运动型多功能车","SUV","其他"))))</f>
        <v/>
      </c>
      <c r="K2991" s="62"/>
      <c r="L2991" s="62"/>
      <c r="M2991" s="62"/>
      <c r="N2991" s="62"/>
      <c r="O2991" s="62"/>
      <c r="P2991" s="62"/>
      <c r="Q2991" s="62"/>
    </row>
    <row r="2992" spans="1:17">
      <c r="A2992" s="62"/>
      <c r="B2992" s="62"/>
      <c r="C2992" s="62"/>
      <c r="D2992" s="62"/>
      <c r="E2992" s="62"/>
      <c r="F2992" s="62"/>
      <c r="G2992" s="62"/>
      <c r="H2992" s="62" t="str">
        <f>IF(AND('Data Export'!A2992=前十整体车型排名!$B$2,'Data Export'!B2992=前十整体车型排名!$B$3,'Data Export'!D2992&lt;&gt;""),UPPER('Data Export'!C2992)&amp;"♦"&amp;'Data Export'!D2992,"")</f>
        <v/>
      </c>
      <c r="I2992" s="63" t="str">
        <f>IF(H2992="","",IFERROR(INDEX('Data Export'!G2992:CZ2992,1,MATCH(前十整体车型排名!$B$4,'Data Export'!$G$1:$CZ$1,0)),0))</f>
        <v/>
      </c>
      <c r="J2992" s="62" t="str">
        <f>IF(H2992="","",IF(OR('Data Export'!F2992="三厢轿车",'Data Export'!F2992="掀背轿车",'Data Export'!F2992="旅行车",'Data Export'!F2992="微型车",'Data Export'!F2992="硬顶跑车",'Data Export'!F2992="敞蓬车",'Data Export'!F2992="Targa"),"轿车",IF(OR('Data Export'!F2992="小型MPV",'Data Export'!F2992="客车"),"MPV",IF('Data Export'!F2992="运动型多功能车","SUV","其他"))))</f>
        <v/>
      </c>
      <c r="K2992" s="62"/>
      <c r="L2992" s="62"/>
      <c r="M2992" s="62"/>
      <c r="N2992" s="62"/>
      <c r="O2992" s="62"/>
      <c r="P2992" s="62"/>
      <c r="Q2992" s="62"/>
    </row>
    <row r="2993" spans="1:17">
      <c r="A2993" s="62"/>
      <c r="B2993" s="62"/>
      <c r="C2993" s="62"/>
      <c r="D2993" s="62"/>
      <c r="E2993" s="62"/>
      <c r="F2993" s="62"/>
      <c r="G2993" s="62"/>
      <c r="H2993" s="62" t="str">
        <f>IF(AND('Data Export'!A2993=前十整体车型排名!$B$2,'Data Export'!B2993=前十整体车型排名!$B$3,'Data Export'!D2993&lt;&gt;""),UPPER('Data Export'!C2993)&amp;"♦"&amp;'Data Export'!D2993,"")</f>
        <v/>
      </c>
      <c r="I2993" s="63" t="str">
        <f>IF(H2993="","",IFERROR(INDEX('Data Export'!G2993:CZ2993,1,MATCH(前十整体车型排名!$B$4,'Data Export'!$G$1:$CZ$1,0)),0))</f>
        <v/>
      </c>
      <c r="J2993" s="62" t="str">
        <f>IF(H2993="","",IF(OR('Data Export'!F2993="三厢轿车",'Data Export'!F2993="掀背轿车",'Data Export'!F2993="旅行车",'Data Export'!F2993="微型车",'Data Export'!F2993="硬顶跑车",'Data Export'!F2993="敞蓬车",'Data Export'!F2993="Targa"),"轿车",IF(OR('Data Export'!F2993="小型MPV",'Data Export'!F2993="客车"),"MPV",IF('Data Export'!F2993="运动型多功能车","SUV","其他"))))</f>
        <v/>
      </c>
      <c r="K2993" s="62"/>
      <c r="L2993" s="62"/>
      <c r="M2993" s="62"/>
      <c r="N2993" s="62"/>
      <c r="O2993" s="62"/>
      <c r="P2993" s="62"/>
      <c r="Q2993" s="62"/>
    </row>
    <row r="2994" spans="1:17">
      <c r="A2994" s="62"/>
      <c r="B2994" s="62"/>
      <c r="C2994" s="62"/>
      <c r="D2994" s="62"/>
      <c r="E2994" s="62"/>
      <c r="F2994" s="62"/>
      <c r="G2994" s="62"/>
      <c r="H2994" s="62" t="str">
        <f>IF(AND('Data Export'!A2994=前十整体车型排名!$B$2,'Data Export'!B2994=前十整体车型排名!$B$3,'Data Export'!D2994&lt;&gt;""),UPPER('Data Export'!C2994)&amp;"♦"&amp;'Data Export'!D2994,"")</f>
        <v/>
      </c>
      <c r="I2994" s="63" t="str">
        <f>IF(H2994="","",IFERROR(INDEX('Data Export'!G2994:CZ2994,1,MATCH(前十整体车型排名!$B$4,'Data Export'!$G$1:$CZ$1,0)),0))</f>
        <v/>
      </c>
      <c r="J2994" s="62" t="str">
        <f>IF(H2994="","",IF(OR('Data Export'!F2994="三厢轿车",'Data Export'!F2994="掀背轿车",'Data Export'!F2994="旅行车",'Data Export'!F2994="微型车",'Data Export'!F2994="硬顶跑车",'Data Export'!F2994="敞蓬车",'Data Export'!F2994="Targa"),"轿车",IF(OR('Data Export'!F2994="小型MPV",'Data Export'!F2994="客车"),"MPV",IF('Data Export'!F2994="运动型多功能车","SUV","其他"))))</f>
        <v/>
      </c>
      <c r="K2994" s="62"/>
      <c r="L2994" s="62"/>
      <c r="M2994" s="62"/>
      <c r="N2994" s="62"/>
      <c r="O2994" s="62"/>
      <c r="P2994" s="62"/>
      <c r="Q2994" s="62"/>
    </row>
    <row r="2995" spans="1:17">
      <c r="A2995" s="62"/>
      <c r="B2995" s="62"/>
      <c r="C2995" s="62"/>
      <c r="D2995" s="62"/>
      <c r="E2995" s="62"/>
      <c r="F2995" s="62"/>
      <c r="G2995" s="62"/>
      <c r="H2995" s="62" t="str">
        <f>IF(AND('Data Export'!A2995=前十整体车型排名!$B$2,'Data Export'!B2995=前十整体车型排名!$B$3,'Data Export'!D2995&lt;&gt;""),UPPER('Data Export'!C2995)&amp;"♦"&amp;'Data Export'!D2995,"")</f>
        <v/>
      </c>
      <c r="I2995" s="63" t="str">
        <f>IF(H2995="","",IFERROR(INDEX('Data Export'!G2995:CZ2995,1,MATCH(前十整体车型排名!$B$4,'Data Export'!$G$1:$CZ$1,0)),0))</f>
        <v/>
      </c>
      <c r="J2995" s="62" t="str">
        <f>IF(H2995="","",IF(OR('Data Export'!F2995="三厢轿车",'Data Export'!F2995="掀背轿车",'Data Export'!F2995="旅行车",'Data Export'!F2995="微型车",'Data Export'!F2995="硬顶跑车",'Data Export'!F2995="敞蓬车",'Data Export'!F2995="Targa"),"轿车",IF(OR('Data Export'!F2995="小型MPV",'Data Export'!F2995="客车"),"MPV",IF('Data Export'!F2995="运动型多功能车","SUV","其他"))))</f>
        <v/>
      </c>
      <c r="K2995" s="62"/>
      <c r="L2995" s="62"/>
      <c r="M2995" s="62"/>
      <c r="N2995" s="62"/>
      <c r="O2995" s="62"/>
      <c r="P2995" s="62"/>
      <c r="Q2995" s="62"/>
    </row>
    <row r="2996" spans="1:17">
      <c r="A2996" s="62"/>
      <c r="B2996" s="62"/>
      <c r="C2996" s="62"/>
      <c r="D2996" s="62"/>
      <c r="E2996" s="62"/>
      <c r="F2996" s="62"/>
      <c r="G2996" s="62"/>
      <c r="H2996" s="62" t="str">
        <f>IF(AND('Data Export'!A2996=前十整体车型排名!$B$2,'Data Export'!B2996=前十整体车型排名!$B$3,'Data Export'!D2996&lt;&gt;""),UPPER('Data Export'!C2996)&amp;"♦"&amp;'Data Export'!D2996,"")</f>
        <v/>
      </c>
      <c r="I2996" s="63" t="str">
        <f>IF(H2996="","",IFERROR(INDEX('Data Export'!G2996:CZ2996,1,MATCH(前十整体车型排名!$B$4,'Data Export'!$G$1:$CZ$1,0)),0))</f>
        <v/>
      </c>
      <c r="J2996" s="62" t="str">
        <f>IF(H2996="","",IF(OR('Data Export'!F2996="三厢轿车",'Data Export'!F2996="掀背轿车",'Data Export'!F2996="旅行车",'Data Export'!F2996="微型车",'Data Export'!F2996="硬顶跑车",'Data Export'!F2996="敞蓬车",'Data Export'!F2996="Targa"),"轿车",IF(OR('Data Export'!F2996="小型MPV",'Data Export'!F2996="客车"),"MPV",IF('Data Export'!F2996="运动型多功能车","SUV","其他"))))</f>
        <v/>
      </c>
      <c r="K2996" s="62"/>
      <c r="L2996" s="62"/>
      <c r="M2996" s="62"/>
      <c r="N2996" s="62"/>
      <c r="O2996" s="62"/>
      <c r="P2996" s="62"/>
      <c r="Q2996" s="62"/>
    </row>
    <row r="2997" spans="1:17">
      <c r="A2997" s="62"/>
      <c r="B2997" s="62"/>
      <c r="C2997" s="62"/>
      <c r="D2997" s="62"/>
      <c r="E2997" s="62"/>
      <c r="F2997" s="62"/>
      <c r="G2997" s="62"/>
      <c r="H2997" s="62" t="str">
        <f>IF(AND('Data Export'!A2997=前十整体车型排名!$B$2,'Data Export'!B2997=前十整体车型排名!$B$3,'Data Export'!D2997&lt;&gt;""),UPPER('Data Export'!C2997)&amp;"♦"&amp;'Data Export'!D2997,"")</f>
        <v/>
      </c>
      <c r="I2997" s="63" t="str">
        <f>IF(H2997="","",IFERROR(INDEX('Data Export'!G2997:CZ2997,1,MATCH(前十整体车型排名!$B$4,'Data Export'!$G$1:$CZ$1,0)),0))</f>
        <v/>
      </c>
      <c r="J2997" s="62" t="str">
        <f>IF(H2997="","",IF(OR('Data Export'!F2997="三厢轿车",'Data Export'!F2997="掀背轿车",'Data Export'!F2997="旅行车",'Data Export'!F2997="微型车",'Data Export'!F2997="硬顶跑车",'Data Export'!F2997="敞蓬车",'Data Export'!F2997="Targa"),"轿车",IF(OR('Data Export'!F2997="小型MPV",'Data Export'!F2997="客车"),"MPV",IF('Data Export'!F2997="运动型多功能车","SUV","其他"))))</f>
        <v/>
      </c>
      <c r="K2997" s="62"/>
      <c r="L2997" s="62"/>
      <c r="M2997" s="62"/>
      <c r="N2997" s="62"/>
      <c r="O2997" s="62"/>
      <c r="P2997" s="62"/>
      <c r="Q2997" s="62"/>
    </row>
    <row r="2998" spans="1:17">
      <c r="A2998" s="62"/>
      <c r="B2998" s="62"/>
      <c r="C2998" s="62"/>
      <c r="D2998" s="62"/>
      <c r="E2998" s="62"/>
      <c r="F2998" s="62"/>
      <c r="G2998" s="62"/>
      <c r="H2998" s="62" t="str">
        <f>IF(AND('Data Export'!A2998=前十整体车型排名!$B$2,'Data Export'!B2998=前十整体车型排名!$B$3,'Data Export'!D2998&lt;&gt;""),UPPER('Data Export'!C2998)&amp;"♦"&amp;'Data Export'!D2998,"")</f>
        <v/>
      </c>
      <c r="I2998" s="63" t="str">
        <f>IF(H2998="","",IFERROR(INDEX('Data Export'!G2998:CZ2998,1,MATCH(前十整体车型排名!$B$4,'Data Export'!$G$1:$CZ$1,0)),0))</f>
        <v/>
      </c>
      <c r="J2998" s="62" t="str">
        <f>IF(H2998="","",IF(OR('Data Export'!F2998="三厢轿车",'Data Export'!F2998="掀背轿车",'Data Export'!F2998="旅行车",'Data Export'!F2998="微型车",'Data Export'!F2998="硬顶跑车",'Data Export'!F2998="敞蓬车",'Data Export'!F2998="Targa"),"轿车",IF(OR('Data Export'!F2998="小型MPV",'Data Export'!F2998="客车"),"MPV",IF('Data Export'!F2998="运动型多功能车","SUV","其他"))))</f>
        <v/>
      </c>
      <c r="K2998" s="62"/>
      <c r="L2998" s="62"/>
      <c r="M2998" s="62"/>
      <c r="N2998" s="62"/>
      <c r="O2998" s="62"/>
      <c r="P2998" s="62"/>
      <c r="Q2998" s="62"/>
    </row>
    <row r="2999" spans="1:17">
      <c r="A2999" s="62"/>
      <c r="B2999" s="62"/>
      <c r="C2999" s="62"/>
      <c r="D2999" s="62"/>
      <c r="E2999" s="62"/>
      <c r="F2999" s="62"/>
      <c r="G2999" s="62"/>
      <c r="H2999" s="62" t="str">
        <f>IF(AND('Data Export'!A2999=前十整体车型排名!$B$2,'Data Export'!B2999=前十整体车型排名!$B$3,'Data Export'!D2999&lt;&gt;""),UPPER('Data Export'!C2999)&amp;"♦"&amp;'Data Export'!D2999,"")</f>
        <v/>
      </c>
      <c r="I2999" s="63" t="str">
        <f>IF(H2999="","",IFERROR(INDEX('Data Export'!G2999:CZ2999,1,MATCH(前十整体车型排名!$B$4,'Data Export'!$G$1:$CZ$1,0)),0))</f>
        <v/>
      </c>
      <c r="J2999" s="62" t="str">
        <f>IF(H2999="","",IF(OR('Data Export'!F2999="三厢轿车",'Data Export'!F2999="掀背轿车",'Data Export'!F2999="旅行车",'Data Export'!F2999="微型车",'Data Export'!F2999="硬顶跑车",'Data Export'!F2999="敞蓬车",'Data Export'!F2999="Targa"),"轿车",IF(OR('Data Export'!F2999="小型MPV",'Data Export'!F2999="客车"),"MPV",IF('Data Export'!F2999="运动型多功能车","SUV","其他"))))</f>
        <v/>
      </c>
      <c r="K2999" s="62"/>
      <c r="L2999" s="62"/>
      <c r="M2999" s="62"/>
      <c r="N2999" s="62"/>
      <c r="O2999" s="62"/>
      <c r="P2999" s="62"/>
      <c r="Q2999" s="62"/>
    </row>
    <row r="3000" spans="1:17">
      <c r="A3000" s="62"/>
      <c r="B3000" s="62"/>
      <c r="C3000" s="62"/>
      <c r="D3000" s="62"/>
      <c r="E3000" s="62"/>
      <c r="F3000" s="62"/>
      <c r="G3000" s="62"/>
      <c r="H3000" s="62" t="str">
        <f>IF(AND('Data Export'!A3000=前十整体车型排名!$B$2,'Data Export'!B3000=前十整体车型排名!$B$3,'Data Export'!D3000&lt;&gt;""),UPPER('Data Export'!C3000)&amp;"♦"&amp;'Data Export'!D3000,"")</f>
        <v/>
      </c>
      <c r="I3000" s="63" t="str">
        <f>IF(H3000="","",IFERROR(INDEX('Data Export'!G3000:CZ3000,1,MATCH(前十整体车型排名!$B$4,'Data Export'!$G$1:$CZ$1,0)),0))</f>
        <v/>
      </c>
      <c r="J3000" s="62" t="str">
        <f>IF(H3000="","",IF(OR('Data Export'!F3000="三厢轿车",'Data Export'!F3000="掀背轿车",'Data Export'!F3000="旅行车",'Data Export'!F3000="微型车",'Data Export'!F3000="硬顶跑车",'Data Export'!F3000="敞蓬车",'Data Export'!F3000="Targa"),"轿车",IF(OR('Data Export'!F3000="小型MPV",'Data Export'!F3000="客车"),"MPV",IF('Data Export'!F3000="运动型多功能车","SUV","其他"))))</f>
        <v/>
      </c>
      <c r="K3000" s="62"/>
      <c r="L3000" s="62"/>
      <c r="M3000" s="62"/>
      <c r="N3000" s="62"/>
      <c r="O3000" s="62"/>
      <c r="P3000" s="62"/>
      <c r="Q3000" s="62"/>
    </row>
  </sheetData>
  <mergeCells count="8">
    <mergeCell ref="K1:N1"/>
    <mergeCell ref="S1:U1"/>
    <mergeCell ref="K2:N2"/>
    <mergeCell ref="S2:U2"/>
    <mergeCell ref="K3:N3"/>
    <mergeCell ref="S3:U3"/>
    <mergeCell ref="K4:N4"/>
    <mergeCell ref="S4:U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4"/>
  <sheetViews>
    <sheetView showGridLines="0" workbookViewId="0">
      <selection activeCell="A1" sqref="A1"/>
    </sheetView>
  </sheetViews>
  <sheetFormatPr defaultColWidth="9" defaultRowHeight="14.5"/>
  <cols>
    <col min="1" max="1" width="25" customWidth="1"/>
    <col min="2" max="7" width="18" customWidth="1"/>
    <col min="9" max="12" width="18" customWidth="1"/>
  </cols>
  <sheetData>
    <row r="1" spans="1:12">
      <c r="A1" s="61" t="s">
        <v>1336</v>
      </c>
      <c r="B1" s="61" t="s">
        <v>1337</v>
      </c>
      <c r="C1" s="61" t="s">
        <v>1338</v>
      </c>
      <c r="D1" s="61" t="s">
        <v>1339</v>
      </c>
      <c r="E1" s="61" t="s">
        <v>1340</v>
      </c>
      <c r="F1" s="61" t="s">
        <v>1341</v>
      </c>
      <c r="G1" s="61" t="s">
        <v>1342</v>
      </c>
      <c r="I1" s="49" t="s">
        <v>1343</v>
      </c>
      <c r="J1" s="49"/>
      <c r="K1" s="49"/>
      <c r="L1" s="49"/>
    </row>
    <row r="2" spans="1:12">
      <c r="A2" s="62" t="s">
        <v>1</v>
      </c>
      <c r="B2" s="62" t="s">
        <v>1344</v>
      </c>
      <c r="C2" s="62" t="s">
        <v>703</v>
      </c>
      <c r="D2" s="62" t="s">
        <v>1345</v>
      </c>
      <c r="E2" s="62" t="s">
        <v>1346</v>
      </c>
      <c r="F2" s="62" t="s">
        <v>1347</v>
      </c>
      <c r="G2" s="62" t="s">
        <v>1347</v>
      </c>
      <c r="I2" s="16" t="s">
        <v>1348</v>
      </c>
      <c r="J2" s="16"/>
      <c r="K2" s="16"/>
      <c r="L2" s="16"/>
    </row>
    <row r="3" spans="1:12">
      <c r="A3" s="62" t="s">
        <v>1349</v>
      </c>
      <c r="B3" s="62" t="s">
        <v>1350</v>
      </c>
      <c r="C3" s="62" t="s">
        <v>703</v>
      </c>
      <c r="D3" s="62" t="s">
        <v>1351</v>
      </c>
      <c r="E3" s="62" t="s">
        <v>1346</v>
      </c>
      <c r="F3" s="62" t="s">
        <v>1352</v>
      </c>
      <c r="G3" s="62" t="s">
        <v>1352</v>
      </c>
      <c r="I3" s="16" t="s">
        <v>1353</v>
      </c>
      <c r="J3" s="16"/>
      <c r="K3" s="16"/>
      <c r="L3" s="16"/>
    </row>
    <row r="4" spans="1:12">
      <c r="A4" s="62" t="s">
        <v>1354</v>
      </c>
      <c r="B4" s="62" t="s">
        <v>1355</v>
      </c>
      <c r="C4" s="62" t="s">
        <v>1356</v>
      </c>
      <c r="D4" s="62" t="s">
        <v>1351</v>
      </c>
      <c r="E4" s="62" t="s">
        <v>1346</v>
      </c>
      <c r="F4" s="62" t="s">
        <v>1357</v>
      </c>
      <c r="G4" s="62" t="s">
        <v>1352</v>
      </c>
      <c r="I4" s="16" t="str">
        <f>"当前映射共 "&amp;COUNTA(A2:A300)&amp;" 个自主品牌"</f>
        <v>当前映射共 203 个自主品牌</v>
      </c>
      <c r="J4" s="16"/>
      <c r="K4" s="16"/>
      <c r="L4" s="16"/>
    </row>
    <row r="5" spans="1:12">
      <c r="A5" s="62" t="s">
        <v>1358</v>
      </c>
      <c r="B5" s="62" t="s">
        <v>1359</v>
      </c>
      <c r="C5" s="62" t="s">
        <v>1360</v>
      </c>
      <c r="D5" s="62" t="s">
        <v>1345</v>
      </c>
      <c r="E5" s="62" t="s">
        <v>1346</v>
      </c>
      <c r="F5" s="62" t="s">
        <v>1361</v>
      </c>
      <c r="G5" s="62" t="s">
        <v>1361</v>
      </c>
    </row>
    <row r="6" spans="1:12">
      <c r="A6" s="62" t="s">
        <v>1362</v>
      </c>
      <c r="B6" s="62" t="s">
        <v>1363</v>
      </c>
      <c r="C6" s="62" t="s">
        <v>1364</v>
      </c>
      <c r="D6" s="62" t="s">
        <v>1351</v>
      </c>
      <c r="E6" s="62" t="s">
        <v>1346</v>
      </c>
      <c r="F6" s="62" t="s">
        <v>1357</v>
      </c>
      <c r="G6" s="62" t="s">
        <v>1352</v>
      </c>
    </row>
    <row r="7" spans="1:12">
      <c r="A7" s="62" t="s">
        <v>1365</v>
      </c>
      <c r="B7" s="62" t="s">
        <v>1366</v>
      </c>
      <c r="C7" s="62" t="s">
        <v>1367</v>
      </c>
      <c r="D7" s="62" t="s">
        <v>1345</v>
      </c>
      <c r="E7" s="62" t="s">
        <v>1346</v>
      </c>
      <c r="F7" s="62" t="s">
        <v>1361</v>
      </c>
      <c r="G7" s="62" t="s">
        <v>1361</v>
      </c>
    </row>
    <row r="8" spans="1:12">
      <c r="A8" s="62" t="s">
        <v>524</v>
      </c>
      <c r="B8" s="62" t="s">
        <v>1368</v>
      </c>
      <c r="C8" s="62" t="s">
        <v>1369</v>
      </c>
      <c r="D8" s="62" t="s">
        <v>1345</v>
      </c>
      <c r="E8" s="62" t="s">
        <v>1346</v>
      </c>
      <c r="F8" s="62" t="s">
        <v>1357</v>
      </c>
      <c r="G8" s="62" t="s">
        <v>1352</v>
      </c>
    </row>
    <row r="9" spans="1:12">
      <c r="A9" s="62" t="s">
        <v>1364</v>
      </c>
      <c r="B9" s="62" t="s">
        <v>1370</v>
      </c>
      <c r="C9" s="62" t="s">
        <v>1364</v>
      </c>
      <c r="D9" s="62" t="s">
        <v>1351</v>
      </c>
      <c r="E9" s="62" t="s">
        <v>1346</v>
      </c>
      <c r="F9" s="62" t="s">
        <v>1347</v>
      </c>
      <c r="G9" s="62" t="s">
        <v>1347</v>
      </c>
    </row>
    <row r="10" spans="1:12">
      <c r="A10" s="62" t="s">
        <v>1371</v>
      </c>
      <c r="B10" s="62" t="s">
        <v>1372</v>
      </c>
      <c r="C10" s="62" t="s">
        <v>1373</v>
      </c>
      <c r="D10" s="62" t="s">
        <v>1351</v>
      </c>
      <c r="E10" s="62" t="s">
        <v>1346</v>
      </c>
      <c r="F10" s="62" t="s">
        <v>1374</v>
      </c>
      <c r="G10" s="62" t="s">
        <v>1374</v>
      </c>
    </row>
    <row r="11" spans="1:12">
      <c r="A11" s="62" t="s">
        <v>1375</v>
      </c>
      <c r="B11" s="62" t="s">
        <v>1376</v>
      </c>
      <c r="C11" s="62" t="s">
        <v>1364</v>
      </c>
      <c r="D11" s="62" t="s">
        <v>1351</v>
      </c>
      <c r="E11" s="62" t="s">
        <v>1346</v>
      </c>
      <c r="F11" s="62" t="s">
        <v>1361</v>
      </c>
      <c r="G11" s="62" t="s">
        <v>1361</v>
      </c>
    </row>
    <row r="12" spans="1:12">
      <c r="A12" s="62" t="s">
        <v>1377</v>
      </c>
      <c r="B12" s="62" t="s">
        <v>1378</v>
      </c>
      <c r="C12" s="62" t="s">
        <v>1364</v>
      </c>
      <c r="D12" s="62" t="s">
        <v>1351</v>
      </c>
      <c r="E12" s="62" t="s">
        <v>1346</v>
      </c>
      <c r="F12" s="62" t="s">
        <v>1347</v>
      </c>
      <c r="G12" s="62" t="s">
        <v>1347</v>
      </c>
    </row>
    <row r="13" spans="1:12">
      <c r="A13" s="62" t="s">
        <v>1379</v>
      </c>
      <c r="B13" s="62" t="s">
        <v>1380</v>
      </c>
      <c r="C13" s="62" t="s">
        <v>1381</v>
      </c>
      <c r="D13" s="62" t="s">
        <v>1345</v>
      </c>
      <c r="E13" s="62" t="s">
        <v>1346</v>
      </c>
      <c r="F13" s="62" t="s">
        <v>1347</v>
      </c>
      <c r="G13" s="62" t="s">
        <v>1347</v>
      </c>
    </row>
    <row r="14" spans="1:12">
      <c r="A14" s="62" t="s">
        <v>1382</v>
      </c>
      <c r="B14" s="62" t="s">
        <v>1383</v>
      </c>
      <c r="C14" s="62" t="s">
        <v>1364</v>
      </c>
      <c r="D14" s="62" t="s">
        <v>1345</v>
      </c>
      <c r="E14" s="62" t="s">
        <v>1346</v>
      </c>
      <c r="F14" s="62" t="s">
        <v>1374</v>
      </c>
      <c r="G14" s="62" t="s">
        <v>1374</v>
      </c>
    </row>
    <row r="15" spans="1:12">
      <c r="A15" s="62" t="s">
        <v>1384</v>
      </c>
      <c r="B15" s="62" t="s">
        <v>1385</v>
      </c>
      <c r="C15" s="62" t="s">
        <v>1364</v>
      </c>
      <c r="D15" s="62" t="s">
        <v>1351</v>
      </c>
      <c r="E15" s="62" t="s">
        <v>1346</v>
      </c>
      <c r="F15" s="62" t="s">
        <v>1347</v>
      </c>
      <c r="G15" s="62" t="s">
        <v>1347</v>
      </c>
    </row>
    <row r="16" spans="1:12">
      <c r="A16" s="62" t="s">
        <v>1386</v>
      </c>
      <c r="B16" s="62" t="s">
        <v>1387</v>
      </c>
      <c r="C16" s="62" t="s">
        <v>1388</v>
      </c>
      <c r="D16" s="62" t="s">
        <v>1351</v>
      </c>
      <c r="E16" s="62" t="s">
        <v>1346</v>
      </c>
      <c r="F16" s="62" t="s">
        <v>1347</v>
      </c>
      <c r="G16" s="62" t="s">
        <v>1347</v>
      </c>
    </row>
    <row r="17" spans="1:7">
      <c r="A17" s="62" t="s">
        <v>615</v>
      </c>
      <c r="B17" s="62" t="s">
        <v>1389</v>
      </c>
      <c r="C17" s="62" t="s">
        <v>615</v>
      </c>
      <c r="D17" s="62" t="s">
        <v>1351</v>
      </c>
      <c r="E17" s="62" t="s">
        <v>1346</v>
      </c>
      <c r="F17" s="62" t="s">
        <v>1347</v>
      </c>
      <c r="G17" s="62" t="s">
        <v>1347</v>
      </c>
    </row>
    <row r="18" spans="1:7">
      <c r="A18" s="62" t="s">
        <v>1390</v>
      </c>
      <c r="B18" s="62" t="s">
        <v>1391</v>
      </c>
      <c r="C18" s="62" t="s">
        <v>1364</v>
      </c>
      <c r="D18" s="62" t="s">
        <v>1351</v>
      </c>
      <c r="E18" s="62" t="s">
        <v>1346</v>
      </c>
      <c r="F18" s="62" t="s">
        <v>1374</v>
      </c>
      <c r="G18" s="62" t="s">
        <v>1374</v>
      </c>
    </row>
    <row r="19" spans="1:7">
      <c r="A19" s="62" t="s">
        <v>1392</v>
      </c>
      <c r="B19" s="62" t="s">
        <v>1393</v>
      </c>
      <c r="C19" s="62" t="s">
        <v>1369</v>
      </c>
      <c r="D19" s="62" t="s">
        <v>1345</v>
      </c>
      <c r="E19" s="62" t="s">
        <v>1346</v>
      </c>
      <c r="F19" s="62" t="s">
        <v>1361</v>
      </c>
      <c r="G19" s="62" t="s">
        <v>1361</v>
      </c>
    </row>
    <row r="20" spans="1:7">
      <c r="A20" s="62" t="s">
        <v>644</v>
      </c>
      <c r="B20" s="62" t="s">
        <v>1393</v>
      </c>
      <c r="C20" s="62" t="s">
        <v>1369</v>
      </c>
      <c r="D20" s="62" t="s">
        <v>1351</v>
      </c>
      <c r="E20" s="62" t="s">
        <v>1346</v>
      </c>
      <c r="F20" s="62" t="s">
        <v>1347</v>
      </c>
      <c r="G20" s="62" t="s">
        <v>1347</v>
      </c>
    </row>
    <row r="21" spans="1:7">
      <c r="A21" s="62" t="s">
        <v>1394</v>
      </c>
      <c r="B21" s="62" t="s">
        <v>1395</v>
      </c>
      <c r="C21" s="62" t="s">
        <v>1396</v>
      </c>
      <c r="D21" s="62" t="s">
        <v>1351</v>
      </c>
      <c r="E21" s="62" t="s">
        <v>1346</v>
      </c>
      <c r="F21" s="62" t="s">
        <v>1347</v>
      </c>
      <c r="G21" s="62" t="s">
        <v>1347</v>
      </c>
    </row>
    <row r="22" spans="1:7">
      <c r="A22" s="62" t="s">
        <v>1397</v>
      </c>
      <c r="B22" s="62" t="s">
        <v>1398</v>
      </c>
      <c r="C22" s="62" t="s">
        <v>1364</v>
      </c>
      <c r="D22" s="62" t="s">
        <v>1351</v>
      </c>
      <c r="E22" s="62" t="s">
        <v>1346</v>
      </c>
      <c r="F22" s="62" t="s">
        <v>1374</v>
      </c>
      <c r="G22" s="62" t="s">
        <v>1374</v>
      </c>
    </row>
    <row r="23" spans="1:7">
      <c r="A23" s="62" t="s">
        <v>1399</v>
      </c>
      <c r="B23" s="62" t="s">
        <v>1400</v>
      </c>
      <c r="C23" s="62" t="s">
        <v>1401</v>
      </c>
      <c r="D23" s="62" t="s">
        <v>1351</v>
      </c>
      <c r="E23" s="62" t="s">
        <v>1346</v>
      </c>
      <c r="F23" s="62" t="s">
        <v>1347</v>
      </c>
      <c r="G23" s="62" t="s">
        <v>1347</v>
      </c>
    </row>
    <row r="24" spans="1:7">
      <c r="A24" s="62" t="s">
        <v>1402</v>
      </c>
      <c r="B24" s="62" t="s">
        <v>1403</v>
      </c>
      <c r="C24" s="62" t="s">
        <v>1404</v>
      </c>
      <c r="D24" s="62" t="s">
        <v>1351</v>
      </c>
      <c r="E24" s="62" t="s">
        <v>1346</v>
      </c>
      <c r="F24" s="62" t="s">
        <v>1361</v>
      </c>
      <c r="G24" s="62" t="s">
        <v>1361</v>
      </c>
    </row>
    <row r="25" spans="1:7">
      <c r="A25" s="62" t="s">
        <v>646</v>
      </c>
      <c r="B25" s="62" t="s">
        <v>1405</v>
      </c>
      <c r="C25" s="62" t="s">
        <v>1406</v>
      </c>
      <c r="D25" s="62" t="s">
        <v>1351</v>
      </c>
      <c r="E25" s="62" t="s">
        <v>1346</v>
      </c>
      <c r="F25" s="62" t="s">
        <v>1347</v>
      </c>
      <c r="G25" s="62" t="s">
        <v>1347</v>
      </c>
    </row>
    <row r="26" spans="1:7">
      <c r="A26" s="62" t="s">
        <v>1407</v>
      </c>
      <c r="B26" s="62" t="s">
        <v>1408</v>
      </c>
      <c r="C26" s="62" t="s">
        <v>1409</v>
      </c>
      <c r="D26" s="62" t="s">
        <v>1351</v>
      </c>
      <c r="E26" s="62" t="s">
        <v>1346</v>
      </c>
      <c r="F26" s="62" t="s">
        <v>1347</v>
      </c>
      <c r="G26" s="62" t="s">
        <v>1347</v>
      </c>
    </row>
    <row r="27" spans="1:7">
      <c r="A27" s="62" t="s">
        <v>1410</v>
      </c>
      <c r="B27" s="62" t="s">
        <v>1411</v>
      </c>
      <c r="C27" s="62" t="s">
        <v>1412</v>
      </c>
      <c r="D27" s="62" t="s">
        <v>1351</v>
      </c>
      <c r="E27" s="62" t="s">
        <v>1346</v>
      </c>
      <c r="F27" s="62" t="s">
        <v>1347</v>
      </c>
      <c r="G27" s="62" t="s">
        <v>1347</v>
      </c>
    </row>
    <row r="28" spans="1:7">
      <c r="A28" s="62" t="s">
        <v>1413</v>
      </c>
      <c r="B28" s="62" t="s">
        <v>1414</v>
      </c>
      <c r="C28" s="62" t="s">
        <v>1415</v>
      </c>
      <c r="D28" s="62" t="s">
        <v>1351</v>
      </c>
      <c r="E28" s="62" t="s">
        <v>1346</v>
      </c>
      <c r="F28" s="62" t="s">
        <v>1347</v>
      </c>
      <c r="G28" s="62" t="s">
        <v>1347</v>
      </c>
    </row>
    <row r="29" spans="1:7">
      <c r="A29" s="62" t="s">
        <v>1416</v>
      </c>
      <c r="B29" s="62" t="s">
        <v>1417</v>
      </c>
      <c r="C29" s="62" t="s">
        <v>1406</v>
      </c>
      <c r="D29" s="62" t="s">
        <v>1345</v>
      </c>
      <c r="E29" s="62" t="s">
        <v>1346</v>
      </c>
      <c r="F29" s="62" t="s">
        <v>1374</v>
      </c>
      <c r="G29" s="62" t="s">
        <v>1374</v>
      </c>
    </row>
    <row r="30" spans="1:7">
      <c r="A30" s="62" t="s">
        <v>1418</v>
      </c>
      <c r="B30" s="62" t="s">
        <v>1419</v>
      </c>
      <c r="C30" s="62" t="s">
        <v>1418</v>
      </c>
      <c r="D30" s="62" t="s">
        <v>1351</v>
      </c>
      <c r="E30" s="62" t="s">
        <v>1346</v>
      </c>
      <c r="F30" s="62" t="s">
        <v>1347</v>
      </c>
      <c r="G30" s="62" t="s">
        <v>1347</v>
      </c>
    </row>
    <row r="31" spans="1:7">
      <c r="A31" s="62" t="s">
        <v>1420</v>
      </c>
      <c r="B31" s="62" t="s">
        <v>1421</v>
      </c>
      <c r="C31" s="62" t="s">
        <v>1422</v>
      </c>
      <c r="D31" s="62" t="s">
        <v>1351</v>
      </c>
      <c r="E31" s="62" t="s">
        <v>1346</v>
      </c>
      <c r="F31" s="62" t="s">
        <v>1361</v>
      </c>
      <c r="G31" s="62" t="s">
        <v>1361</v>
      </c>
    </row>
    <row r="32" spans="1:7">
      <c r="A32" s="62" t="s">
        <v>663</v>
      </c>
      <c r="B32" s="62" t="s">
        <v>1423</v>
      </c>
      <c r="C32" s="62" t="s">
        <v>1415</v>
      </c>
      <c r="D32" s="62" t="s">
        <v>1345</v>
      </c>
      <c r="E32" s="62" t="s">
        <v>1346</v>
      </c>
      <c r="F32" s="62" t="s">
        <v>1361</v>
      </c>
      <c r="G32" s="62" t="s">
        <v>1361</v>
      </c>
    </row>
    <row r="33" spans="1:7">
      <c r="A33" s="62" t="s">
        <v>665</v>
      </c>
      <c r="B33" s="62" t="s">
        <v>1424</v>
      </c>
      <c r="C33" s="62" t="s">
        <v>1369</v>
      </c>
      <c r="D33" s="62" t="s">
        <v>1345</v>
      </c>
      <c r="E33" s="62" t="s">
        <v>1346</v>
      </c>
      <c r="F33" s="62" t="s">
        <v>1352</v>
      </c>
      <c r="G33" s="62" t="s">
        <v>1352</v>
      </c>
    </row>
    <row r="34" spans="1:7">
      <c r="A34" s="62" t="s">
        <v>1425</v>
      </c>
      <c r="B34" s="62" t="s">
        <v>1426</v>
      </c>
      <c r="C34" s="62" t="s">
        <v>1406</v>
      </c>
      <c r="D34" s="62" t="s">
        <v>1351</v>
      </c>
      <c r="E34" s="62" t="s">
        <v>1346</v>
      </c>
      <c r="F34" s="62" t="s">
        <v>1361</v>
      </c>
      <c r="G34" s="62" t="s">
        <v>1361</v>
      </c>
    </row>
    <row r="35" spans="1:7">
      <c r="A35" s="62" t="s">
        <v>675</v>
      </c>
      <c r="B35" s="62" t="s">
        <v>1427</v>
      </c>
      <c r="C35" s="62" t="s">
        <v>615</v>
      </c>
      <c r="D35" s="62" t="s">
        <v>1345</v>
      </c>
      <c r="E35" s="62" t="s">
        <v>1346</v>
      </c>
      <c r="F35" s="62" t="s">
        <v>1357</v>
      </c>
      <c r="G35" s="62" t="s">
        <v>1352</v>
      </c>
    </row>
    <row r="36" spans="1:7">
      <c r="A36" s="62" t="s">
        <v>678</v>
      </c>
      <c r="B36" s="62" t="s">
        <v>1428</v>
      </c>
      <c r="C36" s="62" t="s">
        <v>1429</v>
      </c>
      <c r="D36" s="62" t="s">
        <v>1345</v>
      </c>
      <c r="E36" s="62" t="s">
        <v>1346</v>
      </c>
      <c r="F36" s="62" t="s">
        <v>1374</v>
      </c>
      <c r="G36" s="62" t="s">
        <v>1374</v>
      </c>
    </row>
    <row r="37" spans="1:7">
      <c r="A37" s="62" t="s">
        <v>1260</v>
      </c>
      <c r="B37" s="62" t="s">
        <v>1430</v>
      </c>
      <c r="C37" s="62" t="s">
        <v>1429</v>
      </c>
      <c r="D37" s="62" t="s">
        <v>1351</v>
      </c>
      <c r="E37" s="62" t="s">
        <v>1346</v>
      </c>
      <c r="F37" s="62" t="s">
        <v>1347</v>
      </c>
      <c r="G37" s="62" t="s">
        <v>1347</v>
      </c>
    </row>
    <row r="38" spans="1:7">
      <c r="A38" s="62" t="s">
        <v>1431</v>
      </c>
      <c r="B38" s="62" t="s">
        <v>1432</v>
      </c>
      <c r="C38" s="62" t="s">
        <v>1433</v>
      </c>
      <c r="D38" s="62" t="s">
        <v>1351</v>
      </c>
      <c r="E38" s="62" t="s">
        <v>1346</v>
      </c>
      <c r="F38" s="62" t="s">
        <v>1374</v>
      </c>
      <c r="G38" s="62" t="s">
        <v>1374</v>
      </c>
    </row>
    <row r="39" spans="1:7">
      <c r="A39" s="62" t="s">
        <v>1434</v>
      </c>
      <c r="B39" s="62" t="s">
        <v>1435</v>
      </c>
      <c r="C39" s="62" t="s">
        <v>1436</v>
      </c>
      <c r="D39" s="62" t="s">
        <v>1351</v>
      </c>
      <c r="E39" s="62" t="s">
        <v>1346</v>
      </c>
      <c r="F39" s="62" t="s">
        <v>1352</v>
      </c>
      <c r="G39" s="62" t="s">
        <v>1352</v>
      </c>
    </row>
    <row r="40" spans="1:7">
      <c r="A40" s="62" t="s">
        <v>1437</v>
      </c>
      <c r="B40" s="62" t="s">
        <v>1438</v>
      </c>
      <c r="C40" s="62" t="s">
        <v>1429</v>
      </c>
      <c r="D40" s="62" t="s">
        <v>1345</v>
      </c>
      <c r="E40" s="62" t="s">
        <v>1346</v>
      </c>
      <c r="F40" s="62" t="s">
        <v>1374</v>
      </c>
      <c r="G40" s="62" t="s">
        <v>1374</v>
      </c>
    </row>
    <row r="41" spans="1:7">
      <c r="A41" s="62" t="s">
        <v>1439</v>
      </c>
      <c r="B41" s="62" t="s">
        <v>1440</v>
      </c>
      <c r="C41" s="62" t="s">
        <v>1406</v>
      </c>
      <c r="D41" s="62" t="s">
        <v>1351</v>
      </c>
      <c r="E41" s="62" t="s">
        <v>1346</v>
      </c>
      <c r="F41" s="62" t="s">
        <v>1357</v>
      </c>
      <c r="G41" s="62" t="s">
        <v>1352</v>
      </c>
    </row>
    <row r="42" spans="1:7">
      <c r="A42" s="62" t="s">
        <v>1441</v>
      </c>
      <c r="B42" s="62" t="s">
        <v>1442</v>
      </c>
      <c r="C42" s="62" t="s">
        <v>1406</v>
      </c>
      <c r="D42" s="62" t="s">
        <v>1351</v>
      </c>
      <c r="E42" s="62" t="s">
        <v>1346</v>
      </c>
      <c r="F42" s="62" t="s">
        <v>1357</v>
      </c>
      <c r="G42" s="62" t="s">
        <v>1352</v>
      </c>
    </row>
    <row r="43" spans="1:7">
      <c r="A43" s="62" t="s">
        <v>1443</v>
      </c>
      <c r="B43" s="62" t="s">
        <v>1444</v>
      </c>
      <c r="C43" s="62" t="s">
        <v>615</v>
      </c>
      <c r="D43" s="62" t="s">
        <v>1351</v>
      </c>
      <c r="E43" s="62" t="s">
        <v>1346</v>
      </c>
      <c r="F43" s="62" t="s">
        <v>1352</v>
      </c>
      <c r="G43" s="62" t="s">
        <v>1352</v>
      </c>
    </row>
    <row r="44" spans="1:7">
      <c r="A44" s="62" t="s">
        <v>682</v>
      </c>
      <c r="B44" s="62" t="s">
        <v>1445</v>
      </c>
      <c r="C44" s="62" t="s">
        <v>1367</v>
      </c>
      <c r="D44" s="62" t="s">
        <v>1345</v>
      </c>
      <c r="E44" s="62" t="s">
        <v>1346</v>
      </c>
      <c r="F44" s="62" t="s">
        <v>1361</v>
      </c>
      <c r="G44" s="62" t="s">
        <v>1361</v>
      </c>
    </row>
    <row r="45" spans="1:7">
      <c r="A45" s="62" t="s">
        <v>1381</v>
      </c>
      <c r="B45" s="62" t="s">
        <v>1446</v>
      </c>
      <c r="C45" s="62" t="s">
        <v>1381</v>
      </c>
      <c r="D45" s="62" t="s">
        <v>1351</v>
      </c>
      <c r="E45" s="62" t="s">
        <v>1346</v>
      </c>
      <c r="F45" s="62" t="s">
        <v>1347</v>
      </c>
      <c r="G45" s="62" t="s">
        <v>1347</v>
      </c>
    </row>
    <row r="46" spans="1:7">
      <c r="A46" s="62" t="s">
        <v>1447</v>
      </c>
      <c r="B46" s="62" t="s">
        <v>1448</v>
      </c>
      <c r="C46" s="62" t="s">
        <v>1449</v>
      </c>
      <c r="D46" s="62" t="s">
        <v>1351</v>
      </c>
      <c r="E46" s="62" t="s">
        <v>1346</v>
      </c>
      <c r="F46" s="62" t="s">
        <v>1347</v>
      </c>
      <c r="G46" s="62" t="s">
        <v>1347</v>
      </c>
    </row>
    <row r="47" spans="1:7">
      <c r="A47" s="62" t="s">
        <v>1450</v>
      </c>
      <c r="B47" s="62" t="s">
        <v>1451</v>
      </c>
      <c r="C47" s="62" t="s">
        <v>1452</v>
      </c>
      <c r="D47" s="62" t="s">
        <v>1351</v>
      </c>
      <c r="E47" s="62" t="s">
        <v>1346</v>
      </c>
      <c r="F47" s="62" t="s">
        <v>1347</v>
      </c>
      <c r="G47" s="62" t="s">
        <v>1347</v>
      </c>
    </row>
    <row r="48" spans="1:7">
      <c r="A48" s="62" t="s">
        <v>295</v>
      </c>
      <c r="B48" s="62" t="s">
        <v>1453</v>
      </c>
      <c r="C48" s="62" t="s">
        <v>1454</v>
      </c>
      <c r="D48" s="62" t="s">
        <v>1345</v>
      </c>
      <c r="E48" s="62" t="s">
        <v>1346</v>
      </c>
      <c r="F48" s="62" t="s">
        <v>1374</v>
      </c>
      <c r="G48" s="62" t="s">
        <v>1374</v>
      </c>
    </row>
    <row r="49" spans="1:7">
      <c r="A49" s="62" t="s">
        <v>1455</v>
      </c>
      <c r="B49" s="62" t="s">
        <v>1456</v>
      </c>
      <c r="C49" s="62" t="s">
        <v>1457</v>
      </c>
      <c r="D49" s="62" t="s">
        <v>1351</v>
      </c>
      <c r="E49" s="62" t="s">
        <v>1346</v>
      </c>
      <c r="F49" s="62" t="s">
        <v>1347</v>
      </c>
      <c r="G49" s="62" t="s">
        <v>1347</v>
      </c>
    </row>
    <row r="50" spans="1:7">
      <c r="A50" s="62" t="s">
        <v>1458</v>
      </c>
      <c r="B50" s="62" t="s">
        <v>1459</v>
      </c>
      <c r="C50" s="62" t="s">
        <v>1429</v>
      </c>
      <c r="D50" s="62" t="s">
        <v>1351</v>
      </c>
      <c r="E50" s="62" t="s">
        <v>1346</v>
      </c>
      <c r="F50" s="62" t="s">
        <v>1361</v>
      </c>
      <c r="G50" s="62" t="s">
        <v>1361</v>
      </c>
    </row>
    <row r="51" spans="1:7">
      <c r="A51" s="62" t="s">
        <v>702</v>
      </c>
      <c r="B51" s="62" t="s">
        <v>1460</v>
      </c>
      <c r="C51" s="62" t="s">
        <v>1364</v>
      </c>
      <c r="D51" s="62" t="s">
        <v>1351</v>
      </c>
      <c r="E51" s="62" t="s">
        <v>1346</v>
      </c>
      <c r="F51" s="62" t="s">
        <v>1361</v>
      </c>
      <c r="G51" s="62" t="s">
        <v>1361</v>
      </c>
    </row>
    <row r="52" spans="1:7">
      <c r="A52" s="62" t="s">
        <v>1461</v>
      </c>
      <c r="B52" s="62" t="s">
        <v>1462</v>
      </c>
      <c r="C52" s="62" t="s">
        <v>1406</v>
      </c>
      <c r="D52" s="62" t="s">
        <v>1351</v>
      </c>
      <c r="E52" s="62" t="s">
        <v>1346</v>
      </c>
      <c r="F52" s="62" t="s">
        <v>1374</v>
      </c>
      <c r="G52" s="62" t="s">
        <v>1374</v>
      </c>
    </row>
    <row r="53" spans="1:7">
      <c r="A53" s="62" t="s">
        <v>1463</v>
      </c>
      <c r="B53" s="62" t="s">
        <v>1464</v>
      </c>
      <c r="C53" s="62" t="s">
        <v>1429</v>
      </c>
      <c r="D53" s="62" t="s">
        <v>1345</v>
      </c>
      <c r="E53" s="62" t="s">
        <v>1346</v>
      </c>
      <c r="F53" s="62" t="s">
        <v>1374</v>
      </c>
      <c r="G53" s="62" t="s">
        <v>1374</v>
      </c>
    </row>
    <row r="54" spans="1:7">
      <c r="A54" s="62" t="s">
        <v>703</v>
      </c>
      <c r="B54" s="62" t="s">
        <v>1465</v>
      </c>
      <c r="C54" s="62" t="s">
        <v>703</v>
      </c>
      <c r="D54" s="62" t="s">
        <v>1351</v>
      </c>
      <c r="E54" s="62" t="s">
        <v>1346</v>
      </c>
      <c r="F54" s="62" t="s">
        <v>1347</v>
      </c>
      <c r="G54" s="62" t="s">
        <v>1347</v>
      </c>
    </row>
    <row r="55" spans="1:7">
      <c r="A55" s="62" t="s">
        <v>706</v>
      </c>
      <c r="B55" s="62" t="s">
        <v>1466</v>
      </c>
      <c r="C55" s="62" t="s">
        <v>1367</v>
      </c>
      <c r="D55" s="62" t="s">
        <v>1351</v>
      </c>
      <c r="E55" s="62" t="s">
        <v>1346</v>
      </c>
      <c r="F55" s="62" t="s">
        <v>1347</v>
      </c>
      <c r="G55" s="62" t="s">
        <v>1347</v>
      </c>
    </row>
    <row r="56" spans="1:7">
      <c r="A56" s="62" t="s">
        <v>1467</v>
      </c>
      <c r="B56" s="62" t="s">
        <v>1468</v>
      </c>
      <c r="C56" s="62" t="s">
        <v>1469</v>
      </c>
      <c r="D56" s="62" t="s">
        <v>1351</v>
      </c>
      <c r="E56" s="62" t="s">
        <v>1346</v>
      </c>
      <c r="F56" s="62" t="s">
        <v>1361</v>
      </c>
      <c r="G56" s="62" t="s">
        <v>1361</v>
      </c>
    </row>
    <row r="57" spans="1:7">
      <c r="A57" s="62" t="s">
        <v>1470</v>
      </c>
      <c r="B57" s="62" t="s">
        <v>1471</v>
      </c>
      <c r="C57" s="62" t="s">
        <v>1364</v>
      </c>
      <c r="D57" s="62" t="s">
        <v>1351</v>
      </c>
      <c r="E57" s="62" t="s">
        <v>1346</v>
      </c>
      <c r="F57" s="62" t="s">
        <v>1347</v>
      </c>
      <c r="G57" s="62" t="s">
        <v>1347</v>
      </c>
    </row>
    <row r="58" spans="1:7">
      <c r="A58" s="62" t="s">
        <v>1472</v>
      </c>
      <c r="B58" s="62" t="s">
        <v>1473</v>
      </c>
      <c r="C58" s="62" t="s">
        <v>1474</v>
      </c>
      <c r="D58" s="62" t="s">
        <v>1351</v>
      </c>
      <c r="E58" s="62" t="s">
        <v>1346</v>
      </c>
      <c r="F58" s="62" t="s">
        <v>1347</v>
      </c>
      <c r="G58" s="62" t="s">
        <v>1347</v>
      </c>
    </row>
    <row r="59" spans="1:7">
      <c r="A59" s="62" t="s">
        <v>1475</v>
      </c>
      <c r="B59" s="62" t="s">
        <v>1476</v>
      </c>
      <c r="C59" s="62" t="s">
        <v>1477</v>
      </c>
      <c r="D59" s="62" t="s">
        <v>1351</v>
      </c>
      <c r="E59" s="62" t="s">
        <v>1346</v>
      </c>
      <c r="F59" s="62" t="s">
        <v>1352</v>
      </c>
      <c r="G59" s="62" t="s">
        <v>1352</v>
      </c>
    </row>
    <row r="60" spans="1:7">
      <c r="A60" s="62" t="s">
        <v>1478</v>
      </c>
      <c r="B60" s="62" t="s">
        <v>1479</v>
      </c>
      <c r="C60" s="62" t="s">
        <v>1480</v>
      </c>
      <c r="D60" s="62" t="s">
        <v>1351</v>
      </c>
      <c r="E60" s="62" t="s">
        <v>1346</v>
      </c>
      <c r="F60" s="62" t="s">
        <v>1347</v>
      </c>
      <c r="G60" s="62" t="s">
        <v>1347</v>
      </c>
    </row>
    <row r="61" spans="1:7">
      <c r="A61" s="62" t="s">
        <v>1481</v>
      </c>
      <c r="B61" s="62" t="s">
        <v>1482</v>
      </c>
      <c r="C61" s="62" t="s">
        <v>1483</v>
      </c>
      <c r="D61" s="62" t="s">
        <v>1351</v>
      </c>
      <c r="E61" s="62" t="s">
        <v>1346</v>
      </c>
      <c r="F61" s="62" t="s">
        <v>1347</v>
      </c>
      <c r="G61" s="62" t="s">
        <v>1347</v>
      </c>
    </row>
    <row r="62" spans="1:7">
      <c r="A62" s="62" t="s">
        <v>710</v>
      </c>
      <c r="B62" s="62" t="s">
        <v>1473</v>
      </c>
      <c r="C62" s="62" t="s">
        <v>1474</v>
      </c>
      <c r="D62" s="62" t="s">
        <v>1345</v>
      </c>
      <c r="E62" s="62" t="s">
        <v>1346</v>
      </c>
      <c r="F62" s="62" t="s">
        <v>1347</v>
      </c>
      <c r="G62" s="62" t="s">
        <v>1347</v>
      </c>
    </row>
    <row r="63" spans="1:7">
      <c r="A63" s="62" t="s">
        <v>1484</v>
      </c>
      <c r="B63" s="62" t="s">
        <v>1485</v>
      </c>
      <c r="C63" s="62" t="s">
        <v>1486</v>
      </c>
      <c r="D63" s="62" t="s">
        <v>1351</v>
      </c>
      <c r="E63" s="62" t="s">
        <v>1346</v>
      </c>
      <c r="F63" s="62" t="s">
        <v>1374</v>
      </c>
      <c r="G63" s="62" t="s">
        <v>1374</v>
      </c>
    </row>
    <row r="64" spans="1:7">
      <c r="A64" s="62" t="s">
        <v>1487</v>
      </c>
      <c r="B64" s="62" t="s">
        <v>1488</v>
      </c>
      <c r="C64" s="62" t="s">
        <v>1489</v>
      </c>
      <c r="D64" s="62" t="s">
        <v>1345</v>
      </c>
      <c r="E64" s="62" t="s">
        <v>1346</v>
      </c>
      <c r="F64" s="62" t="s">
        <v>1374</v>
      </c>
      <c r="G64" s="62" t="s">
        <v>1374</v>
      </c>
    </row>
    <row r="65" spans="1:7">
      <c r="A65" s="62" t="s">
        <v>712</v>
      </c>
      <c r="B65" s="62" t="s">
        <v>1490</v>
      </c>
      <c r="C65" s="62" t="s">
        <v>1474</v>
      </c>
      <c r="D65" s="62" t="s">
        <v>1351</v>
      </c>
      <c r="E65" s="62" t="s">
        <v>1346</v>
      </c>
      <c r="F65" s="62" t="s">
        <v>1347</v>
      </c>
      <c r="G65" s="62" t="s">
        <v>1347</v>
      </c>
    </row>
    <row r="66" spans="1:7">
      <c r="A66" s="62" t="s">
        <v>1491</v>
      </c>
      <c r="B66" s="62" t="s">
        <v>1492</v>
      </c>
      <c r="C66" s="62" t="s">
        <v>1493</v>
      </c>
      <c r="D66" s="62" t="s">
        <v>1351</v>
      </c>
      <c r="E66" s="62" t="s">
        <v>1346</v>
      </c>
      <c r="F66" s="62" t="s">
        <v>1374</v>
      </c>
      <c r="G66" s="62" t="s">
        <v>1374</v>
      </c>
    </row>
    <row r="67" spans="1:7">
      <c r="A67" s="62" t="s">
        <v>1494</v>
      </c>
      <c r="B67" s="62" t="s">
        <v>1495</v>
      </c>
      <c r="C67" s="62" t="s">
        <v>1429</v>
      </c>
      <c r="D67" s="62" t="s">
        <v>1351</v>
      </c>
      <c r="E67" s="62" t="s">
        <v>1346</v>
      </c>
      <c r="F67" s="62" t="s">
        <v>1347</v>
      </c>
      <c r="G67" s="62" t="s">
        <v>1347</v>
      </c>
    </row>
    <row r="68" spans="1:7">
      <c r="A68" s="62" t="s">
        <v>1496</v>
      </c>
      <c r="B68" s="62" t="s">
        <v>1497</v>
      </c>
      <c r="C68" s="62" t="s">
        <v>1498</v>
      </c>
      <c r="D68" s="62" t="s">
        <v>1351</v>
      </c>
      <c r="E68" s="62" t="s">
        <v>1346</v>
      </c>
      <c r="F68" s="62" t="s">
        <v>1357</v>
      </c>
      <c r="G68" s="62" t="s">
        <v>1352</v>
      </c>
    </row>
    <row r="69" spans="1:7">
      <c r="A69" s="62" t="s">
        <v>1499</v>
      </c>
      <c r="B69" s="62" t="s">
        <v>1500</v>
      </c>
      <c r="C69" s="62" t="s">
        <v>1381</v>
      </c>
      <c r="D69" s="62" t="s">
        <v>1351</v>
      </c>
      <c r="E69" s="62" t="s">
        <v>1346</v>
      </c>
      <c r="F69" s="62" t="s">
        <v>1357</v>
      </c>
      <c r="G69" s="62" t="s">
        <v>1352</v>
      </c>
    </row>
    <row r="70" spans="1:7">
      <c r="A70" s="62" t="s">
        <v>1501</v>
      </c>
      <c r="B70" s="62" t="s">
        <v>1502</v>
      </c>
      <c r="C70" s="62" t="s">
        <v>1503</v>
      </c>
      <c r="D70" s="62" t="s">
        <v>1351</v>
      </c>
      <c r="E70" s="62" t="s">
        <v>1346</v>
      </c>
      <c r="F70" s="62" t="s">
        <v>1361</v>
      </c>
      <c r="G70" s="62" t="s">
        <v>1361</v>
      </c>
    </row>
    <row r="71" spans="1:7">
      <c r="A71" s="62" t="s">
        <v>1504</v>
      </c>
      <c r="B71" s="62" t="s">
        <v>1505</v>
      </c>
      <c r="C71" s="62" t="s">
        <v>1364</v>
      </c>
      <c r="D71" s="62" t="s">
        <v>1345</v>
      </c>
      <c r="E71" s="62" t="s">
        <v>1346</v>
      </c>
      <c r="F71" s="62" t="s">
        <v>1374</v>
      </c>
      <c r="G71" s="62" t="s">
        <v>1374</v>
      </c>
    </row>
    <row r="72" spans="1:7">
      <c r="A72" s="62" t="s">
        <v>1506</v>
      </c>
      <c r="B72" s="62" t="s">
        <v>1507</v>
      </c>
      <c r="C72" s="62" t="s">
        <v>1388</v>
      </c>
      <c r="D72" s="62" t="s">
        <v>1351</v>
      </c>
      <c r="E72" s="62" t="s">
        <v>1346</v>
      </c>
      <c r="F72" s="62" t="s">
        <v>1352</v>
      </c>
      <c r="G72" s="62" t="s">
        <v>1352</v>
      </c>
    </row>
    <row r="73" spans="1:7">
      <c r="A73" s="62" t="s">
        <v>1508</v>
      </c>
      <c r="B73" s="62" t="s">
        <v>1509</v>
      </c>
      <c r="C73" s="62" t="s">
        <v>1510</v>
      </c>
      <c r="D73" s="62" t="s">
        <v>1351</v>
      </c>
      <c r="E73" s="62" t="s">
        <v>1346</v>
      </c>
      <c r="F73" s="62" t="s">
        <v>1347</v>
      </c>
      <c r="G73" s="62" t="s">
        <v>1347</v>
      </c>
    </row>
    <row r="74" spans="1:7">
      <c r="A74" s="62" t="s">
        <v>1511</v>
      </c>
      <c r="B74" s="62" t="s">
        <v>1512</v>
      </c>
      <c r="C74" s="62" t="s">
        <v>703</v>
      </c>
      <c r="D74" s="62" t="s">
        <v>1351</v>
      </c>
      <c r="E74" s="62" t="s">
        <v>1346</v>
      </c>
      <c r="F74" s="62" t="s">
        <v>1352</v>
      </c>
      <c r="G74" s="62" t="s">
        <v>1352</v>
      </c>
    </row>
    <row r="75" spans="1:7">
      <c r="A75" s="62" t="s">
        <v>1513</v>
      </c>
      <c r="B75" s="62" t="s">
        <v>1514</v>
      </c>
      <c r="C75" s="62" t="s">
        <v>1406</v>
      </c>
      <c r="D75" s="62" t="s">
        <v>1345</v>
      </c>
      <c r="E75" s="62" t="s">
        <v>1346</v>
      </c>
      <c r="F75" s="62" t="s">
        <v>1374</v>
      </c>
      <c r="G75" s="62" t="s">
        <v>1374</v>
      </c>
    </row>
    <row r="76" spans="1:7">
      <c r="A76" s="62" t="s">
        <v>1515</v>
      </c>
      <c r="B76" s="62" t="s">
        <v>1515</v>
      </c>
      <c r="C76" s="62" t="s">
        <v>1516</v>
      </c>
      <c r="D76" s="62" t="s">
        <v>1351</v>
      </c>
      <c r="E76" s="62" t="s">
        <v>1346</v>
      </c>
      <c r="F76" s="62" t="s">
        <v>1352</v>
      </c>
      <c r="G76" s="62" t="s">
        <v>1352</v>
      </c>
    </row>
    <row r="77" spans="1:7">
      <c r="A77" s="62" t="s">
        <v>1517</v>
      </c>
      <c r="B77" s="62" t="s">
        <v>1518</v>
      </c>
      <c r="C77" s="62" t="s">
        <v>1519</v>
      </c>
      <c r="D77" s="62" t="s">
        <v>1345</v>
      </c>
      <c r="E77" s="62" t="s">
        <v>1346</v>
      </c>
      <c r="F77" s="62" t="s">
        <v>1357</v>
      </c>
      <c r="G77" s="62" t="s">
        <v>1352</v>
      </c>
    </row>
    <row r="78" spans="1:7">
      <c r="A78" s="62" t="s">
        <v>743</v>
      </c>
      <c r="B78" s="62" t="s">
        <v>1520</v>
      </c>
      <c r="C78" s="62" t="s">
        <v>1360</v>
      </c>
      <c r="D78" s="62" t="s">
        <v>1351</v>
      </c>
      <c r="E78" s="62" t="s">
        <v>1346</v>
      </c>
      <c r="F78" s="62" t="s">
        <v>1347</v>
      </c>
      <c r="G78" s="62" t="s">
        <v>1347</v>
      </c>
    </row>
    <row r="79" spans="1:7">
      <c r="A79" s="62" t="s">
        <v>745</v>
      </c>
      <c r="B79" s="62" t="s">
        <v>1521</v>
      </c>
      <c r="C79" s="62" t="s">
        <v>1406</v>
      </c>
      <c r="D79" s="62" t="s">
        <v>1345</v>
      </c>
      <c r="E79" s="62" t="s">
        <v>1346</v>
      </c>
      <c r="F79" s="62" t="s">
        <v>1352</v>
      </c>
      <c r="G79" s="62" t="s">
        <v>1352</v>
      </c>
    </row>
    <row r="80" spans="1:7">
      <c r="A80" s="62" t="s">
        <v>1522</v>
      </c>
      <c r="B80" s="62" t="s">
        <v>1523</v>
      </c>
      <c r="C80" s="62" t="s">
        <v>1406</v>
      </c>
      <c r="D80" s="62" t="s">
        <v>1351</v>
      </c>
      <c r="E80" s="62" t="s">
        <v>1346</v>
      </c>
      <c r="F80" s="62" t="s">
        <v>1352</v>
      </c>
      <c r="G80" s="62" t="s">
        <v>1352</v>
      </c>
    </row>
    <row r="81" spans="1:7">
      <c r="A81" s="62" t="s">
        <v>1524</v>
      </c>
      <c r="B81" s="62" t="s">
        <v>1520</v>
      </c>
      <c r="C81" s="62" t="s">
        <v>1360</v>
      </c>
      <c r="D81" s="62" t="s">
        <v>1351</v>
      </c>
      <c r="E81" s="62" t="s">
        <v>1346</v>
      </c>
      <c r="F81" s="62" t="s">
        <v>1347</v>
      </c>
      <c r="G81" s="62" t="s">
        <v>1347</v>
      </c>
    </row>
    <row r="82" spans="1:7">
      <c r="A82" s="62" t="s">
        <v>1525</v>
      </c>
      <c r="B82" s="62" t="s">
        <v>1526</v>
      </c>
      <c r="C82" s="62" t="s">
        <v>1422</v>
      </c>
      <c r="D82" s="62" t="s">
        <v>1351</v>
      </c>
      <c r="E82" s="62" t="s">
        <v>1346</v>
      </c>
      <c r="F82" s="62" t="s">
        <v>1361</v>
      </c>
      <c r="G82" s="62" t="s">
        <v>1361</v>
      </c>
    </row>
    <row r="83" spans="1:7">
      <c r="A83" s="62" t="s">
        <v>1527</v>
      </c>
      <c r="B83" s="62" t="s">
        <v>1528</v>
      </c>
      <c r="C83" s="62" t="s">
        <v>1529</v>
      </c>
      <c r="D83" s="62" t="s">
        <v>1351</v>
      </c>
      <c r="E83" s="62" t="s">
        <v>1346</v>
      </c>
      <c r="F83" s="62" t="s">
        <v>1347</v>
      </c>
      <c r="G83" s="62" t="s">
        <v>1347</v>
      </c>
    </row>
    <row r="84" spans="1:7">
      <c r="A84" s="62" t="s">
        <v>1530</v>
      </c>
      <c r="B84" s="62" t="s">
        <v>1531</v>
      </c>
      <c r="C84" s="62" t="s">
        <v>1422</v>
      </c>
      <c r="D84" s="62" t="s">
        <v>1351</v>
      </c>
      <c r="E84" s="62" t="s">
        <v>1346</v>
      </c>
      <c r="F84" s="62" t="s">
        <v>1361</v>
      </c>
      <c r="G84" s="62" t="s">
        <v>1361</v>
      </c>
    </row>
    <row r="85" spans="1:7">
      <c r="A85" s="62" t="s">
        <v>1532</v>
      </c>
      <c r="B85" s="62" t="s">
        <v>1533</v>
      </c>
      <c r="C85" s="62" t="s">
        <v>1388</v>
      </c>
      <c r="D85" s="62" t="s">
        <v>1351</v>
      </c>
      <c r="E85" s="62" t="s">
        <v>1346</v>
      </c>
      <c r="F85" s="62" t="s">
        <v>1361</v>
      </c>
      <c r="G85" s="62" t="s">
        <v>1361</v>
      </c>
    </row>
    <row r="86" spans="1:7">
      <c r="A86" s="62" t="s">
        <v>1534</v>
      </c>
      <c r="B86" s="62" t="s">
        <v>1535</v>
      </c>
      <c r="C86" s="62" t="s">
        <v>1422</v>
      </c>
      <c r="D86" s="62" t="s">
        <v>1351</v>
      </c>
      <c r="E86" s="62" t="s">
        <v>1346</v>
      </c>
      <c r="F86" s="62" t="s">
        <v>1361</v>
      </c>
      <c r="G86" s="62" t="s">
        <v>1361</v>
      </c>
    </row>
    <row r="87" spans="1:7">
      <c r="A87" s="62" t="s">
        <v>1536</v>
      </c>
      <c r="B87" s="62" t="s">
        <v>1537</v>
      </c>
      <c r="C87" s="62" t="s">
        <v>1538</v>
      </c>
      <c r="D87" s="62" t="s">
        <v>1351</v>
      </c>
      <c r="E87" s="62" t="s">
        <v>1346</v>
      </c>
      <c r="F87" s="62" t="s">
        <v>1352</v>
      </c>
      <c r="G87" s="62" t="s">
        <v>1352</v>
      </c>
    </row>
    <row r="88" spans="1:7">
      <c r="A88" s="62" t="s">
        <v>1539</v>
      </c>
      <c r="B88" s="62" t="s">
        <v>1540</v>
      </c>
      <c r="C88" s="62" t="s">
        <v>1422</v>
      </c>
      <c r="D88" s="62" t="s">
        <v>1351</v>
      </c>
      <c r="E88" s="62" t="s">
        <v>1346</v>
      </c>
      <c r="F88" s="62" t="s">
        <v>1361</v>
      </c>
      <c r="G88" s="62" t="s">
        <v>1361</v>
      </c>
    </row>
    <row r="89" spans="1:7">
      <c r="A89" s="62" t="s">
        <v>1541</v>
      </c>
      <c r="B89" s="62" t="s">
        <v>1542</v>
      </c>
      <c r="C89" s="62" t="s">
        <v>1422</v>
      </c>
      <c r="D89" s="62" t="s">
        <v>1345</v>
      </c>
      <c r="E89" s="62" t="s">
        <v>1346</v>
      </c>
      <c r="F89" s="62" t="s">
        <v>1374</v>
      </c>
      <c r="G89" s="62" t="s">
        <v>1374</v>
      </c>
    </row>
    <row r="90" spans="1:7">
      <c r="A90" s="62" t="s">
        <v>1543</v>
      </c>
      <c r="B90" s="62" t="s">
        <v>1544</v>
      </c>
      <c r="C90" s="62" t="s">
        <v>1545</v>
      </c>
      <c r="D90" s="62" t="s">
        <v>1351</v>
      </c>
      <c r="E90" s="62" t="s">
        <v>1346</v>
      </c>
      <c r="F90" s="62" t="s">
        <v>1347</v>
      </c>
      <c r="G90" s="62" t="s">
        <v>1347</v>
      </c>
    </row>
    <row r="91" spans="1:7">
      <c r="A91" s="62" t="s">
        <v>1546</v>
      </c>
      <c r="B91" s="62" t="s">
        <v>1547</v>
      </c>
      <c r="C91" s="62" t="s">
        <v>1369</v>
      </c>
      <c r="D91" s="62" t="s">
        <v>1345</v>
      </c>
      <c r="E91" s="62" t="s">
        <v>1346</v>
      </c>
      <c r="F91" s="62" t="s">
        <v>1361</v>
      </c>
      <c r="G91" s="62" t="s">
        <v>1361</v>
      </c>
    </row>
    <row r="92" spans="1:7">
      <c r="A92" s="62" t="s">
        <v>1548</v>
      </c>
      <c r="B92" s="62" t="s">
        <v>1549</v>
      </c>
      <c r="C92" s="62" t="s">
        <v>1550</v>
      </c>
      <c r="D92" s="62" t="s">
        <v>1351</v>
      </c>
      <c r="E92" s="62" t="s">
        <v>1346</v>
      </c>
      <c r="F92" s="62" t="s">
        <v>1361</v>
      </c>
      <c r="G92" s="62" t="s">
        <v>1361</v>
      </c>
    </row>
    <row r="93" spans="1:7">
      <c r="A93" s="62" t="s">
        <v>1551</v>
      </c>
      <c r="B93" s="62" t="s">
        <v>1552</v>
      </c>
      <c r="C93" s="62" t="s">
        <v>1406</v>
      </c>
      <c r="D93" s="62" t="s">
        <v>1351</v>
      </c>
      <c r="E93" s="62" t="s">
        <v>1346</v>
      </c>
      <c r="F93" s="62" t="s">
        <v>1361</v>
      </c>
      <c r="G93" s="62" t="s">
        <v>1361</v>
      </c>
    </row>
    <row r="94" spans="1:7">
      <c r="A94" s="62" t="s">
        <v>1273</v>
      </c>
      <c r="B94" s="62" t="s">
        <v>1553</v>
      </c>
      <c r="C94" s="62" t="s">
        <v>1469</v>
      </c>
      <c r="D94" s="62" t="s">
        <v>1351</v>
      </c>
      <c r="E94" s="62" t="s">
        <v>1346</v>
      </c>
      <c r="F94" s="62" t="s">
        <v>1361</v>
      </c>
      <c r="G94" s="62" t="s">
        <v>1361</v>
      </c>
    </row>
    <row r="95" spans="1:7">
      <c r="A95" s="62" t="s">
        <v>1554</v>
      </c>
      <c r="B95" s="62" t="s">
        <v>1555</v>
      </c>
      <c r="C95" s="62" t="s">
        <v>1367</v>
      </c>
      <c r="D95" s="62" t="s">
        <v>1351</v>
      </c>
      <c r="E95" s="62" t="s">
        <v>1346</v>
      </c>
      <c r="F95" s="62" t="s">
        <v>1347</v>
      </c>
      <c r="G95" s="62" t="s">
        <v>1347</v>
      </c>
    </row>
    <row r="96" spans="1:7">
      <c r="A96" s="62" t="s">
        <v>1556</v>
      </c>
      <c r="B96" s="62" t="s">
        <v>1556</v>
      </c>
      <c r="C96" s="62" t="s">
        <v>1369</v>
      </c>
      <c r="D96" s="62" t="s">
        <v>1345</v>
      </c>
      <c r="E96" s="62" t="s">
        <v>1346</v>
      </c>
      <c r="F96" s="62" t="s">
        <v>1361</v>
      </c>
      <c r="G96" s="62" t="s">
        <v>1361</v>
      </c>
    </row>
    <row r="97" spans="1:7">
      <c r="A97" s="62" t="s">
        <v>1557</v>
      </c>
      <c r="B97" s="62" t="s">
        <v>1558</v>
      </c>
      <c r="C97" s="62" t="s">
        <v>1429</v>
      </c>
      <c r="D97" s="62" t="s">
        <v>1345</v>
      </c>
      <c r="E97" s="62" t="s">
        <v>1346</v>
      </c>
      <c r="F97" s="62" t="s">
        <v>1374</v>
      </c>
      <c r="G97" s="62" t="s">
        <v>1374</v>
      </c>
    </row>
    <row r="98" spans="1:7">
      <c r="A98" s="62" t="s">
        <v>1559</v>
      </c>
      <c r="B98" s="62" t="s">
        <v>1560</v>
      </c>
      <c r="C98" s="62" t="s">
        <v>1422</v>
      </c>
      <c r="D98" s="62" t="s">
        <v>1345</v>
      </c>
      <c r="E98" s="62" t="s">
        <v>1346</v>
      </c>
      <c r="F98" s="62" t="s">
        <v>1374</v>
      </c>
      <c r="G98" s="62" t="s">
        <v>1374</v>
      </c>
    </row>
    <row r="99" spans="1:7">
      <c r="A99" s="62" t="s">
        <v>1561</v>
      </c>
      <c r="B99" s="62" t="s">
        <v>1562</v>
      </c>
      <c r="C99" s="62" t="s">
        <v>1519</v>
      </c>
      <c r="D99" s="62" t="s">
        <v>1345</v>
      </c>
      <c r="E99" s="62" t="s">
        <v>1346</v>
      </c>
      <c r="F99" s="62" t="s">
        <v>1361</v>
      </c>
      <c r="G99" s="62" t="s">
        <v>1361</v>
      </c>
    </row>
    <row r="100" spans="1:7">
      <c r="A100" s="62" t="s">
        <v>795</v>
      </c>
      <c r="B100" s="62" t="s">
        <v>1563</v>
      </c>
      <c r="C100" s="62" t="s">
        <v>1564</v>
      </c>
      <c r="D100" s="62" t="s">
        <v>1351</v>
      </c>
      <c r="E100" s="62" t="s">
        <v>1346</v>
      </c>
      <c r="F100" s="62" t="s">
        <v>1347</v>
      </c>
      <c r="G100" s="62" t="s">
        <v>1347</v>
      </c>
    </row>
    <row r="101" spans="1:7">
      <c r="A101" s="62" t="s">
        <v>1565</v>
      </c>
      <c r="B101" s="62" t="s">
        <v>1566</v>
      </c>
      <c r="C101" s="62" t="s">
        <v>1396</v>
      </c>
      <c r="D101" s="62" t="s">
        <v>1351</v>
      </c>
      <c r="E101" s="62" t="s">
        <v>1346</v>
      </c>
      <c r="F101" s="62" t="s">
        <v>1347</v>
      </c>
      <c r="G101" s="62" t="s">
        <v>1347</v>
      </c>
    </row>
    <row r="102" spans="1:7">
      <c r="A102" s="62" t="s">
        <v>1567</v>
      </c>
      <c r="B102" s="62" t="s">
        <v>1568</v>
      </c>
      <c r="C102" s="62" t="s">
        <v>1406</v>
      </c>
      <c r="D102" s="62" t="s">
        <v>1351</v>
      </c>
      <c r="E102" s="62" t="s">
        <v>1346</v>
      </c>
      <c r="F102" s="62" t="s">
        <v>1347</v>
      </c>
      <c r="G102" s="62" t="s">
        <v>1347</v>
      </c>
    </row>
    <row r="103" spans="1:7">
      <c r="A103" s="62" t="s">
        <v>1569</v>
      </c>
      <c r="B103" s="62" t="s">
        <v>1570</v>
      </c>
      <c r="C103" s="62" t="s">
        <v>1571</v>
      </c>
      <c r="D103" s="62" t="s">
        <v>1351</v>
      </c>
      <c r="E103" s="62" t="s">
        <v>1346</v>
      </c>
      <c r="F103" s="62" t="s">
        <v>1374</v>
      </c>
      <c r="G103" s="62" t="s">
        <v>1374</v>
      </c>
    </row>
    <row r="104" spans="1:7">
      <c r="A104" s="62" t="s">
        <v>1572</v>
      </c>
      <c r="B104" s="62" t="s">
        <v>1573</v>
      </c>
      <c r="C104" s="62" t="s">
        <v>1545</v>
      </c>
      <c r="D104" s="62" t="s">
        <v>1345</v>
      </c>
      <c r="E104" s="62" t="s">
        <v>1346</v>
      </c>
      <c r="F104" s="62" t="s">
        <v>1374</v>
      </c>
      <c r="G104" s="62" t="s">
        <v>1374</v>
      </c>
    </row>
    <row r="105" spans="1:7">
      <c r="A105" s="62" t="s">
        <v>1574</v>
      </c>
      <c r="B105" s="62" t="s">
        <v>1575</v>
      </c>
      <c r="C105" s="62" t="s">
        <v>615</v>
      </c>
      <c r="D105" s="62" t="s">
        <v>1351</v>
      </c>
      <c r="E105" s="62" t="s">
        <v>1346</v>
      </c>
      <c r="F105" s="62" t="s">
        <v>1347</v>
      </c>
      <c r="G105" s="62" t="s">
        <v>1347</v>
      </c>
    </row>
    <row r="106" spans="1:7">
      <c r="A106" s="62" t="s">
        <v>1576</v>
      </c>
      <c r="B106" s="62" t="s">
        <v>1577</v>
      </c>
      <c r="C106" s="62" t="s">
        <v>1578</v>
      </c>
      <c r="D106" s="62" t="s">
        <v>1351</v>
      </c>
      <c r="E106" s="62" t="s">
        <v>1346</v>
      </c>
      <c r="F106" s="62" t="s">
        <v>1347</v>
      </c>
      <c r="G106" s="62" t="s">
        <v>1347</v>
      </c>
    </row>
    <row r="107" spans="1:7">
      <c r="A107" s="62" t="s">
        <v>1579</v>
      </c>
      <c r="B107" s="62" t="s">
        <v>1580</v>
      </c>
      <c r="C107" s="62" t="s">
        <v>1581</v>
      </c>
      <c r="D107" s="62" t="s">
        <v>1351</v>
      </c>
      <c r="E107" s="62" t="s">
        <v>1346</v>
      </c>
      <c r="F107" s="62" t="s">
        <v>1347</v>
      </c>
      <c r="G107" s="62" t="s">
        <v>1347</v>
      </c>
    </row>
    <row r="108" spans="1:7">
      <c r="A108" s="62" t="s">
        <v>1582</v>
      </c>
      <c r="B108" s="62" t="s">
        <v>1583</v>
      </c>
      <c r="C108" s="62" t="s">
        <v>1584</v>
      </c>
      <c r="D108" s="62" t="s">
        <v>1351</v>
      </c>
      <c r="E108" s="62" t="s">
        <v>1346</v>
      </c>
      <c r="F108" s="62" t="s">
        <v>1347</v>
      </c>
      <c r="G108" s="62" t="s">
        <v>1347</v>
      </c>
    </row>
    <row r="109" spans="1:7">
      <c r="A109" s="62" t="s">
        <v>1585</v>
      </c>
      <c r="B109" s="62" t="s">
        <v>1586</v>
      </c>
      <c r="C109" s="62" t="s">
        <v>1367</v>
      </c>
      <c r="D109" s="62" t="s">
        <v>1345</v>
      </c>
      <c r="E109" s="62" t="s">
        <v>1346</v>
      </c>
      <c r="F109" s="62" t="s">
        <v>1374</v>
      </c>
      <c r="G109" s="62" t="s">
        <v>1374</v>
      </c>
    </row>
    <row r="110" spans="1:7">
      <c r="A110" s="62" t="s">
        <v>1587</v>
      </c>
      <c r="B110" s="62" t="s">
        <v>1588</v>
      </c>
      <c r="C110" s="62" t="s">
        <v>1589</v>
      </c>
      <c r="D110" s="62" t="s">
        <v>1345</v>
      </c>
      <c r="E110" s="62" t="s">
        <v>1346</v>
      </c>
      <c r="F110" s="62" t="s">
        <v>1361</v>
      </c>
      <c r="G110" s="62" t="s">
        <v>1361</v>
      </c>
    </row>
    <row r="111" spans="1:7">
      <c r="A111" s="62" t="s">
        <v>1590</v>
      </c>
      <c r="B111" s="62" t="s">
        <v>1591</v>
      </c>
      <c r="C111" s="62" t="s">
        <v>1406</v>
      </c>
      <c r="D111" s="62" t="s">
        <v>1351</v>
      </c>
      <c r="E111" s="62" t="s">
        <v>1346</v>
      </c>
      <c r="F111" s="62" t="s">
        <v>1374</v>
      </c>
      <c r="G111" s="62" t="s">
        <v>1374</v>
      </c>
    </row>
    <row r="112" spans="1:7">
      <c r="A112" s="62" t="s">
        <v>202</v>
      </c>
      <c r="B112" s="62" t="s">
        <v>1592</v>
      </c>
      <c r="C112" s="62" t="s">
        <v>1369</v>
      </c>
      <c r="D112" s="62" t="s">
        <v>1351</v>
      </c>
      <c r="E112" s="62" t="s">
        <v>1346</v>
      </c>
      <c r="F112" s="62" t="s">
        <v>1374</v>
      </c>
      <c r="G112" s="62" t="s">
        <v>1374</v>
      </c>
    </row>
    <row r="113" spans="1:7">
      <c r="A113" s="62" t="s">
        <v>1593</v>
      </c>
      <c r="B113" s="62" t="s">
        <v>1594</v>
      </c>
      <c r="C113" s="62" t="s">
        <v>1422</v>
      </c>
      <c r="D113" s="62" t="s">
        <v>1345</v>
      </c>
      <c r="E113" s="62" t="s">
        <v>1346</v>
      </c>
      <c r="F113" s="62" t="s">
        <v>1374</v>
      </c>
      <c r="G113" s="62" t="s">
        <v>1374</v>
      </c>
    </row>
    <row r="114" spans="1:7">
      <c r="A114" s="62" t="s">
        <v>1595</v>
      </c>
      <c r="B114" s="62" t="s">
        <v>1596</v>
      </c>
      <c r="C114" s="62" t="s">
        <v>1356</v>
      </c>
      <c r="D114" s="62" t="s">
        <v>1345</v>
      </c>
      <c r="E114" s="62" t="s">
        <v>1346</v>
      </c>
      <c r="F114" s="62" t="s">
        <v>1357</v>
      </c>
      <c r="G114" s="62" t="s">
        <v>1352</v>
      </c>
    </row>
    <row r="115" spans="1:7">
      <c r="A115" s="62" t="s">
        <v>1597</v>
      </c>
      <c r="B115" s="62" t="s">
        <v>1598</v>
      </c>
      <c r="C115" s="62" t="s">
        <v>1367</v>
      </c>
      <c r="D115" s="62" t="s">
        <v>1351</v>
      </c>
      <c r="E115" s="62" t="s">
        <v>1346</v>
      </c>
      <c r="F115" s="62" t="s">
        <v>1352</v>
      </c>
      <c r="G115" s="62" t="s">
        <v>1352</v>
      </c>
    </row>
    <row r="116" spans="1:7">
      <c r="A116" s="62" t="s">
        <v>1599</v>
      </c>
      <c r="B116" s="62" t="s">
        <v>1600</v>
      </c>
      <c r="C116" s="62" t="s">
        <v>1367</v>
      </c>
      <c r="D116" s="62" t="s">
        <v>1345</v>
      </c>
      <c r="E116" s="62" t="s">
        <v>1346</v>
      </c>
      <c r="F116" s="62" t="s">
        <v>1374</v>
      </c>
      <c r="G116" s="62" t="s">
        <v>1374</v>
      </c>
    </row>
    <row r="117" spans="1:7">
      <c r="A117" s="62" t="s">
        <v>837</v>
      </c>
      <c r="B117" s="62" t="s">
        <v>1601</v>
      </c>
      <c r="C117" s="62" t="s">
        <v>1519</v>
      </c>
      <c r="D117" s="62" t="s">
        <v>1351</v>
      </c>
      <c r="E117" s="62" t="s">
        <v>1346</v>
      </c>
      <c r="F117" s="62" t="s">
        <v>1361</v>
      </c>
      <c r="G117" s="62" t="s">
        <v>1361</v>
      </c>
    </row>
    <row r="118" spans="1:7">
      <c r="A118" s="62" t="s">
        <v>1602</v>
      </c>
      <c r="B118" s="62" t="s">
        <v>1603</v>
      </c>
      <c r="C118" s="62" t="s">
        <v>1429</v>
      </c>
      <c r="D118" s="62" t="s">
        <v>1345</v>
      </c>
      <c r="E118" s="62" t="s">
        <v>1346</v>
      </c>
      <c r="F118" s="62" t="s">
        <v>1357</v>
      </c>
      <c r="G118" s="62" t="s">
        <v>1352</v>
      </c>
    </row>
    <row r="119" spans="1:7">
      <c r="A119" s="62" t="s">
        <v>926</v>
      </c>
      <c r="B119" s="62" t="s">
        <v>1604</v>
      </c>
      <c r="C119" s="62" t="s">
        <v>1519</v>
      </c>
      <c r="D119" s="62" t="s">
        <v>1351</v>
      </c>
      <c r="E119" s="62" t="s">
        <v>1346</v>
      </c>
      <c r="F119" s="62" t="s">
        <v>1347</v>
      </c>
      <c r="G119" s="62" t="s">
        <v>1347</v>
      </c>
    </row>
    <row r="120" spans="1:7">
      <c r="A120" s="62" t="s">
        <v>1605</v>
      </c>
      <c r="B120" s="62" t="s">
        <v>1603</v>
      </c>
      <c r="C120" s="62" t="s">
        <v>1429</v>
      </c>
      <c r="D120" s="62" t="s">
        <v>1351</v>
      </c>
      <c r="E120" s="62" t="s">
        <v>1346</v>
      </c>
      <c r="F120" s="62" t="s">
        <v>1357</v>
      </c>
      <c r="G120" s="62" t="s">
        <v>1352</v>
      </c>
    </row>
    <row r="121" spans="1:7">
      <c r="A121" s="62" t="s">
        <v>1606</v>
      </c>
      <c r="B121" s="62" t="s">
        <v>1607</v>
      </c>
      <c r="C121" s="62" t="s">
        <v>1608</v>
      </c>
      <c r="D121" s="62" t="s">
        <v>1351</v>
      </c>
      <c r="E121" s="62" t="s">
        <v>1346</v>
      </c>
      <c r="F121" s="62" t="s">
        <v>1347</v>
      </c>
      <c r="G121" s="62" t="s">
        <v>1347</v>
      </c>
    </row>
    <row r="122" spans="1:7">
      <c r="A122" s="62" t="s">
        <v>1609</v>
      </c>
      <c r="B122" s="62" t="s">
        <v>1610</v>
      </c>
      <c r="C122" s="62" t="s">
        <v>1429</v>
      </c>
      <c r="D122" s="62" t="s">
        <v>1345</v>
      </c>
      <c r="E122" s="62" t="s">
        <v>1346</v>
      </c>
      <c r="F122" s="62" t="s">
        <v>1374</v>
      </c>
      <c r="G122" s="62" t="s">
        <v>1374</v>
      </c>
    </row>
    <row r="123" spans="1:7">
      <c r="A123" s="62" t="s">
        <v>1611</v>
      </c>
      <c r="B123" s="62" t="s">
        <v>1612</v>
      </c>
      <c r="C123" s="62" t="s">
        <v>1613</v>
      </c>
      <c r="D123" s="62" t="s">
        <v>1351</v>
      </c>
      <c r="E123" s="62" t="s">
        <v>1346</v>
      </c>
      <c r="F123" s="62" t="s">
        <v>1347</v>
      </c>
      <c r="G123" s="62" t="s">
        <v>1347</v>
      </c>
    </row>
    <row r="124" spans="1:7">
      <c r="A124" s="62" t="s">
        <v>1614</v>
      </c>
      <c r="B124" s="62" t="s">
        <v>1615</v>
      </c>
      <c r="C124" s="62" t="s">
        <v>1429</v>
      </c>
      <c r="D124" s="62" t="s">
        <v>1351</v>
      </c>
      <c r="E124" s="62" t="s">
        <v>1346</v>
      </c>
      <c r="F124" s="62" t="s">
        <v>1374</v>
      </c>
      <c r="G124" s="62" t="s">
        <v>1374</v>
      </c>
    </row>
    <row r="125" spans="1:7">
      <c r="A125" s="62" t="s">
        <v>1616</v>
      </c>
      <c r="B125" s="62" t="s">
        <v>1617</v>
      </c>
      <c r="C125" s="62" t="s">
        <v>1369</v>
      </c>
      <c r="D125" s="62" t="s">
        <v>1351</v>
      </c>
      <c r="E125" s="62" t="s">
        <v>1346</v>
      </c>
      <c r="F125" s="62" t="s">
        <v>1347</v>
      </c>
      <c r="G125" s="62" t="s">
        <v>1347</v>
      </c>
    </row>
    <row r="126" spans="1:7">
      <c r="A126" s="62" t="s">
        <v>1618</v>
      </c>
      <c r="B126" s="62" t="s">
        <v>1619</v>
      </c>
      <c r="C126" s="62" t="s">
        <v>1620</v>
      </c>
      <c r="D126" s="62" t="s">
        <v>1351</v>
      </c>
      <c r="E126" s="62" t="s">
        <v>1346</v>
      </c>
      <c r="F126" s="62" t="s">
        <v>1347</v>
      </c>
      <c r="G126" s="62" t="s">
        <v>1347</v>
      </c>
    </row>
    <row r="127" spans="1:7">
      <c r="A127" s="62" t="s">
        <v>1289</v>
      </c>
      <c r="B127" s="62" t="s">
        <v>1621</v>
      </c>
      <c r="C127" s="62" t="s">
        <v>1622</v>
      </c>
      <c r="D127" s="62" t="s">
        <v>1351</v>
      </c>
      <c r="E127" s="62" t="s">
        <v>1346</v>
      </c>
      <c r="F127" s="62" t="s">
        <v>1361</v>
      </c>
      <c r="G127" s="62" t="s">
        <v>1361</v>
      </c>
    </row>
    <row r="128" spans="1:7">
      <c r="A128" s="62" t="s">
        <v>1454</v>
      </c>
      <c r="B128" s="62" t="s">
        <v>1623</v>
      </c>
      <c r="C128" s="62" t="s">
        <v>1454</v>
      </c>
      <c r="D128" s="62" t="s">
        <v>1351</v>
      </c>
      <c r="E128" s="62" t="s">
        <v>1346</v>
      </c>
      <c r="F128" s="62" t="s">
        <v>1357</v>
      </c>
      <c r="G128" s="62" t="s">
        <v>1352</v>
      </c>
    </row>
    <row r="129" spans="1:7">
      <c r="A129" s="62" t="s">
        <v>966</v>
      </c>
      <c r="B129" s="62" t="s">
        <v>1624</v>
      </c>
      <c r="C129" s="62" t="s">
        <v>1406</v>
      </c>
      <c r="D129" s="62" t="s">
        <v>1351</v>
      </c>
      <c r="E129" s="62" t="s">
        <v>1346</v>
      </c>
      <c r="F129" s="62" t="s">
        <v>1347</v>
      </c>
      <c r="G129" s="62" t="s">
        <v>1347</v>
      </c>
    </row>
    <row r="130" spans="1:7">
      <c r="A130" s="62" t="s">
        <v>1625</v>
      </c>
      <c r="B130" s="62" t="s">
        <v>1626</v>
      </c>
      <c r="C130" s="62" t="s">
        <v>1454</v>
      </c>
      <c r="D130" s="62" t="s">
        <v>1351</v>
      </c>
      <c r="E130" s="62" t="s">
        <v>1346</v>
      </c>
      <c r="F130" s="62" t="s">
        <v>1352</v>
      </c>
      <c r="G130" s="62" t="s">
        <v>1352</v>
      </c>
    </row>
    <row r="131" spans="1:7">
      <c r="A131" s="62" t="s">
        <v>974</v>
      </c>
      <c r="B131" s="62" t="s">
        <v>1627</v>
      </c>
      <c r="C131" s="62" t="s">
        <v>1474</v>
      </c>
      <c r="D131" s="62" t="s">
        <v>1351</v>
      </c>
      <c r="E131" s="62" t="s">
        <v>1346</v>
      </c>
      <c r="F131" s="62" t="s">
        <v>1347</v>
      </c>
      <c r="G131" s="62" t="s">
        <v>1347</v>
      </c>
    </row>
    <row r="132" spans="1:7">
      <c r="A132" s="62" t="s">
        <v>1628</v>
      </c>
      <c r="B132" s="62" t="s">
        <v>1629</v>
      </c>
      <c r="C132" s="62" t="s">
        <v>1369</v>
      </c>
      <c r="D132" s="62" t="s">
        <v>1351</v>
      </c>
      <c r="E132" s="62" t="s">
        <v>1346</v>
      </c>
      <c r="F132" s="62" t="s">
        <v>1374</v>
      </c>
      <c r="G132" s="62" t="s">
        <v>1374</v>
      </c>
    </row>
    <row r="133" spans="1:7">
      <c r="A133" s="62" t="s">
        <v>1630</v>
      </c>
      <c r="B133" s="62" t="s">
        <v>1630</v>
      </c>
      <c r="C133" s="62" t="s">
        <v>1631</v>
      </c>
      <c r="D133" s="62" t="s">
        <v>1351</v>
      </c>
      <c r="E133" s="62" t="s">
        <v>1346</v>
      </c>
      <c r="F133" s="62" t="s">
        <v>1374</v>
      </c>
      <c r="G133" s="62" t="s">
        <v>1374</v>
      </c>
    </row>
    <row r="134" spans="1:7">
      <c r="A134" s="62" t="s">
        <v>150</v>
      </c>
      <c r="B134" s="62" t="s">
        <v>1632</v>
      </c>
      <c r="C134" s="62" t="s">
        <v>1474</v>
      </c>
      <c r="D134" s="62" t="s">
        <v>1345</v>
      </c>
      <c r="E134" s="62" t="s">
        <v>1346</v>
      </c>
      <c r="F134" s="62" t="s">
        <v>1361</v>
      </c>
      <c r="G134" s="62" t="s">
        <v>1361</v>
      </c>
    </row>
    <row r="135" spans="1:7">
      <c r="A135" s="62" t="s">
        <v>1633</v>
      </c>
      <c r="B135" s="62" t="s">
        <v>1634</v>
      </c>
      <c r="C135" s="62" t="s">
        <v>1635</v>
      </c>
      <c r="D135" s="62" t="s">
        <v>1351</v>
      </c>
      <c r="E135" s="62" t="s">
        <v>1346</v>
      </c>
      <c r="F135" s="62" t="s">
        <v>1352</v>
      </c>
      <c r="G135" s="62" t="s">
        <v>1352</v>
      </c>
    </row>
    <row r="136" spans="1:7">
      <c r="A136" s="62" t="s">
        <v>1636</v>
      </c>
      <c r="B136" s="62" t="s">
        <v>1637</v>
      </c>
      <c r="C136" s="62" t="s">
        <v>1638</v>
      </c>
      <c r="D136" s="62" t="s">
        <v>1345</v>
      </c>
      <c r="E136" s="62" t="s">
        <v>1346</v>
      </c>
      <c r="F136" s="62" t="s">
        <v>1361</v>
      </c>
      <c r="G136" s="62" t="s">
        <v>1361</v>
      </c>
    </row>
    <row r="137" spans="1:7">
      <c r="A137" s="62" t="s">
        <v>1639</v>
      </c>
      <c r="B137" s="62" t="s">
        <v>1640</v>
      </c>
      <c r="C137" s="62" t="s">
        <v>1589</v>
      </c>
      <c r="D137" s="62" t="s">
        <v>1345</v>
      </c>
      <c r="E137" s="62" t="s">
        <v>1346</v>
      </c>
      <c r="F137" s="62" t="s">
        <v>1374</v>
      </c>
      <c r="G137" s="62" t="s">
        <v>1374</v>
      </c>
    </row>
    <row r="138" spans="1:7">
      <c r="A138" s="62" t="s">
        <v>1641</v>
      </c>
      <c r="B138" s="62" t="s">
        <v>1642</v>
      </c>
      <c r="C138" s="62" t="s">
        <v>1367</v>
      </c>
      <c r="D138" s="62" t="s">
        <v>1351</v>
      </c>
      <c r="E138" s="62" t="s">
        <v>1346</v>
      </c>
      <c r="F138" s="62" t="s">
        <v>1361</v>
      </c>
      <c r="G138" s="62" t="s">
        <v>1361</v>
      </c>
    </row>
    <row r="139" spans="1:7">
      <c r="A139" s="62" t="s">
        <v>1643</v>
      </c>
      <c r="B139" s="62" t="s">
        <v>1644</v>
      </c>
      <c r="C139" s="62" t="s">
        <v>1645</v>
      </c>
      <c r="D139" s="62" t="s">
        <v>1351</v>
      </c>
      <c r="E139" s="62" t="s">
        <v>1346</v>
      </c>
      <c r="F139" s="62" t="s">
        <v>1347</v>
      </c>
      <c r="G139" s="62" t="s">
        <v>1347</v>
      </c>
    </row>
    <row r="140" spans="1:7">
      <c r="A140" s="62" t="s">
        <v>1646</v>
      </c>
      <c r="B140" s="62" t="s">
        <v>1647</v>
      </c>
      <c r="C140" s="62" t="s">
        <v>1360</v>
      </c>
      <c r="D140" s="62" t="s">
        <v>1351</v>
      </c>
      <c r="E140" s="62" t="s">
        <v>1346</v>
      </c>
      <c r="F140" s="62" t="s">
        <v>1347</v>
      </c>
      <c r="G140" s="62" t="s">
        <v>1347</v>
      </c>
    </row>
    <row r="141" spans="1:7">
      <c r="A141" s="62" t="s">
        <v>1648</v>
      </c>
      <c r="B141" s="62" t="s">
        <v>1649</v>
      </c>
      <c r="C141" s="62" t="s">
        <v>1406</v>
      </c>
      <c r="D141" s="62" t="s">
        <v>1345</v>
      </c>
      <c r="E141" s="62" t="s">
        <v>1346</v>
      </c>
      <c r="F141" s="62" t="s">
        <v>1374</v>
      </c>
      <c r="G141" s="62" t="s">
        <v>1374</v>
      </c>
    </row>
    <row r="142" spans="1:7">
      <c r="A142" s="62" t="s">
        <v>1296</v>
      </c>
      <c r="B142" s="62" t="s">
        <v>1642</v>
      </c>
      <c r="C142" s="62" t="s">
        <v>1367</v>
      </c>
      <c r="D142" s="62" t="s">
        <v>1351</v>
      </c>
      <c r="E142" s="62" t="s">
        <v>1346</v>
      </c>
      <c r="F142" s="62" t="s">
        <v>1352</v>
      </c>
      <c r="G142" s="62" t="s">
        <v>1352</v>
      </c>
    </row>
    <row r="143" spans="1:7">
      <c r="A143" s="62" t="s">
        <v>1650</v>
      </c>
      <c r="B143" s="62" t="s">
        <v>1651</v>
      </c>
      <c r="C143" s="62" t="s">
        <v>1519</v>
      </c>
      <c r="D143" s="62" t="s">
        <v>1351</v>
      </c>
      <c r="E143" s="62" t="s">
        <v>1346</v>
      </c>
      <c r="F143" s="62" t="s">
        <v>1352</v>
      </c>
      <c r="G143" s="62" t="s">
        <v>1352</v>
      </c>
    </row>
    <row r="144" spans="1:7">
      <c r="A144" s="62" t="s">
        <v>1652</v>
      </c>
      <c r="B144" s="62" t="s">
        <v>1653</v>
      </c>
      <c r="C144" s="62" t="s">
        <v>1519</v>
      </c>
      <c r="D144" s="62" t="s">
        <v>1351</v>
      </c>
      <c r="E144" s="62" t="s">
        <v>1346</v>
      </c>
      <c r="F144" s="62" t="s">
        <v>1347</v>
      </c>
      <c r="G144" s="62" t="s">
        <v>1347</v>
      </c>
    </row>
    <row r="145" spans="1:7">
      <c r="A145" s="62" t="s">
        <v>1654</v>
      </c>
      <c r="B145" s="62" t="s">
        <v>1644</v>
      </c>
      <c r="C145" s="62" t="s">
        <v>1429</v>
      </c>
      <c r="D145" s="62" t="s">
        <v>1351</v>
      </c>
      <c r="E145" s="62" t="s">
        <v>1346</v>
      </c>
      <c r="F145" s="62" t="s">
        <v>1347</v>
      </c>
      <c r="G145" s="62" t="s">
        <v>1347</v>
      </c>
    </row>
    <row r="146" spans="1:7">
      <c r="A146" s="62" t="s">
        <v>1655</v>
      </c>
      <c r="B146" s="62" t="s">
        <v>1656</v>
      </c>
      <c r="C146" s="62" t="s">
        <v>1657</v>
      </c>
      <c r="D146" s="62" t="s">
        <v>1345</v>
      </c>
      <c r="E146" s="62" t="s">
        <v>1346</v>
      </c>
      <c r="F146" s="62" t="s">
        <v>1361</v>
      </c>
      <c r="G146" s="62" t="s">
        <v>1361</v>
      </c>
    </row>
    <row r="147" spans="1:7">
      <c r="A147" s="62" t="s">
        <v>1658</v>
      </c>
      <c r="B147" s="62" t="s">
        <v>1659</v>
      </c>
      <c r="C147" s="62" t="s">
        <v>1360</v>
      </c>
      <c r="D147" s="62" t="s">
        <v>1345</v>
      </c>
      <c r="E147" s="62" t="s">
        <v>1346</v>
      </c>
      <c r="F147" s="62" t="s">
        <v>1347</v>
      </c>
      <c r="G147" s="62" t="s">
        <v>1347</v>
      </c>
    </row>
    <row r="148" spans="1:7">
      <c r="A148" s="62" t="s">
        <v>1660</v>
      </c>
      <c r="B148" s="62" t="s">
        <v>1661</v>
      </c>
      <c r="C148" s="62" t="s">
        <v>1364</v>
      </c>
      <c r="D148" s="62" t="s">
        <v>1345</v>
      </c>
      <c r="E148" s="62" t="s">
        <v>1346</v>
      </c>
      <c r="F148" s="62" t="s">
        <v>1347</v>
      </c>
      <c r="G148" s="62" t="s">
        <v>1347</v>
      </c>
    </row>
    <row r="149" spans="1:7">
      <c r="A149" s="62" t="s">
        <v>1662</v>
      </c>
      <c r="B149" s="62" t="s">
        <v>1663</v>
      </c>
      <c r="C149" s="62" t="s">
        <v>1429</v>
      </c>
      <c r="D149" s="62" t="s">
        <v>1345</v>
      </c>
      <c r="E149" s="62" t="s">
        <v>1346</v>
      </c>
      <c r="F149" s="62" t="s">
        <v>1352</v>
      </c>
      <c r="G149" s="62" t="s">
        <v>1352</v>
      </c>
    </row>
    <row r="150" spans="1:7">
      <c r="A150" s="62" t="s">
        <v>1664</v>
      </c>
      <c r="B150" s="62" t="s">
        <v>1665</v>
      </c>
      <c r="C150" s="62" t="s">
        <v>1666</v>
      </c>
      <c r="D150" s="62" t="s">
        <v>1345</v>
      </c>
      <c r="E150" s="62" t="s">
        <v>1346</v>
      </c>
      <c r="F150" s="62" t="s">
        <v>1361</v>
      </c>
      <c r="G150" s="62" t="s">
        <v>1361</v>
      </c>
    </row>
    <row r="151" spans="1:7">
      <c r="A151" s="62" t="s">
        <v>1667</v>
      </c>
      <c r="B151" s="62" t="s">
        <v>1668</v>
      </c>
      <c r="C151" s="62" t="s">
        <v>1669</v>
      </c>
      <c r="D151" s="62" t="s">
        <v>1351</v>
      </c>
      <c r="E151" s="62" t="s">
        <v>1346</v>
      </c>
      <c r="F151" s="62" t="s">
        <v>1361</v>
      </c>
      <c r="G151" s="62" t="s">
        <v>1361</v>
      </c>
    </row>
    <row r="152" spans="1:7">
      <c r="A152" s="62" t="s">
        <v>1670</v>
      </c>
      <c r="B152" s="62" t="s">
        <v>1671</v>
      </c>
      <c r="C152" s="62" t="s">
        <v>1672</v>
      </c>
      <c r="D152" s="62" t="s">
        <v>1345</v>
      </c>
      <c r="E152" s="62" t="s">
        <v>1346</v>
      </c>
      <c r="F152" s="62" t="s">
        <v>1361</v>
      </c>
      <c r="G152" s="62" t="s">
        <v>1361</v>
      </c>
    </row>
    <row r="153" spans="1:7">
      <c r="A153" s="62" t="s">
        <v>1673</v>
      </c>
      <c r="B153" s="62" t="s">
        <v>1674</v>
      </c>
      <c r="C153" s="62" t="s">
        <v>1675</v>
      </c>
      <c r="D153" s="62" t="s">
        <v>1351</v>
      </c>
      <c r="E153" s="62" t="s">
        <v>1346</v>
      </c>
      <c r="F153" s="62" t="s">
        <v>1347</v>
      </c>
      <c r="G153" s="62" t="s">
        <v>1347</v>
      </c>
    </row>
    <row r="154" spans="1:7">
      <c r="A154" s="62" t="s">
        <v>1676</v>
      </c>
      <c r="B154" s="62" t="s">
        <v>1677</v>
      </c>
      <c r="C154" s="62" t="s">
        <v>1678</v>
      </c>
      <c r="D154" s="62" t="s">
        <v>1351</v>
      </c>
      <c r="E154" s="62" t="s">
        <v>1346</v>
      </c>
      <c r="F154" s="62" t="s">
        <v>1347</v>
      </c>
      <c r="G154" s="62" t="s">
        <v>1347</v>
      </c>
    </row>
    <row r="155" spans="1:7">
      <c r="A155" s="62" t="s">
        <v>1679</v>
      </c>
      <c r="B155" s="62" t="s">
        <v>1680</v>
      </c>
      <c r="C155" s="62" t="s">
        <v>1681</v>
      </c>
      <c r="D155" s="62" t="s">
        <v>1351</v>
      </c>
      <c r="E155" s="62" t="s">
        <v>1346</v>
      </c>
      <c r="F155" s="62" t="s">
        <v>1347</v>
      </c>
      <c r="G155" s="62" t="s">
        <v>1347</v>
      </c>
    </row>
    <row r="156" spans="1:7">
      <c r="A156" s="62" t="s">
        <v>1682</v>
      </c>
      <c r="B156" s="62" t="s">
        <v>1683</v>
      </c>
      <c r="C156" s="62" t="s">
        <v>1684</v>
      </c>
      <c r="D156" s="62" t="s">
        <v>1351</v>
      </c>
      <c r="E156" s="62" t="s">
        <v>1346</v>
      </c>
      <c r="F156" s="62" t="s">
        <v>1347</v>
      </c>
      <c r="G156" s="62" t="s">
        <v>1347</v>
      </c>
    </row>
    <row r="157" spans="1:7">
      <c r="A157" s="62" t="s">
        <v>1685</v>
      </c>
      <c r="B157" s="62" t="s">
        <v>1686</v>
      </c>
      <c r="C157" s="62" t="s">
        <v>1687</v>
      </c>
      <c r="D157" s="62" t="s">
        <v>1351</v>
      </c>
      <c r="E157" s="62" t="s">
        <v>1346</v>
      </c>
      <c r="F157" s="62" t="s">
        <v>1347</v>
      </c>
      <c r="G157" s="62" t="s">
        <v>1347</v>
      </c>
    </row>
    <row r="158" spans="1:7">
      <c r="A158" s="62" t="s">
        <v>1688</v>
      </c>
      <c r="B158" s="62" t="s">
        <v>1689</v>
      </c>
      <c r="C158" s="62" t="s">
        <v>1469</v>
      </c>
      <c r="D158" s="62" t="s">
        <v>1345</v>
      </c>
      <c r="E158" s="62" t="s">
        <v>1346</v>
      </c>
      <c r="F158" s="62" t="s">
        <v>1374</v>
      </c>
      <c r="G158" s="62" t="s">
        <v>1374</v>
      </c>
    </row>
    <row r="159" spans="1:7">
      <c r="A159" s="62" t="s">
        <v>1690</v>
      </c>
      <c r="B159" s="62" t="s">
        <v>1691</v>
      </c>
      <c r="C159" s="62" t="s">
        <v>1469</v>
      </c>
      <c r="D159" s="62" t="s">
        <v>1345</v>
      </c>
      <c r="E159" s="62" t="s">
        <v>1346</v>
      </c>
      <c r="F159" s="62" t="s">
        <v>1374</v>
      </c>
      <c r="G159" s="62" t="s">
        <v>1374</v>
      </c>
    </row>
    <row r="160" spans="1:7">
      <c r="A160" s="62" t="s">
        <v>1692</v>
      </c>
      <c r="B160" s="62" t="s">
        <v>1693</v>
      </c>
      <c r="C160" s="62" t="s">
        <v>1694</v>
      </c>
      <c r="D160" s="62" t="s">
        <v>1345</v>
      </c>
      <c r="E160" s="62" t="s">
        <v>1346</v>
      </c>
      <c r="F160" s="62" t="s">
        <v>1374</v>
      </c>
      <c r="G160" s="62" t="s">
        <v>1374</v>
      </c>
    </row>
    <row r="161" spans="1:7">
      <c r="A161" s="62" t="s">
        <v>1695</v>
      </c>
      <c r="B161" s="62" t="s">
        <v>1696</v>
      </c>
      <c r="C161" s="62" t="s">
        <v>1697</v>
      </c>
      <c r="D161" s="62" t="s">
        <v>1698</v>
      </c>
      <c r="E161" s="62" t="s">
        <v>1346</v>
      </c>
      <c r="F161" s="62" t="s">
        <v>1347</v>
      </c>
      <c r="G161" s="62" t="s">
        <v>1347</v>
      </c>
    </row>
    <row r="162" spans="1:7">
      <c r="A162" s="62" t="s">
        <v>1699</v>
      </c>
      <c r="B162" s="62" t="s">
        <v>1700</v>
      </c>
      <c r="C162" s="62" t="s">
        <v>1406</v>
      </c>
      <c r="D162" s="62" t="s">
        <v>1345</v>
      </c>
      <c r="E162" s="62" t="s">
        <v>1346</v>
      </c>
      <c r="F162" s="62" t="s">
        <v>1374</v>
      </c>
      <c r="G162" s="62" t="s">
        <v>1374</v>
      </c>
    </row>
    <row r="163" spans="1:7">
      <c r="A163" s="62" t="s">
        <v>1701</v>
      </c>
      <c r="B163" s="62" t="s">
        <v>1701</v>
      </c>
      <c r="C163" s="62" t="s">
        <v>1702</v>
      </c>
      <c r="D163" s="62" t="s">
        <v>1351</v>
      </c>
      <c r="E163" s="62" t="s">
        <v>1346</v>
      </c>
      <c r="F163" s="62" t="s">
        <v>1347</v>
      </c>
      <c r="G163" s="62" t="s">
        <v>1347</v>
      </c>
    </row>
    <row r="164" spans="1:7">
      <c r="A164" s="62" t="s">
        <v>1308</v>
      </c>
      <c r="B164" s="62" t="s">
        <v>1703</v>
      </c>
      <c r="C164" s="62" t="s">
        <v>1388</v>
      </c>
      <c r="D164" s="62" t="s">
        <v>1345</v>
      </c>
      <c r="E164" s="62" t="s">
        <v>1346</v>
      </c>
      <c r="F164" s="62" t="s">
        <v>1361</v>
      </c>
      <c r="G164" s="62" t="s">
        <v>1361</v>
      </c>
    </row>
    <row r="165" spans="1:7">
      <c r="A165" s="62" t="s">
        <v>1704</v>
      </c>
      <c r="B165" s="62" t="s">
        <v>1705</v>
      </c>
      <c r="C165" s="62" t="s">
        <v>1706</v>
      </c>
      <c r="D165" s="62" t="s">
        <v>1351</v>
      </c>
      <c r="E165" s="62" t="s">
        <v>1346</v>
      </c>
      <c r="F165" s="62" t="s">
        <v>1347</v>
      </c>
      <c r="G165" s="62" t="s">
        <v>1347</v>
      </c>
    </row>
    <row r="166" spans="1:7">
      <c r="A166" s="62" t="s">
        <v>1707</v>
      </c>
      <c r="B166" s="62" t="s">
        <v>1708</v>
      </c>
      <c r="C166" s="62" t="s">
        <v>1709</v>
      </c>
      <c r="D166" s="62" t="s">
        <v>1351</v>
      </c>
      <c r="E166" s="62" t="s">
        <v>1346</v>
      </c>
      <c r="F166" s="62" t="s">
        <v>1347</v>
      </c>
      <c r="G166" s="62" t="s">
        <v>1347</v>
      </c>
    </row>
    <row r="167" spans="1:7">
      <c r="A167" s="62" t="s">
        <v>1710</v>
      </c>
      <c r="B167" s="62" t="s">
        <v>1711</v>
      </c>
      <c r="C167" s="62" t="s">
        <v>1712</v>
      </c>
      <c r="D167" s="62" t="s">
        <v>1345</v>
      </c>
      <c r="E167" s="62" t="s">
        <v>1346</v>
      </c>
      <c r="F167" s="62" t="s">
        <v>1361</v>
      </c>
      <c r="G167" s="62" t="s">
        <v>1361</v>
      </c>
    </row>
    <row r="168" spans="1:7">
      <c r="A168" s="62" t="s">
        <v>1713</v>
      </c>
      <c r="B168" s="62" t="s">
        <v>1714</v>
      </c>
      <c r="C168" s="62" t="s">
        <v>1474</v>
      </c>
      <c r="D168" s="62" t="s">
        <v>1351</v>
      </c>
      <c r="E168" s="62" t="s">
        <v>1346</v>
      </c>
      <c r="F168" s="62" t="s">
        <v>1357</v>
      </c>
      <c r="G168" s="62" t="s">
        <v>1352</v>
      </c>
    </row>
    <row r="169" spans="1:7">
      <c r="A169" s="62" t="s">
        <v>1715</v>
      </c>
      <c r="B169" s="62" t="s">
        <v>1716</v>
      </c>
      <c r="C169" s="62" t="s">
        <v>1516</v>
      </c>
      <c r="D169" s="62" t="s">
        <v>1351</v>
      </c>
      <c r="E169" s="62" t="s">
        <v>1346</v>
      </c>
      <c r="F169" s="62" t="s">
        <v>1374</v>
      </c>
      <c r="G169" s="62" t="s">
        <v>1374</v>
      </c>
    </row>
    <row r="170" spans="1:7">
      <c r="A170" s="62" t="s">
        <v>1717</v>
      </c>
      <c r="B170" s="62" t="s">
        <v>1718</v>
      </c>
      <c r="C170" s="62" t="s">
        <v>1489</v>
      </c>
      <c r="D170" s="62" t="s">
        <v>1351</v>
      </c>
      <c r="E170" s="62" t="s">
        <v>1346</v>
      </c>
      <c r="F170" s="62" t="s">
        <v>1374</v>
      </c>
      <c r="G170" s="62" t="s">
        <v>1374</v>
      </c>
    </row>
    <row r="171" spans="1:7">
      <c r="A171" s="62" t="s">
        <v>1719</v>
      </c>
      <c r="B171" s="62" t="s">
        <v>1719</v>
      </c>
      <c r="C171" s="62" t="s">
        <v>1404</v>
      </c>
      <c r="D171" s="62" t="s">
        <v>1345</v>
      </c>
      <c r="E171" s="62" t="s">
        <v>1346</v>
      </c>
      <c r="F171" s="62" t="s">
        <v>1361</v>
      </c>
      <c r="G171" s="62" t="s">
        <v>1361</v>
      </c>
    </row>
    <row r="172" spans="1:7">
      <c r="A172" s="62" t="s">
        <v>1720</v>
      </c>
      <c r="B172" s="62" t="s">
        <v>1721</v>
      </c>
      <c r="C172" s="62" t="s">
        <v>1722</v>
      </c>
      <c r="D172" s="62" t="s">
        <v>1345</v>
      </c>
      <c r="E172" s="62" t="s">
        <v>1346</v>
      </c>
      <c r="F172" s="62" t="s">
        <v>1374</v>
      </c>
      <c r="G172" s="62" t="s">
        <v>1374</v>
      </c>
    </row>
    <row r="173" spans="1:7">
      <c r="A173" s="62" t="s">
        <v>1212</v>
      </c>
      <c r="B173" s="62" t="s">
        <v>1723</v>
      </c>
      <c r="C173" s="62" t="s">
        <v>1429</v>
      </c>
      <c r="D173" s="62" t="s">
        <v>1345</v>
      </c>
      <c r="E173" s="62" t="s">
        <v>1346</v>
      </c>
      <c r="F173" s="62" t="s">
        <v>1374</v>
      </c>
      <c r="G173" s="62" t="s">
        <v>1374</v>
      </c>
    </row>
    <row r="174" spans="1:7">
      <c r="A174" s="62" t="s">
        <v>1724</v>
      </c>
      <c r="B174" s="62" t="s">
        <v>1725</v>
      </c>
      <c r="C174" s="62" t="s">
        <v>1429</v>
      </c>
      <c r="D174" s="62" t="s">
        <v>1345</v>
      </c>
      <c r="E174" s="62" t="s">
        <v>1346</v>
      </c>
      <c r="F174" s="62" t="s">
        <v>1357</v>
      </c>
      <c r="G174" s="62" t="s">
        <v>1352</v>
      </c>
    </row>
    <row r="175" spans="1:7">
      <c r="A175" s="62" t="s">
        <v>1726</v>
      </c>
      <c r="B175" s="62" t="s">
        <v>1727</v>
      </c>
      <c r="C175" s="62" t="s">
        <v>1406</v>
      </c>
      <c r="D175" s="62" t="s">
        <v>1351</v>
      </c>
      <c r="E175" s="62" t="s">
        <v>1346</v>
      </c>
      <c r="F175" s="62" t="s">
        <v>1347</v>
      </c>
      <c r="G175" s="62" t="s">
        <v>1347</v>
      </c>
    </row>
    <row r="176" spans="1:7">
      <c r="A176" s="62" t="s">
        <v>1728</v>
      </c>
      <c r="B176" s="62" t="s">
        <v>1729</v>
      </c>
      <c r="C176" s="62" t="s">
        <v>1730</v>
      </c>
      <c r="D176" s="62" t="s">
        <v>1351</v>
      </c>
      <c r="E176" s="62" t="s">
        <v>1346</v>
      </c>
      <c r="F176" s="62" t="s">
        <v>1347</v>
      </c>
      <c r="G176" s="62" t="s">
        <v>1347</v>
      </c>
    </row>
    <row r="177" spans="1:7">
      <c r="A177" s="62" t="s">
        <v>1731</v>
      </c>
      <c r="B177" s="62" t="s">
        <v>1732</v>
      </c>
      <c r="C177" s="62" t="s">
        <v>1733</v>
      </c>
      <c r="D177" s="62" t="s">
        <v>1351</v>
      </c>
      <c r="E177" s="62" t="s">
        <v>1346</v>
      </c>
      <c r="F177" s="62" t="s">
        <v>1347</v>
      </c>
      <c r="G177" s="62" t="s">
        <v>1347</v>
      </c>
    </row>
    <row r="178" spans="1:7">
      <c r="A178" s="62" t="s">
        <v>1734</v>
      </c>
      <c r="B178" s="62" t="s">
        <v>1735</v>
      </c>
      <c r="C178" s="62" t="s">
        <v>1736</v>
      </c>
      <c r="D178" s="62" t="s">
        <v>1351</v>
      </c>
      <c r="E178" s="62" t="s">
        <v>1346</v>
      </c>
      <c r="F178" s="62" t="s">
        <v>1347</v>
      </c>
      <c r="G178" s="62" t="s">
        <v>1347</v>
      </c>
    </row>
    <row r="179" spans="1:7">
      <c r="A179" s="62" t="s">
        <v>1737</v>
      </c>
      <c r="B179" s="62" t="s">
        <v>1738</v>
      </c>
      <c r="C179" s="62" t="s">
        <v>1364</v>
      </c>
      <c r="D179" s="62" t="s">
        <v>1345</v>
      </c>
      <c r="E179" s="62" t="s">
        <v>1346</v>
      </c>
      <c r="F179" s="62" t="s">
        <v>1374</v>
      </c>
      <c r="G179" s="62" t="s">
        <v>1374</v>
      </c>
    </row>
    <row r="180" spans="1:7">
      <c r="A180" s="62" t="s">
        <v>1220</v>
      </c>
      <c r="B180" s="62" t="s">
        <v>1739</v>
      </c>
      <c r="C180" s="62" t="s">
        <v>1474</v>
      </c>
      <c r="D180" s="62" t="s">
        <v>1351</v>
      </c>
      <c r="E180" s="62" t="s">
        <v>1346</v>
      </c>
      <c r="F180" s="62" t="s">
        <v>1357</v>
      </c>
      <c r="G180" s="62" t="s">
        <v>1352</v>
      </c>
    </row>
    <row r="181" spans="1:7">
      <c r="A181" s="62" t="s">
        <v>1740</v>
      </c>
      <c r="B181" s="62" t="s">
        <v>1741</v>
      </c>
      <c r="C181" s="62" t="s">
        <v>1742</v>
      </c>
      <c r="D181" s="62" t="s">
        <v>1351</v>
      </c>
      <c r="E181" s="62" t="s">
        <v>1346</v>
      </c>
      <c r="F181" s="62" t="s">
        <v>1347</v>
      </c>
      <c r="G181" s="62" t="s">
        <v>1347</v>
      </c>
    </row>
    <row r="182" spans="1:7">
      <c r="A182" s="62" t="s">
        <v>1222</v>
      </c>
      <c r="B182" s="62" t="s">
        <v>1743</v>
      </c>
      <c r="C182" s="62" t="s">
        <v>1373</v>
      </c>
      <c r="D182" s="62" t="s">
        <v>1351</v>
      </c>
      <c r="E182" s="62" t="s">
        <v>1346</v>
      </c>
      <c r="F182" s="62" t="s">
        <v>1374</v>
      </c>
      <c r="G182" s="62" t="s">
        <v>1374</v>
      </c>
    </row>
    <row r="183" spans="1:7">
      <c r="A183" s="62" t="s">
        <v>1744</v>
      </c>
      <c r="B183" s="62" t="s">
        <v>1745</v>
      </c>
      <c r="C183" s="62" t="s">
        <v>1687</v>
      </c>
      <c r="D183" s="62" t="s">
        <v>1351</v>
      </c>
      <c r="E183" s="62" t="s">
        <v>1346</v>
      </c>
      <c r="F183" s="62" t="s">
        <v>1352</v>
      </c>
      <c r="G183" s="62" t="s">
        <v>1352</v>
      </c>
    </row>
    <row r="184" spans="1:7">
      <c r="A184" s="62" t="s">
        <v>1230</v>
      </c>
      <c r="B184" s="62" t="s">
        <v>1746</v>
      </c>
      <c r="C184" s="62" t="s">
        <v>1747</v>
      </c>
      <c r="D184" s="62" t="s">
        <v>1351</v>
      </c>
      <c r="E184" s="62" t="s">
        <v>1346</v>
      </c>
      <c r="F184" s="62" t="s">
        <v>1352</v>
      </c>
      <c r="G184" s="62" t="s">
        <v>1352</v>
      </c>
    </row>
    <row r="185" spans="1:7">
      <c r="A185" s="62" t="s">
        <v>1748</v>
      </c>
      <c r="B185" s="62" t="s">
        <v>1749</v>
      </c>
      <c r="C185" s="62" t="s">
        <v>1750</v>
      </c>
      <c r="D185" s="62" t="s">
        <v>1351</v>
      </c>
      <c r="E185" s="62" t="s">
        <v>1346</v>
      </c>
      <c r="F185" s="62" t="s">
        <v>1347</v>
      </c>
      <c r="G185" s="62" t="s">
        <v>1347</v>
      </c>
    </row>
    <row r="186" spans="1:7">
      <c r="A186" s="62" t="s">
        <v>1751</v>
      </c>
      <c r="B186" s="62" t="s">
        <v>1752</v>
      </c>
      <c r="C186" s="62" t="s">
        <v>615</v>
      </c>
      <c r="D186" s="62" t="s">
        <v>1351</v>
      </c>
      <c r="E186" s="62" t="s">
        <v>1346</v>
      </c>
      <c r="F186" s="62" t="s">
        <v>1753</v>
      </c>
      <c r="G186" s="62" t="s">
        <v>1753</v>
      </c>
    </row>
    <row r="187" spans="1:7">
      <c r="A187" s="62" t="s">
        <v>1754</v>
      </c>
      <c r="B187" s="62" t="s">
        <v>1755</v>
      </c>
      <c r="C187" s="62" t="s">
        <v>1756</v>
      </c>
      <c r="D187" s="62" t="s">
        <v>1345</v>
      </c>
      <c r="E187" s="62" t="s">
        <v>1346</v>
      </c>
      <c r="F187" s="62" t="s">
        <v>1361</v>
      </c>
      <c r="G187" s="62" t="s">
        <v>1361</v>
      </c>
    </row>
    <row r="188" spans="1:7">
      <c r="A188" s="62" t="s">
        <v>1757</v>
      </c>
      <c r="B188" s="62" t="s">
        <v>1758</v>
      </c>
      <c r="C188" s="62" t="s">
        <v>1759</v>
      </c>
      <c r="D188" s="62" t="s">
        <v>1345</v>
      </c>
      <c r="E188" s="62" t="s">
        <v>1346</v>
      </c>
      <c r="F188" s="62" t="s">
        <v>1374</v>
      </c>
      <c r="G188" s="62" t="s">
        <v>1374</v>
      </c>
    </row>
    <row r="189" spans="1:7">
      <c r="A189" s="62" t="s">
        <v>1760</v>
      </c>
      <c r="B189" s="62" t="s">
        <v>1761</v>
      </c>
      <c r="C189" s="62" t="s">
        <v>1756</v>
      </c>
      <c r="D189" s="62" t="s">
        <v>1345</v>
      </c>
      <c r="E189" s="62" t="s">
        <v>1346</v>
      </c>
      <c r="F189" s="62" t="s">
        <v>1374</v>
      </c>
      <c r="G189" s="62" t="s">
        <v>1374</v>
      </c>
    </row>
    <row r="190" spans="1:7">
      <c r="A190" s="62" t="s">
        <v>1762</v>
      </c>
      <c r="B190" s="62" t="s">
        <v>1763</v>
      </c>
      <c r="C190" s="62" t="s">
        <v>1360</v>
      </c>
      <c r="D190" s="62" t="s">
        <v>1351</v>
      </c>
      <c r="E190" s="62" t="s">
        <v>1346</v>
      </c>
      <c r="F190" s="62" t="s">
        <v>1347</v>
      </c>
      <c r="G190" s="62" t="s">
        <v>1347</v>
      </c>
    </row>
    <row r="191" spans="1:7">
      <c r="A191" s="62" t="s">
        <v>1764</v>
      </c>
      <c r="B191" s="62" t="s">
        <v>1765</v>
      </c>
      <c r="C191" s="62" t="s">
        <v>1766</v>
      </c>
      <c r="D191" s="62" t="s">
        <v>1351</v>
      </c>
      <c r="E191" s="62" t="s">
        <v>1346</v>
      </c>
      <c r="F191" s="62" t="s">
        <v>1347</v>
      </c>
      <c r="G191" s="62" t="s">
        <v>1347</v>
      </c>
    </row>
    <row r="192" spans="1:7">
      <c r="A192" s="62" t="s">
        <v>1767</v>
      </c>
      <c r="B192" s="62" t="s">
        <v>1768</v>
      </c>
      <c r="C192" s="62" t="s">
        <v>1415</v>
      </c>
      <c r="D192" s="62" t="s">
        <v>1351</v>
      </c>
      <c r="E192" s="62" t="s">
        <v>1346</v>
      </c>
      <c r="F192" s="62" t="s">
        <v>1352</v>
      </c>
      <c r="G192" s="62" t="s">
        <v>1352</v>
      </c>
    </row>
    <row r="193" spans="1:7">
      <c r="A193" s="62" t="s">
        <v>978</v>
      </c>
      <c r="B193" s="62" t="s">
        <v>1769</v>
      </c>
      <c r="C193" s="62" t="s">
        <v>1770</v>
      </c>
      <c r="D193" s="62" t="s">
        <v>1351</v>
      </c>
      <c r="E193" s="62" t="s">
        <v>1346</v>
      </c>
      <c r="F193" s="62" t="s">
        <v>1347</v>
      </c>
      <c r="G193" s="62" t="s">
        <v>1347</v>
      </c>
    </row>
    <row r="194" spans="1:7">
      <c r="A194" s="62" t="s">
        <v>1771</v>
      </c>
      <c r="B194" s="62" t="s">
        <v>1772</v>
      </c>
      <c r="C194" s="62" t="s">
        <v>1589</v>
      </c>
      <c r="D194" s="62" t="s">
        <v>1345</v>
      </c>
      <c r="E194" s="62" t="s">
        <v>1346</v>
      </c>
      <c r="F194" s="62" t="s">
        <v>1374</v>
      </c>
      <c r="G194" s="62" t="s">
        <v>1374</v>
      </c>
    </row>
    <row r="195" spans="1:7">
      <c r="A195" s="62" t="s">
        <v>1773</v>
      </c>
      <c r="B195" s="62" t="s">
        <v>1774</v>
      </c>
      <c r="C195" s="62" t="s">
        <v>1519</v>
      </c>
      <c r="D195" s="62" t="s">
        <v>1345</v>
      </c>
      <c r="E195" s="62" t="s">
        <v>1346</v>
      </c>
      <c r="F195" s="62" t="s">
        <v>1361</v>
      </c>
      <c r="G195" s="62" t="s">
        <v>1361</v>
      </c>
    </row>
    <row r="196" spans="1:7">
      <c r="A196" s="62" t="s">
        <v>1775</v>
      </c>
      <c r="B196" s="62" t="s">
        <v>1776</v>
      </c>
      <c r="C196" s="62" t="s">
        <v>1777</v>
      </c>
      <c r="D196" s="62" t="s">
        <v>1351</v>
      </c>
      <c r="E196" s="62" t="s">
        <v>1346</v>
      </c>
      <c r="F196" s="62" t="s">
        <v>1347</v>
      </c>
      <c r="G196" s="62" t="s">
        <v>1347</v>
      </c>
    </row>
    <row r="197" spans="1:7">
      <c r="A197" s="62" t="s">
        <v>1778</v>
      </c>
      <c r="B197" s="62" t="s">
        <v>1779</v>
      </c>
      <c r="C197" s="62" t="s">
        <v>1780</v>
      </c>
      <c r="D197" s="62" t="s">
        <v>1345</v>
      </c>
      <c r="E197" s="62" t="s">
        <v>1346</v>
      </c>
      <c r="F197" s="62" t="s">
        <v>1361</v>
      </c>
      <c r="G197" s="62" t="s">
        <v>1361</v>
      </c>
    </row>
    <row r="198" spans="1:7">
      <c r="A198" s="62" t="s">
        <v>1246</v>
      </c>
      <c r="B198" s="62" t="s">
        <v>1781</v>
      </c>
      <c r="C198" s="62" t="s">
        <v>1367</v>
      </c>
      <c r="D198" s="62" t="s">
        <v>1351</v>
      </c>
      <c r="E198" s="62" t="s">
        <v>1346</v>
      </c>
      <c r="F198" s="62" t="s">
        <v>1357</v>
      </c>
      <c r="G198" s="62" t="s">
        <v>1352</v>
      </c>
    </row>
    <row r="199" spans="1:7">
      <c r="A199" s="62" t="s">
        <v>1782</v>
      </c>
      <c r="B199" s="62" t="s">
        <v>1783</v>
      </c>
      <c r="C199" s="62" t="s">
        <v>1367</v>
      </c>
      <c r="D199" s="62" t="s">
        <v>1345</v>
      </c>
      <c r="E199" s="62" t="s">
        <v>1346</v>
      </c>
      <c r="F199" s="62" t="s">
        <v>1374</v>
      </c>
      <c r="G199" s="62" t="s">
        <v>1374</v>
      </c>
    </row>
    <row r="200" spans="1:7">
      <c r="A200" s="62" t="s">
        <v>1784</v>
      </c>
      <c r="B200" s="62" t="s">
        <v>1785</v>
      </c>
      <c r="C200" s="62" t="s">
        <v>1388</v>
      </c>
      <c r="D200" s="62" t="s">
        <v>1351</v>
      </c>
      <c r="E200" s="62" t="s">
        <v>1346</v>
      </c>
      <c r="F200" s="62" t="s">
        <v>1352</v>
      </c>
      <c r="G200" s="62" t="s">
        <v>1352</v>
      </c>
    </row>
    <row r="201" spans="1:7">
      <c r="A201" s="62" t="s">
        <v>1786</v>
      </c>
      <c r="B201" s="62" t="s">
        <v>1787</v>
      </c>
      <c r="C201" s="62" t="s">
        <v>1788</v>
      </c>
      <c r="D201" s="62" t="s">
        <v>1345</v>
      </c>
      <c r="E201" s="62" t="s">
        <v>1346</v>
      </c>
      <c r="F201" s="62" t="s">
        <v>1361</v>
      </c>
      <c r="G201" s="62" t="s">
        <v>1361</v>
      </c>
    </row>
    <row r="202" spans="1:7">
      <c r="A202" s="62" t="s">
        <v>1789</v>
      </c>
      <c r="B202" s="62" t="s">
        <v>1790</v>
      </c>
      <c r="C202" s="62" t="s">
        <v>1791</v>
      </c>
      <c r="D202" s="62" t="s">
        <v>1345</v>
      </c>
      <c r="E202" s="62" t="s">
        <v>1346</v>
      </c>
      <c r="F202" s="62" t="s">
        <v>1361</v>
      </c>
      <c r="G202" s="62" t="s">
        <v>1361</v>
      </c>
    </row>
    <row r="203" spans="1:7">
      <c r="A203" s="62" t="s">
        <v>1792</v>
      </c>
      <c r="B203" s="62" t="s">
        <v>1793</v>
      </c>
      <c r="C203" s="62" t="s">
        <v>1794</v>
      </c>
      <c r="D203" s="62" t="s">
        <v>1351</v>
      </c>
      <c r="E203" s="62" t="s">
        <v>1346</v>
      </c>
      <c r="F203" s="62" t="s">
        <v>1347</v>
      </c>
      <c r="G203" s="62" t="s">
        <v>1347</v>
      </c>
    </row>
    <row r="204" spans="1:7">
      <c r="A204" s="62" t="s">
        <v>1795</v>
      </c>
      <c r="B204" s="62" t="s">
        <v>1796</v>
      </c>
      <c r="C204" s="62" t="s">
        <v>1489</v>
      </c>
      <c r="D204" s="62" t="s">
        <v>1351</v>
      </c>
      <c r="E204" s="62" t="s">
        <v>1346</v>
      </c>
      <c r="F204" s="62" t="s">
        <v>1374</v>
      </c>
      <c r="G204" s="62" t="s">
        <v>1374</v>
      </c>
    </row>
  </sheetData>
  <mergeCells count="4">
    <mergeCell ref="I1:L1"/>
    <mergeCell ref="I2:L2"/>
    <mergeCell ref="I3:L3"/>
    <mergeCell ref="I4:L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showGridLines="0" workbookViewId="0">
      <selection activeCell="A1" sqref="A1"/>
    </sheetView>
  </sheetViews>
  <sheetFormatPr defaultColWidth="9" defaultRowHeight="14.5"/>
  <cols>
    <col min="1" max="1" width="24" customWidth="1"/>
    <col min="2" max="5" width="18" customWidth="1"/>
  </cols>
  <sheetData>
    <row r="1" spans="1:10">
      <c r="A1" s="61" t="s">
        <v>0</v>
      </c>
      <c r="B1" s="61" t="s">
        <v>1318</v>
      </c>
      <c r="C1" s="61" t="s">
        <v>1320</v>
      </c>
      <c r="D1" s="61" t="s">
        <v>1797</v>
      </c>
      <c r="E1" s="61" t="s">
        <v>1798</v>
      </c>
      <c r="G1" s="49" t="s">
        <v>1799</v>
      </c>
      <c r="H1" s="49"/>
      <c r="I1" s="49"/>
      <c r="J1" s="49"/>
    </row>
    <row r="2" spans="1:10">
      <c r="A2" s="62" t="str">
        <f>IFERROR(INDEX(V1_Calc!$B$2:$B$1001,MATCH(0,INDEX(COUNTIF($A$1:A1,V1_Calc!$B$2:$B$1001)+(V1_Calc!$B$2:$B$1001=""),0,0),0)),"")</f>
        <v>AION</v>
      </c>
      <c r="B2" s="63">
        <f>IF(A2="","",SUMIF(V1_Calc!$B$2:$B$1001,A2,V1_Calc!$D$2:$D$1001))</f>
        <v>1727</v>
      </c>
      <c r="C2" s="62">
        <f>IF(A2="","",--(COUNTIF(CN_Brands!$A$2:$A$300,UPPER(A2))&gt;0))</f>
        <v>1</v>
      </c>
      <c r="D2" s="64">
        <f t="shared" ref="D2:D65" si="0">IF(B2="","",IFERROR(B2/SUM($B$2:$B$201),0))</f>
        <v>0.0373566947869349</v>
      </c>
      <c r="E2" s="62">
        <f>IF(OR(B2="",C2&lt;&gt;1),"",1+SUMPRODUCT(($C$2:$C$201=1)*($B$2:$B$201&gt;B2))+COUNTIFS($C$2:C2,1,$B$2:B2,B2)-1)</f>
        <v>6</v>
      </c>
      <c r="G2" s="65" t="s">
        <v>1800</v>
      </c>
      <c r="H2" s="65"/>
      <c r="I2" s="65"/>
      <c r="J2" s="65"/>
    </row>
    <row r="3" spans="1:10">
      <c r="A3" s="62" t="str">
        <f>IFERROR(INDEX(V1_Calc!$B$2:$B$1001,MATCH(0,INDEX(COUNTIF($A$1:A2,V1_Calc!$B$2:$B$1001)+(V1_Calc!$B$2:$B$1001=""),0,0),0)),"")</f>
        <v>ASTON MARTIN</v>
      </c>
      <c r="B3" s="63">
        <f>IF(A3="","",SUMIF(V1_Calc!$B$2:$B$1001,A3,V1_Calc!$D$2:$D$1001))</f>
        <v>1</v>
      </c>
      <c r="C3" s="62">
        <f>IF(A3="","",--(COUNTIF(CN_Brands!$A$2:$A$300,UPPER(A3))&gt;0))</f>
        <v>0</v>
      </c>
      <c r="D3" s="64">
        <f t="shared" si="0"/>
        <v>2.16309755569976e-5</v>
      </c>
      <c r="E3" s="62" t="str">
        <f>IF(OR(B3="",C3&lt;&gt;1),"",1+SUMPRODUCT(($C$2:$C$201=1)*($B$2:$B$201&gt;B3))+COUNTIFS($C$2:C3,1,$B$2:B3,B3)-1)</f>
        <v/>
      </c>
    </row>
    <row r="4" spans="1:10">
      <c r="A4" s="62" t="str">
        <f>IFERROR(INDEX(V1_Calc!$B$2:$B$1001,MATCH(0,INDEX(COUNTIF($A$1:A3,V1_Calc!$B$2:$B$1001)+(V1_Calc!$B$2:$B$1001=""),0,0),0)),"")</f>
        <v>AUDI</v>
      </c>
      <c r="B4" s="63">
        <f>IF(A4="","",SUMIF(V1_Calc!$B$2:$B$1001,A4,V1_Calc!$D$2:$D$1001))</f>
        <v>28</v>
      </c>
      <c r="C4" s="62">
        <f>IF(A4="","",--(COUNTIF(CN_Brands!$A$2:$A$300,UPPER(A4))&gt;0))</f>
        <v>0</v>
      </c>
      <c r="D4" s="64">
        <f t="shared" si="0"/>
        <v>0.000605667315595933</v>
      </c>
      <c r="E4" s="62" t="str">
        <f>IF(OR(B4="",C4&lt;&gt;1),"",1+SUMPRODUCT(($C$2:$C$201=1)*($B$2:$B$201&gt;B4))+COUNTIFS($C$2:C4,1,$B$2:B4,B4)-1)</f>
        <v/>
      </c>
    </row>
    <row r="5" spans="1:10">
      <c r="A5" s="62" t="str">
        <f>IFERROR(INDEX(V1_Calc!$B$2:$B$1001,MATCH(0,INDEX(COUNTIF($A$1:A4,V1_Calc!$B$2:$B$1001)+(V1_Calc!$B$2:$B$1001=""),0,0),0)),"")</f>
        <v>AVATR</v>
      </c>
      <c r="B5" s="63">
        <f>IF(A5="","",SUMIF(V1_Calc!$B$2:$B$1001,A5,V1_Calc!$D$2:$D$1001))</f>
        <v>199</v>
      </c>
      <c r="C5" s="62">
        <f>IF(A5="","",--(COUNTIF(CN_Brands!$A$2:$A$300,UPPER(A5))&gt;0))</f>
        <v>1</v>
      </c>
      <c r="D5" s="64">
        <f t="shared" si="0"/>
        <v>0.00430456413584253</v>
      </c>
      <c r="E5" s="62">
        <f>IF(OR(B5="",C5&lt;&gt;1),"",1+SUMPRODUCT(($C$2:$C$201=1)*($B$2:$B$201&gt;B5))+COUNTIFS($C$2:C5,1,$B$2:B5,B5)-1)</f>
        <v>13</v>
      </c>
    </row>
    <row r="6" spans="1:10">
      <c r="A6" s="62" t="str">
        <f>IFERROR(INDEX(V1_Calc!$B$2:$B$1001,MATCH(0,INDEX(COUNTIF($A$1:A5,V1_Calc!$B$2:$B$1001)+(V1_Calc!$B$2:$B$1001=""),0,0),0)),"")</f>
        <v>BENTLEY</v>
      </c>
      <c r="B6" s="63">
        <f>IF(A6="","",SUMIF(V1_Calc!$B$2:$B$1001,A6,V1_Calc!$D$2:$D$1001))</f>
        <v>3</v>
      </c>
      <c r="C6" s="62">
        <f>IF(A6="","",--(COUNTIF(CN_Brands!$A$2:$A$300,UPPER(A6))&gt;0))</f>
        <v>0</v>
      </c>
      <c r="D6" s="64">
        <f t="shared" si="0"/>
        <v>6.48929266709929e-5</v>
      </c>
      <c r="E6" s="62" t="str">
        <f>IF(OR(B6="",C6&lt;&gt;1),"",1+SUMPRODUCT(($C$2:$C$201=1)*($B$2:$B$201&gt;B6))+COUNTIFS($C$2:C6,1,$B$2:B6,B6)-1)</f>
        <v/>
      </c>
    </row>
    <row r="7" spans="1:10">
      <c r="A7" s="62" t="str">
        <f>IFERROR(INDEX(V1_Calc!$B$2:$B$1001,MATCH(0,INDEX(COUNTIF($A$1:A6,V1_Calc!$B$2:$B$1001)+(V1_Calc!$B$2:$B$1001=""),0,0),0)),"")</f>
        <v>BMW</v>
      </c>
      <c r="B7" s="63">
        <f>IF(A7="","",SUMIF(V1_Calc!$B$2:$B$1001,A7,V1_Calc!$D$2:$D$1001))</f>
        <v>870</v>
      </c>
      <c r="C7" s="62">
        <f>IF(A7="","",--(COUNTIF(CN_Brands!$A$2:$A$300,UPPER(A7))&gt;0))</f>
        <v>0</v>
      </c>
      <c r="D7" s="64">
        <f t="shared" si="0"/>
        <v>0.0188189487345879</v>
      </c>
      <c r="E7" s="62" t="str">
        <f>IF(OR(B7="",C7&lt;&gt;1),"",1+SUMPRODUCT(($C$2:$C$201=1)*($B$2:$B$201&gt;B7))+COUNTIFS($C$2:C7,1,$B$2:B7,B7)-1)</f>
        <v/>
      </c>
    </row>
    <row r="8" spans="1:10">
      <c r="A8" s="62" t="str">
        <f>IFERROR(INDEX(V1_Calc!$B$2:$B$1001,MATCH(0,INDEX(COUNTIF($A$1:A7,V1_Calc!$B$2:$B$1001)+(V1_Calc!$B$2:$B$1001=""),0,0),0)),"")</f>
        <v>BYD</v>
      </c>
      <c r="B8" s="63">
        <f>IF(A8="","",SUMIF(V1_Calc!$B$2:$B$1001,A8,V1_Calc!$D$2:$D$1001))</f>
        <v>3178</v>
      </c>
      <c r="C8" s="62">
        <f>IF(A8="","",--(COUNTIF(CN_Brands!$A$2:$A$300,UPPER(A8))&gt;0))</f>
        <v>1</v>
      </c>
      <c r="D8" s="64">
        <f t="shared" si="0"/>
        <v>0.0687432403201384</v>
      </c>
      <c r="E8" s="62">
        <f>IF(OR(B8="",C8&lt;&gt;1),"",1+SUMPRODUCT(($C$2:$C$201=1)*($B$2:$B$201&gt;B8))+COUNTIFS($C$2:C8,1,$B$2:B8,B8)-1)</f>
        <v>1</v>
      </c>
    </row>
    <row r="9" spans="1:10">
      <c r="A9" s="62" t="str">
        <f>IFERROR(INDEX(V1_Calc!$B$2:$B$1001,MATCH(0,INDEX(COUNTIF($A$1:A8,V1_Calc!$B$2:$B$1001)+(V1_Calc!$B$2:$B$1001=""),0,0),0)),"")</f>
        <v>CHANGAN</v>
      </c>
      <c r="B9" s="63">
        <f>IF(A9="","",SUMIF(V1_Calc!$B$2:$B$1001,A9,V1_Calc!$D$2:$D$1001))</f>
        <v>513</v>
      </c>
      <c r="C9" s="62">
        <f>IF(A9="","",--(COUNTIF(CN_Brands!$A$2:$A$300,UPPER(A9))&gt;0))</f>
        <v>1</v>
      </c>
      <c r="D9" s="64">
        <f t="shared" si="0"/>
        <v>0.0110966904607398</v>
      </c>
      <c r="E9" s="62">
        <f>IF(OR(B9="",C9&lt;&gt;1),"",1+SUMPRODUCT(($C$2:$C$201=1)*($B$2:$B$201&gt;B9))+COUNTIFS($C$2:C9,1,$B$2:B9,B9)-1)</f>
        <v>11</v>
      </c>
    </row>
    <row r="10" spans="1:10">
      <c r="A10" s="62" t="str">
        <f>IFERROR(INDEX(V1_Calc!$B$2:$B$1001,MATCH(0,INDEX(COUNTIF($A$1:A9,V1_Calc!$B$2:$B$1001)+(V1_Calc!$B$2:$B$1001=""),0,0),0)),"")</f>
        <v>CHERY</v>
      </c>
      <c r="B10" s="63">
        <f>IF(A10="","",SUMIF(V1_Calc!$B$2:$B$1001,A10,V1_Calc!$D$2:$D$1001))</f>
        <v>778</v>
      </c>
      <c r="C10" s="62">
        <f>IF(A10="","",--(COUNTIF(CN_Brands!$A$2:$A$300,UPPER(A10))&gt;0))</f>
        <v>1</v>
      </c>
      <c r="D10" s="64">
        <f t="shared" si="0"/>
        <v>0.0168288989833441</v>
      </c>
      <c r="E10" s="62">
        <f>IF(OR(B10="",C10&lt;&gt;1),"",1+SUMPRODUCT(($C$2:$C$201=1)*($B$2:$B$201&gt;B10))+COUNTIFS($C$2:C10,1,$B$2:B10,B10)-1)</f>
        <v>8</v>
      </c>
    </row>
    <row r="11" spans="1:10">
      <c r="A11" s="62" t="str">
        <f>IFERROR(INDEX(V1_Calc!$B$2:$B$1001,MATCH(0,INDEX(COUNTIF($A$1:A10,V1_Calc!$B$2:$B$1001)+(V1_Calc!$B$2:$B$1001=""),0,0),0)),"")</f>
        <v>CHEVROLET</v>
      </c>
      <c r="B11" s="63">
        <f>IF(A11="","",SUMIF(V1_Calc!$B$2:$B$1001,A11,V1_Calc!$D$2:$D$1001))</f>
        <v>1</v>
      </c>
      <c r="C11" s="62">
        <f>IF(A11="","",--(COUNTIF(CN_Brands!$A$2:$A$300,UPPER(A11))&gt;0))</f>
        <v>0</v>
      </c>
      <c r="D11" s="64">
        <f t="shared" si="0"/>
        <v>2.16309755569976e-5</v>
      </c>
      <c r="E11" s="62" t="str">
        <f>IF(OR(B11="",C11&lt;&gt;1),"",1+SUMPRODUCT(($C$2:$C$201=1)*($B$2:$B$201&gt;B11))+COUNTIFS($C$2:C11,1,$B$2:B11,B11)-1)</f>
        <v/>
      </c>
    </row>
    <row r="12" spans="1:10">
      <c r="A12" s="62" t="str">
        <f>IFERROR(INDEX(V1_Calc!$B$2:$B$1001,MATCH(0,INDEX(COUNTIF($A$1:A11,V1_Calc!$B$2:$B$1001)+(V1_Calc!$B$2:$B$1001=""),0,0),0)),"")</f>
        <v>DAIHATSU</v>
      </c>
      <c r="B12" s="63">
        <f>IF(A12="","",SUMIF(V1_Calc!$B$2:$B$1001,A12,V1_Calc!$D$2:$D$1001))</f>
        <v>1</v>
      </c>
      <c r="C12" s="62">
        <f>IF(A12="","",--(COUNTIF(CN_Brands!$A$2:$A$300,UPPER(A12))&gt;0))</f>
        <v>0</v>
      </c>
      <c r="D12" s="64">
        <f t="shared" si="0"/>
        <v>2.16309755569976e-5</v>
      </c>
      <c r="E12" s="62" t="str">
        <f>IF(OR(B12="",C12&lt;&gt;1),"",1+SUMPRODUCT(($C$2:$C$201=1)*($B$2:$B$201&gt;B12))+COUNTIFS($C$2:C12,1,$B$2:B12,B12)-1)</f>
        <v/>
      </c>
    </row>
    <row r="13" spans="1:10">
      <c r="A13" s="62" t="str">
        <f>IFERROR(INDEX(V1_Calc!$B$2:$B$1001,MATCH(0,INDEX(COUNTIF($A$1:A12,V1_Calc!$B$2:$B$1001)+(V1_Calc!$B$2:$B$1001=""),0,0),0)),"")</f>
        <v>DAYUN</v>
      </c>
      <c r="B13" s="63">
        <f>IF(A13="","",SUMIF(V1_Calc!$B$2:$B$1001,A13,V1_Calc!$D$2:$D$1001))</f>
        <v>0</v>
      </c>
      <c r="C13" s="62">
        <f>IF(A13="","",--(COUNTIF(CN_Brands!$A$2:$A$300,UPPER(A13))&gt;0))</f>
        <v>1</v>
      </c>
      <c r="D13" s="64">
        <f t="shared" si="0"/>
        <v>0</v>
      </c>
      <c r="E13" s="62">
        <f>IF(OR(B13="",C13&lt;&gt;1),"",1+SUMPRODUCT(($C$2:$C$201=1)*($B$2:$B$201&gt;B13))+COUNTIFS($C$2:C13,1,$B$2:B13,B13)-1)</f>
        <v>24</v>
      </c>
    </row>
    <row r="14" spans="1:10">
      <c r="A14" s="62" t="str">
        <f>IFERROR(INDEX(V1_Calc!$B$2:$B$1001,MATCH(0,INDEX(COUNTIF($A$1:A13,V1_Calc!$B$2:$B$1001)+(V1_Calc!$B$2:$B$1001=""),0,0),0)),"")</f>
        <v>DEEPAL</v>
      </c>
      <c r="B14" s="63">
        <f>IF(A14="","",SUMIF(V1_Calc!$B$2:$B$1001,A14,V1_Calc!$D$2:$D$1001))</f>
        <v>1572</v>
      </c>
      <c r="C14" s="62">
        <f>IF(A14="","",--(COUNTIF(CN_Brands!$A$2:$A$300,UPPER(A14))&gt;0))</f>
        <v>1</v>
      </c>
      <c r="D14" s="64">
        <f t="shared" si="0"/>
        <v>0.0340038935756003</v>
      </c>
      <c r="E14" s="62">
        <f>IF(OR(B14="",C14&lt;&gt;1),"",1+SUMPRODUCT(($C$2:$C$201=1)*($B$2:$B$201&gt;B14))+COUNTIFS($C$2:C14,1,$B$2:B14,B14)-1)</f>
        <v>7</v>
      </c>
    </row>
    <row r="15" spans="1:10">
      <c r="A15" s="62" t="str">
        <f>IFERROR(INDEX(V1_Calc!$B$2:$B$1001,MATCH(0,INDEX(COUNTIF($A$1:A14,V1_Calc!$B$2:$B$1001)+(V1_Calc!$B$2:$B$1001=""),0,0),0)),"")</f>
        <v>DENZA</v>
      </c>
      <c r="B15" s="63">
        <f>IF(A15="","",SUMIF(V1_Calc!$B$2:$B$1001,A15,V1_Calc!$D$2:$D$1001))</f>
        <v>78</v>
      </c>
      <c r="C15" s="62">
        <f>IF(A15="","",--(COUNTIF(CN_Brands!$A$2:$A$300,UPPER(A15))&gt;0))</f>
        <v>1</v>
      </c>
      <c r="D15" s="64">
        <f t="shared" si="0"/>
        <v>0.00168721609344581</v>
      </c>
      <c r="E15" s="62">
        <f>IF(OR(B15="",C15&lt;&gt;1),"",1+SUMPRODUCT(($C$2:$C$201=1)*($B$2:$B$201&gt;B15))+COUNTIFS($C$2:C15,1,$B$2:B15,B15)-1)</f>
        <v>16</v>
      </c>
    </row>
    <row r="16" spans="1:10">
      <c r="A16" s="62" t="str">
        <f>IFERROR(INDEX(V1_Calc!$B$2:$B$1001,MATCH(0,INDEX(COUNTIF($A$1:A15,V1_Calc!$B$2:$B$1001)+(V1_Calc!$B$2:$B$1001=""),0,0),0)),"")</f>
        <v>DFSK</v>
      </c>
      <c r="B16" s="63">
        <f>IF(A16="","",SUMIF(V1_Calc!$B$2:$B$1001,A16,V1_Calc!$D$2:$D$1001))</f>
        <v>1</v>
      </c>
      <c r="C16" s="62">
        <f>IF(A16="","",--(COUNTIF(CN_Brands!$A$2:$A$300,UPPER(A16))&gt;0))</f>
        <v>1</v>
      </c>
      <c r="D16" s="64">
        <f t="shared" si="0"/>
        <v>2.16309755569976e-5</v>
      </c>
      <c r="E16" s="62">
        <f>IF(OR(B16="",C16&lt;&gt;1),"",1+SUMPRODUCT(($C$2:$C$201=1)*($B$2:$B$201&gt;B16))+COUNTIFS($C$2:C16,1,$B$2:B16,B16)-1)</f>
        <v>21</v>
      </c>
    </row>
    <row r="17" spans="1:5">
      <c r="A17" s="62" t="str">
        <f>IFERROR(INDEX(V1_Calc!$B$2:$B$1001,MATCH(0,INDEX(COUNTIF($A$1:A16,V1_Calc!$B$2:$B$1001)+(V1_Calc!$B$2:$B$1001=""),0,0),0)),"")</f>
        <v>DS</v>
      </c>
      <c r="B17" s="63">
        <f>IF(A17="","",SUMIF(V1_Calc!$B$2:$B$1001,A17,V1_Calc!$D$2:$D$1001))</f>
        <v>0</v>
      </c>
      <c r="C17" s="62">
        <f>IF(A17="","",--(COUNTIF(CN_Brands!$A$2:$A$300,UPPER(A17))&gt;0))</f>
        <v>0</v>
      </c>
      <c r="D17" s="64">
        <f t="shared" si="0"/>
        <v>0</v>
      </c>
      <c r="E17" s="62" t="str">
        <f>IF(OR(B17="",C17&lt;&gt;1),"",1+SUMPRODUCT(($C$2:$C$201=1)*($B$2:$B$201&gt;B17))+COUNTIFS($C$2:C17,1,$B$2:B17,B17)-1)</f>
        <v/>
      </c>
    </row>
    <row r="18" spans="1:5">
      <c r="A18" s="62" t="str">
        <f>IFERROR(INDEX(V1_Calc!$B$2:$B$1001,MATCH(0,INDEX(COUNTIF($A$1:A17,V1_Calc!$B$2:$B$1001)+(V1_Calc!$B$2:$B$1001=""),0,0),0)),"")</f>
        <v>EVEASY</v>
      </c>
      <c r="B18" s="63">
        <f>IF(A18="","",SUMIF(V1_Calc!$B$2:$B$1001,A18,V1_Calc!$D$2:$D$1001))</f>
        <v>0</v>
      </c>
      <c r="C18" s="62">
        <f>IF(A18="","",--(COUNTIF(CN_Brands!$A$2:$A$300,UPPER(A18))&gt;0))</f>
        <v>0</v>
      </c>
      <c r="D18" s="64">
        <f t="shared" si="0"/>
        <v>0</v>
      </c>
      <c r="E18" s="62" t="str">
        <f>IF(OR(B18="",C18&lt;&gt;1),"",1+SUMPRODUCT(($C$2:$C$201=1)*($B$2:$B$201&gt;B18))+COUNTIFS($C$2:C18,1,$B$2:B18,B18)-1)</f>
        <v/>
      </c>
    </row>
    <row r="19" spans="1:5">
      <c r="A19" s="62" t="str">
        <f>IFERROR(INDEX(V1_Calc!$B$2:$B$1001,MATCH(0,INDEX(COUNTIF($A$1:A18,V1_Calc!$B$2:$B$1001)+(V1_Calc!$B$2:$B$1001=""),0,0),0)),"")</f>
        <v>FARIZON</v>
      </c>
      <c r="B19" s="63">
        <f>IF(A19="","",SUMIF(V1_Calc!$B$2:$B$1001,A19,V1_Calc!$D$2:$D$1001))</f>
        <v>2</v>
      </c>
      <c r="C19" s="62">
        <f>IF(A19="","",--(COUNTIF(CN_Brands!$A$2:$A$300,UPPER(A19))&gt;0))</f>
        <v>1</v>
      </c>
      <c r="D19" s="64">
        <f t="shared" si="0"/>
        <v>4.32619511139952e-5</v>
      </c>
      <c r="E19" s="62">
        <f>IF(OR(B19="",C19&lt;&gt;1),"",1+SUMPRODUCT(($C$2:$C$201=1)*($B$2:$B$201&gt;B19))+COUNTIFS($C$2:C19,1,$B$2:B19,B19)-1)</f>
        <v>20</v>
      </c>
    </row>
    <row r="20" spans="1:5">
      <c r="A20" s="62" t="str">
        <f>IFERROR(INDEX(V1_Calc!$B$2:$B$1001,MATCH(0,INDEX(COUNTIF($A$1:A19,V1_Calc!$B$2:$B$1001)+(V1_Calc!$B$2:$B$1001=""),0,0),0)),"")</f>
        <v>FERRARI</v>
      </c>
      <c r="B20" s="63">
        <f>IF(A20="","",SUMIF(V1_Calc!$B$2:$B$1001,A20,V1_Calc!$D$2:$D$1001))</f>
        <v>1</v>
      </c>
      <c r="C20" s="62">
        <f>IF(A20="","",--(COUNTIF(CN_Brands!$A$2:$A$300,UPPER(A20))&gt;0))</f>
        <v>0</v>
      </c>
      <c r="D20" s="64">
        <f t="shared" si="0"/>
        <v>2.16309755569976e-5</v>
      </c>
      <c r="E20" s="62" t="str">
        <f>IF(OR(B20="",C20&lt;&gt;1),"",1+SUMPRODUCT(($C$2:$C$201=1)*($B$2:$B$201&gt;B20))+COUNTIFS($C$2:C20,1,$B$2:B20,B20)-1)</f>
        <v/>
      </c>
    </row>
    <row r="21" spans="1:5">
      <c r="A21" s="62" t="str">
        <f>IFERROR(INDEX(V1_Calc!$B$2:$B$1001,MATCH(0,INDEX(COUNTIF($A$1:A20,V1_Calc!$B$2:$B$1001)+(V1_Calc!$B$2:$B$1001=""),0,0),0)),"")</f>
        <v>FIREFLY</v>
      </c>
      <c r="B21" s="63">
        <f>IF(A21="","",SUMIF(V1_Calc!$B$2:$B$1001,A21,V1_Calc!$D$2:$D$1001))</f>
        <v>1</v>
      </c>
      <c r="C21" s="62">
        <f>IF(A21="","",--(COUNTIF(CN_Brands!$A$2:$A$300,UPPER(A21))&gt;0))</f>
        <v>1</v>
      </c>
      <c r="D21" s="64">
        <f t="shared" si="0"/>
        <v>2.16309755569976e-5</v>
      </c>
      <c r="E21" s="62">
        <f>IF(OR(B21="",C21&lt;&gt;1),"",1+SUMPRODUCT(($C$2:$C$201=1)*($B$2:$B$201&gt;B21))+COUNTIFS($C$2:C21,1,$B$2:B21,B21)-1)</f>
        <v>22</v>
      </c>
    </row>
    <row r="22" spans="1:5">
      <c r="A22" s="62" t="str">
        <f>IFERROR(INDEX(V1_Calc!$B$2:$B$1001,MATCH(0,INDEX(COUNTIF($A$1:A21,V1_Calc!$B$2:$B$1001)+(V1_Calc!$B$2:$B$1001=""),0,0),0)),"")</f>
        <v>FOMM</v>
      </c>
      <c r="B22" s="63">
        <f>IF(A22="","",SUMIF(V1_Calc!$B$2:$B$1001,A22,V1_Calc!$D$2:$D$1001))</f>
        <v>0</v>
      </c>
      <c r="C22" s="62">
        <f>IF(A22="","",--(COUNTIF(CN_Brands!$A$2:$A$300,UPPER(A22))&gt;0))</f>
        <v>0</v>
      </c>
      <c r="D22" s="64">
        <f t="shared" si="0"/>
        <v>0</v>
      </c>
      <c r="E22" s="62" t="str">
        <f>IF(OR(B22="",C22&lt;&gt;1),"",1+SUMPRODUCT(($C$2:$C$201=1)*($B$2:$B$201&gt;B22))+COUNTIFS($C$2:C22,1,$B$2:B22,B22)-1)</f>
        <v/>
      </c>
    </row>
    <row r="23" spans="1:5">
      <c r="A23" s="62" t="str">
        <f>IFERROR(INDEX(V1_Calc!$B$2:$B$1001,MATCH(0,INDEX(COUNTIF($A$1:A22,V1_Calc!$B$2:$B$1001)+(V1_Calc!$B$2:$B$1001=""),0,0),0)),"")</f>
        <v>FORD</v>
      </c>
      <c r="B23" s="63">
        <f>IF(A23="","",SUMIF(V1_Calc!$B$2:$B$1001,A23,V1_Calc!$D$2:$D$1001))</f>
        <v>554</v>
      </c>
      <c r="C23" s="62">
        <f>IF(A23="","",--(COUNTIF(CN_Brands!$A$2:$A$300,UPPER(A23))&gt;0))</f>
        <v>0</v>
      </c>
      <c r="D23" s="64">
        <f t="shared" si="0"/>
        <v>0.0119835604585767</v>
      </c>
      <c r="E23" s="62" t="str">
        <f>IF(OR(B23="",C23&lt;&gt;1),"",1+SUMPRODUCT(($C$2:$C$201=1)*($B$2:$B$201&gt;B23))+COUNTIFS($C$2:C23,1,$B$2:B23,B23)-1)</f>
        <v/>
      </c>
    </row>
    <row r="24" spans="1:5">
      <c r="A24" s="62" t="str">
        <f>IFERROR(INDEX(V1_Calc!$B$2:$B$1001,MATCH(0,INDEX(COUNTIF($A$1:A23,V1_Calc!$B$2:$B$1001)+(V1_Calc!$B$2:$B$1001=""),0,0),0)),"")</f>
        <v>FOTON</v>
      </c>
      <c r="B24" s="63">
        <f>IF(A24="","",SUMIF(V1_Calc!$B$2:$B$1001,A24,V1_Calc!$D$2:$D$1001))</f>
        <v>1</v>
      </c>
      <c r="C24" s="62">
        <f>IF(A24="","",--(COUNTIF(CN_Brands!$A$2:$A$300,UPPER(A24))&gt;0))</f>
        <v>1</v>
      </c>
      <c r="D24" s="64">
        <f t="shared" si="0"/>
        <v>2.16309755569976e-5</v>
      </c>
      <c r="E24" s="62">
        <f>IF(OR(B24="",C24&lt;&gt;1),"",1+SUMPRODUCT(($C$2:$C$201=1)*($B$2:$B$201&gt;B24))+COUNTIFS($C$2:C24,1,$B$2:B24,B24)-1)</f>
        <v>23</v>
      </c>
    </row>
    <row r="25" spans="1:5">
      <c r="A25" s="62" t="str">
        <f>IFERROR(INDEX(V1_Calc!$B$2:$B$1001,MATCH(0,INDEX(COUNTIF($A$1:A24,V1_Calc!$B$2:$B$1001)+(V1_Calc!$B$2:$B$1001=""),0,0),0)),"")</f>
        <v>GAC</v>
      </c>
      <c r="B25" s="63">
        <f>IF(A25="","",SUMIF(V1_Calc!$B$2:$B$1001,A25,V1_Calc!$D$2:$D$1001))</f>
        <v>29</v>
      </c>
      <c r="C25" s="62">
        <f>IF(A25="","",--(COUNTIF(CN_Brands!$A$2:$A$300,UPPER(A25))&gt;0))</f>
        <v>1</v>
      </c>
      <c r="D25" s="64">
        <f t="shared" si="0"/>
        <v>0.000627298291152931</v>
      </c>
      <c r="E25" s="62">
        <f>IF(OR(B25="",C25&lt;&gt;1),"",1+SUMPRODUCT(($C$2:$C$201=1)*($B$2:$B$201&gt;B25))+COUNTIFS($C$2:C25,1,$B$2:B25,B25)-1)</f>
        <v>18</v>
      </c>
    </row>
    <row r="26" spans="1:5">
      <c r="A26" s="62" t="str">
        <f>IFERROR(INDEX(V1_Calc!$B$2:$B$1001,MATCH(0,INDEX(COUNTIF($A$1:A25,V1_Calc!$B$2:$B$1001)+(V1_Calc!$B$2:$B$1001=""),0,0),0)),"")</f>
        <v>GEELY</v>
      </c>
      <c r="B26" s="63">
        <f>IF(A26="","",SUMIF(V1_Calc!$B$2:$B$1001,A26,V1_Calc!$D$2:$D$1001))</f>
        <v>3011</v>
      </c>
      <c r="C26" s="62">
        <f>IF(A26="","",--(COUNTIF(CN_Brands!$A$2:$A$300,UPPER(A26))&gt;0))</f>
        <v>1</v>
      </c>
      <c r="D26" s="64">
        <f t="shared" si="0"/>
        <v>0.0651308674021198</v>
      </c>
      <c r="E26" s="62">
        <f>IF(OR(B26="",C26&lt;&gt;1),"",1+SUMPRODUCT(($C$2:$C$201=1)*($B$2:$B$201&gt;B26))+COUNTIFS($C$2:C26,1,$B$2:B26,B26)-1)</f>
        <v>2</v>
      </c>
    </row>
    <row r="27" spans="1:5">
      <c r="A27" s="62" t="str">
        <f>IFERROR(INDEX(V1_Calc!$B$2:$B$1001,MATCH(0,INDEX(COUNTIF($A$1:A26,V1_Calc!$B$2:$B$1001)+(V1_Calc!$B$2:$B$1001=""),0,0),0)),"")</f>
        <v>GMC</v>
      </c>
      <c r="B27" s="63">
        <f>IF(A27="","",SUMIF(V1_Calc!$B$2:$B$1001,A27,V1_Calc!$D$2:$D$1001))</f>
        <v>0</v>
      </c>
      <c r="C27" s="62">
        <f>IF(A27="","",--(COUNTIF(CN_Brands!$A$2:$A$300,UPPER(A27))&gt;0))</f>
        <v>0</v>
      </c>
      <c r="D27" s="64">
        <f t="shared" si="0"/>
        <v>0</v>
      </c>
      <c r="E27" s="62" t="str">
        <f>IF(OR(B27="",C27&lt;&gt;1),"",1+SUMPRODUCT(($C$2:$C$201=1)*($B$2:$B$201&gt;B27))+COUNTIFS($C$2:C27,1,$B$2:B27,B27)-1)</f>
        <v/>
      </c>
    </row>
    <row r="28" spans="1:5">
      <c r="A28" s="62" t="str">
        <f>IFERROR(INDEX(V1_Calc!$B$2:$B$1001,MATCH(0,INDEX(COUNTIF($A$1:A27,V1_Calc!$B$2:$B$1001)+(V1_Calc!$B$2:$B$1001=""),0,0),0)),"")</f>
        <v>GWM</v>
      </c>
      <c r="B28" s="63">
        <f>IF(A28="","",SUMIF(V1_Calc!$B$2:$B$1001,A28,V1_Calc!$D$2:$D$1001))</f>
        <v>1927</v>
      </c>
      <c r="C28" s="62">
        <f>IF(A28="","",--(COUNTIF(CN_Brands!$A$2:$A$300,UPPER(A28))&gt;0))</f>
        <v>1</v>
      </c>
      <c r="D28" s="64">
        <f t="shared" si="0"/>
        <v>0.0416828898983344</v>
      </c>
      <c r="E28" s="62">
        <f>IF(OR(B28="",C28&lt;&gt;1),"",1+SUMPRODUCT(($C$2:$C$201=1)*($B$2:$B$201&gt;B28))+COUNTIFS($C$2:C28,1,$B$2:B28,B28)-1)</f>
        <v>5</v>
      </c>
    </row>
    <row r="29" spans="1:5">
      <c r="A29" s="62" t="str">
        <f>IFERROR(INDEX(V1_Calc!$B$2:$B$1001,MATCH(0,INDEX(COUNTIF($A$1:A28,V1_Calc!$B$2:$B$1001)+(V1_Calc!$B$2:$B$1001=""),0,0),0)),"")</f>
        <v>HAVAL</v>
      </c>
      <c r="B29" s="63">
        <f>IF(A29="","",SUMIF(V1_Calc!$B$2:$B$1001,A29,V1_Calc!$D$2:$D$1001))</f>
        <v>137</v>
      </c>
      <c r="C29" s="62">
        <f>IF(A29="","",--(COUNTIF(CN_Brands!$A$2:$A$300,UPPER(A29))&gt;0))</f>
        <v>1</v>
      </c>
      <c r="D29" s="64">
        <f t="shared" si="0"/>
        <v>0.00296344365130867</v>
      </c>
      <c r="E29" s="62">
        <f>IF(OR(B29="",C29&lt;&gt;1),"",1+SUMPRODUCT(($C$2:$C$201=1)*($B$2:$B$201&gt;B29))+COUNTIFS($C$2:C29,1,$B$2:B29,B29)-1)</f>
        <v>15</v>
      </c>
    </row>
    <row r="30" spans="1:5">
      <c r="A30" s="62" t="str">
        <f>IFERROR(INDEX(V1_Calc!$B$2:$B$1001,MATCH(0,INDEX(COUNTIF($A$1:A29,V1_Calc!$B$2:$B$1001)+(V1_Calc!$B$2:$B$1001=""),0,0),0)),"")</f>
        <v>HONDA</v>
      </c>
      <c r="B30" s="63">
        <f>IF(A30="","",SUMIF(V1_Calc!$B$2:$B$1001,A30,V1_Calc!$D$2:$D$1001))</f>
        <v>4292</v>
      </c>
      <c r="C30" s="62">
        <f>IF(A30="","",--(COUNTIF(CN_Brands!$A$2:$A$300,UPPER(A30))&gt;0))</f>
        <v>0</v>
      </c>
      <c r="D30" s="64">
        <f t="shared" si="0"/>
        <v>0.0928401470906338</v>
      </c>
      <c r="E30" s="62" t="str">
        <f>IF(OR(B30="",C30&lt;&gt;1),"",1+SUMPRODUCT(($C$2:$C$201=1)*($B$2:$B$201&gt;B30))+COUNTIFS($C$2:C30,1,$B$2:B30,B30)-1)</f>
        <v/>
      </c>
    </row>
    <row r="31" spans="1:5">
      <c r="A31" s="62" t="str">
        <f>IFERROR(INDEX(V1_Calc!$B$2:$B$1001,MATCH(0,INDEX(COUNTIF($A$1:A30,V1_Calc!$B$2:$B$1001)+(V1_Calc!$B$2:$B$1001=""),0,0),0)),"")</f>
        <v>HYPTEC</v>
      </c>
      <c r="B31" s="63">
        <f>IF(A31="","",SUMIF(V1_Calc!$B$2:$B$1001,A31,V1_Calc!$D$2:$D$1001))</f>
        <v>353</v>
      </c>
      <c r="C31" s="62">
        <f>IF(A31="","",--(COUNTIF(CN_Brands!$A$2:$A$300,UPPER(A31))&gt;0))</f>
        <v>0</v>
      </c>
      <c r="D31" s="64">
        <f t="shared" si="0"/>
        <v>0.00763573437162016</v>
      </c>
      <c r="E31" s="62" t="str">
        <f>IF(OR(B31="",C31&lt;&gt;1),"",1+SUMPRODUCT(($C$2:$C$201=1)*($B$2:$B$201&gt;B31))+COUNTIFS($C$2:C31,1,$B$2:B31,B31)-1)</f>
        <v/>
      </c>
    </row>
    <row r="32" spans="1:5">
      <c r="A32" s="62" t="str">
        <f>IFERROR(INDEX(V1_Calc!$B$2:$B$1001,MATCH(0,INDEX(COUNTIF($A$1:A31,V1_Calc!$B$2:$B$1001)+(V1_Calc!$B$2:$B$1001=""),0,0),0)),"")</f>
        <v>HYUNDAI</v>
      </c>
      <c r="B32" s="63">
        <f>IF(A32="","",SUMIF(V1_Calc!$B$2:$B$1001,A32,V1_Calc!$D$2:$D$1001))</f>
        <v>186</v>
      </c>
      <c r="C32" s="62">
        <f>IF(A32="","",--(COUNTIF(CN_Brands!$A$2:$A$300,UPPER(A32))&gt;0))</f>
        <v>0</v>
      </c>
      <c r="D32" s="64">
        <f t="shared" si="0"/>
        <v>0.00402336145360156</v>
      </c>
      <c r="E32" s="62" t="str">
        <f>IF(OR(B32="",C32&lt;&gt;1),"",1+SUMPRODUCT(($C$2:$C$201=1)*($B$2:$B$201&gt;B32))+COUNTIFS($C$2:C32,1,$B$2:B32,B32)-1)</f>
        <v/>
      </c>
    </row>
    <row r="33" spans="1:5">
      <c r="A33" s="62" t="str">
        <f>IFERROR(INDEX(V1_Calc!$B$2:$B$1001,MATCH(0,INDEX(COUNTIF($A$1:A32,V1_Calc!$B$2:$B$1001)+(V1_Calc!$B$2:$B$1001=""),0,0),0)),"")</f>
        <v>ISUZU</v>
      </c>
      <c r="B33" s="63">
        <f>IF(A33="","",SUMIF(V1_Calc!$B$2:$B$1001,A33,V1_Calc!$D$2:$D$1001))</f>
        <v>737</v>
      </c>
      <c r="C33" s="62">
        <f>IF(A33="","",--(COUNTIF(CN_Brands!$A$2:$A$300,UPPER(A33))&gt;0))</f>
        <v>0</v>
      </c>
      <c r="D33" s="64">
        <f t="shared" si="0"/>
        <v>0.0159420289855072</v>
      </c>
      <c r="E33" s="62" t="str">
        <f>IF(OR(B33="",C33&lt;&gt;1),"",1+SUMPRODUCT(($C$2:$C$201=1)*($B$2:$B$201&gt;B33))+COUNTIFS($C$2:C33,1,$B$2:B33,B33)-1)</f>
        <v/>
      </c>
    </row>
    <row r="34" spans="1:5">
      <c r="A34" s="62" t="str">
        <f>IFERROR(INDEX(V1_Calc!$B$2:$B$1001,MATCH(0,INDEX(COUNTIF($A$1:A33,V1_Calc!$B$2:$B$1001)+(V1_Calc!$B$2:$B$1001=""),0,0),0)),"")</f>
        <v>JAC</v>
      </c>
      <c r="B34" s="63">
        <f>IF(A34="","",SUMIF(V1_Calc!$B$2:$B$1001,A34,V1_Calc!$D$2:$D$1001))</f>
        <v>0</v>
      </c>
      <c r="C34" s="62">
        <f>IF(A34="","",--(COUNTIF(CN_Brands!$A$2:$A$300,UPPER(A34))&gt;0))</f>
        <v>1</v>
      </c>
      <c r="D34" s="64">
        <f t="shared" si="0"/>
        <v>0</v>
      </c>
      <c r="E34" s="62">
        <f>IF(OR(B34="",C34&lt;&gt;1),"",1+SUMPRODUCT(($C$2:$C$201=1)*($B$2:$B$201&gt;B34))+COUNTIFS($C$2:C34,1,$B$2:B34,B34)-1)</f>
        <v>25</v>
      </c>
    </row>
    <row r="35" spans="1:5">
      <c r="A35" s="62" t="str">
        <f>IFERROR(INDEX(V1_Calc!$B$2:$B$1001,MATCH(0,INDEX(COUNTIF($A$1:A34,V1_Calc!$B$2:$B$1001)+(V1_Calc!$B$2:$B$1001=""),0,0),0)),"")</f>
        <v>JAECOO</v>
      </c>
      <c r="B35" s="63">
        <f>IF(A35="","",SUMIF(V1_Calc!$B$2:$B$1001,A35,V1_Calc!$D$2:$D$1001))</f>
        <v>2808</v>
      </c>
      <c r="C35" s="62">
        <f>IF(A35="","",--(COUNTIF(CN_Brands!$A$2:$A$300,UPPER(A35))&gt;0))</f>
        <v>1</v>
      </c>
      <c r="D35" s="64">
        <f t="shared" si="0"/>
        <v>0.0607397793640493</v>
      </c>
      <c r="E35" s="62">
        <f>IF(OR(B35="",C35&lt;&gt;1),"",1+SUMPRODUCT(($C$2:$C$201=1)*($B$2:$B$201&gt;B35))+COUNTIFS($C$2:C35,1,$B$2:B35,B35)-1)</f>
        <v>4</v>
      </c>
    </row>
    <row r="36" spans="1:5">
      <c r="A36" s="62" t="str">
        <f>IFERROR(INDEX(V1_Calc!$B$2:$B$1001,MATCH(0,INDEX(COUNTIF($A$1:A35,V1_Calc!$B$2:$B$1001)+(V1_Calc!$B$2:$B$1001=""),0,0),0)),"")</f>
        <v>JEEP</v>
      </c>
      <c r="B36" s="63">
        <f>IF(A36="","",SUMIF(V1_Calc!$B$2:$B$1001,A36,V1_Calc!$D$2:$D$1001))</f>
        <v>8</v>
      </c>
      <c r="C36" s="62">
        <f>IF(A36="","",--(COUNTIF(CN_Brands!$A$2:$A$300,UPPER(A36))&gt;0))</f>
        <v>0</v>
      </c>
      <c r="D36" s="64">
        <f t="shared" si="0"/>
        <v>0.000173047804455981</v>
      </c>
      <c r="E36" s="62" t="str">
        <f>IF(OR(B36="",C36&lt;&gt;1),"",1+SUMPRODUCT(($C$2:$C$201=1)*($B$2:$B$201&gt;B36))+COUNTIFS($C$2:C36,1,$B$2:B36,B36)-1)</f>
        <v/>
      </c>
    </row>
    <row r="37" spans="1:5">
      <c r="A37" s="62" t="str">
        <f>IFERROR(INDEX(V1_Calc!$B$2:$B$1001,MATCH(0,INDEX(COUNTIF($A$1:A36,V1_Calc!$B$2:$B$1001)+(V1_Calc!$B$2:$B$1001=""),0,0),0)),"")</f>
        <v>JIAYUAN</v>
      </c>
      <c r="B37" s="63">
        <f>IF(A37="","",SUMIF(V1_Calc!$B$2:$B$1001,A37,V1_Calc!$D$2:$D$1001))</f>
        <v>0</v>
      </c>
      <c r="C37" s="62">
        <f>IF(A37="","",--(COUNTIF(CN_Brands!$A$2:$A$300,UPPER(A37))&gt;0))</f>
        <v>0</v>
      </c>
      <c r="D37" s="64">
        <f t="shared" si="0"/>
        <v>0</v>
      </c>
      <c r="E37" s="62" t="str">
        <f>IF(OR(B37="",C37&lt;&gt;1),"",1+SUMPRODUCT(($C$2:$C$201=1)*($B$2:$B$201&gt;B37))+COUNTIFS($C$2:C37,1,$B$2:B37,B37)-1)</f>
        <v/>
      </c>
    </row>
    <row r="38" spans="1:5">
      <c r="A38" s="62" t="str">
        <f>IFERROR(INDEX(V1_Calc!$B$2:$B$1001,MATCH(0,INDEX(COUNTIF($A$1:A37,V1_Calc!$B$2:$B$1001)+(V1_Calc!$B$2:$B$1001=""),0,0),0)),"")</f>
        <v>JONWAY</v>
      </c>
      <c r="B38" s="63">
        <f>IF(A38="","",SUMIF(V1_Calc!$B$2:$B$1001,A38,V1_Calc!$D$2:$D$1001))</f>
        <v>0</v>
      </c>
      <c r="C38" s="62">
        <f>IF(A38="","",--(COUNTIF(CN_Brands!$A$2:$A$300,UPPER(A38))&gt;0))</f>
        <v>0</v>
      </c>
      <c r="D38" s="64">
        <f t="shared" si="0"/>
        <v>0</v>
      </c>
      <c r="E38" s="62" t="str">
        <f>IF(OR(B38="",C38&lt;&gt;1),"",1+SUMPRODUCT(($C$2:$C$201=1)*($B$2:$B$201&gt;B38))+COUNTIFS($C$2:C38,1,$B$2:B38,B38)-1)</f>
        <v/>
      </c>
    </row>
    <row r="39" spans="1:5">
      <c r="A39" s="62" t="str">
        <f>IFERROR(INDEX(V1_Calc!$B$2:$B$1001,MATCH(0,INDEX(COUNTIF($A$1:A38,V1_Calc!$B$2:$B$1001)+(V1_Calc!$B$2:$B$1001=""),0,0),0)),"")</f>
        <v>JUNEYAO</v>
      </c>
      <c r="B39" s="63">
        <f>IF(A39="","",SUMIF(V1_Calc!$B$2:$B$1001,A39,V1_Calc!$D$2:$D$1001))</f>
        <v>0</v>
      </c>
      <c r="C39" s="62">
        <f>IF(A39="","",--(COUNTIF(CN_Brands!$A$2:$A$300,UPPER(A39))&gt;0))</f>
        <v>0</v>
      </c>
      <c r="D39" s="64">
        <f t="shared" si="0"/>
        <v>0</v>
      </c>
      <c r="E39" s="62" t="str">
        <f>IF(OR(B39="",C39&lt;&gt;1),"",1+SUMPRODUCT(($C$2:$C$201=1)*($B$2:$B$201&gt;B39))+COUNTIFS($C$2:C39,1,$B$2:B39,B39)-1)</f>
        <v/>
      </c>
    </row>
    <row r="40" spans="1:5">
      <c r="A40" s="62" t="str">
        <f>IFERROR(INDEX(V1_Calc!$B$2:$B$1001,MATCH(0,INDEX(COUNTIF($A$1:A39,V1_Calc!$B$2:$B$1001)+(V1_Calc!$B$2:$B$1001=""),0,0),0)),"")</f>
        <v>KIA</v>
      </c>
      <c r="B40" s="63">
        <f>IF(A40="","",SUMIF(V1_Calc!$B$2:$B$1001,A40,V1_Calc!$D$2:$D$1001))</f>
        <v>135</v>
      </c>
      <c r="C40" s="62">
        <f>IF(A40="","",--(COUNTIF(CN_Brands!$A$2:$A$300,UPPER(A40))&gt;0))</f>
        <v>0</v>
      </c>
      <c r="D40" s="64">
        <f t="shared" si="0"/>
        <v>0.00292018170019468</v>
      </c>
      <c r="E40" s="62" t="str">
        <f>IF(OR(B40="",C40&lt;&gt;1),"",1+SUMPRODUCT(($C$2:$C$201=1)*($B$2:$B$201&gt;B40))+COUNTIFS($C$2:C40,1,$B$2:B40,B40)-1)</f>
        <v/>
      </c>
    </row>
    <row r="41" spans="1:5">
      <c r="A41" s="62" t="str">
        <f>IFERROR(INDEX(V1_Calc!$B$2:$B$1001,MATCH(0,INDEX(COUNTIF($A$1:A40,V1_Calc!$B$2:$B$1001)+(V1_Calc!$B$2:$B$1001=""),0,0),0)),"")</f>
        <v>LAMBORGHINI</v>
      </c>
      <c r="B41" s="63">
        <f>IF(A41="","",SUMIF(V1_Calc!$B$2:$B$1001,A41,V1_Calc!$D$2:$D$1001))</f>
        <v>4</v>
      </c>
      <c r="C41" s="62">
        <f>IF(A41="","",--(COUNTIF(CN_Brands!$A$2:$A$300,UPPER(A41))&gt;0))</f>
        <v>0</v>
      </c>
      <c r="D41" s="64">
        <f t="shared" si="0"/>
        <v>8.65239022279905e-5</v>
      </c>
      <c r="E41" s="62" t="str">
        <f>IF(OR(B41="",C41&lt;&gt;1),"",1+SUMPRODUCT(($C$2:$C$201=1)*($B$2:$B$201&gt;B41))+COUNTIFS($C$2:C41,1,$B$2:B41,B41)-1)</f>
        <v/>
      </c>
    </row>
    <row r="42" spans="1:5">
      <c r="A42" s="62" t="str">
        <f>IFERROR(INDEX(V1_Calc!$B$2:$B$1001,MATCH(0,INDEX(COUNTIF($A$1:A41,V1_Calc!$B$2:$B$1001)+(V1_Calc!$B$2:$B$1001=""),0,0),0)),"")</f>
        <v>LAND ROVER</v>
      </c>
      <c r="B42" s="63">
        <f>IF(A42="","",SUMIF(V1_Calc!$B$2:$B$1001,A42,V1_Calc!$D$2:$D$1001))</f>
        <v>12</v>
      </c>
      <c r="C42" s="62">
        <f>IF(A42="","",--(COUNTIF(CN_Brands!$A$2:$A$300,UPPER(A42))&gt;0))</f>
        <v>0</v>
      </c>
      <c r="D42" s="64">
        <f t="shared" si="0"/>
        <v>0.000259571706683971</v>
      </c>
      <c r="E42" s="62" t="str">
        <f>IF(OR(B42="",C42&lt;&gt;1),"",1+SUMPRODUCT(($C$2:$C$201=1)*($B$2:$B$201&gt;B42))+COUNTIFS($C$2:C42,1,$B$2:B42,B42)-1)</f>
        <v/>
      </c>
    </row>
    <row r="43" spans="1:5">
      <c r="A43" s="62" t="str">
        <f>IFERROR(INDEX(V1_Calc!$B$2:$B$1001,MATCH(0,INDEX(COUNTIF($A$1:A42,V1_Calc!$B$2:$B$1001)+(V1_Calc!$B$2:$B$1001=""),0,0),0)),"")</f>
        <v>LEAPMOTOR</v>
      </c>
      <c r="B43" s="63">
        <f>IF(A43="","",SUMIF(V1_Calc!$B$2:$B$1001,A43,V1_Calc!$D$2:$D$1001))</f>
        <v>28</v>
      </c>
      <c r="C43" s="62">
        <f>IF(A43="","",--(COUNTIF(CN_Brands!$A$2:$A$300,UPPER(A43))&gt;0))</f>
        <v>1</v>
      </c>
      <c r="D43" s="64">
        <f t="shared" si="0"/>
        <v>0.000605667315595933</v>
      </c>
      <c r="E43" s="62">
        <f>IF(OR(B43="",C43&lt;&gt;1),"",1+SUMPRODUCT(($C$2:$C$201=1)*($B$2:$B$201&gt;B43))+COUNTIFS($C$2:C43,1,$B$2:B43,B43)-1)</f>
        <v>19</v>
      </c>
    </row>
    <row r="44" spans="1:5">
      <c r="A44" s="62" t="str">
        <f>IFERROR(INDEX(V1_Calc!$B$2:$B$1001,MATCH(0,INDEX(COUNTIF($A$1:A43,V1_Calc!$B$2:$B$1001)+(V1_Calc!$B$2:$B$1001=""),0,0),0)),"")</f>
        <v>LEXUS</v>
      </c>
      <c r="B44" s="63">
        <f>IF(A44="","",SUMIF(V1_Calc!$B$2:$B$1001,A44,V1_Calc!$D$2:$D$1001))</f>
        <v>67</v>
      </c>
      <c r="C44" s="62">
        <f>IF(A44="","",--(COUNTIF(CN_Brands!$A$2:$A$300,UPPER(A44))&gt;0))</f>
        <v>0</v>
      </c>
      <c r="D44" s="64">
        <f t="shared" si="0"/>
        <v>0.00144927536231884</v>
      </c>
      <c r="E44" s="62" t="str">
        <f>IF(OR(B44="",C44&lt;&gt;1),"",1+SUMPRODUCT(($C$2:$C$201=1)*($B$2:$B$201&gt;B44))+COUNTIFS($C$2:C44,1,$B$2:B44,B44)-1)</f>
        <v/>
      </c>
    </row>
    <row r="45" spans="1:5">
      <c r="A45" s="62" t="str">
        <f>IFERROR(INDEX(V1_Calc!$B$2:$B$1001,MATCH(0,INDEX(COUNTIF($A$1:A44,V1_Calc!$B$2:$B$1001)+(V1_Calc!$B$2:$B$1001=""),0,0),0)),"")</f>
        <v>LOTUS</v>
      </c>
      <c r="B45" s="63">
        <f>IF(A45="","",SUMIF(V1_Calc!$B$2:$B$1001,A45,V1_Calc!$D$2:$D$1001))</f>
        <v>6</v>
      </c>
      <c r="C45" s="62">
        <f>IF(A45="","",--(COUNTIF(CN_Brands!$A$2:$A$300,UPPER(A45))&gt;0))</f>
        <v>0</v>
      </c>
      <c r="D45" s="64">
        <f t="shared" si="0"/>
        <v>0.000129785853341986</v>
      </c>
      <c r="E45" s="62" t="str">
        <f>IF(OR(B45="",C45&lt;&gt;1),"",1+SUMPRODUCT(($C$2:$C$201=1)*($B$2:$B$201&gt;B45))+COUNTIFS($C$2:C45,1,$B$2:B45,B45)-1)</f>
        <v/>
      </c>
    </row>
    <row r="46" spans="1:5">
      <c r="A46" s="62" t="str">
        <f>IFERROR(INDEX(V1_Calc!$B$2:$B$1001,MATCH(0,INDEX(COUNTIF($A$1:A45,V1_Calc!$B$2:$B$1001)+(V1_Calc!$B$2:$B$1001=""),0,0),0)),"")</f>
        <v>MARUTI SUZUKI</v>
      </c>
      <c r="B46" s="63">
        <f>IF(A46="","",SUMIF(V1_Calc!$B$2:$B$1001,A46,V1_Calc!$D$2:$D$1001))</f>
        <v>1</v>
      </c>
      <c r="C46" s="62">
        <f>IF(A46="","",--(COUNTIF(CN_Brands!$A$2:$A$300,UPPER(A46))&gt;0))</f>
        <v>0</v>
      </c>
      <c r="D46" s="64">
        <f t="shared" si="0"/>
        <v>2.16309755569976e-5</v>
      </c>
      <c r="E46" s="62" t="str">
        <f>IF(OR(B46="",C46&lt;&gt;1),"",1+SUMPRODUCT(($C$2:$C$201=1)*($B$2:$B$201&gt;B46))+COUNTIFS($C$2:C46,1,$B$2:B46,B46)-1)</f>
        <v/>
      </c>
    </row>
    <row r="47" spans="1:5">
      <c r="A47" s="62" t="str">
        <f>IFERROR(INDEX(V1_Calc!$B$2:$B$1001,MATCH(0,INDEX(COUNTIF($A$1:A46,V1_Calc!$B$2:$B$1001)+(V1_Calc!$B$2:$B$1001=""),0,0),0)),"")</f>
        <v>MASERATI</v>
      </c>
      <c r="B47" s="63">
        <f>IF(A47="","",SUMIF(V1_Calc!$B$2:$B$1001,A47,V1_Calc!$D$2:$D$1001))</f>
        <v>7</v>
      </c>
      <c r="C47" s="62">
        <f>IF(A47="","",--(COUNTIF(CN_Brands!$A$2:$A$300,UPPER(A47))&gt;0))</f>
        <v>0</v>
      </c>
      <c r="D47" s="64">
        <f t="shared" si="0"/>
        <v>0.000151416828898983</v>
      </c>
      <c r="E47" s="62" t="str">
        <f>IF(OR(B47="",C47&lt;&gt;1),"",1+SUMPRODUCT(($C$2:$C$201=1)*($B$2:$B$201&gt;B47))+COUNTIFS($C$2:C47,1,$B$2:B47,B47)-1)</f>
        <v/>
      </c>
    </row>
    <row r="48" spans="1:5">
      <c r="A48" s="62" t="str">
        <f>IFERROR(INDEX(V1_Calc!$B$2:$B$1001,MATCH(0,INDEX(COUNTIF($A$1:A47,V1_Calc!$B$2:$B$1001)+(V1_Calc!$B$2:$B$1001=""),0,0),0)),"")</f>
        <v>MAXUS</v>
      </c>
      <c r="B48" s="63">
        <f>IF(A48="","",SUMIF(V1_Calc!$B$2:$B$1001,A48,V1_Calc!$D$2:$D$1001))</f>
        <v>0</v>
      </c>
      <c r="C48" s="62">
        <f>IF(A48="","",--(COUNTIF(CN_Brands!$A$2:$A$300,UPPER(A48))&gt;0))</f>
        <v>1</v>
      </c>
      <c r="D48" s="64">
        <f t="shared" si="0"/>
        <v>0</v>
      </c>
      <c r="E48" s="62">
        <f>IF(OR(B48="",C48&lt;&gt;1),"",1+SUMPRODUCT(($C$2:$C$201=1)*($B$2:$B$201&gt;B48))+COUNTIFS($C$2:C48,1,$B$2:B48,B48)-1)</f>
        <v>26</v>
      </c>
    </row>
    <row r="49" spans="1:5">
      <c r="A49" s="62" t="str">
        <f>IFERROR(INDEX(V1_Calc!$B$2:$B$1001,MATCH(0,INDEX(COUNTIF($A$1:A48,V1_Calc!$B$2:$B$1001)+(V1_Calc!$B$2:$B$1001=""),0,0),0)),"")</f>
        <v>MAZDA</v>
      </c>
      <c r="B49" s="63">
        <f>IF(A49="","",SUMIF(V1_Calc!$B$2:$B$1001,A49,V1_Calc!$D$2:$D$1001))</f>
        <v>659</v>
      </c>
      <c r="C49" s="62">
        <f>IF(A49="","",--(COUNTIF(CN_Brands!$A$2:$A$300,UPPER(A49))&gt;0))</f>
        <v>0</v>
      </c>
      <c r="D49" s="64">
        <f t="shared" si="0"/>
        <v>0.0142548128920614</v>
      </c>
      <c r="E49" s="62" t="str">
        <f>IF(OR(B49="",C49&lt;&gt;1),"",1+SUMPRODUCT(($C$2:$C$201=1)*($B$2:$B$201&gt;B49))+COUNTIFS($C$2:C49,1,$B$2:B49,B49)-1)</f>
        <v/>
      </c>
    </row>
    <row r="50" spans="1:5">
      <c r="A50" s="62" t="str">
        <f>IFERROR(INDEX(V1_Calc!$B$2:$B$1001,MATCH(0,INDEX(COUNTIF($A$1:A49,V1_Calc!$B$2:$B$1001)+(V1_Calc!$B$2:$B$1001=""),0,0),0)),"")</f>
        <v>MCLAREN</v>
      </c>
      <c r="B50" s="63">
        <f>IF(A50="","",SUMIF(V1_Calc!$B$2:$B$1001,A50,V1_Calc!$D$2:$D$1001))</f>
        <v>0</v>
      </c>
      <c r="C50" s="62">
        <f>IF(A50="","",--(COUNTIF(CN_Brands!$A$2:$A$300,UPPER(A50))&gt;0))</f>
        <v>0</v>
      </c>
      <c r="D50" s="64">
        <f t="shared" si="0"/>
        <v>0</v>
      </c>
      <c r="E50" s="62" t="str">
        <f>IF(OR(B50="",C50&lt;&gt;1),"",1+SUMPRODUCT(($C$2:$C$201=1)*($B$2:$B$201&gt;B50))+COUNTIFS($C$2:C50,1,$B$2:B50,B50)-1)</f>
        <v/>
      </c>
    </row>
    <row r="51" spans="1:5">
      <c r="A51" s="62" t="str">
        <f>IFERROR(INDEX(V1_Calc!$B$2:$B$1001,MATCH(0,INDEX(COUNTIF($A$1:A50,V1_Calc!$B$2:$B$1001)+(V1_Calc!$B$2:$B$1001=""),0,0),0)),"")</f>
        <v>MERCEDES</v>
      </c>
      <c r="B51" s="63">
        <f>IF(A51="","",SUMIF(V1_Calc!$B$2:$B$1001,A51,V1_Calc!$D$2:$D$1001))</f>
        <v>528</v>
      </c>
      <c r="C51" s="62">
        <f>IF(A51="","",--(COUNTIF(CN_Brands!$A$2:$A$300,UPPER(A51))&gt;0))</f>
        <v>0</v>
      </c>
      <c r="D51" s="64">
        <f t="shared" si="0"/>
        <v>0.0114211550940947</v>
      </c>
      <c r="E51" s="62" t="str">
        <f>IF(OR(B51="",C51&lt;&gt;1),"",1+SUMPRODUCT(($C$2:$C$201=1)*($B$2:$B$201&gt;B51))+COUNTIFS($C$2:C51,1,$B$2:B51,B51)-1)</f>
        <v/>
      </c>
    </row>
    <row r="52" spans="1:5">
      <c r="A52" s="62" t="str">
        <f>IFERROR(INDEX(V1_Calc!$B$2:$B$1001,MATCH(0,INDEX(COUNTIF($A$1:A51,V1_Calc!$B$2:$B$1001)+(V1_Calc!$B$2:$B$1001=""),0,0),0)),"")</f>
        <v>MG</v>
      </c>
      <c r="B52" s="63">
        <f>IF(A52="","",SUMIF(V1_Calc!$B$2:$B$1001,A52,V1_Calc!$D$2:$D$1001))</f>
        <v>2859</v>
      </c>
      <c r="C52" s="62">
        <f>IF(A52="","",--(COUNTIF(CN_Brands!$A$2:$A$300,UPPER(A52))&gt;0))</f>
        <v>1</v>
      </c>
      <c r="D52" s="64">
        <f t="shared" si="0"/>
        <v>0.0618429591174562</v>
      </c>
      <c r="E52" s="62">
        <f>IF(OR(B52="",C52&lt;&gt;1),"",1+SUMPRODUCT(($C$2:$C$201=1)*($B$2:$B$201&gt;B52))+COUNTIFS($C$2:C52,1,$B$2:B52,B52)-1)</f>
        <v>3</v>
      </c>
    </row>
    <row r="53" spans="1:5">
      <c r="A53" s="62" t="str">
        <f>IFERROR(INDEX(V1_Calc!$B$2:$B$1001,MATCH(0,INDEX(COUNTIF($A$1:A52,V1_Calc!$B$2:$B$1001)+(V1_Calc!$B$2:$B$1001=""),0,0),0)),"")</f>
        <v>MINI</v>
      </c>
      <c r="B53" s="63">
        <f>IF(A53="","",SUMIF(V1_Calc!$B$2:$B$1001,A53,V1_Calc!$D$2:$D$1001))</f>
        <v>171</v>
      </c>
      <c r="C53" s="62">
        <f>IF(A53="","",--(COUNTIF(CN_Brands!$A$2:$A$300,UPPER(A53))&gt;0))</f>
        <v>0</v>
      </c>
      <c r="D53" s="64">
        <f t="shared" si="0"/>
        <v>0.00369889682024659</v>
      </c>
      <c r="E53" s="62" t="str">
        <f>IF(OR(B53="",C53&lt;&gt;1),"",1+SUMPRODUCT(($C$2:$C$201=1)*($B$2:$B$201&gt;B53))+COUNTIFS($C$2:C53,1,$B$2:B53,B53)-1)</f>
        <v/>
      </c>
    </row>
    <row r="54" spans="1:5">
      <c r="A54" s="62" t="str">
        <f>IFERROR(INDEX(V1_Calc!$B$2:$B$1001,MATCH(0,INDEX(COUNTIF($A$1:A53,V1_Calc!$B$2:$B$1001)+(V1_Calc!$B$2:$B$1001=""),0,0),0)),"")</f>
        <v>MITSUBISHI</v>
      </c>
      <c r="B54" s="63">
        <f>IF(A54="","",SUMIF(V1_Calc!$B$2:$B$1001,A54,V1_Calc!$D$2:$D$1001))</f>
        <v>1519</v>
      </c>
      <c r="C54" s="62">
        <f>IF(A54="","",--(COUNTIF(CN_Brands!$A$2:$A$300,UPPER(A54))&gt;0))</f>
        <v>0</v>
      </c>
      <c r="D54" s="64">
        <f t="shared" si="0"/>
        <v>0.0328574518710794</v>
      </c>
      <c r="E54" s="62" t="str">
        <f>IF(OR(B54="",C54&lt;&gt;1),"",1+SUMPRODUCT(($C$2:$C$201=1)*($B$2:$B$201&gt;B54))+COUNTIFS($C$2:C54,1,$B$2:B54,B54)-1)</f>
        <v/>
      </c>
    </row>
    <row r="55" spans="1:5">
      <c r="A55" s="62" t="str">
        <f>IFERROR(INDEX(V1_Calc!$B$2:$B$1001,MATCH(0,INDEX(COUNTIF($A$1:A54,V1_Calc!$B$2:$B$1001)+(V1_Calc!$B$2:$B$1001=""),0,0),0)),"")</f>
        <v>MORGAN</v>
      </c>
      <c r="B55" s="63">
        <f>IF(A55="","",SUMIF(V1_Calc!$B$2:$B$1001,A55,V1_Calc!$D$2:$D$1001))</f>
        <v>0</v>
      </c>
      <c r="C55" s="62">
        <f>IF(A55="","",--(COUNTIF(CN_Brands!$A$2:$A$300,UPPER(A55))&gt;0))</f>
        <v>0</v>
      </c>
      <c r="D55" s="64">
        <f t="shared" si="0"/>
        <v>0</v>
      </c>
      <c r="E55" s="62" t="str">
        <f>IF(OR(B55="",C55&lt;&gt;1),"",1+SUMPRODUCT(($C$2:$C$201=1)*($B$2:$B$201&gt;B55))+COUNTIFS($C$2:C55,1,$B$2:B55,B55)-1)</f>
        <v/>
      </c>
    </row>
    <row r="56" spans="1:5">
      <c r="A56" s="62" t="str">
        <f>IFERROR(INDEX(V1_Calc!$B$2:$B$1001,MATCH(0,INDEX(COUNTIF($A$1:A55,V1_Calc!$B$2:$B$1001)+(V1_Calc!$B$2:$B$1001=""),0,0),0)),"")</f>
        <v>NETA</v>
      </c>
      <c r="B56" s="63">
        <f>IF(A56="","",SUMIF(V1_Calc!$B$2:$B$1001,A56,V1_Calc!$D$2:$D$1001))</f>
        <v>11</v>
      </c>
      <c r="C56" s="62">
        <f>IF(A56="","",--(COUNTIF(CN_Brands!$A$2:$A$300,UPPER(A56))&gt;0))</f>
        <v>0</v>
      </c>
      <c r="D56" s="64">
        <f t="shared" si="0"/>
        <v>0.000237940731126974</v>
      </c>
      <c r="E56" s="62" t="str">
        <f>IF(OR(B56="",C56&lt;&gt;1),"",1+SUMPRODUCT(($C$2:$C$201=1)*($B$2:$B$201&gt;B56))+COUNTIFS($C$2:C56,1,$B$2:B56,B56)-1)</f>
        <v/>
      </c>
    </row>
    <row r="57" spans="1:5">
      <c r="A57" s="62" t="str">
        <f>IFERROR(INDEX(V1_Calc!$B$2:$B$1001,MATCH(0,INDEX(COUNTIF($A$1:A56,V1_Calc!$B$2:$B$1001)+(V1_Calc!$B$2:$B$1001=""),0,0),0)),"")</f>
        <v>NISSAN</v>
      </c>
      <c r="B57" s="63">
        <f>IF(A57="","",SUMIF(V1_Calc!$B$2:$B$1001,A57,V1_Calc!$D$2:$D$1001))</f>
        <v>552</v>
      </c>
      <c r="C57" s="62">
        <f>IF(A57="","",--(COUNTIF(CN_Brands!$A$2:$A$300,UPPER(A57))&gt;0))</f>
        <v>0</v>
      </c>
      <c r="D57" s="64">
        <f t="shared" si="0"/>
        <v>0.0119402985074627</v>
      </c>
      <c r="E57" s="62" t="str">
        <f>IF(OR(B57="",C57&lt;&gt;1),"",1+SUMPRODUCT(($C$2:$C$201=1)*($B$2:$B$201&gt;B57))+COUNTIFS($C$2:C57,1,$B$2:B57,B57)-1)</f>
        <v/>
      </c>
    </row>
    <row r="58" spans="1:5">
      <c r="A58" s="62" t="str">
        <f>IFERROR(INDEX(V1_Calc!$B$2:$B$1001,MATCH(0,INDEX(COUNTIF($A$1:A57,V1_Calc!$B$2:$B$1001)+(V1_Calc!$B$2:$B$1001=""),0,0),0)),"")</f>
        <v>OMODA</v>
      </c>
      <c r="B58" s="63">
        <f>IF(A58="","",SUMIF(V1_Calc!$B$2:$B$1001,A58,V1_Calc!$D$2:$D$1001))</f>
        <v>487</v>
      </c>
      <c r="C58" s="62">
        <f>IF(A58="","",--(COUNTIF(CN_Brands!$A$2:$A$300,UPPER(A58))&gt;0))</f>
        <v>1</v>
      </c>
      <c r="D58" s="64">
        <f t="shared" si="0"/>
        <v>0.0105342850962578</v>
      </c>
      <c r="E58" s="62">
        <f>IF(OR(B58="",C58&lt;&gt;1),"",1+SUMPRODUCT(($C$2:$C$201=1)*($B$2:$B$201&gt;B58))+COUNTIFS($C$2:C58,1,$B$2:B58,B58)-1)</f>
        <v>12</v>
      </c>
    </row>
    <row r="59" spans="1:5">
      <c r="A59" s="62" t="str">
        <f>IFERROR(INDEX(V1_Calc!$B$2:$B$1001,MATCH(0,INDEX(COUNTIF($A$1:A58,V1_Calc!$B$2:$B$1001)+(V1_Calc!$B$2:$B$1001=""),0,0),0)),"")</f>
        <v>ORA</v>
      </c>
      <c r="B59" s="63">
        <f>IF(A59="","",SUMIF(V1_Calc!$B$2:$B$1001,A59,V1_Calc!$D$2:$D$1001))</f>
        <v>0</v>
      </c>
      <c r="C59" s="62">
        <f>IF(A59="","",--(COUNTIF(CN_Brands!$A$2:$A$300,UPPER(A59))&gt;0))</f>
        <v>1</v>
      </c>
      <c r="D59" s="64">
        <f t="shared" si="0"/>
        <v>0</v>
      </c>
      <c r="E59" s="62">
        <f>IF(OR(B59="",C59&lt;&gt;1),"",1+SUMPRODUCT(($C$2:$C$201=1)*($B$2:$B$201&gt;B59))+COUNTIFS($C$2:C59,1,$B$2:B59,B59)-1)</f>
        <v>27</v>
      </c>
    </row>
    <row r="60" spans="1:5">
      <c r="A60" s="62" t="str">
        <f>IFERROR(INDEX(V1_Calc!$B$2:$B$1001,MATCH(0,INDEX(COUNTIF($A$1:A59,V1_Calc!$B$2:$B$1001)+(V1_Calc!$B$2:$B$1001=""),0,0),0)),"")</f>
        <v>OTHER</v>
      </c>
      <c r="B60" s="63">
        <f>IF(A60="","",SUMIF(V1_Calc!$B$2:$B$1001,A60,V1_Calc!$D$2:$D$1001))</f>
        <v>0</v>
      </c>
      <c r="C60" s="62">
        <f>IF(A60="","",--(COUNTIF(CN_Brands!$A$2:$A$300,UPPER(A60))&gt;0))</f>
        <v>0</v>
      </c>
      <c r="D60" s="64">
        <f t="shared" si="0"/>
        <v>0</v>
      </c>
      <c r="E60" s="62" t="str">
        <f>IF(OR(B60="",C60&lt;&gt;1),"",1+SUMPRODUCT(($C$2:$C$201=1)*($B$2:$B$201&gt;B60))+COUNTIFS($C$2:C60,1,$B$2:B60,B60)-1)</f>
        <v/>
      </c>
    </row>
    <row r="61" spans="1:5">
      <c r="A61" s="62" t="str">
        <f>IFERROR(INDEX(V1_Calc!$B$2:$B$1001,MATCH(0,INDEX(COUNTIF($A$1:A60,V1_Calc!$B$2:$B$1001)+(V1_Calc!$B$2:$B$1001=""),0,0),0)),"")</f>
        <v>PEUGEOT</v>
      </c>
      <c r="B61" s="63">
        <f>IF(A61="","",SUMIF(V1_Calc!$B$2:$B$1001,A61,V1_Calc!$D$2:$D$1001))</f>
        <v>11</v>
      </c>
      <c r="C61" s="62">
        <f>IF(A61="","",--(COUNTIF(CN_Brands!$A$2:$A$300,UPPER(A61))&gt;0))</f>
        <v>0</v>
      </c>
      <c r="D61" s="64">
        <f t="shared" si="0"/>
        <v>0.000237940731126974</v>
      </c>
      <c r="E61" s="62" t="str">
        <f>IF(OR(B61="",C61&lt;&gt;1),"",1+SUMPRODUCT(($C$2:$C$201=1)*($B$2:$B$201&gt;B61))+COUNTIFS($C$2:C61,1,$B$2:B61,B61)-1)</f>
        <v/>
      </c>
    </row>
    <row r="62" spans="1:5">
      <c r="A62" s="62" t="str">
        <f>IFERROR(INDEX(V1_Calc!$B$2:$B$1001,MATCH(0,INDEX(COUNTIF($A$1:A61,V1_Calc!$B$2:$B$1001)+(V1_Calc!$B$2:$B$1001=""),0,0),0)),"")</f>
        <v>POCCO</v>
      </c>
      <c r="B62" s="63">
        <f>IF(A62="","",SUMIF(V1_Calc!$B$2:$B$1001,A62,V1_Calc!$D$2:$D$1001))</f>
        <v>0</v>
      </c>
      <c r="C62" s="62">
        <f>IF(A62="","",--(COUNTIF(CN_Brands!$A$2:$A$300,UPPER(A62))&gt;0))</f>
        <v>0</v>
      </c>
      <c r="D62" s="64">
        <f t="shared" si="0"/>
        <v>0</v>
      </c>
      <c r="E62" s="62" t="str">
        <f>IF(OR(B62="",C62&lt;&gt;1),"",1+SUMPRODUCT(($C$2:$C$201=1)*($B$2:$B$201&gt;B62))+COUNTIFS($C$2:C62,1,$B$2:B62,B62)-1)</f>
        <v/>
      </c>
    </row>
    <row r="63" spans="1:5">
      <c r="A63" s="62" t="str">
        <f>IFERROR(INDEX(V1_Calc!$B$2:$B$1001,MATCH(0,INDEX(COUNTIF($A$1:A62,V1_Calc!$B$2:$B$1001)+(V1_Calc!$B$2:$B$1001=""),0,0),0)),"")</f>
        <v>PORSCHE</v>
      </c>
      <c r="B63" s="63">
        <f>IF(A63="","",SUMIF(V1_Calc!$B$2:$B$1001,A63,V1_Calc!$D$2:$D$1001))</f>
        <v>111</v>
      </c>
      <c r="C63" s="62">
        <f>IF(A63="","",--(COUNTIF(CN_Brands!$A$2:$A$300,UPPER(A63))&gt;0))</f>
        <v>0</v>
      </c>
      <c r="D63" s="64">
        <f t="shared" si="0"/>
        <v>0.00240103828682674</v>
      </c>
      <c r="E63" s="62" t="str">
        <f>IF(OR(B63="",C63&lt;&gt;1),"",1+SUMPRODUCT(($C$2:$C$201=1)*($B$2:$B$201&gt;B63))+COUNTIFS($C$2:C63,1,$B$2:B63,B63)-1)</f>
        <v/>
      </c>
    </row>
    <row r="64" spans="1:5">
      <c r="A64" s="62" t="str">
        <f>IFERROR(INDEX(V1_Calc!$B$2:$B$1001,MATCH(0,INDEX(COUNTIF($A$1:A63,V1_Calc!$B$2:$B$1001)+(V1_Calc!$B$2:$B$1001=""),0,0),0)),"")</f>
        <v>PROTON</v>
      </c>
      <c r="B64" s="63">
        <f>IF(A64="","",SUMIF(V1_Calc!$B$2:$B$1001,A64,V1_Calc!$D$2:$D$1001))</f>
        <v>0</v>
      </c>
      <c r="C64" s="62">
        <f>IF(A64="","",--(COUNTIF(CN_Brands!$A$2:$A$300,UPPER(A64))&gt;0))</f>
        <v>0</v>
      </c>
      <c r="D64" s="64">
        <f t="shared" si="0"/>
        <v>0</v>
      </c>
      <c r="E64" s="62" t="str">
        <f>IF(OR(B64="",C64&lt;&gt;1),"",1+SUMPRODUCT(($C$2:$C$201=1)*($B$2:$B$201&gt;B64))+COUNTIFS($C$2:C64,1,$B$2:B64,B64)-1)</f>
        <v/>
      </c>
    </row>
    <row r="65" spans="1:5">
      <c r="A65" s="62" t="str">
        <f>IFERROR(INDEX(V1_Calc!$B$2:$B$1001,MATCH(0,INDEX(COUNTIF($A$1:A64,V1_Calc!$B$2:$B$1001)+(V1_Calc!$B$2:$B$1001=""),0,0),0)),"")</f>
        <v>ROLLS-ROYCE</v>
      </c>
      <c r="B65" s="63">
        <f>IF(A65="","",SUMIF(V1_Calc!$B$2:$B$1001,A65,V1_Calc!$D$2:$D$1001))</f>
        <v>2</v>
      </c>
      <c r="C65" s="62">
        <f>IF(A65="","",--(COUNTIF(CN_Brands!$A$2:$A$300,UPPER(A65))&gt;0))</f>
        <v>0</v>
      </c>
      <c r="D65" s="64">
        <f t="shared" si="0"/>
        <v>4.32619511139952e-5</v>
      </c>
      <c r="E65" s="62" t="str">
        <f>IF(OR(B65="",C65&lt;&gt;1),"",1+SUMPRODUCT(($C$2:$C$201=1)*($B$2:$B$201&gt;B65))+COUNTIFS($C$2:C65,1,$B$2:B65,B65)-1)</f>
        <v/>
      </c>
    </row>
    <row r="66" spans="1:5">
      <c r="A66" s="62" t="str">
        <f>IFERROR(INDEX(V1_Calc!$B$2:$B$1001,MATCH(0,INDEX(COUNTIF($A$1:A65,V1_Calc!$B$2:$B$1001)+(V1_Calc!$B$2:$B$1001=""),0,0),0)),"")</f>
        <v>SMART</v>
      </c>
      <c r="B66" s="63">
        <f>IF(A66="","",SUMIF(V1_Calc!$B$2:$B$1001,A66,V1_Calc!$D$2:$D$1001))</f>
        <v>1</v>
      </c>
      <c r="C66" s="62">
        <f>IF(A66="","",--(COUNTIF(CN_Brands!$A$2:$A$300,UPPER(A66))&gt;0))</f>
        <v>0</v>
      </c>
      <c r="D66" s="64">
        <f t="shared" ref="D66:D129" si="1">IF(B66="","",IFERROR(B66/SUM($B$2:$B$201),0))</f>
        <v>2.16309755569976e-5</v>
      </c>
      <c r="E66" s="62" t="str">
        <f>IF(OR(B66="",C66&lt;&gt;1),"",1+SUMPRODUCT(($C$2:$C$201=1)*($B$2:$B$201&gt;B66))+COUNTIFS($C$2:C66,1,$B$2:B66,B66)-1)</f>
        <v/>
      </c>
    </row>
    <row r="67" spans="1:5">
      <c r="A67" s="62" t="str">
        <f>IFERROR(INDEX(V1_Calc!$B$2:$B$1001,MATCH(0,INDEX(COUNTIF($A$1:A66,V1_Calc!$B$2:$B$1001)+(V1_Calc!$B$2:$B$1001=""),0,0),0)),"")</f>
        <v>SUBARU</v>
      </c>
      <c r="B67" s="63">
        <f>IF(A67="","",SUMIF(V1_Calc!$B$2:$B$1001,A67,V1_Calc!$D$2:$D$1001))</f>
        <v>11</v>
      </c>
      <c r="C67" s="62">
        <f>IF(A67="","",--(COUNTIF(CN_Brands!$A$2:$A$300,UPPER(A67))&gt;0))</f>
        <v>0</v>
      </c>
      <c r="D67" s="64">
        <f t="shared" si="1"/>
        <v>0.000237940731126974</v>
      </c>
      <c r="E67" s="62" t="str">
        <f>IF(OR(B67="",C67&lt;&gt;1),"",1+SUMPRODUCT(($C$2:$C$201=1)*($B$2:$B$201&gt;B67))+COUNTIFS($C$2:C67,1,$B$2:B67,B67)-1)</f>
        <v/>
      </c>
    </row>
    <row r="68" spans="1:5">
      <c r="A68" s="62" t="str">
        <f>IFERROR(INDEX(V1_Calc!$B$2:$B$1001,MATCH(0,INDEX(COUNTIF($A$1:A67,V1_Calc!$B$2:$B$1001)+(V1_Calc!$B$2:$B$1001=""),0,0),0)),"")</f>
        <v>SUZUKI</v>
      </c>
      <c r="B68" s="63">
        <f>IF(A68="","",SUMIF(V1_Calc!$B$2:$B$1001,A68,V1_Calc!$D$2:$D$1001))</f>
        <v>238</v>
      </c>
      <c r="C68" s="62">
        <f>IF(A68="","",--(COUNTIF(CN_Brands!$A$2:$A$300,UPPER(A68))&gt;0))</f>
        <v>0</v>
      </c>
      <c r="D68" s="64">
        <f t="shared" si="1"/>
        <v>0.00514817218256543</v>
      </c>
      <c r="E68" s="62" t="str">
        <f>IF(OR(B68="",C68&lt;&gt;1),"",1+SUMPRODUCT(($C$2:$C$201=1)*($B$2:$B$201&gt;B68))+COUNTIFS($C$2:C68,1,$B$2:B68,B68)-1)</f>
        <v/>
      </c>
    </row>
    <row r="69" spans="1:5">
      <c r="A69" s="62" t="str">
        <f>IFERROR(INDEX(V1_Calc!$B$2:$B$1001,MATCH(0,INDEX(COUNTIF($A$1:A68,V1_Calc!$B$2:$B$1001)+(V1_Calc!$B$2:$B$1001=""),0,0),0)),"")</f>
        <v>TESLA</v>
      </c>
      <c r="B69" s="63">
        <f>IF(A69="","",SUMIF(V1_Calc!$B$2:$B$1001,A69,V1_Calc!$D$2:$D$1001))</f>
        <v>1022</v>
      </c>
      <c r="C69" s="62">
        <f>IF(A69="","",--(COUNTIF(CN_Brands!$A$2:$A$300,UPPER(A69))&gt;0))</f>
        <v>0</v>
      </c>
      <c r="D69" s="64">
        <f t="shared" si="1"/>
        <v>0.0221068570192516</v>
      </c>
      <c r="E69" s="62" t="str">
        <f>IF(OR(B69="",C69&lt;&gt;1),"",1+SUMPRODUCT(($C$2:$C$201=1)*($B$2:$B$201&gt;B69))+COUNTIFS($C$2:C69,1,$B$2:B69,B69)-1)</f>
        <v/>
      </c>
    </row>
    <row r="70" spans="1:5">
      <c r="A70" s="62" t="str">
        <f>IFERROR(INDEX(V1_Calc!$B$2:$B$1001,MATCH(0,INDEX(COUNTIF($A$1:A69,V1_Calc!$B$2:$B$1001)+(V1_Calc!$B$2:$B$1001=""),0,0),0)),"")</f>
        <v>THAIRUNG</v>
      </c>
      <c r="B70" s="63">
        <f>IF(A70="","",SUMIF(V1_Calc!$B$2:$B$1001,A70,V1_Calc!$D$2:$D$1001))</f>
        <v>0</v>
      </c>
      <c r="C70" s="62">
        <f>IF(A70="","",--(COUNTIF(CN_Brands!$A$2:$A$300,UPPER(A70))&gt;0))</f>
        <v>0</v>
      </c>
      <c r="D70" s="64">
        <f t="shared" si="1"/>
        <v>0</v>
      </c>
      <c r="E70" s="62" t="str">
        <f>IF(OR(B70="",C70&lt;&gt;1),"",1+SUMPRODUCT(($C$2:$C$201=1)*($B$2:$B$201&gt;B70))+COUNTIFS($C$2:C70,1,$B$2:B70,B70)-1)</f>
        <v/>
      </c>
    </row>
    <row r="71" spans="1:5">
      <c r="A71" s="62" t="str">
        <f>IFERROR(INDEX(V1_Calc!$B$2:$B$1001,MATCH(0,INDEX(COUNTIF($A$1:A70,V1_Calc!$B$2:$B$1001)+(V1_Calc!$B$2:$B$1001=""),0,0),0)),"")</f>
        <v>TOYOTA</v>
      </c>
      <c r="B71" s="63">
        <f>IF(A71="","",SUMIF(V1_Calc!$B$2:$B$1001,A71,V1_Calc!$D$2:$D$1001))</f>
        <v>13084</v>
      </c>
      <c r="C71" s="62">
        <f>IF(A71="","",--(COUNTIF(CN_Brands!$A$2:$A$300,UPPER(A71))&gt;0))</f>
        <v>0</v>
      </c>
      <c r="D71" s="64">
        <f t="shared" si="1"/>
        <v>0.283019684187757</v>
      </c>
      <c r="E71" s="62" t="str">
        <f>IF(OR(B71="",C71&lt;&gt;1),"",1+SUMPRODUCT(($C$2:$C$201=1)*($B$2:$B$201&gt;B71))+COUNTIFS($C$2:C71,1,$B$2:B71,B71)-1)</f>
        <v/>
      </c>
    </row>
    <row r="72" spans="1:5">
      <c r="A72" s="62" t="str">
        <f>IFERROR(INDEX(V1_Calc!$B$2:$B$1001,MATCH(0,INDEX(COUNTIF($A$1:A71,V1_Calc!$B$2:$B$1001)+(V1_Calc!$B$2:$B$1001=""),0,0),0)),"")</f>
        <v>VIAUTO</v>
      </c>
      <c r="B72" s="63">
        <f>IF(A72="","",SUMIF(V1_Calc!$B$2:$B$1001,A72,V1_Calc!$D$2:$D$1001))</f>
        <v>1</v>
      </c>
      <c r="C72" s="62">
        <f>IF(A72="","",--(COUNTIF(CN_Brands!$A$2:$A$300,UPPER(A72))&gt;0))</f>
        <v>0</v>
      </c>
      <c r="D72" s="64">
        <f t="shared" si="1"/>
        <v>2.16309755569976e-5</v>
      </c>
      <c r="E72" s="62" t="str">
        <f>IF(OR(B72="",C72&lt;&gt;1),"",1+SUMPRODUCT(($C$2:$C$201=1)*($B$2:$B$201&gt;B72))+COUNTIFS($C$2:C72,1,$B$2:B72,B72)-1)</f>
        <v/>
      </c>
    </row>
    <row r="73" spans="1:5">
      <c r="A73" s="62" t="str">
        <f>IFERROR(INDEX(V1_Calc!$B$2:$B$1001,MATCH(0,INDEX(COUNTIF($A$1:A72,V1_Calc!$B$2:$B$1001)+(V1_Calc!$B$2:$B$1001=""),0,0),0)),"")</f>
        <v>VOLKSWAGEN</v>
      </c>
      <c r="B73" s="63">
        <f>IF(A73="","",SUMIF(V1_Calc!$B$2:$B$1001,A73,V1_Calc!$D$2:$D$1001))</f>
        <v>5</v>
      </c>
      <c r="C73" s="62">
        <f>IF(A73="","",--(COUNTIF(CN_Brands!$A$2:$A$300,UPPER(A73))&gt;0))</f>
        <v>0</v>
      </c>
      <c r="D73" s="64">
        <f t="shared" si="1"/>
        <v>0.000108154877784988</v>
      </c>
      <c r="E73" s="62" t="str">
        <f>IF(OR(B73="",C73&lt;&gt;1),"",1+SUMPRODUCT(($C$2:$C$201=1)*($B$2:$B$201&gt;B73))+COUNTIFS($C$2:C73,1,$B$2:B73,B73)-1)</f>
        <v/>
      </c>
    </row>
    <row r="74" spans="1:5">
      <c r="A74" s="62" t="str">
        <f>IFERROR(INDEX(V1_Calc!$B$2:$B$1001,MATCH(0,INDEX(COUNTIF($A$1:A73,V1_Calc!$B$2:$B$1001)+(V1_Calc!$B$2:$B$1001=""),0,0),0)),"")</f>
        <v>VOLT</v>
      </c>
      <c r="B74" s="63">
        <f>IF(A74="","",SUMIF(V1_Calc!$B$2:$B$1001,A74,V1_Calc!$D$2:$D$1001))</f>
        <v>0</v>
      </c>
      <c r="C74" s="62">
        <f>IF(A74="","",--(COUNTIF(CN_Brands!$A$2:$A$300,UPPER(A74))&gt;0))</f>
        <v>1</v>
      </c>
      <c r="D74" s="64">
        <f t="shared" si="1"/>
        <v>0</v>
      </c>
      <c r="E74" s="62">
        <f>IF(OR(B74="",C74&lt;&gt;1),"",1+SUMPRODUCT(($C$2:$C$201=1)*($B$2:$B$201&gt;B74))+COUNTIFS($C$2:C74,1,$B$2:B74,B74)-1)</f>
        <v>28</v>
      </c>
    </row>
    <row r="75" spans="1:5">
      <c r="A75" s="62" t="str">
        <f>IFERROR(INDEX(V1_Calc!$B$2:$B$1001,MATCH(0,INDEX(COUNTIF($A$1:A74,V1_Calc!$B$2:$B$1001)+(V1_Calc!$B$2:$B$1001=""),0,0),0)),"")</f>
        <v>VOLVO</v>
      </c>
      <c r="B75" s="63">
        <f>IF(A75="","",SUMIF(V1_Calc!$B$2:$B$1001,A75,V1_Calc!$D$2:$D$1001))</f>
        <v>97</v>
      </c>
      <c r="C75" s="62">
        <f>IF(A75="","",--(COUNTIF(CN_Brands!$A$2:$A$300,UPPER(A75))&gt;0))</f>
        <v>0</v>
      </c>
      <c r="D75" s="64">
        <f t="shared" si="1"/>
        <v>0.00209820462902877</v>
      </c>
      <c r="E75" s="62" t="str">
        <f>IF(OR(B75="",C75&lt;&gt;1),"",1+SUMPRODUCT(($C$2:$C$201=1)*($B$2:$B$201&gt;B75))+COUNTIFS($C$2:C75,1,$B$2:B75,B75)-1)</f>
        <v/>
      </c>
    </row>
    <row r="76" spans="1:5">
      <c r="A76" s="62" t="str">
        <f>IFERROR(INDEX(V1_Calc!$B$2:$B$1001,MATCH(0,INDEX(COUNTIF($A$1:A75,V1_Calc!$B$2:$B$1001)+(V1_Calc!$B$2:$B$1001=""),0,0),0)),"")</f>
        <v>WEY</v>
      </c>
      <c r="B76" s="63">
        <f>IF(A76="","",SUMIF(V1_Calc!$B$2:$B$1001,A76,V1_Calc!$D$2:$D$1001))</f>
        <v>53</v>
      </c>
      <c r="C76" s="62">
        <f>IF(A76="","",--(COUNTIF(CN_Brands!$A$2:$A$300,UPPER(A76))&gt;0))</f>
        <v>1</v>
      </c>
      <c r="D76" s="64">
        <f t="shared" si="1"/>
        <v>0.00114644170452087</v>
      </c>
      <c r="E76" s="62">
        <f>IF(OR(B76="",C76&lt;&gt;1),"",1+SUMPRODUCT(($C$2:$C$201=1)*($B$2:$B$201&gt;B76))+COUNTIFS($C$2:C76,1,$B$2:B76,B76)-1)</f>
        <v>17</v>
      </c>
    </row>
    <row r="77" spans="1:5">
      <c r="A77" s="62" t="str">
        <f>IFERROR(INDEX(V1_Calc!$B$2:$B$1001,MATCH(0,INDEX(COUNTIF($A$1:A76,V1_Calc!$B$2:$B$1001)+(V1_Calc!$B$2:$B$1001=""),0,0),0)),"")</f>
        <v>WULING</v>
      </c>
      <c r="B77" s="63">
        <f>IF(A77="","",SUMIF(V1_Calc!$B$2:$B$1001,A77,V1_Calc!$D$2:$D$1001))</f>
        <v>171</v>
      </c>
      <c r="C77" s="62">
        <f>IF(A77="","",--(COUNTIF(CN_Brands!$A$2:$A$300,UPPER(A77))&gt;0))</f>
        <v>1</v>
      </c>
      <c r="D77" s="64">
        <f t="shared" si="1"/>
        <v>0.00369889682024659</v>
      </c>
      <c r="E77" s="62">
        <f>IF(OR(B77="",C77&lt;&gt;1),"",1+SUMPRODUCT(($C$2:$C$201=1)*($B$2:$B$201&gt;B77))+COUNTIFS($C$2:C77,1,$B$2:B77,B77)-1)</f>
        <v>14</v>
      </c>
    </row>
    <row r="78" spans="1:5">
      <c r="A78" s="62" t="str">
        <f>IFERROR(INDEX(V1_Calc!$B$2:$B$1001,MATCH(0,INDEX(COUNTIF($A$1:A77,V1_Calc!$B$2:$B$1001)+(V1_Calc!$B$2:$B$1001=""),0,0),0)),"")</f>
        <v>XPENG</v>
      </c>
      <c r="B78" s="63">
        <f>IF(A78="","",SUMIF(V1_Calc!$B$2:$B$1001,A78,V1_Calc!$D$2:$D$1001))</f>
        <v>658</v>
      </c>
      <c r="C78" s="62">
        <f>IF(A78="","",--(COUNTIF(CN_Brands!$A$2:$A$300,UPPER(A78))&gt;0))</f>
        <v>1</v>
      </c>
      <c r="D78" s="64">
        <f t="shared" si="1"/>
        <v>0.0142331819165044</v>
      </c>
      <c r="E78" s="62">
        <f>IF(OR(B78="",C78&lt;&gt;1),"",1+SUMPRODUCT(($C$2:$C$201=1)*($B$2:$B$201&gt;B78))+COUNTIFS($C$2:C78,1,$B$2:B78,B78)-1)</f>
        <v>10</v>
      </c>
    </row>
    <row r="79" spans="1:5">
      <c r="A79" s="62" t="str">
        <f>IFERROR(INDEX(V1_Calc!$B$2:$B$1001,MATCH(0,INDEX(COUNTIF($A$1:A78,V1_Calc!$B$2:$B$1001)+(V1_Calc!$B$2:$B$1001=""),0,0),0)),"")</f>
        <v>ZEEKR</v>
      </c>
      <c r="B79" s="63">
        <f>IF(A79="","",SUMIF(V1_Calc!$B$2:$B$1001,A79,V1_Calc!$D$2:$D$1001))</f>
        <v>722</v>
      </c>
      <c r="C79" s="62">
        <f>IF(A79="","",--(COUNTIF(CN_Brands!$A$2:$A$300,UPPER(A79))&gt;0))</f>
        <v>1</v>
      </c>
      <c r="D79" s="64">
        <f t="shared" si="1"/>
        <v>0.0156175643521523</v>
      </c>
      <c r="E79" s="62">
        <f>IF(OR(B79="",C79&lt;&gt;1),"",1+SUMPRODUCT(($C$2:$C$201=1)*($B$2:$B$201&gt;B79))+COUNTIFS($C$2:C79,1,$B$2:B79,B79)-1)</f>
        <v>9</v>
      </c>
    </row>
    <row r="80" spans="1:5">
      <c r="A80" s="62" t="str">
        <f>IFERROR(INDEX(V1_Calc!$B$2:$B$1001,MATCH(0,INDEX(COUNTIF($A$1:A79,V1_Calc!$B$2:$B$1001)+(V1_Calc!$B$2:$B$1001=""),0,0),0)),"")</f>
        <v>ZXAUTO</v>
      </c>
      <c r="B80" s="63">
        <f>IF(A80="","",SUMIF(V1_Calc!$B$2:$B$1001,A80,V1_Calc!$D$2:$D$1001))</f>
        <v>0</v>
      </c>
      <c r="C80" s="62">
        <f>IF(A80="","",--(COUNTIF(CN_Brands!$A$2:$A$300,UPPER(A80))&gt;0))</f>
        <v>0</v>
      </c>
      <c r="D80" s="64">
        <f t="shared" si="1"/>
        <v>0</v>
      </c>
      <c r="E80" s="62" t="str">
        <f>IF(OR(B80="",C80&lt;&gt;1),"",1+SUMPRODUCT(($C$2:$C$201=1)*($B$2:$B$201&gt;B80))+COUNTIFS($C$2:C80,1,$B$2:B80,B80)-1)</f>
        <v/>
      </c>
    </row>
    <row r="81" spans="1:5">
      <c r="A81" s="62" t="str">
        <f>IFERROR(INDEX(V1_Calc!$B$2:$B$1001,MATCH(0,INDEX(COUNTIF($A$1:A80,V1_Calc!$B$2:$B$1001)+(V1_Calc!$B$2:$B$1001=""),0,0),0)),"")</f>
        <v/>
      </c>
      <c r="B81" s="63" t="str">
        <f>IF(A81="","",SUMIF(V1_Calc!$B$2:$B$1001,A81,V1_Calc!$D$2:$D$1001))</f>
        <v/>
      </c>
      <c r="C81" s="62" t="str">
        <f>IF(A81="","",--(COUNTIF(CN_Brands!$A$2:$A$300,UPPER(A81))&gt;0))</f>
        <v/>
      </c>
      <c r="D81" s="64" t="str">
        <f t="shared" si="1"/>
        <v/>
      </c>
      <c r="E81" s="62" t="str">
        <f>IF(OR(B81="",C81&lt;&gt;1),"",1+SUMPRODUCT(($C$2:$C$201=1)*($B$2:$B$201&gt;B81))+COUNTIFS($C$2:C81,1,$B$2:B81,B81)-1)</f>
        <v/>
      </c>
    </row>
    <row r="82" spans="1:5">
      <c r="A82" s="62" t="str">
        <f>IFERROR(INDEX(V1_Calc!$B$2:$B$1001,MATCH(0,INDEX(COUNTIF($A$1:A81,V1_Calc!$B$2:$B$1001)+(V1_Calc!$B$2:$B$1001=""),0,0),0)),"")</f>
        <v/>
      </c>
      <c r="B82" s="63" t="str">
        <f>IF(A82="","",SUMIF(V1_Calc!$B$2:$B$1001,A82,V1_Calc!$D$2:$D$1001))</f>
        <v/>
      </c>
      <c r="C82" s="62" t="str">
        <f>IF(A82="","",--(COUNTIF(CN_Brands!$A$2:$A$300,UPPER(A82))&gt;0))</f>
        <v/>
      </c>
      <c r="D82" s="64" t="str">
        <f t="shared" si="1"/>
        <v/>
      </c>
      <c r="E82" s="62" t="str">
        <f>IF(OR(B82="",C82&lt;&gt;1),"",1+SUMPRODUCT(($C$2:$C$201=1)*($B$2:$B$201&gt;B82))+COUNTIFS($C$2:C82,1,$B$2:B82,B82)-1)</f>
        <v/>
      </c>
    </row>
    <row r="83" spans="1:5">
      <c r="A83" s="62" t="str">
        <f>IFERROR(INDEX(V1_Calc!$B$2:$B$1001,MATCH(0,INDEX(COUNTIF($A$1:A82,V1_Calc!$B$2:$B$1001)+(V1_Calc!$B$2:$B$1001=""),0,0),0)),"")</f>
        <v/>
      </c>
      <c r="B83" s="63" t="str">
        <f>IF(A83="","",SUMIF(V1_Calc!$B$2:$B$1001,A83,V1_Calc!$D$2:$D$1001))</f>
        <v/>
      </c>
      <c r="C83" s="62" t="str">
        <f>IF(A83="","",--(COUNTIF(CN_Brands!$A$2:$A$300,UPPER(A83))&gt;0))</f>
        <v/>
      </c>
      <c r="D83" s="64" t="str">
        <f t="shared" si="1"/>
        <v/>
      </c>
      <c r="E83" s="62" t="str">
        <f>IF(OR(B83="",C83&lt;&gt;1),"",1+SUMPRODUCT(($C$2:$C$201=1)*($B$2:$B$201&gt;B83))+COUNTIFS($C$2:C83,1,$B$2:B83,B83)-1)</f>
        <v/>
      </c>
    </row>
    <row r="84" spans="1:5">
      <c r="A84" s="62" t="str">
        <f>IFERROR(INDEX(V1_Calc!$B$2:$B$1001,MATCH(0,INDEX(COUNTIF($A$1:A83,V1_Calc!$B$2:$B$1001)+(V1_Calc!$B$2:$B$1001=""),0,0),0)),"")</f>
        <v/>
      </c>
      <c r="B84" s="63" t="str">
        <f>IF(A84="","",SUMIF(V1_Calc!$B$2:$B$1001,A84,V1_Calc!$D$2:$D$1001))</f>
        <v/>
      </c>
      <c r="C84" s="62" t="str">
        <f>IF(A84="","",--(COUNTIF(CN_Brands!$A$2:$A$300,UPPER(A84))&gt;0))</f>
        <v/>
      </c>
      <c r="D84" s="64" t="str">
        <f t="shared" si="1"/>
        <v/>
      </c>
      <c r="E84" s="62" t="str">
        <f>IF(OR(B84="",C84&lt;&gt;1),"",1+SUMPRODUCT(($C$2:$C$201=1)*($B$2:$B$201&gt;B84))+COUNTIFS($C$2:C84,1,$B$2:B84,B84)-1)</f>
        <v/>
      </c>
    </row>
    <row r="85" spans="1:5">
      <c r="A85" s="62" t="str">
        <f>IFERROR(INDEX(V1_Calc!$B$2:$B$1001,MATCH(0,INDEX(COUNTIF($A$1:A84,V1_Calc!$B$2:$B$1001)+(V1_Calc!$B$2:$B$1001=""),0,0),0)),"")</f>
        <v/>
      </c>
      <c r="B85" s="63" t="str">
        <f>IF(A85="","",SUMIF(V1_Calc!$B$2:$B$1001,A85,V1_Calc!$D$2:$D$1001))</f>
        <v/>
      </c>
      <c r="C85" s="62" t="str">
        <f>IF(A85="","",--(COUNTIF(CN_Brands!$A$2:$A$300,UPPER(A85))&gt;0))</f>
        <v/>
      </c>
      <c r="D85" s="64" t="str">
        <f t="shared" si="1"/>
        <v/>
      </c>
      <c r="E85" s="62" t="str">
        <f>IF(OR(B85="",C85&lt;&gt;1),"",1+SUMPRODUCT(($C$2:$C$201=1)*($B$2:$B$201&gt;B85))+COUNTIFS($C$2:C85,1,$B$2:B85,B85)-1)</f>
        <v/>
      </c>
    </row>
    <row r="86" spans="1:5">
      <c r="A86" s="62" t="str">
        <f>IFERROR(INDEX(V1_Calc!$B$2:$B$1001,MATCH(0,INDEX(COUNTIF($A$1:A85,V1_Calc!$B$2:$B$1001)+(V1_Calc!$B$2:$B$1001=""),0,0),0)),"")</f>
        <v/>
      </c>
      <c r="B86" s="63" t="str">
        <f>IF(A86="","",SUMIF(V1_Calc!$B$2:$B$1001,A86,V1_Calc!$D$2:$D$1001))</f>
        <v/>
      </c>
      <c r="C86" s="62" t="str">
        <f>IF(A86="","",--(COUNTIF(CN_Brands!$A$2:$A$300,UPPER(A86))&gt;0))</f>
        <v/>
      </c>
      <c r="D86" s="64" t="str">
        <f t="shared" si="1"/>
        <v/>
      </c>
      <c r="E86" s="62" t="str">
        <f>IF(OR(B86="",C86&lt;&gt;1),"",1+SUMPRODUCT(($C$2:$C$201=1)*($B$2:$B$201&gt;B86))+COUNTIFS($C$2:C86,1,$B$2:B86,B86)-1)</f>
        <v/>
      </c>
    </row>
    <row r="87" spans="1:5">
      <c r="A87" s="62" t="str">
        <f>IFERROR(INDEX(V1_Calc!$B$2:$B$1001,MATCH(0,INDEX(COUNTIF($A$1:A86,V1_Calc!$B$2:$B$1001)+(V1_Calc!$B$2:$B$1001=""),0,0),0)),"")</f>
        <v/>
      </c>
      <c r="B87" s="63" t="str">
        <f>IF(A87="","",SUMIF(V1_Calc!$B$2:$B$1001,A87,V1_Calc!$D$2:$D$1001))</f>
        <v/>
      </c>
      <c r="C87" s="62" t="str">
        <f>IF(A87="","",--(COUNTIF(CN_Brands!$A$2:$A$300,UPPER(A87))&gt;0))</f>
        <v/>
      </c>
      <c r="D87" s="64" t="str">
        <f t="shared" si="1"/>
        <v/>
      </c>
      <c r="E87" s="62" t="str">
        <f>IF(OR(B87="",C87&lt;&gt;1),"",1+SUMPRODUCT(($C$2:$C$201=1)*($B$2:$B$201&gt;B87))+COUNTIFS($C$2:C87,1,$B$2:B87,B87)-1)</f>
        <v/>
      </c>
    </row>
    <row r="88" spans="1:5">
      <c r="A88" s="62" t="str">
        <f>IFERROR(INDEX(V1_Calc!$B$2:$B$1001,MATCH(0,INDEX(COUNTIF($A$1:A87,V1_Calc!$B$2:$B$1001)+(V1_Calc!$B$2:$B$1001=""),0,0),0)),"")</f>
        <v/>
      </c>
      <c r="B88" s="63" t="str">
        <f>IF(A88="","",SUMIF(V1_Calc!$B$2:$B$1001,A88,V1_Calc!$D$2:$D$1001))</f>
        <v/>
      </c>
      <c r="C88" s="62" t="str">
        <f>IF(A88="","",--(COUNTIF(CN_Brands!$A$2:$A$300,UPPER(A88))&gt;0))</f>
        <v/>
      </c>
      <c r="D88" s="64" t="str">
        <f t="shared" si="1"/>
        <v/>
      </c>
      <c r="E88" s="62" t="str">
        <f>IF(OR(B88="",C88&lt;&gt;1),"",1+SUMPRODUCT(($C$2:$C$201=1)*($B$2:$B$201&gt;B88))+COUNTIFS($C$2:C88,1,$B$2:B88,B88)-1)</f>
        <v/>
      </c>
    </row>
    <row r="89" spans="1:5">
      <c r="A89" s="62" t="str">
        <f>IFERROR(INDEX(V1_Calc!$B$2:$B$1001,MATCH(0,INDEX(COUNTIF($A$1:A88,V1_Calc!$B$2:$B$1001)+(V1_Calc!$B$2:$B$1001=""),0,0),0)),"")</f>
        <v/>
      </c>
      <c r="B89" s="63" t="str">
        <f>IF(A89="","",SUMIF(V1_Calc!$B$2:$B$1001,A89,V1_Calc!$D$2:$D$1001))</f>
        <v/>
      </c>
      <c r="C89" s="62" t="str">
        <f>IF(A89="","",--(COUNTIF(CN_Brands!$A$2:$A$300,UPPER(A89))&gt;0))</f>
        <v/>
      </c>
      <c r="D89" s="64" t="str">
        <f t="shared" si="1"/>
        <v/>
      </c>
      <c r="E89" s="62" t="str">
        <f>IF(OR(B89="",C89&lt;&gt;1),"",1+SUMPRODUCT(($C$2:$C$201=1)*($B$2:$B$201&gt;B89))+COUNTIFS($C$2:C89,1,$B$2:B89,B89)-1)</f>
        <v/>
      </c>
    </row>
    <row r="90" spans="1:5">
      <c r="A90" s="62" t="str">
        <f>IFERROR(INDEX(V1_Calc!$B$2:$B$1001,MATCH(0,INDEX(COUNTIF($A$1:A89,V1_Calc!$B$2:$B$1001)+(V1_Calc!$B$2:$B$1001=""),0,0),0)),"")</f>
        <v/>
      </c>
      <c r="B90" s="63" t="str">
        <f>IF(A90="","",SUMIF(V1_Calc!$B$2:$B$1001,A90,V1_Calc!$D$2:$D$1001))</f>
        <v/>
      </c>
      <c r="C90" s="62" t="str">
        <f>IF(A90="","",--(COUNTIF(CN_Brands!$A$2:$A$300,UPPER(A90))&gt;0))</f>
        <v/>
      </c>
      <c r="D90" s="64" t="str">
        <f t="shared" si="1"/>
        <v/>
      </c>
      <c r="E90" s="62" t="str">
        <f>IF(OR(B90="",C90&lt;&gt;1),"",1+SUMPRODUCT(($C$2:$C$201=1)*($B$2:$B$201&gt;B90))+COUNTIFS($C$2:C90,1,$B$2:B90,B90)-1)</f>
        <v/>
      </c>
    </row>
    <row r="91" spans="1:5">
      <c r="A91" s="62" t="str">
        <f>IFERROR(INDEX(V1_Calc!$B$2:$B$1001,MATCH(0,INDEX(COUNTIF($A$1:A90,V1_Calc!$B$2:$B$1001)+(V1_Calc!$B$2:$B$1001=""),0,0),0)),"")</f>
        <v/>
      </c>
      <c r="B91" s="63" t="str">
        <f>IF(A91="","",SUMIF(V1_Calc!$B$2:$B$1001,A91,V1_Calc!$D$2:$D$1001))</f>
        <v/>
      </c>
      <c r="C91" s="62" t="str">
        <f>IF(A91="","",--(COUNTIF(CN_Brands!$A$2:$A$300,UPPER(A91))&gt;0))</f>
        <v/>
      </c>
      <c r="D91" s="64" t="str">
        <f t="shared" si="1"/>
        <v/>
      </c>
      <c r="E91" s="62" t="str">
        <f>IF(OR(B91="",C91&lt;&gt;1),"",1+SUMPRODUCT(($C$2:$C$201=1)*($B$2:$B$201&gt;B91))+COUNTIFS($C$2:C91,1,$B$2:B91,B91)-1)</f>
        <v/>
      </c>
    </row>
    <row r="92" spans="1:5">
      <c r="A92" s="62" t="str">
        <f>IFERROR(INDEX(V1_Calc!$B$2:$B$1001,MATCH(0,INDEX(COUNTIF($A$1:A91,V1_Calc!$B$2:$B$1001)+(V1_Calc!$B$2:$B$1001=""),0,0),0)),"")</f>
        <v/>
      </c>
      <c r="B92" s="63" t="str">
        <f>IF(A92="","",SUMIF(V1_Calc!$B$2:$B$1001,A92,V1_Calc!$D$2:$D$1001))</f>
        <v/>
      </c>
      <c r="C92" s="62" t="str">
        <f>IF(A92="","",--(COUNTIF(CN_Brands!$A$2:$A$300,UPPER(A92))&gt;0))</f>
        <v/>
      </c>
      <c r="D92" s="64" t="str">
        <f t="shared" si="1"/>
        <v/>
      </c>
      <c r="E92" s="62" t="str">
        <f>IF(OR(B92="",C92&lt;&gt;1),"",1+SUMPRODUCT(($C$2:$C$201=1)*($B$2:$B$201&gt;B92))+COUNTIFS($C$2:C92,1,$B$2:B92,B92)-1)</f>
        <v/>
      </c>
    </row>
    <row r="93" spans="1:5">
      <c r="A93" s="62" t="str">
        <f>IFERROR(INDEX(V1_Calc!$B$2:$B$1001,MATCH(0,INDEX(COUNTIF($A$1:A92,V1_Calc!$B$2:$B$1001)+(V1_Calc!$B$2:$B$1001=""),0,0),0)),"")</f>
        <v/>
      </c>
      <c r="B93" s="63" t="str">
        <f>IF(A93="","",SUMIF(V1_Calc!$B$2:$B$1001,A93,V1_Calc!$D$2:$D$1001))</f>
        <v/>
      </c>
      <c r="C93" s="62" t="str">
        <f>IF(A93="","",--(COUNTIF(CN_Brands!$A$2:$A$300,UPPER(A93))&gt;0))</f>
        <v/>
      </c>
      <c r="D93" s="64" t="str">
        <f t="shared" si="1"/>
        <v/>
      </c>
      <c r="E93" s="62" t="str">
        <f>IF(OR(B93="",C93&lt;&gt;1),"",1+SUMPRODUCT(($C$2:$C$201=1)*($B$2:$B$201&gt;B93))+COUNTIFS($C$2:C93,1,$B$2:B93,B93)-1)</f>
        <v/>
      </c>
    </row>
    <row r="94" spans="1:5">
      <c r="A94" s="62" t="str">
        <f>IFERROR(INDEX(V1_Calc!$B$2:$B$1001,MATCH(0,INDEX(COUNTIF($A$1:A93,V1_Calc!$B$2:$B$1001)+(V1_Calc!$B$2:$B$1001=""),0,0),0)),"")</f>
        <v/>
      </c>
      <c r="B94" s="63" t="str">
        <f>IF(A94="","",SUMIF(V1_Calc!$B$2:$B$1001,A94,V1_Calc!$D$2:$D$1001))</f>
        <v/>
      </c>
      <c r="C94" s="62" t="str">
        <f>IF(A94="","",--(COUNTIF(CN_Brands!$A$2:$A$300,UPPER(A94))&gt;0))</f>
        <v/>
      </c>
      <c r="D94" s="64" t="str">
        <f t="shared" si="1"/>
        <v/>
      </c>
      <c r="E94" s="62" t="str">
        <f>IF(OR(B94="",C94&lt;&gt;1),"",1+SUMPRODUCT(($C$2:$C$201=1)*($B$2:$B$201&gt;B94))+COUNTIFS($C$2:C94,1,$B$2:B94,B94)-1)</f>
        <v/>
      </c>
    </row>
    <row r="95" spans="1:5">
      <c r="A95" s="62" t="str">
        <f>IFERROR(INDEX(V1_Calc!$B$2:$B$1001,MATCH(0,INDEX(COUNTIF($A$1:A94,V1_Calc!$B$2:$B$1001)+(V1_Calc!$B$2:$B$1001=""),0,0),0)),"")</f>
        <v/>
      </c>
      <c r="B95" s="63" t="str">
        <f>IF(A95="","",SUMIF(V1_Calc!$B$2:$B$1001,A95,V1_Calc!$D$2:$D$1001))</f>
        <v/>
      </c>
      <c r="C95" s="62" t="str">
        <f>IF(A95="","",--(COUNTIF(CN_Brands!$A$2:$A$300,UPPER(A95))&gt;0))</f>
        <v/>
      </c>
      <c r="D95" s="64" t="str">
        <f t="shared" si="1"/>
        <v/>
      </c>
      <c r="E95" s="62" t="str">
        <f>IF(OR(B95="",C95&lt;&gt;1),"",1+SUMPRODUCT(($C$2:$C$201=1)*($B$2:$B$201&gt;B95))+COUNTIFS($C$2:C95,1,$B$2:B95,B95)-1)</f>
        <v/>
      </c>
    </row>
    <row r="96" spans="1:5">
      <c r="A96" s="62" t="str">
        <f>IFERROR(INDEX(V1_Calc!$B$2:$B$1001,MATCH(0,INDEX(COUNTIF($A$1:A95,V1_Calc!$B$2:$B$1001)+(V1_Calc!$B$2:$B$1001=""),0,0),0)),"")</f>
        <v/>
      </c>
      <c r="B96" s="63" t="str">
        <f>IF(A96="","",SUMIF(V1_Calc!$B$2:$B$1001,A96,V1_Calc!$D$2:$D$1001))</f>
        <v/>
      </c>
      <c r="C96" s="62" t="str">
        <f>IF(A96="","",--(COUNTIF(CN_Brands!$A$2:$A$300,UPPER(A96))&gt;0))</f>
        <v/>
      </c>
      <c r="D96" s="64" t="str">
        <f t="shared" si="1"/>
        <v/>
      </c>
      <c r="E96" s="62" t="str">
        <f>IF(OR(B96="",C96&lt;&gt;1),"",1+SUMPRODUCT(($C$2:$C$201=1)*($B$2:$B$201&gt;B96))+COUNTIFS($C$2:C96,1,$B$2:B96,B96)-1)</f>
        <v/>
      </c>
    </row>
    <row r="97" spans="1:5">
      <c r="A97" s="62" t="str">
        <f>IFERROR(INDEX(V1_Calc!$B$2:$B$1001,MATCH(0,INDEX(COUNTIF($A$1:A96,V1_Calc!$B$2:$B$1001)+(V1_Calc!$B$2:$B$1001=""),0,0),0)),"")</f>
        <v/>
      </c>
      <c r="B97" s="63" t="str">
        <f>IF(A97="","",SUMIF(V1_Calc!$B$2:$B$1001,A97,V1_Calc!$D$2:$D$1001))</f>
        <v/>
      </c>
      <c r="C97" s="62" t="str">
        <f>IF(A97="","",--(COUNTIF(CN_Brands!$A$2:$A$300,UPPER(A97))&gt;0))</f>
        <v/>
      </c>
      <c r="D97" s="64" t="str">
        <f t="shared" si="1"/>
        <v/>
      </c>
      <c r="E97" s="62" t="str">
        <f>IF(OR(B97="",C97&lt;&gt;1),"",1+SUMPRODUCT(($C$2:$C$201=1)*($B$2:$B$201&gt;B97))+COUNTIFS($C$2:C97,1,$B$2:B97,B97)-1)</f>
        <v/>
      </c>
    </row>
    <row r="98" spans="1:5">
      <c r="A98" s="62" t="str">
        <f>IFERROR(INDEX(V1_Calc!$B$2:$B$1001,MATCH(0,INDEX(COUNTIF($A$1:A97,V1_Calc!$B$2:$B$1001)+(V1_Calc!$B$2:$B$1001=""),0,0),0)),"")</f>
        <v/>
      </c>
      <c r="B98" s="63" t="str">
        <f>IF(A98="","",SUMIF(V1_Calc!$B$2:$B$1001,A98,V1_Calc!$D$2:$D$1001))</f>
        <v/>
      </c>
      <c r="C98" s="62" t="str">
        <f>IF(A98="","",--(COUNTIF(CN_Brands!$A$2:$A$300,UPPER(A98))&gt;0))</f>
        <v/>
      </c>
      <c r="D98" s="64" t="str">
        <f t="shared" si="1"/>
        <v/>
      </c>
      <c r="E98" s="62" t="str">
        <f>IF(OR(B98="",C98&lt;&gt;1),"",1+SUMPRODUCT(($C$2:$C$201=1)*($B$2:$B$201&gt;B98))+COUNTIFS($C$2:C98,1,$B$2:B98,B98)-1)</f>
        <v/>
      </c>
    </row>
    <row r="99" spans="1:5">
      <c r="A99" s="62" t="str">
        <f>IFERROR(INDEX(V1_Calc!$B$2:$B$1001,MATCH(0,INDEX(COUNTIF($A$1:A98,V1_Calc!$B$2:$B$1001)+(V1_Calc!$B$2:$B$1001=""),0,0),0)),"")</f>
        <v/>
      </c>
      <c r="B99" s="63" t="str">
        <f>IF(A99="","",SUMIF(V1_Calc!$B$2:$B$1001,A99,V1_Calc!$D$2:$D$1001))</f>
        <v/>
      </c>
      <c r="C99" s="62" t="str">
        <f>IF(A99="","",--(COUNTIF(CN_Brands!$A$2:$A$300,UPPER(A99))&gt;0))</f>
        <v/>
      </c>
      <c r="D99" s="64" t="str">
        <f t="shared" si="1"/>
        <v/>
      </c>
      <c r="E99" s="62" t="str">
        <f>IF(OR(B99="",C99&lt;&gt;1),"",1+SUMPRODUCT(($C$2:$C$201=1)*($B$2:$B$201&gt;B99))+COUNTIFS($C$2:C99,1,$B$2:B99,B99)-1)</f>
        <v/>
      </c>
    </row>
    <row r="100" spans="1:5">
      <c r="A100" s="62" t="str">
        <f>IFERROR(INDEX(V1_Calc!$B$2:$B$1001,MATCH(0,INDEX(COUNTIF($A$1:A99,V1_Calc!$B$2:$B$1001)+(V1_Calc!$B$2:$B$1001=""),0,0),0)),"")</f>
        <v/>
      </c>
      <c r="B100" s="63" t="str">
        <f>IF(A100="","",SUMIF(V1_Calc!$B$2:$B$1001,A100,V1_Calc!$D$2:$D$1001))</f>
        <v/>
      </c>
      <c r="C100" s="62" t="str">
        <f>IF(A100="","",--(COUNTIF(CN_Brands!$A$2:$A$300,UPPER(A100))&gt;0))</f>
        <v/>
      </c>
      <c r="D100" s="64" t="str">
        <f t="shared" si="1"/>
        <v/>
      </c>
      <c r="E100" s="62" t="str">
        <f>IF(OR(B100="",C100&lt;&gt;1),"",1+SUMPRODUCT(($C$2:$C$201=1)*($B$2:$B$201&gt;B100))+COUNTIFS($C$2:C100,1,$B$2:B100,B100)-1)</f>
        <v/>
      </c>
    </row>
    <row r="101" spans="1:5">
      <c r="A101" s="62" t="str">
        <f>IFERROR(INDEX(V1_Calc!$B$2:$B$1001,MATCH(0,INDEX(COUNTIF($A$1:A100,V1_Calc!$B$2:$B$1001)+(V1_Calc!$B$2:$B$1001=""),0,0),0)),"")</f>
        <v/>
      </c>
      <c r="B101" s="63" t="str">
        <f>IF(A101="","",SUMIF(V1_Calc!$B$2:$B$1001,A101,V1_Calc!$D$2:$D$1001))</f>
        <v/>
      </c>
      <c r="C101" s="62" t="str">
        <f>IF(A101="","",--(COUNTIF(CN_Brands!$A$2:$A$300,UPPER(A101))&gt;0))</f>
        <v/>
      </c>
      <c r="D101" s="64" t="str">
        <f t="shared" si="1"/>
        <v/>
      </c>
      <c r="E101" s="62" t="str">
        <f>IF(OR(B101="",C101&lt;&gt;1),"",1+SUMPRODUCT(($C$2:$C$201=1)*($B$2:$B$201&gt;B101))+COUNTIFS($C$2:C101,1,$B$2:B101,B101)-1)</f>
        <v/>
      </c>
    </row>
    <row r="102" spans="1:5">
      <c r="A102" s="62" t="str">
        <f>IFERROR(INDEX(V1_Calc!$B$2:$B$1001,MATCH(0,INDEX(COUNTIF($A$1:A101,V1_Calc!$B$2:$B$1001)+(V1_Calc!$B$2:$B$1001=""),0,0),0)),"")</f>
        <v/>
      </c>
      <c r="B102" s="63" t="str">
        <f>IF(A102="","",SUMIF(V1_Calc!$B$2:$B$1001,A102,V1_Calc!$D$2:$D$1001))</f>
        <v/>
      </c>
      <c r="C102" s="62" t="str">
        <f>IF(A102="","",--(COUNTIF(CN_Brands!$A$2:$A$300,UPPER(A102))&gt;0))</f>
        <v/>
      </c>
      <c r="D102" s="64" t="str">
        <f t="shared" si="1"/>
        <v/>
      </c>
      <c r="E102" s="62" t="str">
        <f>IF(OR(B102="",C102&lt;&gt;1),"",1+SUMPRODUCT(($C$2:$C$201=1)*($B$2:$B$201&gt;B102))+COUNTIFS($C$2:C102,1,$B$2:B102,B102)-1)</f>
        <v/>
      </c>
    </row>
    <row r="103" spans="1:5">
      <c r="A103" s="62" t="str">
        <f>IFERROR(INDEX(V1_Calc!$B$2:$B$1001,MATCH(0,INDEX(COUNTIF($A$1:A102,V1_Calc!$B$2:$B$1001)+(V1_Calc!$B$2:$B$1001=""),0,0),0)),"")</f>
        <v/>
      </c>
      <c r="B103" s="63" t="str">
        <f>IF(A103="","",SUMIF(V1_Calc!$B$2:$B$1001,A103,V1_Calc!$D$2:$D$1001))</f>
        <v/>
      </c>
      <c r="C103" s="62" t="str">
        <f>IF(A103="","",--(COUNTIF(CN_Brands!$A$2:$A$300,UPPER(A103))&gt;0))</f>
        <v/>
      </c>
      <c r="D103" s="64" t="str">
        <f t="shared" si="1"/>
        <v/>
      </c>
      <c r="E103" s="62" t="str">
        <f>IF(OR(B103="",C103&lt;&gt;1),"",1+SUMPRODUCT(($C$2:$C$201=1)*($B$2:$B$201&gt;B103))+COUNTIFS($C$2:C103,1,$B$2:B103,B103)-1)</f>
        <v/>
      </c>
    </row>
    <row r="104" spans="1:5">
      <c r="A104" s="62" t="str">
        <f>IFERROR(INDEX(V1_Calc!$B$2:$B$1001,MATCH(0,INDEX(COUNTIF($A$1:A103,V1_Calc!$B$2:$B$1001)+(V1_Calc!$B$2:$B$1001=""),0,0),0)),"")</f>
        <v/>
      </c>
      <c r="B104" s="63" t="str">
        <f>IF(A104="","",SUMIF(V1_Calc!$B$2:$B$1001,A104,V1_Calc!$D$2:$D$1001))</f>
        <v/>
      </c>
      <c r="C104" s="62" t="str">
        <f>IF(A104="","",--(COUNTIF(CN_Brands!$A$2:$A$300,UPPER(A104))&gt;0))</f>
        <v/>
      </c>
      <c r="D104" s="64" t="str">
        <f t="shared" si="1"/>
        <v/>
      </c>
      <c r="E104" s="62" t="str">
        <f>IF(OR(B104="",C104&lt;&gt;1),"",1+SUMPRODUCT(($C$2:$C$201=1)*($B$2:$B$201&gt;B104))+COUNTIFS($C$2:C104,1,$B$2:B104,B104)-1)</f>
        <v/>
      </c>
    </row>
    <row r="105" spans="1:5">
      <c r="A105" s="62" t="str">
        <f>IFERROR(INDEX(V1_Calc!$B$2:$B$1001,MATCH(0,INDEX(COUNTIF($A$1:A104,V1_Calc!$B$2:$B$1001)+(V1_Calc!$B$2:$B$1001=""),0,0),0)),"")</f>
        <v/>
      </c>
      <c r="B105" s="63" t="str">
        <f>IF(A105="","",SUMIF(V1_Calc!$B$2:$B$1001,A105,V1_Calc!$D$2:$D$1001))</f>
        <v/>
      </c>
      <c r="C105" s="62" t="str">
        <f>IF(A105="","",--(COUNTIF(CN_Brands!$A$2:$A$300,UPPER(A105))&gt;0))</f>
        <v/>
      </c>
      <c r="D105" s="64" t="str">
        <f t="shared" si="1"/>
        <v/>
      </c>
      <c r="E105" s="62" t="str">
        <f>IF(OR(B105="",C105&lt;&gt;1),"",1+SUMPRODUCT(($C$2:$C$201=1)*($B$2:$B$201&gt;B105))+COUNTIFS($C$2:C105,1,$B$2:B105,B105)-1)</f>
        <v/>
      </c>
    </row>
    <row r="106" spans="1:5">
      <c r="A106" s="62" t="str">
        <f>IFERROR(INDEX(V1_Calc!$B$2:$B$1001,MATCH(0,INDEX(COUNTIF($A$1:A105,V1_Calc!$B$2:$B$1001)+(V1_Calc!$B$2:$B$1001=""),0,0),0)),"")</f>
        <v/>
      </c>
      <c r="B106" s="63" t="str">
        <f>IF(A106="","",SUMIF(V1_Calc!$B$2:$B$1001,A106,V1_Calc!$D$2:$D$1001))</f>
        <v/>
      </c>
      <c r="C106" s="62" t="str">
        <f>IF(A106="","",--(COUNTIF(CN_Brands!$A$2:$A$300,UPPER(A106))&gt;0))</f>
        <v/>
      </c>
      <c r="D106" s="64" t="str">
        <f t="shared" si="1"/>
        <v/>
      </c>
      <c r="E106" s="62" t="str">
        <f>IF(OR(B106="",C106&lt;&gt;1),"",1+SUMPRODUCT(($C$2:$C$201=1)*($B$2:$B$201&gt;B106))+COUNTIFS($C$2:C106,1,$B$2:B106,B106)-1)</f>
        <v/>
      </c>
    </row>
    <row r="107" spans="1:5">
      <c r="A107" s="62" t="str">
        <f>IFERROR(INDEX(V1_Calc!$B$2:$B$1001,MATCH(0,INDEX(COUNTIF($A$1:A106,V1_Calc!$B$2:$B$1001)+(V1_Calc!$B$2:$B$1001=""),0,0),0)),"")</f>
        <v/>
      </c>
      <c r="B107" s="63" t="str">
        <f>IF(A107="","",SUMIF(V1_Calc!$B$2:$B$1001,A107,V1_Calc!$D$2:$D$1001))</f>
        <v/>
      </c>
      <c r="C107" s="62" t="str">
        <f>IF(A107="","",--(COUNTIF(CN_Brands!$A$2:$A$300,UPPER(A107))&gt;0))</f>
        <v/>
      </c>
      <c r="D107" s="64" t="str">
        <f t="shared" si="1"/>
        <v/>
      </c>
      <c r="E107" s="62" t="str">
        <f>IF(OR(B107="",C107&lt;&gt;1),"",1+SUMPRODUCT(($C$2:$C$201=1)*($B$2:$B$201&gt;B107))+COUNTIFS($C$2:C107,1,$B$2:B107,B107)-1)</f>
        <v/>
      </c>
    </row>
    <row r="108" spans="1:5">
      <c r="A108" s="62" t="str">
        <f>IFERROR(INDEX(V1_Calc!$B$2:$B$1001,MATCH(0,INDEX(COUNTIF($A$1:A107,V1_Calc!$B$2:$B$1001)+(V1_Calc!$B$2:$B$1001=""),0,0),0)),"")</f>
        <v/>
      </c>
      <c r="B108" s="63" t="str">
        <f>IF(A108="","",SUMIF(V1_Calc!$B$2:$B$1001,A108,V1_Calc!$D$2:$D$1001))</f>
        <v/>
      </c>
      <c r="C108" s="62" t="str">
        <f>IF(A108="","",--(COUNTIF(CN_Brands!$A$2:$A$300,UPPER(A108))&gt;0))</f>
        <v/>
      </c>
      <c r="D108" s="64" t="str">
        <f t="shared" si="1"/>
        <v/>
      </c>
      <c r="E108" s="62" t="str">
        <f>IF(OR(B108="",C108&lt;&gt;1),"",1+SUMPRODUCT(($C$2:$C$201=1)*($B$2:$B$201&gt;B108))+COUNTIFS($C$2:C108,1,$B$2:B108,B108)-1)</f>
        <v/>
      </c>
    </row>
    <row r="109" spans="1:5">
      <c r="A109" s="62" t="str">
        <f>IFERROR(INDEX(V1_Calc!$B$2:$B$1001,MATCH(0,INDEX(COUNTIF($A$1:A108,V1_Calc!$B$2:$B$1001)+(V1_Calc!$B$2:$B$1001=""),0,0),0)),"")</f>
        <v/>
      </c>
      <c r="B109" s="63" t="str">
        <f>IF(A109="","",SUMIF(V1_Calc!$B$2:$B$1001,A109,V1_Calc!$D$2:$D$1001))</f>
        <v/>
      </c>
      <c r="C109" s="62" t="str">
        <f>IF(A109="","",--(COUNTIF(CN_Brands!$A$2:$A$300,UPPER(A109))&gt;0))</f>
        <v/>
      </c>
      <c r="D109" s="64" t="str">
        <f t="shared" si="1"/>
        <v/>
      </c>
      <c r="E109" s="62" t="str">
        <f>IF(OR(B109="",C109&lt;&gt;1),"",1+SUMPRODUCT(($C$2:$C$201=1)*($B$2:$B$201&gt;B109))+COUNTIFS($C$2:C109,1,$B$2:B109,B109)-1)</f>
        <v/>
      </c>
    </row>
    <row r="110" spans="1:5">
      <c r="A110" s="62" t="str">
        <f>IFERROR(INDEX(V1_Calc!$B$2:$B$1001,MATCH(0,INDEX(COUNTIF($A$1:A109,V1_Calc!$B$2:$B$1001)+(V1_Calc!$B$2:$B$1001=""),0,0),0)),"")</f>
        <v/>
      </c>
      <c r="B110" s="63" t="str">
        <f>IF(A110="","",SUMIF(V1_Calc!$B$2:$B$1001,A110,V1_Calc!$D$2:$D$1001))</f>
        <v/>
      </c>
      <c r="C110" s="62" t="str">
        <f>IF(A110="","",--(COUNTIF(CN_Brands!$A$2:$A$300,UPPER(A110))&gt;0))</f>
        <v/>
      </c>
      <c r="D110" s="64" t="str">
        <f t="shared" si="1"/>
        <v/>
      </c>
      <c r="E110" s="62" t="str">
        <f>IF(OR(B110="",C110&lt;&gt;1),"",1+SUMPRODUCT(($C$2:$C$201=1)*($B$2:$B$201&gt;B110))+COUNTIFS($C$2:C110,1,$B$2:B110,B110)-1)</f>
        <v/>
      </c>
    </row>
    <row r="111" spans="1:5">
      <c r="A111" s="62" t="str">
        <f>IFERROR(INDEX(V1_Calc!$B$2:$B$1001,MATCH(0,INDEX(COUNTIF($A$1:A110,V1_Calc!$B$2:$B$1001)+(V1_Calc!$B$2:$B$1001=""),0,0),0)),"")</f>
        <v/>
      </c>
      <c r="B111" s="63" t="str">
        <f>IF(A111="","",SUMIF(V1_Calc!$B$2:$B$1001,A111,V1_Calc!$D$2:$D$1001))</f>
        <v/>
      </c>
      <c r="C111" s="62" t="str">
        <f>IF(A111="","",--(COUNTIF(CN_Brands!$A$2:$A$300,UPPER(A111))&gt;0))</f>
        <v/>
      </c>
      <c r="D111" s="64" t="str">
        <f t="shared" si="1"/>
        <v/>
      </c>
      <c r="E111" s="62" t="str">
        <f>IF(OR(B111="",C111&lt;&gt;1),"",1+SUMPRODUCT(($C$2:$C$201=1)*($B$2:$B$201&gt;B111))+COUNTIFS($C$2:C111,1,$B$2:B111,B111)-1)</f>
        <v/>
      </c>
    </row>
    <row r="112" spans="1:5">
      <c r="A112" s="62" t="str">
        <f>IFERROR(INDEX(V1_Calc!$B$2:$B$1001,MATCH(0,INDEX(COUNTIF($A$1:A111,V1_Calc!$B$2:$B$1001)+(V1_Calc!$B$2:$B$1001=""),0,0),0)),"")</f>
        <v/>
      </c>
      <c r="B112" s="63" t="str">
        <f>IF(A112="","",SUMIF(V1_Calc!$B$2:$B$1001,A112,V1_Calc!$D$2:$D$1001))</f>
        <v/>
      </c>
      <c r="C112" s="62" t="str">
        <f>IF(A112="","",--(COUNTIF(CN_Brands!$A$2:$A$300,UPPER(A112))&gt;0))</f>
        <v/>
      </c>
      <c r="D112" s="64" t="str">
        <f t="shared" si="1"/>
        <v/>
      </c>
      <c r="E112" s="62" t="str">
        <f>IF(OR(B112="",C112&lt;&gt;1),"",1+SUMPRODUCT(($C$2:$C$201=1)*($B$2:$B$201&gt;B112))+COUNTIFS($C$2:C112,1,$B$2:B112,B112)-1)</f>
        <v/>
      </c>
    </row>
    <row r="113" spans="1:5">
      <c r="A113" s="62" t="str">
        <f>IFERROR(INDEX(V1_Calc!$B$2:$B$1001,MATCH(0,INDEX(COUNTIF($A$1:A112,V1_Calc!$B$2:$B$1001)+(V1_Calc!$B$2:$B$1001=""),0,0),0)),"")</f>
        <v/>
      </c>
      <c r="B113" s="63" t="str">
        <f>IF(A113="","",SUMIF(V1_Calc!$B$2:$B$1001,A113,V1_Calc!$D$2:$D$1001))</f>
        <v/>
      </c>
      <c r="C113" s="62" t="str">
        <f>IF(A113="","",--(COUNTIF(CN_Brands!$A$2:$A$300,UPPER(A113))&gt;0))</f>
        <v/>
      </c>
      <c r="D113" s="64" t="str">
        <f t="shared" si="1"/>
        <v/>
      </c>
      <c r="E113" s="62" t="str">
        <f>IF(OR(B113="",C113&lt;&gt;1),"",1+SUMPRODUCT(($C$2:$C$201=1)*($B$2:$B$201&gt;B113))+COUNTIFS($C$2:C113,1,$B$2:B113,B113)-1)</f>
        <v/>
      </c>
    </row>
    <row r="114" spans="1:5">
      <c r="A114" s="62" t="str">
        <f>IFERROR(INDEX(V1_Calc!$B$2:$B$1001,MATCH(0,INDEX(COUNTIF($A$1:A113,V1_Calc!$B$2:$B$1001)+(V1_Calc!$B$2:$B$1001=""),0,0),0)),"")</f>
        <v/>
      </c>
      <c r="B114" s="63" t="str">
        <f>IF(A114="","",SUMIF(V1_Calc!$B$2:$B$1001,A114,V1_Calc!$D$2:$D$1001))</f>
        <v/>
      </c>
      <c r="C114" s="62" t="str">
        <f>IF(A114="","",--(COUNTIF(CN_Brands!$A$2:$A$300,UPPER(A114))&gt;0))</f>
        <v/>
      </c>
      <c r="D114" s="64" t="str">
        <f t="shared" si="1"/>
        <v/>
      </c>
      <c r="E114" s="62" t="str">
        <f>IF(OR(B114="",C114&lt;&gt;1),"",1+SUMPRODUCT(($C$2:$C$201=1)*($B$2:$B$201&gt;B114))+COUNTIFS($C$2:C114,1,$B$2:B114,B114)-1)</f>
        <v/>
      </c>
    </row>
    <row r="115" spans="1:5">
      <c r="A115" s="62" t="str">
        <f>IFERROR(INDEX(V1_Calc!$B$2:$B$1001,MATCH(0,INDEX(COUNTIF($A$1:A114,V1_Calc!$B$2:$B$1001)+(V1_Calc!$B$2:$B$1001=""),0,0),0)),"")</f>
        <v/>
      </c>
      <c r="B115" s="63" t="str">
        <f>IF(A115="","",SUMIF(V1_Calc!$B$2:$B$1001,A115,V1_Calc!$D$2:$D$1001))</f>
        <v/>
      </c>
      <c r="C115" s="62" t="str">
        <f>IF(A115="","",--(COUNTIF(CN_Brands!$A$2:$A$300,UPPER(A115))&gt;0))</f>
        <v/>
      </c>
      <c r="D115" s="64" t="str">
        <f t="shared" si="1"/>
        <v/>
      </c>
      <c r="E115" s="62" t="str">
        <f>IF(OR(B115="",C115&lt;&gt;1),"",1+SUMPRODUCT(($C$2:$C$201=1)*($B$2:$B$201&gt;B115))+COUNTIFS($C$2:C115,1,$B$2:B115,B115)-1)</f>
        <v/>
      </c>
    </row>
    <row r="116" spans="1:5">
      <c r="A116" s="62" t="str">
        <f>IFERROR(INDEX(V1_Calc!$B$2:$B$1001,MATCH(0,INDEX(COUNTIF($A$1:A115,V1_Calc!$B$2:$B$1001)+(V1_Calc!$B$2:$B$1001=""),0,0),0)),"")</f>
        <v/>
      </c>
      <c r="B116" s="63" t="str">
        <f>IF(A116="","",SUMIF(V1_Calc!$B$2:$B$1001,A116,V1_Calc!$D$2:$D$1001))</f>
        <v/>
      </c>
      <c r="C116" s="62" t="str">
        <f>IF(A116="","",--(COUNTIF(CN_Brands!$A$2:$A$300,UPPER(A116))&gt;0))</f>
        <v/>
      </c>
      <c r="D116" s="64" t="str">
        <f t="shared" si="1"/>
        <v/>
      </c>
      <c r="E116" s="62" t="str">
        <f>IF(OR(B116="",C116&lt;&gt;1),"",1+SUMPRODUCT(($C$2:$C$201=1)*($B$2:$B$201&gt;B116))+COUNTIFS($C$2:C116,1,$B$2:B116,B116)-1)</f>
        <v/>
      </c>
    </row>
    <row r="117" spans="1:5">
      <c r="A117" s="62" t="str">
        <f>IFERROR(INDEX(V1_Calc!$B$2:$B$1001,MATCH(0,INDEX(COUNTIF($A$1:A116,V1_Calc!$B$2:$B$1001)+(V1_Calc!$B$2:$B$1001=""),0,0),0)),"")</f>
        <v/>
      </c>
      <c r="B117" s="63" t="str">
        <f>IF(A117="","",SUMIF(V1_Calc!$B$2:$B$1001,A117,V1_Calc!$D$2:$D$1001))</f>
        <v/>
      </c>
      <c r="C117" s="62" t="str">
        <f>IF(A117="","",--(COUNTIF(CN_Brands!$A$2:$A$300,UPPER(A117))&gt;0))</f>
        <v/>
      </c>
      <c r="D117" s="64" t="str">
        <f t="shared" si="1"/>
        <v/>
      </c>
      <c r="E117" s="62" t="str">
        <f>IF(OR(B117="",C117&lt;&gt;1),"",1+SUMPRODUCT(($C$2:$C$201=1)*($B$2:$B$201&gt;B117))+COUNTIFS($C$2:C117,1,$B$2:B117,B117)-1)</f>
        <v/>
      </c>
    </row>
    <row r="118" spans="1:5">
      <c r="A118" s="62" t="str">
        <f>IFERROR(INDEX(V1_Calc!$B$2:$B$1001,MATCH(0,INDEX(COUNTIF($A$1:A117,V1_Calc!$B$2:$B$1001)+(V1_Calc!$B$2:$B$1001=""),0,0),0)),"")</f>
        <v/>
      </c>
      <c r="B118" s="63" t="str">
        <f>IF(A118="","",SUMIF(V1_Calc!$B$2:$B$1001,A118,V1_Calc!$D$2:$D$1001))</f>
        <v/>
      </c>
      <c r="C118" s="62" t="str">
        <f>IF(A118="","",--(COUNTIF(CN_Brands!$A$2:$A$300,UPPER(A118))&gt;0))</f>
        <v/>
      </c>
      <c r="D118" s="64" t="str">
        <f t="shared" si="1"/>
        <v/>
      </c>
      <c r="E118" s="62" t="str">
        <f>IF(OR(B118="",C118&lt;&gt;1),"",1+SUMPRODUCT(($C$2:$C$201=1)*($B$2:$B$201&gt;B118))+COUNTIFS($C$2:C118,1,$B$2:B118,B118)-1)</f>
        <v/>
      </c>
    </row>
    <row r="119" spans="1:5">
      <c r="A119" s="62" t="str">
        <f>IFERROR(INDEX(V1_Calc!$B$2:$B$1001,MATCH(0,INDEX(COUNTIF($A$1:A118,V1_Calc!$B$2:$B$1001)+(V1_Calc!$B$2:$B$1001=""),0,0),0)),"")</f>
        <v/>
      </c>
      <c r="B119" s="63" t="str">
        <f>IF(A119="","",SUMIF(V1_Calc!$B$2:$B$1001,A119,V1_Calc!$D$2:$D$1001))</f>
        <v/>
      </c>
      <c r="C119" s="62" t="str">
        <f>IF(A119="","",--(COUNTIF(CN_Brands!$A$2:$A$300,UPPER(A119))&gt;0))</f>
        <v/>
      </c>
      <c r="D119" s="64" t="str">
        <f t="shared" si="1"/>
        <v/>
      </c>
      <c r="E119" s="62" t="str">
        <f>IF(OR(B119="",C119&lt;&gt;1),"",1+SUMPRODUCT(($C$2:$C$201=1)*($B$2:$B$201&gt;B119))+COUNTIFS($C$2:C119,1,$B$2:B119,B119)-1)</f>
        <v/>
      </c>
    </row>
    <row r="120" spans="1:5">
      <c r="A120" s="62" t="str">
        <f>IFERROR(INDEX(V1_Calc!$B$2:$B$1001,MATCH(0,INDEX(COUNTIF($A$1:A119,V1_Calc!$B$2:$B$1001)+(V1_Calc!$B$2:$B$1001=""),0,0),0)),"")</f>
        <v/>
      </c>
      <c r="B120" s="63" t="str">
        <f>IF(A120="","",SUMIF(V1_Calc!$B$2:$B$1001,A120,V1_Calc!$D$2:$D$1001))</f>
        <v/>
      </c>
      <c r="C120" s="62" t="str">
        <f>IF(A120="","",--(COUNTIF(CN_Brands!$A$2:$A$300,UPPER(A120))&gt;0))</f>
        <v/>
      </c>
      <c r="D120" s="64" t="str">
        <f t="shared" si="1"/>
        <v/>
      </c>
      <c r="E120" s="62" t="str">
        <f>IF(OR(B120="",C120&lt;&gt;1),"",1+SUMPRODUCT(($C$2:$C$201=1)*($B$2:$B$201&gt;B120))+COUNTIFS($C$2:C120,1,$B$2:B120,B120)-1)</f>
        <v/>
      </c>
    </row>
    <row r="121" spans="1:5">
      <c r="A121" s="62" t="str">
        <f>IFERROR(INDEX(V1_Calc!$B$2:$B$1001,MATCH(0,INDEX(COUNTIF($A$1:A120,V1_Calc!$B$2:$B$1001)+(V1_Calc!$B$2:$B$1001=""),0,0),0)),"")</f>
        <v/>
      </c>
      <c r="B121" s="63" t="str">
        <f>IF(A121="","",SUMIF(V1_Calc!$B$2:$B$1001,A121,V1_Calc!$D$2:$D$1001))</f>
        <v/>
      </c>
      <c r="C121" s="62" t="str">
        <f>IF(A121="","",--(COUNTIF(CN_Brands!$A$2:$A$300,UPPER(A121))&gt;0))</f>
        <v/>
      </c>
      <c r="D121" s="64" t="str">
        <f t="shared" si="1"/>
        <v/>
      </c>
      <c r="E121" s="62" t="str">
        <f>IF(OR(B121="",C121&lt;&gt;1),"",1+SUMPRODUCT(($C$2:$C$201=1)*($B$2:$B$201&gt;B121))+COUNTIFS($C$2:C121,1,$B$2:B121,B121)-1)</f>
        <v/>
      </c>
    </row>
    <row r="122" spans="1:5">
      <c r="A122" s="62" t="str">
        <f>IFERROR(INDEX(V1_Calc!$B$2:$B$1001,MATCH(0,INDEX(COUNTIF($A$1:A121,V1_Calc!$B$2:$B$1001)+(V1_Calc!$B$2:$B$1001=""),0,0),0)),"")</f>
        <v/>
      </c>
      <c r="B122" s="63" t="str">
        <f>IF(A122="","",SUMIF(V1_Calc!$B$2:$B$1001,A122,V1_Calc!$D$2:$D$1001))</f>
        <v/>
      </c>
      <c r="C122" s="62" t="str">
        <f>IF(A122="","",--(COUNTIF(CN_Brands!$A$2:$A$300,UPPER(A122))&gt;0))</f>
        <v/>
      </c>
      <c r="D122" s="64" t="str">
        <f t="shared" si="1"/>
        <v/>
      </c>
      <c r="E122" s="62" t="str">
        <f>IF(OR(B122="",C122&lt;&gt;1),"",1+SUMPRODUCT(($C$2:$C$201=1)*($B$2:$B$201&gt;B122))+COUNTIFS($C$2:C122,1,$B$2:B122,B122)-1)</f>
        <v/>
      </c>
    </row>
    <row r="123" spans="1:5">
      <c r="A123" s="62" t="str">
        <f>IFERROR(INDEX(V1_Calc!$B$2:$B$1001,MATCH(0,INDEX(COUNTIF($A$1:A122,V1_Calc!$B$2:$B$1001)+(V1_Calc!$B$2:$B$1001=""),0,0),0)),"")</f>
        <v/>
      </c>
      <c r="B123" s="63" t="str">
        <f>IF(A123="","",SUMIF(V1_Calc!$B$2:$B$1001,A123,V1_Calc!$D$2:$D$1001))</f>
        <v/>
      </c>
      <c r="C123" s="62" t="str">
        <f>IF(A123="","",--(COUNTIF(CN_Brands!$A$2:$A$300,UPPER(A123))&gt;0))</f>
        <v/>
      </c>
      <c r="D123" s="64" t="str">
        <f t="shared" si="1"/>
        <v/>
      </c>
      <c r="E123" s="62" t="str">
        <f>IF(OR(B123="",C123&lt;&gt;1),"",1+SUMPRODUCT(($C$2:$C$201=1)*($B$2:$B$201&gt;B123))+COUNTIFS($C$2:C123,1,$B$2:B123,B123)-1)</f>
        <v/>
      </c>
    </row>
    <row r="124" spans="1:5">
      <c r="A124" s="62" t="str">
        <f>IFERROR(INDEX(V1_Calc!$B$2:$B$1001,MATCH(0,INDEX(COUNTIF($A$1:A123,V1_Calc!$B$2:$B$1001)+(V1_Calc!$B$2:$B$1001=""),0,0),0)),"")</f>
        <v/>
      </c>
      <c r="B124" s="63" t="str">
        <f>IF(A124="","",SUMIF(V1_Calc!$B$2:$B$1001,A124,V1_Calc!$D$2:$D$1001))</f>
        <v/>
      </c>
      <c r="C124" s="62" t="str">
        <f>IF(A124="","",--(COUNTIF(CN_Brands!$A$2:$A$300,UPPER(A124))&gt;0))</f>
        <v/>
      </c>
      <c r="D124" s="64" t="str">
        <f t="shared" si="1"/>
        <v/>
      </c>
      <c r="E124" s="62" t="str">
        <f>IF(OR(B124="",C124&lt;&gt;1),"",1+SUMPRODUCT(($C$2:$C$201=1)*($B$2:$B$201&gt;B124))+COUNTIFS($C$2:C124,1,$B$2:B124,B124)-1)</f>
        <v/>
      </c>
    </row>
    <row r="125" spans="1:5">
      <c r="A125" s="62" t="str">
        <f>IFERROR(INDEX(V1_Calc!$B$2:$B$1001,MATCH(0,INDEX(COUNTIF($A$1:A124,V1_Calc!$B$2:$B$1001)+(V1_Calc!$B$2:$B$1001=""),0,0),0)),"")</f>
        <v/>
      </c>
      <c r="B125" s="63" t="str">
        <f>IF(A125="","",SUMIF(V1_Calc!$B$2:$B$1001,A125,V1_Calc!$D$2:$D$1001))</f>
        <v/>
      </c>
      <c r="C125" s="62" t="str">
        <f>IF(A125="","",--(COUNTIF(CN_Brands!$A$2:$A$300,UPPER(A125))&gt;0))</f>
        <v/>
      </c>
      <c r="D125" s="64" t="str">
        <f t="shared" si="1"/>
        <v/>
      </c>
      <c r="E125" s="62" t="str">
        <f>IF(OR(B125="",C125&lt;&gt;1),"",1+SUMPRODUCT(($C$2:$C$201=1)*($B$2:$B$201&gt;B125))+COUNTIFS($C$2:C125,1,$B$2:B125,B125)-1)</f>
        <v/>
      </c>
    </row>
    <row r="126" spans="1:5">
      <c r="A126" s="62" t="str">
        <f>IFERROR(INDEX(V1_Calc!$B$2:$B$1001,MATCH(0,INDEX(COUNTIF($A$1:A125,V1_Calc!$B$2:$B$1001)+(V1_Calc!$B$2:$B$1001=""),0,0),0)),"")</f>
        <v/>
      </c>
      <c r="B126" s="63" t="str">
        <f>IF(A126="","",SUMIF(V1_Calc!$B$2:$B$1001,A126,V1_Calc!$D$2:$D$1001))</f>
        <v/>
      </c>
      <c r="C126" s="62" t="str">
        <f>IF(A126="","",--(COUNTIF(CN_Brands!$A$2:$A$300,UPPER(A126))&gt;0))</f>
        <v/>
      </c>
      <c r="D126" s="64" t="str">
        <f t="shared" si="1"/>
        <v/>
      </c>
      <c r="E126" s="62" t="str">
        <f>IF(OR(B126="",C126&lt;&gt;1),"",1+SUMPRODUCT(($C$2:$C$201=1)*($B$2:$B$201&gt;B126))+COUNTIFS($C$2:C126,1,$B$2:B126,B126)-1)</f>
        <v/>
      </c>
    </row>
    <row r="127" spans="1:5">
      <c r="A127" s="62" t="str">
        <f>IFERROR(INDEX(V1_Calc!$B$2:$B$1001,MATCH(0,INDEX(COUNTIF($A$1:A126,V1_Calc!$B$2:$B$1001)+(V1_Calc!$B$2:$B$1001=""),0,0),0)),"")</f>
        <v/>
      </c>
      <c r="B127" s="63" t="str">
        <f>IF(A127="","",SUMIF(V1_Calc!$B$2:$B$1001,A127,V1_Calc!$D$2:$D$1001))</f>
        <v/>
      </c>
      <c r="C127" s="62" t="str">
        <f>IF(A127="","",--(COUNTIF(CN_Brands!$A$2:$A$300,UPPER(A127))&gt;0))</f>
        <v/>
      </c>
      <c r="D127" s="64" t="str">
        <f t="shared" si="1"/>
        <v/>
      </c>
      <c r="E127" s="62" t="str">
        <f>IF(OR(B127="",C127&lt;&gt;1),"",1+SUMPRODUCT(($C$2:$C$201=1)*($B$2:$B$201&gt;B127))+COUNTIFS($C$2:C127,1,$B$2:B127,B127)-1)</f>
        <v/>
      </c>
    </row>
    <row r="128" spans="1:5">
      <c r="A128" s="62" t="str">
        <f>IFERROR(INDEX(V1_Calc!$B$2:$B$1001,MATCH(0,INDEX(COUNTIF($A$1:A127,V1_Calc!$B$2:$B$1001)+(V1_Calc!$B$2:$B$1001=""),0,0),0)),"")</f>
        <v/>
      </c>
      <c r="B128" s="63" t="str">
        <f>IF(A128="","",SUMIF(V1_Calc!$B$2:$B$1001,A128,V1_Calc!$D$2:$D$1001))</f>
        <v/>
      </c>
      <c r="C128" s="62" t="str">
        <f>IF(A128="","",--(COUNTIF(CN_Brands!$A$2:$A$300,UPPER(A128))&gt;0))</f>
        <v/>
      </c>
      <c r="D128" s="64" t="str">
        <f t="shared" si="1"/>
        <v/>
      </c>
      <c r="E128" s="62" t="str">
        <f>IF(OR(B128="",C128&lt;&gt;1),"",1+SUMPRODUCT(($C$2:$C$201=1)*($B$2:$B$201&gt;B128))+COUNTIFS($C$2:C128,1,$B$2:B128,B128)-1)</f>
        <v/>
      </c>
    </row>
    <row r="129" spans="1:5">
      <c r="A129" s="62" t="str">
        <f>IFERROR(INDEX(V1_Calc!$B$2:$B$1001,MATCH(0,INDEX(COUNTIF($A$1:A128,V1_Calc!$B$2:$B$1001)+(V1_Calc!$B$2:$B$1001=""),0,0),0)),"")</f>
        <v/>
      </c>
      <c r="B129" s="63" t="str">
        <f>IF(A129="","",SUMIF(V1_Calc!$B$2:$B$1001,A129,V1_Calc!$D$2:$D$1001))</f>
        <v/>
      </c>
      <c r="C129" s="62" t="str">
        <f>IF(A129="","",--(COUNTIF(CN_Brands!$A$2:$A$300,UPPER(A129))&gt;0))</f>
        <v/>
      </c>
      <c r="D129" s="64" t="str">
        <f t="shared" si="1"/>
        <v/>
      </c>
      <c r="E129" s="62" t="str">
        <f>IF(OR(B129="",C129&lt;&gt;1),"",1+SUMPRODUCT(($C$2:$C$201=1)*($B$2:$B$201&gt;B129))+COUNTIFS($C$2:C129,1,$B$2:B129,B129)-1)</f>
        <v/>
      </c>
    </row>
    <row r="130" spans="1:5">
      <c r="A130" s="62" t="str">
        <f>IFERROR(INDEX(V1_Calc!$B$2:$B$1001,MATCH(0,INDEX(COUNTIF($A$1:A129,V1_Calc!$B$2:$B$1001)+(V1_Calc!$B$2:$B$1001=""),0,0),0)),"")</f>
        <v/>
      </c>
      <c r="B130" s="63" t="str">
        <f>IF(A130="","",SUMIF(V1_Calc!$B$2:$B$1001,A130,V1_Calc!$D$2:$D$1001))</f>
        <v/>
      </c>
      <c r="C130" s="62" t="str">
        <f>IF(A130="","",--(COUNTIF(CN_Brands!$A$2:$A$300,UPPER(A130))&gt;0))</f>
        <v/>
      </c>
      <c r="D130" s="64" t="str">
        <f t="shared" ref="D130:D193" si="2">IF(B130="","",IFERROR(B130/SUM($B$2:$B$201),0))</f>
        <v/>
      </c>
      <c r="E130" s="62" t="str">
        <f>IF(OR(B130="",C130&lt;&gt;1),"",1+SUMPRODUCT(($C$2:$C$201=1)*($B$2:$B$201&gt;B130))+COUNTIFS($C$2:C130,1,$B$2:B130,B130)-1)</f>
        <v/>
      </c>
    </row>
    <row r="131" spans="1:5">
      <c r="A131" s="62" t="str">
        <f>IFERROR(INDEX(V1_Calc!$B$2:$B$1001,MATCH(0,INDEX(COUNTIF($A$1:A130,V1_Calc!$B$2:$B$1001)+(V1_Calc!$B$2:$B$1001=""),0,0),0)),"")</f>
        <v/>
      </c>
      <c r="B131" s="63" t="str">
        <f>IF(A131="","",SUMIF(V1_Calc!$B$2:$B$1001,A131,V1_Calc!$D$2:$D$1001))</f>
        <v/>
      </c>
      <c r="C131" s="62" t="str">
        <f>IF(A131="","",--(COUNTIF(CN_Brands!$A$2:$A$300,UPPER(A131))&gt;0))</f>
        <v/>
      </c>
      <c r="D131" s="64" t="str">
        <f t="shared" si="2"/>
        <v/>
      </c>
      <c r="E131" s="62" t="str">
        <f>IF(OR(B131="",C131&lt;&gt;1),"",1+SUMPRODUCT(($C$2:$C$201=1)*($B$2:$B$201&gt;B131))+COUNTIFS($C$2:C131,1,$B$2:B131,B131)-1)</f>
        <v/>
      </c>
    </row>
    <row r="132" spans="1:5">
      <c r="A132" s="62" t="str">
        <f>IFERROR(INDEX(V1_Calc!$B$2:$B$1001,MATCH(0,INDEX(COUNTIF($A$1:A131,V1_Calc!$B$2:$B$1001)+(V1_Calc!$B$2:$B$1001=""),0,0),0)),"")</f>
        <v/>
      </c>
      <c r="B132" s="63" t="str">
        <f>IF(A132="","",SUMIF(V1_Calc!$B$2:$B$1001,A132,V1_Calc!$D$2:$D$1001))</f>
        <v/>
      </c>
      <c r="C132" s="62" t="str">
        <f>IF(A132="","",--(COUNTIF(CN_Brands!$A$2:$A$300,UPPER(A132))&gt;0))</f>
        <v/>
      </c>
      <c r="D132" s="64" t="str">
        <f t="shared" si="2"/>
        <v/>
      </c>
      <c r="E132" s="62" t="str">
        <f>IF(OR(B132="",C132&lt;&gt;1),"",1+SUMPRODUCT(($C$2:$C$201=1)*($B$2:$B$201&gt;B132))+COUNTIFS($C$2:C132,1,$B$2:B132,B132)-1)</f>
        <v/>
      </c>
    </row>
    <row r="133" spans="1:5">
      <c r="A133" s="62" t="str">
        <f>IFERROR(INDEX(V1_Calc!$B$2:$B$1001,MATCH(0,INDEX(COUNTIF($A$1:A132,V1_Calc!$B$2:$B$1001)+(V1_Calc!$B$2:$B$1001=""),0,0),0)),"")</f>
        <v/>
      </c>
      <c r="B133" s="63" t="str">
        <f>IF(A133="","",SUMIF(V1_Calc!$B$2:$B$1001,A133,V1_Calc!$D$2:$D$1001))</f>
        <v/>
      </c>
      <c r="C133" s="62" t="str">
        <f>IF(A133="","",--(COUNTIF(CN_Brands!$A$2:$A$300,UPPER(A133))&gt;0))</f>
        <v/>
      </c>
      <c r="D133" s="64" t="str">
        <f t="shared" si="2"/>
        <v/>
      </c>
      <c r="E133" s="62" t="str">
        <f>IF(OR(B133="",C133&lt;&gt;1),"",1+SUMPRODUCT(($C$2:$C$201=1)*($B$2:$B$201&gt;B133))+COUNTIFS($C$2:C133,1,$B$2:B133,B133)-1)</f>
        <v/>
      </c>
    </row>
    <row r="134" spans="1:5">
      <c r="A134" s="62" t="str">
        <f>IFERROR(INDEX(V1_Calc!$B$2:$B$1001,MATCH(0,INDEX(COUNTIF($A$1:A133,V1_Calc!$B$2:$B$1001)+(V1_Calc!$B$2:$B$1001=""),0,0),0)),"")</f>
        <v/>
      </c>
      <c r="B134" s="63" t="str">
        <f>IF(A134="","",SUMIF(V1_Calc!$B$2:$B$1001,A134,V1_Calc!$D$2:$D$1001))</f>
        <v/>
      </c>
      <c r="C134" s="62" t="str">
        <f>IF(A134="","",--(COUNTIF(CN_Brands!$A$2:$A$300,UPPER(A134))&gt;0))</f>
        <v/>
      </c>
      <c r="D134" s="64" t="str">
        <f t="shared" si="2"/>
        <v/>
      </c>
      <c r="E134" s="62" t="str">
        <f>IF(OR(B134="",C134&lt;&gt;1),"",1+SUMPRODUCT(($C$2:$C$201=1)*($B$2:$B$201&gt;B134))+COUNTIFS($C$2:C134,1,$B$2:B134,B134)-1)</f>
        <v/>
      </c>
    </row>
    <row r="135" spans="1:5">
      <c r="A135" s="62" t="str">
        <f>IFERROR(INDEX(V1_Calc!$B$2:$B$1001,MATCH(0,INDEX(COUNTIF($A$1:A134,V1_Calc!$B$2:$B$1001)+(V1_Calc!$B$2:$B$1001=""),0,0),0)),"")</f>
        <v/>
      </c>
      <c r="B135" s="63" t="str">
        <f>IF(A135="","",SUMIF(V1_Calc!$B$2:$B$1001,A135,V1_Calc!$D$2:$D$1001))</f>
        <v/>
      </c>
      <c r="C135" s="62" t="str">
        <f>IF(A135="","",--(COUNTIF(CN_Brands!$A$2:$A$300,UPPER(A135))&gt;0))</f>
        <v/>
      </c>
      <c r="D135" s="64" t="str">
        <f t="shared" si="2"/>
        <v/>
      </c>
      <c r="E135" s="62" t="str">
        <f>IF(OR(B135="",C135&lt;&gt;1),"",1+SUMPRODUCT(($C$2:$C$201=1)*($B$2:$B$201&gt;B135))+COUNTIFS($C$2:C135,1,$B$2:B135,B135)-1)</f>
        <v/>
      </c>
    </row>
    <row r="136" spans="1:5">
      <c r="A136" s="62" t="str">
        <f>IFERROR(INDEX(V1_Calc!$B$2:$B$1001,MATCH(0,INDEX(COUNTIF($A$1:A135,V1_Calc!$B$2:$B$1001)+(V1_Calc!$B$2:$B$1001=""),0,0),0)),"")</f>
        <v/>
      </c>
      <c r="B136" s="63" t="str">
        <f>IF(A136="","",SUMIF(V1_Calc!$B$2:$B$1001,A136,V1_Calc!$D$2:$D$1001))</f>
        <v/>
      </c>
      <c r="C136" s="62" t="str">
        <f>IF(A136="","",--(COUNTIF(CN_Brands!$A$2:$A$300,UPPER(A136))&gt;0))</f>
        <v/>
      </c>
      <c r="D136" s="64" t="str">
        <f t="shared" si="2"/>
        <v/>
      </c>
      <c r="E136" s="62" t="str">
        <f>IF(OR(B136="",C136&lt;&gt;1),"",1+SUMPRODUCT(($C$2:$C$201=1)*($B$2:$B$201&gt;B136))+COUNTIFS($C$2:C136,1,$B$2:B136,B136)-1)</f>
        <v/>
      </c>
    </row>
    <row r="137" spans="1:5">
      <c r="A137" s="62" t="str">
        <f>IFERROR(INDEX(V1_Calc!$B$2:$B$1001,MATCH(0,INDEX(COUNTIF($A$1:A136,V1_Calc!$B$2:$B$1001)+(V1_Calc!$B$2:$B$1001=""),0,0),0)),"")</f>
        <v/>
      </c>
      <c r="B137" s="63" t="str">
        <f>IF(A137="","",SUMIF(V1_Calc!$B$2:$B$1001,A137,V1_Calc!$D$2:$D$1001))</f>
        <v/>
      </c>
      <c r="C137" s="62" t="str">
        <f>IF(A137="","",--(COUNTIF(CN_Brands!$A$2:$A$300,UPPER(A137))&gt;0))</f>
        <v/>
      </c>
      <c r="D137" s="64" t="str">
        <f t="shared" si="2"/>
        <v/>
      </c>
      <c r="E137" s="62" t="str">
        <f>IF(OR(B137="",C137&lt;&gt;1),"",1+SUMPRODUCT(($C$2:$C$201=1)*($B$2:$B$201&gt;B137))+COUNTIFS($C$2:C137,1,$B$2:B137,B137)-1)</f>
        <v/>
      </c>
    </row>
    <row r="138" spans="1:5">
      <c r="A138" s="62" t="str">
        <f>IFERROR(INDEX(V1_Calc!$B$2:$B$1001,MATCH(0,INDEX(COUNTIF($A$1:A137,V1_Calc!$B$2:$B$1001)+(V1_Calc!$B$2:$B$1001=""),0,0),0)),"")</f>
        <v/>
      </c>
      <c r="B138" s="63" t="str">
        <f>IF(A138="","",SUMIF(V1_Calc!$B$2:$B$1001,A138,V1_Calc!$D$2:$D$1001))</f>
        <v/>
      </c>
      <c r="C138" s="62" t="str">
        <f>IF(A138="","",--(COUNTIF(CN_Brands!$A$2:$A$300,UPPER(A138))&gt;0))</f>
        <v/>
      </c>
      <c r="D138" s="64" t="str">
        <f t="shared" si="2"/>
        <v/>
      </c>
      <c r="E138" s="62" t="str">
        <f>IF(OR(B138="",C138&lt;&gt;1),"",1+SUMPRODUCT(($C$2:$C$201=1)*($B$2:$B$201&gt;B138))+COUNTIFS($C$2:C138,1,$B$2:B138,B138)-1)</f>
        <v/>
      </c>
    </row>
    <row r="139" spans="1:5">
      <c r="A139" s="62" t="str">
        <f>IFERROR(INDEX(V1_Calc!$B$2:$B$1001,MATCH(0,INDEX(COUNTIF($A$1:A138,V1_Calc!$B$2:$B$1001)+(V1_Calc!$B$2:$B$1001=""),0,0),0)),"")</f>
        <v/>
      </c>
      <c r="B139" s="63" t="str">
        <f>IF(A139="","",SUMIF(V1_Calc!$B$2:$B$1001,A139,V1_Calc!$D$2:$D$1001))</f>
        <v/>
      </c>
      <c r="C139" s="62" t="str">
        <f>IF(A139="","",--(COUNTIF(CN_Brands!$A$2:$A$300,UPPER(A139))&gt;0))</f>
        <v/>
      </c>
      <c r="D139" s="64" t="str">
        <f t="shared" si="2"/>
        <v/>
      </c>
      <c r="E139" s="62" t="str">
        <f>IF(OR(B139="",C139&lt;&gt;1),"",1+SUMPRODUCT(($C$2:$C$201=1)*($B$2:$B$201&gt;B139))+COUNTIFS($C$2:C139,1,$B$2:B139,B139)-1)</f>
        <v/>
      </c>
    </row>
    <row r="140" spans="1:5">
      <c r="A140" s="62" t="str">
        <f>IFERROR(INDEX(V1_Calc!$B$2:$B$1001,MATCH(0,INDEX(COUNTIF($A$1:A139,V1_Calc!$B$2:$B$1001)+(V1_Calc!$B$2:$B$1001=""),0,0),0)),"")</f>
        <v/>
      </c>
      <c r="B140" s="63" t="str">
        <f>IF(A140="","",SUMIF(V1_Calc!$B$2:$B$1001,A140,V1_Calc!$D$2:$D$1001))</f>
        <v/>
      </c>
      <c r="C140" s="62" t="str">
        <f>IF(A140="","",--(COUNTIF(CN_Brands!$A$2:$A$300,UPPER(A140))&gt;0))</f>
        <v/>
      </c>
      <c r="D140" s="64" t="str">
        <f t="shared" si="2"/>
        <v/>
      </c>
      <c r="E140" s="62" t="str">
        <f>IF(OR(B140="",C140&lt;&gt;1),"",1+SUMPRODUCT(($C$2:$C$201=1)*($B$2:$B$201&gt;B140))+COUNTIFS($C$2:C140,1,$B$2:B140,B140)-1)</f>
        <v/>
      </c>
    </row>
    <row r="141" spans="1:5">
      <c r="A141" s="62" t="str">
        <f>IFERROR(INDEX(V1_Calc!$B$2:$B$1001,MATCH(0,INDEX(COUNTIF($A$1:A140,V1_Calc!$B$2:$B$1001)+(V1_Calc!$B$2:$B$1001=""),0,0),0)),"")</f>
        <v/>
      </c>
      <c r="B141" s="63" t="str">
        <f>IF(A141="","",SUMIF(V1_Calc!$B$2:$B$1001,A141,V1_Calc!$D$2:$D$1001))</f>
        <v/>
      </c>
      <c r="C141" s="62" t="str">
        <f>IF(A141="","",--(COUNTIF(CN_Brands!$A$2:$A$300,UPPER(A141))&gt;0))</f>
        <v/>
      </c>
      <c r="D141" s="64" t="str">
        <f t="shared" si="2"/>
        <v/>
      </c>
      <c r="E141" s="62" t="str">
        <f>IF(OR(B141="",C141&lt;&gt;1),"",1+SUMPRODUCT(($C$2:$C$201=1)*($B$2:$B$201&gt;B141))+COUNTIFS($C$2:C141,1,$B$2:B141,B141)-1)</f>
        <v/>
      </c>
    </row>
    <row r="142" spans="1:5">
      <c r="A142" s="62" t="str">
        <f>IFERROR(INDEX(V1_Calc!$B$2:$B$1001,MATCH(0,INDEX(COUNTIF($A$1:A141,V1_Calc!$B$2:$B$1001)+(V1_Calc!$B$2:$B$1001=""),0,0),0)),"")</f>
        <v/>
      </c>
      <c r="B142" s="63" t="str">
        <f>IF(A142="","",SUMIF(V1_Calc!$B$2:$B$1001,A142,V1_Calc!$D$2:$D$1001))</f>
        <v/>
      </c>
      <c r="C142" s="62" t="str">
        <f>IF(A142="","",--(COUNTIF(CN_Brands!$A$2:$A$300,UPPER(A142))&gt;0))</f>
        <v/>
      </c>
      <c r="D142" s="64" t="str">
        <f t="shared" si="2"/>
        <v/>
      </c>
      <c r="E142" s="62" t="str">
        <f>IF(OR(B142="",C142&lt;&gt;1),"",1+SUMPRODUCT(($C$2:$C$201=1)*($B$2:$B$201&gt;B142))+COUNTIFS($C$2:C142,1,$B$2:B142,B142)-1)</f>
        <v/>
      </c>
    </row>
    <row r="143" spans="1:5">
      <c r="A143" s="62" t="str">
        <f>IFERROR(INDEX(V1_Calc!$B$2:$B$1001,MATCH(0,INDEX(COUNTIF($A$1:A142,V1_Calc!$B$2:$B$1001)+(V1_Calc!$B$2:$B$1001=""),0,0),0)),"")</f>
        <v/>
      </c>
      <c r="B143" s="63" t="str">
        <f>IF(A143="","",SUMIF(V1_Calc!$B$2:$B$1001,A143,V1_Calc!$D$2:$D$1001))</f>
        <v/>
      </c>
      <c r="C143" s="62" t="str">
        <f>IF(A143="","",--(COUNTIF(CN_Brands!$A$2:$A$300,UPPER(A143))&gt;0))</f>
        <v/>
      </c>
      <c r="D143" s="64" t="str">
        <f t="shared" si="2"/>
        <v/>
      </c>
      <c r="E143" s="62" t="str">
        <f>IF(OR(B143="",C143&lt;&gt;1),"",1+SUMPRODUCT(($C$2:$C$201=1)*($B$2:$B$201&gt;B143))+COUNTIFS($C$2:C143,1,$B$2:B143,B143)-1)</f>
        <v/>
      </c>
    </row>
    <row r="144" spans="1:5">
      <c r="A144" s="62" t="str">
        <f>IFERROR(INDEX(V1_Calc!$B$2:$B$1001,MATCH(0,INDEX(COUNTIF($A$1:A143,V1_Calc!$B$2:$B$1001)+(V1_Calc!$B$2:$B$1001=""),0,0),0)),"")</f>
        <v/>
      </c>
      <c r="B144" s="63" t="str">
        <f>IF(A144="","",SUMIF(V1_Calc!$B$2:$B$1001,A144,V1_Calc!$D$2:$D$1001))</f>
        <v/>
      </c>
      <c r="C144" s="62" t="str">
        <f>IF(A144="","",--(COUNTIF(CN_Brands!$A$2:$A$300,UPPER(A144))&gt;0))</f>
        <v/>
      </c>
      <c r="D144" s="64" t="str">
        <f t="shared" si="2"/>
        <v/>
      </c>
      <c r="E144" s="62" t="str">
        <f>IF(OR(B144="",C144&lt;&gt;1),"",1+SUMPRODUCT(($C$2:$C$201=1)*($B$2:$B$201&gt;B144))+COUNTIFS($C$2:C144,1,$B$2:B144,B144)-1)</f>
        <v/>
      </c>
    </row>
    <row r="145" spans="1:5">
      <c r="A145" s="62" t="str">
        <f>IFERROR(INDEX(V1_Calc!$B$2:$B$1001,MATCH(0,INDEX(COUNTIF($A$1:A144,V1_Calc!$B$2:$B$1001)+(V1_Calc!$B$2:$B$1001=""),0,0),0)),"")</f>
        <v/>
      </c>
      <c r="B145" s="63" t="str">
        <f>IF(A145="","",SUMIF(V1_Calc!$B$2:$B$1001,A145,V1_Calc!$D$2:$D$1001))</f>
        <v/>
      </c>
      <c r="C145" s="62" t="str">
        <f>IF(A145="","",--(COUNTIF(CN_Brands!$A$2:$A$300,UPPER(A145))&gt;0))</f>
        <v/>
      </c>
      <c r="D145" s="64" t="str">
        <f t="shared" si="2"/>
        <v/>
      </c>
      <c r="E145" s="62" t="str">
        <f>IF(OR(B145="",C145&lt;&gt;1),"",1+SUMPRODUCT(($C$2:$C$201=1)*($B$2:$B$201&gt;B145))+COUNTIFS($C$2:C145,1,$B$2:B145,B145)-1)</f>
        <v/>
      </c>
    </row>
    <row r="146" spans="1:5">
      <c r="A146" s="62" t="str">
        <f>IFERROR(INDEX(V1_Calc!$B$2:$B$1001,MATCH(0,INDEX(COUNTIF($A$1:A145,V1_Calc!$B$2:$B$1001)+(V1_Calc!$B$2:$B$1001=""),0,0),0)),"")</f>
        <v/>
      </c>
      <c r="B146" s="63" t="str">
        <f>IF(A146="","",SUMIF(V1_Calc!$B$2:$B$1001,A146,V1_Calc!$D$2:$D$1001))</f>
        <v/>
      </c>
      <c r="C146" s="62" t="str">
        <f>IF(A146="","",--(COUNTIF(CN_Brands!$A$2:$A$300,UPPER(A146))&gt;0))</f>
        <v/>
      </c>
      <c r="D146" s="64" t="str">
        <f t="shared" si="2"/>
        <v/>
      </c>
      <c r="E146" s="62" t="str">
        <f>IF(OR(B146="",C146&lt;&gt;1),"",1+SUMPRODUCT(($C$2:$C$201=1)*($B$2:$B$201&gt;B146))+COUNTIFS($C$2:C146,1,$B$2:B146,B146)-1)</f>
        <v/>
      </c>
    </row>
    <row r="147" spans="1:5">
      <c r="A147" s="62" t="str">
        <f>IFERROR(INDEX(V1_Calc!$B$2:$B$1001,MATCH(0,INDEX(COUNTIF($A$1:A146,V1_Calc!$B$2:$B$1001)+(V1_Calc!$B$2:$B$1001=""),0,0),0)),"")</f>
        <v/>
      </c>
      <c r="B147" s="63" t="str">
        <f>IF(A147="","",SUMIF(V1_Calc!$B$2:$B$1001,A147,V1_Calc!$D$2:$D$1001))</f>
        <v/>
      </c>
      <c r="C147" s="62" t="str">
        <f>IF(A147="","",--(COUNTIF(CN_Brands!$A$2:$A$300,UPPER(A147))&gt;0))</f>
        <v/>
      </c>
      <c r="D147" s="64" t="str">
        <f t="shared" si="2"/>
        <v/>
      </c>
      <c r="E147" s="62" t="str">
        <f>IF(OR(B147="",C147&lt;&gt;1),"",1+SUMPRODUCT(($C$2:$C$201=1)*($B$2:$B$201&gt;B147))+COUNTIFS($C$2:C147,1,$B$2:B147,B147)-1)</f>
        <v/>
      </c>
    </row>
    <row r="148" spans="1:5">
      <c r="A148" s="62" t="str">
        <f>IFERROR(INDEX(V1_Calc!$B$2:$B$1001,MATCH(0,INDEX(COUNTIF($A$1:A147,V1_Calc!$B$2:$B$1001)+(V1_Calc!$B$2:$B$1001=""),0,0),0)),"")</f>
        <v/>
      </c>
      <c r="B148" s="63" t="str">
        <f>IF(A148="","",SUMIF(V1_Calc!$B$2:$B$1001,A148,V1_Calc!$D$2:$D$1001))</f>
        <v/>
      </c>
      <c r="C148" s="62" t="str">
        <f>IF(A148="","",--(COUNTIF(CN_Brands!$A$2:$A$300,UPPER(A148))&gt;0))</f>
        <v/>
      </c>
      <c r="D148" s="64" t="str">
        <f t="shared" si="2"/>
        <v/>
      </c>
      <c r="E148" s="62" t="str">
        <f>IF(OR(B148="",C148&lt;&gt;1),"",1+SUMPRODUCT(($C$2:$C$201=1)*($B$2:$B$201&gt;B148))+COUNTIFS($C$2:C148,1,$B$2:B148,B148)-1)</f>
        <v/>
      </c>
    </row>
    <row r="149" spans="1:5">
      <c r="A149" s="62" t="str">
        <f>IFERROR(INDEX(V1_Calc!$B$2:$B$1001,MATCH(0,INDEX(COUNTIF($A$1:A148,V1_Calc!$B$2:$B$1001)+(V1_Calc!$B$2:$B$1001=""),0,0),0)),"")</f>
        <v/>
      </c>
      <c r="B149" s="63" t="str">
        <f>IF(A149="","",SUMIF(V1_Calc!$B$2:$B$1001,A149,V1_Calc!$D$2:$D$1001))</f>
        <v/>
      </c>
      <c r="C149" s="62" t="str">
        <f>IF(A149="","",--(COUNTIF(CN_Brands!$A$2:$A$300,UPPER(A149))&gt;0))</f>
        <v/>
      </c>
      <c r="D149" s="64" t="str">
        <f t="shared" si="2"/>
        <v/>
      </c>
      <c r="E149" s="62" t="str">
        <f>IF(OR(B149="",C149&lt;&gt;1),"",1+SUMPRODUCT(($C$2:$C$201=1)*($B$2:$B$201&gt;B149))+COUNTIFS($C$2:C149,1,$B$2:B149,B149)-1)</f>
        <v/>
      </c>
    </row>
    <row r="150" spans="1:5">
      <c r="A150" s="62" t="str">
        <f>IFERROR(INDEX(V1_Calc!$B$2:$B$1001,MATCH(0,INDEX(COUNTIF($A$1:A149,V1_Calc!$B$2:$B$1001)+(V1_Calc!$B$2:$B$1001=""),0,0),0)),"")</f>
        <v/>
      </c>
      <c r="B150" s="63" t="str">
        <f>IF(A150="","",SUMIF(V1_Calc!$B$2:$B$1001,A150,V1_Calc!$D$2:$D$1001))</f>
        <v/>
      </c>
      <c r="C150" s="62" t="str">
        <f>IF(A150="","",--(COUNTIF(CN_Brands!$A$2:$A$300,UPPER(A150))&gt;0))</f>
        <v/>
      </c>
      <c r="D150" s="64" t="str">
        <f t="shared" si="2"/>
        <v/>
      </c>
      <c r="E150" s="62" t="str">
        <f>IF(OR(B150="",C150&lt;&gt;1),"",1+SUMPRODUCT(($C$2:$C$201=1)*($B$2:$B$201&gt;B150))+COUNTIFS($C$2:C150,1,$B$2:B150,B150)-1)</f>
        <v/>
      </c>
    </row>
    <row r="151" spans="1:5">
      <c r="A151" s="62" t="str">
        <f>IFERROR(INDEX(V1_Calc!$B$2:$B$1001,MATCH(0,INDEX(COUNTIF($A$1:A150,V1_Calc!$B$2:$B$1001)+(V1_Calc!$B$2:$B$1001=""),0,0),0)),"")</f>
        <v/>
      </c>
      <c r="B151" s="63" t="str">
        <f>IF(A151="","",SUMIF(V1_Calc!$B$2:$B$1001,A151,V1_Calc!$D$2:$D$1001))</f>
        <v/>
      </c>
      <c r="C151" s="62" t="str">
        <f>IF(A151="","",--(COUNTIF(CN_Brands!$A$2:$A$300,UPPER(A151))&gt;0))</f>
        <v/>
      </c>
      <c r="D151" s="64" t="str">
        <f t="shared" si="2"/>
        <v/>
      </c>
      <c r="E151" s="62" t="str">
        <f>IF(OR(B151="",C151&lt;&gt;1),"",1+SUMPRODUCT(($C$2:$C$201=1)*($B$2:$B$201&gt;B151))+COUNTIFS($C$2:C151,1,$B$2:B151,B151)-1)</f>
        <v/>
      </c>
    </row>
    <row r="152" spans="1:5">
      <c r="A152" s="62" t="str">
        <f>IFERROR(INDEX(V1_Calc!$B$2:$B$1001,MATCH(0,INDEX(COUNTIF($A$1:A151,V1_Calc!$B$2:$B$1001)+(V1_Calc!$B$2:$B$1001=""),0,0),0)),"")</f>
        <v/>
      </c>
      <c r="B152" s="63" t="str">
        <f>IF(A152="","",SUMIF(V1_Calc!$B$2:$B$1001,A152,V1_Calc!$D$2:$D$1001))</f>
        <v/>
      </c>
      <c r="C152" s="62" t="str">
        <f>IF(A152="","",--(COUNTIF(CN_Brands!$A$2:$A$300,UPPER(A152))&gt;0))</f>
        <v/>
      </c>
      <c r="D152" s="64" t="str">
        <f t="shared" si="2"/>
        <v/>
      </c>
      <c r="E152" s="62" t="str">
        <f>IF(OR(B152="",C152&lt;&gt;1),"",1+SUMPRODUCT(($C$2:$C$201=1)*($B$2:$B$201&gt;B152))+COUNTIFS($C$2:C152,1,$B$2:B152,B152)-1)</f>
        <v/>
      </c>
    </row>
    <row r="153" spans="1:5">
      <c r="A153" s="62" t="str">
        <f>IFERROR(INDEX(V1_Calc!$B$2:$B$1001,MATCH(0,INDEX(COUNTIF($A$1:A152,V1_Calc!$B$2:$B$1001)+(V1_Calc!$B$2:$B$1001=""),0,0),0)),"")</f>
        <v/>
      </c>
      <c r="B153" s="63" t="str">
        <f>IF(A153="","",SUMIF(V1_Calc!$B$2:$B$1001,A153,V1_Calc!$D$2:$D$1001))</f>
        <v/>
      </c>
      <c r="C153" s="62" t="str">
        <f>IF(A153="","",--(COUNTIF(CN_Brands!$A$2:$A$300,UPPER(A153))&gt;0))</f>
        <v/>
      </c>
      <c r="D153" s="64" t="str">
        <f t="shared" si="2"/>
        <v/>
      </c>
      <c r="E153" s="62" t="str">
        <f>IF(OR(B153="",C153&lt;&gt;1),"",1+SUMPRODUCT(($C$2:$C$201=1)*($B$2:$B$201&gt;B153))+COUNTIFS($C$2:C153,1,$B$2:B153,B153)-1)</f>
        <v/>
      </c>
    </row>
    <row r="154" spans="1:5">
      <c r="A154" s="62" t="str">
        <f>IFERROR(INDEX(V1_Calc!$B$2:$B$1001,MATCH(0,INDEX(COUNTIF($A$1:A153,V1_Calc!$B$2:$B$1001)+(V1_Calc!$B$2:$B$1001=""),0,0),0)),"")</f>
        <v/>
      </c>
      <c r="B154" s="63" t="str">
        <f>IF(A154="","",SUMIF(V1_Calc!$B$2:$B$1001,A154,V1_Calc!$D$2:$D$1001))</f>
        <v/>
      </c>
      <c r="C154" s="62" t="str">
        <f>IF(A154="","",--(COUNTIF(CN_Brands!$A$2:$A$300,UPPER(A154))&gt;0))</f>
        <v/>
      </c>
      <c r="D154" s="64" t="str">
        <f t="shared" si="2"/>
        <v/>
      </c>
      <c r="E154" s="62" t="str">
        <f>IF(OR(B154="",C154&lt;&gt;1),"",1+SUMPRODUCT(($C$2:$C$201=1)*($B$2:$B$201&gt;B154))+COUNTIFS($C$2:C154,1,$B$2:B154,B154)-1)</f>
        <v/>
      </c>
    </row>
    <row r="155" spans="1:5">
      <c r="A155" s="62" t="str">
        <f>IFERROR(INDEX(V1_Calc!$B$2:$B$1001,MATCH(0,INDEX(COUNTIF($A$1:A154,V1_Calc!$B$2:$B$1001)+(V1_Calc!$B$2:$B$1001=""),0,0),0)),"")</f>
        <v/>
      </c>
      <c r="B155" s="63" t="str">
        <f>IF(A155="","",SUMIF(V1_Calc!$B$2:$B$1001,A155,V1_Calc!$D$2:$D$1001))</f>
        <v/>
      </c>
      <c r="C155" s="62" t="str">
        <f>IF(A155="","",--(COUNTIF(CN_Brands!$A$2:$A$300,UPPER(A155))&gt;0))</f>
        <v/>
      </c>
      <c r="D155" s="64" t="str">
        <f t="shared" si="2"/>
        <v/>
      </c>
      <c r="E155" s="62" t="str">
        <f>IF(OR(B155="",C155&lt;&gt;1),"",1+SUMPRODUCT(($C$2:$C$201=1)*($B$2:$B$201&gt;B155))+COUNTIFS($C$2:C155,1,$B$2:B155,B155)-1)</f>
        <v/>
      </c>
    </row>
    <row r="156" spans="1:5">
      <c r="A156" s="62" t="str">
        <f>IFERROR(INDEX(V1_Calc!$B$2:$B$1001,MATCH(0,INDEX(COUNTIF($A$1:A155,V1_Calc!$B$2:$B$1001)+(V1_Calc!$B$2:$B$1001=""),0,0),0)),"")</f>
        <v/>
      </c>
      <c r="B156" s="63" t="str">
        <f>IF(A156="","",SUMIF(V1_Calc!$B$2:$B$1001,A156,V1_Calc!$D$2:$D$1001))</f>
        <v/>
      </c>
      <c r="C156" s="62" t="str">
        <f>IF(A156="","",--(COUNTIF(CN_Brands!$A$2:$A$300,UPPER(A156))&gt;0))</f>
        <v/>
      </c>
      <c r="D156" s="64" t="str">
        <f t="shared" si="2"/>
        <v/>
      </c>
      <c r="E156" s="62" t="str">
        <f>IF(OR(B156="",C156&lt;&gt;1),"",1+SUMPRODUCT(($C$2:$C$201=1)*($B$2:$B$201&gt;B156))+COUNTIFS($C$2:C156,1,$B$2:B156,B156)-1)</f>
        <v/>
      </c>
    </row>
    <row r="157" spans="1:5">
      <c r="A157" s="62" t="str">
        <f>IFERROR(INDEX(V1_Calc!$B$2:$B$1001,MATCH(0,INDEX(COUNTIF($A$1:A156,V1_Calc!$B$2:$B$1001)+(V1_Calc!$B$2:$B$1001=""),0,0),0)),"")</f>
        <v/>
      </c>
      <c r="B157" s="63" t="str">
        <f>IF(A157="","",SUMIF(V1_Calc!$B$2:$B$1001,A157,V1_Calc!$D$2:$D$1001))</f>
        <v/>
      </c>
      <c r="C157" s="62" t="str">
        <f>IF(A157="","",--(COUNTIF(CN_Brands!$A$2:$A$300,UPPER(A157))&gt;0))</f>
        <v/>
      </c>
      <c r="D157" s="64" t="str">
        <f t="shared" si="2"/>
        <v/>
      </c>
      <c r="E157" s="62" t="str">
        <f>IF(OR(B157="",C157&lt;&gt;1),"",1+SUMPRODUCT(($C$2:$C$201=1)*($B$2:$B$201&gt;B157))+COUNTIFS($C$2:C157,1,$B$2:B157,B157)-1)</f>
        <v/>
      </c>
    </row>
    <row r="158" spans="1:5">
      <c r="A158" s="62" t="str">
        <f>IFERROR(INDEX(V1_Calc!$B$2:$B$1001,MATCH(0,INDEX(COUNTIF($A$1:A157,V1_Calc!$B$2:$B$1001)+(V1_Calc!$B$2:$B$1001=""),0,0),0)),"")</f>
        <v/>
      </c>
      <c r="B158" s="63" t="str">
        <f>IF(A158="","",SUMIF(V1_Calc!$B$2:$B$1001,A158,V1_Calc!$D$2:$D$1001))</f>
        <v/>
      </c>
      <c r="C158" s="62" t="str">
        <f>IF(A158="","",--(COUNTIF(CN_Brands!$A$2:$A$300,UPPER(A158))&gt;0))</f>
        <v/>
      </c>
      <c r="D158" s="64" t="str">
        <f t="shared" si="2"/>
        <v/>
      </c>
      <c r="E158" s="62" t="str">
        <f>IF(OR(B158="",C158&lt;&gt;1),"",1+SUMPRODUCT(($C$2:$C$201=1)*($B$2:$B$201&gt;B158))+COUNTIFS($C$2:C158,1,$B$2:B158,B158)-1)</f>
        <v/>
      </c>
    </row>
    <row r="159" spans="1:5">
      <c r="A159" s="62" t="str">
        <f>IFERROR(INDEX(V1_Calc!$B$2:$B$1001,MATCH(0,INDEX(COUNTIF($A$1:A158,V1_Calc!$B$2:$B$1001)+(V1_Calc!$B$2:$B$1001=""),0,0),0)),"")</f>
        <v/>
      </c>
      <c r="B159" s="63" t="str">
        <f>IF(A159="","",SUMIF(V1_Calc!$B$2:$B$1001,A159,V1_Calc!$D$2:$D$1001))</f>
        <v/>
      </c>
      <c r="C159" s="62" t="str">
        <f>IF(A159="","",--(COUNTIF(CN_Brands!$A$2:$A$300,UPPER(A159))&gt;0))</f>
        <v/>
      </c>
      <c r="D159" s="64" t="str">
        <f t="shared" si="2"/>
        <v/>
      </c>
      <c r="E159" s="62" t="str">
        <f>IF(OR(B159="",C159&lt;&gt;1),"",1+SUMPRODUCT(($C$2:$C$201=1)*($B$2:$B$201&gt;B159))+COUNTIFS($C$2:C159,1,$B$2:B159,B159)-1)</f>
        <v/>
      </c>
    </row>
    <row r="160" spans="1:5">
      <c r="A160" s="62" t="str">
        <f>IFERROR(INDEX(V1_Calc!$B$2:$B$1001,MATCH(0,INDEX(COUNTIF($A$1:A159,V1_Calc!$B$2:$B$1001)+(V1_Calc!$B$2:$B$1001=""),0,0),0)),"")</f>
        <v/>
      </c>
      <c r="B160" s="63" t="str">
        <f>IF(A160="","",SUMIF(V1_Calc!$B$2:$B$1001,A160,V1_Calc!$D$2:$D$1001))</f>
        <v/>
      </c>
      <c r="C160" s="62" t="str">
        <f>IF(A160="","",--(COUNTIF(CN_Brands!$A$2:$A$300,UPPER(A160))&gt;0))</f>
        <v/>
      </c>
      <c r="D160" s="64" t="str">
        <f t="shared" si="2"/>
        <v/>
      </c>
      <c r="E160" s="62" t="str">
        <f>IF(OR(B160="",C160&lt;&gt;1),"",1+SUMPRODUCT(($C$2:$C$201=1)*($B$2:$B$201&gt;B160))+COUNTIFS($C$2:C160,1,$B$2:B160,B160)-1)</f>
        <v/>
      </c>
    </row>
    <row r="161" spans="1:5">
      <c r="A161" s="62" t="str">
        <f>IFERROR(INDEX(V1_Calc!$B$2:$B$1001,MATCH(0,INDEX(COUNTIF($A$1:A160,V1_Calc!$B$2:$B$1001)+(V1_Calc!$B$2:$B$1001=""),0,0),0)),"")</f>
        <v/>
      </c>
      <c r="B161" s="63" t="str">
        <f>IF(A161="","",SUMIF(V1_Calc!$B$2:$B$1001,A161,V1_Calc!$D$2:$D$1001))</f>
        <v/>
      </c>
      <c r="C161" s="62" t="str">
        <f>IF(A161="","",--(COUNTIF(CN_Brands!$A$2:$A$300,UPPER(A161))&gt;0))</f>
        <v/>
      </c>
      <c r="D161" s="64" t="str">
        <f t="shared" si="2"/>
        <v/>
      </c>
      <c r="E161" s="62" t="str">
        <f>IF(OR(B161="",C161&lt;&gt;1),"",1+SUMPRODUCT(($C$2:$C$201=1)*($B$2:$B$201&gt;B161))+COUNTIFS($C$2:C161,1,$B$2:B161,B161)-1)</f>
        <v/>
      </c>
    </row>
    <row r="162" spans="1:5">
      <c r="A162" s="62" t="str">
        <f>IFERROR(INDEX(V1_Calc!$B$2:$B$1001,MATCH(0,INDEX(COUNTIF($A$1:A161,V1_Calc!$B$2:$B$1001)+(V1_Calc!$B$2:$B$1001=""),0,0),0)),"")</f>
        <v/>
      </c>
      <c r="B162" s="63" t="str">
        <f>IF(A162="","",SUMIF(V1_Calc!$B$2:$B$1001,A162,V1_Calc!$D$2:$D$1001))</f>
        <v/>
      </c>
      <c r="C162" s="62" t="str">
        <f>IF(A162="","",--(COUNTIF(CN_Brands!$A$2:$A$300,UPPER(A162))&gt;0))</f>
        <v/>
      </c>
      <c r="D162" s="64" t="str">
        <f t="shared" si="2"/>
        <v/>
      </c>
      <c r="E162" s="62" t="str">
        <f>IF(OR(B162="",C162&lt;&gt;1),"",1+SUMPRODUCT(($C$2:$C$201=1)*($B$2:$B$201&gt;B162))+COUNTIFS($C$2:C162,1,$B$2:B162,B162)-1)</f>
        <v/>
      </c>
    </row>
    <row r="163" spans="1:5">
      <c r="A163" s="62" t="str">
        <f>IFERROR(INDEX(V1_Calc!$B$2:$B$1001,MATCH(0,INDEX(COUNTIF($A$1:A162,V1_Calc!$B$2:$B$1001)+(V1_Calc!$B$2:$B$1001=""),0,0),0)),"")</f>
        <v/>
      </c>
      <c r="B163" s="63" t="str">
        <f>IF(A163="","",SUMIF(V1_Calc!$B$2:$B$1001,A163,V1_Calc!$D$2:$D$1001))</f>
        <v/>
      </c>
      <c r="C163" s="62" t="str">
        <f>IF(A163="","",--(COUNTIF(CN_Brands!$A$2:$A$300,UPPER(A163))&gt;0))</f>
        <v/>
      </c>
      <c r="D163" s="64" t="str">
        <f t="shared" si="2"/>
        <v/>
      </c>
      <c r="E163" s="62" t="str">
        <f>IF(OR(B163="",C163&lt;&gt;1),"",1+SUMPRODUCT(($C$2:$C$201=1)*($B$2:$B$201&gt;B163))+COUNTIFS($C$2:C163,1,$B$2:B163,B163)-1)</f>
        <v/>
      </c>
    </row>
    <row r="164" spans="1:5">
      <c r="A164" s="62" t="str">
        <f>IFERROR(INDEX(V1_Calc!$B$2:$B$1001,MATCH(0,INDEX(COUNTIF($A$1:A163,V1_Calc!$B$2:$B$1001)+(V1_Calc!$B$2:$B$1001=""),0,0),0)),"")</f>
        <v/>
      </c>
      <c r="B164" s="63" t="str">
        <f>IF(A164="","",SUMIF(V1_Calc!$B$2:$B$1001,A164,V1_Calc!$D$2:$D$1001))</f>
        <v/>
      </c>
      <c r="C164" s="62" t="str">
        <f>IF(A164="","",--(COUNTIF(CN_Brands!$A$2:$A$300,UPPER(A164))&gt;0))</f>
        <v/>
      </c>
      <c r="D164" s="64" t="str">
        <f t="shared" si="2"/>
        <v/>
      </c>
      <c r="E164" s="62" t="str">
        <f>IF(OR(B164="",C164&lt;&gt;1),"",1+SUMPRODUCT(($C$2:$C$201=1)*($B$2:$B$201&gt;B164))+COUNTIFS($C$2:C164,1,$B$2:B164,B164)-1)</f>
        <v/>
      </c>
    </row>
    <row r="165" spans="1:5">
      <c r="A165" s="62" t="str">
        <f>IFERROR(INDEX(V1_Calc!$B$2:$B$1001,MATCH(0,INDEX(COUNTIF($A$1:A164,V1_Calc!$B$2:$B$1001)+(V1_Calc!$B$2:$B$1001=""),0,0),0)),"")</f>
        <v/>
      </c>
      <c r="B165" s="63" t="str">
        <f>IF(A165="","",SUMIF(V1_Calc!$B$2:$B$1001,A165,V1_Calc!$D$2:$D$1001))</f>
        <v/>
      </c>
      <c r="C165" s="62" t="str">
        <f>IF(A165="","",--(COUNTIF(CN_Brands!$A$2:$A$300,UPPER(A165))&gt;0))</f>
        <v/>
      </c>
      <c r="D165" s="64" t="str">
        <f t="shared" si="2"/>
        <v/>
      </c>
      <c r="E165" s="62" t="str">
        <f>IF(OR(B165="",C165&lt;&gt;1),"",1+SUMPRODUCT(($C$2:$C$201=1)*($B$2:$B$201&gt;B165))+COUNTIFS($C$2:C165,1,$B$2:B165,B165)-1)</f>
        <v/>
      </c>
    </row>
    <row r="166" spans="1:5">
      <c r="A166" s="62" t="str">
        <f>IFERROR(INDEX(V1_Calc!$B$2:$B$1001,MATCH(0,INDEX(COUNTIF($A$1:A165,V1_Calc!$B$2:$B$1001)+(V1_Calc!$B$2:$B$1001=""),0,0),0)),"")</f>
        <v/>
      </c>
      <c r="B166" s="63" t="str">
        <f>IF(A166="","",SUMIF(V1_Calc!$B$2:$B$1001,A166,V1_Calc!$D$2:$D$1001))</f>
        <v/>
      </c>
      <c r="C166" s="62" t="str">
        <f>IF(A166="","",--(COUNTIF(CN_Brands!$A$2:$A$300,UPPER(A166))&gt;0))</f>
        <v/>
      </c>
      <c r="D166" s="64" t="str">
        <f t="shared" si="2"/>
        <v/>
      </c>
      <c r="E166" s="62" t="str">
        <f>IF(OR(B166="",C166&lt;&gt;1),"",1+SUMPRODUCT(($C$2:$C$201=1)*($B$2:$B$201&gt;B166))+COUNTIFS($C$2:C166,1,$B$2:B166,B166)-1)</f>
        <v/>
      </c>
    </row>
    <row r="167" spans="1:5">
      <c r="A167" s="62" t="str">
        <f>IFERROR(INDEX(V1_Calc!$B$2:$B$1001,MATCH(0,INDEX(COUNTIF($A$1:A166,V1_Calc!$B$2:$B$1001)+(V1_Calc!$B$2:$B$1001=""),0,0),0)),"")</f>
        <v/>
      </c>
      <c r="B167" s="63" t="str">
        <f>IF(A167="","",SUMIF(V1_Calc!$B$2:$B$1001,A167,V1_Calc!$D$2:$D$1001))</f>
        <v/>
      </c>
      <c r="C167" s="62" t="str">
        <f>IF(A167="","",--(COUNTIF(CN_Brands!$A$2:$A$300,UPPER(A167))&gt;0))</f>
        <v/>
      </c>
      <c r="D167" s="64" t="str">
        <f t="shared" si="2"/>
        <v/>
      </c>
      <c r="E167" s="62" t="str">
        <f>IF(OR(B167="",C167&lt;&gt;1),"",1+SUMPRODUCT(($C$2:$C$201=1)*($B$2:$B$201&gt;B167))+COUNTIFS($C$2:C167,1,$B$2:B167,B167)-1)</f>
        <v/>
      </c>
    </row>
    <row r="168" spans="1:5">
      <c r="A168" s="62" t="str">
        <f>IFERROR(INDEX(V1_Calc!$B$2:$B$1001,MATCH(0,INDEX(COUNTIF($A$1:A167,V1_Calc!$B$2:$B$1001)+(V1_Calc!$B$2:$B$1001=""),0,0),0)),"")</f>
        <v/>
      </c>
      <c r="B168" s="63" t="str">
        <f>IF(A168="","",SUMIF(V1_Calc!$B$2:$B$1001,A168,V1_Calc!$D$2:$D$1001))</f>
        <v/>
      </c>
      <c r="C168" s="62" t="str">
        <f>IF(A168="","",--(COUNTIF(CN_Brands!$A$2:$A$300,UPPER(A168))&gt;0))</f>
        <v/>
      </c>
      <c r="D168" s="64" t="str">
        <f t="shared" si="2"/>
        <v/>
      </c>
      <c r="E168" s="62" t="str">
        <f>IF(OR(B168="",C168&lt;&gt;1),"",1+SUMPRODUCT(($C$2:$C$201=1)*($B$2:$B$201&gt;B168))+COUNTIFS($C$2:C168,1,$B$2:B168,B168)-1)</f>
        <v/>
      </c>
    </row>
    <row r="169" spans="1:5">
      <c r="A169" s="62" t="str">
        <f>IFERROR(INDEX(V1_Calc!$B$2:$B$1001,MATCH(0,INDEX(COUNTIF($A$1:A168,V1_Calc!$B$2:$B$1001)+(V1_Calc!$B$2:$B$1001=""),0,0),0)),"")</f>
        <v/>
      </c>
      <c r="B169" s="63" t="str">
        <f>IF(A169="","",SUMIF(V1_Calc!$B$2:$B$1001,A169,V1_Calc!$D$2:$D$1001))</f>
        <v/>
      </c>
      <c r="C169" s="62" t="str">
        <f>IF(A169="","",--(COUNTIF(CN_Brands!$A$2:$A$300,UPPER(A169))&gt;0))</f>
        <v/>
      </c>
      <c r="D169" s="64" t="str">
        <f t="shared" si="2"/>
        <v/>
      </c>
      <c r="E169" s="62" t="str">
        <f>IF(OR(B169="",C169&lt;&gt;1),"",1+SUMPRODUCT(($C$2:$C$201=1)*($B$2:$B$201&gt;B169))+COUNTIFS($C$2:C169,1,$B$2:B169,B169)-1)</f>
        <v/>
      </c>
    </row>
    <row r="170" spans="1:5">
      <c r="A170" s="62" t="str">
        <f>IFERROR(INDEX(V1_Calc!$B$2:$B$1001,MATCH(0,INDEX(COUNTIF($A$1:A169,V1_Calc!$B$2:$B$1001)+(V1_Calc!$B$2:$B$1001=""),0,0),0)),"")</f>
        <v/>
      </c>
      <c r="B170" s="63" t="str">
        <f>IF(A170="","",SUMIF(V1_Calc!$B$2:$B$1001,A170,V1_Calc!$D$2:$D$1001))</f>
        <v/>
      </c>
      <c r="C170" s="62" t="str">
        <f>IF(A170="","",--(COUNTIF(CN_Brands!$A$2:$A$300,UPPER(A170))&gt;0))</f>
        <v/>
      </c>
      <c r="D170" s="64" t="str">
        <f t="shared" si="2"/>
        <v/>
      </c>
      <c r="E170" s="62" t="str">
        <f>IF(OR(B170="",C170&lt;&gt;1),"",1+SUMPRODUCT(($C$2:$C$201=1)*($B$2:$B$201&gt;B170))+COUNTIFS($C$2:C170,1,$B$2:B170,B170)-1)</f>
        <v/>
      </c>
    </row>
    <row r="171" spans="1:5">
      <c r="A171" s="62" t="str">
        <f>IFERROR(INDEX(V1_Calc!$B$2:$B$1001,MATCH(0,INDEX(COUNTIF($A$1:A170,V1_Calc!$B$2:$B$1001)+(V1_Calc!$B$2:$B$1001=""),0,0),0)),"")</f>
        <v/>
      </c>
      <c r="B171" s="63" t="str">
        <f>IF(A171="","",SUMIF(V1_Calc!$B$2:$B$1001,A171,V1_Calc!$D$2:$D$1001))</f>
        <v/>
      </c>
      <c r="C171" s="62" t="str">
        <f>IF(A171="","",--(COUNTIF(CN_Brands!$A$2:$A$300,UPPER(A171))&gt;0))</f>
        <v/>
      </c>
      <c r="D171" s="64" t="str">
        <f t="shared" si="2"/>
        <v/>
      </c>
      <c r="E171" s="62" t="str">
        <f>IF(OR(B171="",C171&lt;&gt;1),"",1+SUMPRODUCT(($C$2:$C$201=1)*($B$2:$B$201&gt;B171))+COUNTIFS($C$2:C171,1,$B$2:B171,B171)-1)</f>
        <v/>
      </c>
    </row>
    <row r="172" spans="1:5">
      <c r="A172" s="62" t="str">
        <f>IFERROR(INDEX(V1_Calc!$B$2:$B$1001,MATCH(0,INDEX(COUNTIF($A$1:A171,V1_Calc!$B$2:$B$1001)+(V1_Calc!$B$2:$B$1001=""),0,0),0)),"")</f>
        <v/>
      </c>
      <c r="B172" s="63" t="str">
        <f>IF(A172="","",SUMIF(V1_Calc!$B$2:$B$1001,A172,V1_Calc!$D$2:$D$1001))</f>
        <v/>
      </c>
      <c r="C172" s="62" t="str">
        <f>IF(A172="","",--(COUNTIF(CN_Brands!$A$2:$A$300,UPPER(A172))&gt;0))</f>
        <v/>
      </c>
      <c r="D172" s="64" t="str">
        <f t="shared" si="2"/>
        <v/>
      </c>
      <c r="E172" s="62" t="str">
        <f>IF(OR(B172="",C172&lt;&gt;1),"",1+SUMPRODUCT(($C$2:$C$201=1)*($B$2:$B$201&gt;B172))+COUNTIFS($C$2:C172,1,$B$2:B172,B172)-1)</f>
        <v/>
      </c>
    </row>
    <row r="173" spans="1:5">
      <c r="A173" s="62" t="str">
        <f>IFERROR(INDEX(V1_Calc!$B$2:$B$1001,MATCH(0,INDEX(COUNTIF($A$1:A172,V1_Calc!$B$2:$B$1001)+(V1_Calc!$B$2:$B$1001=""),0,0),0)),"")</f>
        <v/>
      </c>
      <c r="B173" s="63" t="str">
        <f>IF(A173="","",SUMIF(V1_Calc!$B$2:$B$1001,A173,V1_Calc!$D$2:$D$1001))</f>
        <v/>
      </c>
      <c r="C173" s="62" t="str">
        <f>IF(A173="","",--(COUNTIF(CN_Brands!$A$2:$A$300,UPPER(A173))&gt;0))</f>
        <v/>
      </c>
      <c r="D173" s="64" t="str">
        <f t="shared" si="2"/>
        <v/>
      </c>
      <c r="E173" s="62" t="str">
        <f>IF(OR(B173="",C173&lt;&gt;1),"",1+SUMPRODUCT(($C$2:$C$201=1)*($B$2:$B$201&gt;B173))+COUNTIFS($C$2:C173,1,$B$2:B173,B173)-1)</f>
        <v/>
      </c>
    </row>
    <row r="174" spans="1:5">
      <c r="A174" s="62" t="str">
        <f>IFERROR(INDEX(V1_Calc!$B$2:$B$1001,MATCH(0,INDEX(COUNTIF($A$1:A173,V1_Calc!$B$2:$B$1001)+(V1_Calc!$B$2:$B$1001=""),0,0),0)),"")</f>
        <v/>
      </c>
      <c r="B174" s="63" t="str">
        <f>IF(A174="","",SUMIF(V1_Calc!$B$2:$B$1001,A174,V1_Calc!$D$2:$D$1001))</f>
        <v/>
      </c>
      <c r="C174" s="62" t="str">
        <f>IF(A174="","",--(COUNTIF(CN_Brands!$A$2:$A$300,UPPER(A174))&gt;0))</f>
        <v/>
      </c>
      <c r="D174" s="64" t="str">
        <f t="shared" si="2"/>
        <v/>
      </c>
      <c r="E174" s="62" t="str">
        <f>IF(OR(B174="",C174&lt;&gt;1),"",1+SUMPRODUCT(($C$2:$C$201=1)*($B$2:$B$201&gt;B174))+COUNTIFS($C$2:C174,1,$B$2:B174,B174)-1)</f>
        <v/>
      </c>
    </row>
    <row r="175" spans="1:5">
      <c r="A175" s="62" t="str">
        <f>IFERROR(INDEX(V1_Calc!$B$2:$B$1001,MATCH(0,INDEX(COUNTIF($A$1:A174,V1_Calc!$B$2:$B$1001)+(V1_Calc!$B$2:$B$1001=""),0,0),0)),"")</f>
        <v/>
      </c>
      <c r="B175" s="63" t="str">
        <f>IF(A175="","",SUMIF(V1_Calc!$B$2:$B$1001,A175,V1_Calc!$D$2:$D$1001))</f>
        <v/>
      </c>
      <c r="C175" s="62" t="str">
        <f>IF(A175="","",--(COUNTIF(CN_Brands!$A$2:$A$300,UPPER(A175))&gt;0))</f>
        <v/>
      </c>
      <c r="D175" s="64" t="str">
        <f t="shared" si="2"/>
        <v/>
      </c>
      <c r="E175" s="62" t="str">
        <f>IF(OR(B175="",C175&lt;&gt;1),"",1+SUMPRODUCT(($C$2:$C$201=1)*($B$2:$B$201&gt;B175))+COUNTIFS($C$2:C175,1,$B$2:B175,B175)-1)</f>
        <v/>
      </c>
    </row>
    <row r="176" spans="1:5">
      <c r="A176" s="62" t="str">
        <f>IFERROR(INDEX(V1_Calc!$B$2:$B$1001,MATCH(0,INDEX(COUNTIF($A$1:A175,V1_Calc!$B$2:$B$1001)+(V1_Calc!$B$2:$B$1001=""),0,0),0)),"")</f>
        <v/>
      </c>
      <c r="B176" s="63" t="str">
        <f>IF(A176="","",SUMIF(V1_Calc!$B$2:$B$1001,A176,V1_Calc!$D$2:$D$1001))</f>
        <v/>
      </c>
      <c r="C176" s="62" t="str">
        <f>IF(A176="","",--(COUNTIF(CN_Brands!$A$2:$A$300,UPPER(A176))&gt;0))</f>
        <v/>
      </c>
      <c r="D176" s="64" t="str">
        <f t="shared" si="2"/>
        <v/>
      </c>
      <c r="E176" s="62" t="str">
        <f>IF(OR(B176="",C176&lt;&gt;1),"",1+SUMPRODUCT(($C$2:$C$201=1)*($B$2:$B$201&gt;B176))+COUNTIFS($C$2:C176,1,$B$2:B176,B176)-1)</f>
        <v/>
      </c>
    </row>
    <row r="177" spans="1:5">
      <c r="A177" s="62" t="str">
        <f>IFERROR(INDEX(V1_Calc!$B$2:$B$1001,MATCH(0,INDEX(COUNTIF($A$1:A176,V1_Calc!$B$2:$B$1001)+(V1_Calc!$B$2:$B$1001=""),0,0),0)),"")</f>
        <v/>
      </c>
      <c r="B177" s="63" t="str">
        <f>IF(A177="","",SUMIF(V1_Calc!$B$2:$B$1001,A177,V1_Calc!$D$2:$D$1001))</f>
        <v/>
      </c>
      <c r="C177" s="62" t="str">
        <f>IF(A177="","",--(COUNTIF(CN_Brands!$A$2:$A$300,UPPER(A177))&gt;0))</f>
        <v/>
      </c>
      <c r="D177" s="64" t="str">
        <f t="shared" si="2"/>
        <v/>
      </c>
      <c r="E177" s="62" t="str">
        <f>IF(OR(B177="",C177&lt;&gt;1),"",1+SUMPRODUCT(($C$2:$C$201=1)*($B$2:$B$201&gt;B177))+COUNTIFS($C$2:C177,1,$B$2:B177,B177)-1)</f>
        <v/>
      </c>
    </row>
    <row r="178" spans="1:5">
      <c r="A178" s="62" t="str">
        <f>IFERROR(INDEX(V1_Calc!$B$2:$B$1001,MATCH(0,INDEX(COUNTIF($A$1:A177,V1_Calc!$B$2:$B$1001)+(V1_Calc!$B$2:$B$1001=""),0,0),0)),"")</f>
        <v/>
      </c>
      <c r="B178" s="63" t="str">
        <f>IF(A178="","",SUMIF(V1_Calc!$B$2:$B$1001,A178,V1_Calc!$D$2:$D$1001))</f>
        <v/>
      </c>
      <c r="C178" s="62" t="str">
        <f>IF(A178="","",--(COUNTIF(CN_Brands!$A$2:$A$300,UPPER(A178))&gt;0))</f>
        <v/>
      </c>
      <c r="D178" s="64" t="str">
        <f t="shared" si="2"/>
        <v/>
      </c>
      <c r="E178" s="62" t="str">
        <f>IF(OR(B178="",C178&lt;&gt;1),"",1+SUMPRODUCT(($C$2:$C$201=1)*($B$2:$B$201&gt;B178))+COUNTIFS($C$2:C178,1,$B$2:B178,B178)-1)</f>
        <v/>
      </c>
    </row>
    <row r="179" spans="1:5">
      <c r="A179" s="62" t="str">
        <f>IFERROR(INDEX(V1_Calc!$B$2:$B$1001,MATCH(0,INDEX(COUNTIF($A$1:A178,V1_Calc!$B$2:$B$1001)+(V1_Calc!$B$2:$B$1001=""),0,0),0)),"")</f>
        <v/>
      </c>
      <c r="B179" s="63" t="str">
        <f>IF(A179="","",SUMIF(V1_Calc!$B$2:$B$1001,A179,V1_Calc!$D$2:$D$1001))</f>
        <v/>
      </c>
      <c r="C179" s="62" t="str">
        <f>IF(A179="","",--(COUNTIF(CN_Brands!$A$2:$A$300,UPPER(A179))&gt;0))</f>
        <v/>
      </c>
      <c r="D179" s="64" t="str">
        <f t="shared" si="2"/>
        <v/>
      </c>
      <c r="E179" s="62" t="str">
        <f>IF(OR(B179="",C179&lt;&gt;1),"",1+SUMPRODUCT(($C$2:$C$201=1)*($B$2:$B$201&gt;B179))+COUNTIFS($C$2:C179,1,$B$2:B179,B179)-1)</f>
        <v/>
      </c>
    </row>
    <row r="180" spans="1:5">
      <c r="A180" s="62" t="str">
        <f>IFERROR(INDEX(V1_Calc!$B$2:$B$1001,MATCH(0,INDEX(COUNTIF($A$1:A179,V1_Calc!$B$2:$B$1001)+(V1_Calc!$B$2:$B$1001=""),0,0),0)),"")</f>
        <v/>
      </c>
      <c r="B180" s="63" t="str">
        <f>IF(A180="","",SUMIF(V1_Calc!$B$2:$B$1001,A180,V1_Calc!$D$2:$D$1001))</f>
        <v/>
      </c>
      <c r="C180" s="62" t="str">
        <f>IF(A180="","",--(COUNTIF(CN_Brands!$A$2:$A$300,UPPER(A180))&gt;0))</f>
        <v/>
      </c>
      <c r="D180" s="64" t="str">
        <f t="shared" si="2"/>
        <v/>
      </c>
      <c r="E180" s="62" t="str">
        <f>IF(OR(B180="",C180&lt;&gt;1),"",1+SUMPRODUCT(($C$2:$C$201=1)*($B$2:$B$201&gt;B180))+COUNTIFS($C$2:C180,1,$B$2:B180,B180)-1)</f>
        <v/>
      </c>
    </row>
    <row r="181" spans="1:5">
      <c r="A181" s="62" t="str">
        <f>IFERROR(INDEX(V1_Calc!$B$2:$B$1001,MATCH(0,INDEX(COUNTIF($A$1:A180,V1_Calc!$B$2:$B$1001)+(V1_Calc!$B$2:$B$1001=""),0,0),0)),"")</f>
        <v/>
      </c>
      <c r="B181" s="63" t="str">
        <f>IF(A181="","",SUMIF(V1_Calc!$B$2:$B$1001,A181,V1_Calc!$D$2:$D$1001))</f>
        <v/>
      </c>
      <c r="C181" s="62" t="str">
        <f>IF(A181="","",--(COUNTIF(CN_Brands!$A$2:$A$300,UPPER(A181))&gt;0))</f>
        <v/>
      </c>
      <c r="D181" s="64" t="str">
        <f t="shared" si="2"/>
        <v/>
      </c>
      <c r="E181" s="62" t="str">
        <f>IF(OR(B181="",C181&lt;&gt;1),"",1+SUMPRODUCT(($C$2:$C$201=1)*($B$2:$B$201&gt;B181))+COUNTIFS($C$2:C181,1,$B$2:B181,B181)-1)</f>
        <v/>
      </c>
    </row>
    <row r="182" spans="1:5">
      <c r="A182" s="62" t="str">
        <f>IFERROR(INDEX(V1_Calc!$B$2:$B$1001,MATCH(0,INDEX(COUNTIF($A$1:A181,V1_Calc!$B$2:$B$1001)+(V1_Calc!$B$2:$B$1001=""),0,0),0)),"")</f>
        <v/>
      </c>
      <c r="B182" s="63" t="str">
        <f>IF(A182="","",SUMIF(V1_Calc!$B$2:$B$1001,A182,V1_Calc!$D$2:$D$1001))</f>
        <v/>
      </c>
      <c r="C182" s="62" t="str">
        <f>IF(A182="","",--(COUNTIF(CN_Brands!$A$2:$A$300,UPPER(A182))&gt;0))</f>
        <v/>
      </c>
      <c r="D182" s="64" t="str">
        <f t="shared" si="2"/>
        <v/>
      </c>
      <c r="E182" s="62" t="str">
        <f>IF(OR(B182="",C182&lt;&gt;1),"",1+SUMPRODUCT(($C$2:$C$201=1)*($B$2:$B$201&gt;B182))+COUNTIFS($C$2:C182,1,$B$2:B182,B182)-1)</f>
        <v/>
      </c>
    </row>
    <row r="183" spans="1:5">
      <c r="A183" s="62" t="str">
        <f>IFERROR(INDEX(V1_Calc!$B$2:$B$1001,MATCH(0,INDEX(COUNTIF($A$1:A182,V1_Calc!$B$2:$B$1001)+(V1_Calc!$B$2:$B$1001=""),0,0),0)),"")</f>
        <v/>
      </c>
      <c r="B183" s="63" t="str">
        <f>IF(A183="","",SUMIF(V1_Calc!$B$2:$B$1001,A183,V1_Calc!$D$2:$D$1001))</f>
        <v/>
      </c>
      <c r="C183" s="62" t="str">
        <f>IF(A183="","",--(COUNTIF(CN_Brands!$A$2:$A$300,UPPER(A183))&gt;0))</f>
        <v/>
      </c>
      <c r="D183" s="64" t="str">
        <f t="shared" si="2"/>
        <v/>
      </c>
      <c r="E183" s="62" t="str">
        <f>IF(OR(B183="",C183&lt;&gt;1),"",1+SUMPRODUCT(($C$2:$C$201=1)*($B$2:$B$201&gt;B183))+COUNTIFS($C$2:C183,1,$B$2:B183,B183)-1)</f>
        <v/>
      </c>
    </row>
    <row r="184" spans="1:5">
      <c r="A184" s="62" t="str">
        <f>IFERROR(INDEX(V1_Calc!$B$2:$B$1001,MATCH(0,INDEX(COUNTIF($A$1:A183,V1_Calc!$B$2:$B$1001)+(V1_Calc!$B$2:$B$1001=""),0,0),0)),"")</f>
        <v/>
      </c>
      <c r="B184" s="63" t="str">
        <f>IF(A184="","",SUMIF(V1_Calc!$B$2:$B$1001,A184,V1_Calc!$D$2:$D$1001))</f>
        <v/>
      </c>
      <c r="C184" s="62" t="str">
        <f>IF(A184="","",--(COUNTIF(CN_Brands!$A$2:$A$300,UPPER(A184))&gt;0))</f>
        <v/>
      </c>
      <c r="D184" s="64" t="str">
        <f t="shared" si="2"/>
        <v/>
      </c>
      <c r="E184" s="62" t="str">
        <f>IF(OR(B184="",C184&lt;&gt;1),"",1+SUMPRODUCT(($C$2:$C$201=1)*($B$2:$B$201&gt;B184))+COUNTIFS($C$2:C184,1,$B$2:B184,B184)-1)</f>
        <v/>
      </c>
    </row>
    <row r="185" spans="1:5">
      <c r="A185" s="62" t="str">
        <f>IFERROR(INDEX(V1_Calc!$B$2:$B$1001,MATCH(0,INDEX(COUNTIF($A$1:A184,V1_Calc!$B$2:$B$1001)+(V1_Calc!$B$2:$B$1001=""),0,0),0)),"")</f>
        <v/>
      </c>
      <c r="B185" s="63" t="str">
        <f>IF(A185="","",SUMIF(V1_Calc!$B$2:$B$1001,A185,V1_Calc!$D$2:$D$1001))</f>
        <v/>
      </c>
      <c r="C185" s="62" t="str">
        <f>IF(A185="","",--(COUNTIF(CN_Brands!$A$2:$A$300,UPPER(A185))&gt;0))</f>
        <v/>
      </c>
      <c r="D185" s="64" t="str">
        <f t="shared" si="2"/>
        <v/>
      </c>
      <c r="E185" s="62" t="str">
        <f>IF(OR(B185="",C185&lt;&gt;1),"",1+SUMPRODUCT(($C$2:$C$201=1)*($B$2:$B$201&gt;B185))+COUNTIFS($C$2:C185,1,$B$2:B185,B185)-1)</f>
        <v/>
      </c>
    </row>
    <row r="186" spans="1:5">
      <c r="A186" s="62" t="str">
        <f>IFERROR(INDEX(V1_Calc!$B$2:$B$1001,MATCH(0,INDEX(COUNTIF($A$1:A185,V1_Calc!$B$2:$B$1001)+(V1_Calc!$B$2:$B$1001=""),0,0),0)),"")</f>
        <v/>
      </c>
      <c r="B186" s="63" t="str">
        <f>IF(A186="","",SUMIF(V1_Calc!$B$2:$B$1001,A186,V1_Calc!$D$2:$D$1001))</f>
        <v/>
      </c>
      <c r="C186" s="62" t="str">
        <f>IF(A186="","",--(COUNTIF(CN_Brands!$A$2:$A$300,UPPER(A186))&gt;0))</f>
        <v/>
      </c>
      <c r="D186" s="64" t="str">
        <f t="shared" si="2"/>
        <v/>
      </c>
      <c r="E186" s="62" t="str">
        <f>IF(OR(B186="",C186&lt;&gt;1),"",1+SUMPRODUCT(($C$2:$C$201=1)*($B$2:$B$201&gt;B186))+COUNTIFS($C$2:C186,1,$B$2:B186,B186)-1)</f>
        <v/>
      </c>
    </row>
    <row r="187" spans="1:5">
      <c r="A187" s="62" t="str">
        <f>IFERROR(INDEX(V1_Calc!$B$2:$B$1001,MATCH(0,INDEX(COUNTIF($A$1:A186,V1_Calc!$B$2:$B$1001)+(V1_Calc!$B$2:$B$1001=""),0,0),0)),"")</f>
        <v/>
      </c>
      <c r="B187" s="63" t="str">
        <f>IF(A187="","",SUMIF(V1_Calc!$B$2:$B$1001,A187,V1_Calc!$D$2:$D$1001))</f>
        <v/>
      </c>
      <c r="C187" s="62" t="str">
        <f>IF(A187="","",--(COUNTIF(CN_Brands!$A$2:$A$300,UPPER(A187))&gt;0))</f>
        <v/>
      </c>
      <c r="D187" s="64" t="str">
        <f t="shared" si="2"/>
        <v/>
      </c>
      <c r="E187" s="62" t="str">
        <f>IF(OR(B187="",C187&lt;&gt;1),"",1+SUMPRODUCT(($C$2:$C$201=1)*($B$2:$B$201&gt;B187))+COUNTIFS($C$2:C187,1,$B$2:B187,B187)-1)</f>
        <v/>
      </c>
    </row>
    <row r="188" spans="1:5">
      <c r="A188" s="62" t="str">
        <f>IFERROR(INDEX(V1_Calc!$B$2:$B$1001,MATCH(0,INDEX(COUNTIF($A$1:A187,V1_Calc!$B$2:$B$1001)+(V1_Calc!$B$2:$B$1001=""),0,0),0)),"")</f>
        <v/>
      </c>
      <c r="B188" s="63" t="str">
        <f>IF(A188="","",SUMIF(V1_Calc!$B$2:$B$1001,A188,V1_Calc!$D$2:$D$1001))</f>
        <v/>
      </c>
      <c r="C188" s="62" t="str">
        <f>IF(A188="","",--(COUNTIF(CN_Brands!$A$2:$A$300,UPPER(A188))&gt;0))</f>
        <v/>
      </c>
      <c r="D188" s="64" t="str">
        <f t="shared" si="2"/>
        <v/>
      </c>
      <c r="E188" s="62" t="str">
        <f>IF(OR(B188="",C188&lt;&gt;1),"",1+SUMPRODUCT(($C$2:$C$201=1)*($B$2:$B$201&gt;B188))+COUNTIFS($C$2:C188,1,$B$2:B188,B188)-1)</f>
        <v/>
      </c>
    </row>
    <row r="189" spans="1:5">
      <c r="A189" s="62" t="str">
        <f>IFERROR(INDEX(V1_Calc!$B$2:$B$1001,MATCH(0,INDEX(COUNTIF($A$1:A188,V1_Calc!$B$2:$B$1001)+(V1_Calc!$B$2:$B$1001=""),0,0),0)),"")</f>
        <v/>
      </c>
      <c r="B189" s="63" t="str">
        <f>IF(A189="","",SUMIF(V1_Calc!$B$2:$B$1001,A189,V1_Calc!$D$2:$D$1001))</f>
        <v/>
      </c>
      <c r="C189" s="62" t="str">
        <f>IF(A189="","",--(COUNTIF(CN_Brands!$A$2:$A$300,UPPER(A189))&gt;0))</f>
        <v/>
      </c>
      <c r="D189" s="64" t="str">
        <f t="shared" si="2"/>
        <v/>
      </c>
      <c r="E189" s="62" t="str">
        <f>IF(OR(B189="",C189&lt;&gt;1),"",1+SUMPRODUCT(($C$2:$C$201=1)*($B$2:$B$201&gt;B189))+COUNTIFS($C$2:C189,1,$B$2:B189,B189)-1)</f>
        <v/>
      </c>
    </row>
    <row r="190" spans="1:5">
      <c r="A190" s="62" t="str">
        <f>IFERROR(INDEX(V1_Calc!$B$2:$B$1001,MATCH(0,INDEX(COUNTIF($A$1:A189,V1_Calc!$B$2:$B$1001)+(V1_Calc!$B$2:$B$1001=""),0,0),0)),"")</f>
        <v/>
      </c>
      <c r="B190" s="63" t="str">
        <f>IF(A190="","",SUMIF(V1_Calc!$B$2:$B$1001,A190,V1_Calc!$D$2:$D$1001))</f>
        <v/>
      </c>
      <c r="C190" s="62" t="str">
        <f>IF(A190="","",--(COUNTIF(CN_Brands!$A$2:$A$300,UPPER(A190))&gt;0))</f>
        <v/>
      </c>
      <c r="D190" s="64" t="str">
        <f t="shared" si="2"/>
        <v/>
      </c>
      <c r="E190" s="62" t="str">
        <f>IF(OR(B190="",C190&lt;&gt;1),"",1+SUMPRODUCT(($C$2:$C$201=1)*($B$2:$B$201&gt;B190))+COUNTIFS($C$2:C190,1,$B$2:B190,B190)-1)</f>
        <v/>
      </c>
    </row>
    <row r="191" spans="1:5">
      <c r="A191" s="62" t="str">
        <f>IFERROR(INDEX(V1_Calc!$B$2:$B$1001,MATCH(0,INDEX(COUNTIF($A$1:A190,V1_Calc!$B$2:$B$1001)+(V1_Calc!$B$2:$B$1001=""),0,0),0)),"")</f>
        <v/>
      </c>
      <c r="B191" s="63" t="str">
        <f>IF(A191="","",SUMIF(V1_Calc!$B$2:$B$1001,A191,V1_Calc!$D$2:$D$1001))</f>
        <v/>
      </c>
      <c r="C191" s="62" t="str">
        <f>IF(A191="","",--(COUNTIF(CN_Brands!$A$2:$A$300,UPPER(A191))&gt;0))</f>
        <v/>
      </c>
      <c r="D191" s="64" t="str">
        <f t="shared" si="2"/>
        <v/>
      </c>
      <c r="E191" s="62" t="str">
        <f>IF(OR(B191="",C191&lt;&gt;1),"",1+SUMPRODUCT(($C$2:$C$201=1)*($B$2:$B$201&gt;B191))+COUNTIFS($C$2:C191,1,$B$2:B191,B191)-1)</f>
        <v/>
      </c>
    </row>
    <row r="192" spans="1:5">
      <c r="A192" s="62" t="str">
        <f>IFERROR(INDEX(V1_Calc!$B$2:$B$1001,MATCH(0,INDEX(COUNTIF($A$1:A191,V1_Calc!$B$2:$B$1001)+(V1_Calc!$B$2:$B$1001=""),0,0),0)),"")</f>
        <v/>
      </c>
      <c r="B192" s="63" t="str">
        <f>IF(A192="","",SUMIF(V1_Calc!$B$2:$B$1001,A192,V1_Calc!$D$2:$D$1001))</f>
        <v/>
      </c>
      <c r="C192" s="62" t="str">
        <f>IF(A192="","",--(COUNTIF(CN_Brands!$A$2:$A$300,UPPER(A192))&gt;0))</f>
        <v/>
      </c>
      <c r="D192" s="64" t="str">
        <f t="shared" si="2"/>
        <v/>
      </c>
      <c r="E192" s="62" t="str">
        <f>IF(OR(B192="",C192&lt;&gt;1),"",1+SUMPRODUCT(($C$2:$C$201=1)*($B$2:$B$201&gt;B192))+COUNTIFS($C$2:C192,1,$B$2:B192,B192)-1)</f>
        <v/>
      </c>
    </row>
    <row r="193" spans="1:5">
      <c r="A193" s="62" t="str">
        <f>IFERROR(INDEX(V1_Calc!$B$2:$B$1001,MATCH(0,INDEX(COUNTIF($A$1:A192,V1_Calc!$B$2:$B$1001)+(V1_Calc!$B$2:$B$1001=""),0,0),0)),"")</f>
        <v/>
      </c>
      <c r="B193" s="63" t="str">
        <f>IF(A193="","",SUMIF(V1_Calc!$B$2:$B$1001,A193,V1_Calc!$D$2:$D$1001))</f>
        <v/>
      </c>
      <c r="C193" s="62" t="str">
        <f>IF(A193="","",--(COUNTIF(CN_Brands!$A$2:$A$300,UPPER(A193))&gt;0))</f>
        <v/>
      </c>
      <c r="D193" s="64" t="str">
        <f t="shared" si="2"/>
        <v/>
      </c>
      <c r="E193" s="62" t="str">
        <f>IF(OR(B193="",C193&lt;&gt;1),"",1+SUMPRODUCT(($C$2:$C$201=1)*($B$2:$B$201&gt;B193))+COUNTIFS($C$2:C193,1,$B$2:B193,B193)-1)</f>
        <v/>
      </c>
    </row>
    <row r="194" spans="1:5">
      <c r="A194" s="62" t="str">
        <f>IFERROR(INDEX(V1_Calc!$B$2:$B$1001,MATCH(0,INDEX(COUNTIF($A$1:A193,V1_Calc!$B$2:$B$1001)+(V1_Calc!$B$2:$B$1001=""),0,0),0)),"")</f>
        <v/>
      </c>
      <c r="B194" s="63" t="str">
        <f>IF(A194="","",SUMIF(V1_Calc!$B$2:$B$1001,A194,V1_Calc!$D$2:$D$1001))</f>
        <v/>
      </c>
      <c r="C194" s="62" t="str">
        <f>IF(A194="","",--(COUNTIF(CN_Brands!$A$2:$A$300,UPPER(A194))&gt;0))</f>
        <v/>
      </c>
      <c r="D194" s="64" t="str">
        <f t="shared" ref="D194:D201" si="3">IF(B194="","",IFERROR(B194/SUM($B$2:$B$201),0))</f>
        <v/>
      </c>
      <c r="E194" s="62" t="str">
        <f>IF(OR(B194="",C194&lt;&gt;1),"",1+SUMPRODUCT(($C$2:$C$201=1)*($B$2:$B$201&gt;B194))+COUNTIFS($C$2:C194,1,$B$2:B194,B194)-1)</f>
        <v/>
      </c>
    </row>
    <row r="195" spans="1:5">
      <c r="A195" s="62" t="str">
        <f>IFERROR(INDEX(V1_Calc!$B$2:$B$1001,MATCH(0,INDEX(COUNTIF($A$1:A194,V1_Calc!$B$2:$B$1001)+(V1_Calc!$B$2:$B$1001=""),0,0),0)),"")</f>
        <v/>
      </c>
      <c r="B195" s="63" t="str">
        <f>IF(A195="","",SUMIF(V1_Calc!$B$2:$B$1001,A195,V1_Calc!$D$2:$D$1001))</f>
        <v/>
      </c>
      <c r="C195" s="62" t="str">
        <f>IF(A195="","",--(COUNTIF(CN_Brands!$A$2:$A$300,UPPER(A195))&gt;0))</f>
        <v/>
      </c>
      <c r="D195" s="64" t="str">
        <f t="shared" si="3"/>
        <v/>
      </c>
      <c r="E195" s="62" t="str">
        <f>IF(OR(B195="",C195&lt;&gt;1),"",1+SUMPRODUCT(($C$2:$C$201=1)*($B$2:$B$201&gt;B195))+COUNTIFS($C$2:C195,1,$B$2:B195,B195)-1)</f>
        <v/>
      </c>
    </row>
    <row r="196" spans="1:5">
      <c r="A196" s="62" t="str">
        <f>IFERROR(INDEX(V1_Calc!$B$2:$B$1001,MATCH(0,INDEX(COUNTIF($A$1:A195,V1_Calc!$B$2:$B$1001)+(V1_Calc!$B$2:$B$1001=""),0,0),0)),"")</f>
        <v/>
      </c>
      <c r="B196" s="63" t="str">
        <f>IF(A196="","",SUMIF(V1_Calc!$B$2:$B$1001,A196,V1_Calc!$D$2:$D$1001))</f>
        <v/>
      </c>
      <c r="C196" s="62" t="str">
        <f>IF(A196="","",--(COUNTIF(CN_Brands!$A$2:$A$300,UPPER(A196))&gt;0))</f>
        <v/>
      </c>
      <c r="D196" s="64" t="str">
        <f t="shared" si="3"/>
        <v/>
      </c>
      <c r="E196" s="62" t="str">
        <f>IF(OR(B196="",C196&lt;&gt;1),"",1+SUMPRODUCT(($C$2:$C$201=1)*($B$2:$B$201&gt;B196))+COUNTIFS($C$2:C196,1,$B$2:B196,B196)-1)</f>
        <v/>
      </c>
    </row>
    <row r="197" spans="1:5">
      <c r="A197" s="62" t="str">
        <f>IFERROR(INDEX(V1_Calc!$B$2:$B$1001,MATCH(0,INDEX(COUNTIF($A$1:A196,V1_Calc!$B$2:$B$1001)+(V1_Calc!$B$2:$B$1001=""),0,0),0)),"")</f>
        <v/>
      </c>
      <c r="B197" s="63" t="str">
        <f>IF(A197="","",SUMIF(V1_Calc!$B$2:$B$1001,A197,V1_Calc!$D$2:$D$1001))</f>
        <v/>
      </c>
      <c r="C197" s="62" t="str">
        <f>IF(A197="","",--(COUNTIF(CN_Brands!$A$2:$A$300,UPPER(A197))&gt;0))</f>
        <v/>
      </c>
      <c r="D197" s="64" t="str">
        <f t="shared" si="3"/>
        <v/>
      </c>
      <c r="E197" s="62" t="str">
        <f>IF(OR(B197="",C197&lt;&gt;1),"",1+SUMPRODUCT(($C$2:$C$201=1)*($B$2:$B$201&gt;B197))+COUNTIFS($C$2:C197,1,$B$2:B197,B197)-1)</f>
        <v/>
      </c>
    </row>
    <row r="198" spans="1:5">
      <c r="A198" s="62" t="str">
        <f>IFERROR(INDEX(V1_Calc!$B$2:$B$1001,MATCH(0,INDEX(COUNTIF($A$1:A197,V1_Calc!$B$2:$B$1001)+(V1_Calc!$B$2:$B$1001=""),0,0),0)),"")</f>
        <v/>
      </c>
      <c r="B198" s="63" t="str">
        <f>IF(A198="","",SUMIF(V1_Calc!$B$2:$B$1001,A198,V1_Calc!$D$2:$D$1001))</f>
        <v/>
      </c>
      <c r="C198" s="62" t="str">
        <f>IF(A198="","",--(COUNTIF(CN_Brands!$A$2:$A$300,UPPER(A198))&gt;0))</f>
        <v/>
      </c>
      <c r="D198" s="64" t="str">
        <f t="shared" si="3"/>
        <v/>
      </c>
      <c r="E198" s="62" t="str">
        <f>IF(OR(B198="",C198&lt;&gt;1),"",1+SUMPRODUCT(($C$2:$C$201=1)*($B$2:$B$201&gt;B198))+COUNTIFS($C$2:C198,1,$B$2:B198,B198)-1)</f>
        <v/>
      </c>
    </row>
    <row r="199" spans="1:5">
      <c r="A199" s="62" t="str">
        <f>IFERROR(INDEX(V1_Calc!$B$2:$B$1001,MATCH(0,INDEX(COUNTIF($A$1:A198,V1_Calc!$B$2:$B$1001)+(V1_Calc!$B$2:$B$1001=""),0,0),0)),"")</f>
        <v/>
      </c>
      <c r="B199" s="63" t="str">
        <f>IF(A199="","",SUMIF(V1_Calc!$B$2:$B$1001,A199,V1_Calc!$D$2:$D$1001))</f>
        <v/>
      </c>
      <c r="C199" s="62" t="str">
        <f>IF(A199="","",--(COUNTIF(CN_Brands!$A$2:$A$300,UPPER(A199))&gt;0))</f>
        <v/>
      </c>
      <c r="D199" s="64" t="str">
        <f t="shared" si="3"/>
        <v/>
      </c>
      <c r="E199" s="62" t="str">
        <f>IF(OR(B199="",C199&lt;&gt;1),"",1+SUMPRODUCT(($C$2:$C$201=1)*($B$2:$B$201&gt;B199))+COUNTIFS($C$2:C199,1,$B$2:B199,B199)-1)</f>
        <v/>
      </c>
    </row>
    <row r="200" spans="1:5">
      <c r="A200" s="62" t="str">
        <f>IFERROR(INDEX(V1_Calc!$B$2:$B$1001,MATCH(0,INDEX(COUNTIF($A$1:A199,V1_Calc!$B$2:$B$1001)+(V1_Calc!$B$2:$B$1001=""),0,0),0)),"")</f>
        <v/>
      </c>
      <c r="B200" s="63" t="str">
        <f>IF(A200="","",SUMIF(V1_Calc!$B$2:$B$1001,A200,V1_Calc!$D$2:$D$1001))</f>
        <v/>
      </c>
      <c r="C200" s="62" t="str">
        <f>IF(A200="","",--(COUNTIF(CN_Brands!$A$2:$A$300,UPPER(A200))&gt;0))</f>
        <v/>
      </c>
      <c r="D200" s="64" t="str">
        <f t="shared" si="3"/>
        <v/>
      </c>
      <c r="E200" s="62" t="str">
        <f>IF(OR(B200="",C200&lt;&gt;1),"",1+SUMPRODUCT(($C$2:$C$201=1)*($B$2:$B$201&gt;B200))+COUNTIFS($C$2:C200,1,$B$2:B200,B200)-1)</f>
        <v/>
      </c>
    </row>
    <row r="201" spans="1:5">
      <c r="A201" s="62" t="str">
        <f>IFERROR(INDEX(V1_Calc!$B$2:$B$1001,MATCH(0,INDEX(COUNTIF($A$1:A200,V1_Calc!$B$2:$B$1001)+(V1_Calc!$B$2:$B$1001=""),0,0),0)),"")</f>
        <v/>
      </c>
      <c r="B201" s="63" t="str">
        <f>IF(A201="","",SUMIF(V1_Calc!$B$2:$B$1001,A201,V1_Calc!$D$2:$D$1001))</f>
        <v/>
      </c>
      <c r="C201" s="62" t="str">
        <f>IF(A201="","",--(COUNTIF(CN_Brands!$A$2:$A$300,UPPER(A201))&gt;0))</f>
        <v/>
      </c>
      <c r="D201" s="64" t="str">
        <f t="shared" si="3"/>
        <v/>
      </c>
      <c r="E201" s="62" t="str">
        <f>IF(OR(B201="",C201&lt;&gt;1),"",1+SUMPRODUCT(($C$2:$C$201=1)*($B$2:$B$201&gt;B201))+COUNTIFS($C$2:C201,1,$B$2:B201,B201)-1)</f>
        <v/>
      </c>
    </row>
  </sheetData>
  <mergeCells count="2">
    <mergeCell ref="G1:J1"/>
    <mergeCell ref="G2:J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showGridLines="0" workbookViewId="0">
      <selection activeCell="A1" sqref="A1:D1"/>
    </sheetView>
  </sheetViews>
  <sheetFormatPr defaultColWidth="9" defaultRowHeight="14.5" outlineLevelCol="3"/>
  <cols>
    <col min="1" max="1" width="20" customWidth="1"/>
    <col min="2" max="2" width="18" customWidth="1"/>
    <col min="3" max="3" width="24" customWidth="1"/>
    <col min="4" max="4" width="18" customWidth="1"/>
  </cols>
  <sheetData>
    <row r="1" spans="1:4">
      <c r="A1" s="1" t="str">
        <f>$B$4&amp;" "&amp;$B$3&amp;" 前十整体车型排名"</f>
        <v>2026 七月 泰国 前十整体车型排名</v>
      </c>
      <c r="B1" s="1"/>
      <c r="C1" s="1"/>
      <c r="D1" s="1"/>
    </row>
    <row r="2" spans="1:4">
      <c r="A2" s="51" t="s">
        <v>431</v>
      </c>
      <c r="B2" s="37" t="str">
        <f>IFERROR('Data Export'!A2,"")</f>
        <v>乘用车 注册数据</v>
      </c>
      <c r="C2" s="52" t="s">
        <v>1801</v>
      </c>
      <c r="D2" s="40" t="str">
        <f>IF(COUNTA('Data Export'!$A$2:$A$1300)=0,"无原始数据",IF(COUNTIFS('Data Export'!$A$2:$A$1300,"&lt;&gt;",'Data Export'!$D$2:$D$1300,"")&gt;0,"存在空白车型","正常"))</f>
        <v>正常</v>
      </c>
    </row>
    <row r="3" spans="1:4">
      <c r="A3" s="53" t="s">
        <v>432</v>
      </c>
      <c r="B3" s="54" t="str">
        <f>IFERROR('Data Export'!B2,"")</f>
        <v>泰国</v>
      </c>
      <c r="C3" s="55" t="s">
        <v>1802</v>
      </c>
      <c r="D3" s="56">
        <f>COUNTA('Data Export'!$A$2:$A$1300)</f>
        <v>1093</v>
      </c>
    </row>
    <row r="4" spans="1:4">
      <c r="A4" s="57" t="s">
        <v>1803</v>
      </c>
      <c r="B4" s="42" t="str">
        <f>IFERROR(LOOKUP(2,1/('Data Export'!$G$1:$CZ$1&lt;&gt;""),'Data Export'!$G$1:$CZ$1),"")</f>
        <v>2026 七月</v>
      </c>
      <c r="C4" s="58" t="s">
        <v>1804</v>
      </c>
      <c r="D4" s="45" t="s">
        <v>1805</v>
      </c>
    </row>
    <row r="6" spans="1:4">
      <c r="A6" s="23" t="s">
        <v>1806</v>
      </c>
      <c r="B6" s="23" t="s">
        <v>0</v>
      </c>
      <c r="C6" s="23" t="s">
        <v>433</v>
      </c>
      <c r="D6" s="23" t="s">
        <v>1318</v>
      </c>
    </row>
    <row r="7" spans="1:4">
      <c r="A7">
        <f>ROWS($A$7:A7)</f>
        <v>1</v>
      </c>
      <c r="B7" t="str">
        <f>IFERROR(INDEX(V1_Calc!$B$2:$B$1001,MATCH(A7,V1_Calc!$E$2:$E$1001,0)),"")</f>
        <v>TOYOTA</v>
      </c>
      <c r="C7" t="str">
        <f>IFERROR(INDEX(V1_Calc!$C$2:$C$1001,MATCH(A7,V1_Calc!$E$2:$E$1001,0)),"")</f>
        <v>YARIS ATIV</v>
      </c>
      <c r="D7">
        <f>IFERROR(INDEX(V1_Calc!$D$2:$D$1001,MATCH(A7,V1_Calc!$E$2:$E$1001,0)),"")</f>
        <v>5691</v>
      </c>
    </row>
    <row r="8" spans="1:4">
      <c r="A8">
        <f>ROWS($A$7:A8)</f>
        <v>2</v>
      </c>
      <c r="B8" t="str">
        <f>IFERROR(INDEX(V1_Calc!$B$2:$B$1001,MATCH(A8,V1_Calc!$E$2:$E$1001,0)),"")</f>
        <v>TOYOTA</v>
      </c>
      <c r="C8" t="str">
        <f>IFERROR(INDEX(V1_Calc!$C$2:$C$1001,MATCH(A8,V1_Calc!$E$2:$E$1001,0)),"")</f>
        <v>YARIS CROSS</v>
      </c>
      <c r="D8">
        <f>IFERROR(INDEX(V1_Calc!$D$2:$D$1001,MATCH(A8,V1_Calc!$E$2:$E$1001,0)),"")</f>
        <v>2671</v>
      </c>
    </row>
    <row r="9" spans="1:4">
      <c r="A9">
        <f>ROWS($A$7:A9)</f>
        <v>3</v>
      </c>
      <c r="B9" t="str">
        <f>IFERROR(INDEX(V1_Calc!$B$2:$B$1001,MATCH(A9,V1_Calc!$E$2:$E$1001,0)),"")</f>
        <v>GEELY</v>
      </c>
      <c r="C9" t="str">
        <f>IFERROR(INDEX(V1_Calc!$C$2:$C$1001,MATCH(A9,V1_Calc!$E$2:$E$1001,0)),"")</f>
        <v>EX2</v>
      </c>
      <c r="D9">
        <f>IFERROR(INDEX(V1_Calc!$D$2:$D$1001,MATCH(A9,V1_Calc!$E$2:$E$1001,0)),"")</f>
        <v>2640</v>
      </c>
    </row>
    <row r="10" spans="1:4">
      <c r="A10">
        <f>ROWS($A$7:A10)</f>
        <v>4</v>
      </c>
      <c r="B10" t="str">
        <f>IFERROR(INDEX(V1_Calc!$B$2:$B$1001,MATCH(A10,V1_Calc!$E$2:$E$1001,0)),"")</f>
        <v>JAECOO</v>
      </c>
      <c r="C10" t="str">
        <f>IFERROR(INDEX(V1_Calc!$C$2:$C$1001,MATCH(A10,V1_Calc!$E$2:$E$1001,0)),"")</f>
        <v>5</v>
      </c>
      <c r="D10">
        <f>IFERROR(INDEX(V1_Calc!$D$2:$D$1001,MATCH(A10,V1_Calc!$E$2:$E$1001,0)),"")</f>
        <v>2136</v>
      </c>
    </row>
    <row r="11" spans="1:4">
      <c r="A11">
        <f>ROWS($A$7:A11)</f>
        <v>5</v>
      </c>
      <c r="B11" t="str">
        <f>IFERROR(INDEX(V1_Calc!$B$2:$B$1001,MATCH(A11,V1_Calc!$E$2:$E$1001,0)),"")</f>
        <v>HONDA</v>
      </c>
      <c r="C11" t="str">
        <f>IFERROR(INDEX(V1_Calc!$C$2:$C$1001,MATCH(A11,V1_Calc!$E$2:$E$1001,0)),"")</f>
        <v>HR-V</v>
      </c>
      <c r="D11">
        <f>IFERROR(INDEX(V1_Calc!$D$2:$D$1001,MATCH(A11,V1_Calc!$E$2:$E$1001,0)),"")</f>
        <v>1734</v>
      </c>
    </row>
    <row r="12" spans="1:4">
      <c r="A12">
        <f>ROWS($A$7:A12)</f>
        <v>6</v>
      </c>
      <c r="B12" t="str">
        <f>IFERROR(INDEX(V1_Calc!$B$2:$B$1001,MATCH(A12,V1_Calc!$E$2:$E$1001,0)),"")</f>
        <v>TOYOTA</v>
      </c>
      <c r="C12" t="str">
        <f>IFERROR(INDEX(V1_Calc!$C$2:$C$1001,MATCH(A12,V1_Calc!$E$2:$E$1001,0)),"")</f>
        <v>COROLLA CROSS</v>
      </c>
      <c r="D12">
        <f>IFERROR(INDEX(V1_Calc!$D$2:$D$1001,MATCH(A12,V1_Calc!$E$2:$E$1001,0)),"")</f>
        <v>1418</v>
      </c>
    </row>
    <row r="13" spans="1:4">
      <c r="A13">
        <f>ROWS($A$7:A13)</f>
        <v>7</v>
      </c>
      <c r="B13" t="str">
        <f>IFERROR(INDEX(V1_Calc!$B$2:$B$1001,MATCH(A13,V1_Calc!$E$2:$E$1001,0)),"")</f>
        <v>DEEPAL</v>
      </c>
      <c r="C13" t="str">
        <f>IFERROR(INDEX(V1_Calc!$C$2:$C$1001,MATCH(A13,V1_Calc!$E$2:$E$1001,0)),"")</f>
        <v>S05</v>
      </c>
      <c r="D13">
        <f>IFERROR(INDEX(V1_Calc!$D$2:$D$1001,MATCH(A13,V1_Calc!$E$2:$E$1001,0)),"")</f>
        <v>1416</v>
      </c>
    </row>
    <row r="14" spans="1:4">
      <c r="A14">
        <f>ROWS($A$7:A14)</f>
        <v>8</v>
      </c>
      <c r="B14" t="str">
        <f>IFERROR(INDEX(V1_Calc!$B$2:$B$1001,MATCH(A14,V1_Calc!$E$2:$E$1001,0)),"")</f>
        <v>GWM</v>
      </c>
      <c r="C14" t="str">
        <f>IFERROR(INDEX(V1_Calc!$C$2:$C$1001,MATCH(A14,V1_Calc!$E$2:$E$1001,0)),"")</f>
        <v>ORA 5</v>
      </c>
      <c r="D14">
        <f>IFERROR(INDEX(V1_Calc!$D$2:$D$1001,MATCH(A14,V1_Calc!$E$2:$E$1001,0)),"")</f>
        <v>1399</v>
      </c>
    </row>
    <row r="15" spans="1:4">
      <c r="A15">
        <f>ROWS($A$7:A15)</f>
        <v>9</v>
      </c>
      <c r="B15" t="str">
        <f>IFERROR(INDEX(V1_Calc!$B$2:$B$1001,MATCH(A15,V1_Calc!$E$2:$E$1001,0)),"")</f>
        <v>MG</v>
      </c>
      <c r="C15" t="str">
        <f>IFERROR(INDEX(V1_Calc!$C$2:$C$1001,MATCH(A15,V1_Calc!$E$2:$E$1001,0)),"")</f>
        <v>S5</v>
      </c>
      <c r="D15">
        <f>IFERROR(INDEX(V1_Calc!$D$2:$D$1001,MATCH(A15,V1_Calc!$E$2:$E$1001,0)),"")</f>
        <v>1295</v>
      </c>
    </row>
    <row r="16" spans="1:4">
      <c r="A16" s="59">
        <f>ROWS($A$7:A16)</f>
        <v>10</v>
      </c>
      <c r="B16" s="59" t="str">
        <f>IFERROR(INDEX(V1_Calc!$B$2:$B$1001,MATCH(A16,V1_Calc!$E$2:$E$1001,0)),"")</f>
        <v>AION</v>
      </c>
      <c r="C16" s="59" t="str">
        <f>IFERROR(INDEX(V1_Calc!$C$2:$C$1001,MATCH(A16,V1_Calc!$E$2:$E$1001,0)),"")</f>
        <v>UT</v>
      </c>
      <c r="D16" s="59">
        <f>IFERROR(INDEX(V1_Calc!$D$2:$D$1001,MATCH(A16,V1_Calc!$E$2:$E$1001,0)),"")</f>
        <v>1046</v>
      </c>
    </row>
    <row r="17" spans="1:4">
      <c r="A17" s="60"/>
      <c r="B17" s="60"/>
      <c r="C17" s="60"/>
      <c r="D17" s="60"/>
    </row>
    <row r="18" spans="1:4">
      <c r="A18" s="49" t="s">
        <v>1807</v>
      </c>
      <c r="B18" s="49"/>
      <c r="C18" s="49"/>
      <c r="D18" s="49"/>
    </row>
    <row r="19" spans="1:4">
      <c r="A19" t="s">
        <v>1808</v>
      </c>
    </row>
    <row r="20" spans="1:4">
      <c r="A20" t="s">
        <v>1809</v>
      </c>
    </row>
    <row r="21" spans="1:4">
      <c r="A21" t="s">
        <v>1810</v>
      </c>
    </row>
  </sheetData>
  <mergeCells count="5">
    <mergeCell ref="A1:D1"/>
    <mergeCell ref="A18:D18"/>
    <mergeCell ref="A19:D19"/>
    <mergeCell ref="A20:D20"/>
    <mergeCell ref="A21:D21"/>
  </mergeCells>
  <conditionalFormatting sqref="D7:D16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{df797efc-4b75-4188-8b1b-8f71a0ba281b}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797efc-4b75-4188-8b1b-8f71a0ba281b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D7:D16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showGridLines="0" workbookViewId="0">
      <selection activeCell="A1" sqref="A1:E1"/>
    </sheetView>
  </sheetViews>
  <sheetFormatPr defaultColWidth="9" defaultRowHeight="14.5" outlineLevelCol="4"/>
  <cols>
    <col min="1" max="1" width="13" customWidth="1"/>
    <col min="2" max="2" width="22" customWidth="1"/>
    <col min="3" max="3" width="27" customWidth="1"/>
    <col min="4" max="4" width="16" customWidth="1"/>
    <col min="5" max="5" width="18" customWidth="1"/>
  </cols>
  <sheetData>
    <row r="1" ht="32" customHeight="1" spans="1:5">
      <c r="A1" s="1" t="str">
        <f>前十整体车型排名!$B$4&amp;" 前十中国车型排名"</f>
        <v>2026 七月 前十中国车型排名</v>
      </c>
      <c r="B1" s="1"/>
      <c r="C1" s="1"/>
      <c r="D1" s="1"/>
      <c r="E1" s="1"/>
    </row>
    <row r="2" spans="1:5">
      <c r="A2" s="36" t="s">
        <v>1803</v>
      </c>
      <c r="B2" s="37" t="str">
        <f>前十整体车型排名!$B$4</f>
        <v>2026 七月</v>
      </c>
      <c r="C2" s="38" t="s">
        <v>1811</v>
      </c>
      <c r="D2" s="39" t="s">
        <v>1812</v>
      </c>
      <c r="E2" s="40"/>
    </row>
    <row r="3" spans="1:5">
      <c r="A3" s="41" t="s">
        <v>432</v>
      </c>
      <c r="B3" s="42" t="str">
        <f>前十整体车型排名!$B$3</f>
        <v>泰国</v>
      </c>
      <c r="C3" s="43" t="s">
        <v>1813</v>
      </c>
      <c r="D3" s="44" t="str">
        <f>前十整体车型排名!$B$2</f>
        <v>乘用车 注册数据</v>
      </c>
      <c r="E3" s="45"/>
    </row>
    <row r="6" spans="1:5">
      <c r="A6" s="23" t="s">
        <v>1814</v>
      </c>
      <c r="B6" s="23" t="s">
        <v>0</v>
      </c>
      <c r="C6" s="23" t="s">
        <v>433</v>
      </c>
      <c r="D6" s="23" t="s">
        <v>1321</v>
      </c>
      <c r="E6" s="23" t="s">
        <v>1318</v>
      </c>
    </row>
    <row r="7" spans="1:5">
      <c r="A7" s="24">
        <f>ROWS($A$7:A7)</f>
        <v>1</v>
      </c>
      <c r="B7" s="25" t="str">
        <f>IFERROR(INDEX(V1_Calc!$B$2:$B$1001,MATCH(A7,V1_Calc!$K$2:$K$1001,0)),"")</f>
        <v>GEELY</v>
      </c>
      <c r="C7" s="25" t="str">
        <f>IFERROR(INDEX(V1_Calc!$C$2:$C$1001,MATCH(A7,V1_Calc!$K$2:$K$1001,0)),"")</f>
        <v>EX2</v>
      </c>
      <c r="D7" s="25" t="str">
        <f>IFERROR(INDEX(V1_Calc!$G$2:$G$1001,MATCH(A7,V1_Calc!$K$2:$K$1001,0)),"")</f>
        <v>轿车</v>
      </c>
      <c r="E7" s="26">
        <f>IFERROR(INDEX(V1_Calc!$D$2:$D$1001,MATCH(A7,V1_Calc!$K$2:$K$1001,0)),"")</f>
        <v>2640</v>
      </c>
    </row>
    <row r="8" spans="1:5">
      <c r="A8" s="28">
        <f>ROWS($A$7:A8)</f>
        <v>2</v>
      </c>
      <c r="B8" s="29" t="str">
        <f>IFERROR(INDEX(V1_Calc!$B$2:$B$1001,MATCH(A8,V1_Calc!$K$2:$K$1001,0)),"")</f>
        <v>JAECOO</v>
      </c>
      <c r="C8" s="29" t="str">
        <f>IFERROR(INDEX(V1_Calc!$C$2:$C$1001,MATCH(A8,V1_Calc!$K$2:$K$1001,0)),"")</f>
        <v>5</v>
      </c>
      <c r="D8" s="29" t="str">
        <f>IFERROR(INDEX(V1_Calc!$G$2:$G$1001,MATCH(A8,V1_Calc!$K$2:$K$1001,0)),"")</f>
        <v>SUV</v>
      </c>
      <c r="E8" s="30">
        <f>IFERROR(INDEX(V1_Calc!$D$2:$D$1001,MATCH(A8,V1_Calc!$K$2:$K$1001,0)),"")</f>
        <v>2136</v>
      </c>
    </row>
    <row r="9" spans="1:5">
      <c r="A9" s="28">
        <f>ROWS($A$7:A9)</f>
        <v>3</v>
      </c>
      <c r="B9" s="29" t="str">
        <f>IFERROR(INDEX(V1_Calc!$B$2:$B$1001,MATCH(A9,V1_Calc!$K$2:$K$1001,0)),"")</f>
        <v>DEEPAL</v>
      </c>
      <c r="C9" s="29" t="str">
        <f>IFERROR(INDEX(V1_Calc!$C$2:$C$1001,MATCH(A9,V1_Calc!$K$2:$K$1001,0)),"")</f>
        <v>S05</v>
      </c>
      <c r="D9" s="29" t="str">
        <f>IFERROR(INDEX(V1_Calc!$G$2:$G$1001,MATCH(A9,V1_Calc!$K$2:$K$1001,0)),"")</f>
        <v>SUV</v>
      </c>
      <c r="E9" s="30">
        <f>IFERROR(INDEX(V1_Calc!$D$2:$D$1001,MATCH(A9,V1_Calc!$K$2:$K$1001,0)),"")</f>
        <v>1416</v>
      </c>
    </row>
    <row r="10" spans="1:5">
      <c r="A10" s="28">
        <f>ROWS($A$7:A10)</f>
        <v>4</v>
      </c>
      <c r="B10" s="29" t="str">
        <f>IFERROR(INDEX(V1_Calc!$B$2:$B$1001,MATCH(A10,V1_Calc!$K$2:$K$1001,0)),"")</f>
        <v>GWM</v>
      </c>
      <c r="C10" s="29" t="str">
        <f>IFERROR(INDEX(V1_Calc!$C$2:$C$1001,MATCH(A10,V1_Calc!$K$2:$K$1001,0)),"")</f>
        <v>ORA 5</v>
      </c>
      <c r="D10" s="29" t="str">
        <f>IFERROR(INDEX(V1_Calc!$G$2:$G$1001,MATCH(A10,V1_Calc!$K$2:$K$1001,0)),"")</f>
        <v>SUV</v>
      </c>
      <c r="E10" s="30">
        <f>IFERROR(INDEX(V1_Calc!$D$2:$D$1001,MATCH(A10,V1_Calc!$K$2:$K$1001,0)),"")</f>
        <v>1399</v>
      </c>
    </row>
    <row r="11" spans="1:5">
      <c r="A11" s="28">
        <f>ROWS($A$7:A11)</f>
        <v>5</v>
      </c>
      <c r="B11" s="29" t="str">
        <f>IFERROR(INDEX(V1_Calc!$B$2:$B$1001,MATCH(A11,V1_Calc!$K$2:$K$1001,0)),"")</f>
        <v>MG</v>
      </c>
      <c r="C11" s="29" t="str">
        <f>IFERROR(INDEX(V1_Calc!$C$2:$C$1001,MATCH(A11,V1_Calc!$K$2:$K$1001,0)),"")</f>
        <v>S5</v>
      </c>
      <c r="D11" s="29" t="str">
        <f>IFERROR(INDEX(V1_Calc!$G$2:$G$1001,MATCH(A11,V1_Calc!$K$2:$K$1001,0)),"")</f>
        <v>SUV</v>
      </c>
      <c r="E11" s="30">
        <f>IFERROR(INDEX(V1_Calc!$D$2:$D$1001,MATCH(A11,V1_Calc!$K$2:$K$1001,0)),"")</f>
        <v>1295</v>
      </c>
    </row>
    <row r="12" spans="1:5">
      <c r="A12" s="28">
        <f>ROWS($A$7:A12)</f>
        <v>6</v>
      </c>
      <c r="B12" s="29" t="str">
        <f>IFERROR(INDEX(V1_Calc!$B$2:$B$1001,MATCH(A12,V1_Calc!$K$2:$K$1001,0)),"")</f>
        <v>AION</v>
      </c>
      <c r="C12" s="29" t="str">
        <f>IFERROR(INDEX(V1_Calc!$C$2:$C$1001,MATCH(A12,V1_Calc!$K$2:$K$1001,0)),"")</f>
        <v>UT</v>
      </c>
      <c r="D12" s="29" t="str">
        <f>IFERROR(INDEX(V1_Calc!$G$2:$G$1001,MATCH(A12,V1_Calc!$K$2:$K$1001,0)),"")</f>
        <v>轿车</v>
      </c>
      <c r="E12" s="30">
        <f>IFERROR(INDEX(V1_Calc!$D$2:$D$1001,MATCH(A12,V1_Calc!$K$2:$K$1001,0)),"")</f>
        <v>1046</v>
      </c>
    </row>
    <row r="13" spans="1:5">
      <c r="A13" s="28">
        <f>ROWS($A$7:A13)</f>
        <v>7</v>
      </c>
      <c r="B13" s="29" t="str">
        <f>IFERROR(INDEX(V1_Calc!$B$2:$B$1001,MATCH(A13,V1_Calc!$K$2:$K$1001,0)),"")</f>
        <v>MG</v>
      </c>
      <c r="C13" s="29" t="str">
        <f>IFERROR(INDEX(V1_Calc!$C$2:$C$1001,MATCH(A13,V1_Calc!$K$2:$K$1001,0)),"")</f>
        <v>MG4</v>
      </c>
      <c r="D13" s="29" t="str">
        <f>IFERROR(INDEX(V1_Calc!$G$2:$G$1001,MATCH(A13,V1_Calc!$K$2:$K$1001,0)),"")</f>
        <v>轿车</v>
      </c>
      <c r="E13" s="30">
        <f>IFERROR(INDEX(V1_Calc!$D$2:$D$1001,MATCH(A13,V1_Calc!$K$2:$K$1001,0)),"")</f>
        <v>875</v>
      </c>
    </row>
    <row r="14" spans="1:5">
      <c r="A14" s="28">
        <f>ROWS($A$7:A14)</f>
        <v>8</v>
      </c>
      <c r="B14" s="29" t="str">
        <f>IFERROR(INDEX(V1_Calc!$B$2:$B$1001,MATCH(A14,V1_Calc!$K$2:$K$1001,0)),"")</f>
        <v>CHERY</v>
      </c>
      <c r="C14" s="29" t="str">
        <f>IFERROR(INDEX(V1_Calc!$C$2:$C$1001,MATCH(A14,V1_Calc!$K$2:$K$1001,0)),"")</f>
        <v>V23</v>
      </c>
      <c r="D14" s="29" t="str">
        <f>IFERROR(INDEX(V1_Calc!$G$2:$G$1001,MATCH(A14,V1_Calc!$K$2:$K$1001,0)),"")</f>
        <v>SUV</v>
      </c>
      <c r="E14" s="30">
        <f>IFERROR(INDEX(V1_Calc!$D$2:$D$1001,MATCH(A14,V1_Calc!$K$2:$K$1001,0)),"")</f>
        <v>764</v>
      </c>
    </row>
    <row r="15" spans="1:5">
      <c r="A15" s="28">
        <f>ROWS($A$7:A15)</f>
        <v>9</v>
      </c>
      <c r="B15" s="29" t="str">
        <f>IFERROR(INDEX(V1_Calc!$B$2:$B$1001,MATCH(A15,V1_Calc!$K$2:$K$1001,0)),"")</f>
        <v>JAECOO</v>
      </c>
      <c r="C15" s="29" t="str">
        <f>IFERROR(INDEX(V1_Calc!$C$2:$C$1001,MATCH(A15,V1_Calc!$K$2:$K$1001,0)),"")</f>
        <v>6</v>
      </c>
      <c r="D15" s="29" t="str">
        <f>IFERROR(INDEX(V1_Calc!$G$2:$G$1001,MATCH(A15,V1_Calc!$K$2:$K$1001,0)),"")</f>
        <v>SUV</v>
      </c>
      <c r="E15" s="30">
        <f>IFERROR(INDEX(V1_Calc!$D$2:$D$1001,MATCH(A15,V1_Calc!$K$2:$K$1001,0)),"")</f>
        <v>632</v>
      </c>
    </row>
    <row r="16" spans="1:5">
      <c r="A16" s="46">
        <f>ROWS($A$7:A16)</f>
        <v>10</v>
      </c>
      <c r="B16" s="47" t="str">
        <f>IFERROR(INDEX(V1_Calc!$B$2:$B$1001,MATCH(A16,V1_Calc!$K$2:$K$1001,0)),"")</f>
        <v>BYD</v>
      </c>
      <c r="C16" s="47" t="str">
        <f>IFERROR(INDEX(V1_Calc!$C$2:$C$1001,MATCH(A16,V1_Calc!$K$2:$K$1001,0)),"")</f>
        <v>ATTO 3</v>
      </c>
      <c r="D16" s="47" t="str">
        <f>IFERROR(INDEX(V1_Calc!$G$2:$G$1001,MATCH(A16,V1_Calc!$K$2:$K$1001,0)),"")</f>
        <v>SUV</v>
      </c>
      <c r="E16" s="48">
        <f>IFERROR(INDEX(V1_Calc!$D$2:$D$1001,MATCH(A16,V1_Calc!$K$2:$K$1001,0)),"")</f>
        <v>602</v>
      </c>
    </row>
    <row r="18" spans="1:5">
      <c r="A18" s="49" t="s">
        <v>1807</v>
      </c>
      <c r="B18" s="49"/>
      <c r="C18" s="49"/>
      <c r="D18" s="49"/>
      <c r="E18" s="49"/>
    </row>
    <row r="19" ht="24" customHeight="1" spans="1:5">
      <c r="A19" s="50" t="s">
        <v>1815</v>
      </c>
      <c r="B19" s="50"/>
      <c r="C19" s="50"/>
      <c r="D19" s="50"/>
      <c r="E19" s="50"/>
    </row>
    <row r="20" ht="24" customHeight="1" spans="1:5">
      <c r="A20" s="50" t="s">
        <v>1816</v>
      </c>
      <c r="B20" s="50"/>
      <c r="C20" s="50"/>
      <c r="D20" s="50"/>
      <c r="E20" s="50"/>
    </row>
  </sheetData>
  <mergeCells count="6">
    <mergeCell ref="A1:E1"/>
    <mergeCell ref="D2:E2"/>
    <mergeCell ref="D3:E3"/>
    <mergeCell ref="A18:E18"/>
    <mergeCell ref="A19:E19"/>
    <mergeCell ref="A20:E20"/>
  </mergeCells>
  <conditionalFormatting sqref="E7:E16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{7472a507-e904-4175-9dad-6e00ac51832f}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72a507-e904-4175-9dad-6e00ac51832f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E7:E16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showGridLines="0" workbookViewId="0">
      <selection activeCell="A1" sqref="A1:E1"/>
    </sheetView>
  </sheetViews>
  <sheetFormatPr defaultColWidth="9" defaultRowHeight="14.5" outlineLevelCol="4"/>
  <cols>
    <col min="1" max="1" width="13" customWidth="1"/>
    <col min="2" max="2" width="22" customWidth="1"/>
    <col min="3" max="3" width="27" customWidth="1"/>
    <col min="4" max="4" width="16" customWidth="1"/>
    <col min="5" max="5" width="18" customWidth="1"/>
  </cols>
  <sheetData>
    <row r="1" ht="32" customHeight="1" spans="1:5">
      <c r="A1" s="1" t="str">
        <f>前十整体车型排名!$B$4&amp;" 轿车前十排名"</f>
        <v>2026 七月 轿车前十排名</v>
      </c>
      <c r="B1" s="1"/>
      <c r="C1" s="1"/>
      <c r="D1" s="1"/>
      <c r="E1" s="1"/>
    </row>
    <row r="2" spans="1:5">
      <c r="A2" s="36" t="s">
        <v>1803</v>
      </c>
      <c r="B2" s="37" t="str">
        <f>前十整体车型排名!$B$4</f>
        <v>2026 七月</v>
      </c>
      <c r="C2" s="38" t="s">
        <v>1811</v>
      </c>
      <c r="D2" s="39" t="s">
        <v>1817</v>
      </c>
      <c r="E2" s="40"/>
    </row>
    <row r="3" spans="1:5">
      <c r="A3" s="41" t="s">
        <v>432</v>
      </c>
      <c r="B3" s="42" t="str">
        <f>前十整体车型排名!$B$3</f>
        <v>泰国</v>
      </c>
      <c r="C3" s="43" t="s">
        <v>1813</v>
      </c>
      <c r="D3" s="44" t="str">
        <f>前十整体车型排名!$B$2</f>
        <v>乘用车 注册数据</v>
      </c>
      <c r="E3" s="45"/>
    </row>
    <row r="6" spans="1:5">
      <c r="A6" s="23" t="s">
        <v>1814</v>
      </c>
      <c r="B6" s="23" t="s">
        <v>0</v>
      </c>
      <c r="C6" s="23" t="s">
        <v>433</v>
      </c>
      <c r="D6" s="23" t="s">
        <v>1321</v>
      </c>
      <c r="E6" s="23" t="s">
        <v>1318</v>
      </c>
    </row>
    <row r="7" spans="1:5">
      <c r="A7" s="24">
        <f>ROWS($A$7:A7)</f>
        <v>1</v>
      </c>
      <c r="B7" s="25" t="str">
        <f>IFERROR(INDEX(V1_Calc!$B$2:$B$1001,MATCH(A7,V1_Calc!$L$2:$L$1001,0)),"")</f>
        <v>TOYOTA</v>
      </c>
      <c r="C7" s="25" t="str">
        <f>IFERROR(INDEX(V1_Calc!$C$2:$C$1001,MATCH(A7,V1_Calc!$L$2:$L$1001,0)),"")</f>
        <v>YARIS ATIV</v>
      </c>
      <c r="D7" s="25" t="str">
        <f>IFERROR(INDEX(V1_Calc!$G$2:$G$1001,MATCH(A7,V1_Calc!$L$2:$L$1001,0)),"")</f>
        <v>轿车</v>
      </c>
      <c r="E7" s="26">
        <f>IFERROR(INDEX(V1_Calc!$D$2:$D$1001,MATCH(A7,V1_Calc!$L$2:$L$1001,0)),"")</f>
        <v>5691</v>
      </c>
    </row>
    <row r="8" spans="1:5">
      <c r="A8" s="28">
        <f>ROWS($A$7:A8)</f>
        <v>2</v>
      </c>
      <c r="B8" s="29" t="str">
        <f>IFERROR(INDEX(V1_Calc!$B$2:$B$1001,MATCH(A8,V1_Calc!$L$2:$L$1001,0)),"")</f>
        <v>GEELY</v>
      </c>
      <c r="C8" s="29" t="str">
        <f>IFERROR(INDEX(V1_Calc!$C$2:$C$1001,MATCH(A8,V1_Calc!$L$2:$L$1001,0)),"")</f>
        <v>EX2</v>
      </c>
      <c r="D8" s="29" t="str">
        <f>IFERROR(INDEX(V1_Calc!$G$2:$G$1001,MATCH(A8,V1_Calc!$L$2:$L$1001,0)),"")</f>
        <v>轿车</v>
      </c>
      <c r="E8" s="30">
        <f>IFERROR(INDEX(V1_Calc!$D$2:$D$1001,MATCH(A8,V1_Calc!$L$2:$L$1001,0)),"")</f>
        <v>2640</v>
      </c>
    </row>
    <row r="9" spans="1:5">
      <c r="A9" s="28">
        <f>ROWS($A$7:A9)</f>
        <v>3</v>
      </c>
      <c r="B9" s="29" t="str">
        <f>IFERROR(INDEX(V1_Calc!$B$2:$B$1001,MATCH(A9,V1_Calc!$L$2:$L$1001,0)),"")</f>
        <v>AION</v>
      </c>
      <c r="C9" s="29" t="str">
        <f>IFERROR(INDEX(V1_Calc!$C$2:$C$1001,MATCH(A9,V1_Calc!$L$2:$L$1001,0)),"")</f>
        <v>UT</v>
      </c>
      <c r="D9" s="29" t="str">
        <f>IFERROR(INDEX(V1_Calc!$G$2:$G$1001,MATCH(A9,V1_Calc!$L$2:$L$1001,0)),"")</f>
        <v>轿车</v>
      </c>
      <c r="E9" s="30">
        <f>IFERROR(INDEX(V1_Calc!$D$2:$D$1001,MATCH(A9,V1_Calc!$L$2:$L$1001,0)),"")</f>
        <v>1046</v>
      </c>
    </row>
    <row r="10" spans="1:5">
      <c r="A10" s="28">
        <f>ROWS($A$7:A10)</f>
        <v>4</v>
      </c>
      <c r="B10" s="29" t="str">
        <f>IFERROR(INDEX(V1_Calc!$B$2:$B$1001,MATCH(A10,V1_Calc!$L$2:$L$1001,0)),"")</f>
        <v>MG</v>
      </c>
      <c r="C10" s="29" t="str">
        <f>IFERROR(INDEX(V1_Calc!$C$2:$C$1001,MATCH(A10,V1_Calc!$L$2:$L$1001,0)),"")</f>
        <v>MG4</v>
      </c>
      <c r="D10" s="29" t="str">
        <f>IFERROR(INDEX(V1_Calc!$G$2:$G$1001,MATCH(A10,V1_Calc!$L$2:$L$1001,0)),"")</f>
        <v>轿车</v>
      </c>
      <c r="E10" s="30">
        <f>IFERROR(INDEX(V1_Calc!$D$2:$D$1001,MATCH(A10,V1_Calc!$L$2:$L$1001,0)),"")</f>
        <v>875</v>
      </c>
    </row>
    <row r="11" spans="1:5">
      <c r="A11" s="28">
        <f>ROWS($A$7:A11)</f>
        <v>5</v>
      </c>
      <c r="B11" s="29" t="str">
        <f>IFERROR(INDEX(V1_Calc!$B$2:$B$1001,MATCH(A11,V1_Calc!$L$2:$L$1001,0)),"")</f>
        <v>TESLA</v>
      </c>
      <c r="C11" s="29" t="str">
        <f>IFERROR(INDEX(V1_Calc!$C$2:$C$1001,MATCH(A11,V1_Calc!$L$2:$L$1001,0)),"")</f>
        <v>MODEL 3</v>
      </c>
      <c r="D11" s="29" t="str">
        <f>IFERROR(INDEX(V1_Calc!$G$2:$G$1001,MATCH(A11,V1_Calc!$L$2:$L$1001,0)),"")</f>
        <v>轿车</v>
      </c>
      <c r="E11" s="30">
        <f>IFERROR(INDEX(V1_Calc!$D$2:$D$1001,MATCH(A11,V1_Calc!$L$2:$L$1001,0)),"")</f>
        <v>592</v>
      </c>
    </row>
    <row r="12" spans="1:5">
      <c r="A12" s="28">
        <f>ROWS($A$7:A12)</f>
        <v>6</v>
      </c>
      <c r="B12" s="29" t="str">
        <f>IFERROR(INDEX(V1_Calc!$B$2:$B$1001,MATCH(A12,V1_Calc!$L$2:$L$1001,0)),"")</f>
        <v>BYD</v>
      </c>
      <c r="C12" s="29" t="str">
        <f>IFERROR(INDEX(V1_Calc!$C$2:$C$1001,MATCH(A12,V1_Calc!$L$2:$L$1001,0)),"")</f>
        <v>DOLPHIN</v>
      </c>
      <c r="D12" s="29" t="str">
        <f>IFERROR(INDEX(V1_Calc!$G$2:$G$1001,MATCH(A12,V1_Calc!$L$2:$L$1001,0)),"")</f>
        <v>轿车</v>
      </c>
      <c r="E12" s="30">
        <f>IFERROR(INDEX(V1_Calc!$D$2:$D$1001,MATCH(A12,V1_Calc!$L$2:$L$1001,0)),"")</f>
        <v>533</v>
      </c>
    </row>
    <row r="13" spans="1:5">
      <c r="A13" s="28">
        <f>ROWS($A$7:A13)</f>
        <v>7</v>
      </c>
      <c r="B13" s="29" t="str">
        <f>IFERROR(INDEX(V1_Calc!$B$2:$B$1001,MATCH(A13,V1_Calc!$L$2:$L$1001,0)),"")</f>
        <v>TOYOTA</v>
      </c>
      <c r="C13" s="29" t="str">
        <f>IFERROR(INDEX(V1_Calc!$C$2:$C$1001,MATCH(A13,V1_Calc!$L$2:$L$1001,0)),"")</f>
        <v>CAMRY</v>
      </c>
      <c r="D13" s="29" t="str">
        <f>IFERROR(INDEX(V1_Calc!$G$2:$G$1001,MATCH(A13,V1_Calc!$L$2:$L$1001,0)),"")</f>
        <v>轿车</v>
      </c>
      <c r="E13" s="30">
        <f>IFERROR(INDEX(V1_Calc!$D$2:$D$1001,MATCH(A13,V1_Calc!$L$2:$L$1001,0)),"")</f>
        <v>412</v>
      </c>
    </row>
    <row r="14" spans="1:5">
      <c r="A14" s="28">
        <f>ROWS($A$7:A14)</f>
        <v>8</v>
      </c>
      <c r="B14" s="29" t="str">
        <f>IFERROR(INDEX(V1_Calc!$B$2:$B$1001,MATCH(A14,V1_Calc!$L$2:$L$1001,0)),"")</f>
        <v>CHANGAN</v>
      </c>
      <c r="C14" s="29" t="str">
        <f>IFERROR(INDEX(V1_Calc!$C$2:$C$1001,MATCH(A14,V1_Calc!$L$2:$L$1001,0)),"")</f>
        <v>LUMIN</v>
      </c>
      <c r="D14" s="29" t="str">
        <f>IFERROR(INDEX(V1_Calc!$G$2:$G$1001,MATCH(A14,V1_Calc!$L$2:$L$1001,0)),"")</f>
        <v>轿车</v>
      </c>
      <c r="E14" s="30">
        <f>IFERROR(INDEX(V1_Calc!$D$2:$D$1001,MATCH(A14,V1_Calc!$L$2:$L$1001,0)),"")</f>
        <v>360</v>
      </c>
    </row>
    <row r="15" spans="1:5">
      <c r="A15" s="28">
        <f>ROWS($A$7:A15)</f>
        <v>9</v>
      </c>
      <c r="B15" s="29" t="str">
        <f>IFERROR(INDEX(V1_Calc!$B$2:$B$1001,MATCH(A15,V1_Calc!$L$2:$L$1001,0)),"")</f>
        <v>TOYOTA</v>
      </c>
      <c r="C15" s="29" t="str">
        <f>IFERROR(INDEX(V1_Calc!$C$2:$C$1001,MATCH(A15,V1_Calc!$L$2:$L$1001,0)),"")</f>
        <v>YARIS</v>
      </c>
      <c r="D15" s="29" t="str">
        <f>IFERROR(INDEX(V1_Calc!$G$2:$G$1001,MATCH(A15,V1_Calc!$L$2:$L$1001,0)),"")</f>
        <v>轿车</v>
      </c>
      <c r="E15" s="30">
        <f>IFERROR(INDEX(V1_Calc!$D$2:$D$1001,MATCH(A15,V1_Calc!$L$2:$L$1001,0)),"")</f>
        <v>332</v>
      </c>
    </row>
    <row r="16" spans="1:5">
      <c r="A16" s="46">
        <f>ROWS($A$7:A16)</f>
        <v>10</v>
      </c>
      <c r="B16" s="47" t="str">
        <f>IFERROR(INDEX(V1_Calc!$B$2:$B$1001,MATCH(A16,V1_Calc!$L$2:$L$1001,0)),"")</f>
        <v>BYD</v>
      </c>
      <c r="C16" s="47" t="str">
        <f>IFERROR(INDEX(V1_Calc!$C$2:$C$1001,MATCH(A16,V1_Calc!$L$2:$L$1001,0)),"")</f>
        <v>ATTO 1</v>
      </c>
      <c r="D16" s="47" t="str">
        <f>IFERROR(INDEX(V1_Calc!$G$2:$G$1001,MATCH(A16,V1_Calc!$L$2:$L$1001,0)),"")</f>
        <v>轿车</v>
      </c>
      <c r="E16" s="48">
        <f>IFERROR(INDEX(V1_Calc!$D$2:$D$1001,MATCH(A16,V1_Calc!$L$2:$L$1001,0)),"")</f>
        <v>310</v>
      </c>
    </row>
    <row r="18" spans="1:5">
      <c r="A18" s="49" t="s">
        <v>1807</v>
      </c>
      <c r="B18" s="49"/>
      <c r="C18" s="49"/>
      <c r="D18" s="49"/>
      <c r="E18" s="49"/>
    </row>
    <row r="19" ht="24" customHeight="1" spans="1:5">
      <c r="A19" s="50" t="s">
        <v>1815</v>
      </c>
      <c r="B19" s="50"/>
      <c r="C19" s="50"/>
      <c r="D19" s="50"/>
      <c r="E19" s="50"/>
    </row>
    <row r="20" ht="24" customHeight="1" spans="1:5">
      <c r="A20" s="50" t="s">
        <v>1818</v>
      </c>
      <c r="B20" s="50"/>
      <c r="C20" s="50"/>
      <c r="D20" s="50"/>
      <c r="E20" s="50"/>
    </row>
  </sheetData>
  <mergeCells count="6">
    <mergeCell ref="A1:E1"/>
    <mergeCell ref="D2:E2"/>
    <mergeCell ref="D3:E3"/>
    <mergeCell ref="A18:E18"/>
    <mergeCell ref="A19:E19"/>
    <mergeCell ref="A20:E20"/>
  </mergeCells>
  <conditionalFormatting sqref="E7:E16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{37ba7a55-3f84-478b-a57d-435bc7b29770}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ba7a55-3f84-478b-a57d-435bc7b29770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E7:E16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showGridLines="0" workbookViewId="0">
      <selection activeCell="A1" sqref="A1:E1"/>
    </sheetView>
  </sheetViews>
  <sheetFormatPr defaultColWidth="9" defaultRowHeight="14.5" outlineLevelCol="4"/>
  <cols>
    <col min="1" max="1" width="13" customWidth="1"/>
    <col min="2" max="2" width="22" customWidth="1"/>
    <col min="3" max="3" width="27" customWidth="1"/>
    <col min="4" max="4" width="16" customWidth="1"/>
    <col min="5" max="5" width="18" customWidth="1"/>
  </cols>
  <sheetData>
    <row r="1" ht="32" customHeight="1" spans="1:5">
      <c r="A1" s="1" t="str">
        <f>前十整体车型排名!$B$4&amp;" MPV前十排名"</f>
        <v>2026 七月 MPV前十排名</v>
      </c>
      <c r="B1" s="1"/>
      <c r="C1" s="1"/>
      <c r="D1" s="1"/>
      <c r="E1" s="1"/>
    </row>
    <row r="2" spans="1:5">
      <c r="A2" s="36" t="s">
        <v>1803</v>
      </c>
      <c r="B2" s="37" t="str">
        <f>前十整体车型排名!$B$4</f>
        <v>2026 七月</v>
      </c>
      <c r="C2" s="38" t="s">
        <v>1811</v>
      </c>
      <c r="D2" s="39" t="s">
        <v>1819</v>
      </c>
      <c r="E2" s="40"/>
    </row>
    <row r="3" spans="1:5">
      <c r="A3" s="41" t="s">
        <v>432</v>
      </c>
      <c r="B3" s="42" t="str">
        <f>前十整体车型排名!$B$3</f>
        <v>泰国</v>
      </c>
      <c r="C3" s="43" t="s">
        <v>1813</v>
      </c>
      <c r="D3" s="44" t="str">
        <f>前十整体车型排名!$B$2</f>
        <v>乘用车 注册数据</v>
      </c>
      <c r="E3" s="45"/>
    </row>
    <row r="6" spans="1:5">
      <c r="A6" s="23" t="s">
        <v>1814</v>
      </c>
      <c r="B6" s="23" t="s">
        <v>0</v>
      </c>
      <c r="C6" s="23" t="s">
        <v>433</v>
      </c>
      <c r="D6" s="23" t="s">
        <v>1321</v>
      </c>
      <c r="E6" s="23" t="s">
        <v>1318</v>
      </c>
    </row>
    <row r="7" spans="1:5">
      <c r="A7" s="24">
        <f>ROWS($A$7:A7)</f>
        <v>1</v>
      </c>
      <c r="B7" s="25" t="str">
        <f>IFERROR(INDEX(V1_Calc!$B$2:$B$1001,MATCH(A7,V1_Calc!$M$2:$M$1001,0)),"")</f>
        <v>TOYOTA</v>
      </c>
      <c r="C7" s="25" t="str">
        <f>IFERROR(INDEX(V1_Calc!$C$2:$C$1001,MATCH(A7,V1_Calc!$M$2:$M$1001,0)),"")</f>
        <v>VELOZ</v>
      </c>
      <c r="D7" s="25" t="str">
        <f>IFERROR(INDEX(V1_Calc!$G$2:$G$1001,MATCH(A7,V1_Calc!$M$2:$M$1001,0)),"")</f>
        <v>MPV</v>
      </c>
      <c r="E7" s="26">
        <f>IFERROR(INDEX(V1_Calc!$D$2:$D$1001,MATCH(A7,V1_Calc!$M$2:$M$1001,0)),"")</f>
        <v>274</v>
      </c>
    </row>
    <row r="8" spans="1:5">
      <c r="A8" s="28">
        <f>ROWS($A$7:A8)</f>
        <v>2</v>
      </c>
      <c r="B8" s="29" t="str">
        <f>IFERROR(INDEX(V1_Calc!$B$2:$B$1001,MATCH(A8,V1_Calc!$M$2:$M$1001,0)),"")</f>
        <v>HYUNDAI</v>
      </c>
      <c r="C8" s="29" t="str">
        <f>IFERROR(INDEX(V1_Calc!$C$2:$C$1001,MATCH(A8,V1_Calc!$M$2:$M$1001,0)),"")</f>
        <v>STARGAZER</v>
      </c>
      <c r="D8" s="29" t="str">
        <f>IFERROR(INDEX(V1_Calc!$G$2:$G$1001,MATCH(A8,V1_Calc!$M$2:$M$1001,0)),"")</f>
        <v>MPV</v>
      </c>
      <c r="E8" s="30">
        <f>IFERROR(INDEX(V1_Calc!$D$2:$D$1001,MATCH(A8,V1_Calc!$M$2:$M$1001,0)),"")</f>
        <v>26</v>
      </c>
    </row>
    <row r="9" spans="1:5">
      <c r="A9" s="28">
        <f>ROWS($A$7:A9)</f>
        <v>3</v>
      </c>
      <c r="B9" s="29" t="str">
        <f>IFERROR(INDEX(V1_Calc!$B$2:$B$1001,MATCH(A9,V1_Calc!$M$2:$M$1001,0)),"")</f>
        <v>BYD</v>
      </c>
      <c r="C9" s="29" t="str">
        <f>IFERROR(INDEX(V1_Calc!$C$2:$C$1001,MATCH(A9,V1_Calc!$M$2:$M$1001,0)),"")</f>
        <v>E6</v>
      </c>
      <c r="D9" s="29" t="str">
        <f>IFERROR(INDEX(V1_Calc!$G$2:$G$1001,MATCH(A9,V1_Calc!$M$2:$M$1001,0)),"")</f>
        <v>MPV</v>
      </c>
      <c r="E9" s="30">
        <f>IFERROR(INDEX(V1_Calc!$D$2:$D$1001,MATCH(A9,V1_Calc!$M$2:$M$1001,0)),"")</f>
        <v>1</v>
      </c>
    </row>
    <row r="10" spans="1:5">
      <c r="A10" s="28">
        <f>ROWS($A$7:A10)</f>
        <v>4</v>
      </c>
      <c r="B10" s="29" t="str">
        <f>IFERROR(INDEX(V1_Calc!$B$2:$B$1001,MATCH(A10,V1_Calc!$M$2:$M$1001,0)),"")</f>
        <v>HONDA</v>
      </c>
      <c r="C10" s="29" t="str">
        <f>IFERROR(INDEX(V1_Calc!$C$2:$C$1001,MATCH(A10,V1_Calc!$M$2:$M$1001,0)),"")</f>
        <v>FREED</v>
      </c>
      <c r="D10" s="29" t="str">
        <f>IFERROR(INDEX(V1_Calc!$G$2:$G$1001,MATCH(A10,V1_Calc!$M$2:$M$1001,0)),"")</f>
        <v>MPV</v>
      </c>
      <c r="E10" s="30">
        <f>IFERROR(INDEX(V1_Calc!$D$2:$D$1001,MATCH(A10,V1_Calc!$M$2:$M$1001,0)),"")</f>
        <v>0</v>
      </c>
    </row>
    <row r="11" spans="1:5">
      <c r="A11" s="28">
        <f>ROWS($A$7:A11)</f>
        <v>5</v>
      </c>
      <c r="B11" s="29" t="str">
        <f>IFERROR(INDEX(V1_Calc!$B$2:$B$1001,MATCH(A11,V1_Calc!$M$2:$M$1001,0)),"")</f>
        <v>HONDA</v>
      </c>
      <c r="C11" s="29" t="str">
        <f>IFERROR(INDEX(V1_Calc!$C$2:$C$1001,MATCH(A11,V1_Calc!$M$2:$M$1001,0)),"")</f>
        <v>MOBILIO</v>
      </c>
      <c r="D11" s="29" t="str">
        <f>IFERROR(INDEX(V1_Calc!$G$2:$G$1001,MATCH(A11,V1_Calc!$M$2:$M$1001,0)),"")</f>
        <v>MPV</v>
      </c>
      <c r="E11" s="30">
        <f>IFERROR(INDEX(V1_Calc!$D$2:$D$1001,MATCH(A11,V1_Calc!$M$2:$M$1001,0)),"")</f>
        <v>0</v>
      </c>
    </row>
    <row r="12" spans="1:5">
      <c r="A12" s="28">
        <f>ROWS($A$7:A12)</f>
        <v>6</v>
      </c>
      <c r="B12" s="29" t="str">
        <f>IFERROR(INDEX(V1_Calc!$B$2:$B$1001,MATCH(A12,V1_Calc!$M$2:$M$1001,0)),"")</f>
        <v>SUZUKI</v>
      </c>
      <c r="C12" s="29" t="str">
        <f>IFERROR(INDEX(V1_Calc!$C$2:$C$1001,MATCH(A12,V1_Calc!$M$2:$M$1001,0)),"")</f>
        <v>ERTIGA</v>
      </c>
      <c r="D12" s="29" t="str">
        <f>IFERROR(INDEX(V1_Calc!$G$2:$G$1001,MATCH(A12,V1_Calc!$M$2:$M$1001,0)),"")</f>
        <v>MPV</v>
      </c>
      <c r="E12" s="30">
        <f>IFERROR(INDEX(V1_Calc!$D$2:$D$1001,MATCH(A12,V1_Calc!$M$2:$M$1001,0)),"")</f>
        <v>0</v>
      </c>
    </row>
    <row r="13" spans="1:5">
      <c r="A13" s="28">
        <f>ROWS($A$7:A13)</f>
        <v>7</v>
      </c>
      <c r="B13" s="29" t="str">
        <f>IFERROR(INDEX(V1_Calc!$B$2:$B$1001,MATCH(A13,V1_Calc!$M$2:$M$1001,0)),"")</f>
        <v>TOYOTA</v>
      </c>
      <c r="C13" s="29" t="str">
        <f>IFERROR(INDEX(V1_Calc!$C$2:$C$1001,MATCH(A13,V1_Calc!$M$2:$M$1001,0)),"")</f>
        <v>SIENTA</v>
      </c>
      <c r="D13" s="29" t="str">
        <f>IFERROR(INDEX(V1_Calc!$G$2:$G$1001,MATCH(A13,V1_Calc!$M$2:$M$1001,0)),"")</f>
        <v>MPV</v>
      </c>
      <c r="E13" s="30">
        <f>IFERROR(INDEX(V1_Calc!$D$2:$D$1001,MATCH(A13,V1_Calc!$M$2:$M$1001,0)),"")</f>
        <v>0</v>
      </c>
    </row>
    <row r="14" spans="1:5">
      <c r="A14" s="28">
        <f>ROWS($A$7:A14)</f>
        <v>8</v>
      </c>
      <c r="B14" s="29" t="str">
        <f>IFERROR(INDEX(V1_Calc!$B$2:$B$1001,MATCH(A14,V1_Calc!$M$2:$M$1001,0)),"")</f>
        <v/>
      </c>
      <c r="C14" s="29" t="str">
        <f>IFERROR(INDEX(V1_Calc!$C$2:$C$1001,MATCH(A14,V1_Calc!$M$2:$M$1001,0)),"")</f>
        <v/>
      </c>
      <c r="D14" s="29" t="str">
        <f>IFERROR(INDEX(V1_Calc!$G$2:$G$1001,MATCH(A14,V1_Calc!$M$2:$M$1001,0)),"")</f>
        <v/>
      </c>
      <c r="E14" s="30" t="str">
        <f>IFERROR(INDEX(V1_Calc!$D$2:$D$1001,MATCH(A14,V1_Calc!$M$2:$M$1001,0)),"")</f>
        <v/>
      </c>
    </row>
    <row r="15" spans="1:5">
      <c r="A15" s="28">
        <f>ROWS($A$7:A15)</f>
        <v>9</v>
      </c>
      <c r="B15" s="29" t="str">
        <f>IFERROR(INDEX(V1_Calc!$B$2:$B$1001,MATCH(A15,V1_Calc!$M$2:$M$1001,0)),"")</f>
        <v/>
      </c>
      <c r="C15" s="29" t="str">
        <f>IFERROR(INDEX(V1_Calc!$C$2:$C$1001,MATCH(A15,V1_Calc!$M$2:$M$1001,0)),"")</f>
        <v/>
      </c>
      <c r="D15" s="29" t="str">
        <f>IFERROR(INDEX(V1_Calc!$G$2:$G$1001,MATCH(A15,V1_Calc!$M$2:$M$1001,0)),"")</f>
        <v/>
      </c>
      <c r="E15" s="30" t="str">
        <f>IFERROR(INDEX(V1_Calc!$D$2:$D$1001,MATCH(A15,V1_Calc!$M$2:$M$1001,0)),"")</f>
        <v/>
      </c>
    </row>
    <row r="16" spans="1:5">
      <c r="A16" s="46">
        <f>ROWS($A$7:A16)</f>
        <v>10</v>
      </c>
      <c r="B16" s="47" t="str">
        <f>IFERROR(INDEX(V1_Calc!$B$2:$B$1001,MATCH(A16,V1_Calc!$M$2:$M$1001,0)),"")</f>
        <v/>
      </c>
      <c r="C16" s="47" t="str">
        <f>IFERROR(INDEX(V1_Calc!$C$2:$C$1001,MATCH(A16,V1_Calc!$M$2:$M$1001,0)),"")</f>
        <v/>
      </c>
      <c r="D16" s="47" t="str">
        <f>IFERROR(INDEX(V1_Calc!$G$2:$G$1001,MATCH(A16,V1_Calc!$M$2:$M$1001,0)),"")</f>
        <v/>
      </c>
      <c r="E16" s="48" t="str">
        <f>IFERROR(INDEX(V1_Calc!$D$2:$D$1001,MATCH(A16,V1_Calc!$M$2:$M$1001,0)),"")</f>
        <v/>
      </c>
    </row>
    <row r="18" spans="1:5">
      <c r="A18" s="49" t="s">
        <v>1807</v>
      </c>
      <c r="B18" s="49"/>
      <c r="C18" s="49"/>
      <c r="D18" s="49"/>
      <c r="E18" s="49"/>
    </row>
    <row r="19" ht="24" customHeight="1" spans="1:5">
      <c r="A19" s="50" t="s">
        <v>1815</v>
      </c>
      <c r="B19" s="50"/>
      <c r="C19" s="50"/>
      <c r="D19" s="50"/>
      <c r="E19" s="50"/>
    </row>
    <row r="20" ht="24" customHeight="1" spans="1:5">
      <c r="A20" s="50" t="s">
        <v>1820</v>
      </c>
      <c r="B20" s="50"/>
      <c r="C20" s="50"/>
      <c r="D20" s="50"/>
      <c r="E20" s="50"/>
    </row>
  </sheetData>
  <mergeCells count="6">
    <mergeCell ref="A1:E1"/>
    <mergeCell ref="D2:E2"/>
    <mergeCell ref="D3:E3"/>
    <mergeCell ref="A18:E18"/>
    <mergeCell ref="A19:E19"/>
    <mergeCell ref="A20:E20"/>
  </mergeCells>
  <conditionalFormatting sqref="E7:E16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{f162a0b7-2611-4daa-a5b8-2558f6e4fc07}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62a0b7-2611-4daa-a5b8-2558f6e4fc07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E7:E16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showGridLines="0" workbookViewId="0">
      <selection activeCell="A1" sqref="A1:E1"/>
    </sheetView>
  </sheetViews>
  <sheetFormatPr defaultColWidth="9" defaultRowHeight="14.5" outlineLevelCol="4"/>
  <cols>
    <col min="1" max="1" width="13" customWidth="1"/>
    <col min="2" max="2" width="22" customWidth="1"/>
    <col min="3" max="3" width="27" customWidth="1"/>
    <col min="4" max="4" width="16" customWidth="1"/>
    <col min="5" max="5" width="18" customWidth="1"/>
  </cols>
  <sheetData>
    <row r="1" ht="32" customHeight="1" spans="1:5">
      <c r="A1" s="1" t="str">
        <f>前十整体车型排名!$B$4&amp;" SUV前十排名"</f>
        <v>2026 七月 SUV前十排名</v>
      </c>
      <c r="B1" s="1"/>
      <c r="C1" s="1"/>
      <c r="D1" s="1"/>
      <c r="E1" s="1"/>
    </row>
    <row r="2" spans="1:5">
      <c r="A2" s="36" t="s">
        <v>1803</v>
      </c>
      <c r="B2" s="37" t="str">
        <f>前十整体车型排名!$B$4</f>
        <v>2026 七月</v>
      </c>
      <c r="C2" s="38" t="s">
        <v>1811</v>
      </c>
      <c r="D2" s="39" t="s">
        <v>1821</v>
      </c>
      <c r="E2" s="40"/>
    </row>
    <row r="3" spans="1:5">
      <c r="A3" s="41" t="s">
        <v>432</v>
      </c>
      <c r="B3" s="42" t="str">
        <f>前十整体车型排名!$B$3</f>
        <v>泰国</v>
      </c>
      <c r="C3" s="43" t="s">
        <v>1813</v>
      </c>
      <c r="D3" s="44" t="str">
        <f>前十整体车型排名!$B$2</f>
        <v>乘用车 注册数据</v>
      </c>
      <c r="E3" s="45"/>
    </row>
    <row r="6" spans="1:5">
      <c r="A6" s="23" t="s">
        <v>1814</v>
      </c>
      <c r="B6" s="23" t="s">
        <v>0</v>
      </c>
      <c r="C6" s="23" t="s">
        <v>433</v>
      </c>
      <c r="D6" s="23" t="s">
        <v>1321</v>
      </c>
      <c r="E6" s="23" t="s">
        <v>1318</v>
      </c>
    </row>
    <row r="7" spans="1:5">
      <c r="A7" s="24">
        <f>ROWS($A$7:A7)</f>
        <v>1</v>
      </c>
      <c r="B7" s="25" t="str">
        <f>IFERROR(INDEX(V1_Calc!$B$2:$B$1001,MATCH(A7,V1_Calc!$N$2:$N$1001,0)),"")</f>
        <v>TOYOTA</v>
      </c>
      <c r="C7" s="25" t="str">
        <f>IFERROR(INDEX(V1_Calc!$C$2:$C$1001,MATCH(A7,V1_Calc!$N$2:$N$1001,0)),"")</f>
        <v>YARIS CROSS</v>
      </c>
      <c r="D7" s="25" t="str">
        <f>IFERROR(INDEX(V1_Calc!$G$2:$G$1001,MATCH(A7,V1_Calc!$N$2:$N$1001,0)),"")</f>
        <v>SUV</v>
      </c>
      <c r="E7" s="26">
        <f>IFERROR(INDEX(V1_Calc!$D$2:$D$1001,MATCH(A7,V1_Calc!$N$2:$N$1001,0)),"")</f>
        <v>2671</v>
      </c>
    </row>
    <row r="8" spans="1:5">
      <c r="A8" s="28">
        <f>ROWS($A$7:A8)</f>
        <v>2</v>
      </c>
      <c r="B8" s="29" t="str">
        <f>IFERROR(INDEX(V1_Calc!$B$2:$B$1001,MATCH(A8,V1_Calc!$N$2:$N$1001,0)),"")</f>
        <v>JAECOO</v>
      </c>
      <c r="C8" s="29" t="str">
        <f>IFERROR(INDEX(V1_Calc!$C$2:$C$1001,MATCH(A8,V1_Calc!$N$2:$N$1001,0)),"")</f>
        <v>5</v>
      </c>
      <c r="D8" s="29" t="str">
        <f>IFERROR(INDEX(V1_Calc!$G$2:$G$1001,MATCH(A8,V1_Calc!$N$2:$N$1001,0)),"")</f>
        <v>SUV</v>
      </c>
      <c r="E8" s="30">
        <f>IFERROR(INDEX(V1_Calc!$D$2:$D$1001,MATCH(A8,V1_Calc!$N$2:$N$1001,0)),"")</f>
        <v>2136</v>
      </c>
    </row>
    <row r="9" spans="1:5">
      <c r="A9" s="28">
        <f>ROWS($A$7:A9)</f>
        <v>3</v>
      </c>
      <c r="B9" s="29" t="str">
        <f>IFERROR(INDEX(V1_Calc!$B$2:$B$1001,MATCH(A9,V1_Calc!$N$2:$N$1001,0)),"")</f>
        <v>HONDA</v>
      </c>
      <c r="C9" s="29" t="str">
        <f>IFERROR(INDEX(V1_Calc!$C$2:$C$1001,MATCH(A9,V1_Calc!$N$2:$N$1001,0)),"")</f>
        <v>HR-V</v>
      </c>
      <c r="D9" s="29" t="str">
        <f>IFERROR(INDEX(V1_Calc!$G$2:$G$1001,MATCH(A9,V1_Calc!$N$2:$N$1001,0)),"")</f>
        <v>SUV</v>
      </c>
      <c r="E9" s="30">
        <f>IFERROR(INDEX(V1_Calc!$D$2:$D$1001,MATCH(A9,V1_Calc!$N$2:$N$1001,0)),"")</f>
        <v>1734</v>
      </c>
    </row>
    <row r="10" spans="1:5">
      <c r="A10" s="28">
        <f>ROWS($A$7:A10)</f>
        <v>4</v>
      </c>
      <c r="B10" s="29" t="str">
        <f>IFERROR(INDEX(V1_Calc!$B$2:$B$1001,MATCH(A10,V1_Calc!$N$2:$N$1001,0)),"")</f>
        <v>TOYOTA</v>
      </c>
      <c r="C10" s="29" t="str">
        <f>IFERROR(INDEX(V1_Calc!$C$2:$C$1001,MATCH(A10,V1_Calc!$N$2:$N$1001,0)),"")</f>
        <v>COROLLA CROSS</v>
      </c>
      <c r="D10" s="29" t="str">
        <f>IFERROR(INDEX(V1_Calc!$G$2:$G$1001,MATCH(A10,V1_Calc!$N$2:$N$1001,0)),"")</f>
        <v>SUV</v>
      </c>
      <c r="E10" s="30">
        <f>IFERROR(INDEX(V1_Calc!$D$2:$D$1001,MATCH(A10,V1_Calc!$N$2:$N$1001,0)),"")</f>
        <v>1418</v>
      </c>
    </row>
    <row r="11" spans="1:5">
      <c r="A11" s="28">
        <f>ROWS($A$7:A11)</f>
        <v>5</v>
      </c>
      <c r="B11" s="29" t="str">
        <f>IFERROR(INDEX(V1_Calc!$B$2:$B$1001,MATCH(A11,V1_Calc!$N$2:$N$1001,0)),"")</f>
        <v>DEEPAL</v>
      </c>
      <c r="C11" s="29" t="str">
        <f>IFERROR(INDEX(V1_Calc!$C$2:$C$1001,MATCH(A11,V1_Calc!$N$2:$N$1001,0)),"")</f>
        <v>S05</v>
      </c>
      <c r="D11" s="29" t="str">
        <f>IFERROR(INDEX(V1_Calc!$G$2:$G$1001,MATCH(A11,V1_Calc!$N$2:$N$1001,0)),"")</f>
        <v>SUV</v>
      </c>
      <c r="E11" s="30">
        <f>IFERROR(INDEX(V1_Calc!$D$2:$D$1001,MATCH(A11,V1_Calc!$N$2:$N$1001,0)),"")</f>
        <v>1416</v>
      </c>
    </row>
    <row r="12" spans="1:5">
      <c r="A12" s="28">
        <f>ROWS($A$7:A12)</f>
        <v>6</v>
      </c>
      <c r="B12" s="29" t="str">
        <f>IFERROR(INDEX(V1_Calc!$B$2:$B$1001,MATCH(A12,V1_Calc!$N$2:$N$1001,0)),"")</f>
        <v>GWM</v>
      </c>
      <c r="C12" s="29" t="str">
        <f>IFERROR(INDEX(V1_Calc!$C$2:$C$1001,MATCH(A12,V1_Calc!$N$2:$N$1001,0)),"")</f>
        <v>ORA 5</v>
      </c>
      <c r="D12" s="29" t="str">
        <f>IFERROR(INDEX(V1_Calc!$G$2:$G$1001,MATCH(A12,V1_Calc!$N$2:$N$1001,0)),"")</f>
        <v>SUV</v>
      </c>
      <c r="E12" s="30">
        <f>IFERROR(INDEX(V1_Calc!$D$2:$D$1001,MATCH(A12,V1_Calc!$N$2:$N$1001,0)),"")</f>
        <v>1399</v>
      </c>
    </row>
    <row r="13" spans="1:5">
      <c r="A13" s="28">
        <f>ROWS($A$7:A13)</f>
        <v>7</v>
      </c>
      <c r="B13" s="29" t="str">
        <f>IFERROR(INDEX(V1_Calc!$B$2:$B$1001,MATCH(A13,V1_Calc!$N$2:$N$1001,0)),"")</f>
        <v>MG</v>
      </c>
      <c r="C13" s="29" t="str">
        <f>IFERROR(INDEX(V1_Calc!$C$2:$C$1001,MATCH(A13,V1_Calc!$N$2:$N$1001,0)),"")</f>
        <v>S5</v>
      </c>
      <c r="D13" s="29" t="str">
        <f>IFERROR(INDEX(V1_Calc!$G$2:$G$1001,MATCH(A13,V1_Calc!$N$2:$N$1001,0)),"")</f>
        <v>SUV</v>
      </c>
      <c r="E13" s="30">
        <f>IFERROR(INDEX(V1_Calc!$D$2:$D$1001,MATCH(A13,V1_Calc!$N$2:$N$1001,0)),"")</f>
        <v>1295</v>
      </c>
    </row>
    <row r="14" spans="1:5">
      <c r="A14" s="28">
        <f>ROWS($A$7:A14)</f>
        <v>8</v>
      </c>
      <c r="B14" s="29" t="str">
        <f>IFERROR(INDEX(V1_Calc!$B$2:$B$1001,MATCH(A14,V1_Calc!$N$2:$N$1001,0)),"")</f>
        <v>TOYOTA</v>
      </c>
      <c r="C14" s="29" t="str">
        <f>IFERROR(INDEX(V1_Calc!$C$2:$C$1001,MATCH(A14,V1_Calc!$N$2:$N$1001,0)),"")</f>
        <v>FORTUNER</v>
      </c>
      <c r="D14" s="29" t="str">
        <f>IFERROR(INDEX(V1_Calc!$G$2:$G$1001,MATCH(A14,V1_Calc!$N$2:$N$1001,0)),"")</f>
        <v>SUV</v>
      </c>
      <c r="E14" s="30">
        <f>IFERROR(INDEX(V1_Calc!$D$2:$D$1001,MATCH(A14,V1_Calc!$N$2:$N$1001,0)),"")</f>
        <v>957</v>
      </c>
    </row>
    <row r="15" spans="1:5">
      <c r="A15" s="28">
        <f>ROWS($A$7:A15)</f>
        <v>9</v>
      </c>
      <c r="B15" s="29" t="str">
        <f>IFERROR(INDEX(V1_Calc!$B$2:$B$1001,MATCH(A15,V1_Calc!$N$2:$N$1001,0)),"")</f>
        <v>CHERY</v>
      </c>
      <c r="C15" s="29" t="str">
        <f>IFERROR(INDEX(V1_Calc!$C$2:$C$1001,MATCH(A15,V1_Calc!$N$2:$N$1001,0)),"")</f>
        <v>V23</v>
      </c>
      <c r="D15" s="29" t="str">
        <f>IFERROR(INDEX(V1_Calc!$G$2:$G$1001,MATCH(A15,V1_Calc!$N$2:$N$1001,0)),"")</f>
        <v>SUV</v>
      </c>
      <c r="E15" s="30">
        <f>IFERROR(INDEX(V1_Calc!$D$2:$D$1001,MATCH(A15,V1_Calc!$N$2:$N$1001,0)),"")</f>
        <v>764</v>
      </c>
    </row>
    <row r="16" spans="1:5">
      <c r="A16" s="46">
        <f>ROWS($A$7:A16)</f>
        <v>10</v>
      </c>
      <c r="B16" s="47" t="str">
        <f>IFERROR(INDEX(V1_Calc!$B$2:$B$1001,MATCH(A16,V1_Calc!$N$2:$N$1001,0)),"")</f>
        <v>ISUZU</v>
      </c>
      <c r="C16" s="47" t="str">
        <f>IFERROR(INDEX(V1_Calc!$C$2:$C$1001,MATCH(A16,V1_Calc!$N$2:$N$1001,0)),"")</f>
        <v>MU-X</v>
      </c>
      <c r="D16" s="47" t="str">
        <f>IFERROR(INDEX(V1_Calc!$G$2:$G$1001,MATCH(A16,V1_Calc!$N$2:$N$1001,0)),"")</f>
        <v>SUV</v>
      </c>
      <c r="E16" s="48">
        <f>IFERROR(INDEX(V1_Calc!$D$2:$D$1001,MATCH(A16,V1_Calc!$N$2:$N$1001,0)),"")</f>
        <v>737</v>
      </c>
    </row>
    <row r="18" spans="1:5">
      <c r="A18" s="49" t="s">
        <v>1807</v>
      </c>
      <c r="B18" s="49"/>
      <c r="C18" s="49"/>
      <c r="D18" s="49"/>
      <c r="E18" s="49"/>
    </row>
    <row r="19" ht="24" customHeight="1" spans="1:5">
      <c r="A19" s="50" t="s">
        <v>1815</v>
      </c>
      <c r="B19" s="50"/>
      <c r="C19" s="50"/>
      <c r="D19" s="50"/>
      <c r="E19" s="50"/>
    </row>
    <row r="20" ht="24" customHeight="1" spans="1:5">
      <c r="A20" s="50" t="s">
        <v>1822</v>
      </c>
      <c r="B20" s="50"/>
      <c r="C20" s="50"/>
      <c r="D20" s="50"/>
      <c r="E20" s="50"/>
    </row>
  </sheetData>
  <mergeCells count="6">
    <mergeCell ref="A1:E1"/>
    <mergeCell ref="D2:E2"/>
    <mergeCell ref="D3:E3"/>
    <mergeCell ref="A18:E18"/>
    <mergeCell ref="A19:E19"/>
    <mergeCell ref="A20:E20"/>
  </mergeCells>
  <conditionalFormatting sqref="E7:E16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{d8733b73-8736-4872-b96b-6fcf3c612abf}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733b73-8736-4872-b96b-6fcf3c612abf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E7:E16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showGridLines="0" workbookViewId="0">
      <selection activeCell="A1" sqref="A1:E1"/>
    </sheetView>
  </sheetViews>
  <sheetFormatPr defaultColWidth="9" defaultRowHeight="14.5" outlineLevelCol="4"/>
  <cols>
    <col min="1" max="1" width="13" customWidth="1"/>
    <col min="2" max="2" width="22" customWidth="1"/>
    <col min="3" max="3" width="27" customWidth="1"/>
    <col min="4" max="4" width="16" customWidth="1"/>
    <col min="5" max="5" width="18" customWidth="1"/>
  </cols>
  <sheetData>
    <row r="1" ht="32" customHeight="1" spans="1:5">
      <c r="A1" s="1" t="str">
        <f>前十整体车型排名!$B$4&amp;" 中国品牌轿车前十排名"</f>
        <v>2026 七月 中国品牌轿车前十排名</v>
      </c>
      <c r="B1" s="1"/>
      <c r="C1" s="1"/>
      <c r="D1" s="1"/>
      <c r="E1" s="1"/>
    </row>
    <row r="2" spans="1:5">
      <c r="A2" s="36" t="s">
        <v>1803</v>
      </c>
      <c r="B2" s="37" t="str">
        <f>前十整体车型排名!$B$4</f>
        <v>2026 七月</v>
      </c>
      <c r="C2" s="38" t="s">
        <v>1811</v>
      </c>
      <c r="D2" s="39" t="s">
        <v>1823</v>
      </c>
      <c r="E2" s="40"/>
    </row>
    <row r="3" spans="1:5">
      <c r="A3" s="41" t="s">
        <v>432</v>
      </c>
      <c r="B3" s="42" t="str">
        <f>前十整体车型排名!$B$3</f>
        <v>泰国</v>
      </c>
      <c r="C3" s="43" t="s">
        <v>1813</v>
      </c>
      <c r="D3" s="44" t="str">
        <f>前十整体车型排名!$B$2</f>
        <v>乘用车 注册数据</v>
      </c>
      <c r="E3" s="45"/>
    </row>
    <row r="6" spans="1:5">
      <c r="A6" s="23" t="s">
        <v>1814</v>
      </c>
      <c r="B6" s="23" t="s">
        <v>0</v>
      </c>
      <c r="C6" s="23" t="s">
        <v>433</v>
      </c>
      <c r="D6" s="23" t="s">
        <v>1321</v>
      </c>
      <c r="E6" s="23" t="s">
        <v>1318</v>
      </c>
    </row>
    <row r="7" spans="1:5">
      <c r="A7" s="24">
        <f>ROWS($A$7:A7)</f>
        <v>1</v>
      </c>
      <c r="B7" s="25" t="str">
        <f>IFERROR(INDEX(V1_Calc!$B$2:$B$1001,MATCH(A7,V1_Calc!$O$2:$O$1001,0)),"")</f>
        <v>GEELY</v>
      </c>
      <c r="C7" s="25" t="str">
        <f>IFERROR(INDEX(V1_Calc!$C$2:$C$1001,MATCH(A7,V1_Calc!$O$2:$O$1001,0)),"")</f>
        <v>EX2</v>
      </c>
      <c r="D7" s="25" t="str">
        <f>IFERROR(INDEX(V1_Calc!$G$2:$G$1001,MATCH(A7,V1_Calc!$O$2:$O$1001,0)),"")</f>
        <v>轿车</v>
      </c>
      <c r="E7" s="26">
        <f>IFERROR(INDEX(V1_Calc!$D$2:$D$1001,MATCH(A7,V1_Calc!$O$2:$O$1001,0)),"")</f>
        <v>2640</v>
      </c>
    </row>
    <row r="8" spans="1:5">
      <c r="A8" s="28">
        <f>ROWS($A$7:A8)</f>
        <v>2</v>
      </c>
      <c r="B8" s="29" t="str">
        <f>IFERROR(INDEX(V1_Calc!$B$2:$B$1001,MATCH(A8,V1_Calc!$O$2:$O$1001,0)),"")</f>
        <v>AION</v>
      </c>
      <c r="C8" s="29" t="str">
        <f>IFERROR(INDEX(V1_Calc!$C$2:$C$1001,MATCH(A8,V1_Calc!$O$2:$O$1001,0)),"")</f>
        <v>UT</v>
      </c>
      <c r="D8" s="29" t="str">
        <f>IFERROR(INDEX(V1_Calc!$G$2:$G$1001,MATCH(A8,V1_Calc!$O$2:$O$1001,0)),"")</f>
        <v>轿车</v>
      </c>
      <c r="E8" s="30">
        <f>IFERROR(INDEX(V1_Calc!$D$2:$D$1001,MATCH(A8,V1_Calc!$O$2:$O$1001,0)),"")</f>
        <v>1046</v>
      </c>
    </row>
    <row r="9" spans="1:5">
      <c r="A9" s="28">
        <f>ROWS($A$7:A9)</f>
        <v>3</v>
      </c>
      <c r="B9" s="29" t="str">
        <f>IFERROR(INDEX(V1_Calc!$B$2:$B$1001,MATCH(A9,V1_Calc!$O$2:$O$1001,0)),"")</f>
        <v>MG</v>
      </c>
      <c r="C9" s="29" t="str">
        <f>IFERROR(INDEX(V1_Calc!$C$2:$C$1001,MATCH(A9,V1_Calc!$O$2:$O$1001,0)),"")</f>
        <v>MG4</v>
      </c>
      <c r="D9" s="29" t="str">
        <f>IFERROR(INDEX(V1_Calc!$G$2:$G$1001,MATCH(A9,V1_Calc!$O$2:$O$1001,0)),"")</f>
        <v>轿车</v>
      </c>
      <c r="E9" s="30">
        <f>IFERROR(INDEX(V1_Calc!$D$2:$D$1001,MATCH(A9,V1_Calc!$O$2:$O$1001,0)),"")</f>
        <v>875</v>
      </c>
    </row>
    <row r="10" spans="1:5">
      <c r="A10" s="28">
        <f>ROWS($A$7:A10)</f>
        <v>4</v>
      </c>
      <c r="B10" s="29" t="str">
        <f>IFERROR(INDEX(V1_Calc!$B$2:$B$1001,MATCH(A10,V1_Calc!$O$2:$O$1001,0)),"")</f>
        <v>BYD</v>
      </c>
      <c r="C10" s="29" t="str">
        <f>IFERROR(INDEX(V1_Calc!$C$2:$C$1001,MATCH(A10,V1_Calc!$O$2:$O$1001,0)),"")</f>
        <v>DOLPHIN</v>
      </c>
      <c r="D10" s="29" t="str">
        <f>IFERROR(INDEX(V1_Calc!$G$2:$G$1001,MATCH(A10,V1_Calc!$O$2:$O$1001,0)),"")</f>
        <v>轿车</v>
      </c>
      <c r="E10" s="30">
        <f>IFERROR(INDEX(V1_Calc!$D$2:$D$1001,MATCH(A10,V1_Calc!$O$2:$O$1001,0)),"")</f>
        <v>533</v>
      </c>
    </row>
    <row r="11" spans="1:5">
      <c r="A11" s="28">
        <f>ROWS($A$7:A11)</f>
        <v>5</v>
      </c>
      <c r="B11" s="29" t="str">
        <f>IFERROR(INDEX(V1_Calc!$B$2:$B$1001,MATCH(A11,V1_Calc!$O$2:$O$1001,0)),"")</f>
        <v>CHANGAN</v>
      </c>
      <c r="C11" s="29" t="str">
        <f>IFERROR(INDEX(V1_Calc!$C$2:$C$1001,MATCH(A11,V1_Calc!$O$2:$O$1001,0)),"")</f>
        <v>LUMIN</v>
      </c>
      <c r="D11" s="29" t="str">
        <f>IFERROR(INDEX(V1_Calc!$G$2:$G$1001,MATCH(A11,V1_Calc!$O$2:$O$1001,0)),"")</f>
        <v>轿车</v>
      </c>
      <c r="E11" s="30">
        <f>IFERROR(INDEX(V1_Calc!$D$2:$D$1001,MATCH(A11,V1_Calc!$O$2:$O$1001,0)),"")</f>
        <v>360</v>
      </c>
    </row>
    <row r="12" spans="1:5">
      <c r="A12" s="28">
        <f>ROWS($A$7:A12)</f>
        <v>6</v>
      </c>
      <c r="B12" s="29" t="str">
        <f>IFERROR(INDEX(V1_Calc!$B$2:$B$1001,MATCH(A12,V1_Calc!$O$2:$O$1001,0)),"")</f>
        <v>BYD</v>
      </c>
      <c r="C12" s="29" t="str">
        <f>IFERROR(INDEX(V1_Calc!$C$2:$C$1001,MATCH(A12,V1_Calc!$O$2:$O$1001,0)),"")</f>
        <v>ATTO 1</v>
      </c>
      <c r="D12" s="29" t="str">
        <f>IFERROR(INDEX(V1_Calc!$G$2:$G$1001,MATCH(A12,V1_Calc!$O$2:$O$1001,0)),"")</f>
        <v>轿车</v>
      </c>
      <c r="E12" s="30">
        <f>IFERROR(INDEX(V1_Calc!$D$2:$D$1001,MATCH(A12,V1_Calc!$O$2:$O$1001,0)),"")</f>
        <v>310</v>
      </c>
    </row>
    <row r="13" spans="1:5">
      <c r="A13" s="28">
        <f>ROWS($A$7:A13)</f>
        <v>7</v>
      </c>
      <c r="B13" s="29" t="str">
        <f>IFERROR(INDEX(V1_Calc!$B$2:$B$1001,MATCH(A13,V1_Calc!$O$2:$O$1001,0)),"")</f>
        <v>MG</v>
      </c>
      <c r="C13" s="29" t="str">
        <f>IFERROR(INDEX(V1_Calc!$C$2:$C$1001,MATCH(A13,V1_Calc!$O$2:$O$1001,0)),"")</f>
        <v>IM5</v>
      </c>
      <c r="D13" s="29" t="str">
        <f>IFERROR(INDEX(V1_Calc!$G$2:$G$1001,MATCH(A13,V1_Calc!$O$2:$O$1001,0)),"")</f>
        <v>轿车</v>
      </c>
      <c r="E13" s="30">
        <f>IFERROR(INDEX(V1_Calc!$D$2:$D$1001,MATCH(A13,V1_Calc!$O$2:$O$1001,0)),"")</f>
        <v>187</v>
      </c>
    </row>
    <row r="14" spans="1:5">
      <c r="A14" s="28">
        <f>ROWS($A$7:A14)</f>
        <v>8</v>
      </c>
      <c r="B14" s="29" t="str">
        <f>IFERROR(INDEX(V1_Calc!$B$2:$B$1001,MATCH(A14,V1_Calc!$O$2:$O$1001,0)),"")</f>
        <v>BYD</v>
      </c>
      <c r="C14" s="29" t="str">
        <f>IFERROR(INDEX(V1_Calc!$C$2:$C$1001,MATCH(A14,V1_Calc!$O$2:$O$1001,0)),"")</f>
        <v>SEAL 5</v>
      </c>
      <c r="D14" s="29" t="str">
        <f>IFERROR(INDEX(V1_Calc!$G$2:$G$1001,MATCH(A14,V1_Calc!$O$2:$O$1001,0)),"")</f>
        <v>轿车</v>
      </c>
      <c r="E14" s="30">
        <f>IFERROR(INDEX(V1_Calc!$D$2:$D$1001,MATCH(A14,V1_Calc!$O$2:$O$1001,0)),"")</f>
        <v>138</v>
      </c>
    </row>
    <row r="15" spans="1:5">
      <c r="A15" s="28">
        <f>ROWS($A$7:A15)</f>
        <v>9</v>
      </c>
      <c r="B15" s="29" t="str">
        <f>IFERROR(INDEX(V1_Calc!$B$2:$B$1001,MATCH(A15,V1_Calc!$O$2:$O$1001,0)),"")</f>
        <v>MG</v>
      </c>
      <c r="C15" s="29" t="str">
        <f>IFERROR(INDEX(V1_Calc!$C$2:$C$1001,MATCH(A15,V1_Calc!$O$2:$O$1001,0)),"")</f>
        <v>MG3</v>
      </c>
      <c r="D15" s="29" t="str">
        <f>IFERROR(INDEX(V1_Calc!$G$2:$G$1001,MATCH(A15,V1_Calc!$O$2:$O$1001,0)),"")</f>
        <v>轿车</v>
      </c>
      <c r="E15" s="30">
        <f>IFERROR(INDEX(V1_Calc!$D$2:$D$1001,MATCH(A15,V1_Calc!$O$2:$O$1001,0)),"")</f>
        <v>87</v>
      </c>
    </row>
    <row r="16" spans="1:5">
      <c r="A16" s="46">
        <f>ROWS($A$7:A16)</f>
        <v>10</v>
      </c>
      <c r="B16" s="47" t="str">
        <f>IFERROR(INDEX(V1_Calc!$B$2:$B$1001,MATCH(A16,V1_Calc!$O$2:$O$1001,0)),"")</f>
        <v>MG</v>
      </c>
      <c r="C16" s="47" t="str">
        <f>IFERROR(INDEX(V1_Calc!$C$2:$C$1001,MATCH(A16,V1_Calc!$O$2:$O$1001,0)),"")</f>
        <v>MG5</v>
      </c>
      <c r="D16" s="47" t="str">
        <f>IFERROR(INDEX(V1_Calc!$G$2:$G$1001,MATCH(A16,V1_Calc!$O$2:$O$1001,0)),"")</f>
        <v>轿车</v>
      </c>
      <c r="E16" s="48">
        <f>IFERROR(INDEX(V1_Calc!$D$2:$D$1001,MATCH(A16,V1_Calc!$O$2:$O$1001,0)),"")</f>
        <v>81</v>
      </c>
    </row>
    <row r="18" spans="1:5">
      <c r="A18" s="49" t="s">
        <v>1807</v>
      </c>
      <c r="B18" s="49"/>
      <c r="C18" s="49"/>
      <c r="D18" s="49"/>
      <c r="E18" s="49"/>
    </row>
    <row r="19" ht="24" customHeight="1" spans="1:5">
      <c r="A19" s="50" t="s">
        <v>1815</v>
      </c>
      <c r="B19" s="50"/>
      <c r="C19" s="50"/>
      <c r="D19" s="50"/>
      <c r="E19" s="50"/>
    </row>
    <row r="20" ht="24" customHeight="1" spans="1:5">
      <c r="A20" s="50" t="s">
        <v>1824</v>
      </c>
      <c r="B20" s="50"/>
      <c r="C20" s="50"/>
      <c r="D20" s="50"/>
      <c r="E20" s="50"/>
    </row>
  </sheetData>
  <mergeCells count="6">
    <mergeCell ref="A1:E1"/>
    <mergeCell ref="D2:E2"/>
    <mergeCell ref="D3:E3"/>
    <mergeCell ref="A18:E18"/>
    <mergeCell ref="A19:E19"/>
    <mergeCell ref="A20:E20"/>
  </mergeCells>
  <conditionalFormatting sqref="E7:E16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{67f817ea-e08e-4f75-9f21-85f4920dd6af}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f817ea-e08e-4f75-9f21-85f4920dd6af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E7:E16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showGridLines="0" workbookViewId="0">
      <selection activeCell="A1" sqref="A1:E1"/>
    </sheetView>
  </sheetViews>
  <sheetFormatPr defaultColWidth="9" defaultRowHeight="14.5" outlineLevelCol="4"/>
  <cols>
    <col min="1" max="1" width="13" customWidth="1"/>
    <col min="2" max="2" width="22" customWidth="1"/>
    <col min="3" max="3" width="27" customWidth="1"/>
    <col min="4" max="4" width="16" customWidth="1"/>
    <col min="5" max="5" width="18" customWidth="1"/>
  </cols>
  <sheetData>
    <row r="1" ht="32" customHeight="1" spans="1:5">
      <c r="A1" s="1" t="str">
        <f>前十整体车型排名!$B$4&amp;" 中国品牌MPV前十排名"</f>
        <v>2026 七月 中国品牌MPV前十排名</v>
      </c>
      <c r="B1" s="1"/>
      <c r="C1" s="1"/>
      <c r="D1" s="1"/>
      <c r="E1" s="1"/>
    </row>
    <row r="2" spans="1:5">
      <c r="A2" s="36" t="s">
        <v>1803</v>
      </c>
      <c r="B2" s="37" t="str">
        <f>前十整体车型排名!$B$4</f>
        <v>2026 七月</v>
      </c>
      <c r="C2" s="38" t="s">
        <v>1811</v>
      </c>
      <c r="D2" s="39" t="s">
        <v>1825</v>
      </c>
      <c r="E2" s="40"/>
    </row>
    <row r="3" spans="1:5">
      <c r="A3" s="41" t="s">
        <v>432</v>
      </c>
      <c r="B3" s="42" t="str">
        <f>前十整体车型排名!$B$3</f>
        <v>泰国</v>
      </c>
      <c r="C3" s="43" t="s">
        <v>1813</v>
      </c>
      <c r="D3" s="44" t="str">
        <f>前十整体车型排名!$B$2</f>
        <v>乘用车 注册数据</v>
      </c>
      <c r="E3" s="45"/>
    </row>
    <row r="6" spans="1:5">
      <c r="A6" s="23" t="s">
        <v>1814</v>
      </c>
      <c r="B6" s="23" t="s">
        <v>0</v>
      </c>
      <c r="C6" s="23" t="s">
        <v>433</v>
      </c>
      <c r="D6" s="23" t="s">
        <v>1321</v>
      </c>
      <c r="E6" s="23" t="s">
        <v>1318</v>
      </c>
    </row>
    <row r="7" spans="1:5">
      <c r="A7" s="24">
        <f>ROWS($A$7:A7)</f>
        <v>1</v>
      </c>
      <c r="B7" s="25" t="str">
        <f>IFERROR(INDEX(V1_Calc!$B$2:$B$1001,MATCH(A7,V1_Calc!$P$2:$P$1001,0)),"")</f>
        <v>BYD</v>
      </c>
      <c r="C7" s="25" t="str">
        <f>IFERROR(INDEX(V1_Calc!$C$2:$C$1001,MATCH(A7,V1_Calc!$P$2:$P$1001,0)),"")</f>
        <v>E6</v>
      </c>
      <c r="D7" s="25" t="str">
        <f>IFERROR(INDEX(V1_Calc!$G$2:$G$1001,MATCH(A7,V1_Calc!$P$2:$P$1001,0)),"")</f>
        <v>MPV</v>
      </c>
      <c r="E7" s="26">
        <f>IFERROR(INDEX(V1_Calc!$D$2:$D$1001,MATCH(A7,V1_Calc!$P$2:$P$1001,0)),"")</f>
        <v>1</v>
      </c>
    </row>
    <row r="8" spans="1:5">
      <c r="A8" s="28">
        <f>ROWS($A$7:A8)</f>
        <v>2</v>
      </c>
      <c r="B8" s="29" t="str">
        <f>IFERROR(INDEX(V1_Calc!$B$2:$B$1001,MATCH(A8,V1_Calc!$P$2:$P$1001,0)),"")</f>
        <v/>
      </c>
      <c r="C8" s="29" t="str">
        <f>IFERROR(INDEX(V1_Calc!$C$2:$C$1001,MATCH(A8,V1_Calc!$P$2:$P$1001,0)),"")</f>
        <v/>
      </c>
      <c r="D8" s="29" t="str">
        <f>IFERROR(INDEX(V1_Calc!$G$2:$G$1001,MATCH(A8,V1_Calc!$P$2:$P$1001,0)),"")</f>
        <v/>
      </c>
      <c r="E8" s="30" t="str">
        <f>IFERROR(INDEX(V1_Calc!$D$2:$D$1001,MATCH(A8,V1_Calc!$P$2:$P$1001,0)),"")</f>
        <v/>
      </c>
    </row>
    <row r="9" spans="1:5">
      <c r="A9" s="28">
        <f>ROWS($A$7:A9)</f>
        <v>3</v>
      </c>
      <c r="B9" s="29" t="str">
        <f>IFERROR(INDEX(V1_Calc!$B$2:$B$1001,MATCH(A9,V1_Calc!$P$2:$P$1001,0)),"")</f>
        <v/>
      </c>
      <c r="C9" s="29" t="str">
        <f>IFERROR(INDEX(V1_Calc!$C$2:$C$1001,MATCH(A9,V1_Calc!$P$2:$P$1001,0)),"")</f>
        <v/>
      </c>
      <c r="D9" s="29" t="str">
        <f>IFERROR(INDEX(V1_Calc!$G$2:$G$1001,MATCH(A9,V1_Calc!$P$2:$P$1001,0)),"")</f>
        <v/>
      </c>
      <c r="E9" s="30" t="str">
        <f>IFERROR(INDEX(V1_Calc!$D$2:$D$1001,MATCH(A9,V1_Calc!$P$2:$P$1001,0)),"")</f>
        <v/>
      </c>
    </row>
    <row r="10" spans="1:5">
      <c r="A10" s="28">
        <f>ROWS($A$7:A10)</f>
        <v>4</v>
      </c>
      <c r="B10" s="29" t="str">
        <f>IFERROR(INDEX(V1_Calc!$B$2:$B$1001,MATCH(A10,V1_Calc!$P$2:$P$1001,0)),"")</f>
        <v/>
      </c>
      <c r="C10" s="29" t="str">
        <f>IFERROR(INDEX(V1_Calc!$C$2:$C$1001,MATCH(A10,V1_Calc!$P$2:$P$1001,0)),"")</f>
        <v/>
      </c>
      <c r="D10" s="29" t="str">
        <f>IFERROR(INDEX(V1_Calc!$G$2:$G$1001,MATCH(A10,V1_Calc!$P$2:$P$1001,0)),"")</f>
        <v/>
      </c>
      <c r="E10" s="30" t="str">
        <f>IFERROR(INDEX(V1_Calc!$D$2:$D$1001,MATCH(A10,V1_Calc!$P$2:$P$1001,0)),"")</f>
        <v/>
      </c>
    </row>
    <row r="11" spans="1:5">
      <c r="A11" s="28">
        <f>ROWS($A$7:A11)</f>
        <v>5</v>
      </c>
      <c r="B11" s="29" t="str">
        <f>IFERROR(INDEX(V1_Calc!$B$2:$B$1001,MATCH(A11,V1_Calc!$P$2:$P$1001,0)),"")</f>
        <v/>
      </c>
      <c r="C11" s="29" t="str">
        <f>IFERROR(INDEX(V1_Calc!$C$2:$C$1001,MATCH(A11,V1_Calc!$P$2:$P$1001,0)),"")</f>
        <v/>
      </c>
      <c r="D11" s="29" t="str">
        <f>IFERROR(INDEX(V1_Calc!$G$2:$G$1001,MATCH(A11,V1_Calc!$P$2:$P$1001,0)),"")</f>
        <v/>
      </c>
      <c r="E11" s="30" t="str">
        <f>IFERROR(INDEX(V1_Calc!$D$2:$D$1001,MATCH(A11,V1_Calc!$P$2:$P$1001,0)),"")</f>
        <v/>
      </c>
    </row>
    <row r="12" spans="1:5">
      <c r="A12" s="28">
        <f>ROWS($A$7:A12)</f>
        <v>6</v>
      </c>
      <c r="B12" s="29" t="str">
        <f>IFERROR(INDEX(V1_Calc!$B$2:$B$1001,MATCH(A12,V1_Calc!$P$2:$P$1001,0)),"")</f>
        <v/>
      </c>
      <c r="C12" s="29" t="str">
        <f>IFERROR(INDEX(V1_Calc!$C$2:$C$1001,MATCH(A12,V1_Calc!$P$2:$P$1001,0)),"")</f>
        <v/>
      </c>
      <c r="D12" s="29" t="str">
        <f>IFERROR(INDEX(V1_Calc!$G$2:$G$1001,MATCH(A12,V1_Calc!$P$2:$P$1001,0)),"")</f>
        <v/>
      </c>
      <c r="E12" s="30" t="str">
        <f>IFERROR(INDEX(V1_Calc!$D$2:$D$1001,MATCH(A12,V1_Calc!$P$2:$P$1001,0)),"")</f>
        <v/>
      </c>
    </row>
    <row r="13" spans="1:5">
      <c r="A13" s="28">
        <f>ROWS($A$7:A13)</f>
        <v>7</v>
      </c>
      <c r="B13" s="29" t="str">
        <f>IFERROR(INDEX(V1_Calc!$B$2:$B$1001,MATCH(A13,V1_Calc!$P$2:$P$1001,0)),"")</f>
        <v/>
      </c>
      <c r="C13" s="29" t="str">
        <f>IFERROR(INDEX(V1_Calc!$C$2:$C$1001,MATCH(A13,V1_Calc!$P$2:$P$1001,0)),"")</f>
        <v/>
      </c>
      <c r="D13" s="29" t="str">
        <f>IFERROR(INDEX(V1_Calc!$G$2:$G$1001,MATCH(A13,V1_Calc!$P$2:$P$1001,0)),"")</f>
        <v/>
      </c>
      <c r="E13" s="30" t="str">
        <f>IFERROR(INDEX(V1_Calc!$D$2:$D$1001,MATCH(A13,V1_Calc!$P$2:$P$1001,0)),"")</f>
        <v/>
      </c>
    </row>
    <row r="14" spans="1:5">
      <c r="A14" s="28">
        <f>ROWS($A$7:A14)</f>
        <v>8</v>
      </c>
      <c r="B14" s="29" t="str">
        <f>IFERROR(INDEX(V1_Calc!$B$2:$B$1001,MATCH(A14,V1_Calc!$P$2:$P$1001,0)),"")</f>
        <v/>
      </c>
      <c r="C14" s="29" t="str">
        <f>IFERROR(INDEX(V1_Calc!$C$2:$C$1001,MATCH(A14,V1_Calc!$P$2:$P$1001,0)),"")</f>
        <v/>
      </c>
      <c r="D14" s="29" t="str">
        <f>IFERROR(INDEX(V1_Calc!$G$2:$G$1001,MATCH(A14,V1_Calc!$P$2:$P$1001,0)),"")</f>
        <v/>
      </c>
      <c r="E14" s="30" t="str">
        <f>IFERROR(INDEX(V1_Calc!$D$2:$D$1001,MATCH(A14,V1_Calc!$P$2:$P$1001,0)),"")</f>
        <v/>
      </c>
    </row>
    <row r="15" spans="1:5">
      <c r="A15" s="28">
        <f>ROWS($A$7:A15)</f>
        <v>9</v>
      </c>
      <c r="B15" s="29" t="str">
        <f>IFERROR(INDEX(V1_Calc!$B$2:$B$1001,MATCH(A15,V1_Calc!$P$2:$P$1001,0)),"")</f>
        <v/>
      </c>
      <c r="C15" s="29" t="str">
        <f>IFERROR(INDEX(V1_Calc!$C$2:$C$1001,MATCH(A15,V1_Calc!$P$2:$P$1001,0)),"")</f>
        <v/>
      </c>
      <c r="D15" s="29" t="str">
        <f>IFERROR(INDEX(V1_Calc!$G$2:$G$1001,MATCH(A15,V1_Calc!$P$2:$P$1001,0)),"")</f>
        <v/>
      </c>
      <c r="E15" s="30" t="str">
        <f>IFERROR(INDEX(V1_Calc!$D$2:$D$1001,MATCH(A15,V1_Calc!$P$2:$P$1001,0)),"")</f>
        <v/>
      </c>
    </row>
    <row r="16" spans="1:5">
      <c r="A16" s="46">
        <f>ROWS($A$7:A16)</f>
        <v>10</v>
      </c>
      <c r="B16" s="47" t="str">
        <f>IFERROR(INDEX(V1_Calc!$B$2:$B$1001,MATCH(A16,V1_Calc!$P$2:$P$1001,0)),"")</f>
        <v/>
      </c>
      <c r="C16" s="47" t="str">
        <f>IFERROR(INDEX(V1_Calc!$C$2:$C$1001,MATCH(A16,V1_Calc!$P$2:$P$1001,0)),"")</f>
        <v/>
      </c>
      <c r="D16" s="47" t="str">
        <f>IFERROR(INDEX(V1_Calc!$G$2:$G$1001,MATCH(A16,V1_Calc!$P$2:$P$1001,0)),"")</f>
        <v/>
      </c>
      <c r="E16" s="48" t="str">
        <f>IFERROR(INDEX(V1_Calc!$D$2:$D$1001,MATCH(A16,V1_Calc!$P$2:$P$1001,0)),"")</f>
        <v/>
      </c>
    </row>
    <row r="18" spans="1:5">
      <c r="A18" s="49" t="s">
        <v>1807</v>
      </c>
      <c r="B18" s="49"/>
      <c r="C18" s="49"/>
      <c r="D18" s="49"/>
      <c r="E18" s="49"/>
    </row>
    <row r="19" ht="24" customHeight="1" spans="1:5">
      <c r="A19" s="50" t="s">
        <v>1815</v>
      </c>
      <c r="B19" s="50"/>
      <c r="C19" s="50"/>
      <c r="D19" s="50"/>
      <c r="E19" s="50"/>
    </row>
    <row r="20" ht="24" customHeight="1" spans="1:5">
      <c r="A20" s="50" t="s">
        <v>1826</v>
      </c>
      <c r="B20" s="50"/>
      <c r="C20" s="50"/>
      <c r="D20" s="50"/>
      <c r="E20" s="50"/>
    </row>
  </sheetData>
  <mergeCells count="6">
    <mergeCell ref="A1:E1"/>
    <mergeCell ref="D2:E2"/>
    <mergeCell ref="D3:E3"/>
    <mergeCell ref="A18:E18"/>
    <mergeCell ref="A19:E19"/>
    <mergeCell ref="A20:E20"/>
  </mergeCells>
  <conditionalFormatting sqref="E7:E16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{313795e0-2484-41c3-8fe4-b2c8c532bb47}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3795e0-2484-41c3-8fe4-b2c8c532bb47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E7:E16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showGridLines="0" workbookViewId="0">
      <selection activeCell="A1" sqref="A1:E1"/>
    </sheetView>
  </sheetViews>
  <sheetFormatPr defaultColWidth="9" defaultRowHeight="14.5" outlineLevelCol="4"/>
  <cols>
    <col min="1" max="1" width="13" customWidth="1"/>
    <col min="2" max="2" width="22" customWidth="1"/>
    <col min="3" max="3" width="27" customWidth="1"/>
    <col min="4" max="4" width="16" customWidth="1"/>
    <col min="5" max="5" width="18" customWidth="1"/>
  </cols>
  <sheetData>
    <row r="1" ht="32" customHeight="1" spans="1:5">
      <c r="A1" s="1" t="str">
        <f>前十整体车型排名!$B$4&amp;" 中国品牌SUV前十排名"</f>
        <v>2026 七月 中国品牌SUV前十排名</v>
      </c>
      <c r="B1" s="1"/>
      <c r="C1" s="1"/>
      <c r="D1" s="1"/>
      <c r="E1" s="1"/>
    </row>
    <row r="2" spans="1:5">
      <c r="A2" s="36" t="s">
        <v>1803</v>
      </c>
      <c r="B2" s="37" t="str">
        <f>前十整体车型排名!$B$4</f>
        <v>2026 七月</v>
      </c>
      <c r="C2" s="38" t="s">
        <v>1811</v>
      </c>
      <c r="D2" s="39" t="s">
        <v>1827</v>
      </c>
      <c r="E2" s="40"/>
    </row>
    <row r="3" spans="1:5">
      <c r="A3" s="41" t="s">
        <v>432</v>
      </c>
      <c r="B3" s="42" t="str">
        <f>前十整体车型排名!$B$3</f>
        <v>泰国</v>
      </c>
      <c r="C3" s="43" t="s">
        <v>1813</v>
      </c>
      <c r="D3" s="44" t="str">
        <f>前十整体车型排名!$B$2</f>
        <v>乘用车 注册数据</v>
      </c>
      <c r="E3" s="45"/>
    </row>
    <row r="6" spans="1:5">
      <c r="A6" s="23" t="s">
        <v>1814</v>
      </c>
      <c r="B6" s="23" t="s">
        <v>0</v>
      </c>
      <c r="C6" s="23" t="s">
        <v>433</v>
      </c>
      <c r="D6" s="23" t="s">
        <v>1321</v>
      </c>
      <c r="E6" s="23" t="s">
        <v>1318</v>
      </c>
    </row>
    <row r="7" spans="1:5">
      <c r="A7" s="24">
        <f>ROWS($A$7:A7)</f>
        <v>1</v>
      </c>
      <c r="B7" s="25" t="str">
        <f>IFERROR(INDEX(V1_Calc!$B$2:$B$1001,MATCH(A7,V1_Calc!$Q$2:$Q$1001,0)),"")</f>
        <v>JAECOO</v>
      </c>
      <c r="C7" s="25" t="str">
        <f>IFERROR(INDEX(V1_Calc!$C$2:$C$1001,MATCH(A7,V1_Calc!$Q$2:$Q$1001,0)),"")</f>
        <v>5</v>
      </c>
      <c r="D7" s="25" t="str">
        <f>IFERROR(INDEX(V1_Calc!$G$2:$G$1001,MATCH(A7,V1_Calc!$Q$2:$Q$1001,0)),"")</f>
        <v>SUV</v>
      </c>
      <c r="E7" s="26">
        <f>IFERROR(INDEX(V1_Calc!$D$2:$D$1001,MATCH(A7,V1_Calc!$Q$2:$Q$1001,0)),"")</f>
        <v>2136</v>
      </c>
    </row>
    <row r="8" spans="1:5">
      <c r="A8" s="28">
        <f>ROWS($A$7:A8)</f>
        <v>2</v>
      </c>
      <c r="B8" s="29" t="str">
        <f>IFERROR(INDEX(V1_Calc!$B$2:$B$1001,MATCH(A8,V1_Calc!$Q$2:$Q$1001,0)),"")</f>
        <v>DEEPAL</v>
      </c>
      <c r="C8" s="29" t="str">
        <f>IFERROR(INDEX(V1_Calc!$C$2:$C$1001,MATCH(A8,V1_Calc!$Q$2:$Q$1001,0)),"")</f>
        <v>S05</v>
      </c>
      <c r="D8" s="29" t="str">
        <f>IFERROR(INDEX(V1_Calc!$G$2:$G$1001,MATCH(A8,V1_Calc!$Q$2:$Q$1001,0)),"")</f>
        <v>SUV</v>
      </c>
      <c r="E8" s="30">
        <f>IFERROR(INDEX(V1_Calc!$D$2:$D$1001,MATCH(A8,V1_Calc!$Q$2:$Q$1001,0)),"")</f>
        <v>1416</v>
      </c>
    </row>
    <row r="9" spans="1:5">
      <c r="A9" s="28">
        <f>ROWS($A$7:A9)</f>
        <v>3</v>
      </c>
      <c r="B9" s="29" t="str">
        <f>IFERROR(INDEX(V1_Calc!$B$2:$B$1001,MATCH(A9,V1_Calc!$Q$2:$Q$1001,0)),"")</f>
        <v>GWM</v>
      </c>
      <c r="C9" s="29" t="str">
        <f>IFERROR(INDEX(V1_Calc!$C$2:$C$1001,MATCH(A9,V1_Calc!$Q$2:$Q$1001,0)),"")</f>
        <v>ORA 5</v>
      </c>
      <c r="D9" s="29" t="str">
        <f>IFERROR(INDEX(V1_Calc!$G$2:$G$1001,MATCH(A9,V1_Calc!$Q$2:$Q$1001,0)),"")</f>
        <v>SUV</v>
      </c>
      <c r="E9" s="30">
        <f>IFERROR(INDEX(V1_Calc!$D$2:$D$1001,MATCH(A9,V1_Calc!$Q$2:$Q$1001,0)),"")</f>
        <v>1399</v>
      </c>
    </row>
    <row r="10" spans="1:5">
      <c r="A10" s="28">
        <f>ROWS($A$7:A10)</f>
        <v>4</v>
      </c>
      <c r="B10" s="29" t="str">
        <f>IFERROR(INDEX(V1_Calc!$B$2:$B$1001,MATCH(A10,V1_Calc!$Q$2:$Q$1001,0)),"")</f>
        <v>MG</v>
      </c>
      <c r="C10" s="29" t="str">
        <f>IFERROR(INDEX(V1_Calc!$C$2:$C$1001,MATCH(A10,V1_Calc!$Q$2:$Q$1001,0)),"")</f>
        <v>S5</v>
      </c>
      <c r="D10" s="29" t="str">
        <f>IFERROR(INDEX(V1_Calc!$G$2:$G$1001,MATCH(A10,V1_Calc!$Q$2:$Q$1001,0)),"")</f>
        <v>SUV</v>
      </c>
      <c r="E10" s="30">
        <f>IFERROR(INDEX(V1_Calc!$D$2:$D$1001,MATCH(A10,V1_Calc!$Q$2:$Q$1001,0)),"")</f>
        <v>1295</v>
      </c>
    </row>
    <row r="11" spans="1:5">
      <c r="A11" s="28">
        <f>ROWS($A$7:A11)</f>
        <v>5</v>
      </c>
      <c r="B11" s="29" t="str">
        <f>IFERROR(INDEX(V1_Calc!$B$2:$B$1001,MATCH(A11,V1_Calc!$Q$2:$Q$1001,0)),"")</f>
        <v>CHERY</v>
      </c>
      <c r="C11" s="29" t="str">
        <f>IFERROR(INDEX(V1_Calc!$C$2:$C$1001,MATCH(A11,V1_Calc!$Q$2:$Q$1001,0)),"")</f>
        <v>V23</v>
      </c>
      <c r="D11" s="29" t="str">
        <f>IFERROR(INDEX(V1_Calc!$G$2:$G$1001,MATCH(A11,V1_Calc!$Q$2:$Q$1001,0)),"")</f>
        <v>SUV</v>
      </c>
      <c r="E11" s="30">
        <f>IFERROR(INDEX(V1_Calc!$D$2:$D$1001,MATCH(A11,V1_Calc!$Q$2:$Q$1001,0)),"")</f>
        <v>764</v>
      </c>
    </row>
    <row r="12" spans="1:5">
      <c r="A12" s="28">
        <f>ROWS($A$7:A12)</f>
        <v>6</v>
      </c>
      <c r="B12" s="29" t="str">
        <f>IFERROR(INDEX(V1_Calc!$B$2:$B$1001,MATCH(A12,V1_Calc!$Q$2:$Q$1001,0)),"")</f>
        <v>JAECOO</v>
      </c>
      <c r="C12" s="29" t="str">
        <f>IFERROR(INDEX(V1_Calc!$C$2:$C$1001,MATCH(A12,V1_Calc!$Q$2:$Q$1001,0)),"")</f>
        <v>6</v>
      </c>
      <c r="D12" s="29" t="str">
        <f>IFERROR(INDEX(V1_Calc!$G$2:$G$1001,MATCH(A12,V1_Calc!$Q$2:$Q$1001,0)),"")</f>
        <v>SUV</v>
      </c>
      <c r="E12" s="30">
        <f>IFERROR(INDEX(V1_Calc!$D$2:$D$1001,MATCH(A12,V1_Calc!$Q$2:$Q$1001,0)),"")</f>
        <v>632</v>
      </c>
    </row>
    <row r="13" spans="1:5">
      <c r="A13" s="28">
        <f>ROWS($A$7:A13)</f>
        <v>7</v>
      </c>
      <c r="B13" s="29" t="str">
        <f>IFERROR(INDEX(V1_Calc!$B$2:$B$1001,MATCH(A13,V1_Calc!$Q$2:$Q$1001,0)),"")</f>
        <v>BYD</v>
      </c>
      <c r="C13" s="29" t="str">
        <f>IFERROR(INDEX(V1_Calc!$C$2:$C$1001,MATCH(A13,V1_Calc!$Q$2:$Q$1001,0)),"")</f>
        <v>ATTO 3</v>
      </c>
      <c r="D13" s="29" t="str">
        <f>IFERROR(INDEX(V1_Calc!$G$2:$G$1001,MATCH(A13,V1_Calc!$Q$2:$Q$1001,0)),"")</f>
        <v>SUV</v>
      </c>
      <c r="E13" s="30">
        <f>IFERROR(INDEX(V1_Calc!$D$2:$D$1001,MATCH(A13,V1_Calc!$Q$2:$Q$1001,0)),"")</f>
        <v>602</v>
      </c>
    </row>
    <row r="14" spans="1:5">
      <c r="A14" s="28">
        <f>ROWS($A$7:A14)</f>
        <v>8</v>
      </c>
      <c r="B14" s="29" t="str">
        <f>IFERROR(INDEX(V1_Calc!$B$2:$B$1001,MATCH(A14,V1_Calc!$Q$2:$Q$1001,0)),"")</f>
        <v>BYD</v>
      </c>
      <c r="C14" s="29" t="str">
        <f>IFERROR(INDEX(V1_Calc!$C$2:$C$1001,MATCH(A14,V1_Calc!$Q$2:$Q$1001,0)),"")</f>
        <v>SEALION 6</v>
      </c>
      <c r="D14" s="29" t="str">
        <f>IFERROR(INDEX(V1_Calc!$G$2:$G$1001,MATCH(A14,V1_Calc!$Q$2:$Q$1001,0)),"")</f>
        <v>SUV</v>
      </c>
      <c r="E14" s="30">
        <f>IFERROR(INDEX(V1_Calc!$D$2:$D$1001,MATCH(A14,V1_Calc!$Q$2:$Q$1001,0)),"")</f>
        <v>584</v>
      </c>
    </row>
    <row r="15" spans="1:5">
      <c r="A15" s="28">
        <f>ROWS($A$7:A15)</f>
        <v>9</v>
      </c>
      <c r="B15" s="29" t="str">
        <f>IFERROR(INDEX(V1_Calc!$B$2:$B$1001,MATCH(A15,V1_Calc!$Q$2:$Q$1001,0)),"")</f>
        <v>AION</v>
      </c>
      <c r="C15" s="29" t="str">
        <f>IFERROR(INDEX(V1_Calc!$C$2:$C$1001,MATCH(A15,V1_Calc!$Q$2:$Q$1001,0)),"")</f>
        <v>V</v>
      </c>
      <c r="D15" s="29" t="str">
        <f>IFERROR(INDEX(V1_Calc!$G$2:$G$1001,MATCH(A15,V1_Calc!$Q$2:$Q$1001,0)),"")</f>
        <v>SUV</v>
      </c>
      <c r="E15" s="30">
        <f>IFERROR(INDEX(V1_Calc!$D$2:$D$1001,MATCH(A15,V1_Calc!$Q$2:$Q$1001,0)),"")</f>
        <v>554</v>
      </c>
    </row>
    <row r="16" spans="1:5">
      <c r="A16" s="46">
        <f>ROWS($A$7:A16)</f>
        <v>10</v>
      </c>
      <c r="B16" s="47" t="str">
        <f>IFERROR(INDEX(V1_Calc!$B$2:$B$1001,MATCH(A16,V1_Calc!$Q$2:$Q$1001,0)),"")</f>
        <v>OMODA</v>
      </c>
      <c r="C16" s="47" t="str">
        <f>IFERROR(INDEX(V1_Calc!$C$2:$C$1001,MATCH(A16,V1_Calc!$Q$2:$Q$1001,0)),"")</f>
        <v>C5</v>
      </c>
      <c r="D16" s="47" t="str">
        <f>IFERROR(INDEX(V1_Calc!$G$2:$G$1001,MATCH(A16,V1_Calc!$Q$2:$Q$1001,0)),"")</f>
        <v>SUV</v>
      </c>
      <c r="E16" s="48">
        <f>IFERROR(INDEX(V1_Calc!$D$2:$D$1001,MATCH(A16,V1_Calc!$Q$2:$Q$1001,0)),"")</f>
        <v>487</v>
      </c>
    </row>
    <row r="18" spans="1:5">
      <c r="A18" s="49" t="s">
        <v>1807</v>
      </c>
      <c r="B18" s="49"/>
      <c r="C18" s="49"/>
      <c r="D18" s="49"/>
      <c r="E18" s="49"/>
    </row>
    <row r="19" ht="24" customHeight="1" spans="1:5">
      <c r="A19" s="50" t="s">
        <v>1815</v>
      </c>
      <c r="B19" s="50"/>
      <c r="C19" s="50"/>
      <c r="D19" s="50"/>
      <c r="E19" s="50"/>
    </row>
    <row r="20" ht="24" customHeight="1" spans="1:5">
      <c r="A20" s="50" t="s">
        <v>1828</v>
      </c>
      <c r="B20" s="50"/>
      <c r="C20" s="50"/>
      <c r="D20" s="50"/>
      <c r="E20" s="50"/>
    </row>
  </sheetData>
  <mergeCells count="6">
    <mergeCell ref="A1:E1"/>
    <mergeCell ref="D2:E2"/>
    <mergeCell ref="D3:E3"/>
    <mergeCell ref="A18:E18"/>
    <mergeCell ref="A19:E19"/>
    <mergeCell ref="A20:E20"/>
  </mergeCells>
  <conditionalFormatting sqref="E7:E16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{c68dc898-a4e6-478f-9e15-073d8c8e2082}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8dc898-a4e6-478f-9e15-073d8c8e2082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E7:E16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showGridLines="0" tabSelected="1" workbookViewId="0">
      <selection activeCell="B40" sqref="B40"/>
    </sheetView>
  </sheetViews>
  <sheetFormatPr defaultColWidth="9" defaultRowHeight="14.5" outlineLevelCol="7"/>
  <cols>
    <col min="1" max="1" width="17" customWidth="1"/>
    <col min="2" max="2" width="25" customWidth="1"/>
    <col min="3" max="5" width="20" customWidth="1"/>
    <col min="7" max="7" width="17" customWidth="1"/>
    <col min="8" max="8" width="16" customWidth="1"/>
  </cols>
  <sheetData>
    <row r="1" ht="32" customHeight="1" spans="1:8">
      <c r="A1" s="1" t="str">
        <f>前十整体车型排名!$B$4&amp;" 中国品牌市占率"</f>
        <v>2026 七月 中国品牌市占率</v>
      </c>
      <c r="B1" s="1"/>
      <c r="C1" s="1"/>
      <c r="D1" s="1"/>
      <c r="E1" s="1"/>
    </row>
    <row r="2" spans="1:8">
      <c r="A2" s="2" t="s">
        <v>1803</v>
      </c>
      <c r="B2" s="3" t="str">
        <f>前十整体车型排名!$B$4</f>
        <v>2026 七月</v>
      </c>
      <c r="C2" s="2" t="s">
        <v>1829</v>
      </c>
      <c r="D2" s="4">
        <f>SUM(V2_Calc!$B$2:$B$201)</f>
        <v>46230</v>
      </c>
      <c r="G2" s="6" t="s">
        <v>1830</v>
      </c>
      <c r="H2" s="6" t="s">
        <v>1831</v>
      </c>
    </row>
    <row r="3" spans="1:8">
      <c r="A3" s="2" t="s">
        <v>1832</v>
      </c>
      <c r="B3" s="20">
        <f>IFERROR(D3/D2,0)</f>
        <v>0.45295262816353</v>
      </c>
      <c r="C3" s="2" t="s">
        <v>1833</v>
      </c>
      <c r="D3" s="4">
        <f>SUMIF(V2_Calc!$C$2:$C$201,1,V2_Calc!$B$2:$B$201)</f>
        <v>20940</v>
      </c>
      <c r="G3" s="21" t="s">
        <v>1834</v>
      </c>
      <c r="H3" s="22">
        <f>$D$3</f>
        <v>20940</v>
      </c>
    </row>
    <row r="4" spans="1:8">
      <c r="G4" s="21" t="s">
        <v>1835</v>
      </c>
      <c r="H4" s="22">
        <f>$D$2-$D$3</f>
        <v>25290</v>
      </c>
    </row>
    <row r="6" spans="1:8">
      <c r="A6" s="23" t="s">
        <v>1798</v>
      </c>
      <c r="B6" s="23" t="s">
        <v>0</v>
      </c>
      <c r="C6" s="23" t="s">
        <v>1318</v>
      </c>
      <c r="D6" s="23" t="s">
        <v>1797</v>
      </c>
      <c r="E6" s="23" t="s">
        <v>1836</v>
      </c>
    </row>
    <row r="7" spans="1:8">
      <c r="A7" s="24">
        <f>ROWS($A$7:A7)</f>
        <v>1</v>
      </c>
      <c r="B7" s="25" t="str">
        <f>IFERROR(INDEX(V2_Calc!$A$2:$A$201,MATCH(A7,V2_Calc!$E$2:$E$201,0)),"")</f>
        <v>BYD</v>
      </c>
      <c r="C7" s="26">
        <f>IFERROR(INDEX(V2_Calc!$B$2:$B$201,MATCH(A7,V2_Calc!$E$2:$E$201,0)),"")</f>
        <v>3178</v>
      </c>
      <c r="D7" s="27">
        <f>IFERROR(INDEX(V2_Calc!$D$2:$D$201,MATCH(A7,V2_Calc!$E$2:$E$201,0)),"")</f>
        <v>0.0687432403201384</v>
      </c>
      <c r="E7" s="27">
        <f t="shared" ref="E7:E46" si="0">IF(C7="","",IFERROR(C7/$D$3,0))</f>
        <v>0.151766953199618</v>
      </c>
    </row>
    <row r="8" spans="1:8">
      <c r="A8" s="28">
        <f>ROWS($A$7:A8)</f>
        <v>2</v>
      </c>
      <c r="B8" s="29" t="str">
        <f>IFERROR(INDEX(V2_Calc!$A$2:$A$201,MATCH(A8,V2_Calc!$E$2:$E$201,0)),"")</f>
        <v>GEELY</v>
      </c>
      <c r="C8" s="30">
        <f>IFERROR(INDEX(V2_Calc!$B$2:$B$201,MATCH(A8,V2_Calc!$E$2:$E$201,0)),"")</f>
        <v>3011</v>
      </c>
      <c r="D8" s="31">
        <f>IFERROR(INDEX(V2_Calc!$D$2:$D$201,MATCH(A8,V2_Calc!$E$2:$E$201,0)),"")</f>
        <v>0.0651308674021198</v>
      </c>
      <c r="E8" s="31">
        <f t="shared" si="0"/>
        <v>0.143791786055396</v>
      </c>
    </row>
    <row r="9" spans="1:8">
      <c r="A9" s="28">
        <f>ROWS($A$7:A9)</f>
        <v>3</v>
      </c>
      <c r="B9" s="29" t="str">
        <f>IFERROR(INDEX(V2_Calc!$A$2:$A$201,MATCH(A9,V2_Calc!$E$2:$E$201,0)),"")</f>
        <v>MG</v>
      </c>
      <c r="C9" s="30">
        <f>IFERROR(INDEX(V2_Calc!$B$2:$B$201,MATCH(A9,V2_Calc!$E$2:$E$201,0)),"")</f>
        <v>2859</v>
      </c>
      <c r="D9" s="31">
        <f>IFERROR(INDEX(V2_Calc!$D$2:$D$201,MATCH(A9,V2_Calc!$E$2:$E$201,0)),"")</f>
        <v>0.0618429591174562</v>
      </c>
      <c r="E9" s="31">
        <f t="shared" si="0"/>
        <v>0.136532951289398</v>
      </c>
    </row>
    <row r="10" spans="1:8">
      <c r="A10" s="28">
        <f>ROWS($A$7:A10)</f>
        <v>4</v>
      </c>
      <c r="B10" s="29" t="str">
        <f>IFERROR(INDEX(V2_Calc!$A$2:$A$201,MATCH(A10,V2_Calc!$E$2:$E$201,0)),"")</f>
        <v>JAECOO</v>
      </c>
      <c r="C10" s="30">
        <f>IFERROR(INDEX(V2_Calc!$B$2:$B$201,MATCH(A10,V2_Calc!$E$2:$E$201,0)),"")</f>
        <v>2808</v>
      </c>
      <c r="D10" s="31">
        <f>IFERROR(INDEX(V2_Calc!$D$2:$D$201,MATCH(A10,V2_Calc!$E$2:$E$201,0)),"")</f>
        <v>0.0607397793640493</v>
      </c>
      <c r="E10" s="31">
        <f t="shared" si="0"/>
        <v>0.134097421203438</v>
      </c>
    </row>
    <row r="11" spans="1:8">
      <c r="A11" s="28">
        <f>ROWS($A$7:A11)</f>
        <v>5</v>
      </c>
      <c r="B11" s="29" t="str">
        <f>IFERROR(INDEX(V2_Calc!$A$2:$A$201,MATCH(A11,V2_Calc!$E$2:$E$201,0)),"")</f>
        <v>GWM</v>
      </c>
      <c r="C11" s="30">
        <f>IFERROR(INDEX(V2_Calc!$B$2:$B$201,MATCH(A11,V2_Calc!$E$2:$E$201,0)),"")</f>
        <v>1927</v>
      </c>
      <c r="D11" s="31">
        <f>IFERROR(INDEX(V2_Calc!$D$2:$D$201,MATCH(A11,V2_Calc!$E$2:$E$201,0)),"")</f>
        <v>0.0416828898983344</v>
      </c>
      <c r="E11" s="31">
        <f t="shared" si="0"/>
        <v>0.0920248328557784</v>
      </c>
    </row>
    <row r="12" spans="1:8">
      <c r="A12" s="28">
        <f>ROWS($A$7:A12)</f>
        <v>6</v>
      </c>
      <c r="B12" s="29" t="str">
        <f>IFERROR(INDEX(V2_Calc!$A$2:$A$201,MATCH(A12,V2_Calc!$E$2:$E$201,0)),"")</f>
        <v>AION</v>
      </c>
      <c r="C12" s="30">
        <f>IFERROR(INDEX(V2_Calc!$B$2:$B$201,MATCH(A12,V2_Calc!$E$2:$E$201,0)),"")</f>
        <v>1727</v>
      </c>
      <c r="D12" s="31">
        <f>IFERROR(INDEX(V2_Calc!$D$2:$D$201,MATCH(A12,V2_Calc!$E$2:$E$201,0)),"")</f>
        <v>0.0373566947869349</v>
      </c>
      <c r="E12" s="31">
        <f t="shared" si="0"/>
        <v>0.0824737344794651</v>
      </c>
    </row>
    <row r="13" spans="1:8">
      <c r="A13" s="28">
        <f>ROWS($A$7:A13)</f>
        <v>7</v>
      </c>
      <c r="B13" s="29" t="str">
        <f>IFERROR(INDEX(V2_Calc!$A$2:$A$201,MATCH(A13,V2_Calc!$E$2:$E$201,0)),"")</f>
        <v>DEEPAL</v>
      </c>
      <c r="C13" s="30">
        <f>IFERROR(INDEX(V2_Calc!$B$2:$B$201,MATCH(A13,V2_Calc!$E$2:$E$201,0)),"")</f>
        <v>1572</v>
      </c>
      <c r="D13" s="31">
        <f>IFERROR(INDEX(V2_Calc!$D$2:$D$201,MATCH(A13,V2_Calc!$E$2:$E$201,0)),"")</f>
        <v>0.0340038935756003</v>
      </c>
      <c r="E13" s="31">
        <f t="shared" si="0"/>
        <v>0.0750716332378223</v>
      </c>
    </row>
    <row r="14" spans="1:8">
      <c r="A14" s="28">
        <f>ROWS($A$7:A14)</f>
        <v>8</v>
      </c>
      <c r="B14" s="29" t="str">
        <f>IFERROR(INDEX(V2_Calc!$A$2:$A$201,MATCH(A14,V2_Calc!$E$2:$E$201,0)),"")</f>
        <v>CHERY</v>
      </c>
      <c r="C14" s="30">
        <f>IFERROR(INDEX(V2_Calc!$B$2:$B$201,MATCH(A14,V2_Calc!$E$2:$E$201,0)),"")</f>
        <v>778</v>
      </c>
      <c r="D14" s="31">
        <f>IFERROR(INDEX(V2_Calc!$D$2:$D$201,MATCH(A14,V2_Calc!$E$2:$E$201,0)),"")</f>
        <v>0.0168288989833441</v>
      </c>
      <c r="E14" s="31">
        <f t="shared" si="0"/>
        <v>0.0371537726838586</v>
      </c>
    </row>
    <row r="15" spans="1:8">
      <c r="A15" s="28">
        <f>ROWS($A$7:A15)</f>
        <v>9</v>
      </c>
      <c r="B15" s="29" t="str">
        <f>IFERROR(INDEX(V2_Calc!$A$2:$A$201,MATCH(A15,V2_Calc!$E$2:$E$201,0)),"")</f>
        <v>ZEEKR</v>
      </c>
      <c r="C15" s="30">
        <f>IFERROR(INDEX(V2_Calc!$B$2:$B$201,MATCH(A15,V2_Calc!$E$2:$E$201,0)),"")</f>
        <v>722</v>
      </c>
      <c r="D15" s="31">
        <f>IFERROR(INDEX(V2_Calc!$D$2:$D$201,MATCH(A15,V2_Calc!$E$2:$E$201,0)),"")</f>
        <v>0.0156175643521523</v>
      </c>
      <c r="E15" s="31">
        <f t="shared" si="0"/>
        <v>0.0344794651384909</v>
      </c>
    </row>
    <row r="16" spans="1:8">
      <c r="A16" s="28">
        <f>ROWS($A$7:A16)</f>
        <v>10</v>
      </c>
      <c r="B16" s="29" t="str">
        <f>IFERROR(INDEX(V2_Calc!$A$2:$A$201,MATCH(A16,V2_Calc!$E$2:$E$201,0)),"")</f>
        <v>XPENG</v>
      </c>
      <c r="C16" s="30">
        <f>IFERROR(INDEX(V2_Calc!$B$2:$B$201,MATCH(A16,V2_Calc!$E$2:$E$201,0)),"")</f>
        <v>658</v>
      </c>
      <c r="D16" s="31">
        <f>IFERROR(INDEX(V2_Calc!$D$2:$D$201,MATCH(A16,V2_Calc!$E$2:$E$201,0)),"")</f>
        <v>0.0142331819165044</v>
      </c>
      <c r="E16" s="31">
        <f t="shared" si="0"/>
        <v>0.0314231136580707</v>
      </c>
    </row>
    <row r="17" spans="1:5">
      <c r="A17" s="28">
        <f>ROWS($A$7:A17)</f>
        <v>11</v>
      </c>
      <c r="B17" s="29" t="str">
        <f>IFERROR(INDEX(V2_Calc!$A$2:$A$201,MATCH(A17,V2_Calc!$E$2:$E$201,0)),"")</f>
        <v>CHANGAN</v>
      </c>
      <c r="C17" s="30">
        <f>IFERROR(INDEX(V2_Calc!$B$2:$B$201,MATCH(A17,V2_Calc!$E$2:$E$201,0)),"")</f>
        <v>513</v>
      </c>
      <c r="D17" s="31">
        <f>IFERROR(INDEX(V2_Calc!$D$2:$D$201,MATCH(A17,V2_Calc!$E$2:$E$201,0)),"")</f>
        <v>0.0110966904607398</v>
      </c>
      <c r="E17" s="31">
        <f t="shared" si="0"/>
        <v>0.0244985673352436</v>
      </c>
    </row>
    <row r="18" spans="1:5">
      <c r="A18" s="28">
        <f>ROWS($A$7:A18)</f>
        <v>12</v>
      </c>
      <c r="B18" s="29" t="str">
        <f>IFERROR(INDEX(V2_Calc!$A$2:$A$201,MATCH(A18,V2_Calc!$E$2:$E$201,0)),"")</f>
        <v>OMODA</v>
      </c>
      <c r="C18" s="30">
        <f>IFERROR(INDEX(V2_Calc!$B$2:$B$201,MATCH(A18,V2_Calc!$E$2:$E$201,0)),"")</f>
        <v>487</v>
      </c>
      <c r="D18" s="31">
        <f>IFERROR(INDEX(V2_Calc!$D$2:$D$201,MATCH(A18,V2_Calc!$E$2:$E$201,0)),"")</f>
        <v>0.0105342850962578</v>
      </c>
      <c r="E18" s="31">
        <f t="shared" si="0"/>
        <v>0.0232569245463228</v>
      </c>
    </row>
    <row r="19" spans="1:5">
      <c r="A19" s="28">
        <f>ROWS($A$7:A19)</f>
        <v>13</v>
      </c>
      <c r="B19" s="29" t="str">
        <f>IFERROR(INDEX(V2_Calc!$A$2:$A$201,MATCH(A19,V2_Calc!$E$2:$E$201,0)),"")</f>
        <v>AVATR</v>
      </c>
      <c r="C19" s="30">
        <f>IFERROR(INDEX(V2_Calc!$B$2:$B$201,MATCH(A19,V2_Calc!$E$2:$E$201,0)),"")</f>
        <v>199</v>
      </c>
      <c r="D19" s="31">
        <f>IFERROR(INDEX(V2_Calc!$D$2:$D$201,MATCH(A19,V2_Calc!$E$2:$E$201,0)),"")</f>
        <v>0.00430456413584253</v>
      </c>
      <c r="E19" s="31">
        <f t="shared" si="0"/>
        <v>0.00950334288443171</v>
      </c>
    </row>
    <row r="20" spans="1:5">
      <c r="A20" s="28">
        <f>ROWS($A$7:A20)</f>
        <v>14</v>
      </c>
      <c r="B20" s="29" t="str">
        <f>IFERROR(INDEX(V2_Calc!$A$2:$A$201,MATCH(A20,V2_Calc!$E$2:$E$201,0)),"")</f>
        <v>WULING</v>
      </c>
      <c r="C20" s="30">
        <f>IFERROR(INDEX(V2_Calc!$B$2:$B$201,MATCH(A20,V2_Calc!$E$2:$E$201,0)),"")</f>
        <v>171</v>
      </c>
      <c r="D20" s="31">
        <f>IFERROR(INDEX(V2_Calc!$D$2:$D$201,MATCH(A20,V2_Calc!$E$2:$E$201,0)),"")</f>
        <v>0.00369889682024659</v>
      </c>
      <c r="E20" s="31">
        <f t="shared" si="0"/>
        <v>0.00816618911174785</v>
      </c>
    </row>
    <row r="21" spans="1:5">
      <c r="A21" s="28">
        <f>ROWS($A$7:A21)</f>
        <v>15</v>
      </c>
      <c r="B21" s="29" t="str">
        <f>IFERROR(INDEX(V2_Calc!$A$2:$A$201,MATCH(A21,V2_Calc!$E$2:$E$201,0)),"")</f>
        <v>HAVAL</v>
      </c>
      <c r="C21" s="30">
        <f>IFERROR(INDEX(V2_Calc!$B$2:$B$201,MATCH(A21,V2_Calc!$E$2:$E$201,0)),"")</f>
        <v>137</v>
      </c>
      <c r="D21" s="31">
        <f>IFERROR(INDEX(V2_Calc!$D$2:$D$201,MATCH(A21,V2_Calc!$E$2:$E$201,0)),"")</f>
        <v>0.00296344365130867</v>
      </c>
      <c r="E21" s="31">
        <f t="shared" si="0"/>
        <v>0.00654250238777459</v>
      </c>
    </row>
    <row r="22" spans="1:5">
      <c r="A22" s="28">
        <f>ROWS($A$7:A22)</f>
        <v>16</v>
      </c>
      <c r="B22" s="29" t="str">
        <f>IFERROR(INDEX(V2_Calc!$A$2:$A$201,MATCH(A22,V2_Calc!$E$2:$E$201,0)),"")</f>
        <v>DENZA</v>
      </c>
      <c r="C22" s="30">
        <f>IFERROR(INDEX(V2_Calc!$B$2:$B$201,MATCH(A22,V2_Calc!$E$2:$E$201,0)),"")</f>
        <v>78</v>
      </c>
      <c r="D22" s="31">
        <f>IFERROR(INDEX(V2_Calc!$D$2:$D$201,MATCH(A22,V2_Calc!$E$2:$E$201,0)),"")</f>
        <v>0.00168721609344581</v>
      </c>
      <c r="E22" s="31">
        <f t="shared" si="0"/>
        <v>0.00372492836676218</v>
      </c>
    </row>
    <row r="23" spans="1:5">
      <c r="A23" s="28">
        <f>ROWS($A$7:A23)</f>
        <v>17</v>
      </c>
      <c r="B23" s="29" t="str">
        <f>IFERROR(INDEX(V2_Calc!$A$2:$A$201,MATCH(A23,V2_Calc!$E$2:$E$201,0)),"")</f>
        <v>WEY</v>
      </c>
      <c r="C23" s="30">
        <f>IFERROR(INDEX(V2_Calc!$B$2:$B$201,MATCH(A23,V2_Calc!$E$2:$E$201,0)),"")</f>
        <v>53</v>
      </c>
      <c r="D23" s="31">
        <f>IFERROR(INDEX(V2_Calc!$D$2:$D$201,MATCH(A23,V2_Calc!$E$2:$E$201,0)),"")</f>
        <v>0.00114644170452087</v>
      </c>
      <c r="E23" s="31">
        <f t="shared" si="0"/>
        <v>0.00253104106972302</v>
      </c>
    </row>
    <row r="24" spans="1:5">
      <c r="A24" s="28">
        <f>ROWS($A$7:A24)</f>
        <v>18</v>
      </c>
      <c r="B24" s="29" t="str">
        <f>IFERROR(INDEX(V2_Calc!$A$2:$A$201,MATCH(A24,V2_Calc!$E$2:$E$201,0)),"")</f>
        <v>GAC</v>
      </c>
      <c r="C24" s="30">
        <f>IFERROR(INDEX(V2_Calc!$B$2:$B$201,MATCH(A24,V2_Calc!$E$2:$E$201,0)),"")</f>
        <v>29</v>
      </c>
      <c r="D24" s="31">
        <f>IFERROR(INDEX(V2_Calc!$D$2:$D$201,MATCH(A24,V2_Calc!$E$2:$E$201,0)),"")</f>
        <v>0.000627298291152931</v>
      </c>
      <c r="E24" s="31">
        <f t="shared" si="0"/>
        <v>0.00138490926456543</v>
      </c>
    </row>
    <row r="25" spans="1:5">
      <c r="A25" s="28">
        <f>ROWS($A$7:A25)</f>
        <v>19</v>
      </c>
      <c r="B25" s="29" t="str">
        <f>IFERROR(INDEX(V2_Calc!$A$2:$A$201,MATCH(A25,V2_Calc!$E$2:$E$201,0)),"")</f>
        <v>LEAPMOTOR</v>
      </c>
      <c r="C25" s="30">
        <f>IFERROR(INDEX(V2_Calc!$B$2:$B$201,MATCH(A25,V2_Calc!$E$2:$E$201,0)),"")</f>
        <v>28</v>
      </c>
      <c r="D25" s="31">
        <f>IFERROR(INDEX(V2_Calc!$D$2:$D$201,MATCH(A25,V2_Calc!$E$2:$E$201,0)),"")</f>
        <v>0.000605667315595933</v>
      </c>
      <c r="E25" s="31">
        <f t="shared" si="0"/>
        <v>0.00133715377268386</v>
      </c>
    </row>
    <row r="26" spans="1:5">
      <c r="A26" s="28">
        <f>ROWS($A$7:A26)</f>
        <v>20</v>
      </c>
      <c r="B26" s="29" t="str">
        <f>IFERROR(INDEX(V2_Calc!$A$2:$A$201,MATCH(A26,V2_Calc!$E$2:$E$201,0)),"")</f>
        <v>FARIZON</v>
      </c>
      <c r="C26" s="30">
        <f>IFERROR(INDEX(V2_Calc!$B$2:$B$201,MATCH(A26,V2_Calc!$E$2:$E$201,0)),"")</f>
        <v>2</v>
      </c>
      <c r="D26" s="31">
        <f>IFERROR(INDEX(V2_Calc!$D$2:$D$201,MATCH(A26,V2_Calc!$E$2:$E$201,0)),"")</f>
        <v>4.32619511139952e-5</v>
      </c>
      <c r="E26" s="31">
        <f t="shared" si="0"/>
        <v>9.55109837631328e-5</v>
      </c>
    </row>
    <row r="27" spans="1:5">
      <c r="A27" s="28">
        <f>ROWS($A$7:A27)</f>
        <v>21</v>
      </c>
      <c r="B27" s="29" t="str">
        <f>IFERROR(INDEX(V2_Calc!$A$2:$A$201,MATCH(A27,V2_Calc!$E$2:$E$201,0)),"")</f>
        <v>DFSK</v>
      </c>
      <c r="C27" s="30">
        <f>IFERROR(INDEX(V2_Calc!$B$2:$B$201,MATCH(A27,V2_Calc!$E$2:$E$201,0)),"")</f>
        <v>1</v>
      </c>
      <c r="D27" s="31">
        <f>IFERROR(INDEX(V2_Calc!$D$2:$D$201,MATCH(A27,V2_Calc!$E$2:$E$201,0)),"")</f>
        <v>2.16309755569976e-5</v>
      </c>
      <c r="E27" s="31">
        <f t="shared" si="0"/>
        <v>4.77554918815664e-5</v>
      </c>
    </row>
    <row r="28" spans="1:5">
      <c r="A28" s="28">
        <f>ROWS($A$7:A28)</f>
        <v>22</v>
      </c>
      <c r="B28" s="29" t="str">
        <f>IFERROR(INDEX(V2_Calc!$A$2:$A$201,MATCH(A28,V2_Calc!$E$2:$E$201,0)),"")</f>
        <v>FIREFLY</v>
      </c>
      <c r="C28" s="30">
        <f>IFERROR(INDEX(V2_Calc!$B$2:$B$201,MATCH(A28,V2_Calc!$E$2:$E$201,0)),"")</f>
        <v>1</v>
      </c>
      <c r="D28" s="31">
        <f>IFERROR(INDEX(V2_Calc!$D$2:$D$201,MATCH(A28,V2_Calc!$E$2:$E$201,0)),"")</f>
        <v>2.16309755569976e-5</v>
      </c>
      <c r="E28" s="31">
        <f t="shared" si="0"/>
        <v>4.77554918815664e-5</v>
      </c>
    </row>
    <row r="29" spans="1:5">
      <c r="A29" s="28">
        <f>ROWS($A$7:A29)</f>
        <v>23</v>
      </c>
      <c r="B29" s="29" t="str">
        <f>IFERROR(INDEX(V2_Calc!$A$2:$A$201,MATCH(A29,V2_Calc!$E$2:$E$201,0)),"")</f>
        <v>FOTON</v>
      </c>
      <c r="C29" s="30">
        <f>IFERROR(INDEX(V2_Calc!$B$2:$B$201,MATCH(A29,V2_Calc!$E$2:$E$201,0)),"")</f>
        <v>1</v>
      </c>
      <c r="D29" s="31">
        <f>IFERROR(INDEX(V2_Calc!$D$2:$D$201,MATCH(A29,V2_Calc!$E$2:$E$201,0)),"")</f>
        <v>2.16309755569976e-5</v>
      </c>
      <c r="E29" s="31">
        <f t="shared" si="0"/>
        <v>4.77554918815664e-5</v>
      </c>
    </row>
    <row r="30" spans="1:5">
      <c r="A30" s="28">
        <f>ROWS($A$7:A30)</f>
        <v>24</v>
      </c>
      <c r="B30" s="29" t="str">
        <f>IFERROR(INDEX(V2_Calc!$A$2:$A$201,MATCH(A30,V2_Calc!$E$2:$E$201,0)),"")</f>
        <v>DAYUN</v>
      </c>
      <c r="C30" s="30">
        <f>IFERROR(INDEX(V2_Calc!$B$2:$B$201,MATCH(A30,V2_Calc!$E$2:$E$201,0)),"")</f>
        <v>0</v>
      </c>
      <c r="D30" s="31">
        <f>IFERROR(INDEX(V2_Calc!$D$2:$D$201,MATCH(A30,V2_Calc!$E$2:$E$201,0)),"")</f>
        <v>0</v>
      </c>
      <c r="E30" s="31">
        <f t="shared" si="0"/>
        <v>0</v>
      </c>
    </row>
    <row r="31" spans="1:5">
      <c r="A31" s="28">
        <f>ROWS($A$7:A31)</f>
        <v>25</v>
      </c>
      <c r="B31" s="29" t="str">
        <f>IFERROR(INDEX(V2_Calc!$A$2:$A$201,MATCH(A31,V2_Calc!$E$2:$E$201,0)),"")</f>
        <v>JAC</v>
      </c>
      <c r="C31" s="30">
        <f>IFERROR(INDEX(V2_Calc!$B$2:$B$201,MATCH(A31,V2_Calc!$E$2:$E$201,0)),"")</f>
        <v>0</v>
      </c>
      <c r="D31" s="31">
        <f>IFERROR(INDEX(V2_Calc!$D$2:$D$201,MATCH(A31,V2_Calc!$E$2:$E$201,0)),"")</f>
        <v>0</v>
      </c>
      <c r="E31" s="31">
        <f t="shared" si="0"/>
        <v>0</v>
      </c>
    </row>
    <row r="32" spans="1:5">
      <c r="A32" s="28">
        <f>ROWS($A$7:A32)</f>
        <v>26</v>
      </c>
      <c r="B32" s="29" t="str">
        <f>IFERROR(INDEX(V2_Calc!$A$2:$A$201,MATCH(A32,V2_Calc!$E$2:$E$201,0)),"")</f>
        <v>MAXUS</v>
      </c>
      <c r="C32" s="30">
        <f>IFERROR(INDEX(V2_Calc!$B$2:$B$201,MATCH(A32,V2_Calc!$E$2:$E$201,0)),"")</f>
        <v>0</v>
      </c>
      <c r="D32" s="31">
        <f>IFERROR(INDEX(V2_Calc!$D$2:$D$201,MATCH(A32,V2_Calc!$E$2:$E$201,0)),"")</f>
        <v>0</v>
      </c>
      <c r="E32" s="31">
        <f t="shared" si="0"/>
        <v>0</v>
      </c>
    </row>
    <row r="33" spans="1:5">
      <c r="A33" s="28">
        <f>ROWS($A$7:A33)</f>
        <v>27</v>
      </c>
      <c r="B33" s="29" t="str">
        <f>IFERROR(INDEX(V2_Calc!$A$2:$A$201,MATCH(A33,V2_Calc!$E$2:$E$201,0)),"")</f>
        <v>ORA</v>
      </c>
      <c r="C33" s="30">
        <f>IFERROR(INDEX(V2_Calc!$B$2:$B$201,MATCH(A33,V2_Calc!$E$2:$E$201,0)),"")</f>
        <v>0</v>
      </c>
      <c r="D33" s="31">
        <f>IFERROR(INDEX(V2_Calc!$D$2:$D$201,MATCH(A33,V2_Calc!$E$2:$E$201,0)),"")</f>
        <v>0</v>
      </c>
      <c r="E33" s="31">
        <f t="shared" si="0"/>
        <v>0</v>
      </c>
    </row>
    <row r="34" spans="1:5">
      <c r="A34" s="28">
        <f>ROWS($A$7:A34)</f>
        <v>28</v>
      </c>
      <c r="B34" s="29" t="str">
        <f>IFERROR(INDEX(V2_Calc!$A$2:$A$201,MATCH(A34,V2_Calc!$E$2:$E$201,0)),"")</f>
        <v>VOLT</v>
      </c>
      <c r="C34" s="30">
        <f>IFERROR(INDEX(V2_Calc!$B$2:$B$201,MATCH(A34,V2_Calc!$E$2:$E$201,0)),"")</f>
        <v>0</v>
      </c>
      <c r="D34" s="31">
        <f>IFERROR(INDEX(V2_Calc!$D$2:$D$201,MATCH(A34,V2_Calc!$E$2:$E$201,0)),"")</f>
        <v>0</v>
      </c>
      <c r="E34" s="31">
        <f t="shared" si="0"/>
        <v>0</v>
      </c>
    </row>
    <row r="35" spans="1:5">
      <c r="A35" s="28">
        <f>ROWS($A$7:A35)</f>
        <v>29</v>
      </c>
      <c r="B35" s="29" t="str">
        <f>IFERROR(INDEX(V2_Calc!$A$2:$A$201,MATCH(A35,V2_Calc!$E$2:$E$201,0)),"")</f>
        <v/>
      </c>
      <c r="C35" s="30" t="str">
        <f>IFERROR(INDEX(V2_Calc!$B$2:$B$201,MATCH(A35,V2_Calc!$E$2:$E$201,0)),"")</f>
        <v/>
      </c>
      <c r="D35" s="31" t="str">
        <f>IFERROR(INDEX(V2_Calc!$D$2:$D$201,MATCH(A35,V2_Calc!$E$2:$E$201,0)),"")</f>
        <v/>
      </c>
      <c r="E35" s="31" t="str">
        <f t="shared" si="0"/>
        <v/>
      </c>
    </row>
    <row r="36" spans="1:5">
      <c r="A36" s="28">
        <f>ROWS($A$7:A36)</f>
        <v>30</v>
      </c>
      <c r="B36" s="29" t="str">
        <f>IFERROR(INDEX(V2_Calc!$A$2:$A$201,MATCH(A36,V2_Calc!$E$2:$E$201,0)),"")</f>
        <v/>
      </c>
      <c r="C36" s="30" t="str">
        <f>IFERROR(INDEX(V2_Calc!$B$2:$B$201,MATCH(A36,V2_Calc!$E$2:$E$201,0)),"")</f>
        <v/>
      </c>
      <c r="D36" s="31" t="str">
        <f>IFERROR(INDEX(V2_Calc!$D$2:$D$201,MATCH(A36,V2_Calc!$E$2:$E$201,0)),"")</f>
        <v/>
      </c>
      <c r="E36" s="31" t="str">
        <f t="shared" si="0"/>
        <v/>
      </c>
    </row>
    <row r="37" spans="1:5">
      <c r="A37" s="28">
        <f>ROWS($A$7:A37)</f>
        <v>31</v>
      </c>
      <c r="B37" s="29" t="str">
        <f>IFERROR(INDEX(V2_Calc!$A$2:$A$201,MATCH(A37,V2_Calc!$E$2:$E$201,0)),"")</f>
        <v/>
      </c>
      <c r="C37" s="30" t="str">
        <f>IFERROR(INDEX(V2_Calc!$B$2:$B$201,MATCH(A37,V2_Calc!$E$2:$E$201,0)),"")</f>
        <v/>
      </c>
      <c r="D37" s="31" t="str">
        <f>IFERROR(INDEX(V2_Calc!$D$2:$D$201,MATCH(A37,V2_Calc!$E$2:$E$201,0)),"")</f>
        <v/>
      </c>
      <c r="E37" s="31" t="str">
        <f t="shared" si="0"/>
        <v/>
      </c>
    </row>
    <row r="38" spans="1:5">
      <c r="A38" s="28">
        <f>ROWS($A$7:A38)</f>
        <v>32</v>
      </c>
      <c r="B38" s="29" t="str">
        <f>IFERROR(INDEX(V2_Calc!$A$2:$A$201,MATCH(A38,V2_Calc!$E$2:$E$201,0)),"")</f>
        <v/>
      </c>
      <c r="C38" s="30" t="str">
        <f>IFERROR(INDEX(V2_Calc!$B$2:$B$201,MATCH(A38,V2_Calc!$E$2:$E$201,0)),"")</f>
        <v/>
      </c>
      <c r="D38" s="31" t="str">
        <f>IFERROR(INDEX(V2_Calc!$D$2:$D$201,MATCH(A38,V2_Calc!$E$2:$E$201,0)),"")</f>
        <v/>
      </c>
      <c r="E38" s="31" t="str">
        <f t="shared" si="0"/>
        <v/>
      </c>
    </row>
    <row r="39" spans="1:5">
      <c r="A39" s="28">
        <f>ROWS($A$7:A39)</f>
        <v>33</v>
      </c>
      <c r="B39" s="29" t="str">
        <f>IFERROR(INDEX(V2_Calc!$A$2:$A$201,MATCH(A39,V2_Calc!$E$2:$E$201,0)),"")</f>
        <v/>
      </c>
      <c r="C39" s="30" t="str">
        <f>IFERROR(INDEX(V2_Calc!$B$2:$B$201,MATCH(A39,V2_Calc!$E$2:$E$201,0)),"")</f>
        <v/>
      </c>
      <c r="D39" s="31" t="str">
        <f>IFERROR(INDEX(V2_Calc!$D$2:$D$201,MATCH(A39,V2_Calc!$E$2:$E$201,0)),"")</f>
        <v/>
      </c>
      <c r="E39" s="31" t="str">
        <f t="shared" si="0"/>
        <v/>
      </c>
    </row>
    <row r="40" spans="1:5">
      <c r="A40" s="28">
        <f>ROWS($A$7:A40)</f>
        <v>34</v>
      </c>
      <c r="B40" s="29" t="str">
        <f>IFERROR(INDEX(V2_Calc!$A$2:$A$201,MATCH(A40,V2_Calc!$E$2:$E$201,0)),"")</f>
        <v/>
      </c>
      <c r="C40" s="30" t="str">
        <f>IFERROR(INDEX(V2_Calc!$B$2:$B$201,MATCH(A40,V2_Calc!$E$2:$E$201,0)),"")</f>
        <v/>
      </c>
      <c r="D40" s="31" t="str">
        <f>IFERROR(INDEX(V2_Calc!$D$2:$D$201,MATCH(A40,V2_Calc!$E$2:$E$201,0)),"")</f>
        <v/>
      </c>
      <c r="E40" s="31" t="str">
        <f t="shared" si="0"/>
        <v/>
      </c>
    </row>
    <row r="41" spans="1:5">
      <c r="A41" s="28">
        <f>ROWS($A$7:A41)</f>
        <v>35</v>
      </c>
      <c r="B41" s="29" t="str">
        <f>IFERROR(INDEX(V2_Calc!$A$2:$A$201,MATCH(A41,V2_Calc!$E$2:$E$201,0)),"")</f>
        <v/>
      </c>
      <c r="C41" s="30" t="str">
        <f>IFERROR(INDEX(V2_Calc!$B$2:$B$201,MATCH(A41,V2_Calc!$E$2:$E$201,0)),"")</f>
        <v/>
      </c>
      <c r="D41" s="31" t="str">
        <f>IFERROR(INDEX(V2_Calc!$D$2:$D$201,MATCH(A41,V2_Calc!$E$2:$E$201,0)),"")</f>
        <v/>
      </c>
      <c r="E41" s="31" t="str">
        <f t="shared" si="0"/>
        <v/>
      </c>
    </row>
    <row r="42" spans="1:5">
      <c r="A42" s="28">
        <f>ROWS($A$7:A42)</f>
        <v>36</v>
      </c>
      <c r="B42" s="29" t="str">
        <f>IFERROR(INDEX(V2_Calc!$A$2:$A$201,MATCH(A42,V2_Calc!$E$2:$E$201,0)),"")</f>
        <v/>
      </c>
      <c r="C42" s="30" t="str">
        <f>IFERROR(INDEX(V2_Calc!$B$2:$B$201,MATCH(A42,V2_Calc!$E$2:$E$201,0)),"")</f>
        <v/>
      </c>
      <c r="D42" s="31" t="str">
        <f>IFERROR(INDEX(V2_Calc!$D$2:$D$201,MATCH(A42,V2_Calc!$E$2:$E$201,0)),"")</f>
        <v/>
      </c>
      <c r="E42" s="31" t="str">
        <f t="shared" si="0"/>
        <v/>
      </c>
    </row>
    <row r="43" spans="1:5">
      <c r="A43" s="28">
        <f>ROWS($A$7:A43)</f>
        <v>37</v>
      </c>
      <c r="B43" s="29" t="str">
        <f>IFERROR(INDEX(V2_Calc!$A$2:$A$201,MATCH(A43,V2_Calc!$E$2:$E$201,0)),"")</f>
        <v/>
      </c>
      <c r="C43" s="30" t="str">
        <f>IFERROR(INDEX(V2_Calc!$B$2:$B$201,MATCH(A43,V2_Calc!$E$2:$E$201,0)),"")</f>
        <v/>
      </c>
      <c r="D43" s="31" t="str">
        <f>IFERROR(INDEX(V2_Calc!$D$2:$D$201,MATCH(A43,V2_Calc!$E$2:$E$201,0)),"")</f>
        <v/>
      </c>
      <c r="E43" s="31" t="str">
        <f t="shared" si="0"/>
        <v/>
      </c>
    </row>
    <row r="44" spans="1:5">
      <c r="A44" s="28">
        <f>ROWS($A$7:A44)</f>
        <v>38</v>
      </c>
      <c r="B44" s="29" t="str">
        <f>IFERROR(INDEX(V2_Calc!$A$2:$A$201,MATCH(A44,V2_Calc!$E$2:$E$201,0)),"")</f>
        <v/>
      </c>
      <c r="C44" s="30" t="str">
        <f>IFERROR(INDEX(V2_Calc!$B$2:$B$201,MATCH(A44,V2_Calc!$E$2:$E$201,0)),"")</f>
        <v/>
      </c>
      <c r="D44" s="31" t="str">
        <f>IFERROR(INDEX(V2_Calc!$D$2:$D$201,MATCH(A44,V2_Calc!$E$2:$E$201,0)),"")</f>
        <v/>
      </c>
      <c r="E44" s="31" t="str">
        <f t="shared" si="0"/>
        <v/>
      </c>
    </row>
    <row r="45" spans="1:5">
      <c r="A45" s="28">
        <f>ROWS($A$7:A45)</f>
        <v>39</v>
      </c>
      <c r="B45" s="29" t="str">
        <f>IFERROR(INDEX(V2_Calc!$A$2:$A$201,MATCH(A45,V2_Calc!$E$2:$E$201,0)),"")</f>
        <v/>
      </c>
      <c r="C45" s="30" t="str">
        <f>IFERROR(INDEX(V2_Calc!$B$2:$B$201,MATCH(A45,V2_Calc!$E$2:$E$201,0)),"")</f>
        <v/>
      </c>
      <c r="D45" s="31" t="str">
        <f>IFERROR(INDEX(V2_Calc!$D$2:$D$201,MATCH(A45,V2_Calc!$E$2:$E$201,0)),"")</f>
        <v/>
      </c>
      <c r="E45" s="31" t="str">
        <f t="shared" si="0"/>
        <v/>
      </c>
    </row>
    <row r="46" spans="1:5">
      <c r="A46" s="32">
        <f>ROWS($A$7:A46)</f>
        <v>40</v>
      </c>
      <c r="B46" s="33" t="str">
        <f>IFERROR(INDEX(V2_Calc!$A$2:$A$201,MATCH(A46,V2_Calc!$E$2:$E$201,0)),"")</f>
        <v/>
      </c>
      <c r="C46" s="34" t="str">
        <f>IFERROR(INDEX(V2_Calc!$B$2:$B$201,MATCH(A46,V2_Calc!$E$2:$E$201,0)),"")</f>
        <v/>
      </c>
      <c r="D46" s="35" t="str">
        <f>IFERROR(INDEX(V2_Calc!$D$2:$D$201,MATCH(A46,V2_Calc!$E$2:$E$201,0)),"")</f>
        <v/>
      </c>
      <c r="E46" s="35" t="str">
        <f t="shared" si="0"/>
        <v/>
      </c>
    </row>
  </sheetData>
  <mergeCells count="1">
    <mergeCell ref="A1:E1"/>
  </mergeCells>
  <conditionalFormatting sqref="C7:C46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{43130815-6eb0-418e-a9ad-c753152b8de2}</x14:id>
        </ext>
      </extLst>
    </cfRule>
  </conditionalFormatting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130815-6eb0-418e-a9ad-c753152b8de2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C7:C46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showGridLines="0" workbookViewId="0">
      <selection activeCell="B9" sqref="B9"/>
    </sheetView>
  </sheetViews>
  <sheetFormatPr defaultColWidth="9" defaultRowHeight="14.5"/>
  <cols>
    <col min="1" max="2" width="18" customWidth="1"/>
    <col min="3" max="3" width="14" customWidth="1"/>
    <col min="4" max="4" width="9.27272727272727" customWidth="1"/>
    <col min="5" max="13" width="12" customWidth="1"/>
  </cols>
  <sheetData>
    <row r="1" ht="32" customHeight="1" spans="1:13">
      <c r="A1" s="1" t="s">
        <v>1837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1838</v>
      </c>
      <c r="B2" s="3" t="str">
        <f>前十整体车型排名!$B$4</f>
        <v>2026 七月</v>
      </c>
      <c r="C2" s="2" t="s">
        <v>1839</v>
      </c>
      <c r="D2" s="4">
        <f>IFERROR(INDEX($B$5:$B$102,MATCH(B2,$A$5:$A$102,0)),0)</f>
        <v>46230</v>
      </c>
      <c r="E2" s="2" t="s">
        <v>1840</v>
      </c>
      <c r="F2" s="5">
        <f>IFERROR(INDEX($C$5:$C$102,MATCH(B2,$A$5:$A$102,0)),0)</f>
        <v>-0.0549297790134309</v>
      </c>
    </row>
    <row r="4" spans="1:13">
      <c r="A4" s="6" t="s">
        <v>1841</v>
      </c>
      <c r="B4" s="6" t="s">
        <v>1842</v>
      </c>
      <c r="C4" s="6" t="s">
        <v>1843</v>
      </c>
    </row>
    <row r="5" spans="1:13">
      <c r="A5" s="7" t="str">
        <f>IF('Data Export'!G$1="","",'Data Export'!G$1)</f>
        <v>2025 十二月</v>
      </c>
      <c r="B5" s="8">
        <f>IF(A5="","",SUMIFS('Data Export'!G$2:G$3000,'Data Export'!$A$2:$A$3000,前十整体车型排名!$B$2,'Data Export'!$B$2:$B$3000,前十整体车型排名!$B$3))</f>
        <v>32687</v>
      </c>
      <c r="C5" s="9" t="str">
        <f t="shared" ref="C5:C68" si="0">IFERROR(B5/B4-1,"")</f>
        <v/>
      </c>
    </row>
    <row r="6" spans="1:13">
      <c r="A6" s="10" t="str">
        <f>IF('Data Export'!H$1="","",'Data Export'!H$1)</f>
        <v>2026 一月</v>
      </c>
      <c r="B6" s="11">
        <f>IF(A6="","",SUMIFS('Data Export'!H$2:H$3000,'Data Export'!$A$2:$A$3000,前十整体车型排名!$B$2,'Data Export'!$B$2:$B$3000,前十整体车型排名!$B$3))</f>
        <v>78058</v>
      </c>
      <c r="C6" s="12">
        <f t="shared" si="0"/>
        <v>1.38804417658396</v>
      </c>
    </row>
    <row r="7" spans="1:13">
      <c r="A7" s="10" t="str">
        <f>IF('Data Export'!I$1="","",'Data Export'!I$1)</f>
        <v>2026 二月</v>
      </c>
      <c r="B7" s="11">
        <f>IF(A7="","",SUMIFS('Data Export'!I$2:I$3000,'Data Export'!$A$2:$A$3000,前十整体车型排名!$B$2,'Data Export'!$B$2:$B$3000,前十整体车型排名!$B$3))</f>
        <v>35025</v>
      </c>
      <c r="C7" s="12">
        <f t="shared" si="0"/>
        <v>-0.551295190755592</v>
      </c>
    </row>
    <row r="8" spans="1:13">
      <c r="A8" s="10" t="str">
        <f>IF('Data Export'!J$1="","",'Data Export'!J$1)</f>
        <v>2026 三月</v>
      </c>
      <c r="B8" s="11">
        <f>IF(A8="","",SUMIFS('Data Export'!J$2:J$3000,'Data Export'!$A$2:$A$3000,前十整体车型排名!$B$2,'Data Export'!$B$2:$B$3000,前十整体车型排名!$B$3))</f>
        <v>43313</v>
      </c>
      <c r="C8" s="12">
        <f t="shared" si="0"/>
        <v>0.236630977872948</v>
      </c>
    </row>
    <row r="9" spans="1:13">
      <c r="A9" s="10" t="str">
        <f>IF('Data Export'!K$1="","",'Data Export'!K$1)</f>
        <v>2026 四月</v>
      </c>
      <c r="B9" s="11">
        <f>IF(A9="","",SUMIFS('Data Export'!K$2:K$3000,'Data Export'!$A$2:$A$3000,前十整体车型排名!$B$2,'Data Export'!$B$2:$B$3000,前十整体车型排名!$B$3))</f>
        <v>36569</v>
      </c>
      <c r="C9" s="12">
        <f t="shared" si="0"/>
        <v>-0.155703830258814</v>
      </c>
    </row>
    <row r="10" spans="1:13">
      <c r="A10" s="10" t="str">
        <f>IF('Data Export'!L$1="","",'Data Export'!L$1)</f>
        <v>2026 五月</v>
      </c>
      <c r="B10" s="11">
        <f>IF(A10="","",SUMIFS('Data Export'!L$2:L$3000,'Data Export'!$A$2:$A$3000,前十整体车型排名!$B$2,'Data Export'!$B$2:$B$3000,前十整体车型排名!$B$3))</f>
        <v>48636</v>
      </c>
      <c r="C10" s="12">
        <f t="shared" si="0"/>
        <v>0.329978943914244</v>
      </c>
    </row>
    <row r="11" spans="1:13">
      <c r="A11" s="10" t="str">
        <f>IF('Data Export'!M$1="","",'Data Export'!M$1)</f>
        <v>2026 六月</v>
      </c>
      <c r="B11" s="11">
        <f>IF(A11="","",SUMIFS('Data Export'!M$2:M$3000,'Data Export'!$A$2:$A$3000,前十整体车型排名!$B$2,'Data Export'!$B$2:$B$3000,前十整体车型排名!$B$3))</f>
        <v>48917</v>
      </c>
      <c r="C11" s="12">
        <f t="shared" si="0"/>
        <v>0.0057776132905667</v>
      </c>
    </row>
    <row r="12" spans="1:13">
      <c r="A12" s="10" t="str">
        <f>IF('Data Export'!N$1="","",'Data Export'!N$1)</f>
        <v>2026 七月</v>
      </c>
      <c r="B12" s="11">
        <f>IF(A12="","",SUMIFS('Data Export'!N$2:N$3000,'Data Export'!$A$2:$A$3000,前十整体车型排名!$B$2,'Data Export'!$B$2:$B$3000,前十整体车型排名!$B$3))</f>
        <v>46230</v>
      </c>
      <c r="C12" s="12">
        <f t="shared" si="0"/>
        <v>-0.0549297790134309</v>
      </c>
    </row>
    <row r="13" spans="1:13">
      <c r="A13" s="10" t="str">
        <f>IF('Data Export'!O$1="","",'Data Export'!O$1)</f>
        <v/>
      </c>
      <c r="B13" s="11" t="str">
        <f>IF(A13="","",SUMIFS('Data Export'!O$2:O$3000,'Data Export'!$A$2:$A$3000,前十整体车型排名!$B$2,'Data Export'!$B$2:$B$3000,前十整体车型排名!$B$3))</f>
        <v/>
      </c>
      <c r="C13" s="12" t="str">
        <f t="shared" si="0"/>
        <v/>
      </c>
    </row>
    <row r="14" spans="1:13">
      <c r="A14" s="10" t="str">
        <f>IF('Data Export'!P$1="","",'Data Export'!P$1)</f>
        <v/>
      </c>
      <c r="B14" s="11" t="str">
        <f>IF(A14="","",SUMIFS('Data Export'!P$2:P$3000,'Data Export'!$A$2:$A$3000,前十整体车型排名!$B$2,'Data Export'!$B$2:$B$3000,前十整体车型排名!$B$3))</f>
        <v/>
      </c>
      <c r="C14" s="12" t="str">
        <f t="shared" si="0"/>
        <v/>
      </c>
    </row>
    <row r="15" spans="1:13">
      <c r="A15" s="10" t="str">
        <f>IF('Data Export'!Q$1="","",'Data Export'!Q$1)</f>
        <v/>
      </c>
      <c r="B15" s="11" t="str">
        <f>IF(A15="","",SUMIFS('Data Export'!Q$2:Q$3000,'Data Export'!$A$2:$A$3000,前十整体车型排名!$B$2,'Data Export'!$B$2:$B$3000,前十整体车型排名!$B$3))</f>
        <v/>
      </c>
      <c r="C15" s="12" t="str">
        <f t="shared" si="0"/>
        <v/>
      </c>
    </row>
    <row r="16" spans="1:13">
      <c r="A16" s="10" t="str">
        <f>IF('Data Export'!R$1="","",'Data Export'!R$1)</f>
        <v/>
      </c>
      <c r="B16" s="11" t="str">
        <f>IF(A16="","",SUMIFS('Data Export'!R$2:R$3000,'Data Export'!$A$2:$A$3000,前十整体车型排名!$B$2,'Data Export'!$B$2:$B$3000,前十整体车型排名!$B$3))</f>
        <v/>
      </c>
      <c r="C16" s="12" t="str">
        <f t="shared" si="0"/>
        <v/>
      </c>
    </row>
    <row r="17" spans="1:13">
      <c r="A17" s="10" t="str">
        <f>IF('Data Export'!S$1="","",'Data Export'!S$1)</f>
        <v/>
      </c>
      <c r="B17" s="11" t="str">
        <f>IF(A17="","",SUMIFS('Data Export'!S$2:S$3000,'Data Export'!$A$2:$A$3000,前十整体车型排名!$B$2,'Data Export'!$B$2:$B$3000,前十整体车型排名!$B$3))</f>
        <v/>
      </c>
      <c r="C17" s="12" t="str">
        <f t="shared" si="0"/>
        <v/>
      </c>
    </row>
    <row r="18" spans="1:13">
      <c r="A18" s="10" t="str">
        <f>IF('Data Export'!T$1="","",'Data Export'!T$1)</f>
        <v/>
      </c>
      <c r="B18" s="11" t="str">
        <f>IF(A18="","",SUMIFS('Data Export'!T$2:T$3000,'Data Export'!$A$2:$A$3000,前十整体车型排名!$B$2,'Data Export'!$B$2:$B$3000,前十整体车型排名!$B$3))</f>
        <v/>
      </c>
      <c r="C18" s="12" t="str">
        <f t="shared" si="0"/>
        <v/>
      </c>
    </row>
    <row r="19" spans="1:13">
      <c r="A19" s="10" t="str">
        <f>IF('Data Export'!U$1="","",'Data Export'!U$1)</f>
        <v/>
      </c>
      <c r="B19" s="11" t="str">
        <f>IF(A19="","",SUMIFS('Data Export'!U$2:U$3000,'Data Export'!$A$2:$A$3000,前十整体车型排名!$B$2,'Data Export'!$B$2:$B$3000,前十整体车型排名!$B$3))</f>
        <v/>
      </c>
      <c r="C19" s="12" t="str">
        <f t="shared" si="0"/>
        <v/>
      </c>
    </row>
    <row r="20" spans="1:13">
      <c r="A20" s="10" t="str">
        <f>IF('Data Export'!V$1="","",'Data Export'!V$1)</f>
        <v/>
      </c>
      <c r="B20" s="11" t="str">
        <f>IF(A20="","",SUMIFS('Data Export'!V$2:V$3000,'Data Export'!$A$2:$A$3000,前十整体车型排名!$B$2,'Data Export'!$B$2:$B$3000,前十整体车型排名!$B$3))</f>
        <v/>
      </c>
      <c r="C20" s="12" t="str">
        <f t="shared" si="0"/>
        <v/>
      </c>
    </row>
    <row r="21" spans="1:13">
      <c r="A21" s="10" t="str">
        <f>IF('Data Export'!W$1="","",'Data Export'!W$1)</f>
        <v/>
      </c>
      <c r="B21" s="11" t="str">
        <f>IF(A21="","",SUMIFS('Data Export'!W$2:W$3000,'Data Export'!$A$2:$A$3000,前十整体车型排名!$B$2,'Data Export'!$B$2:$B$3000,前十整体车型排名!$B$3))</f>
        <v/>
      </c>
      <c r="C21" s="12" t="str">
        <f t="shared" si="0"/>
        <v/>
      </c>
    </row>
    <row r="22" spans="1:13">
      <c r="A22" s="10" t="str">
        <f>IF('Data Export'!X$1="","",'Data Export'!X$1)</f>
        <v/>
      </c>
      <c r="B22" s="11" t="str">
        <f>IF(A22="","",SUMIFS('Data Export'!X$2:X$3000,'Data Export'!$A$2:$A$3000,前十整体车型排名!$B$2,'Data Export'!$B$2:$B$3000,前十整体车型排名!$B$3))</f>
        <v/>
      </c>
      <c r="C22" s="12" t="str">
        <f t="shared" si="0"/>
        <v/>
      </c>
    </row>
    <row r="23" spans="1:13">
      <c r="A23" s="10" t="str">
        <f>IF('Data Export'!Y$1="","",'Data Export'!Y$1)</f>
        <v/>
      </c>
      <c r="B23" s="11" t="str">
        <f>IF(A23="","",SUMIFS('Data Export'!Y$2:Y$3000,'Data Export'!$A$2:$A$3000,前十整体车型排名!$B$2,'Data Export'!$B$2:$B$3000,前十整体车型排名!$B$3))</f>
        <v/>
      </c>
      <c r="C23" s="12" t="str">
        <f t="shared" si="0"/>
        <v/>
      </c>
    </row>
    <row r="24" spans="1:13">
      <c r="A24" s="13" t="s">
        <v>1844</v>
      </c>
      <c r="B24" s="14">
        <f>IF(A24="","",SUMIFS('Data Export'!Z$2:Z$3000,'Data Export'!$A$2:$A$3000,前十整体车型排名!$B$2,'Data Export'!$B$2:$B$3000,前十整体车型排名!$B$3))</f>
        <v>0</v>
      </c>
      <c r="C24" s="15" t="str">
        <f t="shared" si="0"/>
        <v/>
      </c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>
      <c r="A25" s="10" t="str">
        <f>IF('Data Export'!AA$1="","",'Data Export'!AA$1)</f>
        <v/>
      </c>
      <c r="B25" s="11" t="str">
        <f>IF(A25="","",SUMIFS('Data Export'!AA$2:AA$3000,'Data Export'!$A$2:$A$3000,前十整体车型排名!$B$2,'Data Export'!$B$2:$B$3000,前十整体车型排名!$B$3))</f>
        <v/>
      </c>
      <c r="C25" s="12" t="str">
        <f t="shared" si="0"/>
        <v/>
      </c>
    </row>
    <row r="26" spans="1:13">
      <c r="A26" s="10" t="str">
        <f>IF('Data Export'!AB$1="","",'Data Export'!AB$1)</f>
        <v/>
      </c>
      <c r="B26" s="11" t="str">
        <f>IF(A26="","",SUMIFS('Data Export'!AB$2:AB$3000,'Data Export'!$A$2:$A$3000,前十整体车型排名!$B$2,'Data Export'!$B$2:$B$3000,前十整体车型排名!$B$3))</f>
        <v/>
      </c>
      <c r="C26" s="12" t="str">
        <f t="shared" si="0"/>
        <v/>
      </c>
    </row>
    <row r="27" spans="1:13">
      <c r="A27" s="10" t="str">
        <f>IF('Data Export'!AC$1="","",'Data Export'!AC$1)</f>
        <v/>
      </c>
      <c r="B27" s="11" t="str">
        <f>IF(A27="","",SUMIFS('Data Export'!AC$2:AC$3000,'Data Export'!$A$2:$A$3000,前十整体车型排名!$B$2,'Data Export'!$B$2:$B$3000,前十整体车型排名!$B$3))</f>
        <v/>
      </c>
      <c r="C27" s="12" t="str">
        <f t="shared" si="0"/>
        <v/>
      </c>
    </row>
    <row r="28" spans="1:13">
      <c r="A28" s="10" t="str">
        <f>IF('Data Export'!AD$1="","",'Data Export'!AD$1)</f>
        <v/>
      </c>
      <c r="B28" s="11" t="str">
        <f>IF(A28="","",SUMIFS('Data Export'!AD$2:AD$3000,'Data Export'!$A$2:$A$3000,前十整体车型排名!$B$2,'Data Export'!$B$2:$B$3000,前十整体车型排名!$B$3))</f>
        <v/>
      </c>
      <c r="C28" s="12" t="str">
        <f t="shared" si="0"/>
        <v/>
      </c>
    </row>
    <row r="29" spans="1:13">
      <c r="A29" s="10" t="str">
        <f>IF('Data Export'!AE$1="","",'Data Export'!AE$1)</f>
        <v/>
      </c>
      <c r="B29" s="11" t="str">
        <f>IF(A29="","",SUMIFS('Data Export'!AE$2:AE$3000,'Data Export'!$A$2:$A$3000,前十整体车型排名!$B$2,'Data Export'!$B$2:$B$3000,前十整体车型排名!$B$3))</f>
        <v/>
      </c>
      <c r="C29" s="12" t="str">
        <f t="shared" si="0"/>
        <v/>
      </c>
    </row>
    <row r="30" spans="1:13">
      <c r="A30" s="10" t="str">
        <f>IF('Data Export'!AF$1="","",'Data Export'!AF$1)</f>
        <v/>
      </c>
      <c r="B30" s="11" t="str">
        <f>IF(A30="","",SUMIFS('Data Export'!AF$2:AF$3000,'Data Export'!$A$2:$A$3000,前十整体车型排名!$B$2,'Data Export'!$B$2:$B$3000,前十整体车型排名!$B$3))</f>
        <v/>
      </c>
      <c r="C30" s="12" t="str">
        <f t="shared" si="0"/>
        <v/>
      </c>
    </row>
    <row r="31" spans="1:13">
      <c r="A31" s="10" t="str">
        <f>IF('Data Export'!AG$1="","",'Data Export'!AG$1)</f>
        <v/>
      </c>
      <c r="B31" s="11" t="str">
        <f>IF(A31="","",SUMIFS('Data Export'!AG$2:AG$3000,'Data Export'!$A$2:$A$3000,前十整体车型排名!$B$2,'Data Export'!$B$2:$B$3000,前十整体车型排名!$B$3))</f>
        <v/>
      </c>
      <c r="C31" s="12" t="str">
        <f t="shared" si="0"/>
        <v/>
      </c>
    </row>
    <row r="32" spans="1:13">
      <c r="A32" s="10" t="str">
        <f>IF('Data Export'!AH$1="","",'Data Export'!AH$1)</f>
        <v/>
      </c>
      <c r="B32" s="11" t="str">
        <f>IF(A32="","",SUMIFS('Data Export'!AH$2:AH$3000,'Data Export'!$A$2:$A$3000,前十整体车型排名!$B$2,'Data Export'!$B$2:$B$3000,前十整体车型排名!$B$3))</f>
        <v/>
      </c>
      <c r="C32" s="12" t="str">
        <f t="shared" si="0"/>
        <v/>
      </c>
    </row>
    <row r="33" spans="1:3">
      <c r="A33" s="10" t="str">
        <f>IF('Data Export'!AI$1="","",'Data Export'!AI$1)</f>
        <v/>
      </c>
      <c r="B33" s="11" t="str">
        <f>IF(A33="","",SUMIFS('Data Export'!AI$2:AI$3000,'Data Export'!$A$2:$A$3000,前十整体车型排名!$B$2,'Data Export'!$B$2:$B$3000,前十整体车型排名!$B$3))</f>
        <v/>
      </c>
      <c r="C33" s="12" t="str">
        <f t="shared" si="0"/>
        <v/>
      </c>
    </row>
    <row r="34" spans="1:3">
      <c r="A34" s="10" t="str">
        <f>IF('Data Export'!AJ$1="","",'Data Export'!AJ$1)</f>
        <v/>
      </c>
      <c r="B34" s="11" t="str">
        <f>IF(A34="","",SUMIFS('Data Export'!AJ$2:AJ$3000,'Data Export'!$A$2:$A$3000,前十整体车型排名!$B$2,'Data Export'!$B$2:$B$3000,前十整体车型排名!$B$3))</f>
        <v/>
      </c>
      <c r="C34" s="12" t="str">
        <f t="shared" si="0"/>
        <v/>
      </c>
    </row>
    <row r="35" spans="1:3">
      <c r="A35" s="10" t="str">
        <f>IF('Data Export'!AK$1="","",'Data Export'!AK$1)</f>
        <v/>
      </c>
      <c r="B35" s="11" t="str">
        <f>IF(A35="","",SUMIFS('Data Export'!AK$2:AK$3000,'Data Export'!$A$2:$A$3000,前十整体车型排名!$B$2,'Data Export'!$B$2:$B$3000,前十整体车型排名!$B$3))</f>
        <v/>
      </c>
      <c r="C35" s="12" t="str">
        <f t="shared" si="0"/>
        <v/>
      </c>
    </row>
    <row r="36" spans="1:3">
      <c r="A36" s="10" t="str">
        <f>IF('Data Export'!AL$1="","",'Data Export'!AL$1)</f>
        <v/>
      </c>
      <c r="B36" s="11" t="str">
        <f>IF(A36="","",SUMIFS('Data Export'!AL$2:AL$3000,'Data Export'!$A$2:$A$3000,前十整体车型排名!$B$2,'Data Export'!$B$2:$B$3000,前十整体车型排名!$B$3))</f>
        <v/>
      </c>
      <c r="C36" s="12" t="str">
        <f t="shared" si="0"/>
        <v/>
      </c>
    </row>
    <row r="37" spans="1:3">
      <c r="A37" s="10" t="str">
        <f>IF('Data Export'!AM$1="","",'Data Export'!AM$1)</f>
        <v/>
      </c>
      <c r="B37" s="11" t="str">
        <f>IF(A37="","",SUMIFS('Data Export'!AM$2:AM$3000,'Data Export'!$A$2:$A$3000,前十整体车型排名!$B$2,'Data Export'!$B$2:$B$3000,前十整体车型排名!$B$3))</f>
        <v/>
      </c>
      <c r="C37" s="12" t="str">
        <f t="shared" si="0"/>
        <v/>
      </c>
    </row>
    <row r="38" spans="1:3">
      <c r="A38" s="10" t="str">
        <f>IF('Data Export'!AN$1="","",'Data Export'!AN$1)</f>
        <v/>
      </c>
      <c r="B38" s="11" t="str">
        <f>IF(A38="","",SUMIFS('Data Export'!AN$2:AN$3000,'Data Export'!$A$2:$A$3000,前十整体车型排名!$B$2,'Data Export'!$B$2:$B$3000,前十整体车型排名!$B$3))</f>
        <v/>
      </c>
      <c r="C38" s="12" t="str">
        <f t="shared" si="0"/>
        <v/>
      </c>
    </row>
    <row r="39" spans="1:3">
      <c r="A39" s="10" t="str">
        <f>IF('Data Export'!AO$1="","",'Data Export'!AO$1)</f>
        <v/>
      </c>
      <c r="B39" s="11" t="str">
        <f>IF(A39="","",SUMIFS('Data Export'!AO$2:AO$3000,'Data Export'!$A$2:$A$3000,前十整体车型排名!$B$2,'Data Export'!$B$2:$B$3000,前十整体车型排名!$B$3))</f>
        <v/>
      </c>
      <c r="C39" s="12" t="str">
        <f t="shared" si="0"/>
        <v/>
      </c>
    </row>
    <row r="40" spans="1:3">
      <c r="A40" s="10" t="str">
        <f>IF('Data Export'!AP$1="","",'Data Export'!AP$1)</f>
        <v/>
      </c>
      <c r="B40" s="11" t="str">
        <f>IF(A40="","",SUMIFS('Data Export'!AP$2:AP$3000,'Data Export'!$A$2:$A$3000,前十整体车型排名!$B$2,'Data Export'!$B$2:$B$3000,前十整体车型排名!$B$3))</f>
        <v/>
      </c>
      <c r="C40" s="12" t="str">
        <f t="shared" si="0"/>
        <v/>
      </c>
    </row>
    <row r="41" spans="1:3">
      <c r="A41" s="10" t="str">
        <f>IF('Data Export'!AQ$1="","",'Data Export'!AQ$1)</f>
        <v/>
      </c>
      <c r="B41" s="11" t="str">
        <f>IF(A41="","",SUMIFS('Data Export'!AQ$2:AQ$3000,'Data Export'!$A$2:$A$3000,前十整体车型排名!$B$2,'Data Export'!$B$2:$B$3000,前十整体车型排名!$B$3))</f>
        <v/>
      </c>
      <c r="C41" s="12" t="str">
        <f t="shared" si="0"/>
        <v/>
      </c>
    </row>
    <row r="42" spans="1:3">
      <c r="A42" s="10" t="str">
        <f>IF('Data Export'!AR$1="","",'Data Export'!AR$1)</f>
        <v/>
      </c>
      <c r="B42" s="11" t="str">
        <f>IF(A42="","",SUMIFS('Data Export'!AR$2:AR$3000,'Data Export'!$A$2:$A$3000,前十整体车型排名!$B$2,'Data Export'!$B$2:$B$3000,前十整体车型排名!$B$3))</f>
        <v/>
      </c>
      <c r="C42" s="12" t="str">
        <f t="shared" si="0"/>
        <v/>
      </c>
    </row>
    <row r="43" spans="1:3">
      <c r="A43" s="10" t="str">
        <f>IF('Data Export'!AS$1="","",'Data Export'!AS$1)</f>
        <v/>
      </c>
      <c r="B43" s="11" t="str">
        <f>IF(A43="","",SUMIFS('Data Export'!AS$2:AS$3000,'Data Export'!$A$2:$A$3000,前十整体车型排名!$B$2,'Data Export'!$B$2:$B$3000,前十整体车型排名!$B$3))</f>
        <v/>
      </c>
      <c r="C43" s="12" t="str">
        <f t="shared" si="0"/>
        <v/>
      </c>
    </row>
    <row r="44" spans="1:3">
      <c r="A44" s="10" t="str">
        <f>IF('Data Export'!AT$1="","",'Data Export'!AT$1)</f>
        <v/>
      </c>
      <c r="B44" s="11" t="str">
        <f>IF(A44="","",SUMIFS('Data Export'!AT$2:AT$3000,'Data Export'!$A$2:$A$3000,前十整体车型排名!$B$2,'Data Export'!$B$2:$B$3000,前十整体车型排名!$B$3))</f>
        <v/>
      </c>
      <c r="C44" s="12" t="str">
        <f t="shared" si="0"/>
        <v/>
      </c>
    </row>
    <row r="45" spans="1:3">
      <c r="A45" s="10" t="str">
        <f>IF('Data Export'!AU$1="","",'Data Export'!AU$1)</f>
        <v/>
      </c>
      <c r="B45" s="11" t="str">
        <f>IF(A45="","",SUMIFS('Data Export'!AU$2:AU$3000,'Data Export'!$A$2:$A$3000,前十整体车型排名!$B$2,'Data Export'!$B$2:$B$3000,前十整体车型排名!$B$3))</f>
        <v/>
      </c>
      <c r="C45" s="12" t="str">
        <f t="shared" si="0"/>
        <v/>
      </c>
    </row>
    <row r="46" spans="1:3">
      <c r="A46" s="10" t="str">
        <f>IF('Data Export'!AV$1="","",'Data Export'!AV$1)</f>
        <v/>
      </c>
      <c r="B46" s="11" t="str">
        <f>IF(A46="","",SUMIFS('Data Export'!AV$2:AV$3000,'Data Export'!$A$2:$A$3000,前十整体车型排名!$B$2,'Data Export'!$B$2:$B$3000,前十整体车型排名!$B$3))</f>
        <v/>
      </c>
      <c r="C46" s="12" t="str">
        <f t="shared" si="0"/>
        <v/>
      </c>
    </row>
    <row r="47" spans="1:3">
      <c r="A47" s="10" t="str">
        <f>IF('Data Export'!AW$1="","",'Data Export'!AW$1)</f>
        <v/>
      </c>
      <c r="B47" s="11" t="str">
        <f>IF(A47="","",SUMIFS('Data Export'!AW$2:AW$3000,'Data Export'!$A$2:$A$3000,前十整体车型排名!$B$2,'Data Export'!$B$2:$B$3000,前十整体车型排名!$B$3))</f>
        <v/>
      </c>
      <c r="C47" s="12" t="str">
        <f t="shared" si="0"/>
        <v/>
      </c>
    </row>
    <row r="48" spans="1:3">
      <c r="A48" s="10" t="str">
        <f>IF('Data Export'!AX$1="","",'Data Export'!AX$1)</f>
        <v/>
      </c>
      <c r="B48" s="11" t="str">
        <f>IF(A48="","",SUMIFS('Data Export'!AX$2:AX$3000,'Data Export'!$A$2:$A$3000,前十整体车型排名!$B$2,'Data Export'!$B$2:$B$3000,前十整体车型排名!$B$3))</f>
        <v/>
      </c>
      <c r="C48" s="12" t="str">
        <f t="shared" si="0"/>
        <v/>
      </c>
    </row>
    <row r="49" spans="1:3">
      <c r="A49" s="10" t="str">
        <f>IF('Data Export'!AY$1="","",'Data Export'!AY$1)</f>
        <v/>
      </c>
      <c r="B49" s="11" t="str">
        <f>IF(A49="","",SUMIFS('Data Export'!AY$2:AY$3000,'Data Export'!$A$2:$A$3000,前十整体车型排名!$B$2,'Data Export'!$B$2:$B$3000,前十整体车型排名!$B$3))</f>
        <v/>
      </c>
      <c r="C49" s="12" t="str">
        <f t="shared" si="0"/>
        <v/>
      </c>
    </row>
    <row r="50" spans="1:3">
      <c r="A50" s="10" t="str">
        <f>IF('Data Export'!AZ$1="","",'Data Export'!AZ$1)</f>
        <v/>
      </c>
      <c r="B50" s="11" t="str">
        <f>IF(A50="","",SUMIFS('Data Export'!AZ$2:AZ$3000,'Data Export'!$A$2:$A$3000,前十整体车型排名!$B$2,'Data Export'!$B$2:$B$3000,前十整体车型排名!$B$3))</f>
        <v/>
      </c>
      <c r="C50" s="12" t="str">
        <f t="shared" si="0"/>
        <v/>
      </c>
    </row>
    <row r="51" spans="1:3">
      <c r="A51" s="10" t="str">
        <f>IF('Data Export'!BA$1="","",'Data Export'!BA$1)</f>
        <v/>
      </c>
      <c r="B51" s="11" t="str">
        <f>IF(A51="","",SUMIFS('Data Export'!BA$2:BA$3000,'Data Export'!$A$2:$A$3000,前十整体车型排名!$B$2,'Data Export'!$B$2:$B$3000,前十整体车型排名!$B$3))</f>
        <v/>
      </c>
      <c r="C51" s="12" t="str">
        <f t="shared" si="0"/>
        <v/>
      </c>
    </row>
    <row r="52" spans="1:3">
      <c r="A52" s="10" t="str">
        <f>IF('Data Export'!BB$1="","",'Data Export'!BB$1)</f>
        <v/>
      </c>
      <c r="B52" s="11" t="str">
        <f>IF(A52="","",SUMIFS('Data Export'!BB$2:BB$3000,'Data Export'!$A$2:$A$3000,前十整体车型排名!$B$2,'Data Export'!$B$2:$B$3000,前十整体车型排名!$B$3))</f>
        <v/>
      </c>
      <c r="C52" s="12" t="str">
        <f t="shared" si="0"/>
        <v/>
      </c>
    </row>
    <row r="53" spans="1:3">
      <c r="A53" s="10" t="str">
        <f>IF('Data Export'!BC$1="","",'Data Export'!BC$1)</f>
        <v/>
      </c>
      <c r="B53" s="11" t="str">
        <f>IF(A53="","",SUMIFS('Data Export'!BC$2:BC$3000,'Data Export'!$A$2:$A$3000,前十整体车型排名!$B$2,'Data Export'!$B$2:$B$3000,前十整体车型排名!$B$3))</f>
        <v/>
      </c>
      <c r="C53" s="12" t="str">
        <f t="shared" si="0"/>
        <v/>
      </c>
    </row>
    <row r="54" spans="1:3">
      <c r="A54" s="10" t="str">
        <f>IF('Data Export'!BD$1="","",'Data Export'!BD$1)</f>
        <v/>
      </c>
      <c r="B54" s="11" t="str">
        <f>IF(A54="","",SUMIFS('Data Export'!BD$2:BD$3000,'Data Export'!$A$2:$A$3000,前十整体车型排名!$B$2,'Data Export'!$B$2:$B$3000,前十整体车型排名!$B$3))</f>
        <v/>
      </c>
      <c r="C54" s="12" t="str">
        <f t="shared" si="0"/>
        <v/>
      </c>
    </row>
    <row r="55" spans="1:3">
      <c r="A55" s="10" t="str">
        <f>IF('Data Export'!BE$1="","",'Data Export'!BE$1)</f>
        <v/>
      </c>
      <c r="B55" s="11" t="str">
        <f>IF(A55="","",SUMIFS('Data Export'!BE$2:BE$3000,'Data Export'!$A$2:$A$3000,前十整体车型排名!$B$2,'Data Export'!$B$2:$B$3000,前十整体车型排名!$B$3))</f>
        <v/>
      </c>
      <c r="C55" s="12" t="str">
        <f t="shared" si="0"/>
        <v/>
      </c>
    </row>
    <row r="56" spans="1:3">
      <c r="A56" s="10" t="str">
        <f>IF('Data Export'!BF$1="","",'Data Export'!BF$1)</f>
        <v/>
      </c>
      <c r="B56" s="11" t="str">
        <f>IF(A56="","",SUMIFS('Data Export'!BF$2:BF$3000,'Data Export'!$A$2:$A$3000,前十整体车型排名!$B$2,'Data Export'!$B$2:$B$3000,前十整体车型排名!$B$3))</f>
        <v/>
      </c>
      <c r="C56" s="12" t="str">
        <f t="shared" si="0"/>
        <v/>
      </c>
    </row>
    <row r="57" spans="1:3">
      <c r="A57" s="10" t="str">
        <f>IF('Data Export'!BG$1="","",'Data Export'!BG$1)</f>
        <v/>
      </c>
      <c r="B57" s="11" t="str">
        <f>IF(A57="","",SUMIFS('Data Export'!BG$2:BG$3000,'Data Export'!$A$2:$A$3000,前十整体车型排名!$B$2,'Data Export'!$B$2:$B$3000,前十整体车型排名!$B$3))</f>
        <v/>
      </c>
      <c r="C57" s="12" t="str">
        <f t="shared" si="0"/>
        <v/>
      </c>
    </row>
    <row r="58" spans="1:3">
      <c r="A58" s="10" t="str">
        <f>IF('Data Export'!BH$1="","",'Data Export'!BH$1)</f>
        <v/>
      </c>
      <c r="B58" s="11" t="str">
        <f>IF(A58="","",SUMIFS('Data Export'!BH$2:BH$3000,'Data Export'!$A$2:$A$3000,前十整体车型排名!$B$2,'Data Export'!$B$2:$B$3000,前十整体车型排名!$B$3))</f>
        <v/>
      </c>
      <c r="C58" s="12" t="str">
        <f t="shared" si="0"/>
        <v/>
      </c>
    </row>
    <row r="59" spans="1:3">
      <c r="A59" s="10" t="str">
        <f>IF('Data Export'!BI$1="","",'Data Export'!BI$1)</f>
        <v/>
      </c>
      <c r="B59" s="11" t="str">
        <f>IF(A59="","",SUMIFS('Data Export'!BI$2:BI$3000,'Data Export'!$A$2:$A$3000,前十整体车型排名!$B$2,'Data Export'!$B$2:$B$3000,前十整体车型排名!$B$3))</f>
        <v/>
      </c>
      <c r="C59" s="12" t="str">
        <f t="shared" si="0"/>
        <v/>
      </c>
    </row>
    <row r="60" spans="1:3">
      <c r="A60" s="10" t="str">
        <f>IF('Data Export'!BJ$1="","",'Data Export'!BJ$1)</f>
        <v/>
      </c>
      <c r="B60" s="11" t="str">
        <f>IF(A60="","",SUMIFS('Data Export'!BJ$2:BJ$3000,'Data Export'!$A$2:$A$3000,前十整体车型排名!$B$2,'Data Export'!$B$2:$B$3000,前十整体车型排名!$B$3))</f>
        <v/>
      </c>
      <c r="C60" s="12" t="str">
        <f t="shared" si="0"/>
        <v/>
      </c>
    </row>
    <row r="61" spans="1:3">
      <c r="A61" s="10" t="str">
        <f>IF('Data Export'!BK$1="","",'Data Export'!BK$1)</f>
        <v/>
      </c>
      <c r="B61" s="11" t="str">
        <f>IF(A61="","",SUMIFS('Data Export'!BK$2:BK$3000,'Data Export'!$A$2:$A$3000,前十整体车型排名!$B$2,'Data Export'!$B$2:$B$3000,前十整体车型排名!$B$3))</f>
        <v/>
      </c>
      <c r="C61" s="12" t="str">
        <f t="shared" si="0"/>
        <v/>
      </c>
    </row>
    <row r="62" spans="1:3">
      <c r="A62" s="10" t="str">
        <f>IF('Data Export'!BL$1="","",'Data Export'!BL$1)</f>
        <v/>
      </c>
      <c r="B62" s="11" t="str">
        <f>IF(A62="","",SUMIFS('Data Export'!BL$2:BL$3000,'Data Export'!$A$2:$A$3000,前十整体车型排名!$B$2,'Data Export'!$B$2:$B$3000,前十整体车型排名!$B$3))</f>
        <v/>
      </c>
      <c r="C62" s="12" t="str">
        <f t="shared" si="0"/>
        <v/>
      </c>
    </row>
    <row r="63" spans="1:3">
      <c r="A63" s="10" t="str">
        <f>IF('Data Export'!BM$1="","",'Data Export'!BM$1)</f>
        <v/>
      </c>
      <c r="B63" s="11" t="str">
        <f>IF(A63="","",SUMIFS('Data Export'!BM$2:BM$3000,'Data Export'!$A$2:$A$3000,前十整体车型排名!$B$2,'Data Export'!$B$2:$B$3000,前十整体车型排名!$B$3))</f>
        <v/>
      </c>
      <c r="C63" s="12" t="str">
        <f t="shared" si="0"/>
        <v/>
      </c>
    </row>
    <row r="64" spans="1:3">
      <c r="A64" s="10" t="str">
        <f>IF('Data Export'!BN$1="","",'Data Export'!BN$1)</f>
        <v/>
      </c>
      <c r="B64" s="11" t="str">
        <f>IF(A64="","",SUMIFS('Data Export'!BN$2:BN$3000,'Data Export'!$A$2:$A$3000,前十整体车型排名!$B$2,'Data Export'!$B$2:$B$3000,前十整体车型排名!$B$3))</f>
        <v/>
      </c>
      <c r="C64" s="12" t="str">
        <f t="shared" si="0"/>
        <v/>
      </c>
    </row>
    <row r="65" spans="1:3">
      <c r="A65" s="10" t="str">
        <f>IF('Data Export'!BO$1="","",'Data Export'!BO$1)</f>
        <v/>
      </c>
      <c r="B65" s="11" t="str">
        <f>IF(A65="","",SUMIFS('Data Export'!BO$2:BO$3000,'Data Export'!$A$2:$A$3000,前十整体车型排名!$B$2,'Data Export'!$B$2:$B$3000,前十整体车型排名!$B$3))</f>
        <v/>
      </c>
      <c r="C65" s="12" t="str">
        <f t="shared" si="0"/>
        <v/>
      </c>
    </row>
    <row r="66" spans="1:3">
      <c r="A66" s="10" t="str">
        <f>IF('Data Export'!BP$1="","",'Data Export'!BP$1)</f>
        <v/>
      </c>
      <c r="B66" s="11" t="str">
        <f>IF(A66="","",SUMIFS('Data Export'!BP$2:BP$3000,'Data Export'!$A$2:$A$3000,前十整体车型排名!$B$2,'Data Export'!$B$2:$B$3000,前十整体车型排名!$B$3))</f>
        <v/>
      </c>
      <c r="C66" s="12" t="str">
        <f t="shared" si="0"/>
        <v/>
      </c>
    </row>
    <row r="67" spans="1:3">
      <c r="A67" s="10" t="str">
        <f>IF('Data Export'!BQ$1="","",'Data Export'!BQ$1)</f>
        <v/>
      </c>
      <c r="B67" s="11" t="str">
        <f>IF(A67="","",SUMIFS('Data Export'!BQ$2:BQ$3000,'Data Export'!$A$2:$A$3000,前十整体车型排名!$B$2,'Data Export'!$B$2:$B$3000,前十整体车型排名!$B$3))</f>
        <v/>
      </c>
      <c r="C67" s="12" t="str">
        <f t="shared" si="0"/>
        <v/>
      </c>
    </row>
    <row r="68" spans="1:3">
      <c r="A68" s="10" t="str">
        <f>IF('Data Export'!BR$1="","",'Data Export'!BR$1)</f>
        <v/>
      </c>
      <c r="B68" s="11" t="str">
        <f>IF(A68="","",SUMIFS('Data Export'!BR$2:BR$3000,'Data Export'!$A$2:$A$3000,前十整体车型排名!$B$2,'Data Export'!$B$2:$B$3000,前十整体车型排名!$B$3))</f>
        <v/>
      </c>
      <c r="C68" s="12" t="str">
        <f t="shared" si="0"/>
        <v/>
      </c>
    </row>
    <row r="69" spans="1:3">
      <c r="A69" s="10" t="str">
        <f>IF('Data Export'!BS$1="","",'Data Export'!BS$1)</f>
        <v/>
      </c>
      <c r="B69" s="11" t="str">
        <f>IF(A69="","",SUMIFS('Data Export'!BS$2:BS$3000,'Data Export'!$A$2:$A$3000,前十整体车型排名!$B$2,'Data Export'!$B$2:$B$3000,前十整体车型排名!$B$3))</f>
        <v/>
      </c>
      <c r="C69" s="12" t="str">
        <f t="shared" ref="C69:C102" si="1">IFERROR(B69/B68-1,"")</f>
        <v/>
      </c>
    </row>
    <row r="70" spans="1:3">
      <c r="A70" s="10" t="str">
        <f>IF('Data Export'!BT$1="","",'Data Export'!BT$1)</f>
        <v/>
      </c>
      <c r="B70" s="11" t="str">
        <f>IF(A70="","",SUMIFS('Data Export'!BT$2:BT$3000,'Data Export'!$A$2:$A$3000,前十整体车型排名!$B$2,'Data Export'!$B$2:$B$3000,前十整体车型排名!$B$3))</f>
        <v/>
      </c>
      <c r="C70" s="12" t="str">
        <f t="shared" si="1"/>
        <v/>
      </c>
    </row>
    <row r="71" spans="1:3">
      <c r="A71" s="10" t="str">
        <f>IF('Data Export'!BU$1="","",'Data Export'!BU$1)</f>
        <v/>
      </c>
      <c r="B71" s="11" t="str">
        <f>IF(A71="","",SUMIFS('Data Export'!BU$2:BU$3000,'Data Export'!$A$2:$A$3000,前十整体车型排名!$B$2,'Data Export'!$B$2:$B$3000,前十整体车型排名!$B$3))</f>
        <v/>
      </c>
      <c r="C71" s="12" t="str">
        <f t="shared" si="1"/>
        <v/>
      </c>
    </row>
    <row r="72" spans="1:3">
      <c r="A72" s="10" t="str">
        <f>IF('Data Export'!BV$1="","",'Data Export'!BV$1)</f>
        <v/>
      </c>
      <c r="B72" s="11" t="str">
        <f>IF(A72="","",SUMIFS('Data Export'!BV$2:BV$3000,'Data Export'!$A$2:$A$3000,前十整体车型排名!$B$2,'Data Export'!$B$2:$B$3000,前十整体车型排名!$B$3))</f>
        <v/>
      </c>
      <c r="C72" s="12" t="str">
        <f t="shared" si="1"/>
        <v/>
      </c>
    </row>
    <row r="73" spans="1:3">
      <c r="A73" s="10" t="str">
        <f>IF('Data Export'!BW$1="","",'Data Export'!BW$1)</f>
        <v/>
      </c>
      <c r="B73" s="11" t="str">
        <f>IF(A73="","",SUMIFS('Data Export'!BW$2:BW$3000,'Data Export'!$A$2:$A$3000,前十整体车型排名!$B$2,'Data Export'!$B$2:$B$3000,前十整体车型排名!$B$3))</f>
        <v/>
      </c>
      <c r="C73" s="12" t="str">
        <f t="shared" si="1"/>
        <v/>
      </c>
    </row>
    <row r="74" spans="1:3">
      <c r="A74" s="10" t="str">
        <f>IF('Data Export'!BX$1="","",'Data Export'!BX$1)</f>
        <v/>
      </c>
      <c r="B74" s="11" t="str">
        <f>IF(A74="","",SUMIFS('Data Export'!BX$2:BX$3000,'Data Export'!$A$2:$A$3000,前十整体车型排名!$B$2,'Data Export'!$B$2:$B$3000,前十整体车型排名!$B$3))</f>
        <v/>
      </c>
      <c r="C74" s="12" t="str">
        <f t="shared" si="1"/>
        <v/>
      </c>
    </row>
    <row r="75" spans="1:3">
      <c r="A75" s="10" t="str">
        <f>IF('Data Export'!BY$1="","",'Data Export'!BY$1)</f>
        <v/>
      </c>
      <c r="B75" s="11" t="str">
        <f>IF(A75="","",SUMIFS('Data Export'!BY$2:BY$3000,'Data Export'!$A$2:$A$3000,前十整体车型排名!$B$2,'Data Export'!$B$2:$B$3000,前十整体车型排名!$B$3))</f>
        <v/>
      </c>
      <c r="C75" s="12" t="str">
        <f t="shared" si="1"/>
        <v/>
      </c>
    </row>
    <row r="76" spans="1:3">
      <c r="A76" s="10" t="str">
        <f>IF('Data Export'!BZ$1="","",'Data Export'!BZ$1)</f>
        <v/>
      </c>
      <c r="B76" s="11" t="str">
        <f>IF(A76="","",SUMIFS('Data Export'!BZ$2:BZ$3000,'Data Export'!$A$2:$A$3000,前十整体车型排名!$B$2,'Data Export'!$B$2:$B$3000,前十整体车型排名!$B$3))</f>
        <v/>
      </c>
      <c r="C76" s="12" t="str">
        <f t="shared" si="1"/>
        <v/>
      </c>
    </row>
    <row r="77" spans="1:3">
      <c r="A77" s="10" t="str">
        <f>IF('Data Export'!CA$1="","",'Data Export'!CA$1)</f>
        <v/>
      </c>
      <c r="B77" s="11" t="str">
        <f>IF(A77="","",SUMIFS('Data Export'!CA$2:CA$3000,'Data Export'!$A$2:$A$3000,前十整体车型排名!$B$2,'Data Export'!$B$2:$B$3000,前十整体车型排名!$B$3))</f>
        <v/>
      </c>
      <c r="C77" s="12" t="str">
        <f t="shared" si="1"/>
        <v/>
      </c>
    </row>
    <row r="78" spans="1:3">
      <c r="A78" s="10" t="str">
        <f>IF('Data Export'!CB$1="","",'Data Export'!CB$1)</f>
        <v/>
      </c>
      <c r="B78" s="11" t="str">
        <f>IF(A78="","",SUMIFS('Data Export'!CB$2:CB$3000,'Data Export'!$A$2:$A$3000,前十整体车型排名!$B$2,'Data Export'!$B$2:$B$3000,前十整体车型排名!$B$3))</f>
        <v/>
      </c>
      <c r="C78" s="12" t="str">
        <f t="shared" si="1"/>
        <v/>
      </c>
    </row>
    <row r="79" spans="1:3">
      <c r="A79" s="10" t="str">
        <f>IF('Data Export'!CC$1="","",'Data Export'!CC$1)</f>
        <v/>
      </c>
      <c r="B79" s="11" t="str">
        <f>IF(A79="","",SUMIFS('Data Export'!CC$2:CC$3000,'Data Export'!$A$2:$A$3000,前十整体车型排名!$B$2,'Data Export'!$B$2:$B$3000,前十整体车型排名!$B$3))</f>
        <v/>
      </c>
      <c r="C79" s="12" t="str">
        <f t="shared" si="1"/>
        <v/>
      </c>
    </row>
    <row r="80" spans="1:3">
      <c r="A80" s="10" t="str">
        <f>IF('Data Export'!CD$1="","",'Data Export'!CD$1)</f>
        <v/>
      </c>
      <c r="B80" s="11" t="str">
        <f>IF(A80="","",SUMIFS('Data Export'!CD$2:CD$3000,'Data Export'!$A$2:$A$3000,前十整体车型排名!$B$2,'Data Export'!$B$2:$B$3000,前十整体车型排名!$B$3))</f>
        <v/>
      </c>
      <c r="C80" s="12" t="str">
        <f t="shared" si="1"/>
        <v/>
      </c>
    </row>
    <row r="81" spans="1:3">
      <c r="A81" s="10" t="str">
        <f>IF('Data Export'!CE$1="","",'Data Export'!CE$1)</f>
        <v/>
      </c>
      <c r="B81" s="11" t="str">
        <f>IF(A81="","",SUMIFS('Data Export'!CE$2:CE$3000,'Data Export'!$A$2:$A$3000,前十整体车型排名!$B$2,'Data Export'!$B$2:$B$3000,前十整体车型排名!$B$3))</f>
        <v/>
      </c>
      <c r="C81" s="12" t="str">
        <f t="shared" si="1"/>
        <v/>
      </c>
    </row>
    <row r="82" spans="1:3">
      <c r="A82" s="10" t="str">
        <f>IF('Data Export'!CF$1="","",'Data Export'!CF$1)</f>
        <v/>
      </c>
      <c r="B82" s="11" t="str">
        <f>IF(A82="","",SUMIFS('Data Export'!CF$2:CF$3000,'Data Export'!$A$2:$A$3000,前十整体车型排名!$B$2,'Data Export'!$B$2:$B$3000,前十整体车型排名!$B$3))</f>
        <v/>
      </c>
      <c r="C82" s="12" t="str">
        <f t="shared" si="1"/>
        <v/>
      </c>
    </row>
    <row r="83" spans="1:3">
      <c r="A83" s="10" t="str">
        <f>IF('Data Export'!CG$1="","",'Data Export'!CG$1)</f>
        <v/>
      </c>
      <c r="B83" s="11" t="str">
        <f>IF(A83="","",SUMIFS('Data Export'!CG$2:CG$3000,'Data Export'!$A$2:$A$3000,前十整体车型排名!$B$2,'Data Export'!$B$2:$B$3000,前十整体车型排名!$B$3))</f>
        <v/>
      </c>
      <c r="C83" s="12" t="str">
        <f t="shared" si="1"/>
        <v/>
      </c>
    </row>
    <row r="84" spans="1:3">
      <c r="A84" s="10" t="str">
        <f>IF('Data Export'!CH$1="","",'Data Export'!CH$1)</f>
        <v/>
      </c>
      <c r="B84" s="11" t="str">
        <f>IF(A84="","",SUMIFS('Data Export'!CH$2:CH$3000,'Data Export'!$A$2:$A$3000,前十整体车型排名!$B$2,'Data Export'!$B$2:$B$3000,前十整体车型排名!$B$3))</f>
        <v/>
      </c>
      <c r="C84" s="12" t="str">
        <f t="shared" si="1"/>
        <v/>
      </c>
    </row>
    <row r="85" spans="1:3">
      <c r="A85" s="10" t="str">
        <f>IF('Data Export'!CI$1="","",'Data Export'!CI$1)</f>
        <v/>
      </c>
      <c r="B85" s="11" t="str">
        <f>IF(A85="","",SUMIFS('Data Export'!CI$2:CI$3000,'Data Export'!$A$2:$A$3000,前十整体车型排名!$B$2,'Data Export'!$B$2:$B$3000,前十整体车型排名!$B$3))</f>
        <v/>
      </c>
      <c r="C85" s="12" t="str">
        <f t="shared" si="1"/>
        <v/>
      </c>
    </row>
    <row r="86" spans="1:3">
      <c r="A86" s="10" t="str">
        <f>IF('Data Export'!CJ$1="","",'Data Export'!CJ$1)</f>
        <v/>
      </c>
      <c r="B86" s="11" t="str">
        <f>IF(A86="","",SUMIFS('Data Export'!CJ$2:CJ$3000,'Data Export'!$A$2:$A$3000,前十整体车型排名!$B$2,'Data Export'!$B$2:$B$3000,前十整体车型排名!$B$3))</f>
        <v/>
      </c>
      <c r="C86" s="12" t="str">
        <f t="shared" si="1"/>
        <v/>
      </c>
    </row>
    <row r="87" spans="1:3">
      <c r="A87" s="10" t="str">
        <f>IF('Data Export'!CK$1="","",'Data Export'!CK$1)</f>
        <v/>
      </c>
      <c r="B87" s="11" t="str">
        <f>IF(A87="","",SUMIFS('Data Export'!CK$2:CK$3000,'Data Export'!$A$2:$A$3000,前十整体车型排名!$B$2,'Data Export'!$B$2:$B$3000,前十整体车型排名!$B$3))</f>
        <v/>
      </c>
      <c r="C87" s="12" t="str">
        <f t="shared" si="1"/>
        <v/>
      </c>
    </row>
    <row r="88" spans="1:3">
      <c r="A88" s="10" t="str">
        <f>IF('Data Export'!CL$1="","",'Data Export'!CL$1)</f>
        <v/>
      </c>
      <c r="B88" s="11" t="str">
        <f>IF(A88="","",SUMIFS('Data Export'!CL$2:CL$3000,'Data Export'!$A$2:$A$3000,前十整体车型排名!$B$2,'Data Export'!$B$2:$B$3000,前十整体车型排名!$B$3))</f>
        <v/>
      </c>
      <c r="C88" s="12" t="str">
        <f t="shared" si="1"/>
        <v/>
      </c>
    </row>
    <row r="89" spans="1:3">
      <c r="A89" s="10" t="str">
        <f>IF('Data Export'!CM$1="","",'Data Export'!CM$1)</f>
        <v/>
      </c>
      <c r="B89" s="11" t="str">
        <f>IF(A89="","",SUMIFS('Data Export'!CM$2:CM$3000,'Data Export'!$A$2:$A$3000,前十整体车型排名!$B$2,'Data Export'!$B$2:$B$3000,前十整体车型排名!$B$3))</f>
        <v/>
      </c>
      <c r="C89" s="12" t="str">
        <f t="shared" si="1"/>
        <v/>
      </c>
    </row>
    <row r="90" spans="1:3">
      <c r="A90" s="10" t="str">
        <f>IF('Data Export'!CN$1="","",'Data Export'!CN$1)</f>
        <v/>
      </c>
      <c r="B90" s="11" t="str">
        <f>IF(A90="","",SUMIFS('Data Export'!CN$2:CN$3000,'Data Export'!$A$2:$A$3000,前十整体车型排名!$B$2,'Data Export'!$B$2:$B$3000,前十整体车型排名!$B$3))</f>
        <v/>
      </c>
      <c r="C90" s="12" t="str">
        <f t="shared" si="1"/>
        <v/>
      </c>
    </row>
    <row r="91" spans="1:3">
      <c r="A91" s="10" t="str">
        <f>IF('Data Export'!CO$1="","",'Data Export'!CO$1)</f>
        <v/>
      </c>
      <c r="B91" s="11" t="str">
        <f>IF(A91="","",SUMIFS('Data Export'!CO$2:CO$3000,'Data Export'!$A$2:$A$3000,前十整体车型排名!$B$2,'Data Export'!$B$2:$B$3000,前十整体车型排名!$B$3))</f>
        <v/>
      </c>
      <c r="C91" s="12" t="str">
        <f t="shared" si="1"/>
        <v/>
      </c>
    </row>
    <row r="92" spans="1:3">
      <c r="A92" s="10" t="str">
        <f>IF('Data Export'!CP$1="","",'Data Export'!CP$1)</f>
        <v/>
      </c>
      <c r="B92" s="11" t="str">
        <f>IF(A92="","",SUMIFS('Data Export'!CP$2:CP$3000,'Data Export'!$A$2:$A$3000,前十整体车型排名!$B$2,'Data Export'!$B$2:$B$3000,前十整体车型排名!$B$3))</f>
        <v/>
      </c>
      <c r="C92" s="12" t="str">
        <f t="shared" si="1"/>
        <v/>
      </c>
    </row>
    <row r="93" spans="1:3">
      <c r="A93" s="10" t="str">
        <f>IF('Data Export'!CQ$1="","",'Data Export'!CQ$1)</f>
        <v/>
      </c>
      <c r="B93" s="11" t="str">
        <f>IF(A93="","",SUMIFS('Data Export'!CQ$2:CQ$3000,'Data Export'!$A$2:$A$3000,前十整体车型排名!$B$2,'Data Export'!$B$2:$B$3000,前十整体车型排名!$B$3))</f>
        <v/>
      </c>
      <c r="C93" s="12" t="str">
        <f t="shared" si="1"/>
        <v/>
      </c>
    </row>
    <row r="94" spans="1:3">
      <c r="A94" s="10" t="str">
        <f>IF('Data Export'!CR$1="","",'Data Export'!CR$1)</f>
        <v/>
      </c>
      <c r="B94" s="11" t="str">
        <f>IF(A94="","",SUMIFS('Data Export'!CR$2:CR$3000,'Data Export'!$A$2:$A$3000,前十整体车型排名!$B$2,'Data Export'!$B$2:$B$3000,前十整体车型排名!$B$3))</f>
        <v/>
      </c>
      <c r="C94" s="12" t="str">
        <f t="shared" si="1"/>
        <v/>
      </c>
    </row>
    <row r="95" spans="1:3">
      <c r="A95" s="10" t="str">
        <f>IF('Data Export'!CS$1="","",'Data Export'!CS$1)</f>
        <v/>
      </c>
      <c r="B95" s="11" t="str">
        <f>IF(A95="","",SUMIFS('Data Export'!CS$2:CS$3000,'Data Export'!$A$2:$A$3000,前十整体车型排名!$B$2,'Data Export'!$B$2:$B$3000,前十整体车型排名!$B$3))</f>
        <v/>
      </c>
      <c r="C95" s="12" t="str">
        <f t="shared" si="1"/>
        <v/>
      </c>
    </row>
    <row r="96" spans="1:3">
      <c r="A96" s="10" t="str">
        <f>IF('Data Export'!CT$1="","",'Data Export'!CT$1)</f>
        <v/>
      </c>
      <c r="B96" s="11" t="str">
        <f>IF(A96="","",SUMIFS('Data Export'!CT$2:CT$3000,'Data Export'!$A$2:$A$3000,前十整体车型排名!$B$2,'Data Export'!$B$2:$B$3000,前十整体车型排名!$B$3))</f>
        <v/>
      </c>
      <c r="C96" s="12" t="str">
        <f t="shared" si="1"/>
        <v/>
      </c>
    </row>
    <row r="97" spans="1:3">
      <c r="A97" s="10" t="str">
        <f>IF('Data Export'!CU$1="","",'Data Export'!CU$1)</f>
        <v/>
      </c>
      <c r="B97" s="11" t="str">
        <f>IF(A97="","",SUMIFS('Data Export'!CU$2:CU$3000,'Data Export'!$A$2:$A$3000,前十整体车型排名!$B$2,'Data Export'!$B$2:$B$3000,前十整体车型排名!$B$3))</f>
        <v/>
      </c>
      <c r="C97" s="12" t="str">
        <f t="shared" si="1"/>
        <v/>
      </c>
    </row>
    <row r="98" spans="1:3">
      <c r="A98" s="10" t="str">
        <f>IF('Data Export'!CV$1="","",'Data Export'!CV$1)</f>
        <v/>
      </c>
      <c r="B98" s="11" t="str">
        <f>IF(A98="","",SUMIFS('Data Export'!CV$2:CV$3000,'Data Export'!$A$2:$A$3000,前十整体车型排名!$B$2,'Data Export'!$B$2:$B$3000,前十整体车型排名!$B$3))</f>
        <v/>
      </c>
      <c r="C98" s="12" t="str">
        <f t="shared" si="1"/>
        <v/>
      </c>
    </row>
    <row r="99" spans="1:3">
      <c r="A99" s="10" t="str">
        <f>IF('Data Export'!CW$1="","",'Data Export'!CW$1)</f>
        <v/>
      </c>
      <c r="B99" s="11" t="str">
        <f>IF(A99="","",SUMIFS('Data Export'!CW$2:CW$3000,'Data Export'!$A$2:$A$3000,前十整体车型排名!$B$2,'Data Export'!$B$2:$B$3000,前十整体车型排名!$B$3))</f>
        <v/>
      </c>
      <c r="C99" s="12" t="str">
        <f t="shared" si="1"/>
        <v/>
      </c>
    </row>
    <row r="100" spans="1:3">
      <c r="A100" s="10" t="str">
        <f>IF('Data Export'!CX$1="","",'Data Export'!CX$1)</f>
        <v/>
      </c>
      <c r="B100" s="11" t="str">
        <f>IF(A100="","",SUMIFS('Data Export'!CX$2:CX$3000,'Data Export'!$A$2:$A$3000,前十整体车型排名!$B$2,'Data Export'!$B$2:$B$3000,前十整体车型排名!$B$3))</f>
        <v/>
      </c>
      <c r="C100" s="12" t="str">
        <f t="shared" si="1"/>
        <v/>
      </c>
    </row>
    <row r="101" spans="1:3">
      <c r="A101" s="10" t="str">
        <f>IF('Data Export'!CY$1="","",'Data Export'!CY$1)</f>
        <v/>
      </c>
      <c r="B101" s="11" t="str">
        <f>IF(A101="","",SUMIFS('Data Export'!CY$2:CY$3000,'Data Export'!$A$2:$A$3000,前十整体车型排名!$B$2,'Data Export'!$B$2:$B$3000,前十整体车型排名!$B$3))</f>
        <v/>
      </c>
      <c r="C101" s="12" t="str">
        <f t="shared" si="1"/>
        <v/>
      </c>
    </row>
    <row r="102" spans="1:3">
      <c r="A102" s="17" t="str">
        <f>IF('Data Export'!CZ$1="","",'Data Export'!CZ$1)</f>
        <v/>
      </c>
      <c r="B102" s="18" t="str">
        <f>IF(A102="","",SUMIFS('Data Export'!CZ$2:CZ$3000,'Data Export'!$A$2:$A$3000,前十整体车型排名!$B$2,'Data Export'!$B$2:$B$3000,前十整体车型排名!$B$3))</f>
        <v/>
      </c>
      <c r="C102" s="19" t="str">
        <f t="shared" si="1"/>
        <v/>
      </c>
    </row>
  </sheetData>
  <mergeCells count="2">
    <mergeCell ref="A1:M1"/>
    <mergeCell ref="A24:M2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Sheet1</vt:lpstr>
      <vt:lpstr>Data Export</vt:lpstr>
      <vt:lpstr>V1_Calc</vt:lpstr>
      <vt:lpstr>CN_Brands</vt:lpstr>
      <vt:lpstr>V2_Calc</vt:lpstr>
      <vt:lpstr>前十整体车型排名</vt:lpstr>
      <vt:lpstr>前十中国车型排名</vt:lpstr>
      <vt:lpstr>轿车前十排名</vt:lpstr>
      <vt:lpstr>MPV前十排名</vt:lpstr>
      <vt:lpstr>SUV前十排名</vt:lpstr>
      <vt:lpstr>中国品牌轿车前十排名</vt:lpstr>
      <vt:lpstr>中国品牌MPV前十排名</vt:lpstr>
      <vt:lpstr>中国品牌SUV前十排名</vt:lpstr>
      <vt:lpstr>中国品牌市占率</vt:lpstr>
      <vt:lpstr>整体月度总销量环比走势图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WM</cp:lastModifiedBy>
  <dcterms:created xsi:type="dcterms:W3CDTF">2026-09-01T08:25:42Z</dcterms:created>
  <dcterms:modified xsi:type="dcterms:W3CDTF">2026-09-01T08:33:37Z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65540D922EA9469FA9A537671107FF3C_12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